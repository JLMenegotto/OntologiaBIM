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E6C3C517-8C1A-4EF3-BDAF-8123DA018FE8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W3" i="39"/>
  <c r="W4" i="39"/>
  <c r="W5" i="39"/>
  <c r="W6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S7" i="39"/>
  <c r="T7" i="39"/>
  <c r="U7" i="39"/>
  <c r="S8" i="39"/>
  <c r="T8" i="39"/>
  <c r="U8" i="39"/>
  <c r="S9" i="39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W7" i="39"/>
  <c r="W8" i="39"/>
  <c r="W9" i="39"/>
  <c r="W10" i="39"/>
  <c r="W11" i="39"/>
  <c r="W12" i="39"/>
  <c r="W13" i="39"/>
  <c r="B24" i="31"/>
  <c r="Q7" i="39"/>
  <c r="Q8" i="39"/>
  <c r="Q9" i="39"/>
  <c r="Q10" i="39"/>
  <c r="Q11" i="39"/>
  <c r="Q12" i="39"/>
  <c r="Q13" i="39"/>
  <c r="AA5" i="39"/>
  <c r="AA4" i="39"/>
  <c r="AA3" i="39"/>
  <c r="AA2" i="39"/>
  <c r="AA6" i="39"/>
  <c r="L13" i="39" l="1"/>
  <c r="M13" i="39"/>
  <c r="N13" i="39"/>
  <c r="O13" i="39"/>
  <c r="O8" i="39"/>
  <c r="N8" i="39"/>
  <c r="M8" i="39"/>
  <c r="L8" i="39"/>
  <c r="O12" i="39"/>
  <c r="N12" i="39"/>
  <c r="M12" i="39"/>
  <c r="L12" i="39"/>
  <c r="B23" i="31"/>
  <c r="AA8" i="39"/>
  <c r="AA9" i="39"/>
  <c r="AA10" i="39"/>
  <c r="AA11" i="39"/>
  <c r="AA12" i="39"/>
  <c r="AA13" i="39"/>
  <c r="AA7" i="39"/>
  <c r="O7" i="39" l="1"/>
  <c r="N7" i="39"/>
  <c r="M7" i="39"/>
  <c r="L7" i="39"/>
  <c r="O11" i="39"/>
  <c r="N11" i="39"/>
  <c r="M11" i="39"/>
  <c r="L11" i="39"/>
  <c r="O10" i="39"/>
  <c r="N10" i="39"/>
  <c r="M10" i="39"/>
  <c r="L10" i="39"/>
  <c r="L9" i="39"/>
  <c r="O9" i="39" l="1"/>
  <c r="N9" i="39"/>
  <c r="M9" i="39"/>
  <c r="B18" i="31"/>
  <c r="B6" i="31" l="1"/>
  <c r="B5" i="31"/>
</calcChain>
</file>

<file path=xl/sharedStrings.xml><?xml version="1.0" encoding="utf-8"?>
<sst xmlns="http://schemas.openxmlformats.org/spreadsheetml/2006/main" count="676" uniqueCount="178">
  <si>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</si>
  <si>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</si>
  <si>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</si>
  <si>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</si>
  <si>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</si>
  <si>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</si>
  <si>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</si>
  <si>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</si>
  <si>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</si>
  <si>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</si>
  <si>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</si>
  <si>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</si>
  <si>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</si>
  <si>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</si>
  <si>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</si>
  <si>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</si>
  <si>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</si>
  <si>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</si>
  <si>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</si>
  <si>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</si>
  <si>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</si>
  <si>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</si>
  <si>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</si>
  <si>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</si>
  <si>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</si>
  <si>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</si>
  <si>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</si>
  <si>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</si>
  <si>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</si>
  <si>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</si>
  <si>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</si>
  <si>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</si>
  <si>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</si>
  <si>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</si>
  <si>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</si>
  <si>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</si>
  <si>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</si>
  <si>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</si>
  <si>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</si>
  <si>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</si>
  <si>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</si>
  <si>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</si>
  <si>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</si>
  <si>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</si>
  <si>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</si>
  <si>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</si>
  <si>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</si>
  <si>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</si>
  <si>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</si>
  <si>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</si>
  <si>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</si>
  <si>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</si>
  <si>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</si>
  <si>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</si>
  <si>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</si>
  <si>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</si>
  <si>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</si>
  <si>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</si>
  <si>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</si>
  <si>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</si>
  <si>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</si>
  <si>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</si>
  <si>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</si>
  <si>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</si>
  <si>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</si>
  <si>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</si>
  <si>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</si>
  <si>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</si>
  <si>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</si>
  <si>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</si>
  <si>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</si>
  <si>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</si>
  <si>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</si>
  <si>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</si>
  <si>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</si>
  <si>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</si>
  <si>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</si>
  <si>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</si>
  <si>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</si>
  <si>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</si>
  <si>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</si>
  <si>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</si>
  <si>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</si>
  <si>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</si>
  <si>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</si>
  <si>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</si>
  <si>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</si>
  <si>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</si>
  <si>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</si>
  <si>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</si>
  <si>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</si>
  <si>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</si>
  <si>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</si>
  <si>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</si>
  <si>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</si>
  <si>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Data</t>
  </si>
  <si>
    <t>Data01</t>
  </si>
  <si>
    <t>é.data</t>
  </si>
  <si>
    <t>data</t>
  </si>
  <si>
    <t>é.drone</t>
  </si>
  <si>
    <t>Voo.Plano</t>
  </si>
  <si>
    <t>Plano de voo autônomo.</t>
  </si>
  <si>
    <t>"Mavic 2 Pro"</t>
  </si>
  <si>
    <t>Data02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</si>
  <si>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</si>
  <si>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</si>
  <si>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</si>
  <si>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</si>
  <si>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</si>
  <si>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</si>
  <si>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</si>
  <si>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</si>
  <si>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</si>
  <si>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</si>
  <si>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</si>
  <si>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realizado sobre o CT da UFRJ"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</si>
  <si>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</si>
  <si>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</si>
  <si>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</si>
  <si>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</si>
  <si>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</si>
  <si>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</si>
  <si>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</si>
  <si>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</si>
  <si>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</si>
  <si>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</si>
  <si>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</si>
  <si>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</si>
  <si>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</si>
  <si>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</si>
  <si>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</si>
  <si>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</si>
  <si>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</si>
  <si>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</si>
  <si>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</si>
  <si>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</si>
  <si>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</si>
  <si>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Manutençao_01</t>
  </si>
  <si>
    <t>"Contêiner dos dados da Manutenção_01"</t>
  </si>
  <si>
    <t>"09/08/2024"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</si>
  <si>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</si>
  <si>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</si>
  <si>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</si>
  <si>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</si>
  <si>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</si>
  <si>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</si>
  <si>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</si>
  <si>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</si>
  <si>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</si>
  <si>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</si>
  <si>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conforme al estándar NBR 19650-1. Definición del proyecto.</t>
  </si>
  <si>
    <t>Define un contenedor de información conforme al estándar NBR 19650-1. Requisitos espaciales para el proyecto.</t>
  </si>
  <si>
    <t>Define un contenedor de información conforme a la norma NBR 19650-1. Requisitos de mobiliario para el proyecto.</t>
  </si>
  <si>
    <t>Define un contenedor de información conforme al estándar NBR 19650-1. Requisitos de Equipo para el Proyecto.</t>
  </si>
  <si>
    <t>Define un contenedor de información conforme a la norma NBR 19650-1. Requisitos de los sistemas de construcción para el proyecto.</t>
  </si>
  <si>
    <t>Manutençao_02</t>
  </si>
  <si>
    <t>"30/03/2026"</t>
  </si>
  <si>
    <t>"É data de um voo de vistoria"</t>
  </si>
  <si>
    <t>arquivo.kml</t>
  </si>
  <si>
    <t>"Contêiner dos dados da Manutenção do Predio 01"</t>
  </si>
  <si>
    <t>Ope_Predio_01</t>
  </si>
  <si>
    <t>"http://ufrj//ct//vistorias//predio//"</t>
  </si>
  <si>
    <t>"banco01"</t>
  </si>
  <si>
    <t>"banco02"</t>
  </si>
  <si>
    <t>Plano_A</t>
  </si>
  <si>
    <t>Plano_B</t>
  </si>
  <si>
    <t>é.realizado.com</t>
  </si>
  <si>
    <t>é.plano.de.voo</t>
  </si>
  <si>
    <t>"É um plano de voo de drone autônomo sobre o CT da UFRJ"</t>
  </si>
  <si>
    <t>"É aparelho de drone modelo Mavic 2"</t>
  </si>
  <si>
    <t>Val</t>
  </si>
  <si>
    <t>categoria.revit</t>
  </si>
  <si>
    <t>classe.ifc</t>
  </si>
  <si>
    <t>código.abnt</t>
  </si>
  <si>
    <t>"[ 2Q.18.18 ]"</t>
  </si>
  <si>
    <t>"[ - ]"</t>
  </si>
  <si>
    <t>"[ OST_Entourage ]"</t>
  </si>
  <si>
    <t>"[ IfcVehicle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</si>
</sst>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11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horizontal="left" vertical="center" wrapText="1"/>
    </xf>
    <xf numFmtId="0" fontId="8" fillId="16" borderId="3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16" borderId="2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2" fontId="7" fillId="8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6"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2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B1" sqref="B1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4609375" style="4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6" t="s">
        <v>128</v>
      </c>
    </row>
    <row r="2" spans="1:3" ht="9" customHeight="1" x14ac:dyDescent="0.2">
      <c r="A2" s="2" t="s">
        <v>17</v>
      </c>
      <c r="B2" s="2" t="s">
        <v>79</v>
      </c>
      <c r="C2" s="47" t="s">
        <v>129</v>
      </c>
    </row>
    <row r="3" spans="1:3" ht="9" customHeight="1" x14ac:dyDescent="0.2">
      <c r="A3" s="2" t="s">
        <v>18</v>
      </c>
      <c r="B3" s="3" t="s">
        <v>104</v>
      </c>
      <c r="C3" s="47" t="s">
        <v>129</v>
      </c>
    </row>
    <row r="4" spans="1:3" ht="9" customHeight="1" x14ac:dyDescent="0.2">
      <c r="A4" s="2" t="s">
        <v>7</v>
      </c>
      <c r="B4" s="2" t="s">
        <v>19</v>
      </c>
      <c r="C4" s="47" t="s">
        <v>129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7" t="s">
        <v>129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7" t="s">
        <v>129</v>
      </c>
    </row>
    <row r="7" spans="1:3" ht="9" customHeight="1" x14ac:dyDescent="0.2">
      <c r="A7" s="2" t="s">
        <v>4</v>
      </c>
      <c r="B7" s="2" t="s">
        <v>31</v>
      </c>
      <c r="C7" s="47" t="s">
        <v>129</v>
      </c>
    </row>
    <row r="8" spans="1:3" s="45" customFormat="1" ht="8.25" customHeight="1" x14ac:dyDescent="0.4">
      <c r="A8" s="2" t="s">
        <v>5</v>
      </c>
      <c r="B8" s="2" t="s">
        <v>126</v>
      </c>
      <c r="C8" s="47" t="s">
        <v>129</v>
      </c>
    </row>
    <row r="9" spans="1:3" ht="9" customHeight="1" x14ac:dyDescent="0.2">
      <c r="A9" s="2" t="s">
        <v>20</v>
      </c>
      <c r="B9" s="2" t="s">
        <v>21</v>
      </c>
      <c r="C9" s="47" t="s">
        <v>129</v>
      </c>
    </row>
    <row r="10" spans="1:3" ht="9" customHeight="1" x14ac:dyDescent="0.2">
      <c r="A10" s="2" t="s">
        <v>22</v>
      </c>
      <c r="B10" s="2" t="s">
        <v>12</v>
      </c>
      <c r="C10" s="47" t="s">
        <v>129</v>
      </c>
    </row>
    <row r="11" spans="1:3" ht="9" customHeight="1" x14ac:dyDescent="0.2">
      <c r="A11" s="2" t="s">
        <v>0</v>
      </c>
      <c r="B11" s="2" t="s">
        <v>12</v>
      </c>
      <c r="C11" s="47" t="s">
        <v>129</v>
      </c>
    </row>
    <row r="12" spans="1:3" ht="9" customHeight="1" x14ac:dyDescent="0.2">
      <c r="A12" s="2" t="s">
        <v>1</v>
      </c>
      <c r="B12" s="2" t="s">
        <v>12</v>
      </c>
      <c r="C12" s="47" t="s">
        <v>129</v>
      </c>
    </row>
    <row r="13" spans="1:3" ht="9" customHeight="1" x14ac:dyDescent="0.2">
      <c r="A13" s="2" t="s">
        <v>23</v>
      </c>
      <c r="B13" s="2" t="s">
        <v>12</v>
      </c>
      <c r="C13" s="47" t="s">
        <v>129</v>
      </c>
    </row>
    <row r="14" spans="1:3" ht="9" customHeight="1" x14ac:dyDescent="0.2">
      <c r="A14" s="2" t="s">
        <v>24</v>
      </c>
      <c r="B14" s="2" t="s">
        <v>12</v>
      </c>
      <c r="C14" s="47" t="s">
        <v>129</v>
      </c>
    </row>
    <row r="15" spans="1:3" ht="9" customHeight="1" x14ac:dyDescent="0.2">
      <c r="A15" s="2" t="s">
        <v>25</v>
      </c>
      <c r="B15" s="2" t="s">
        <v>12</v>
      </c>
      <c r="C15" s="47" t="s">
        <v>129</v>
      </c>
    </row>
    <row r="16" spans="1:3" ht="9" customHeight="1" x14ac:dyDescent="0.2">
      <c r="A16" s="2" t="s">
        <v>26</v>
      </c>
      <c r="B16" s="2" t="s">
        <v>12</v>
      </c>
      <c r="C16" s="47" t="s">
        <v>129</v>
      </c>
    </row>
    <row r="17" spans="1:3" ht="9" customHeight="1" x14ac:dyDescent="0.2">
      <c r="A17" s="2" t="s">
        <v>10</v>
      </c>
      <c r="B17" s="4" t="s">
        <v>105</v>
      </c>
      <c r="C17" s="47" t="s">
        <v>129</v>
      </c>
    </row>
    <row r="18" spans="1:3" ht="9" customHeight="1" x14ac:dyDescent="0.2">
      <c r="A18" s="2" t="s">
        <v>27</v>
      </c>
      <c r="B18" s="5">
        <f ca="1">NOW()</f>
        <v>46214.401976620371</v>
      </c>
      <c r="C18" s="47" t="s">
        <v>129</v>
      </c>
    </row>
    <row r="19" spans="1:3" ht="9" customHeight="1" x14ac:dyDescent="0.2">
      <c r="A19" s="2" t="s">
        <v>28</v>
      </c>
      <c r="B19" s="2" t="s">
        <v>12</v>
      </c>
      <c r="C19" s="47" t="s">
        <v>129</v>
      </c>
    </row>
    <row r="20" spans="1:3" ht="9" customHeight="1" x14ac:dyDescent="0.2">
      <c r="A20" s="2" t="s">
        <v>29</v>
      </c>
      <c r="B20" s="2" t="s">
        <v>12</v>
      </c>
      <c r="C20" s="47" t="s">
        <v>129</v>
      </c>
    </row>
    <row r="21" spans="1:3" ht="9" customHeight="1" x14ac:dyDescent="0.2">
      <c r="A21" s="2" t="s">
        <v>11</v>
      </c>
      <c r="B21" s="2" t="s">
        <v>12</v>
      </c>
      <c r="C21" s="47" t="s">
        <v>129</v>
      </c>
    </row>
    <row r="22" spans="1:3" ht="10.5" customHeight="1" x14ac:dyDescent="0.2">
      <c r="A22" s="4" t="s">
        <v>32</v>
      </c>
      <c r="B22" s="6" t="s">
        <v>106</v>
      </c>
      <c r="C22" s="47" t="s">
        <v>129</v>
      </c>
    </row>
    <row r="23" spans="1:3" ht="10.5" customHeight="1" x14ac:dyDescent="0.2">
      <c r="A23" s="4" t="s">
        <v>33</v>
      </c>
      <c r="B23" s="6" t="str">
        <f>_xlfn.TRANSLATE(B22,"pt","es")</f>
        <v>Formalizar los datos de los vuelos de drones.</v>
      </c>
      <c r="C23" s="47" t="s">
        <v>130</v>
      </c>
    </row>
    <row r="24" spans="1:3" s="45" customFormat="1" ht="9.75" customHeight="1" x14ac:dyDescent="0.4">
      <c r="A24" s="4" t="s">
        <v>127</v>
      </c>
      <c r="B24" s="6" t="str">
        <f>_xlfn.TRANSLATE(B22,"pt","en")</f>
        <v>Formalize data for drone flights.</v>
      </c>
      <c r="C24" s="47" t="s">
        <v>131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3"/>
  <sheetViews>
    <sheetView zoomScale="265" zoomScaleNormal="265" workbookViewId="0">
      <pane ySplit="1" topLeftCell="A2" activePane="bottomLeft" state="frozen"/>
      <selection pane="bottomLeft" activeCell="A13" sqref="A13:XFD13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9.304687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47.3828125" bestFit="1" customWidth="1"/>
    <col min="17" max="17" width="51.921875" bestFit="1" customWidth="1"/>
    <col min="18" max="18" width="3.69140625" bestFit="1" customWidth="1"/>
    <col min="19" max="19" width="4.3828125" bestFit="1" customWidth="1"/>
    <col min="20" max="20" width="5.84375" customWidth="1"/>
    <col min="21" max="21" width="6.07421875" customWidth="1"/>
    <col min="22" max="22" width="8.69140625" customWidth="1"/>
    <col min="23" max="23" width="6.3046875" style="61" customWidth="1"/>
    <col min="24" max="24" width="6.15234375" bestFit="1" customWidth="1"/>
    <col min="25" max="25" width="4.53515625" bestFit="1" customWidth="1"/>
    <col min="26" max="26" width="3" style="58" bestFit="1" customWidth="1"/>
    <col min="27" max="27" width="39.61328125" bestFit="1" customWidth="1"/>
  </cols>
  <sheetData>
    <row r="1" spans="1:27" ht="40.200000000000003" customHeight="1" x14ac:dyDescent="0.4">
      <c r="A1" s="25" t="s">
        <v>34</v>
      </c>
      <c r="B1" s="29" t="s">
        <v>59</v>
      </c>
      <c r="C1" s="29" t="s">
        <v>60</v>
      </c>
      <c r="D1" s="29" t="s">
        <v>61</v>
      </c>
      <c r="E1" s="29" t="s">
        <v>62</v>
      </c>
      <c r="F1" s="29" t="s">
        <v>63</v>
      </c>
      <c r="G1" s="28" t="s">
        <v>64</v>
      </c>
      <c r="H1" s="28" t="s">
        <v>65</v>
      </c>
      <c r="I1" s="28" t="s">
        <v>66</v>
      </c>
      <c r="J1" s="28" t="s">
        <v>67</v>
      </c>
      <c r="K1" s="28" t="s">
        <v>68</v>
      </c>
      <c r="L1" s="26" t="s">
        <v>69</v>
      </c>
      <c r="M1" s="26" t="s">
        <v>70</v>
      </c>
      <c r="N1" s="26" t="s">
        <v>71</v>
      </c>
      <c r="O1" s="26" t="s">
        <v>72</v>
      </c>
      <c r="P1" s="26" t="s">
        <v>73</v>
      </c>
      <c r="Q1" s="26" t="s">
        <v>74</v>
      </c>
      <c r="R1" s="27" t="s">
        <v>75</v>
      </c>
      <c r="S1" s="26" t="s">
        <v>35</v>
      </c>
      <c r="T1" s="26" t="s">
        <v>76</v>
      </c>
      <c r="U1" s="26" t="s">
        <v>37</v>
      </c>
      <c r="V1" s="27" t="s">
        <v>36</v>
      </c>
      <c r="W1" s="59" t="s">
        <v>58</v>
      </c>
      <c r="X1" s="26" t="s">
        <v>122</v>
      </c>
      <c r="Y1" s="26" t="s">
        <v>123</v>
      </c>
      <c r="Z1" s="57" t="s">
        <v>124</v>
      </c>
      <c r="AA1" s="43" t="s">
        <v>125</v>
      </c>
    </row>
    <row r="2" spans="1:27" ht="6.65" customHeight="1" x14ac:dyDescent="0.4">
      <c r="A2" s="49">
        <v>2</v>
      </c>
      <c r="B2" s="50" t="s">
        <v>140</v>
      </c>
      <c r="C2" s="51" t="s">
        <v>132</v>
      </c>
      <c r="D2" s="50" t="s">
        <v>133</v>
      </c>
      <c r="E2" s="50" t="s">
        <v>134</v>
      </c>
      <c r="F2" s="51" t="s">
        <v>141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53" t="str">
        <f t="shared" ref="L2:M6" si="0">CONCATENATE("", C2)</f>
        <v>Contêiner</v>
      </c>
      <c r="M2" s="53" t="str">
        <f t="shared" si="0"/>
        <v>Informação</v>
      </c>
      <c r="N2" s="53" t="str">
        <f t="shared" ref="N2:O6" si="1">(SUBSTITUTE(SUBSTITUTE(CONCATENATE("",E2),"."," ")," De "," de "))</f>
        <v>Definida</v>
      </c>
      <c r="O2" s="53" t="str">
        <f t="shared" si="1"/>
        <v>No Projeto</v>
      </c>
      <c r="P2" s="44" t="s">
        <v>135</v>
      </c>
      <c r="Q2" s="44" t="s">
        <v>150</v>
      </c>
      <c r="R2" s="54" t="s">
        <v>9</v>
      </c>
      <c r="S2" s="55" t="str">
        <f t="shared" ref="S2:U6" si="2">SUBSTITUTE(C2, ".", " ")</f>
        <v>Contêiner</v>
      </c>
      <c r="T2" s="55" t="str">
        <f t="shared" si="2"/>
        <v>Informação</v>
      </c>
      <c r="U2" s="55" t="str">
        <f t="shared" si="2"/>
        <v>Definida</v>
      </c>
      <c r="V2" s="56" t="s">
        <v>120</v>
      </c>
      <c r="W2" s="60" t="str">
        <f t="shared" ref="W2:W6" si="3">CONCATENATE("Key-UAS-",A2)</f>
        <v>Key-UAS-2</v>
      </c>
      <c r="X2" s="44" t="s">
        <v>9</v>
      </c>
      <c r="Y2" s="44" t="s">
        <v>9</v>
      </c>
      <c r="Z2" s="54" t="s">
        <v>9</v>
      </c>
      <c r="AA2" s="44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49">
        <v>3</v>
      </c>
      <c r="B3" s="50" t="s">
        <v>140</v>
      </c>
      <c r="C3" s="51" t="s">
        <v>132</v>
      </c>
      <c r="D3" s="50" t="s">
        <v>133</v>
      </c>
      <c r="E3" s="50" t="s">
        <v>136</v>
      </c>
      <c r="F3" s="51" t="s">
        <v>142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53" t="str">
        <f t="shared" si="0"/>
        <v>Contêiner</v>
      </c>
      <c r="M3" s="53" t="str">
        <f t="shared" si="0"/>
        <v>Informação</v>
      </c>
      <c r="N3" s="53" t="str">
        <f t="shared" si="1"/>
        <v>Requerida</v>
      </c>
      <c r="O3" s="53" t="str">
        <f t="shared" si="1"/>
        <v>Requisito Espacial</v>
      </c>
      <c r="P3" s="44" t="s">
        <v>143</v>
      </c>
      <c r="Q3" s="44" t="s">
        <v>151</v>
      </c>
      <c r="R3" s="54" t="s">
        <v>9</v>
      </c>
      <c r="S3" s="55" t="str">
        <f t="shared" si="2"/>
        <v>Contêiner</v>
      </c>
      <c r="T3" s="55" t="str">
        <f t="shared" si="2"/>
        <v>Informação</v>
      </c>
      <c r="U3" s="55" t="str">
        <f t="shared" si="2"/>
        <v>Requerida</v>
      </c>
      <c r="V3" s="56" t="s">
        <v>120</v>
      </c>
      <c r="W3" s="60" t="str">
        <f t="shared" si="3"/>
        <v>Key-UAS-3</v>
      </c>
      <c r="X3" s="44" t="s">
        <v>9</v>
      </c>
      <c r="Y3" s="44" t="s">
        <v>9</v>
      </c>
      <c r="Z3" s="54" t="s">
        <v>9</v>
      </c>
      <c r="AA3" s="44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49">
        <v>4</v>
      </c>
      <c r="B4" s="50" t="s">
        <v>140</v>
      </c>
      <c r="C4" s="51" t="s">
        <v>132</v>
      </c>
      <c r="D4" s="50" t="s">
        <v>133</v>
      </c>
      <c r="E4" s="50" t="s">
        <v>136</v>
      </c>
      <c r="F4" s="51" t="s">
        <v>144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53" t="str">
        <f t="shared" si="0"/>
        <v>Contêiner</v>
      </c>
      <c r="M4" s="53" t="str">
        <f t="shared" si="0"/>
        <v>Informação</v>
      </c>
      <c r="N4" s="53" t="str">
        <f t="shared" si="1"/>
        <v>Requerida</v>
      </c>
      <c r="O4" s="53" t="str">
        <f t="shared" si="1"/>
        <v>Requisito Mobiliário</v>
      </c>
      <c r="P4" s="44" t="s">
        <v>145</v>
      </c>
      <c r="Q4" s="44" t="s">
        <v>152</v>
      </c>
      <c r="R4" s="54" t="s">
        <v>9</v>
      </c>
      <c r="S4" s="55" t="str">
        <f t="shared" si="2"/>
        <v>Contêiner</v>
      </c>
      <c r="T4" s="55" t="str">
        <f t="shared" si="2"/>
        <v>Informação</v>
      </c>
      <c r="U4" s="55" t="str">
        <f t="shared" si="2"/>
        <v>Requerida</v>
      </c>
      <c r="V4" s="56" t="s">
        <v>120</v>
      </c>
      <c r="W4" s="60" t="str">
        <f t="shared" si="3"/>
        <v>Key-UAS-4</v>
      </c>
      <c r="X4" s="44" t="s">
        <v>9</v>
      </c>
      <c r="Y4" s="44" t="s">
        <v>9</v>
      </c>
      <c r="Z4" s="54" t="s">
        <v>9</v>
      </c>
      <c r="AA4" s="44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49">
        <v>5</v>
      </c>
      <c r="B5" s="50" t="s">
        <v>140</v>
      </c>
      <c r="C5" s="51" t="s">
        <v>132</v>
      </c>
      <c r="D5" s="50" t="s">
        <v>133</v>
      </c>
      <c r="E5" s="50" t="s">
        <v>136</v>
      </c>
      <c r="F5" s="51" t="s">
        <v>146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53" t="str">
        <f t="shared" si="0"/>
        <v>Contêiner</v>
      </c>
      <c r="M5" s="53" t="str">
        <f t="shared" si="0"/>
        <v>Informação</v>
      </c>
      <c r="N5" s="53" t="str">
        <f t="shared" si="1"/>
        <v>Requerida</v>
      </c>
      <c r="O5" s="53" t="str">
        <f t="shared" si="1"/>
        <v>Requisito Equipamento</v>
      </c>
      <c r="P5" s="44" t="s">
        <v>147</v>
      </c>
      <c r="Q5" s="44" t="s">
        <v>153</v>
      </c>
      <c r="R5" s="54" t="s">
        <v>9</v>
      </c>
      <c r="S5" s="55" t="str">
        <f t="shared" si="2"/>
        <v>Contêiner</v>
      </c>
      <c r="T5" s="55" t="str">
        <f t="shared" si="2"/>
        <v>Informação</v>
      </c>
      <c r="U5" s="55" t="str">
        <f t="shared" si="2"/>
        <v>Requerida</v>
      </c>
      <c r="V5" s="56" t="s">
        <v>120</v>
      </c>
      <c r="W5" s="60" t="str">
        <f t="shared" si="3"/>
        <v>Key-UAS-5</v>
      </c>
      <c r="X5" s="44" t="s">
        <v>9</v>
      </c>
      <c r="Y5" s="44" t="s">
        <v>9</v>
      </c>
      <c r="Z5" s="54" t="s">
        <v>9</v>
      </c>
      <c r="AA5" s="44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49">
        <v>6</v>
      </c>
      <c r="B6" s="50" t="s">
        <v>140</v>
      </c>
      <c r="C6" s="51" t="s">
        <v>132</v>
      </c>
      <c r="D6" s="50" t="s">
        <v>133</v>
      </c>
      <c r="E6" s="50" t="s">
        <v>136</v>
      </c>
      <c r="F6" s="51" t="s">
        <v>148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53" t="str">
        <f t="shared" si="0"/>
        <v>Contêiner</v>
      </c>
      <c r="M6" s="53" t="str">
        <f t="shared" si="0"/>
        <v>Informação</v>
      </c>
      <c r="N6" s="53" t="str">
        <f t="shared" si="1"/>
        <v>Requerida</v>
      </c>
      <c r="O6" s="53" t="str">
        <f t="shared" si="1"/>
        <v>Requisito Sistemas</v>
      </c>
      <c r="P6" s="44" t="s">
        <v>149</v>
      </c>
      <c r="Q6" s="44" t="s">
        <v>154</v>
      </c>
      <c r="R6" s="54" t="s">
        <v>9</v>
      </c>
      <c r="S6" s="55" t="str">
        <f t="shared" si="2"/>
        <v>Contêiner</v>
      </c>
      <c r="T6" s="55" t="str">
        <f t="shared" si="2"/>
        <v>Informação</v>
      </c>
      <c r="U6" s="55" t="str">
        <f t="shared" si="2"/>
        <v>Requerida</v>
      </c>
      <c r="V6" s="56" t="s">
        <v>120</v>
      </c>
      <c r="W6" s="60" t="str">
        <f t="shared" si="3"/>
        <v>Key-UAS-6</v>
      </c>
      <c r="X6" s="44" t="s">
        <v>9</v>
      </c>
      <c r="Y6" s="44" t="s">
        <v>9</v>
      </c>
      <c r="Z6" s="54" t="s">
        <v>9</v>
      </c>
      <c r="AA6" s="44" t="str">
        <f t="shared" si="4"/>
        <v>Defines an information container in accordance with the NBR 19650-1 standard. Building Systems Requirements for the Project.</v>
      </c>
    </row>
    <row r="7" spans="1:27" ht="7.4" customHeight="1" x14ac:dyDescent="0.4">
      <c r="A7" s="49">
        <v>7</v>
      </c>
      <c r="B7" s="18" t="s">
        <v>77</v>
      </c>
      <c r="C7" s="18" t="s">
        <v>82</v>
      </c>
      <c r="D7" s="18" t="s">
        <v>81</v>
      </c>
      <c r="E7" s="18" t="s">
        <v>80</v>
      </c>
      <c r="F7" s="18" t="s">
        <v>87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56" t="str">
        <f t="shared" ref="L7:L8" si="5">_xlfn.CONCAT(SUBSTITUTE(C7,"1.",""))</f>
        <v>Operação</v>
      </c>
      <c r="M7" s="56" t="str">
        <f t="shared" ref="M7:O12" si="6">_xlfn.CONCAT(SUBSTITUTE(D7,"."," "))</f>
        <v>Manutenção</v>
      </c>
      <c r="N7" s="56" t="str">
        <f t="shared" si="6"/>
        <v>Vistoria</v>
      </c>
      <c r="O7" s="56" t="str">
        <f t="shared" si="6"/>
        <v>Drone</v>
      </c>
      <c r="P7" s="56" t="s">
        <v>88</v>
      </c>
      <c r="Q7" s="44" t="str">
        <f t="shared" ref="Q7:Q13" si="7">_xlfn.TRANSLATE(P7,"pt","es")</f>
        <v>Es una aeronave tipo dron o UAS.</v>
      </c>
      <c r="R7" s="54" t="s">
        <v>9</v>
      </c>
      <c r="S7" s="55" t="str">
        <f t="shared" ref="S7:S13" si="8">SUBSTITUTE(C7, ".", " ")</f>
        <v>Operação</v>
      </c>
      <c r="T7" s="55" t="str">
        <f t="shared" ref="T7:T13" si="9">SUBSTITUTE(D7, ".", " ")</f>
        <v>Manutenção</v>
      </c>
      <c r="U7" s="55" t="str">
        <f t="shared" ref="U7:U13" si="10">SUBSTITUTE(E7, ".", " ")</f>
        <v>Vistoria</v>
      </c>
      <c r="V7" s="56" t="s">
        <v>120</v>
      </c>
      <c r="W7" s="60" t="str">
        <f t="shared" ref="W7:W13" si="11">CONCATENATE("Key-UAS-",A7)</f>
        <v>Key-UAS-7</v>
      </c>
      <c r="X7" s="44" t="s">
        <v>9</v>
      </c>
      <c r="Y7" s="44" t="s">
        <v>9</v>
      </c>
      <c r="Z7" s="54" t="s">
        <v>9</v>
      </c>
      <c r="AA7" s="44" t="str">
        <f>_xlfn.TRANSLATE(P7,"pt","en")</f>
        <v>It is a drone-type aircraft or UAS.</v>
      </c>
    </row>
    <row r="8" spans="1:27" ht="7.4" customHeight="1" x14ac:dyDescent="0.4">
      <c r="A8" s="49">
        <v>8</v>
      </c>
      <c r="B8" s="18" t="s">
        <v>77</v>
      </c>
      <c r="C8" s="18" t="s">
        <v>82</v>
      </c>
      <c r="D8" s="18" t="s">
        <v>81</v>
      </c>
      <c r="E8" s="18" t="s">
        <v>80</v>
      </c>
      <c r="F8" s="18" t="s">
        <v>100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56" t="str">
        <f t="shared" si="5"/>
        <v>Operação</v>
      </c>
      <c r="M8" s="56" t="str">
        <f t="shared" si="6"/>
        <v>Manutenção</v>
      </c>
      <c r="N8" s="56" t="str">
        <f t="shared" si="6"/>
        <v>Vistoria</v>
      </c>
      <c r="O8" s="56" t="str">
        <f t="shared" si="6"/>
        <v>Voo Plano</v>
      </c>
      <c r="P8" s="56" t="s">
        <v>101</v>
      </c>
      <c r="Q8" s="44" t="str">
        <f t="shared" si="7"/>
        <v>Plan de vuelo autónomo.</v>
      </c>
      <c r="R8" s="54" t="s">
        <v>9</v>
      </c>
      <c r="S8" s="55" t="str">
        <f t="shared" si="8"/>
        <v>Operação</v>
      </c>
      <c r="T8" s="55" t="str">
        <f t="shared" si="9"/>
        <v>Manutenção</v>
      </c>
      <c r="U8" s="55" t="str">
        <f t="shared" si="10"/>
        <v>Vistoria</v>
      </c>
      <c r="V8" s="56" t="s">
        <v>120</v>
      </c>
      <c r="W8" s="60" t="str">
        <f t="shared" si="11"/>
        <v>Key-UAS-8</v>
      </c>
      <c r="X8" s="44" t="s">
        <v>9</v>
      </c>
      <c r="Y8" s="44" t="s">
        <v>9</v>
      </c>
      <c r="Z8" s="54" t="s">
        <v>9</v>
      </c>
      <c r="AA8" s="44" t="str">
        <f t="shared" ref="AA8:AA13" si="12">_xlfn.TRANSLATE(P8,"pt","en")</f>
        <v>Autonomous flight plan.</v>
      </c>
    </row>
    <row r="9" spans="1:27" ht="7.4" customHeight="1" x14ac:dyDescent="0.4">
      <c r="A9" s="49">
        <v>9</v>
      </c>
      <c r="B9" s="18" t="s">
        <v>77</v>
      </c>
      <c r="C9" s="18" t="s">
        <v>82</v>
      </c>
      <c r="D9" s="18" t="s">
        <v>81</v>
      </c>
      <c r="E9" s="18" t="s">
        <v>80</v>
      </c>
      <c r="F9" s="18" t="s">
        <v>83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56" t="str">
        <f t="shared" ref="L9" si="13">_xlfn.CONCAT(SUBSTITUTE(C9,"1.",""))</f>
        <v>Operação</v>
      </c>
      <c r="M9" s="56" t="str">
        <f t="shared" si="6"/>
        <v>Manutenção</v>
      </c>
      <c r="N9" s="56" t="str">
        <f t="shared" si="6"/>
        <v>Vistoria</v>
      </c>
      <c r="O9" s="56" t="str">
        <f t="shared" si="6"/>
        <v>Voo Autônomo</v>
      </c>
      <c r="P9" s="56" t="s">
        <v>90</v>
      </c>
      <c r="Q9" s="44" t="str">
        <f t="shared" si="7"/>
        <v>Vuelo autónomo realizado con un dron.</v>
      </c>
      <c r="R9" s="54" t="s">
        <v>9</v>
      </c>
      <c r="S9" s="55" t="str">
        <f t="shared" si="8"/>
        <v>Operação</v>
      </c>
      <c r="T9" s="55" t="str">
        <f t="shared" si="9"/>
        <v>Manutenção</v>
      </c>
      <c r="U9" s="55" t="str">
        <f t="shared" si="10"/>
        <v>Vistoria</v>
      </c>
      <c r="V9" s="56" t="s">
        <v>120</v>
      </c>
      <c r="W9" s="60" t="str">
        <f t="shared" si="11"/>
        <v>Key-UAS-9</v>
      </c>
      <c r="X9" s="44" t="s">
        <v>9</v>
      </c>
      <c r="Y9" s="44" t="s">
        <v>9</v>
      </c>
      <c r="Z9" s="54" t="s">
        <v>9</v>
      </c>
      <c r="AA9" s="44" t="str">
        <f t="shared" si="12"/>
        <v>Autonomous flight carried out with a drone.</v>
      </c>
    </row>
    <row r="10" spans="1:27" ht="7.4" customHeight="1" x14ac:dyDescent="0.4">
      <c r="A10" s="49">
        <v>10</v>
      </c>
      <c r="B10" s="18" t="s">
        <v>77</v>
      </c>
      <c r="C10" s="18" t="s">
        <v>82</v>
      </c>
      <c r="D10" s="18" t="s">
        <v>81</v>
      </c>
      <c r="E10" s="18" t="s">
        <v>80</v>
      </c>
      <c r="F10" s="18" t="s">
        <v>84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56" t="str">
        <f t="shared" ref="L10:L11" si="14">_xlfn.CONCAT(SUBSTITUTE(C10,"1.",""))</f>
        <v>Operação</v>
      </c>
      <c r="M10" s="56" t="str">
        <f t="shared" si="6"/>
        <v>Manutenção</v>
      </c>
      <c r="N10" s="56" t="str">
        <f t="shared" si="6"/>
        <v>Vistoria</v>
      </c>
      <c r="O10" s="56" t="str">
        <f t="shared" si="6"/>
        <v>Voo Manual</v>
      </c>
      <c r="P10" s="56" t="s">
        <v>89</v>
      </c>
      <c r="Q10" s="44" t="str">
        <f t="shared" si="7"/>
        <v>El vuelo manual se realiza con dron.</v>
      </c>
      <c r="R10" s="54" t="s">
        <v>9</v>
      </c>
      <c r="S10" s="55" t="str">
        <f t="shared" si="8"/>
        <v>Operação</v>
      </c>
      <c r="T10" s="55" t="str">
        <f t="shared" si="9"/>
        <v>Manutenção</v>
      </c>
      <c r="U10" s="55" t="str">
        <f t="shared" si="10"/>
        <v>Vistoria</v>
      </c>
      <c r="V10" s="56" t="s">
        <v>120</v>
      </c>
      <c r="W10" s="60" t="str">
        <f t="shared" si="11"/>
        <v>Key-UAS-10</v>
      </c>
      <c r="X10" s="44" t="s">
        <v>9</v>
      </c>
      <c r="Y10" s="44" t="s">
        <v>9</v>
      </c>
      <c r="Z10" s="54" t="s">
        <v>9</v>
      </c>
      <c r="AA10" s="44" t="str">
        <f t="shared" si="12"/>
        <v>Manual flight carried out with drone.</v>
      </c>
    </row>
    <row r="11" spans="1:27" ht="7.4" customHeight="1" x14ac:dyDescent="0.4">
      <c r="A11" s="49">
        <v>11</v>
      </c>
      <c r="B11" s="18" t="s">
        <v>77</v>
      </c>
      <c r="C11" s="18" t="s">
        <v>82</v>
      </c>
      <c r="D11" s="18" t="s">
        <v>81</v>
      </c>
      <c r="E11" s="18" t="s">
        <v>80</v>
      </c>
      <c r="F11" s="18" t="s">
        <v>85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56" t="str">
        <f t="shared" si="14"/>
        <v>Operação</v>
      </c>
      <c r="M11" s="56" t="str">
        <f t="shared" si="6"/>
        <v>Manutenção</v>
      </c>
      <c r="N11" s="56" t="str">
        <f t="shared" si="6"/>
        <v>Vistoria</v>
      </c>
      <c r="O11" s="56" t="str">
        <f t="shared" si="6"/>
        <v>De Campo</v>
      </c>
      <c r="P11" s="56" t="s">
        <v>86</v>
      </c>
      <c r="Q11" s="44" t="str">
        <f t="shared" si="7"/>
        <v>Inspección realizada en el terreno.</v>
      </c>
      <c r="R11" s="54" t="s">
        <v>9</v>
      </c>
      <c r="S11" s="55" t="str">
        <f t="shared" si="8"/>
        <v>Operação</v>
      </c>
      <c r="T11" s="55" t="str">
        <f t="shared" si="9"/>
        <v>Manutenção</v>
      </c>
      <c r="U11" s="55" t="str">
        <f t="shared" si="10"/>
        <v>Vistoria</v>
      </c>
      <c r="V11" s="56" t="s">
        <v>120</v>
      </c>
      <c r="W11" s="60" t="str">
        <f t="shared" si="11"/>
        <v>Key-UAS-11</v>
      </c>
      <c r="X11" s="44" t="s">
        <v>9</v>
      </c>
      <c r="Y11" s="44" t="s">
        <v>9</v>
      </c>
      <c r="Z11" s="54" t="s">
        <v>9</v>
      </c>
      <c r="AA11" s="44" t="str">
        <f t="shared" si="12"/>
        <v>Inspection carried out in the field.</v>
      </c>
    </row>
    <row r="12" spans="1:27" ht="7.4" customHeight="1" x14ac:dyDescent="0.4">
      <c r="A12" s="49">
        <v>12</v>
      </c>
      <c r="B12" s="18" t="s">
        <v>77</v>
      </c>
      <c r="C12" s="18" t="s">
        <v>82</v>
      </c>
      <c r="D12" s="18" t="s">
        <v>81</v>
      </c>
      <c r="E12" s="18" t="s">
        <v>80</v>
      </c>
      <c r="F12" s="18" t="s">
        <v>109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56" t="str">
        <f t="shared" ref="L12" si="15">_xlfn.CONCAT(SUBSTITUTE(C12,"1.",""))</f>
        <v>Operação</v>
      </c>
      <c r="M12" s="56" t="str">
        <f t="shared" si="6"/>
        <v>Manutenção</v>
      </c>
      <c r="N12" s="56" t="str">
        <f t="shared" si="6"/>
        <v>Vistoria</v>
      </c>
      <c r="O12" s="56" t="str">
        <f t="shared" si="6"/>
        <v>Banco Imagens</v>
      </c>
      <c r="P12" s="56" t="s">
        <v>110</v>
      </c>
      <c r="Q12" s="44" t="str">
        <f t="shared" si="7"/>
        <v>Imágenes y vídeos de archivo de los vuelos.</v>
      </c>
      <c r="R12" s="54" t="s">
        <v>9</v>
      </c>
      <c r="S12" s="55" t="str">
        <f t="shared" si="8"/>
        <v>Operação</v>
      </c>
      <c r="T12" s="55" t="str">
        <f t="shared" si="9"/>
        <v>Manutenção</v>
      </c>
      <c r="U12" s="55" t="str">
        <f t="shared" si="10"/>
        <v>Vistoria</v>
      </c>
      <c r="V12" s="56" t="s">
        <v>120</v>
      </c>
      <c r="W12" s="60" t="str">
        <f t="shared" si="11"/>
        <v>Key-UAS-12</v>
      </c>
      <c r="X12" s="44" t="s">
        <v>9</v>
      </c>
      <c r="Y12" s="44" t="s">
        <v>9</v>
      </c>
      <c r="Z12" s="54" t="s">
        <v>9</v>
      </c>
      <c r="AA12" s="44" t="str">
        <f t="shared" si="12"/>
        <v>Stock images and videos of the flights.</v>
      </c>
    </row>
    <row r="13" spans="1:27" ht="7.4" customHeight="1" x14ac:dyDescent="0.4">
      <c r="A13" s="49">
        <v>13</v>
      </c>
      <c r="B13" s="18" t="s">
        <v>77</v>
      </c>
      <c r="C13" s="41" t="s">
        <v>116</v>
      </c>
      <c r="D13" s="41" t="s">
        <v>117</v>
      </c>
      <c r="E13" s="42" t="s">
        <v>118</v>
      </c>
      <c r="F13" s="18" t="s">
        <v>95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56" t="str">
        <f t="shared" ref="L13" si="16">_xlfn.CONCAT(SUBSTITUTE(C13,"1.",""))</f>
        <v>Temporal</v>
      </c>
      <c r="M13" s="56" t="str">
        <f t="shared" ref="M13" si="17">_xlfn.CONCAT(SUBSTITUTE(D13,"."," "))</f>
        <v>Evento</v>
      </c>
      <c r="N13" s="56" t="str">
        <f t="shared" ref="N13" si="18">_xlfn.CONCAT(SUBSTITUTE(E13,"."," "))</f>
        <v>Calendário</v>
      </c>
      <c r="O13" s="56" t="str">
        <f t="shared" ref="O13" si="19">_xlfn.CONCAT(SUBSTITUTE(F13,"."," "))</f>
        <v>Data</v>
      </c>
      <c r="P13" s="56" t="s">
        <v>119</v>
      </c>
      <c r="Q13" s="44" t="str">
        <f t="shared" si="7"/>
        <v>Fecha del evento de inspección.</v>
      </c>
      <c r="R13" s="54" t="s">
        <v>9</v>
      </c>
      <c r="S13" s="55" t="str">
        <f t="shared" si="8"/>
        <v>Temporal</v>
      </c>
      <c r="T13" s="55" t="str">
        <f t="shared" si="9"/>
        <v>Evento</v>
      </c>
      <c r="U13" s="55" t="str">
        <f t="shared" si="10"/>
        <v>Calendário</v>
      </c>
      <c r="V13" s="56" t="s">
        <v>120</v>
      </c>
      <c r="W13" s="60" t="str">
        <f t="shared" si="11"/>
        <v>Key-UAS-13</v>
      </c>
      <c r="X13" s="44" t="s">
        <v>9</v>
      </c>
      <c r="Y13" s="44" t="s">
        <v>9</v>
      </c>
      <c r="Z13" s="54" t="s">
        <v>9</v>
      </c>
      <c r="AA13" s="44" t="str">
        <f t="shared" si="12"/>
        <v>Date of the inspection event.</v>
      </c>
    </row>
  </sheetData>
  <conditionalFormatting sqref="A2:A13">
    <cfRule type="cellIs" dxfId="35" priority="2" operator="equal">
      <formula>"null"</formula>
    </cfRule>
  </conditionalFormatting>
  <conditionalFormatting sqref="F1">
    <cfRule type="duplicateValues" dxfId="34" priority="19"/>
    <cfRule type="duplicateValues" dxfId="33" priority="20"/>
    <cfRule type="duplicateValues" dxfId="32" priority="21"/>
    <cfRule type="duplicateValues" dxfId="31" priority="22"/>
    <cfRule type="duplicateValues" dxfId="30" priority="23"/>
  </conditionalFormatting>
  <conditionalFormatting sqref="F2:F6">
    <cfRule type="duplicateValues" dxfId="29" priority="1"/>
    <cfRule type="duplicateValues" dxfId="28" priority="3"/>
    <cfRule type="duplicateValues" dxfId="27" priority="4"/>
    <cfRule type="duplicateValues" dxfId="26" priority="5"/>
  </conditionalFormatting>
  <conditionalFormatting sqref="F7:F10 F1">
    <cfRule type="duplicateValues" dxfId="25" priority="165"/>
  </conditionalFormatting>
  <conditionalFormatting sqref="F14:F1048576 F1 F7:F10">
    <cfRule type="duplicateValues" dxfId="24" priority="16"/>
  </conditionalFormatting>
  <conditionalFormatting sqref="G1:O1">
    <cfRule type="cellIs" dxfId="23" priority="18" operator="equal">
      <formula>"null"</formula>
    </cfRule>
  </conditionalFormatting>
  <conditionalFormatting sqref="AA1:AA13">
    <cfRule type="cellIs" dxfId="22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38</v>
      </c>
      <c r="C1" s="22" t="s">
        <v>39</v>
      </c>
      <c r="D1" s="22" t="s">
        <v>40</v>
      </c>
      <c r="E1" s="22" t="s">
        <v>41</v>
      </c>
      <c r="F1" s="22" t="s">
        <v>42</v>
      </c>
      <c r="G1" s="22" t="s">
        <v>43</v>
      </c>
      <c r="H1" s="22" t="s">
        <v>44</v>
      </c>
      <c r="I1" s="22" t="s">
        <v>45</v>
      </c>
      <c r="J1" s="22" t="s">
        <v>46</v>
      </c>
      <c r="K1" s="22" t="s">
        <v>47</v>
      </c>
      <c r="L1" s="22" t="s">
        <v>48</v>
      </c>
      <c r="M1" s="22" t="s">
        <v>49</v>
      </c>
      <c r="N1" s="22" t="s">
        <v>50</v>
      </c>
      <c r="O1" s="22" t="s">
        <v>51</v>
      </c>
      <c r="P1" s="22" t="s">
        <v>52</v>
      </c>
      <c r="Q1" s="22" t="s">
        <v>53</v>
      </c>
      <c r="R1" s="22" t="s">
        <v>54</v>
      </c>
      <c r="S1" s="22" t="s">
        <v>55</v>
      </c>
      <c r="T1" s="22" t="s">
        <v>56</v>
      </c>
      <c r="U1" s="22" t="s">
        <v>57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78</v>
      </c>
      <c r="D1" s="9" t="s">
        <v>78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sheetPr codeName="Planilha5"/>
  <dimension ref="A1:AA62"/>
  <sheetViews>
    <sheetView tabSelected="1" zoomScale="280" zoomScaleNormal="280" workbookViewId="0">
      <pane ySplit="1" topLeftCell="A2" activePane="bottomLeft" state="frozen"/>
      <selection pane="bottomLeft" activeCell="Y9" sqref="Y9"/>
    </sheetView>
  </sheetViews>
  <sheetFormatPr defaultColWidth="9.15234375" defaultRowHeight="6.75" customHeight="1" x14ac:dyDescent="0.4"/>
  <cols>
    <col min="1" max="1" width="1.69140625" bestFit="1" customWidth="1"/>
    <col min="2" max="2" width="6.53515625" bestFit="1" customWidth="1"/>
    <col min="3" max="3" width="7.15234375" customWidth="1"/>
    <col min="4" max="4" width="6.3046875" bestFit="1" customWidth="1"/>
    <col min="5" max="5" width="3.765625" customWidth="1"/>
    <col min="6" max="6" width="6.3046875" customWidth="1"/>
    <col min="7" max="7" width="4.23046875" customWidth="1"/>
    <col min="8" max="8" width="6.23046875" bestFit="1" customWidth="1"/>
    <col min="9" max="9" width="7.4609375" customWidth="1"/>
    <col min="10" max="10" width="2.69140625" bestFit="1" customWidth="1"/>
    <col min="11" max="11" width="3.07421875" bestFit="1" customWidth="1"/>
    <col min="12" max="12" width="2.3828125" bestFit="1" customWidth="1"/>
    <col min="13" max="13" width="13.3046875" bestFit="1" customWidth="1"/>
    <col min="14" max="14" width="3.3046875" bestFit="1" customWidth="1"/>
    <col min="15" max="15" width="5.84375" bestFit="1" customWidth="1"/>
    <col min="16" max="16" width="4" bestFit="1" customWidth="1"/>
    <col min="17" max="17" width="25.23046875" customWidth="1"/>
    <col min="18" max="18" width="4.84375" bestFit="1" customWidth="1"/>
    <col min="19" max="19" width="27.53515625" bestFit="1" customWidth="1"/>
    <col min="20" max="20" width="2.3828125" bestFit="1" customWidth="1"/>
    <col min="21" max="21" width="5.84375" bestFit="1" customWidth="1"/>
    <col min="22" max="22" width="5.69140625" style="66" bestFit="1" customWidth="1"/>
    <col min="23" max="23" width="8.3828125" style="66" bestFit="1" customWidth="1"/>
    <col min="24" max="24" width="3.84375" style="66" bestFit="1" customWidth="1"/>
    <col min="25" max="25" width="6.15234375" style="66" bestFit="1" customWidth="1"/>
    <col min="26" max="26" width="5.3046875" style="66"/>
    <col min="27" max="27" width="5.921875" style="66" bestFit="1" customWidth="1"/>
  </cols>
  <sheetData>
    <row r="1" spans="1:27" ht="24.7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32" t="s">
        <v>2</v>
      </c>
      <c r="H1" s="36" t="s">
        <v>15</v>
      </c>
      <c r="I1" s="15" t="s">
        <v>2</v>
      </c>
      <c r="J1" s="32" t="s">
        <v>15</v>
      </c>
      <c r="K1" s="32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32" t="s">
        <v>15</v>
      </c>
      <c r="Q1" s="32" t="s">
        <v>2</v>
      </c>
      <c r="R1" s="32" t="s">
        <v>15</v>
      </c>
      <c r="S1" s="32" t="s">
        <v>2</v>
      </c>
      <c r="T1" s="15" t="s">
        <v>15</v>
      </c>
      <c r="U1" s="15" t="s">
        <v>2</v>
      </c>
      <c r="V1" s="62" t="s">
        <v>15</v>
      </c>
      <c r="W1" s="63" t="s">
        <v>170</v>
      </c>
      <c r="X1" s="64" t="s">
        <v>15</v>
      </c>
      <c r="Y1" s="63" t="s">
        <v>170</v>
      </c>
      <c r="Z1" s="64" t="s">
        <v>15</v>
      </c>
      <c r="AA1" s="63" t="s">
        <v>170</v>
      </c>
    </row>
    <row r="2" spans="1:27" ht="6.75" customHeight="1" x14ac:dyDescent="0.4">
      <c r="A2" s="16">
        <v>2</v>
      </c>
      <c r="B2" s="17" t="s">
        <v>160</v>
      </c>
      <c r="C2" s="18" t="s">
        <v>141</v>
      </c>
      <c r="D2" s="33" t="s">
        <v>9</v>
      </c>
      <c r="E2" s="34" t="s">
        <v>9</v>
      </c>
      <c r="F2" s="33" t="s">
        <v>9</v>
      </c>
      <c r="G2" s="34" t="s">
        <v>9</v>
      </c>
      <c r="H2" s="33" t="s">
        <v>9</v>
      </c>
      <c r="I2" s="34" t="s">
        <v>9</v>
      </c>
      <c r="J2" s="33" t="s">
        <v>9</v>
      </c>
      <c r="K2" s="34" t="s">
        <v>9</v>
      </c>
      <c r="L2" s="37" t="s">
        <v>111</v>
      </c>
      <c r="M2" s="40" t="s">
        <v>161</v>
      </c>
      <c r="N2" s="37" t="s">
        <v>9</v>
      </c>
      <c r="O2" s="38" t="s">
        <v>9</v>
      </c>
      <c r="P2" s="35" t="s">
        <v>16</v>
      </c>
      <c r="Q2" s="20" t="s">
        <v>159</v>
      </c>
      <c r="R2" s="37" t="s">
        <v>9</v>
      </c>
      <c r="S2" s="38" t="s">
        <v>9</v>
      </c>
      <c r="T2" s="37" t="s">
        <v>9</v>
      </c>
      <c r="U2" s="38" t="s">
        <v>9</v>
      </c>
      <c r="V2" s="65" t="s">
        <v>9</v>
      </c>
      <c r="W2" s="20" t="s">
        <v>9</v>
      </c>
      <c r="X2" s="37" t="s">
        <v>9</v>
      </c>
      <c r="Y2" s="20" t="s">
        <v>9</v>
      </c>
      <c r="Z2" s="37" t="s">
        <v>9</v>
      </c>
      <c r="AA2" s="20" t="s">
        <v>9</v>
      </c>
    </row>
    <row r="3" spans="1:27" ht="6.75" customHeight="1" x14ac:dyDescent="0.4">
      <c r="A3" s="16">
        <v>3</v>
      </c>
      <c r="B3" s="17" t="s">
        <v>108</v>
      </c>
      <c r="C3" s="18" t="s">
        <v>109</v>
      </c>
      <c r="D3" s="33" t="s">
        <v>9</v>
      </c>
      <c r="E3" s="34" t="s">
        <v>9</v>
      </c>
      <c r="F3" s="33" t="s">
        <v>9</v>
      </c>
      <c r="G3" s="34" t="s">
        <v>9</v>
      </c>
      <c r="H3" s="33" t="s">
        <v>9</v>
      </c>
      <c r="I3" s="34" t="s">
        <v>9</v>
      </c>
      <c r="J3" s="33" t="s">
        <v>9</v>
      </c>
      <c r="K3" s="34" t="s">
        <v>9</v>
      </c>
      <c r="L3" s="37" t="s">
        <v>111</v>
      </c>
      <c r="M3" s="40" t="s">
        <v>162</v>
      </c>
      <c r="N3" s="35" t="s">
        <v>9</v>
      </c>
      <c r="O3" s="20" t="s">
        <v>9</v>
      </c>
      <c r="P3" s="35" t="s">
        <v>16</v>
      </c>
      <c r="Q3" s="20" t="s">
        <v>112</v>
      </c>
      <c r="R3" s="35" t="s">
        <v>9</v>
      </c>
      <c r="S3" s="20" t="s">
        <v>9</v>
      </c>
      <c r="T3" s="35" t="s">
        <v>9</v>
      </c>
      <c r="U3" s="20" t="s">
        <v>9</v>
      </c>
      <c r="V3" s="65" t="s">
        <v>9</v>
      </c>
      <c r="W3" s="20" t="s">
        <v>9</v>
      </c>
      <c r="X3" s="37" t="s">
        <v>9</v>
      </c>
      <c r="Y3" s="20" t="s">
        <v>9</v>
      </c>
      <c r="Z3" s="37" t="s">
        <v>9</v>
      </c>
      <c r="AA3" s="20" t="s">
        <v>9</v>
      </c>
    </row>
    <row r="4" spans="1:27" ht="6.75" customHeight="1" x14ac:dyDescent="0.4">
      <c r="A4" s="16">
        <v>4</v>
      </c>
      <c r="B4" s="17" t="s">
        <v>107</v>
      </c>
      <c r="C4" s="18" t="s">
        <v>109</v>
      </c>
      <c r="D4" s="33" t="s">
        <v>9</v>
      </c>
      <c r="E4" s="34" t="s">
        <v>9</v>
      </c>
      <c r="F4" s="33" t="s">
        <v>9</v>
      </c>
      <c r="G4" s="34" t="s">
        <v>9</v>
      </c>
      <c r="H4" s="33" t="s">
        <v>9</v>
      </c>
      <c r="I4" s="34" t="s">
        <v>9</v>
      </c>
      <c r="J4" s="33" t="s">
        <v>9</v>
      </c>
      <c r="K4" s="34" t="s">
        <v>9</v>
      </c>
      <c r="L4" s="37" t="s">
        <v>111</v>
      </c>
      <c r="M4" s="40" t="s">
        <v>163</v>
      </c>
      <c r="N4" s="35" t="s">
        <v>9</v>
      </c>
      <c r="O4" s="20" t="s">
        <v>9</v>
      </c>
      <c r="P4" s="35" t="s">
        <v>16</v>
      </c>
      <c r="Q4" s="20" t="s">
        <v>112</v>
      </c>
      <c r="R4" s="35" t="s">
        <v>9</v>
      </c>
      <c r="S4" s="20" t="s">
        <v>9</v>
      </c>
      <c r="T4" s="35" t="s">
        <v>9</v>
      </c>
      <c r="U4" s="20" t="s">
        <v>9</v>
      </c>
      <c r="V4" s="65" t="s">
        <v>9</v>
      </c>
      <c r="W4" s="20" t="s">
        <v>9</v>
      </c>
      <c r="X4" s="37" t="s">
        <v>9</v>
      </c>
      <c r="Y4" s="20" t="s">
        <v>9</v>
      </c>
      <c r="Z4" s="37" t="s">
        <v>9</v>
      </c>
      <c r="AA4" s="20" t="s">
        <v>9</v>
      </c>
    </row>
    <row r="5" spans="1:27" ht="6.75" customHeight="1" x14ac:dyDescent="0.4">
      <c r="A5" s="16">
        <v>5</v>
      </c>
      <c r="B5" s="17" t="s">
        <v>92</v>
      </c>
      <c r="C5" s="18" t="s">
        <v>87</v>
      </c>
      <c r="D5" s="33" t="s">
        <v>9</v>
      </c>
      <c r="E5" s="34" t="s">
        <v>9</v>
      </c>
      <c r="F5" s="33" t="s">
        <v>9</v>
      </c>
      <c r="G5" s="34" t="s">
        <v>9</v>
      </c>
      <c r="H5" s="33" t="s">
        <v>9</v>
      </c>
      <c r="I5" s="34" t="s">
        <v>9</v>
      </c>
      <c r="J5" s="33" t="s">
        <v>9</v>
      </c>
      <c r="K5" s="34" t="s">
        <v>9</v>
      </c>
      <c r="L5" s="35" t="s">
        <v>9</v>
      </c>
      <c r="M5" s="20" t="s">
        <v>9</v>
      </c>
      <c r="N5" s="35" t="s">
        <v>91</v>
      </c>
      <c r="O5" s="20" t="s">
        <v>102</v>
      </c>
      <c r="P5" s="35" t="s">
        <v>16</v>
      </c>
      <c r="Q5" s="20" t="s">
        <v>169</v>
      </c>
      <c r="R5" s="37" t="s">
        <v>9</v>
      </c>
      <c r="S5" s="38" t="s">
        <v>9</v>
      </c>
      <c r="T5" s="37" t="s">
        <v>9</v>
      </c>
      <c r="U5" s="38" t="s">
        <v>9</v>
      </c>
      <c r="V5" s="65" t="s">
        <v>171</v>
      </c>
      <c r="W5" s="67" t="s">
        <v>176</v>
      </c>
      <c r="X5" s="37" t="s">
        <v>172</v>
      </c>
      <c r="Y5" s="20" t="s">
        <v>177</v>
      </c>
      <c r="Z5" s="37" t="s">
        <v>173</v>
      </c>
      <c r="AA5" s="20" t="s">
        <v>174</v>
      </c>
    </row>
    <row r="6" spans="1:27" ht="6.75" customHeight="1" x14ac:dyDescent="0.4">
      <c r="A6" s="16">
        <v>6</v>
      </c>
      <c r="B6" s="17" t="s">
        <v>164</v>
      </c>
      <c r="C6" s="18" t="s">
        <v>100</v>
      </c>
      <c r="D6" s="33" t="s">
        <v>99</v>
      </c>
      <c r="E6" s="19" t="s">
        <v>92</v>
      </c>
      <c r="F6" s="33" t="s">
        <v>9</v>
      </c>
      <c r="G6" s="34" t="s">
        <v>9</v>
      </c>
      <c r="H6" s="33" t="s">
        <v>9</v>
      </c>
      <c r="I6" s="34" t="s">
        <v>9</v>
      </c>
      <c r="J6" s="33" t="s">
        <v>9</v>
      </c>
      <c r="K6" s="34" t="s">
        <v>9</v>
      </c>
      <c r="L6" s="35" t="s">
        <v>9</v>
      </c>
      <c r="M6" s="20" t="s">
        <v>9</v>
      </c>
      <c r="N6" s="35" t="s">
        <v>9</v>
      </c>
      <c r="O6" s="20" t="s">
        <v>9</v>
      </c>
      <c r="P6" s="35" t="s">
        <v>16</v>
      </c>
      <c r="Q6" s="20" t="s">
        <v>168</v>
      </c>
      <c r="R6" s="35" t="s">
        <v>9</v>
      </c>
      <c r="S6" s="20" t="s">
        <v>9</v>
      </c>
      <c r="T6" s="35" t="s">
        <v>9</v>
      </c>
      <c r="U6" s="20" t="s">
        <v>9</v>
      </c>
      <c r="V6" s="65" t="s">
        <v>171</v>
      </c>
      <c r="W6" s="20" t="s">
        <v>175</v>
      </c>
      <c r="X6" s="37" t="s">
        <v>172</v>
      </c>
      <c r="Y6" s="20" t="s">
        <v>175</v>
      </c>
      <c r="Z6" s="37" t="s">
        <v>173</v>
      </c>
      <c r="AA6" s="20" t="s">
        <v>175</v>
      </c>
    </row>
    <row r="7" spans="1:27" ht="6.75" customHeight="1" x14ac:dyDescent="0.4">
      <c r="A7" s="16">
        <v>7</v>
      </c>
      <c r="B7" s="17" t="s">
        <v>165</v>
      </c>
      <c r="C7" s="18" t="s">
        <v>100</v>
      </c>
      <c r="D7" s="33" t="s">
        <v>99</v>
      </c>
      <c r="E7" s="19" t="s">
        <v>92</v>
      </c>
      <c r="F7" s="33" t="s">
        <v>9</v>
      </c>
      <c r="G7" s="34" t="s">
        <v>9</v>
      </c>
      <c r="H7" s="33" t="s">
        <v>9</v>
      </c>
      <c r="I7" s="34" t="s">
        <v>9</v>
      </c>
      <c r="J7" s="33" t="s">
        <v>9</v>
      </c>
      <c r="K7" s="34" t="s">
        <v>9</v>
      </c>
      <c r="L7" s="35" t="s">
        <v>9</v>
      </c>
      <c r="M7" s="20" t="s">
        <v>9</v>
      </c>
      <c r="N7" s="35" t="s">
        <v>9</v>
      </c>
      <c r="O7" s="20" t="s">
        <v>9</v>
      </c>
      <c r="P7" s="35" t="s">
        <v>16</v>
      </c>
      <c r="Q7" s="20" t="s">
        <v>168</v>
      </c>
      <c r="R7" s="35" t="s">
        <v>9</v>
      </c>
      <c r="S7" s="20" t="s">
        <v>9</v>
      </c>
      <c r="T7" s="35" t="s">
        <v>9</v>
      </c>
      <c r="U7" s="20" t="s">
        <v>9</v>
      </c>
      <c r="V7" s="65" t="s">
        <v>171</v>
      </c>
      <c r="W7" s="20" t="s">
        <v>175</v>
      </c>
      <c r="X7" s="37" t="s">
        <v>172</v>
      </c>
      <c r="Y7" s="20" t="s">
        <v>175</v>
      </c>
      <c r="Z7" s="37" t="s">
        <v>173</v>
      </c>
      <c r="AA7" s="20" t="s">
        <v>175</v>
      </c>
    </row>
    <row r="8" spans="1:27" ht="6.75" customHeight="1" x14ac:dyDescent="0.4">
      <c r="A8" s="16">
        <v>8</v>
      </c>
      <c r="B8" s="17" t="s">
        <v>137</v>
      </c>
      <c r="C8" s="18" t="s">
        <v>141</v>
      </c>
      <c r="D8" s="33" t="s">
        <v>97</v>
      </c>
      <c r="E8" s="19" t="s">
        <v>96</v>
      </c>
      <c r="F8" s="33" t="s">
        <v>9</v>
      </c>
      <c r="G8" s="34" t="s">
        <v>9</v>
      </c>
      <c r="H8" s="33" t="s">
        <v>121</v>
      </c>
      <c r="I8" s="19" t="s">
        <v>160</v>
      </c>
      <c r="J8" s="33" t="s">
        <v>9</v>
      </c>
      <c r="K8" s="34" t="s">
        <v>9</v>
      </c>
      <c r="L8" s="35" t="s">
        <v>9</v>
      </c>
      <c r="M8" s="20" t="s">
        <v>9</v>
      </c>
      <c r="N8" s="37" t="s">
        <v>9</v>
      </c>
      <c r="O8" s="38" t="s">
        <v>9</v>
      </c>
      <c r="P8" s="35" t="s">
        <v>16</v>
      </c>
      <c r="Q8" s="20" t="s">
        <v>138</v>
      </c>
      <c r="R8" s="37" t="s">
        <v>9</v>
      </c>
      <c r="S8" s="38" t="s">
        <v>9</v>
      </c>
      <c r="T8" s="37" t="s">
        <v>9</v>
      </c>
      <c r="U8" s="38" t="s">
        <v>9</v>
      </c>
      <c r="V8" s="65" t="s">
        <v>171</v>
      </c>
      <c r="W8" s="20" t="s">
        <v>175</v>
      </c>
      <c r="X8" s="37" t="s">
        <v>172</v>
      </c>
      <c r="Y8" s="20" t="s">
        <v>175</v>
      </c>
      <c r="Z8" s="37" t="s">
        <v>173</v>
      </c>
      <c r="AA8" s="20" t="s">
        <v>175</v>
      </c>
    </row>
    <row r="9" spans="1:27" ht="6.75" customHeight="1" x14ac:dyDescent="0.4">
      <c r="A9" s="16">
        <v>9</v>
      </c>
      <c r="B9" s="17" t="s">
        <v>155</v>
      </c>
      <c r="C9" s="18" t="s">
        <v>141</v>
      </c>
      <c r="D9" s="33" t="s">
        <v>97</v>
      </c>
      <c r="E9" s="19" t="s">
        <v>103</v>
      </c>
      <c r="F9" s="33" t="s">
        <v>9</v>
      </c>
      <c r="G9" s="34" t="s">
        <v>9</v>
      </c>
      <c r="H9" s="33" t="s">
        <v>121</v>
      </c>
      <c r="I9" s="19" t="s">
        <v>160</v>
      </c>
      <c r="J9" s="33" t="s">
        <v>9</v>
      </c>
      <c r="K9" s="34" t="s">
        <v>9</v>
      </c>
      <c r="L9" s="35" t="s">
        <v>9</v>
      </c>
      <c r="M9" s="20" t="s">
        <v>9</v>
      </c>
      <c r="N9" s="37" t="s">
        <v>9</v>
      </c>
      <c r="O9" s="38" t="s">
        <v>9</v>
      </c>
      <c r="P9" s="35" t="s">
        <v>16</v>
      </c>
      <c r="Q9" s="20" t="s">
        <v>138</v>
      </c>
      <c r="R9" s="37" t="s">
        <v>9</v>
      </c>
      <c r="S9" s="38" t="s">
        <v>9</v>
      </c>
      <c r="T9" s="37" t="s">
        <v>9</v>
      </c>
      <c r="U9" s="38" t="s">
        <v>9</v>
      </c>
      <c r="V9" s="65" t="s">
        <v>171</v>
      </c>
      <c r="W9" s="20" t="s">
        <v>175</v>
      </c>
      <c r="X9" s="37" t="s">
        <v>172</v>
      </c>
      <c r="Y9" s="20" t="s">
        <v>175</v>
      </c>
      <c r="Z9" s="37" t="s">
        <v>173</v>
      </c>
      <c r="AA9" s="20" t="s">
        <v>175</v>
      </c>
    </row>
    <row r="10" spans="1:27" ht="6.75" customHeight="1" x14ac:dyDescent="0.4">
      <c r="A10" s="16">
        <v>10</v>
      </c>
      <c r="B10" s="17" t="s">
        <v>96</v>
      </c>
      <c r="C10" s="18" t="s">
        <v>95</v>
      </c>
      <c r="D10" s="33" t="s">
        <v>9</v>
      </c>
      <c r="E10" s="34" t="s">
        <v>9</v>
      </c>
      <c r="F10" s="33" t="s">
        <v>9</v>
      </c>
      <c r="G10" s="34" t="s">
        <v>9</v>
      </c>
      <c r="H10" s="33" t="s">
        <v>121</v>
      </c>
      <c r="I10" s="19" t="s">
        <v>137</v>
      </c>
      <c r="J10" s="33" t="s">
        <v>9</v>
      </c>
      <c r="K10" s="34" t="s">
        <v>9</v>
      </c>
      <c r="L10" s="35" t="s">
        <v>9</v>
      </c>
      <c r="M10" s="20" t="s">
        <v>9</v>
      </c>
      <c r="N10" s="35" t="s">
        <v>9</v>
      </c>
      <c r="O10" s="20" t="s">
        <v>9</v>
      </c>
      <c r="P10" s="35" t="s">
        <v>16</v>
      </c>
      <c r="Q10" s="20" t="s">
        <v>157</v>
      </c>
      <c r="R10" s="37" t="s">
        <v>9</v>
      </c>
      <c r="S10" s="38" t="s">
        <v>9</v>
      </c>
      <c r="T10" s="37" t="s">
        <v>98</v>
      </c>
      <c r="U10" s="39" t="s">
        <v>139</v>
      </c>
      <c r="V10" s="65" t="s">
        <v>171</v>
      </c>
      <c r="W10" s="20" t="s">
        <v>175</v>
      </c>
      <c r="X10" s="37" t="s">
        <v>172</v>
      </c>
      <c r="Y10" s="20" t="s">
        <v>175</v>
      </c>
      <c r="Z10" s="37" t="s">
        <v>173</v>
      </c>
      <c r="AA10" s="20" t="s">
        <v>175</v>
      </c>
    </row>
    <row r="11" spans="1:27" ht="6.75" customHeight="1" x14ac:dyDescent="0.4">
      <c r="A11" s="16">
        <v>11</v>
      </c>
      <c r="B11" s="17" t="s">
        <v>103</v>
      </c>
      <c r="C11" s="18" t="s">
        <v>95</v>
      </c>
      <c r="D11" s="33" t="s">
        <v>9</v>
      </c>
      <c r="E11" s="34" t="s">
        <v>9</v>
      </c>
      <c r="F11" s="33" t="s">
        <v>9</v>
      </c>
      <c r="G11" s="34" t="s">
        <v>9</v>
      </c>
      <c r="H11" s="33" t="s">
        <v>121</v>
      </c>
      <c r="I11" s="19" t="s">
        <v>155</v>
      </c>
      <c r="J11" s="33" t="s">
        <v>9</v>
      </c>
      <c r="K11" s="34" t="s">
        <v>9</v>
      </c>
      <c r="L11" s="35" t="s">
        <v>9</v>
      </c>
      <c r="M11" s="20" t="s">
        <v>9</v>
      </c>
      <c r="N11" s="35" t="s">
        <v>9</v>
      </c>
      <c r="O11" s="20" t="s">
        <v>9</v>
      </c>
      <c r="P11" s="35" t="s">
        <v>16</v>
      </c>
      <c r="Q11" s="20" t="s">
        <v>157</v>
      </c>
      <c r="R11" s="37" t="s">
        <v>9</v>
      </c>
      <c r="S11" s="38" t="s">
        <v>9</v>
      </c>
      <c r="T11" s="37" t="s">
        <v>98</v>
      </c>
      <c r="U11" s="39" t="s">
        <v>156</v>
      </c>
      <c r="V11" s="65" t="s">
        <v>171</v>
      </c>
      <c r="W11" s="20" t="s">
        <v>175</v>
      </c>
      <c r="X11" s="37" t="s">
        <v>172</v>
      </c>
      <c r="Y11" s="20" t="s">
        <v>175</v>
      </c>
      <c r="Z11" s="37" t="s">
        <v>173</v>
      </c>
      <c r="AA11" s="20" t="s">
        <v>175</v>
      </c>
    </row>
    <row r="12" spans="1:27" ht="6.75" customHeight="1" x14ac:dyDescent="0.4">
      <c r="A12" s="16">
        <v>12</v>
      </c>
      <c r="B12" s="17" t="s">
        <v>93</v>
      </c>
      <c r="C12" s="18" t="s">
        <v>83</v>
      </c>
      <c r="D12" s="33" t="s">
        <v>166</v>
      </c>
      <c r="E12" s="19" t="s">
        <v>92</v>
      </c>
      <c r="F12" s="33" t="s">
        <v>167</v>
      </c>
      <c r="G12" s="19" t="s">
        <v>164</v>
      </c>
      <c r="H12" s="33" t="s">
        <v>121</v>
      </c>
      <c r="I12" s="34" t="s">
        <v>108</v>
      </c>
      <c r="J12" s="33" t="s">
        <v>97</v>
      </c>
      <c r="K12" s="34" t="s">
        <v>96</v>
      </c>
      <c r="L12" s="35" t="s">
        <v>9</v>
      </c>
      <c r="M12" s="20" t="s">
        <v>9</v>
      </c>
      <c r="N12" s="35" t="s">
        <v>9</v>
      </c>
      <c r="O12" s="20" t="s">
        <v>9</v>
      </c>
      <c r="P12" s="35" t="s">
        <v>16</v>
      </c>
      <c r="Q12" s="20" t="s">
        <v>115</v>
      </c>
      <c r="R12" s="35" t="s">
        <v>158</v>
      </c>
      <c r="S12" s="20" t="s">
        <v>114</v>
      </c>
      <c r="T12" s="35" t="s">
        <v>9</v>
      </c>
      <c r="U12" s="20" t="s">
        <v>9</v>
      </c>
      <c r="V12" s="65" t="s">
        <v>171</v>
      </c>
      <c r="W12" s="20" t="s">
        <v>175</v>
      </c>
      <c r="X12" s="37" t="s">
        <v>172</v>
      </c>
      <c r="Y12" s="20" t="s">
        <v>175</v>
      </c>
      <c r="Z12" s="37" t="s">
        <v>173</v>
      </c>
      <c r="AA12" s="20" t="s">
        <v>175</v>
      </c>
    </row>
    <row r="13" spans="1:27" ht="6.75" customHeight="1" x14ac:dyDescent="0.4">
      <c r="A13" s="16">
        <v>13</v>
      </c>
      <c r="B13" s="17" t="s">
        <v>94</v>
      </c>
      <c r="C13" s="18" t="s">
        <v>83</v>
      </c>
      <c r="D13" s="33" t="s">
        <v>166</v>
      </c>
      <c r="E13" s="19" t="s">
        <v>92</v>
      </c>
      <c r="F13" s="33" t="s">
        <v>167</v>
      </c>
      <c r="G13" s="19" t="s">
        <v>165</v>
      </c>
      <c r="H13" s="33" t="s">
        <v>121</v>
      </c>
      <c r="I13" s="34" t="s">
        <v>107</v>
      </c>
      <c r="J13" s="33" t="s">
        <v>97</v>
      </c>
      <c r="K13" s="34" t="s">
        <v>103</v>
      </c>
      <c r="L13" s="35" t="s">
        <v>9</v>
      </c>
      <c r="M13" s="20" t="s">
        <v>9</v>
      </c>
      <c r="N13" s="35" t="s">
        <v>9</v>
      </c>
      <c r="O13" s="20" t="s">
        <v>9</v>
      </c>
      <c r="P13" s="35" t="s">
        <v>16</v>
      </c>
      <c r="Q13" s="20" t="s">
        <v>115</v>
      </c>
      <c r="R13" s="35" t="s">
        <v>158</v>
      </c>
      <c r="S13" s="20" t="s">
        <v>113</v>
      </c>
      <c r="T13" s="35" t="s">
        <v>9</v>
      </c>
      <c r="U13" s="20" t="s">
        <v>9</v>
      </c>
      <c r="V13" s="65" t="s">
        <v>171</v>
      </c>
      <c r="W13" s="20" t="s">
        <v>175</v>
      </c>
      <c r="X13" s="65" t="s">
        <v>172</v>
      </c>
      <c r="Y13" s="20" t="s">
        <v>175</v>
      </c>
      <c r="Z13" s="37" t="s">
        <v>173</v>
      </c>
      <c r="AA13" s="20" t="s">
        <v>175</v>
      </c>
    </row>
    <row r="14" spans="1:27" ht="6.75" customHeight="1" x14ac:dyDescent="0.4">
      <c r="V14"/>
      <c r="W14"/>
      <c r="X14"/>
      <c r="Y14"/>
      <c r="Z14"/>
      <c r="AA14"/>
    </row>
    <row r="15" spans="1:27" ht="6.75" customHeight="1" x14ac:dyDescent="0.4">
      <c r="V15"/>
      <c r="W15"/>
      <c r="X15"/>
      <c r="Y15"/>
      <c r="Z15"/>
      <c r="AA15"/>
    </row>
    <row r="16" spans="1:27" ht="6.75" customHeight="1" x14ac:dyDescent="0.4">
      <c r="V16"/>
      <c r="W16"/>
      <c r="X16"/>
      <c r="Y16"/>
      <c r="Z16"/>
      <c r="AA16"/>
    </row>
    <row r="17" customFormat="1" ht="6.75" customHeight="1" x14ac:dyDescent="0.4"/>
    <row r="18" customFormat="1" ht="6.75" customHeight="1" x14ac:dyDescent="0.4"/>
    <row r="19" customFormat="1" ht="6.75" customHeight="1" x14ac:dyDescent="0.4"/>
    <row r="20" customFormat="1" ht="6.75" customHeight="1" x14ac:dyDescent="0.4"/>
    <row r="21" customFormat="1" ht="6.75" customHeight="1" x14ac:dyDescent="0.4"/>
    <row r="22" customFormat="1" ht="6.75" customHeight="1" x14ac:dyDescent="0.4"/>
    <row r="23" customFormat="1" ht="6.75" customHeight="1" x14ac:dyDescent="0.4"/>
    <row r="24" customFormat="1" ht="6.75" customHeight="1" x14ac:dyDescent="0.4"/>
    <row r="25" customFormat="1" ht="6.75" customHeight="1" x14ac:dyDescent="0.4"/>
    <row r="26" customFormat="1" ht="6.75" customHeight="1" x14ac:dyDescent="0.4"/>
    <row r="27" customFormat="1" ht="6.75" customHeight="1" x14ac:dyDescent="0.4"/>
    <row r="28" customFormat="1" ht="6.75" customHeight="1" x14ac:dyDescent="0.4"/>
    <row r="29" customFormat="1" ht="6.75" customHeight="1" x14ac:dyDescent="0.4"/>
    <row r="30" customFormat="1" ht="6.75" customHeight="1" x14ac:dyDescent="0.4"/>
    <row r="31" customFormat="1" ht="6.75" customHeight="1" x14ac:dyDescent="0.4"/>
    <row r="32" customFormat="1" ht="6.75" customHeight="1" x14ac:dyDescent="0.4"/>
    <row r="33" customFormat="1" ht="6.75" customHeight="1" x14ac:dyDescent="0.4"/>
    <row r="34" customFormat="1" ht="6.75" customHeight="1" x14ac:dyDescent="0.4"/>
    <row r="35" customFormat="1" ht="6.75" customHeight="1" x14ac:dyDescent="0.4"/>
    <row r="36" customFormat="1" ht="6.75" customHeight="1" x14ac:dyDescent="0.4"/>
    <row r="37" customFormat="1" ht="6.75" customHeight="1" x14ac:dyDescent="0.4"/>
    <row r="38" customFormat="1" ht="6.75" customHeight="1" x14ac:dyDescent="0.4"/>
    <row r="39" customFormat="1" ht="6.75" customHeight="1" x14ac:dyDescent="0.4"/>
    <row r="40" customFormat="1" ht="6.75" customHeight="1" x14ac:dyDescent="0.4"/>
    <row r="41" customFormat="1" ht="6.75" customHeight="1" x14ac:dyDescent="0.4"/>
    <row r="42" customFormat="1" ht="6.75" customHeight="1" x14ac:dyDescent="0.4"/>
    <row r="43" customFormat="1" ht="6.75" customHeight="1" x14ac:dyDescent="0.4"/>
    <row r="44" customFormat="1" ht="6.75" customHeight="1" x14ac:dyDescent="0.4"/>
    <row r="45" customFormat="1" ht="6.75" customHeight="1" x14ac:dyDescent="0.4"/>
    <row r="46" customFormat="1" ht="6.75" customHeight="1" x14ac:dyDescent="0.4"/>
    <row r="47" customFormat="1" ht="6.75" customHeight="1" x14ac:dyDescent="0.4"/>
    <row r="48" customFormat="1" ht="6.75" customHeight="1" x14ac:dyDescent="0.4"/>
    <row r="49" customFormat="1" ht="6.75" customHeight="1" x14ac:dyDescent="0.4"/>
    <row r="50" customFormat="1" ht="6.75" customHeight="1" x14ac:dyDescent="0.4"/>
    <row r="51" customFormat="1" ht="6.75" customHeight="1" x14ac:dyDescent="0.4"/>
    <row r="52" customFormat="1" ht="6.75" customHeight="1" x14ac:dyDescent="0.4"/>
    <row r="53" customFormat="1" ht="6.75" customHeight="1" x14ac:dyDescent="0.4"/>
    <row r="54" customFormat="1" ht="6.75" customHeight="1" x14ac:dyDescent="0.4"/>
    <row r="55" customFormat="1" ht="6.75" customHeight="1" x14ac:dyDescent="0.4"/>
    <row r="56" customFormat="1" ht="6.75" customHeight="1" x14ac:dyDescent="0.4"/>
    <row r="57" customFormat="1" ht="6.75" customHeight="1" x14ac:dyDescent="0.4"/>
    <row r="58" customFormat="1" ht="6.75" customHeight="1" x14ac:dyDescent="0.4"/>
    <row r="59" customFormat="1" ht="6.75" customHeight="1" x14ac:dyDescent="0.4"/>
    <row r="60" customFormat="1" ht="6.75" customHeight="1" x14ac:dyDescent="0.4"/>
    <row r="61" customFormat="1" ht="6.75" customHeight="1" x14ac:dyDescent="0.4"/>
    <row r="62" customFormat="1" ht="6.75" customHeight="1" x14ac:dyDescent="0.4"/>
  </sheetData>
  <phoneticPr fontId="9" type="noConversion"/>
  <conditionalFormatting sqref="B1:B13">
    <cfRule type="duplicateValues" dxfId="21" priority="229"/>
    <cfRule type="duplicateValues" dxfId="20" priority="230"/>
  </conditionalFormatting>
  <conditionalFormatting sqref="B1:B1048576">
    <cfRule type="duplicateValues" dxfId="19" priority="178"/>
  </conditionalFormatting>
  <conditionalFormatting sqref="E8:E9">
    <cfRule type="duplicateValues" dxfId="18" priority="35"/>
    <cfRule type="duplicateValues" dxfId="17" priority="36"/>
    <cfRule type="duplicateValues" dxfId="16" priority="37"/>
  </conditionalFormatting>
  <conditionalFormatting sqref="G12">
    <cfRule type="duplicateValues" dxfId="15" priority="8"/>
    <cfRule type="duplicateValues" dxfId="14" priority="9"/>
    <cfRule type="duplicateValues" dxfId="13" priority="10"/>
  </conditionalFormatting>
  <conditionalFormatting sqref="G13">
    <cfRule type="duplicateValues" dxfId="12" priority="5"/>
    <cfRule type="duplicateValues" dxfId="11" priority="6"/>
    <cfRule type="duplicateValues" dxfId="10" priority="7"/>
  </conditionalFormatting>
  <conditionalFormatting sqref="I8">
    <cfRule type="duplicateValues" dxfId="9" priority="20"/>
    <cfRule type="duplicateValues" dxfId="8" priority="21"/>
    <cfRule type="duplicateValues" dxfId="7" priority="22"/>
  </conditionalFormatting>
  <conditionalFormatting sqref="I9">
    <cfRule type="duplicateValues" dxfId="6" priority="17"/>
    <cfRule type="duplicateValues" dxfId="5" priority="18"/>
    <cfRule type="duplicateValues" dxfId="4" priority="19"/>
  </conditionalFormatting>
  <conditionalFormatting sqref="V63:AA1048576 V1:AA4 V5 X5 Z5:AA5 X7:X12 V7:W13 V6:AA6 Y7:AA13">
    <cfRule type="cellIs" dxfId="3" priority="4" operator="equal">
      <formula>"null"</formula>
    </cfRule>
  </conditionalFormatting>
  <conditionalFormatting sqref="X13">
    <cfRule type="cellIs" dxfId="2" priority="3" operator="equal">
      <formula>"null"</formula>
    </cfRule>
  </conditionalFormatting>
  <conditionalFormatting sqref="W5">
    <cfRule type="cellIs" dxfId="1" priority="2" operator="equal">
      <formula>"null"</formula>
    </cfRule>
  </conditionalFormatting>
  <conditionalFormatting sqref="Y5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2026-07-11T12:38:56Z</dcterms:modified>
</cp:coreProperties>
</file>