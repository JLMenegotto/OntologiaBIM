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HIDS\"/>
    </mc:Choice>
  </mc:AlternateContent>
  <xr:revisionPtr revIDLastSave="0" documentId="13_ncr:1_{53CE202D-AF85-49C5-80FE-D438782C0C65}" xr6:coauthVersionLast="47" xr6:coauthVersionMax="47" xr10:uidLastSave="{00000000-0000-0000-0000-000000000000}"/>
  <bookViews>
    <workbookView xWindow="-120" yWindow="-120" windowWidth="24240" windowHeight="13290" tabRatio="520" activeTab="3" xr2:uid="{00000000-000D-0000-FFFF-FFFF00000000}"/>
  </bookViews>
  <sheets>
    <sheet name="Projeto" sheetId="13" r:id="rId1"/>
    <sheet name="Classes" sheetId="17" r:id="rId2"/>
    <sheet name="Disjunt" sheetId="3" r:id="rId3"/>
    <sheet name="FatosIn" sheetId="25" r:id="rId4"/>
    <sheet name="Interop" sheetId="16" r:id="rId5"/>
  </sheets>
  <definedNames>
    <definedName name="_xlnm._FilterDatabase" localSheetId="1" hidden="1">Classes!#REF!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7" l="1"/>
  <c r="W3" i="17"/>
  <c r="W4" i="17"/>
  <c r="W5" i="17"/>
  <c r="W6" i="17"/>
  <c r="W7" i="17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W31" i="17"/>
  <c r="W32" i="17"/>
  <c r="W33" i="17"/>
  <c r="W34" i="17"/>
  <c r="W35" i="17"/>
  <c r="W36" i="17"/>
  <c r="W37" i="17"/>
  <c r="W38" i="17"/>
  <c r="W39" i="17"/>
  <c r="W40" i="17"/>
  <c r="O2" i="17" l="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U11" i="17"/>
  <c r="N11" i="17"/>
  <c r="M11" i="17"/>
  <c r="L11" i="17"/>
  <c r="U10" i="17"/>
  <c r="N10" i="17"/>
  <c r="M10" i="17"/>
  <c r="L10" i="17"/>
  <c r="AA10" i="17"/>
  <c r="Q10" i="17"/>
  <c r="U9" i="17" l="1"/>
  <c r="N9" i="17"/>
  <c r="M9" i="17"/>
  <c r="L9" i="17"/>
  <c r="U26" i="17"/>
  <c r="N26" i="17"/>
  <c r="M26" i="17"/>
  <c r="L26" i="17"/>
  <c r="U27" i="17"/>
  <c r="N27" i="17"/>
  <c r="M27" i="17"/>
  <c r="L27" i="17"/>
  <c r="U25" i="17"/>
  <c r="N25" i="17"/>
  <c r="M25" i="17"/>
  <c r="L25" i="17"/>
  <c r="U24" i="17"/>
  <c r="N24" i="17"/>
  <c r="M24" i="17"/>
  <c r="L24" i="17"/>
  <c r="U23" i="17"/>
  <c r="N23" i="17"/>
  <c r="M23" i="17"/>
  <c r="L23" i="17"/>
  <c r="U22" i="17"/>
  <c r="N22" i="17"/>
  <c r="M22" i="17"/>
  <c r="L22" i="17"/>
  <c r="L28" i="17"/>
  <c r="M28" i="17"/>
  <c r="N28" i="17"/>
  <c r="U28" i="17"/>
  <c r="L29" i="17"/>
  <c r="M29" i="17"/>
  <c r="N29" i="17"/>
  <c r="U29" i="17"/>
  <c r="L30" i="17"/>
  <c r="M30" i="17"/>
  <c r="N30" i="17"/>
  <c r="U30" i="17"/>
  <c r="L31" i="17"/>
  <c r="M31" i="17"/>
  <c r="N31" i="17"/>
  <c r="U31" i="17"/>
  <c r="L32" i="17"/>
  <c r="M32" i="17"/>
  <c r="N32" i="17"/>
  <c r="U32" i="17"/>
  <c r="U12" i="17"/>
  <c r="N12" i="17"/>
  <c r="M12" i="17"/>
  <c r="L12" i="17"/>
  <c r="U8" i="17"/>
  <c r="N8" i="17"/>
  <c r="M8" i="17"/>
  <c r="L8" i="17"/>
  <c r="U7" i="17"/>
  <c r="N7" i="17"/>
  <c r="M7" i="17"/>
  <c r="L7" i="17"/>
  <c r="U6" i="17"/>
  <c r="N6" i="17"/>
  <c r="M6" i="17"/>
  <c r="L6" i="17"/>
  <c r="U5" i="17"/>
  <c r="N5" i="17"/>
  <c r="M5" i="17"/>
  <c r="L5" i="17"/>
  <c r="U40" i="17"/>
  <c r="N40" i="17"/>
  <c r="M40" i="17"/>
  <c r="L40" i="17"/>
  <c r="U4" i="17"/>
  <c r="N4" i="17"/>
  <c r="M4" i="17"/>
  <c r="L4" i="17"/>
  <c r="U3" i="17"/>
  <c r="N3" i="17"/>
  <c r="M3" i="17"/>
  <c r="L3" i="17"/>
  <c r="U2" i="17"/>
  <c r="N2" i="17"/>
  <c r="M2" i="17"/>
  <c r="L2" i="17"/>
  <c r="U21" i="17"/>
  <c r="N21" i="17"/>
  <c r="M21" i="17"/>
  <c r="L21" i="17"/>
  <c r="U20" i="17"/>
  <c r="N20" i="17"/>
  <c r="M20" i="17"/>
  <c r="L20" i="17"/>
  <c r="U19" i="17"/>
  <c r="N19" i="17"/>
  <c r="M19" i="17"/>
  <c r="L19" i="17"/>
  <c r="U18" i="17"/>
  <c r="N18" i="17"/>
  <c r="M18" i="17"/>
  <c r="L18" i="17"/>
  <c r="U17" i="17"/>
  <c r="N17" i="17"/>
  <c r="M17" i="17"/>
  <c r="L17" i="17"/>
  <c r="U16" i="17"/>
  <c r="N16" i="17"/>
  <c r="M16" i="17"/>
  <c r="L16" i="17"/>
  <c r="U15" i="17"/>
  <c r="N15" i="17"/>
  <c r="M15" i="17"/>
  <c r="L15" i="17"/>
  <c r="U14" i="17"/>
  <c r="N14" i="17"/>
  <c r="M14" i="17"/>
  <c r="L14" i="17"/>
  <c r="U13" i="17"/>
  <c r="N13" i="17"/>
  <c r="M13" i="17"/>
  <c r="L13" i="17"/>
  <c r="AA3" i="17"/>
  <c r="AA34" i="17"/>
  <c r="AA7" i="17"/>
  <c r="Q7" i="17"/>
  <c r="AA25" i="17"/>
  <c r="AA27" i="17"/>
  <c r="AA4" i="17"/>
  <c r="AA24" i="17"/>
  <c r="Q9" i="17"/>
  <c r="AA40" i="17"/>
  <c r="AA21" i="17"/>
  <c r="AA9" i="17"/>
  <c r="AA2" i="17"/>
  <c r="Q12" i="17"/>
  <c r="AA37" i="17"/>
  <c r="AA22" i="17"/>
  <c r="AA28" i="17"/>
  <c r="AA12" i="17"/>
  <c r="AA36" i="17"/>
  <c r="AA14" i="17"/>
  <c r="AA13" i="17"/>
  <c r="Q25" i="17"/>
  <c r="AA38" i="17"/>
  <c r="Q23" i="17"/>
  <c r="Q15" i="17"/>
  <c r="AA16" i="17"/>
  <c r="Q19" i="17"/>
  <c r="AA23" i="17"/>
  <c r="AA5" i="17"/>
  <c r="Q14" i="17"/>
  <c r="Q13" i="17"/>
  <c r="AA30" i="17"/>
  <c r="Q16" i="17"/>
  <c r="Q8" i="17"/>
  <c r="AA20" i="17"/>
  <c r="AA6" i="17"/>
  <c r="AA26" i="17"/>
  <c r="AA39" i="17"/>
  <c r="AA15" i="17"/>
  <c r="Q27" i="17"/>
  <c r="AA32" i="17"/>
  <c r="Q20" i="17"/>
  <c r="AA35" i="17"/>
  <c r="AA17" i="17"/>
  <c r="AA8" i="17"/>
  <c r="Q6" i="17"/>
  <c r="AA19" i="17"/>
  <c r="AA31" i="17"/>
  <c r="AA33" i="17"/>
  <c r="AA29" i="17"/>
  <c r="AA18" i="17"/>
  <c r="U38" i="17" l="1"/>
  <c r="N38" i="17"/>
  <c r="M38" i="17"/>
  <c r="L38" i="17"/>
  <c r="U34" i="17"/>
  <c r="N34" i="17"/>
  <c r="M34" i="17"/>
  <c r="L34" i="17"/>
  <c r="U36" i="17"/>
  <c r="N36" i="17"/>
  <c r="M36" i="17"/>
  <c r="L36" i="17"/>
  <c r="U37" i="17"/>
  <c r="N37" i="17"/>
  <c r="M37" i="17"/>
  <c r="L37" i="17"/>
  <c r="U39" i="17"/>
  <c r="N39" i="17"/>
  <c r="M39" i="17"/>
  <c r="L39" i="17"/>
  <c r="U35" i="17"/>
  <c r="N35" i="17"/>
  <c r="M35" i="17"/>
  <c r="L35" i="17"/>
  <c r="U33" i="17"/>
  <c r="N33" i="17"/>
  <c r="M33" i="17"/>
  <c r="L33" i="17"/>
  <c r="B24" i="13" l="1"/>
  <c r="B18" i="13" l="1"/>
  <c r="B6" i="13"/>
  <c r="B5" i="13"/>
</calcChain>
</file>

<file path=xl/sharedStrings.xml><?xml version="1.0" encoding="utf-8"?>
<sst xmlns="http://schemas.openxmlformats.org/spreadsheetml/2006/main" count="1218" uniqueCount="263">
  <si>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</si>
  <si>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</si>
  <si>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</si>
  <si>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</si>
  <si>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</si>
  <si>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</si>
  <si>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</si>
  <si>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</si>
  <si>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</si>
  <si>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</si>
  <si>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</si>
  <si>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</si>
  <si>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</si>
  <si>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</si>
  <si>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</si>
  <si>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</si>
  <si>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</si>
  <si>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</si>
  <si>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</si>
  <si>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</si>
  <si>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</si>
  <si>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</si>
  <si>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</si>
  <si>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</si>
  <si>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</si>
  <si>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</si>
  <si>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</si>
  <si>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</si>
  <si>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</si>
  <si>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</si>
  <si>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</si>
  <si>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</si>
  <si>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</si>
  <si>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</si>
  <si>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</si>
  <si>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</si>
  <si>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 Super
Class
5</t>
  </si>
  <si>
    <t>000 Tradução Classe 5</t>
  </si>
  <si>
    <t>Especie</t>
  </si>
  <si>
    <t>00Super
Class
4</t>
  </si>
  <si>
    <t>00Super
Class
2</t>
  </si>
  <si>
    <t>00Super
Class
3</t>
  </si>
  <si>
    <t>00Raiz</t>
  </si>
  <si>
    <t>000 Traducción Classe 5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</si>
  <si>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</si>
  <si>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</si>
  <si>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</si>
  <si>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</si>
  <si>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</si>
  <si>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</si>
  <si>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</si>
  <si>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</si>
  <si>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</si>
  <si>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</si>
  <si>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</si>
  <si>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</si>
  <si>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</si>
  <si>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</si>
  <si>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</si>
  <si>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</si>
  <si>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</si>
  <si>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</si>
  <si>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</si>
  <si>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</si>
  <si>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</si>
  <si>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</si>
  <si>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</si>
  <si>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Advertência1</t>
  </si>
  <si>
    <t>Algumas traduções podem precisar de revisão - Traducción al español incorporada</t>
  </si>
  <si>
    <t>Prédio</t>
  </si>
  <si>
    <t>Cidade</t>
  </si>
  <si>
    <t>Explicação</t>
  </si>
  <si>
    <t>Explicación</t>
  </si>
  <si>
    <t>Indivíduo</t>
  </si>
  <si>
    <t>Classe</t>
  </si>
  <si>
    <t>Fato</t>
  </si>
  <si>
    <t>Fato
(14)</t>
  </si>
  <si>
    <t>descrição</t>
  </si>
  <si>
    <t>Val</t>
  </si>
  <si>
    <t>0-Classe Ifc</t>
  </si>
  <si>
    <t>0-Categoria Equivalente</t>
  </si>
  <si>
    <t>0-CategoriaEquivalente</t>
  </si>
  <si>
    <t>é.dentro.de</t>
  </si>
  <si>
    <t>CategoriaRvt</t>
  </si>
  <si>
    <t>ClasseIfc</t>
  </si>
  <si>
    <t>ABNT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</si>
  <si>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</si>
  <si>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</si>
  <si>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</si>
  <si>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</si>
  <si>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</si>
  <si>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</si>
  <si>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</si>
  <si>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0</t>
  </si>
  <si>
    <t>Anotações 
de ajuda
Classe 1</t>
  </si>
  <si>
    <t>Interop</t>
  </si>
  <si>
    <t>CTI_Projeto_01</t>
  </si>
  <si>
    <t>código.abnt</t>
  </si>
  <si>
    <t>"Nome da empresa vendedora do produto."</t>
  </si>
  <si>
    <t>classe.ifc</t>
  </si>
  <si>
    <t>categoria.revit</t>
  </si>
  <si>
    <t>Coletor.Predial</t>
  </si>
  <si>
    <t>Coletor.Andar</t>
  </si>
  <si>
    <t>Tubo.de.Queda</t>
  </si>
  <si>
    <t>Caixa.de.Inspeção</t>
  </si>
  <si>
    <t>Poço.de.Visita</t>
  </si>
  <si>
    <t>Caixa.de.Gordura</t>
  </si>
  <si>
    <t>Caixa.de.Areia</t>
  </si>
  <si>
    <t>Caixa.Sifonada</t>
  </si>
  <si>
    <t>Ventilação.Esgoto</t>
  </si>
  <si>
    <t>Coletor Sifonado como um ralo sifonado</t>
  </si>
  <si>
    <t>Coletor Local como um ralo seco ou Válvula de Lavatório</t>
  </si>
  <si>
    <t xml:space="preserve">Ramal de coleta horizontal do andar </t>
  </si>
  <si>
    <t>Ramal de coleta horizonta do prédio</t>
  </si>
  <si>
    <t>Tubo vertical de queda</t>
  </si>
  <si>
    <t>Sifões</t>
  </si>
  <si>
    <t>Caixas de Areia</t>
  </si>
  <si>
    <t>Caixas de Gordura</t>
  </si>
  <si>
    <t>Caixas de Inspeção</t>
  </si>
  <si>
    <t>Caixas Sifonadas</t>
  </si>
  <si>
    <t>Poços de Visita</t>
  </si>
  <si>
    <t>Colector local como válvula de drenaje seco o de cuenca</t>
  </si>
  <si>
    <t>Colector sifonado como drenaje sifonado</t>
  </si>
  <si>
    <t>Sifones</t>
  </si>
  <si>
    <t>Cajas de arena</t>
  </si>
  <si>
    <t>Trampas de grasa</t>
  </si>
  <si>
    <t>Cajas de sifón</t>
  </si>
  <si>
    <t>Pozo de visita</t>
  </si>
  <si>
    <t>[ 3E.42.04 ]</t>
  </si>
  <si>
    <t>"Tigre"</t>
  </si>
  <si>
    <t>"[ 3E.42.04 ]"</t>
  </si>
  <si>
    <t>é.pertencente.a</t>
  </si>
  <si>
    <t>"Sistema de Esgoto da coluna 1 do Predio"</t>
  </si>
  <si>
    <t>Sistema.Sanitário</t>
  </si>
  <si>
    <t>Sistema.Hidráulico</t>
  </si>
  <si>
    <t>Tubulação.Reuso</t>
  </si>
  <si>
    <t>Cisterna.Superior</t>
  </si>
  <si>
    <t>Cisterna.Inferior</t>
  </si>
  <si>
    <t>Boiler</t>
  </si>
  <si>
    <t>Caldeira</t>
  </si>
  <si>
    <t>Tubulação.AQ</t>
  </si>
  <si>
    <t>Tubulação.AF</t>
  </si>
  <si>
    <t>Cisterna Superior</t>
  </si>
  <si>
    <t>Cisterna Inferior</t>
  </si>
  <si>
    <t>Aquecedor.de.Agua</t>
  </si>
  <si>
    <t>Aquecedor de água</t>
  </si>
  <si>
    <t>Tubulação de Água Fria</t>
  </si>
  <si>
    <t>Tubulação de Água Quente</t>
  </si>
  <si>
    <t>Tubulação de Água de Reuso</t>
  </si>
  <si>
    <t>Tubería de agua de reuso</t>
  </si>
  <si>
    <t>Calefón</t>
  </si>
  <si>
    <t>Cisterna Intermediária</t>
  </si>
  <si>
    <t>Sistema de Esgoto Predial</t>
  </si>
  <si>
    <t>Sistema de Água Quente Predial</t>
  </si>
  <si>
    <t>Sistema de Água Fria Predial</t>
  </si>
  <si>
    <t>Ventilação de Esgoto</t>
  </si>
  <si>
    <t>Sistema de Desague Predial</t>
  </si>
  <si>
    <t>Sistema de Água Caliente Predial</t>
  </si>
  <si>
    <t>Ventilación de Esgoto</t>
  </si>
  <si>
    <t>Tubulações</t>
  </si>
  <si>
    <t>Hidrossanitária</t>
  </si>
  <si>
    <t>Instalações</t>
  </si>
  <si>
    <t>Sistema.ESG</t>
  </si>
  <si>
    <t>[ 3E.38.02 ]</t>
  </si>
  <si>
    <t>Acessório.Sanitário</t>
  </si>
  <si>
    <t>Accesorio del sistema de desagüe como soportes, ganchos, pedestales, etc.</t>
  </si>
  <si>
    <t>"Instância de Ralo sifonado que pertence ao sistema ESG_01 pode ser individualizado pelo ID de Revit ou pelo indentificador IfcGlobalId de IFC"</t>
  </si>
  <si>
    <t>"Instância de Tubulação que pertence ao sistema AF01 pode ser individualizado pelo ID de Revit ou pelo indentificador IfcGlobalId de IFC"</t>
  </si>
  <si>
    <t>Ralo.Sifonado</t>
  </si>
  <si>
    <t>Ralo.Seco</t>
  </si>
  <si>
    <t>Chuveiro</t>
  </si>
  <si>
    <t>Torneira</t>
  </si>
  <si>
    <t>Misturador</t>
  </si>
  <si>
    <t>Válvula</t>
  </si>
  <si>
    <t>Registro</t>
  </si>
  <si>
    <t>Lavatório</t>
  </si>
  <si>
    <t>Bidet</t>
  </si>
  <si>
    <t>Vaso.Sanitário</t>
  </si>
  <si>
    <t>Cuba.Sanitária</t>
  </si>
  <si>
    <t>Pia.Sanitária</t>
  </si>
  <si>
    <t>Banheira</t>
  </si>
  <si>
    <t>Ducha</t>
  </si>
  <si>
    <t>Ducha manual</t>
  </si>
  <si>
    <t>Canilla</t>
  </si>
  <si>
    <t>Vaso Sanitário</t>
  </si>
  <si>
    <t>Pia Sanitária</t>
  </si>
  <si>
    <t>Cuba Sanitária</t>
  </si>
  <si>
    <t>Inodoro</t>
  </si>
  <si>
    <t>Tanque</t>
  </si>
  <si>
    <t>Bacha Sanitaria</t>
  </si>
  <si>
    <t>[ OST_PlumbingFixtures ]</t>
  </si>
  <si>
    <t>[ IfcSanitaryTerminal ]</t>
  </si>
  <si>
    <t>[ IfcValve ]</t>
  </si>
  <si>
    <t>[ IfcTank ]</t>
  </si>
  <si>
    <t>[ IfcBoiler ]</t>
  </si>
  <si>
    <t>[ IfcEnergyConversionDevice ]</t>
  </si>
  <si>
    <t>"Instância de Tubulação que pertence ao sistema AQ01 pode ser individualizado pelo ID de Revit ou pelo indentificador IfcGlobalId de IFC"</t>
  </si>
  <si>
    <t>[ OST_PipingSystem ]</t>
  </si>
  <si>
    <t>"[ 3E.38.02 ]"</t>
  </si>
  <si>
    <t>Ralo_ID_453908</t>
  </si>
  <si>
    <t>Ralo_ID_453909</t>
  </si>
  <si>
    <t>Tubo_ID_334250</t>
  </si>
  <si>
    <t>Tubo_ID_334251</t>
  </si>
  <si>
    <t>Tubo_ID_334252</t>
  </si>
  <si>
    <t>Tubo_ID_334253</t>
  </si>
  <si>
    <t>Tubo_ID_334254</t>
  </si>
  <si>
    <t>Tubo_ID_334255</t>
  </si>
  <si>
    <t>Tubo_ID_334256</t>
  </si>
  <si>
    <t>Tubo_ID_334257</t>
  </si>
  <si>
    <t>Tubo_ID_334258</t>
  </si>
  <si>
    <t>Tubo_ID_334259</t>
  </si>
  <si>
    <t>Tubo_ID_334260</t>
  </si>
  <si>
    <t>Tubo_ID_334261</t>
  </si>
  <si>
    <t>Objetos_de_Hidrossanitária</t>
  </si>
  <si>
    <t>Formalizar elementos do projeto BIM. Objetos específicos de Hidráulica e Esgoto Sanitário</t>
  </si>
  <si>
    <t>Formalizar elementos de proyecto BIM. Objetos específicos de Hidráulica e Desagües sanitarios</t>
  </si>
  <si>
    <t>Objetos de Sistemas de Hidráulica e Esgoto Sanitário</t>
  </si>
  <si>
    <t>Sis_ESG_01</t>
  </si>
  <si>
    <t>Sis_AFR_01</t>
  </si>
  <si>
    <t>Fecho.Hidráulico</t>
  </si>
  <si>
    <t>Acessório.Hidraúlico</t>
  </si>
  <si>
    <t>Tubulação.Agua.Fria</t>
  </si>
  <si>
    <t>Tubulação.Agua.Quente</t>
  </si>
  <si>
    <t>Peças.Sanitárias</t>
  </si>
  <si>
    <t>Esgoto.Coletores</t>
  </si>
  <si>
    <t>Esgoto.Visitas</t>
  </si>
  <si>
    <t>Esgoto.Acessórios</t>
  </si>
  <si>
    <t>Peças.Hidráulicas</t>
  </si>
  <si>
    <t>Sistema.AFR</t>
  </si>
  <si>
    <t>Sistema.AQT</t>
  </si>
  <si>
    <t>Sis_AQT_01</t>
  </si>
  <si>
    <t>Acessório do sistema de agua como suportes, ganchos, pedestais, etc.</t>
  </si>
  <si>
    <t>Acessório do sistema de esgoto sanitário como suportes, ganchos, pedestais, etc.</t>
  </si>
  <si>
    <t>[ IfcDistributionSystemDOMESTICCOLDWATER ]</t>
  </si>
  <si>
    <t>[ IfcDistributionSystemDOMESTICHOTWATER ]</t>
  </si>
  <si>
    <t>[ IfcDistributionSystemDRAINAGE ]</t>
  </si>
  <si>
    <t>"[ OST_PipingSystem ]"</t>
  </si>
  <si>
    <t>Cisterna.Intermediária</t>
  </si>
  <si>
    <t>[ IfcFlowMeter ]</t>
  </si>
  <si>
    <t>Medidor.de.Água</t>
  </si>
  <si>
    <t>Medidores de Água</t>
  </si>
  <si>
    <t>Medidores de agua</t>
  </si>
  <si>
    <t>Water Meters</t>
  </si>
  <si>
    <t>[ IfcDiscreteAccessory ]</t>
  </si>
  <si>
    <t>[ OST_PipeAccessory ]</t>
  </si>
  <si>
    <t>Cajas de inspección</t>
  </si>
  <si>
    <t>Ramal colector horizontal de un piso del edifício</t>
  </si>
  <si>
    <t>Ramal colector horizontal del edificio</t>
  </si>
  <si>
    <t>Tubo colector vertical</t>
  </si>
  <si>
    <t>[ OST_PipeFitting ]</t>
  </si>
  <si>
    <t>quem.fabricou</t>
  </si>
  <si>
    <t>quem.forneceu</t>
  </si>
  <si>
    <t>Conceitos</t>
  </si>
  <si>
    <t>Sistemas.Prediais</t>
  </si>
  <si>
    <t>Elementos.Hidráulicos</t>
  </si>
  <si>
    <t>Sistemas.Hidrossanitários</t>
  </si>
  <si>
    <t>[ OST_PipingSystem : OST_PipeSegments : OST_PipeFitting : OST_PipeCurves : OST_PipeConnections : OST_PipeFittingInsulation ]</t>
  </si>
  <si>
    <t>[ IfcPipeSegment : IfcPipeFitting ]</t>
  </si>
  <si>
    <t>"Indivíduo de Sistemas Prediais de um projeto"</t>
  </si>
  <si>
    <t>"Indivíduo que representa um sistema de Esgoto do projeto"</t>
  </si>
  <si>
    <t>"Indivíduo que representa um sistema de Hidráulica do projeto"</t>
  </si>
  <si>
    <t>"[ OST_PipeSegments : OST_PipeFitting ]"</t>
  </si>
  <si>
    <t>"[ IfcPipeSegment : IfcPipeFitting ]"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</si>
</sst>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b/>
      <sz val="6"/>
      <color theme="1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"/>
      <family val="2"/>
    </font>
    <font>
      <sz val="8"/>
      <color theme="1"/>
      <name val="Arial Nova Cond Light"/>
      <family val="2"/>
    </font>
    <font>
      <sz val="6"/>
      <color rgb="FF000000"/>
      <name val="Aptos Narrow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D9F2D0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5" borderId="4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22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8" fillId="8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vertical="center"/>
    </xf>
    <xf numFmtId="0" fontId="4" fillId="9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vertical="center"/>
    </xf>
    <xf numFmtId="0" fontId="4" fillId="11" borderId="4" xfId="0" applyFont="1" applyFill="1" applyBorder="1" applyAlignment="1">
      <alignment vertical="center"/>
    </xf>
    <xf numFmtId="0" fontId="6" fillId="12" borderId="4" xfId="0" applyFont="1" applyFill="1" applyBorder="1" applyAlignment="1">
      <alignment horizontal="left" vertical="center"/>
    </xf>
    <xf numFmtId="0" fontId="4" fillId="12" borderId="4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14" borderId="4" xfId="0" applyFont="1" applyFill="1" applyBorder="1" applyAlignment="1">
      <alignment horizontal="left" vertical="center" wrapText="1"/>
    </xf>
    <xf numFmtId="0" fontId="3" fillId="15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/>
    </xf>
    <xf numFmtId="0" fontId="3" fillId="14" borderId="4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left" vertical="center"/>
    </xf>
    <xf numFmtId="0" fontId="2" fillId="19" borderId="4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8" fillId="2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" fillId="5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vertical="center" wrapText="1"/>
    </xf>
    <xf numFmtId="0" fontId="8" fillId="8" borderId="4" xfId="0" applyFont="1" applyFill="1" applyBorder="1" applyAlignment="1">
      <alignment vertical="center" wrapText="1"/>
    </xf>
    <xf numFmtId="0" fontId="6" fillId="13" borderId="4" xfId="0" applyFont="1" applyFill="1" applyBorder="1" applyAlignment="1">
      <alignment vertical="center"/>
    </xf>
    <xf numFmtId="0" fontId="4" fillId="21" borderId="4" xfId="0" applyFont="1" applyFill="1" applyBorder="1" applyAlignment="1">
      <alignment vertical="center"/>
    </xf>
    <xf numFmtId="0" fontId="4" fillId="20" borderId="4" xfId="0" applyFont="1" applyFill="1" applyBorder="1" applyAlignment="1">
      <alignment vertical="center"/>
    </xf>
    <xf numFmtId="0" fontId="2" fillId="16" borderId="5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3" fillId="2" borderId="8" xfId="0" applyFont="1" applyFill="1" applyBorder="1" applyAlignment="1">
      <alignment horizontal="left" vertical="center" wrapText="1"/>
    </xf>
    <xf numFmtId="0" fontId="2" fillId="17" borderId="4" xfId="0" applyFont="1" applyFill="1" applyBorder="1" applyAlignment="1">
      <alignment horizontal="right" vertical="center"/>
    </xf>
    <xf numFmtId="0" fontId="2" fillId="23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1">
    <cellStyle name="Normal" xfId="0" builtinId="0"/>
  </cellStyles>
  <dxfs count="27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79D"/>
      <color rgb="FFFDF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4" displayName="Tabla4" ref="A1:U2" totalsRowShown="0">
  <tableColumns count="21">
    <tableColumn id="1" xr3:uid="{00000000-0010-0000-0000-000001000000}" name="1"/>
    <tableColumn id="2" xr3:uid="{00000000-0010-0000-0000-000002000000}" name="Disjunta 1"/>
    <tableColumn id="3" xr3:uid="{00000000-0010-0000-0000-000003000000}" name="Disjunta 2"/>
    <tableColumn id="4" xr3:uid="{00000000-0010-0000-0000-000004000000}" name="Disjunta 3"/>
    <tableColumn id="5" xr3:uid="{00000000-0010-0000-0000-000005000000}" name="Disjunta 4"/>
    <tableColumn id="6" xr3:uid="{00000000-0010-0000-0000-000006000000}" name="Disjunta 5"/>
    <tableColumn id="7" xr3:uid="{00000000-0010-0000-0000-000007000000}" name="Disjunta 6"/>
    <tableColumn id="8" xr3:uid="{00000000-0010-0000-0000-000008000000}" name="Disjunta 7"/>
    <tableColumn id="9" xr3:uid="{00000000-0010-0000-0000-000009000000}" name="Disjunta 8"/>
    <tableColumn id="10" xr3:uid="{00000000-0010-0000-0000-00000A000000}" name="Disjunta 9"/>
    <tableColumn id="11" xr3:uid="{00000000-0010-0000-0000-00000B000000}" name="Disjunta 10"/>
    <tableColumn id="12" xr3:uid="{00000000-0010-0000-0000-00000C000000}" name="Disjunta 11"/>
    <tableColumn id="13" xr3:uid="{00000000-0010-0000-0000-00000D000000}" name="Disjunta 12"/>
    <tableColumn id="14" xr3:uid="{00000000-0010-0000-0000-00000E000000}" name="Disjunta 13"/>
    <tableColumn id="15" xr3:uid="{00000000-0010-0000-0000-00000F000000}" name="Disjunta 14"/>
    <tableColumn id="16" xr3:uid="{00000000-0010-0000-0000-000010000000}" name="Disjunta 15"/>
    <tableColumn id="17" xr3:uid="{00000000-0010-0000-0000-000011000000}" name="Disjunta 16"/>
    <tableColumn id="18" xr3:uid="{00000000-0010-0000-0000-000012000000}" name="Disjunta 17"/>
    <tableColumn id="19" xr3:uid="{00000000-0010-0000-0000-000013000000}" name="Disjunta 18"/>
    <tableColumn id="20" xr3:uid="{00000000-0010-0000-0000-000014000000}" name="Disjunta 19"/>
    <tableColumn id="21" xr3:uid="{00000000-0010-0000-0000-000015000000}" name="Disjunta 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sheetPr codeName="Planilha1"/>
  <dimension ref="A1:C24"/>
  <sheetViews>
    <sheetView zoomScale="175" zoomScaleNormal="175" workbookViewId="0">
      <pane ySplit="1" topLeftCell="A2" activePane="bottomLeft" state="frozen"/>
      <selection pane="bottomLeft" activeCell="B4" sqref="B4"/>
    </sheetView>
  </sheetViews>
  <sheetFormatPr defaultColWidth="9.140625" defaultRowHeight="9.75" customHeight="1" x14ac:dyDescent="0.25"/>
  <cols>
    <col min="1" max="1" width="8.7109375" style="54" customWidth="1"/>
    <col min="2" max="2" width="40.140625" style="54" customWidth="1"/>
    <col min="3" max="3" width="3.42578125" style="40" bestFit="1" customWidth="1"/>
    <col min="4" max="16384" width="9.140625" style="54"/>
  </cols>
  <sheetData>
    <row r="1" spans="1:3" ht="20.25" customHeight="1" x14ac:dyDescent="0.25">
      <c r="A1" s="11" t="s">
        <v>44</v>
      </c>
      <c r="B1" s="11" t="s">
        <v>45</v>
      </c>
      <c r="C1" s="38" t="s">
        <v>89</v>
      </c>
    </row>
    <row r="2" spans="1:3" ht="9" customHeight="1" x14ac:dyDescent="0.25">
      <c r="A2" s="12" t="s">
        <v>46</v>
      </c>
      <c r="B2" s="12" t="s">
        <v>47</v>
      </c>
      <c r="C2" s="39" t="s">
        <v>90</v>
      </c>
    </row>
    <row r="3" spans="1:3" ht="9" customHeight="1" x14ac:dyDescent="0.25">
      <c r="A3" s="12" t="s">
        <v>48</v>
      </c>
      <c r="B3" s="12" t="s">
        <v>213</v>
      </c>
      <c r="C3" s="39" t="s">
        <v>90</v>
      </c>
    </row>
    <row r="4" spans="1:3" ht="9" customHeight="1" x14ac:dyDescent="0.25">
      <c r="A4" s="13" t="s">
        <v>49</v>
      </c>
      <c r="B4" s="13" t="s">
        <v>32</v>
      </c>
      <c r="C4" s="39" t="s">
        <v>90</v>
      </c>
    </row>
    <row r="5" spans="1:3" ht="9" customHeight="1" x14ac:dyDescent="0.25">
      <c r="A5" s="13" t="s">
        <v>50</v>
      </c>
      <c r="B5" s="13" t="str">
        <f>_xlfn.CONCAT(B4,"Prop")</f>
        <v>BIMProp</v>
      </c>
      <c r="C5" s="39" t="s">
        <v>90</v>
      </c>
    </row>
    <row r="6" spans="1:3" ht="9" customHeight="1" x14ac:dyDescent="0.25">
      <c r="A6" s="13" t="s">
        <v>51</v>
      </c>
      <c r="B6" s="13" t="str">
        <f>_xlfn.CONCAT(B4,"Data")</f>
        <v>BIMData</v>
      </c>
      <c r="C6" s="39" t="s">
        <v>90</v>
      </c>
    </row>
    <row r="7" spans="1:3" ht="9" customHeight="1" x14ac:dyDescent="0.25">
      <c r="A7" s="13" t="s">
        <v>52</v>
      </c>
      <c r="B7" s="13" t="s">
        <v>53</v>
      </c>
      <c r="C7" s="39" t="s">
        <v>90</v>
      </c>
    </row>
    <row r="8" spans="1:3" s="37" customFormat="1" ht="9" customHeight="1" x14ac:dyDescent="0.25">
      <c r="A8" s="36" t="s">
        <v>54</v>
      </c>
      <c r="B8" s="36" t="s">
        <v>87</v>
      </c>
      <c r="C8" s="39" t="s">
        <v>90</v>
      </c>
    </row>
    <row r="9" spans="1:3" ht="9" customHeight="1" x14ac:dyDescent="0.25">
      <c r="A9" s="13" t="s">
        <v>55</v>
      </c>
      <c r="B9" s="13" t="s">
        <v>56</v>
      </c>
      <c r="C9" s="39" t="s">
        <v>90</v>
      </c>
    </row>
    <row r="10" spans="1:3" ht="9" customHeight="1" x14ac:dyDescent="0.25">
      <c r="A10" s="13" t="s">
        <v>57</v>
      </c>
      <c r="B10" s="13" t="s">
        <v>58</v>
      </c>
      <c r="C10" s="39" t="s">
        <v>90</v>
      </c>
    </row>
    <row r="11" spans="1:3" ht="9" customHeight="1" x14ac:dyDescent="0.25">
      <c r="A11" s="13" t="s">
        <v>59</v>
      </c>
      <c r="B11" s="13" t="s">
        <v>58</v>
      </c>
      <c r="C11" s="39" t="s">
        <v>90</v>
      </c>
    </row>
    <row r="12" spans="1:3" ht="9" customHeight="1" x14ac:dyDescent="0.25">
      <c r="A12" s="13" t="s">
        <v>60</v>
      </c>
      <c r="B12" s="13" t="s">
        <v>58</v>
      </c>
      <c r="C12" s="39" t="s">
        <v>90</v>
      </c>
    </row>
    <row r="13" spans="1:3" ht="9" customHeight="1" x14ac:dyDescent="0.25">
      <c r="A13" s="13" t="s">
        <v>61</v>
      </c>
      <c r="B13" s="13" t="s">
        <v>58</v>
      </c>
      <c r="C13" s="39" t="s">
        <v>90</v>
      </c>
    </row>
    <row r="14" spans="1:3" ht="9" customHeight="1" x14ac:dyDescent="0.25">
      <c r="A14" s="13" t="s">
        <v>62</v>
      </c>
      <c r="B14" s="13" t="s">
        <v>58</v>
      </c>
      <c r="C14" s="39" t="s">
        <v>90</v>
      </c>
    </row>
    <row r="15" spans="1:3" ht="9" customHeight="1" x14ac:dyDescent="0.25">
      <c r="A15" s="13" t="s">
        <v>63</v>
      </c>
      <c r="B15" s="13" t="s">
        <v>58</v>
      </c>
      <c r="C15" s="39" t="s">
        <v>90</v>
      </c>
    </row>
    <row r="16" spans="1:3" ht="9" customHeight="1" x14ac:dyDescent="0.25">
      <c r="A16" s="13" t="s">
        <v>64</v>
      </c>
      <c r="B16" s="13" t="s">
        <v>58</v>
      </c>
      <c r="C16" s="39" t="s">
        <v>90</v>
      </c>
    </row>
    <row r="17" spans="1:3" ht="9" customHeight="1" x14ac:dyDescent="0.25">
      <c r="A17" s="13" t="s">
        <v>65</v>
      </c>
      <c r="B17" s="13" t="s">
        <v>216</v>
      </c>
      <c r="C17" s="39" t="s">
        <v>90</v>
      </c>
    </row>
    <row r="18" spans="1:3" ht="9" customHeight="1" x14ac:dyDescent="0.25">
      <c r="A18" s="13" t="s">
        <v>66</v>
      </c>
      <c r="B18" s="14">
        <f ca="1">NOW()</f>
        <v>46244.671326851851</v>
      </c>
      <c r="C18" s="39" t="s">
        <v>90</v>
      </c>
    </row>
    <row r="19" spans="1:3" ht="9" customHeight="1" x14ac:dyDescent="0.25">
      <c r="A19" s="13" t="s">
        <v>67</v>
      </c>
      <c r="B19" s="14" t="s">
        <v>68</v>
      </c>
      <c r="C19" s="39" t="s">
        <v>90</v>
      </c>
    </row>
    <row r="20" spans="1:3" ht="9" customHeight="1" x14ac:dyDescent="0.25">
      <c r="A20" s="13" t="s">
        <v>69</v>
      </c>
      <c r="B20" s="13" t="s">
        <v>58</v>
      </c>
      <c r="C20" s="39" t="s">
        <v>90</v>
      </c>
    </row>
    <row r="21" spans="1:3" ht="9" customHeight="1" x14ac:dyDescent="0.25">
      <c r="A21" s="13" t="s">
        <v>70</v>
      </c>
      <c r="B21" s="13" t="s">
        <v>58</v>
      </c>
      <c r="C21" s="39" t="s">
        <v>90</v>
      </c>
    </row>
    <row r="22" spans="1:3" ht="9" customHeight="1" x14ac:dyDescent="0.25">
      <c r="A22" s="13" t="s">
        <v>71</v>
      </c>
      <c r="B22" s="15" t="s">
        <v>214</v>
      </c>
      <c r="C22" s="39" t="s">
        <v>90</v>
      </c>
    </row>
    <row r="23" spans="1:3" ht="9" customHeight="1" x14ac:dyDescent="0.25">
      <c r="A23" s="13" t="s">
        <v>72</v>
      </c>
      <c r="B23" s="15" t="s">
        <v>215</v>
      </c>
      <c r="C23" s="39" t="s">
        <v>91</v>
      </c>
    </row>
    <row r="24" spans="1:3" s="37" customFormat="1" ht="9" customHeight="1" x14ac:dyDescent="0.25">
      <c r="A24" s="13" t="s">
        <v>88</v>
      </c>
      <c r="B24" s="15" t="str">
        <f>_xlfn.TRANSLATE(B22,"pt","en")</f>
        <v>Formalize elements of the BIM project. Specific Objects of Hydraulics and Sanitary Sewer</v>
      </c>
      <c r="C24" s="39" t="s">
        <v>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2D63-9637-42D9-866B-0BB924A50D8C}">
  <sheetPr codeName="Planilha2"/>
  <dimension ref="A1:AA40"/>
  <sheetViews>
    <sheetView zoomScale="205" zoomScaleNormal="205" workbookViewId="0">
      <pane ySplit="1" topLeftCell="A2" activePane="bottomLeft" state="frozen"/>
      <selection activeCell="A179" sqref="A179:XFD190"/>
      <selection pane="bottomLeft" activeCell="C2" sqref="C2"/>
    </sheetView>
  </sheetViews>
  <sheetFormatPr defaultColWidth="9.140625" defaultRowHeight="6.6" customHeight="1" x14ac:dyDescent="0.25"/>
  <cols>
    <col min="1" max="1" width="2.42578125" bestFit="1" customWidth="1"/>
    <col min="2" max="2" width="5.7109375" style="52" bestFit="1" customWidth="1"/>
    <col min="3" max="3" width="8.85546875" style="52" customWidth="1"/>
    <col min="4" max="4" width="12.7109375" style="52" bestFit="1" customWidth="1"/>
    <col min="5" max="5" width="13.28515625" style="52" bestFit="1" customWidth="1"/>
    <col min="6" max="6" width="12.140625" style="59" bestFit="1" customWidth="1"/>
    <col min="7" max="11" width="8" style="52" bestFit="1" customWidth="1"/>
    <col min="12" max="12" width="8.85546875" style="52" bestFit="1" customWidth="1"/>
    <col min="13" max="13" width="12.7109375" style="52" bestFit="1" customWidth="1"/>
    <col min="14" max="14" width="13.28515625" style="52" bestFit="1" customWidth="1"/>
    <col min="15" max="15" width="13.140625" style="52" bestFit="1" customWidth="1"/>
    <col min="16" max="16" width="64.5703125" style="52" bestFit="1" customWidth="1"/>
    <col min="17" max="17" width="41" style="52" bestFit="1" customWidth="1"/>
    <col min="18" max="18" width="3.85546875" style="52" bestFit="1" customWidth="1"/>
    <col min="19" max="19" width="8.7109375" style="52" bestFit="1" customWidth="1"/>
    <col min="20" max="20" width="6.85546875" style="52" bestFit="1" customWidth="1"/>
    <col min="21" max="21" width="13.28515625" style="52" bestFit="1" customWidth="1"/>
    <col min="22" max="22" width="8.5703125" style="52" bestFit="1" customWidth="1"/>
    <col min="23" max="23" width="8.7109375" style="52" bestFit="1" customWidth="1"/>
    <col min="24" max="24" width="43.85546875" style="52" bestFit="1" customWidth="1"/>
    <col min="25" max="25" width="19.28515625" style="53" customWidth="1"/>
    <col min="26" max="26" width="7.28515625" style="52" bestFit="1" customWidth="1"/>
    <col min="27" max="27" width="67.7109375" style="52" bestFit="1" customWidth="1"/>
    <col min="28" max="16384" width="9.140625" style="52"/>
  </cols>
  <sheetData>
    <row r="1" spans="1:27" ht="55.5" customHeight="1" x14ac:dyDescent="0.25">
      <c r="A1" s="42" t="s">
        <v>93</v>
      </c>
      <c r="B1" s="43" t="s">
        <v>42</v>
      </c>
      <c r="C1" s="43" t="s">
        <v>40</v>
      </c>
      <c r="D1" s="43" t="s">
        <v>41</v>
      </c>
      <c r="E1" s="43" t="s">
        <v>39</v>
      </c>
      <c r="F1" s="43" t="s">
        <v>36</v>
      </c>
      <c r="G1" s="44" t="s">
        <v>0</v>
      </c>
      <c r="H1" s="44" t="s">
        <v>1</v>
      </c>
      <c r="I1" s="44" t="s">
        <v>2</v>
      </c>
      <c r="J1" s="44" t="s">
        <v>3</v>
      </c>
      <c r="K1" s="44" t="s">
        <v>4</v>
      </c>
      <c r="L1" s="34" t="s">
        <v>94</v>
      </c>
      <c r="M1" s="34" t="s">
        <v>5</v>
      </c>
      <c r="N1" s="34" t="s">
        <v>6</v>
      </c>
      <c r="O1" s="34" t="s">
        <v>7</v>
      </c>
      <c r="P1" s="34" t="s">
        <v>37</v>
      </c>
      <c r="Q1" s="34" t="s">
        <v>43</v>
      </c>
      <c r="R1" s="34" t="s">
        <v>95</v>
      </c>
      <c r="S1" s="34" t="s">
        <v>33</v>
      </c>
      <c r="T1" s="34" t="s">
        <v>38</v>
      </c>
      <c r="U1" s="45" t="s">
        <v>35</v>
      </c>
      <c r="V1" s="34" t="s">
        <v>34</v>
      </c>
      <c r="W1" s="55" t="s">
        <v>8</v>
      </c>
      <c r="X1" s="34" t="s">
        <v>83</v>
      </c>
      <c r="Y1" s="34" t="s">
        <v>84</v>
      </c>
      <c r="Z1" s="34" t="s">
        <v>85</v>
      </c>
      <c r="AA1" s="35" t="s">
        <v>86</v>
      </c>
    </row>
    <row r="2" spans="1:27" ht="6.6" customHeight="1" x14ac:dyDescent="0.25">
      <c r="A2" s="56">
        <v>2</v>
      </c>
      <c r="B2" s="1" t="s">
        <v>252</v>
      </c>
      <c r="C2" s="41" t="s">
        <v>253</v>
      </c>
      <c r="D2" s="41" t="s">
        <v>255</v>
      </c>
      <c r="E2" s="41" t="s">
        <v>133</v>
      </c>
      <c r="F2" s="41" t="s">
        <v>162</v>
      </c>
      <c r="G2" s="58" t="s">
        <v>9</v>
      </c>
      <c r="H2" s="58" t="s">
        <v>9</v>
      </c>
      <c r="I2" s="58" t="s">
        <v>9</v>
      </c>
      <c r="J2" s="58" t="s">
        <v>9</v>
      </c>
      <c r="K2" s="58" t="s">
        <v>9</v>
      </c>
      <c r="L2" s="32" t="str">
        <f t="shared" ref="L2:L32" si="0">CONCATENATE("", C2)</f>
        <v>Sistemas.Prediais</v>
      </c>
      <c r="M2" s="32" t="str">
        <f t="shared" ref="M2:M32" si="1">CONCATENATE("", D2)</f>
        <v>Sistemas.Hidrossanitários</v>
      </c>
      <c r="N2" s="32" t="str">
        <f t="shared" ref="N2:N32" si="2">(SUBSTITUTE(SUBSTITUTE(CONCATENATE("",E2),"."," ")," De "," de "))</f>
        <v>Sistema Sanitário</v>
      </c>
      <c r="O2" s="29" t="str">
        <f t="shared" ref="O2:O40" si="3">IF(ISNUMBER(FIND("Ifc",F2)),CONCATENATE("Classe IFC:   ",F2),CONCATENATE("",F2))</f>
        <v>Sistema.ESG</v>
      </c>
      <c r="P2" s="51" t="s">
        <v>152</v>
      </c>
      <c r="Q2" s="51" t="s">
        <v>156</v>
      </c>
      <c r="R2" s="29" t="s">
        <v>9</v>
      </c>
      <c r="S2" s="29" t="s">
        <v>160</v>
      </c>
      <c r="T2" s="29" t="s">
        <v>159</v>
      </c>
      <c r="U2" s="29" t="str">
        <f t="shared" ref="U2:U32" si="4">SUBSTITUTE(E2, "_", " ")</f>
        <v>Sistema.Sanitário</v>
      </c>
      <c r="V2" s="29" t="s">
        <v>161</v>
      </c>
      <c r="W2" s="57" t="str">
        <f t="shared" ref="W2:W40" si="5">CONCATENATE("Key-HIDR-",A2)</f>
        <v>Key-HIDR-2</v>
      </c>
      <c r="X2" s="28" t="s">
        <v>197</v>
      </c>
      <c r="Y2" s="28" t="s">
        <v>235</v>
      </c>
      <c r="Z2" s="29" t="s">
        <v>128</v>
      </c>
      <c r="AA2" s="29" t="str">
        <f>_xlfn.TRANSLATE(P2,"pt","en")</f>
        <v>Building Sewer System</v>
      </c>
    </row>
    <row r="3" spans="1:27" ht="6.6" customHeight="1" x14ac:dyDescent="0.25">
      <c r="A3" s="56">
        <v>3</v>
      </c>
      <c r="B3" s="1" t="s">
        <v>252</v>
      </c>
      <c r="C3" s="41" t="s">
        <v>253</v>
      </c>
      <c r="D3" s="41" t="s">
        <v>255</v>
      </c>
      <c r="E3" s="41" t="s">
        <v>134</v>
      </c>
      <c r="F3" s="41" t="s">
        <v>228</v>
      </c>
      <c r="G3" s="58" t="s">
        <v>9</v>
      </c>
      <c r="H3" s="58" t="s">
        <v>9</v>
      </c>
      <c r="I3" s="58" t="s">
        <v>9</v>
      </c>
      <c r="J3" s="58" t="s">
        <v>9</v>
      </c>
      <c r="K3" s="58" t="s">
        <v>9</v>
      </c>
      <c r="L3" s="32" t="str">
        <f t="shared" ref="L3:L12" si="6">CONCATENATE("", C3)</f>
        <v>Sistemas.Prediais</v>
      </c>
      <c r="M3" s="32" t="str">
        <f t="shared" ref="M3:M12" si="7">CONCATENATE("", D3)</f>
        <v>Sistemas.Hidrossanitários</v>
      </c>
      <c r="N3" s="32" t="str">
        <f t="shared" ref="N3:N12" si="8">(SUBSTITUTE(SUBSTITUTE(CONCATENATE("",E3),"."," ")," De "," de "))</f>
        <v>Sistema Hidráulico</v>
      </c>
      <c r="O3" s="29" t="str">
        <f t="shared" si="3"/>
        <v>Sistema.AFR</v>
      </c>
      <c r="P3" s="51" t="s">
        <v>154</v>
      </c>
      <c r="Q3" s="51" t="s">
        <v>154</v>
      </c>
      <c r="R3" s="29" t="s">
        <v>9</v>
      </c>
      <c r="S3" s="29" t="s">
        <v>160</v>
      </c>
      <c r="T3" s="29" t="s">
        <v>159</v>
      </c>
      <c r="U3" s="29" t="str">
        <f t="shared" ref="U3:U12" si="9">SUBSTITUTE(E3, "_", " ")</f>
        <v>Sistema.Hidráulico</v>
      </c>
      <c r="V3" s="29" t="s">
        <v>161</v>
      </c>
      <c r="W3" s="57" t="str">
        <f t="shared" si="5"/>
        <v>Key-HIDR-3</v>
      </c>
      <c r="X3" s="28" t="s">
        <v>197</v>
      </c>
      <c r="Y3" s="28" t="s">
        <v>233</v>
      </c>
      <c r="Z3" s="29" t="s">
        <v>163</v>
      </c>
      <c r="AA3" s="29" t="str">
        <f>_xlfn.TRANSLATE(P3,"pt","en")</f>
        <v>Building Cold Water System</v>
      </c>
    </row>
    <row r="4" spans="1:27" ht="6.6" customHeight="1" x14ac:dyDescent="0.25">
      <c r="A4" s="56">
        <v>4</v>
      </c>
      <c r="B4" s="1" t="s">
        <v>252</v>
      </c>
      <c r="C4" s="41" t="s">
        <v>253</v>
      </c>
      <c r="D4" s="41" t="s">
        <v>255</v>
      </c>
      <c r="E4" s="41" t="s">
        <v>134</v>
      </c>
      <c r="F4" s="41" t="s">
        <v>229</v>
      </c>
      <c r="G4" s="58" t="s">
        <v>9</v>
      </c>
      <c r="H4" s="58" t="s">
        <v>9</v>
      </c>
      <c r="I4" s="58" t="s">
        <v>9</v>
      </c>
      <c r="J4" s="58" t="s">
        <v>9</v>
      </c>
      <c r="K4" s="58" t="s">
        <v>9</v>
      </c>
      <c r="L4" s="32" t="str">
        <f t="shared" si="6"/>
        <v>Sistemas.Prediais</v>
      </c>
      <c r="M4" s="32" t="str">
        <f t="shared" si="7"/>
        <v>Sistemas.Hidrossanitários</v>
      </c>
      <c r="N4" s="32" t="str">
        <f t="shared" si="8"/>
        <v>Sistema Hidráulico</v>
      </c>
      <c r="O4" s="29" t="str">
        <f t="shared" si="3"/>
        <v>Sistema.AQT</v>
      </c>
      <c r="P4" s="51" t="s">
        <v>153</v>
      </c>
      <c r="Q4" s="51" t="s">
        <v>157</v>
      </c>
      <c r="R4" s="29" t="s">
        <v>9</v>
      </c>
      <c r="S4" s="29" t="s">
        <v>160</v>
      </c>
      <c r="T4" s="29" t="s">
        <v>159</v>
      </c>
      <c r="U4" s="29" t="str">
        <f t="shared" si="9"/>
        <v>Sistema.Hidráulico</v>
      </c>
      <c r="V4" s="29" t="s">
        <v>161</v>
      </c>
      <c r="W4" s="57" t="str">
        <f t="shared" si="5"/>
        <v>Key-HIDR-4</v>
      </c>
      <c r="X4" s="28" t="s">
        <v>197</v>
      </c>
      <c r="Y4" s="28" t="s">
        <v>234</v>
      </c>
      <c r="Z4" s="29" t="s">
        <v>163</v>
      </c>
      <c r="AA4" s="29" t="str">
        <f>_xlfn.TRANSLATE(P4,"pt","en")</f>
        <v>Building Hot Water System</v>
      </c>
    </row>
    <row r="5" spans="1:27" ht="6.6" customHeight="1" x14ac:dyDescent="0.25">
      <c r="A5" s="56">
        <v>5</v>
      </c>
      <c r="B5" s="1" t="s">
        <v>252</v>
      </c>
      <c r="C5" s="41" t="s">
        <v>253</v>
      </c>
      <c r="D5" s="1" t="s">
        <v>254</v>
      </c>
      <c r="E5" s="41" t="s">
        <v>227</v>
      </c>
      <c r="F5" s="41" t="s">
        <v>171</v>
      </c>
      <c r="G5" s="58" t="s">
        <v>9</v>
      </c>
      <c r="H5" s="58" t="s">
        <v>9</v>
      </c>
      <c r="I5" s="58" t="s">
        <v>9</v>
      </c>
      <c r="J5" s="58" t="s">
        <v>9</v>
      </c>
      <c r="K5" s="58" t="s">
        <v>9</v>
      </c>
      <c r="L5" s="32" t="str">
        <f t="shared" si="6"/>
        <v>Sistemas.Prediais</v>
      </c>
      <c r="M5" s="32" t="str">
        <f t="shared" si="7"/>
        <v>Elementos.Hidráulicos</v>
      </c>
      <c r="N5" s="32" t="str">
        <f t="shared" si="8"/>
        <v>Peças Hidráulicas</v>
      </c>
      <c r="O5" s="29" t="str">
        <f t="shared" si="3"/>
        <v>Torneira</v>
      </c>
      <c r="P5" s="51" t="s">
        <v>171</v>
      </c>
      <c r="Q5" s="29" t="s">
        <v>183</v>
      </c>
      <c r="R5" s="29" t="s">
        <v>9</v>
      </c>
      <c r="S5" s="29" t="s">
        <v>160</v>
      </c>
      <c r="T5" s="29" t="s">
        <v>159</v>
      </c>
      <c r="U5" s="29" t="str">
        <f t="shared" si="9"/>
        <v>Peças.Hidráulicas</v>
      </c>
      <c r="V5" s="29" t="s">
        <v>161</v>
      </c>
      <c r="W5" s="57" t="str">
        <f t="shared" si="5"/>
        <v>Key-HIDR-5</v>
      </c>
      <c r="X5" s="28" t="s">
        <v>190</v>
      </c>
      <c r="Y5" s="28" t="s">
        <v>192</v>
      </c>
      <c r="Z5" s="29" t="s">
        <v>163</v>
      </c>
      <c r="AA5" s="29" t="str">
        <f t="shared" ref="AA5:AA12" si="10">_xlfn.TRANSLATE(P5,"pt","en")</f>
        <v>Tap</v>
      </c>
    </row>
    <row r="6" spans="1:27" ht="6.6" customHeight="1" x14ac:dyDescent="0.25">
      <c r="A6" s="56">
        <v>6</v>
      </c>
      <c r="B6" s="1" t="s">
        <v>252</v>
      </c>
      <c r="C6" s="41" t="s">
        <v>253</v>
      </c>
      <c r="D6" s="1" t="s">
        <v>254</v>
      </c>
      <c r="E6" s="41" t="s">
        <v>227</v>
      </c>
      <c r="F6" s="41" t="s">
        <v>172</v>
      </c>
      <c r="G6" s="58" t="s">
        <v>9</v>
      </c>
      <c r="H6" s="58" t="s">
        <v>9</v>
      </c>
      <c r="I6" s="58" t="s">
        <v>9</v>
      </c>
      <c r="J6" s="58" t="s">
        <v>9</v>
      </c>
      <c r="K6" s="58" t="s">
        <v>9</v>
      </c>
      <c r="L6" s="32" t="str">
        <f t="shared" si="6"/>
        <v>Sistemas.Prediais</v>
      </c>
      <c r="M6" s="32" t="str">
        <f t="shared" si="7"/>
        <v>Elementos.Hidráulicos</v>
      </c>
      <c r="N6" s="32" t="str">
        <f t="shared" si="8"/>
        <v>Peças Hidráulicas</v>
      </c>
      <c r="O6" s="29" t="str">
        <f t="shared" si="3"/>
        <v>Misturador</v>
      </c>
      <c r="P6" s="51" t="s">
        <v>172</v>
      </c>
      <c r="Q6" s="29" t="str">
        <f t="shared" ref="Q6:Q12" si="11">_xlfn.TRANSLATE(P6,"pt","es")</f>
        <v>Mezclador</v>
      </c>
      <c r="R6" s="29" t="s">
        <v>9</v>
      </c>
      <c r="S6" s="29" t="s">
        <v>160</v>
      </c>
      <c r="T6" s="29" t="s">
        <v>159</v>
      </c>
      <c r="U6" s="29" t="str">
        <f t="shared" si="9"/>
        <v>Peças.Hidráulicas</v>
      </c>
      <c r="V6" s="29" t="s">
        <v>161</v>
      </c>
      <c r="W6" s="57" t="str">
        <f t="shared" si="5"/>
        <v>Key-HIDR-6</v>
      </c>
      <c r="X6" s="28" t="s">
        <v>190</v>
      </c>
      <c r="Y6" s="28" t="s">
        <v>192</v>
      </c>
      <c r="Z6" s="29" t="s">
        <v>163</v>
      </c>
      <c r="AA6" s="29" t="str">
        <f t="shared" si="10"/>
        <v>Mixer</v>
      </c>
    </row>
    <row r="7" spans="1:27" ht="6.6" customHeight="1" x14ac:dyDescent="0.25">
      <c r="A7" s="56">
        <v>7</v>
      </c>
      <c r="B7" s="1" t="s">
        <v>252</v>
      </c>
      <c r="C7" s="41" t="s">
        <v>253</v>
      </c>
      <c r="D7" s="1" t="s">
        <v>254</v>
      </c>
      <c r="E7" s="41" t="s">
        <v>227</v>
      </c>
      <c r="F7" s="41" t="s">
        <v>174</v>
      </c>
      <c r="G7" s="58" t="s">
        <v>9</v>
      </c>
      <c r="H7" s="58" t="s">
        <v>9</v>
      </c>
      <c r="I7" s="58" t="s">
        <v>9</v>
      </c>
      <c r="J7" s="58" t="s">
        <v>9</v>
      </c>
      <c r="K7" s="58" t="s">
        <v>9</v>
      </c>
      <c r="L7" s="32" t="str">
        <f t="shared" si="6"/>
        <v>Sistemas.Prediais</v>
      </c>
      <c r="M7" s="32" t="str">
        <f t="shared" si="7"/>
        <v>Elementos.Hidráulicos</v>
      </c>
      <c r="N7" s="32" t="str">
        <f t="shared" si="8"/>
        <v>Peças Hidráulicas</v>
      </c>
      <c r="O7" s="29" t="str">
        <f t="shared" si="3"/>
        <v>Registro</v>
      </c>
      <c r="P7" s="51" t="s">
        <v>174</v>
      </c>
      <c r="Q7" s="29" t="str">
        <f t="shared" si="11"/>
        <v>Registro</v>
      </c>
      <c r="R7" s="29" t="s">
        <v>9</v>
      </c>
      <c r="S7" s="29" t="s">
        <v>160</v>
      </c>
      <c r="T7" s="29" t="s">
        <v>159</v>
      </c>
      <c r="U7" s="29" t="str">
        <f t="shared" si="9"/>
        <v>Peças.Hidráulicas</v>
      </c>
      <c r="V7" s="29" t="s">
        <v>161</v>
      </c>
      <c r="W7" s="57" t="str">
        <f t="shared" si="5"/>
        <v>Key-HIDR-7</v>
      </c>
      <c r="X7" s="28" t="s">
        <v>190</v>
      </c>
      <c r="Y7" s="28" t="s">
        <v>192</v>
      </c>
      <c r="Z7" s="29" t="s">
        <v>163</v>
      </c>
      <c r="AA7" s="29" t="str">
        <f t="shared" si="10"/>
        <v>Registration</v>
      </c>
    </row>
    <row r="8" spans="1:27" ht="6.6" customHeight="1" x14ac:dyDescent="0.25">
      <c r="A8" s="56">
        <v>8</v>
      </c>
      <c r="B8" s="1" t="s">
        <v>252</v>
      </c>
      <c r="C8" s="41" t="s">
        <v>253</v>
      </c>
      <c r="D8" s="1" t="s">
        <v>254</v>
      </c>
      <c r="E8" s="41" t="s">
        <v>227</v>
      </c>
      <c r="F8" s="41" t="s">
        <v>173</v>
      </c>
      <c r="G8" s="58" t="s">
        <v>9</v>
      </c>
      <c r="H8" s="58" t="s">
        <v>9</v>
      </c>
      <c r="I8" s="58" t="s">
        <v>9</v>
      </c>
      <c r="J8" s="58" t="s">
        <v>9</v>
      </c>
      <c r="K8" s="58" t="s">
        <v>9</v>
      </c>
      <c r="L8" s="32" t="str">
        <f t="shared" si="6"/>
        <v>Sistemas.Prediais</v>
      </c>
      <c r="M8" s="32" t="str">
        <f t="shared" si="7"/>
        <v>Elementos.Hidráulicos</v>
      </c>
      <c r="N8" s="32" t="str">
        <f t="shared" si="8"/>
        <v>Peças Hidráulicas</v>
      </c>
      <c r="O8" s="29" t="str">
        <f t="shared" si="3"/>
        <v>Válvula</v>
      </c>
      <c r="P8" s="51" t="s">
        <v>173</v>
      </c>
      <c r="Q8" s="29" t="str">
        <f t="shared" si="11"/>
        <v>Válvula</v>
      </c>
      <c r="R8" s="29" t="s">
        <v>9</v>
      </c>
      <c r="S8" s="29" t="s">
        <v>160</v>
      </c>
      <c r="T8" s="29" t="s">
        <v>159</v>
      </c>
      <c r="U8" s="29" t="str">
        <f t="shared" si="9"/>
        <v>Peças.Hidráulicas</v>
      </c>
      <c r="V8" s="29" t="s">
        <v>161</v>
      </c>
      <c r="W8" s="57" t="str">
        <f t="shared" si="5"/>
        <v>Key-HIDR-8</v>
      </c>
      <c r="X8" s="28" t="s">
        <v>190</v>
      </c>
      <c r="Y8" s="28" t="s">
        <v>192</v>
      </c>
      <c r="Z8" s="29" t="s">
        <v>163</v>
      </c>
      <c r="AA8" s="29" t="str">
        <f t="shared" si="10"/>
        <v>Valve</v>
      </c>
    </row>
    <row r="9" spans="1:27" ht="6.6" customHeight="1" x14ac:dyDescent="0.25">
      <c r="A9" s="56">
        <v>9</v>
      </c>
      <c r="B9" s="1" t="s">
        <v>252</v>
      </c>
      <c r="C9" s="41" t="s">
        <v>253</v>
      </c>
      <c r="D9" s="1" t="s">
        <v>254</v>
      </c>
      <c r="E9" s="41" t="s">
        <v>227</v>
      </c>
      <c r="F9" s="41" t="s">
        <v>170</v>
      </c>
      <c r="G9" s="58" t="s">
        <v>9</v>
      </c>
      <c r="H9" s="58" t="s">
        <v>9</v>
      </c>
      <c r="I9" s="58" t="s">
        <v>9</v>
      </c>
      <c r="J9" s="58" t="s">
        <v>9</v>
      </c>
      <c r="K9" s="58" t="s">
        <v>9</v>
      </c>
      <c r="L9" s="32" t="str">
        <f t="shared" ref="L9:L11" si="12">CONCATENATE("", C9)</f>
        <v>Sistemas.Prediais</v>
      </c>
      <c r="M9" s="32" t="str">
        <f t="shared" ref="M9:M11" si="13">CONCATENATE("", D9)</f>
        <v>Elementos.Hidráulicos</v>
      </c>
      <c r="N9" s="32" t="str">
        <f t="shared" ref="N9:N11" si="14">(SUBSTITUTE(SUBSTITUTE(CONCATENATE("",E9),"."," ")," De "," de "))</f>
        <v>Peças Hidráulicas</v>
      </c>
      <c r="O9" s="29" t="str">
        <f t="shared" si="3"/>
        <v>Chuveiro</v>
      </c>
      <c r="P9" s="51" t="s">
        <v>170</v>
      </c>
      <c r="Q9" s="29" t="str">
        <f t="shared" si="11"/>
        <v>Ducha</v>
      </c>
      <c r="R9" s="29" t="s">
        <v>9</v>
      </c>
      <c r="S9" s="29" t="s">
        <v>160</v>
      </c>
      <c r="T9" s="29" t="s">
        <v>159</v>
      </c>
      <c r="U9" s="29" t="str">
        <f t="shared" ref="U9:U11" si="15">SUBSTITUTE(E9, "_", " ")</f>
        <v>Peças.Hidráulicas</v>
      </c>
      <c r="V9" s="29" t="s">
        <v>161</v>
      </c>
      <c r="W9" s="57" t="str">
        <f t="shared" si="5"/>
        <v>Key-HIDR-9</v>
      </c>
      <c r="X9" s="28" t="s">
        <v>190</v>
      </c>
      <c r="Y9" s="28" t="s">
        <v>191</v>
      </c>
      <c r="Z9" s="29" t="s">
        <v>163</v>
      </c>
      <c r="AA9" s="29" t="str">
        <f t="shared" ref="AA9:AA10" si="16">_xlfn.TRANSLATE(P9,"pt","en")</f>
        <v>Shower</v>
      </c>
    </row>
    <row r="10" spans="1:27" ht="6.6" customHeight="1" x14ac:dyDescent="0.25">
      <c r="A10" s="56">
        <v>10</v>
      </c>
      <c r="B10" s="1" t="s">
        <v>252</v>
      </c>
      <c r="C10" s="41" t="s">
        <v>253</v>
      </c>
      <c r="D10" s="1" t="s">
        <v>254</v>
      </c>
      <c r="E10" s="41" t="s">
        <v>227</v>
      </c>
      <c r="F10" s="41" t="s">
        <v>181</v>
      </c>
      <c r="G10" s="58" t="s">
        <v>9</v>
      </c>
      <c r="H10" s="58" t="s">
        <v>9</v>
      </c>
      <c r="I10" s="58" t="s">
        <v>9</v>
      </c>
      <c r="J10" s="58" t="s">
        <v>9</v>
      </c>
      <c r="K10" s="58" t="s">
        <v>9</v>
      </c>
      <c r="L10" s="32" t="str">
        <f t="shared" si="12"/>
        <v>Sistemas.Prediais</v>
      </c>
      <c r="M10" s="32" t="str">
        <f t="shared" si="13"/>
        <v>Elementos.Hidráulicos</v>
      </c>
      <c r="N10" s="32" t="str">
        <f t="shared" si="14"/>
        <v>Peças Hidráulicas</v>
      </c>
      <c r="O10" s="29" t="str">
        <f t="shared" si="3"/>
        <v>Ducha</v>
      </c>
      <c r="P10" s="51" t="s">
        <v>182</v>
      </c>
      <c r="Q10" s="29" t="str">
        <f t="shared" ref="Q10" si="17">_xlfn.TRANSLATE(P10,"pt","es")</f>
        <v>Ducha manual</v>
      </c>
      <c r="R10" s="29" t="s">
        <v>9</v>
      </c>
      <c r="S10" s="29" t="s">
        <v>160</v>
      </c>
      <c r="T10" s="29" t="s">
        <v>159</v>
      </c>
      <c r="U10" s="29" t="str">
        <f t="shared" si="15"/>
        <v>Peças.Hidráulicas</v>
      </c>
      <c r="V10" s="29" t="s">
        <v>161</v>
      </c>
      <c r="W10" s="57" t="str">
        <f t="shared" si="5"/>
        <v>Key-HIDR-10</v>
      </c>
      <c r="X10" s="28" t="s">
        <v>190</v>
      </c>
      <c r="Y10" s="28" t="s">
        <v>191</v>
      </c>
      <c r="Z10" s="29" t="s">
        <v>163</v>
      </c>
      <c r="AA10" s="29" t="str">
        <f t="shared" si="16"/>
        <v>Manual shower</v>
      </c>
    </row>
    <row r="11" spans="1:27" ht="6.6" customHeight="1" x14ac:dyDescent="0.25">
      <c r="A11" s="56">
        <v>11</v>
      </c>
      <c r="B11" s="1" t="s">
        <v>252</v>
      </c>
      <c r="C11" s="41" t="s">
        <v>253</v>
      </c>
      <c r="D11" s="1" t="s">
        <v>254</v>
      </c>
      <c r="E11" s="41" t="s">
        <v>227</v>
      </c>
      <c r="F11" s="41" t="s">
        <v>239</v>
      </c>
      <c r="G11" s="58" t="s">
        <v>9</v>
      </c>
      <c r="H11" s="58" t="s">
        <v>9</v>
      </c>
      <c r="I11" s="58" t="s">
        <v>9</v>
      </c>
      <c r="J11" s="58" t="s">
        <v>9</v>
      </c>
      <c r="K11" s="58" t="s">
        <v>9</v>
      </c>
      <c r="L11" s="32" t="str">
        <f t="shared" si="12"/>
        <v>Sistemas.Prediais</v>
      </c>
      <c r="M11" s="32" t="str">
        <f t="shared" si="13"/>
        <v>Elementos.Hidráulicos</v>
      </c>
      <c r="N11" s="32" t="str">
        <f t="shared" si="14"/>
        <v>Peças Hidráulicas</v>
      </c>
      <c r="O11" s="29" t="str">
        <f t="shared" si="3"/>
        <v>Medidor.de.Água</v>
      </c>
      <c r="P11" s="51" t="s">
        <v>240</v>
      </c>
      <c r="Q11" s="51" t="s">
        <v>241</v>
      </c>
      <c r="R11" s="29" t="s">
        <v>9</v>
      </c>
      <c r="S11" s="29" t="s">
        <v>160</v>
      </c>
      <c r="T11" s="29" t="s">
        <v>159</v>
      </c>
      <c r="U11" s="29" t="str">
        <f t="shared" si="15"/>
        <v>Peças.Hidráulicas</v>
      </c>
      <c r="V11" s="29" t="s">
        <v>161</v>
      </c>
      <c r="W11" s="57" t="str">
        <f t="shared" si="5"/>
        <v>Key-HIDR-11</v>
      </c>
      <c r="X11" s="28" t="s">
        <v>249</v>
      </c>
      <c r="Y11" s="28" t="s">
        <v>238</v>
      </c>
      <c r="Z11" s="29" t="s">
        <v>163</v>
      </c>
      <c r="AA11" s="29" t="s">
        <v>242</v>
      </c>
    </row>
    <row r="12" spans="1:27" ht="6.6" customHeight="1" x14ac:dyDescent="0.25">
      <c r="A12" s="56">
        <v>12</v>
      </c>
      <c r="B12" s="1" t="s">
        <v>252</v>
      </c>
      <c r="C12" s="41" t="s">
        <v>253</v>
      </c>
      <c r="D12" s="1" t="s">
        <v>254</v>
      </c>
      <c r="E12" s="41" t="s">
        <v>227</v>
      </c>
      <c r="F12" s="41" t="s">
        <v>220</v>
      </c>
      <c r="G12" s="58" t="s">
        <v>9</v>
      </c>
      <c r="H12" s="58" t="s">
        <v>9</v>
      </c>
      <c r="I12" s="58" t="s">
        <v>9</v>
      </c>
      <c r="J12" s="58" t="s">
        <v>9</v>
      </c>
      <c r="K12" s="58" t="s">
        <v>9</v>
      </c>
      <c r="L12" s="32" t="str">
        <f t="shared" si="6"/>
        <v>Sistemas.Prediais</v>
      </c>
      <c r="M12" s="32" t="str">
        <f t="shared" si="7"/>
        <v>Elementos.Hidráulicos</v>
      </c>
      <c r="N12" s="32" t="str">
        <f t="shared" si="8"/>
        <v>Peças Hidráulicas</v>
      </c>
      <c r="O12" s="29" t="str">
        <f t="shared" si="3"/>
        <v>Acessório.Hidraúlico</v>
      </c>
      <c r="P12" s="51" t="s">
        <v>231</v>
      </c>
      <c r="Q12" s="29" t="str">
        <f t="shared" si="11"/>
        <v>Accesorios para sistemas de agua como soportes, ganchos, pedestales, etc.</v>
      </c>
      <c r="R12" s="29" t="s">
        <v>9</v>
      </c>
      <c r="S12" s="29" t="s">
        <v>160</v>
      </c>
      <c r="T12" s="29" t="s">
        <v>159</v>
      </c>
      <c r="U12" s="29" t="str">
        <f t="shared" si="9"/>
        <v>Peças.Hidráulicas</v>
      </c>
      <c r="V12" s="29" t="s">
        <v>161</v>
      </c>
      <c r="W12" s="57" t="str">
        <f t="shared" si="5"/>
        <v>Key-HIDR-12</v>
      </c>
      <c r="X12" s="28" t="s">
        <v>244</v>
      </c>
      <c r="Y12" s="28" t="s">
        <v>243</v>
      </c>
      <c r="Z12" s="29" t="s">
        <v>163</v>
      </c>
      <c r="AA12" s="29" t="str">
        <f t="shared" si="10"/>
        <v>Water system accessory like brackets, hooks, pedestals, etc.</v>
      </c>
    </row>
    <row r="13" spans="1:27" ht="6.6" customHeight="1" x14ac:dyDescent="0.25">
      <c r="A13" s="56">
        <v>13</v>
      </c>
      <c r="B13" s="1" t="s">
        <v>252</v>
      </c>
      <c r="C13" s="41" t="s">
        <v>253</v>
      </c>
      <c r="D13" s="1" t="s">
        <v>254</v>
      </c>
      <c r="E13" s="41" t="s">
        <v>221</v>
      </c>
      <c r="F13" s="41" t="s">
        <v>136</v>
      </c>
      <c r="G13" s="58" t="s">
        <v>9</v>
      </c>
      <c r="H13" s="58" t="s">
        <v>9</v>
      </c>
      <c r="I13" s="58" t="s">
        <v>9</v>
      </c>
      <c r="J13" s="58" t="s">
        <v>9</v>
      </c>
      <c r="K13" s="58" t="s">
        <v>9</v>
      </c>
      <c r="L13" s="32" t="str">
        <f t="shared" si="0"/>
        <v>Sistemas.Prediais</v>
      </c>
      <c r="M13" s="32" t="str">
        <f t="shared" si="1"/>
        <v>Elementos.Hidráulicos</v>
      </c>
      <c r="N13" s="32" t="str">
        <f t="shared" si="2"/>
        <v>Tubulação Agua Fria</v>
      </c>
      <c r="O13" s="29" t="str">
        <f t="shared" si="3"/>
        <v>Cisterna.Superior</v>
      </c>
      <c r="P13" s="51" t="s">
        <v>142</v>
      </c>
      <c r="Q13" s="29" t="str">
        <f>_xlfn.TRANSLATE(P13,"pt","es")</f>
        <v>Cisterna Superior</v>
      </c>
      <c r="R13" s="29" t="s">
        <v>9</v>
      </c>
      <c r="S13" s="29" t="s">
        <v>160</v>
      </c>
      <c r="T13" s="29" t="s">
        <v>159</v>
      </c>
      <c r="U13" s="29" t="str">
        <f t="shared" si="4"/>
        <v>Tubulação.Agua.Fria</v>
      </c>
      <c r="V13" s="29" t="s">
        <v>161</v>
      </c>
      <c r="W13" s="57" t="str">
        <f t="shared" si="5"/>
        <v>Key-HIDR-13</v>
      </c>
      <c r="X13" s="28" t="s">
        <v>256</v>
      </c>
      <c r="Y13" s="28" t="s">
        <v>193</v>
      </c>
      <c r="Z13" s="29" t="s">
        <v>163</v>
      </c>
      <c r="AA13" s="29" t="str">
        <f t="shared" ref="AA13:AA27" si="18">_xlfn.TRANSLATE(P13,"pt","en")</f>
        <v>Upper Cistern</v>
      </c>
    </row>
    <row r="14" spans="1:27" ht="6.6" customHeight="1" x14ac:dyDescent="0.25">
      <c r="A14" s="56">
        <v>14</v>
      </c>
      <c r="B14" s="1" t="s">
        <v>252</v>
      </c>
      <c r="C14" s="41" t="s">
        <v>253</v>
      </c>
      <c r="D14" s="1" t="s">
        <v>254</v>
      </c>
      <c r="E14" s="41" t="s">
        <v>221</v>
      </c>
      <c r="F14" s="41" t="s">
        <v>237</v>
      </c>
      <c r="G14" s="58" t="s">
        <v>9</v>
      </c>
      <c r="H14" s="58" t="s">
        <v>9</v>
      </c>
      <c r="I14" s="58" t="s">
        <v>9</v>
      </c>
      <c r="J14" s="58" t="s">
        <v>9</v>
      </c>
      <c r="K14" s="58" t="s">
        <v>9</v>
      </c>
      <c r="L14" s="32" t="str">
        <f t="shared" si="0"/>
        <v>Sistemas.Prediais</v>
      </c>
      <c r="M14" s="32" t="str">
        <f t="shared" si="1"/>
        <v>Elementos.Hidráulicos</v>
      </c>
      <c r="N14" s="32" t="str">
        <f t="shared" si="2"/>
        <v>Tubulação Agua Fria</v>
      </c>
      <c r="O14" s="29" t="str">
        <f t="shared" si="3"/>
        <v>Cisterna.Intermediária</v>
      </c>
      <c r="P14" s="51" t="s">
        <v>151</v>
      </c>
      <c r="Q14" s="29" t="str">
        <f t="shared" ref="Q14:Q20" si="19">_xlfn.TRANSLATE(P14,"pt","es")</f>
        <v>Cisterna intermedia</v>
      </c>
      <c r="R14" s="29" t="s">
        <v>9</v>
      </c>
      <c r="S14" s="29" t="s">
        <v>160</v>
      </c>
      <c r="T14" s="29" t="s">
        <v>159</v>
      </c>
      <c r="U14" s="29" t="str">
        <f t="shared" si="4"/>
        <v>Tubulação.Agua.Fria</v>
      </c>
      <c r="V14" s="29" t="s">
        <v>161</v>
      </c>
      <c r="W14" s="57" t="str">
        <f t="shared" si="5"/>
        <v>Key-HIDR-14</v>
      </c>
      <c r="X14" s="28" t="s">
        <v>256</v>
      </c>
      <c r="Y14" s="28" t="s">
        <v>193</v>
      </c>
      <c r="Z14" s="29" t="s">
        <v>163</v>
      </c>
      <c r="AA14" s="29" t="str">
        <f t="shared" si="18"/>
        <v>Intermediate Cistern</v>
      </c>
    </row>
    <row r="15" spans="1:27" ht="6.6" customHeight="1" x14ac:dyDescent="0.25">
      <c r="A15" s="56">
        <v>15</v>
      </c>
      <c r="B15" s="1" t="s">
        <v>252</v>
      </c>
      <c r="C15" s="41" t="s">
        <v>253</v>
      </c>
      <c r="D15" s="1" t="s">
        <v>254</v>
      </c>
      <c r="E15" s="41" t="s">
        <v>221</v>
      </c>
      <c r="F15" s="41" t="s">
        <v>137</v>
      </c>
      <c r="G15" s="58" t="s">
        <v>9</v>
      </c>
      <c r="H15" s="58" t="s">
        <v>9</v>
      </c>
      <c r="I15" s="58" t="s">
        <v>9</v>
      </c>
      <c r="J15" s="58" t="s">
        <v>9</v>
      </c>
      <c r="K15" s="58" t="s">
        <v>9</v>
      </c>
      <c r="L15" s="32" t="str">
        <f t="shared" si="0"/>
        <v>Sistemas.Prediais</v>
      </c>
      <c r="M15" s="32" t="str">
        <f t="shared" si="1"/>
        <v>Elementos.Hidráulicos</v>
      </c>
      <c r="N15" s="32" t="str">
        <f t="shared" si="2"/>
        <v>Tubulação Agua Fria</v>
      </c>
      <c r="O15" s="29" t="str">
        <f t="shared" si="3"/>
        <v>Cisterna.Inferior</v>
      </c>
      <c r="P15" s="51" t="s">
        <v>143</v>
      </c>
      <c r="Q15" s="29" t="str">
        <f t="shared" si="19"/>
        <v>Cisterna Inferior</v>
      </c>
      <c r="R15" s="29" t="s">
        <v>9</v>
      </c>
      <c r="S15" s="29" t="s">
        <v>160</v>
      </c>
      <c r="T15" s="29" t="s">
        <v>159</v>
      </c>
      <c r="U15" s="29" t="str">
        <f t="shared" si="4"/>
        <v>Tubulação.Agua.Fria</v>
      </c>
      <c r="V15" s="29" t="s">
        <v>161</v>
      </c>
      <c r="W15" s="57" t="str">
        <f t="shared" si="5"/>
        <v>Key-HIDR-15</v>
      </c>
      <c r="X15" s="28" t="s">
        <v>256</v>
      </c>
      <c r="Y15" s="28" t="s">
        <v>193</v>
      </c>
      <c r="Z15" s="29" t="s">
        <v>163</v>
      </c>
      <c r="AA15" s="29" t="str">
        <f t="shared" si="18"/>
        <v>Lower Cistern</v>
      </c>
    </row>
    <row r="16" spans="1:27" ht="6.6" customHeight="1" x14ac:dyDescent="0.25">
      <c r="A16" s="56">
        <v>16</v>
      </c>
      <c r="B16" s="1" t="s">
        <v>252</v>
      </c>
      <c r="C16" s="41" t="s">
        <v>253</v>
      </c>
      <c r="D16" s="1" t="s">
        <v>254</v>
      </c>
      <c r="E16" s="41" t="s">
        <v>221</v>
      </c>
      <c r="F16" s="41" t="s">
        <v>141</v>
      </c>
      <c r="G16" s="58" t="s">
        <v>9</v>
      </c>
      <c r="H16" s="58" t="s">
        <v>9</v>
      </c>
      <c r="I16" s="58" t="s">
        <v>9</v>
      </c>
      <c r="J16" s="58" t="s">
        <v>9</v>
      </c>
      <c r="K16" s="58" t="s">
        <v>9</v>
      </c>
      <c r="L16" s="32" t="str">
        <f t="shared" si="0"/>
        <v>Sistemas.Prediais</v>
      </c>
      <c r="M16" s="32" t="str">
        <f t="shared" si="1"/>
        <v>Elementos.Hidráulicos</v>
      </c>
      <c r="N16" s="32" t="str">
        <f t="shared" si="2"/>
        <v>Tubulação Agua Fria</v>
      </c>
      <c r="O16" s="29" t="str">
        <f t="shared" si="3"/>
        <v>Tubulação.AF</v>
      </c>
      <c r="P16" s="51" t="s">
        <v>146</v>
      </c>
      <c r="Q16" s="29" t="str">
        <f t="shared" si="19"/>
        <v>Tubería de agua fría</v>
      </c>
      <c r="R16" s="29" t="s">
        <v>9</v>
      </c>
      <c r="S16" s="29" t="s">
        <v>160</v>
      </c>
      <c r="T16" s="29" t="s">
        <v>159</v>
      </c>
      <c r="U16" s="29" t="str">
        <f t="shared" si="4"/>
        <v>Tubulação.Agua.Fria</v>
      </c>
      <c r="V16" s="29" t="s">
        <v>161</v>
      </c>
      <c r="W16" s="57" t="str">
        <f t="shared" si="5"/>
        <v>Key-HIDR-16</v>
      </c>
      <c r="X16" s="28" t="s">
        <v>256</v>
      </c>
      <c r="Y16" s="28" t="s">
        <v>257</v>
      </c>
      <c r="Z16" s="29" t="s">
        <v>163</v>
      </c>
      <c r="AA16" s="29" t="str">
        <f t="shared" si="18"/>
        <v>Cold Water Pipe</v>
      </c>
    </row>
    <row r="17" spans="1:27" ht="6.6" customHeight="1" x14ac:dyDescent="0.25">
      <c r="A17" s="56">
        <v>17</v>
      </c>
      <c r="B17" s="1" t="s">
        <v>252</v>
      </c>
      <c r="C17" s="41" t="s">
        <v>253</v>
      </c>
      <c r="D17" s="1" t="s">
        <v>254</v>
      </c>
      <c r="E17" s="41" t="s">
        <v>222</v>
      </c>
      <c r="F17" s="41" t="s">
        <v>144</v>
      </c>
      <c r="G17" s="58" t="s">
        <v>9</v>
      </c>
      <c r="H17" s="58" t="s">
        <v>9</v>
      </c>
      <c r="I17" s="58" t="s">
        <v>9</v>
      </c>
      <c r="J17" s="58" t="s">
        <v>9</v>
      </c>
      <c r="K17" s="58" t="s">
        <v>9</v>
      </c>
      <c r="L17" s="32" t="str">
        <f t="shared" si="0"/>
        <v>Sistemas.Prediais</v>
      </c>
      <c r="M17" s="32" t="str">
        <f t="shared" si="1"/>
        <v>Elementos.Hidráulicos</v>
      </c>
      <c r="N17" s="32" t="str">
        <f t="shared" si="2"/>
        <v>Tubulação Agua Quente</v>
      </c>
      <c r="O17" s="29" t="str">
        <f t="shared" si="3"/>
        <v>Aquecedor.de.Agua</v>
      </c>
      <c r="P17" s="51" t="s">
        <v>145</v>
      </c>
      <c r="Q17" s="29" t="s">
        <v>150</v>
      </c>
      <c r="R17" s="29" t="s">
        <v>9</v>
      </c>
      <c r="S17" s="29" t="s">
        <v>160</v>
      </c>
      <c r="T17" s="29" t="s">
        <v>159</v>
      </c>
      <c r="U17" s="29" t="str">
        <f t="shared" si="4"/>
        <v>Tubulação.Agua.Quente</v>
      </c>
      <c r="V17" s="29" t="s">
        <v>161</v>
      </c>
      <c r="W17" s="57" t="str">
        <f t="shared" si="5"/>
        <v>Key-HIDR-17</v>
      </c>
      <c r="X17" s="28" t="s">
        <v>190</v>
      </c>
      <c r="Y17" s="28" t="s">
        <v>194</v>
      </c>
      <c r="Z17" s="29" t="s">
        <v>163</v>
      </c>
      <c r="AA17" s="29" t="str">
        <f t="shared" si="18"/>
        <v>Water heater</v>
      </c>
    </row>
    <row r="18" spans="1:27" ht="6.6" customHeight="1" x14ac:dyDescent="0.25">
      <c r="A18" s="56">
        <v>18</v>
      </c>
      <c r="B18" s="1" t="s">
        <v>252</v>
      </c>
      <c r="C18" s="41" t="s">
        <v>253</v>
      </c>
      <c r="D18" s="1" t="s">
        <v>254</v>
      </c>
      <c r="E18" s="41" t="s">
        <v>222</v>
      </c>
      <c r="F18" s="41" t="s">
        <v>138</v>
      </c>
      <c r="G18" s="58" t="s">
        <v>9</v>
      </c>
      <c r="H18" s="58" t="s">
        <v>9</v>
      </c>
      <c r="I18" s="58" t="s">
        <v>9</v>
      </c>
      <c r="J18" s="58" t="s">
        <v>9</v>
      </c>
      <c r="K18" s="58" t="s">
        <v>9</v>
      </c>
      <c r="L18" s="32" t="str">
        <f t="shared" si="0"/>
        <v>Sistemas.Prediais</v>
      </c>
      <c r="M18" s="32" t="str">
        <f t="shared" si="1"/>
        <v>Elementos.Hidráulicos</v>
      </c>
      <c r="N18" s="32" t="str">
        <f t="shared" si="2"/>
        <v>Tubulação Agua Quente</v>
      </c>
      <c r="O18" s="29" t="str">
        <f t="shared" si="3"/>
        <v>Boiler</v>
      </c>
      <c r="P18" s="51" t="s">
        <v>138</v>
      </c>
      <c r="Q18" s="29" t="s">
        <v>138</v>
      </c>
      <c r="R18" s="29" t="s">
        <v>9</v>
      </c>
      <c r="S18" s="29" t="s">
        <v>160</v>
      </c>
      <c r="T18" s="29" t="s">
        <v>159</v>
      </c>
      <c r="U18" s="29" t="str">
        <f t="shared" si="4"/>
        <v>Tubulação.Agua.Quente</v>
      </c>
      <c r="V18" s="29" t="s">
        <v>161</v>
      </c>
      <c r="W18" s="57" t="str">
        <f t="shared" si="5"/>
        <v>Key-HIDR-18</v>
      </c>
      <c r="X18" s="28" t="s">
        <v>190</v>
      </c>
      <c r="Y18" s="28" t="s">
        <v>194</v>
      </c>
      <c r="Z18" s="29" t="s">
        <v>163</v>
      </c>
      <c r="AA18" s="29" t="str">
        <f t="shared" si="18"/>
        <v>Boiler</v>
      </c>
    </row>
    <row r="19" spans="1:27" ht="6.6" customHeight="1" x14ac:dyDescent="0.25">
      <c r="A19" s="56">
        <v>19</v>
      </c>
      <c r="B19" s="1" t="s">
        <v>252</v>
      </c>
      <c r="C19" s="41" t="s">
        <v>253</v>
      </c>
      <c r="D19" s="1" t="s">
        <v>254</v>
      </c>
      <c r="E19" s="41" t="s">
        <v>222</v>
      </c>
      <c r="F19" s="41" t="s">
        <v>139</v>
      </c>
      <c r="G19" s="58" t="s">
        <v>9</v>
      </c>
      <c r="H19" s="58" t="s">
        <v>9</v>
      </c>
      <c r="I19" s="58" t="s">
        <v>9</v>
      </c>
      <c r="J19" s="58" t="s">
        <v>9</v>
      </c>
      <c r="K19" s="58" t="s">
        <v>9</v>
      </c>
      <c r="L19" s="32" t="str">
        <f t="shared" si="0"/>
        <v>Sistemas.Prediais</v>
      </c>
      <c r="M19" s="32" t="str">
        <f t="shared" si="1"/>
        <v>Elementos.Hidráulicos</v>
      </c>
      <c r="N19" s="32" t="str">
        <f t="shared" si="2"/>
        <v>Tubulação Agua Quente</v>
      </c>
      <c r="O19" s="29" t="str">
        <f t="shared" si="3"/>
        <v>Caldeira</v>
      </c>
      <c r="P19" s="51" t="s">
        <v>139</v>
      </c>
      <c r="Q19" s="29" t="str">
        <f t="shared" si="19"/>
        <v>Caldera</v>
      </c>
      <c r="R19" s="29" t="s">
        <v>9</v>
      </c>
      <c r="S19" s="29" t="s">
        <v>160</v>
      </c>
      <c r="T19" s="29" t="s">
        <v>159</v>
      </c>
      <c r="U19" s="29" t="str">
        <f t="shared" si="4"/>
        <v>Tubulação.Agua.Quente</v>
      </c>
      <c r="V19" s="29" t="s">
        <v>161</v>
      </c>
      <c r="W19" s="57" t="str">
        <f t="shared" si="5"/>
        <v>Key-HIDR-19</v>
      </c>
      <c r="X19" s="28" t="s">
        <v>190</v>
      </c>
      <c r="Y19" s="28" t="s">
        <v>195</v>
      </c>
      <c r="Z19" s="29" t="s">
        <v>163</v>
      </c>
      <c r="AA19" s="29" t="str">
        <f t="shared" si="18"/>
        <v>Boiler</v>
      </c>
    </row>
    <row r="20" spans="1:27" ht="6.6" customHeight="1" x14ac:dyDescent="0.25">
      <c r="A20" s="56">
        <v>20</v>
      </c>
      <c r="B20" s="1" t="s">
        <v>252</v>
      </c>
      <c r="C20" s="41" t="s">
        <v>253</v>
      </c>
      <c r="D20" s="1" t="s">
        <v>254</v>
      </c>
      <c r="E20" s="41" t="s">
        <v>222</v>
      </c>
      <c r="F20" s="41" t="s">
        <v>140</v>
      </c>
      <c r="G20" s="58" t="s">
        <v>9</v>
      </c>
      <c r="H20" s="58" t="s">
        <v>9</v>
      </c>
      <c r="I20" s="58" t="s">
        <v>9</v>
      </c>
      <c r="J20" s="58" t="s">
        <v>9</v>
      </c>
      <c r="K20" s="58" t="s">
        <v>9</v>
      </c>
      <c r="L20" s="32" t="str">
        <f t="shared" si="0"/>
        <v>Sistemas.Prediais</v>
      </c>
      <c r="M20" s="32" t="str">
        <f t="shared" si="1"/>
        <v>Elementos.Hidráulicos</v>
      </c>
      <c r="N20" s="32" t="str">
        <f t="shared" si="2"/>
        <v>Tubulação Agua Quente</v>
      </c>
      <c r="O20" s="29" t="str">
        <f t="shared" si="3"/>
        <v>Tubulação.AQ</v>
      </c>
      <c r="P20" s="51" t="s">
        <v>147</v>
      </c>
      <c r="Q20" s="29" t="str">
        <f t="shared" si="19"/>
        <v>Tubería de agua caliente</v>
      </c>
      <c r="R20" s="29" t="s">
        <v>9</v>
      </c>
      <c r="S20" s="29" t="s">
        <v>160</v>
      </c>
      <c r="T20" s="29" t="s">
        <v>159</v>
      </c>
      <c r="U20" s="29" t="str">
        <f t="shared" si="4"/>
        <v>Tubulação.Agua.Quente</v>
      </c>
      <c r="V20" s="29" t="s">
        <v>161</v>
      </c>
      <c r="W20" s="57" t="str">
        <f t="shared" si="5"/>
        <v>Key-HIDR-20</v>
      </c>
      <c r="X20" s="28" t="s">
        <v>256</v>
      </c>
      <c r="Y20" s="28" t="s">
        <v>257</v>
      </c>
      <c r="Z20" s="29" t="s">
        <v>163</v>
      </c>
      <c r="AA20" s="29" t="str">
        <f t="shared" si="18"/>
        <v>Hot Water Pipe</v>
      </c>
    </row>
    <row r="21" spans="1:27" ht="6.6" customHeight="1" x14ac:dyDescent="0.25">
      <c r="A21" s="56">
        <v>21</v>
      </c>
      <c r="B21" s="1" t="s">
        <v>252</v>
      </c>
      <c r="C21" s="41" t="s">
        <v>253</v>
      </c>
      <c r="D21" s="1" t="s">
        <v>254</v>
      </c>
      <c r="E21" s="41" t="s">
        <v>222</v>
      </c>
      <c r="F21" s="41" t="s">
        <v>135</v>
      </c>
      <c r="G21" s="58" t="s">
        <v>9</v>
      </c>
      <c r="H21" s="58" t="s">
        <v>9</v>
      </c>
      <c r="I21" s="58" t="s">
        <v>9</v>
      </c>
      <c r="J21" s="58" t="s">
        <v>9</v>
      </c>
      <c r="K21" s="58" t="s">
        <v>9</v>
      </c>
      <c r="L21" s="32" t="str">
        <f t="shared" si="0"/>
        <v>Sistemas.Prediais</v>
      </c>
      <c r="M21" s="32" t="str">
        <f t="shared" si="1"/>
        <v>Elementos.Hidráulicos</v>
      </c>
      <c r="N21" s="32" t="str">
        <f t="shared" si="2"/>
        <v>Tubulação Agua Quente</v>
      </c>
      <c r="O21" s="29" t="str">
        <f t="shared" si="3"/>
        <v>Tubulação.Reuso</v>
      </c>
      <c r="P21" s="51" t="s">
        <v>148</v>
      </c>
      <c r="Q21" s="51" t="s">
        <v>149</v>
      </c>
      <c r="R21" s="29" t="s">
        <v>9</v>
      </c>
      <c r="S21" s="29" t="s">
        <v>160</v>
      </c>
      <c r="T21" s="29" t="s">
        <v>159</v>
      </c>
      <c r="U21" s="29" t="str">
        <f t="shared" si="4"/>
        <v>Tubulação.Agua.Quente</v>
      </c>
      <c r="V21" s="29" t="s">
        <v>161</v>
      </c>
      <c r="W21" s="57" t="str">
        <f t="shared" si="5"/>
        <v>Key-HIDR-21</v>
      </c>
      <c r="X21" s="28" t="s">
        <v>256</v>
      </c>
      <c r="Y21" s="28" t="s">
        <v>257</v>
      </c>
      <c r="Z21" s="29" t="s">
        <v>163</v>
      </c>
      <c r="AA21" s="29" t="str">
        <f t="shared" si="18"/>
        <v>Reuse Water Pipe</v>
      </c>
    </row>
    <row r="22" spans="1:27" ht="6.6" customHeight="1" x14ac:dyDescent="0.25">
      <c r="A22" s="56">
        <v>22</v>
      </c>
      <c r="B22" s="1" t="s">
        <v>252</v>
      </c>
      <c r="C22" s="41" t="s">
        <v>253</v>
      </c>
      <c r="D22" s="1" t="s">
        <v>254</v>
      </c>
      <c r="E22" s="41" t="s">
        <v>223</v>
      </c>
      <c r="F22" s="41" t="s">
        <v>177</v>
      </c>
      <c r="G22" s="58" t="s">
        <v>9</v>
      </c>
      <c r="H22" s="58" t="s">
        <v>9</v>
      </c>
      <c r="I22" s="58" t="s">
        <v>9</v>
      </c>
      <c r="J22" s="58" t="s">
        <v>9</v>
      </c>
      <c r="K22" s="58" t="s">
        <v>9</v>
      </c>
      <c r="L22" s="32" t="str">
        <f t="shared" si="0"/>
        <v>Sistemas.Prediais</v>
      </c>
      <c r="M22" s="32" t="str">
        <f t="shared" si="1"/>
        <v>Elementos.Hidráulicos</v>
      </c>
      <c r="N22" s="32" t="str">
        <f t="shared" si="2"/>
        <v>Peças Sanitárias</v>
      </c>
      <c r="O22" s="29" t="str">
        <f t="shared" si="3"/>
        <v>Vaso.Sanitário</v>
      </c>
      <c r="P22" s="51" t="s">
        <v>184</v>
      </c>
      <c r="Q22" s="29" t="s">
        <v>187</v>
      </c>
      <c r="R22" s="29" t="s">
        <v>9</v>
      </c>
      <c r="S22" s="29" t="s">
        <v>160</v>
      </c>
      <c r="T22" s="29" t="s">
        <v>159</v>
      </c>
      <c r="U22" s="29" t="str">
        <f t="shared" si="4"/>
        <v>Peças.Sanitárias</v>
      </c>
      <c r="V22" s="29" t="s">
        <v>161</v>
      </c>
      <c r="W22" s="57" t="str">
        <f t="shared" si="5"/>
        <v>Key-HIDR-22</v>
      </c>
      <c r="X22" s="28" t="s">
        <v>190</v>
      </c>
      <c r="Y22" s="28" t="s">
        <v>191</v>
      </c>
      <c r="Z22" s="29" t="s">
        <v>163</v>
      </c>
      <c r="AA22" s="29" t="str">
        <f t="shared" si="18"/>
        <v>Toilet</v>
      </c>
    </row>
    <row r="23" spans="1:27" ht="6.6" customHeight="1" x14ac:dyDescent="0.25">
      <c r="A23" s="56">
        <v>23</v>
      </c>
      <c r="B23" s="1" t="s">
        <v>252</v>
      </c>
      <c r="C23" s="41" t="s">
        <v>253</v>
      </c>
      <c r="D23" s="1" t="s">
        <v>254</v>
      </c>
      <c r="E23" s="41" t="s">
        <v>223</v>
      </c>
      <c r="F23" s="41" t="s">
        <v>176</v>
      </c>
      <c r="G23" s="58" t="s">
        <v>9</v>
      </c>
      <c r="H23" s="58" t="s">
        <v>9</v>
      </c>
      <c r="I23" s="58" t="s">
        <v>9</v>
      </c>
      <c r="J23" s="58" t="s">
        <v>9</v>
      </c>
      <c r="K23" s="58" t="s">
        <v>9</v>
      </c>
      <c r="L23" s="32" t="str">
        <f t="shared" si="0"/>
        <v>Sistemas.Prediais</v>
      </c>
      <c r="M23" s="32" t="str">
        <f t="shared" si="1"/>
        <v>Elementos.Hidráulicos</v>
      </c>
      <c r="N23" s="32" t="str">
        <f t="shared" si="2"/>
        <v>Peças Sanitárias</v>
      </c>
      <c r="O23" s="29" t="str">
        <f t="shared" si="3"/>
        <v>Bidet</v>
      </c>
      <c r="P23" s="51" t="s">
        <v>176</v>
      </c>
      <c r="Q23" s="29" t="str">
        <f t="shared" ref="Q23:Q27" si="20">_xlfn.TRANSLATE(P23,"pt","es")</f>
        <v>Bidé</v>
      </c>
      <c r="R23" s="29" t="s">
        <v>9</v>
      </c>
      <c r="S23" s="29" t="s">
        <v>160</v>
      </c>
      <c r="T23" s="29" t="s">
        <v>159</v>
      </c>
      <c r="U23" s="29" t="str">
        <f t="shared" si="4"/>
        <v>Peças.Sanitárias</v>
      </c>
      <c r="V23" s="29" t="s">
        <v>161</v>
      </c>
      <c r="W23" s="57" t="str">
        <f t="shared" si="5"/>
        <v>Key-HIDR-23</v>
      </c>
      <c r="X23" s="28" t="s">
        <v>190</v>
      </c>
      <c r="Y23" s="28" t="s">
        <v>191</v>
      </c>
      <c r="Z23" s="29" t="s">
        <v>163</v>
      </c>
      <c r="AA23" s="29" t="str">
        <f t="shared" si="18"/>
        <v>Bidet</v>
      </c>
    </row>
    <row r="24" spans="1:27" ht="6.6" customHeight="1" x14ac:dyDescent="0.25">
      <c r="A24" s="56">
        <v>24</v>
      </c>
      <c r="B24" s="1" t="s">
        <v>252</v>
      </c>
      <c r="C24" s="41" t="s">
        <v>253</v>
      </c>
      <c r="D24" s="1" t="s">
        <v>254</v>
      </c>
      <c r="E24" s="41" t="s">
        <v>223</v>
      </c>
      <c r="F24" s="41" t="s">
        <v>179</v>
      </c>
      <c r="G24" s="58" t="s">
        <v>9</v>
      </c>
      <c r="H24" s="58" t="s">
        <v>9</v>
      </c>
      <c r="I24" s="58" t="s">
        <v>9</v>
      </c>
      <c r="J24" s="58" t="s">
        <v>9</v>
      </c>
      <c r="K24" s="58" t="s">
        <v>9</v>
      </c>
      <c r="L24" s="32" t="str">
        <f t="shared" si="0"/>
        <v>Sistemas.Prediais</v>
      </c>
      <c r="M24" s="32" t="str">
        <f t="shared" si="1"/>
        <v>Elementos.Hidráulicos</v>
      </c>
      <c r="N24" s="32" t="str">
        <f t="shared" si="2"/>
        <v>Peças Sanitárias</v>
      </c>
      <c r="O24" s="29" t="str">
        <f t="shared" si="3"/>
        <v>Pia.Sanitária</v>
      </c>
      <c r="P24" s="51" t="s">
        <v>185</v>
      </c>
      <c r="Q24" s="29" t="s">
        <v>189</v>
      </c>
      <c r="R24" s="29" t="s">
        <v>9</v>
      </c>
      <c r="S24" s="29" t="s">
        <v>160</v>
      </c>
      <c r="T24" s="29" t="s">
        <v>159</v>
      </c>
      <c r="U24" s="29" t="str">
        <f t="shared" si="4"/>
        <v>Peças.Sanitárias</v>
      </c>
      <c r="V24" s="29" t="s">
        <v>161</v>
      </c>
      <c r="W24" s="57" t="str">
        <f t="shared" si="5"/>
        <v>Key-HIDR-24</v>
      </c>
      <c r="X24" s="28" t="s">
        <v>190</v>
      </c>
      <c r="Y24" s="28" t="s">
        <v>191</v>
      </c>
      <c r="Z24" s="29" t="s">
        <v>163</v>
      </c>
      <c r="AA24" s="29" t="str">
        <f t="shared" si="18"/>
        <v>Sanitary Sink</v>
      </c>
    </row>
    <row r="25" spans="1:27" ht="6.6" customHeight="1" x14ac:dyDescent="0.25">
      <c r="A25" s="56">
        <v>25</v>
      </c>
      <c r="B25" s="1" t="s">
        <v>252</v>
      </c>
      <c r="C25" s="41" t="s">
        <v>253</v>
      </c>
      <c r="D25" s="1" t="s">
        <v>254</v>
      </c>
      <c r="E25" s="41" t="s">
        <v>223</v>
      </c>
      <c r="F25" s="41" t="s">
        <v>175</v>
      </c>
      <c r="G25" s="58" t="s">
        <v>9</v>
      </c>
      <c r="H25" s="58" t="s">
        <v>9</v>
      </c>
      <c r="I25" s="58" t="s">
        <v>9</v>
      </c>
      <c r="J25" s="58" t="s">
        <v>9</v>
      </c>
      <c r="K25" s="58" t="s">
        <v>9</v>
      </c>
      <c r="L25" s="32" t="str">
        <f t="shared" si="0"/>
        <v>Sistemas.Prediais</v>
      </c>
      <c r="M25" s="32" t="str">
        <f t="shared" si="1"/>
        <v>Elementos.Hidráulicos</v>
      </c>
      <c r="N25" s="32" t="str">
        <f t="shared" si="2"/>
        <v>Peças Sanitárias</v>
      </c>
      <c r="O25" s="29" t="str">
        <f t="shared" si="3"/>
        <v>Lavatório</v>
      </c>
      <c r="P25" s="51" t="s">
        <v>175</v>
      </c>
      <c r="Q25" s="29" t="str">
        <f t="shared" si="20"/>
        <v>Lavabo</v>
      </c>
      <c r="R25" s="29" t="s">
        <v>9</v>
      </c>
      <c r="S25" s="29" t="s">
        <v>160</v>
      </c>
      <c r="T25" s="29" t="s">
        <v>159</v>
      </c>
      <c r="U25" s="29" t="str">
        <f t="shared" si="4"/>
        <v>Peças.Sanitárias</v>
      </c>
      <c r="V25" s="29" t="s">
        <v>161</v>
      </c>
      <c r="W25" s="57" t="str">
        <f t="shared" si="5"/>
        <v>Key-HIDR-25</v>
      </c>
      <c r="X25" s="28" t="s">
        <v>190</v>
      </c>
      <c r="Y25" s="28" t="s">
        <v>191</v>
      </c>
      <c r="Z25" s="29" t="s">
        <v>163</v>
      </c>
      <c r="AA25" s="29" t="str">
        <f t="shared" si="18"/>
        <v>Washbasin</v>
      </c>
    </row>
    <row r="26" spans="1:27" ht="6.6" customHeight="1" x14ac:dyDescent="0.25">
      <c r="A26" s="56">
        <v>26</v>
      </c>
      <c r="B26" s="1" t="s">
        <v>252</v>
      </c>
      <c r="C26" s="41" t="s">
        <v>253</v>
      </c>
      <c r="D26" s="1" t="s">
        <v>254</v>
      </c>
      <c r="E26" s="41" t="s">
        <v>223</v>
      </c>
      <c r="F26" s="41" t="s">
        <v>178</v>
      </c>
      <c r="G26" s="58" t="s">
        <v>9</v>
      </c>
      <c r="H26" s="58" t="s">
        <v>9</v>
      </c>
      <c r="I26" s="58" t="s">
        <v>9</v>
      </c>
      <c r="J26" s="58" t="s">
        <v>9</v>
      </c>
      <c r="K26" s="58" t="s">
        <v>9</v>
      </c>
      <c r="L26" s="32" t="str">
        <f t="shared" ref="L26" si="21">CONCATENATE("", C26)</f>
        <v>Sistemas.Prediais</v>
      </c>
      <c r="M26" s="32" t="str">
        <f t="shared" ref="M26" si="22">CONCATENATE("", D26)</f>
        <v>Elementos.Hidráulicos</v>
      </c>
      <c r="N26" s="32" t="str">
        <f t="shared" ref="N26" si="23">(SUBSTITUTE(SUBSTITUTE(CONCATENATE("",E26),"."," ")," De "," de "))</f>
        <v>Peças Sanitárias</v>
      </c>
      <c r="O26" s="29" t="str">
        <f t="shared" si="3"/>
        <v>Cuba.Sanitária</v>
      </c>
      <c r="P26" s="51" t="s">
        <v>186</v>
      </c>
      <c r="Q26" s="29" t="s">
        <v>188</v>
      </c>
      <c r="R26" s="29" t="s">
        <v>9</v>
      </c>
      <c r="S26" s="29" t="s">
        <v>160</v>
      </c>
      <c r="T26" s="29" t="s">
        <v>159</v>
      </c>
      <c r="U26" s="29" t="str">
        <f t="shared" ref="U26" si="24">SUBSTITUTE(E26, "_", " ")</f>
        <v>Peças.Sanitárias</v>
      </c>
      <c r="V26" s="29" t="s">
        <v>161</v>
      </c>
      <c r="W26" s="57" t="str">
        <f t="shared" si="5"/>
        <v>Key-HIDR-26</v>
      </c>
      <c r="X26" s="28" t="s">
        <v>190</v>
      </c>
      <c r="Y26" s="28" t="s">
        <v>191</v>
      </c>
      <c r="Z26" s="29" t="s">
        <v>163</v>
      </c>
      <c r="AA26" s="29" t="str">
        <f t="shared" ref="AA26" si="25">_xlfn.TRANSLATE(P26,"pt","en")</f>
        <v>Sanitary Bowl</v>
      </c>
    </row>
    <row r="27" spans="1:27" ht="6.6" customHeight="1" x14ac:dyDescent="0.25">
      <c r="A27" s="56">
        <v>27</v>
      </c>
      <c r="B27" s="1" t="s">
        <v>252</v>
      </c>
      <c r="C27" s="41" t="s">
        <v>253</v>
      </c>
      <c r="D27" s="1" t="s">
        <v>254</v>
      </c>
      <c r="E27" s="41" t="s">
        <v>223</v>
      </c>
      <c r="F27" s="41" t="s">
        <v>180</v>
      </c>
      <c r="G27" s="58" t="s">
        <v>9</v>
      </c>
      <c r="H27" s="58" t="s">
        <v>9</v>
      </c>
      <c r="I27" s="58" t="s">
        <v>9</v>
      </c>
      <c r="J27" s="58" t="s">
        <v>9</v>
      </c>
      <c r="K27" s="58" t="s">
        <v>9</v>
      </c>
      <c r="L27" s="32" t="str">
        <f t="shared" si="0"/>
        <v>Sistemas.Prediais</v>
      </c>
      <c r="M27" s="32" t="str">
        <f t="shared" si="1"/>
        <v>Elementos.Hidráulicos</v>
      </c>
      <c r="N27" s="32" t="str">
        <f t="shared" si="2"/>
        <v>Peças Sanitárias</v>
      </c>
      <c r="O27" s="29" t="str">
        <f t="shared" si="3"/>
        <v>Banheira</v>
      </c>
      <c r="P27" s="51" t="s">
        <v>180</v>
      </c>
      <c r="Q27" s="29" t="str">
        <f t="shared" si="20"/>
        <v>Bañera</v>
      </c>
      <c r="R27" s="29" t="s">
        <v>9</v>
      </c>
      <c r="S27" s="29" t="s">
        <v>160</v>
      </c>
      <c r="T27" s="29" t="s">
        <v>159</v>
      </c>
      <c r="U27" s="29" t="str">
        <f t="shared" si="4"/>
        <v>Peças.Sanitárias</v>
      </c>
      <c r="V27" s="29" t="s">
        <v>161</v>
      </c>
      <c r="W27" s="57" t="str">
        <f t="shared" si="5"/>
        <v>Key-HIDR-27</v>
      </c>
      <c r="X27" s="28" t="s">
        <v>190</v>
      </c>
      <c r="Y27" s="28" t="s">
        <v>191</v>
      </c>
      <c r="Z27" s="29" t="s">
        <v>163</v>
      </c>
      <c r="AA27" s="29" t="str">
        <f t="shared" si="18"/>
        <v>Bathtub</v>
      </c>
    </row>
    <row r="28" spans="1:27" ht="6.6" customHeight="1" x14ac:dyDescent="0.25">
      <c r="A28" s="56">
        <v>28</v>
      </c>
      <c r="B28" s="1" t="s">
        <v>252</v>
      </c>
      <c r="C28" s="41" t="s">
        <v>253</v>
      </c>
      <c r="D28" s="1" t="s">
        <v>254</v>
      </c>
      <c r="E28" s="41" t="s">
        <v>224</v>
      </c>
      <c r="F28" s="41" t="s">
        <v>109</v>
      </c>
      <c r="G28" s="58" t="s">
        <v>9</v>
      </c>
      <c r="H28" s="58" t="s">
        <v>9</v>
      </c>
      <c r="I28" s="58" t="s">
        <v>9</v>
      </c>
      <c r="J28" s="58" t="s">
        <v>9</v>
      </c>
      <c r="K28" s="58" t="s">
        <v>9</v>
      </c>
      <c r="L28" s="32" t="str">
        <f t="shared" ref="L28" si="26">CONCATENATE("", C28)</f>
        <v>Sistemas.Prediais</v>
      </c>
      <c r="M28" s="32" t="str">
        <f t="shared" ref="M28" si="27">CONCATENATE("", D28)</f>
        <v>Elementos.Hidráulicos</v>
      </c>
      <c r="N28" s="32" t="str">
        <f t="shared" ref="N28" si="28">(SUBSTITUTE(SUBSTITUTE(CONCATENATE("",E28),"."," ")," De "," de "))</f>
        <v>Esgoto Coletores</v>
      </c>
      <c r="O28" s="29" t="str">
        <f t="shared" si="3"/>
        <v>Ventilação.Esgoto</v>
      </c>
      <c r="P28" s="51" t="s">
        <v>155</v>
      </c>
      <c r="Q28" s="51" t="s">
        <v>158</v>
      </c>
      <c r="R28" s="29" t="s">
        <v>9</v>
      </c>
      <c r="S28" s="29" t="s">
        <v>160</v>
      </c>
      <c r="T28" s="29" t="s">
        <v>159</v>
      </c>
      <c r="U28" s="29" t="str">
        <f t="shared" ref="U28" si="29">SUBSTITUTE(E28, "_", " ")</f>
        <v>Esgoto.Coletores</v>
      </c>
      <c r="V28" s="29" t="s">
        <v>161</v>
      </c>
      <c r="W28" s="57" t="str">
        <f t="shared" si="5"/>
        <v>Key-HIDR-28</v>
      </c>
      <c r="X28" s="28" t="s">
        <v>256</v>
      </c>
      <c r="Y28" s="28" t="s">
        <v>257</v>
      </c>
      <c r="Z28" s="29" t="s">
        <v>128</v>
      </c>
      <c r="AA28" s="29" t="str">
        <f>_xlfn.TRANSLATE(P28,"pt","en")</f>
        <v>Sewer Ventilation</v>
      </c>
    </row>
    <row r="29" spans="1:27" ht="6.6" customHeight="1" x14ac:dyDescent="0.25">
      <c r="A29" s="56">
        <v>29</v>
      </c>
      <c r="B29" s="1" t="s">
        <v>252</v>
      </c>
      <c r="C29" s="41" t="s">
        <v>253</v>
      </c>
      <c r="D29" s="1" t="s">
        <v>254</v>
      </c>
      <c r="E29" s="41" t="s">
        <v>224</v>
      </c>
      <c r="F29" s="41" t="s">
        <v>169</v>
      </c>
      <c r="G29" s="58" t="s">
        <v>9</v>
      </c>
      <c r="H29" s="58" t="s">
        <v>9</v>
      </c>
      <c r="I29" s="58" t="s">
        <v>9</v>
      </c>
      <c r="J29" s="58" t="s">
        <v>9</v>
      </c>
      <c r="K29" s="58" t="s">
        <v>9</v>
      </c>
      <c r="L29" s="32" t="str">
        <f t="shared" si="0"/>
        <v>Sistemas.Prediais</v>
      </c>
      <c r="M29" s="32" t="str">
        <f t="shared" si="1"/>
        <v>Elementos.Hidráulicos</v>
      </c>
      <c r="N29" s="32" t="str">
        <f t="shared" si="2"/>
        <v>Esgoto Coletores</v>
      </c>
      <c r="O29" s="29" t="str">
        <f t="shared" si="3"/>
        <v>Ralo.Seco</v>
      </c>
      <c r="P29" s="51" t="s">
        <v>111</v>
      </c>
      <c r="Q29" s="29" t="s">
        <v>121</v>
      </c>
      <c r="R29" s="29" t="s">
        <v>9</v>
      </c>
      <c r="S29" s="29" t="s">
        <v>160</v>
      </c>
      <c r="T29" s="29" t="s">
        <v>159</v>
      </c>
      <c r="U29" s="29" t="str">
        <f t="shared" si="4"/>
        <v>Esgoto.Coletores</v>
      </c>
      <c r="V29" s="29" t="s">
        <v>161</v>
      </c>
      <c r="W29" s="57" t="str">
        <f t="shared" si="5"/>
        <v>Key-HIDR-29</v>
      </c>
      <c r="X29" s="28" t="s">
        <v>256</v>
      </c>
      <c r="Y29" s="28" t="s">
        <v>257</v>
      </c>
      <c r="Z29" s="29" t="s">
        <v>128</v>
      </c>
      <c r="AA29" s="29" t="str">
        <f t="shared" ref="AA29:AA39" si="30">_xlfn.TRANSLATE(P29,"pt","en")</f>
        <v>Local Collector as a Dry Drain or Basin Valve</v>
      </c>
    </row>
    <row r="30" spans="1:27" ht="6.6" customHeight="1" x14ac:dyDescent="0.25">
      <c r="A30" s="56">
        <v>30</v>
      </c>
      <c r="B30" s="1" t="s">
        <v>252</v>
      </c>
      <c r="C30" s="41" t="s">
        <v>253</v>
      </c>
      <c r="D30" s="1" t="s">
        <v>254</v>
      </c>
      <c r="E30" s="41" t="s">
        <v>224</v>
      </c>
      <c r="F30" s="41" t="s">
        <v>168</v>
      </c>
      <c r="G30" s="58" t="s">
        <v>9</v>
      </c>
      <c r="H30" s="58" t="s">
        <v>9</v>
      </c>
      <c r="I30" s="58" t="s">
        <v>9</v>
      </c>
      <c r="J30" s="58" t="s">
        <v>9</v>
      </c>
      <c r="K30" s="58" t="s">
        <v>9</v>
      </c>
      <c r="L30" s="32" t="str">
        <f t="shared" si="0"/>
        <v>Sistemas.Prediais</v>
      </c>
      <c r="M30" s="32" t="str">
        <f t="shared" si="1"/>
        <v>Elementos.Hidráulicos</v>
      </c>
      <c r="N30" s="32" t="str">
        <f t="shared" si="2"/>
        <v>Esgoto Coletores</v>
      </c>
      <c r="O30" s="29" t="str">
        <f t="shared" si="3"/>
        <v>Ralo.Sifonado</v>
      </c>
      <c r="P30" s="51" t="s">
        <v>110</v>
      </c>
      <c r="Q30" s="29" t="s">
        <v>122</v>
      </c>
      <c r="R30" s="29" t="s">
        <v>9</v>
      </c>
      <c r="S30" s="29" t="s">
        <v>160</v>
      </c>
      <c r="T30" s="29" t="s">
        <v>159</v>
      </c>
      <c r="U30" s="29" t="str">
        <f t="shared" si="4"/>
        <v>Esgoto.Coletores</v>
      </c>
      <c r="V30" s="29" t="s">
        <v>161</v>
      </c>
      <c r="W30" s="57" t="str">
        <f t="shared" si="5"/>
        <v>Key-HIDR-30</v>
      </c>
      <c r="X30" s="28" t="s">
        <v>256</v>
      </c>
      <c r="Y30" s="28" t="s">
        <v>257</v>
      </c>
      <c r="Z30" s="29" t="s">
        <v>128</v>
      </c>
      <c r="AA30" s="29" t="str">
        <f t="shared" si="30"/>
        <v>Siphoned Collector as a Siphoned Drain</v>
      </c>
    </row>
    <row r="31" spans="1:27" ht="6.6" customHeight="1" x14ac:dyDescent="0.25">
      <c r="A31" s="56">
        <v>31</v>
      </c>
      <c r="B31" s="1" t="s">
        <v>252</v>
      </c>
      <c r="C31" s="41" t="s">
        <v>253</v>
      </c>
      <c r="D31" s="1" t="s">
        <v>254</v>
      </c>
      <c r="E31" s="41" t="s">
        <v>224</v>
      </c>
      <c r="F31" s="41" t="s">
        <v>102</v>
      </c>
      <c r="G31" s="58" t="s">
        <v>9</v>
      </c>
      <c r="H31" s="58" t="s">
        <v>9</v>
      </c>
      <c r="I31" s="58" t="s">
        <v>9</v>
      </c>
      <c r="J31" s="58" t="s">
        <v>9</v>
      </c>
      <c r="K31" s="58" t="s">
        <v>9</v>
      </c>
      <c r="L31" s="32" t="str">
        <f t="shared" si="0"/>
        <v>Sistemas.Prediais</v>
      </c>
      <c r="M31" s="32" t="str">
        <f t="shared" si="1"/>
        <v>Elementos.Hidráulicos</v>
      </c>
      <c r="N31" s="32" t="str">
        <f t="shared" si="2"/>
        <v>Esgoto Coletores</v>
      </c>
      <c r="O31" s="29" t="str">
        <f t="shared" si="3"/>
        <v>Coletor.Andar</v>
      </c>
      <c r="P31" s="51" t="s">
        <v>112</v>
      </c>
      <c r="Q31" s="29" t="s">
        <v>246</v>
      </c>
      <c r="R31" s="29" t="s">
        <v>9</v>
      </c>
      <c r="S31" s="29" t="s">
        <v>160</v>
      </c>
      <c r="T31" s="29" t="s">
        <v>159</v>
      </c>
      <c r="U31" s="29" t="str">
        <f t="shared" si="4"/>
        <v>Esgoto.Coletores</v>
      </c>
      <c r="V31" s="29" t="s">
        <v>161</v>
      </c>
      <c r="W31" s="57" t="str">
        <f t="shared" si="5"/>
        <v>Key-HIDR-31</v>
      </c>
      <c r="X31" s="28" t="s">
        <v>256</v>
      </c>
      <c r="Y31" s="28" t="s">
        <v>257</v>
      </c>
      <c r="Z31" s="29" t="s">
        <v>128</v>
      </c>
      <c r="AA31" s="29" t="str">
        <f t="shared" si="30"/>
        <v>Floor Horizontal Collection Branch</v>
      </c>
    </row>
    <row r="32" spans="1:27" ht="6.6" customHeight="1" x14ac:dyDescent="0.25">
      <c r="A32" s="56">
        <v>32</v>
      </c>
      <c r="B32" s="1" t="s">
        <v>252</v>
      </c>
      <c r="C32" s="41" t="s">
        <v>253</v>
      </c>
      <c r="D32" s="1" t="s">
        <v>254</v>
      </c>
      <c r="E32" s="41" t="s">
        <v>224</v>
      </c>
      <c r="F32" s="41" t="s">
        <v>101</v>
      </c>
      <c r="G32" s="58" t="s">
        <v>9</v>
      </c>
      <c r="H32" s="58" t="s">
        <v>9</v>
      </c>
      <c r="I32" s="58" t="s">
        <v>9</v>
      </c>
      <c r="J32" s="58" t="s">
        <v>9</v>
      </c>
      <c r="K32" s="58" t="s">
        <v>9</v>
      </c>
      <c r="L32" s="32" t="str">
        <f t="shared" si="0"/>
        <v>Sistemas.Prediais</v>
      </c>
      <c r="M32" s="32" t="str">
        <f t="shared" si="1"/>
        <v>Elementos.Hidráulicos</v>
      </c>
      <c r="N32" s="32" t="str">
        <f t="shared" si="2"/>
        <v>Esgoto Coletores</v>
      </c>
      <c r="O32" s="29" t="str">
        <f t="shared" si="3"/>
        <v>Coletor.Predial</v>
      </c>
      <c r="P32" s="51" t="s">
        <v>113</v>
      </c>
      <c r="Q32" s="29" t="s">
        <v>247</v>
      </c>
      <c r="R32" s="29" t="s">
        <v>9</v>
      </c>
      <c r="S32" s="29" t="s">
        <v>160</v>
      </c>
      <c r="T32" s="29" t="s">
        <v>159</v>
      </c>
      <c r="U32" s="29" t="str">
        <f t="shared" si="4"/>
        <v>Esgoto.Coletores</v>
      </c>
      <c r="V32" s="29" t="s">
        <v>161</v>
      </c>
      <c r="W32" s="57" t="str">
        <f t="shared" si="5"/>
        <v>Key-HIDR-32</v>
      </c>
      <c r="X32" s="28" t="s">
        <v>256</v>
      </c>
      <c r="Y32" s="28" t="s">
        <v>257</v>
      </c>
      <c r="Z32" s="29" t="s">
        <v>128</v>
      </c>
      <c r="AA32" s="29" t="str">
        <f t="shared" si="30"/>
        <v>Horizontal collection branch of the building</v>
      </c>
    </row>
    <row r="33" spans="1:27" ht="6.6" customHeight="1" x14ac:dyDescent="0.25">
      <c r="A33" s="56">
        <v>33</v>
      </c>
      <c r="B33" s="1" t="s">
        <v>252</v>
      </c>
      <c r="C33" s="41" t="s">
        <v>253</v>
      </c>
      <c r="D33" s="1" t="s">
        <v>254</v>
      </c>
      <c r="E33" s="41" t="s">
        <v>224</v>
      </c>
      <c r="F33" s="41" t="s">
        <v>103</v>
      </c>
      <c r="G33" s="58" t="s">
        <v>9</v>
      </c>
      <c r="H33" s="58" t="s">
        <v>9</v>
      </c>
      <c r="I33" s="58" t="s">
        <v>9</v>
      </c>
      <c r="J33" s="58" t="s">
        <v>9</v>
      </c>
      <c r="K33" s="58" t="s">
        <v>9</v>
      </c>
      <c r="L33" s="32" t="str">
        <f t="shared" ref="L33" si="31">CONCATENATE("", C33)</f>
        <v>Sistemas.Prediais</v>
      </c>
      <c r="M33" s="32" t="str">
        <f t="shared" ref="M33" si="32">CONCATENATE("", D33)</f>
        <v>Elementos.Hidráulicos</v>
      </c>
      <c r="N33" s="32" t="str">
        <f t="shared" ref="N33" si="33">(SUBSTITUTE(SUBSTITUTE(CONCATENATE("",E33),"."," ")," De "," de "))</f>
        <v>Esgoto Coletores</v>
      </c>
      <c r="O33" s="29" t="str">
        <f t="shared" si="3"/>
        <v>Tubo.de.Queda</v>
      </c>
      <c r="P33" s="51" t="s">
        <v>114</v>
      </c>
      <c r="Q33" s="29" t="s">
        <v>248</v>
      </c>
      <c r="R33" s="29" t="s">
        <v>9</v>
      </c>
      <c r="S33" s="29" t="s">
        <v>160</v>
      </c>
      <c r="T33" s="29" t="s">
        <v>159</v>
      </c>
      <c r="U33" s="29" t="str">
        <f t="shared" ref="U33" si="34">SUBSTITUTE(E33, "_", " ")</f>
        <v>Esgoto.Coletores</v>
      </c>
      <c r="V33" s="29" t="s">
        <v>161</v>
      </c>
      <c r="W33" s="57" t="str">
        <f t="shared" si="5"/>
        <v>Key-HIDR-33</v>
      </c>
      <c r="X33" s="28" t="s">
        <v>256</v>
      </c>
      <c r="Y33" s="28" t="s">
        <v>257</v>
      </c>
      <c r="Z33" s="29" t="s">
        <v>128</v>
      </c>
      <c r="AA33" s="29" t="str">
        <f t="shared" si="30"/>
        <v>Downpipe</v>
      </c>
    </row>
    <row r="34" spans="1:27" ht="6.6" customHeight="1" x14ac:dyDescent="0.25">
      <c r="A34" s="56">
        <v>34</v>
      </c>
      <c r="B34" s="1" t="s">
        <v>252</v>
      </c>
      <c r="C34" s="41" t="s">
        <v>253</v>
      </c>
      <c r="D34" s="1" t="s">
        <v>254</v>
      </c>
      <c r="E34" s="41" t="s">
        <v>224</v>
      </c>
      <c r="F34" s="41" t="s">
        <v>219</v>
      </c>
      <c r="G34" s="58" t="s">
        <v>9</v>
      </c>
      <c r="H34" s="58" t="s">
        <v>9</v>
      </c>
      <c r="I34" s="58" t="s">
        <v>9</v>
      </c>
      <c r="J34" s="58" t="s">
        <v>9</v>
      </c>
      <c r="K34" s="58" t="s">
        <v>9</v>
      </c>
      <c r="L34" s="32" t="str">
        <f t="shared" ref="L34" si="35">CONCATENATE("", C34)</f>
        <v>Sistemas.Prediais</v>
      </c>
      <c r="M34" s="32" t="str">
        <f t="shared" ref="M34" si="36">CONCATENATE("", D34)</f>
        <v>Elementos.Hidráulicos</v>
      </c>
      <c r="N34" s="32" t="str">
        <f t="shared" ref="N34" si="37">(SUBSTITUTE(SUBSTITUTE(CONCATENATE("",E34),"."," ")," De "," de "))</f>
        <v>Esgoto Coletores</v>
      </c>
      <c r="O34" s="29" t="str">
        <f t="shared" si="3"/>
        <v>Fecho.Hidráulico</v>
      </c>
      <c r="P34" s="51" t="s">
        <v>115</v>
      </c>
      <c r="Q34" s="29" t="s">
        <v>123</v>
      </c>
      <c r="R34" s="29" t="s">
        <v>9</v>
      </c>
      <c r="S34" s="29" t="s">
        <v>160</v>
      </c>
      <c r="T34" s="29" t="s">
        <v>159</v>
      </c>
      <c r="U34" s="29" t="str">
        <f t="shared" ref="U34" si="38">SUBSTITUTE(E34, "_", " ")</f>
        <v>Esgoto.Coletores</v>
      </c>
      <c r="V34" s="29" t="s">
        <v>161</v>
      </c>
      <c r="W34" s="57" t="str">
        <f t="shared" si="5"/>
        <v>Key-HIDR-34</v>
      </c>
      <c r="X34" s="28" t="s">
        <v>256</v>
      </c>
      <c r="Y34" s="28" t="s">
        <v>257</v>
      </c>
      <c r="Z34" s="29" t="s">
        <v>128</v>
      </c>
      <c r="AA34" s="29" t="str">
        <f t="shared" si="30"/>
        <v>Siphons</v>
      </c>
    </row>
    <row r="35" spans="1:27" ht="6.6" customHeight="1" x14ac:dyDescent="0.25">
      <c r="A35" s="56">
        <v>35</v>
      </c>
      <c r="B35" s="1" t="s">
        <v>252</v>
      </c>
      <c r="C35" s="41" t="s">
        <v>253</v>
      </c>
      <c r="D35" s="1" t="s">
        <v>254</v>
      </c>
      <c r="E35" s="41" t="s">
        <v>225</v>
      </c>
      <c r="F35" s="41" t="s">
        <v>107</v>
      </c>
      <c r="G35" s="58" t="s">
        <v>9</v>
      </c>
      <c r="H35" s="58" t="s">
        <v>9</v>
      </c>
      <c r="I35" s="58" t="s">
        <v>9</v>
      </c>
      <c r="J35" s="58" t="s">
        <v>9</v>
      </c>
      <c r="K35" s="58" t="s">
        <v>9</v>
      </c>
      <c r="L35" s="32" t="str">
        <f t="shared" ref="L35:L39" si="39">CONCATENATE("", C35)</f>
        <v>Sistemas.Prediais</v>
      </c>
      <c r="M35" s="32" t="str">
        <f t="shared" ref="M35:M39" si="40">CONCATENATE("", D35)</f>
        <v>Elementos.Hidráulicos</v>
      </c>
      <c r="N35" s="32" t="str">
        <f t="shared" ref="N35:N39" si="41">(SUBSTITUTE(SUBSTITUTE(CONCATENATE("",E35),"."," ")," De "," de "))</f>
        <v>Esgoto Visitas</v>
      </c>
      <c r="O35" s="29" t="str">
        <f t="shared" si="3"/>
        <v>Caixa.de.Areia</v>
      </c>
      <c r="P35" s="51" t="s">
        <v>116</v>
      </c>
      <c r="Q35" s="29" t="s">
        <v>124</v>
      </c>
      <c r="R35" s="29" t="s">
        <v>9</v>
      </c>
      <c r="S35" s="29" t="s">
        <v>160</v>
      </c>
      <c r="T35" s="29" t="s">
        <v>159</v>
      </c>
      <c r="U35" s="29" t="str">
        <f t="shared" ref="U35:U39" si="42">SUBSTITUTE(E35, "_", " ")</f>
        <v>Esgoto.Visitas</v>
      </c>
      <c r="V35" s="29" t="s">
        <v>161</v>
      </c>
      <c r="W35" s="57" t="str">
        <f t="shared" si="5"/>
        <v>Key-HIDR-35</v>
      </c>
      <c r="X35" s="28" t="s">
        <v>256</v>
      </c>
      <c r="Y35" s="28" t="s">
        <v>257</v>
      </c>
      <c r="Z35" s="29" t="s">
        <v>128</v>
      </c>
      <c r="AA35" s="29" t="str">
        <f t="shared" si="30"/>
        <v>Sandboxes</v>
      </c>
    </row>
    <row r="36" spans="1:27" ht="6.6" customHeight="1" x14ac:dyDescent="0.25">
      <c r="A36" s="56">
        <v>36</v>
      </c>
      <c r="B36" s="1" t="s">
        <v>252</v>
      </c>
      <c r="C36" s="41" t="s">
        <v>253</v>
      </c>
      <c r="D36" s="1" t="s">
        <v>254</v>
      </c>
      <c r="E36" s="41" t="s">
        <v>225</v>
      </c>
      <c r="F36" s="41" t="s">
        <v>106</v>
      </c>
      <c r="G36" s="58" t="s">
        <v>9</v>
      </c>
      <c r="H36" s="58" t="s">
        <v>9</v>
      </c>
      <c r="I36" s="58" t="s">
        <v>9</v>
      </c>
      <c r="J36" s="58" t="s">
        <v>9</v>
      </c>
      <c r="K36" s="58" t="s">
        <v>9</v>
      </c>
      <c r="L36" s="32" t="str">
        <f t="shared" si="39"/>
        <v>Sistemas.Prediais</v>
      </c>
      <c r="M36" s="32" t="str">
        <f t="shared" si="40"/>
        <v>Elementos.Hidráulicos</v>
      </c>
      <c r="N36" s="32" t="str">
        <f t="shared" si="41"/>
        <v>Esgoto Visitas</v>
      </c>
      <c r="O36" s="29" t="str">
        <f t="shared" si="3"/>
        <v>Caixa.de.Gordura</v>
      </c>
      <c r="P36" s="51" t="s">
        <v>117</v>
      </c>
      <c r="Q36" s="29" t="s">
        <v>125</v>
      </c>
      <c r="R36" s="29" t="s">
        <v>9</v>
      </c>
      <c r="S36" s="29" t="s">
        <v>160</v>
      </c>
      <c r="T36" s="29" t="s">
        <v>159</v>
      </c>
      <c r="U36" s="29" t="str">
        <f t="shared" si="42"/>
        <v>Esgoto.Visitas</v>
      </c>
      <c r="V36" s="29" t="s">
        <v>161</v>
      </c>
      <c r="W36" s="57" t="str">
        <f t="shared" si="5"/>
        <v>Key-HIDR-36</v>
      </c>
      <c r="X36" s="28" t="s">
        <v>256</v>
      </c>
      <c r="Y36" s="28" t="s">
        <v>257</v>
      </c>
      <c r="Z36" s="29" t="s">
        <v>128</v>
      </c>
      <c r="AA36" s="29" t="str">
        <f t="shared" si="30"/>
        <v>Grease Traps</v>
      </c>
    </row>
    <row r="37" spans="1:27" ht="6.6" customHeight="1" x14ac:dyDescent="0.25">
      <c r="A37" s="56">
        <v>37</v>
      </c>
      <c r="B37" s="1" t="s">
        <v>252</v>
      </c>
      <c r="C37" s="41" t="s">
        <v>253</v>
      </c>
      <c r="D37" s="1" t="s">
        <v>254</v>
      </c>
      <c r="E37" s="41" t="s">
        <v>225</v>
      </c>
      <c r="F37" s="41" t="s">
        <v>104</v>
      </c>
      <c r="G37" s="58" t="s">
        <v>9</v>
      </c>
      <c r="H37" s="58" t="s">
        <v>9</v>
      </c>
      <c r="I37" s="58" t="s">
        <v>9</v>
      </c>
      <c r="J37" s="58" t="s">
        <v>9</v>
      </c>
      <c r="K37" s="58" t="s">
        <v>9</v>
      </c>
      <c r="L37" s="32" t="str">
        <f t="shared" ref="L37:L38" si="43">CONCATENATE("", C37)</f>
        <v>Sistemas.Prediais</v>
      </c>
      <c r="M37" s="32" t="str">
        <f t="shared" ref="M37:M38" si="44">CONCATENATE("", D37)</f>
        <v>Elementos.Hidráulicos</v>
      </c>
      <c r="N37" s="32" t="str">
        <f t="shared" ref="N37:N38" si="45">(SUBSTITUTE(SUBSTITUTE(CONCATENATE("",E37),"."," ")," De "," de "))</f>
        <v>Esgoto Visitas</v>
      </c>
      <c r="O37" s="29" t="str">
        <f t="shared" si="3"/>
        <v>Caixa.de.Inspeção</v>
      </c>
      <c r="P37" s="51" t="s">
        <v>118</v>
      </c>
      <c r="Q37" s="29" t="s">
        <v>245</v>
      </c>
      <c r="R37" s="29" t="s">
        <v>9</v>
      </c>
      <c r="S37" s="29" t="s">
        <v>160</v>
      </c>
      <c r="T37" s="29" t="s">
        <v>159</v>
      </c>
      <c r="U37" s="29" t="str">
        <f t="shared" ref="U37:U38" si="46">SUBSTITUTE(E37, "_", " ")</f>
        <v>Esgoto.Visitas</v>
      </c>
      <c r="V37" s="29" t="s">
        <v>161</v>
      </c>
      <c r="W37" s="57" t="str">
        <f t="shared" si="5"/>
        <v>Key-HIDR-37</v>
      </c>
      <c r="X37" s="28" t="s">
        <v>256</v>
      </c>
      <c r="Y37" s="28" t="s">
        <v>257</v>
      </c>
      <c r="Z37" s="29" t="s">
        <v>128</v>
      </c>
      <c r="AA37" s="29" t="str">
        <f t="shared" si="30"/>
        <v>Manholes</v>
      </c>
    </row>
    <row r="38" spans="1:27" ht="6.6" customHeight="1" x14ac:dyDescent="0.25">
      <c r="A38" s="56">
        <v>38</v>
      </c>
      <c r="B38" s="1" t="s">
        <v>252</v>
      </c>
      <c r="C38" s="41" t="s">
        <v>253</v>
      </c>
      <c r="D38" s="1" t="s">
        <v>254</v>
      </c>
      <c r="E38" s="41" t="s">
        <v>225</v>
      </c>
      <c r="F38" s="41" t="s">
        <v>108</v>
      </c>
      <c r="G38" s="58" t="s">
        <v>9</v>
      </c>
      <c r="H38" s="58" t="s">
        <v>9</v>
      </c>
      <c r="I38" s="58" t="s">
        <v>9</v>
      </c>
      <c r="J38" s="58" t="s">
        <v>9</v>
      </c>
      <c r="K38" s="58" t="s">
        <v>9</v>
      </c>
      <c r="L38" s="32" t="str">
        <f t="shared" si="43"/>
        <v>Sistemas.Prediais</v>
      </c>
      <c r="M38" s="32" t="str">
        <f t="shared" si="44"/>
        <v>Elementos.Hidráulicos</v>
      </c>
      <c r="N38" s="32" t="str">
        <f t="shared" si="45"/>
        <v>Esgoto Visitas</v>
      </c>
      <c r="O38" s="29" t="str">
        <f t="shared" si="3"/>
        <v>Caixa.Sifonada</v>
      </c>
      <c r="P38" s="51" t="s">
        <v>119</v>
      </c>
      <c r="Q38" s="29" t="s">
        <v>126</v>
      </c>
      <c r="R38" s="29" t="s">
        <v>9</v>
      </c>
      <c r="S38" s="29" t="s">
        <v>160</v>
      </c>
      <c r="T38" s="29" t="s">
        <v>159</v>
      </c>
      <c r="U38" s="29" t="str">
        <f t="shared" si="46"/>
        <v>Esgoto.Visitas</v>
      </c>
      <c r="V38" s="29" t="s">
        <v>161</v>
      </c>
      <c r="W38" s="57" t="str">
        <f t="shared" si="5"/>
        <v>Key-HIDR-38</v>
      </c>
      <c r="X38" s="28" t="s">
        <v>256</v>
      </c>
      <c r="Y38" s="28" t="s">
        <v>257</v>
      </c>
      <c r="Z38" s="29" t="s">
        <v>128</v>
      </c>
      <c r="AA38" s="29" t="str">
        <f t="shared" si="30"/>
        <v>Siphon Boxes</v>
      </c>
    </row>
    <row r="39" spans="1:27" ht="6.6" customHeight="1" x14ac:dyDescent="0.25">
      <c r="A39" s="56">
        <v>39</v>
      </c>
      <c r="B39" s="1" t="s">
        <v>252</v>
      </c>
      <c r="C39" s="41" t="s">
        <v>253</v>
      </c>
      <c r="D39" s="1" t="s">
        <v>254</v>
      </c>
      <c r="E39" s="41" t="s">
        <v>225</v>
      </c>
      <c r="F39" s="41" t="s">
        <v>105</v>
      </c>
      <c r="G39" s="58" t="s">
        <v>9</v>
      </c>
      <c r="H39" s="58" t="s">
        <v>9</v>
      </c>
      <c r="I39" s="58" t="s">
        <v>9</v>
      </c>
      <c r="J39" s="58" t="s">
        <v>9</v>
      </c>
      <c r="K39" s="58" t="s">
        <v>9</v>
      </c>
      <c r="L39" s="32" t="str">
        <f t="shared" si="39"/>
        <v>Sistemas.Prediais</v>
      </c>
      <c r="M39" s="32" t="str">
        <f t="shared" si="40"/>
        <v>Elementos.Hidráulicos</v>
      </c>
      <c r="N39" s="32" t="str">
        <f t="shared" si="41"/>
        <v>Esgoto Visitas</v>
      </c>
      <c r="O39" s="29" t="str">
        <f t="shared" si="3"/>
        <v>Poço.de.Visita</v>
      </c>
      <c r="P39" s="51" t="s">
        <v>120</v>
      </c>
      <c r="Q39" s="29" t="s">
        <v>127</v>
      </c>
      <c r="R39" s="29" t="s">
        <v>9</v>
      </c>
      <c r="S39" s="29" t="s">
        <v>160</v>
      </c>
      <c r="T39" s="29" t="s">
        <v>159</v>
      </c>
      <c r="U39" s="29" t="str">
        <f t="shared" si="42"/>
        <v>Esgoto.Visitas</v>
      </c>
      <c r="V39" s="29" t="s">
        <v>161</v>
      </c>
      <c r="W39" s="57" t="str">
        <f t="shared" si="5"/>
        <v>Key-HIDR-39</v>
      </c>
      <c r="X39" s="28" t="s">
        <v>256</v>
      </c>
      <c r="Y39" s="28" t="s">
        <v>257</v>
      </c>
      <c r="Z39" s="29" t="s">
        <v>128</v>
      </c>
      <c r="AA39" s="29" t="str">
        <f t="shared" si="30"/>
        <v>Manholes</v>
      </c>
    </row>
    <row r="40" spans="1:27" ht="6.6" customHeight="1" x14ac:dyDescent="0.25">
      <c r="A40" s="56">
        <v>40</v>
      </c>
      <c r="B40" s="1" t="s">
        <v>252</v>
      </c>
      <c r="C40" s="41" t="s">
        <v>253</v>
      </c>
      <c r="D40" s="1" t="s">
        <v>254</v>
      </c>
      <c r="E40" s="41" t="s">
        <v>226</v>
      </c>
      <c r="F40" s="41" t="s">
        <v>164</v>
      </c>
      <c r="G40" s="58" t="s">
        <v>9</v>
      </c>
      <c r="H40" s="58" t="s">
        <v>9</v>
      </c>
      <c r="I40" s="58" t="s">
        <v>9</v>
      </c>
      <c r="J40" s="58" t="s">
        <v>9</v>
      </c>
      <c r="K40" s="58" t="s">
        <v>9</v>
      </c>
      <c r="L40" s="32" t="str">
        <f t="shared" ref="L40" si="47">CONCATENATE("", C40)</f>
        <v>Sistemas.Prediais</v>
      </c>
      <c r="M40" s="32" t="str">
        <f t="shared" ref="M40" si="48">CONCATENATE("", D40)</f>
        <v>Elementos.Hidráulicos</v>
      </c>
      <c r="N40" s="32" t="str">
        <f t="shared" ref="N40" si="49">(SUBSTITUTE(SUBSTITUTE(CONCATENATE("",E40),"."," ")," De "," de "))</f>
        <v>Esgoto Acessórios</v>
      </c>
      <c r="O40" s="29" t="str">
        <f t="shared" si="3"/>
        <v>Acessório.Sanitário</v>
      </c>
      <c r="P40" s="51" t="s">
        <v>232</v>
      </c>
      <c r="Q40" s="51" t="s">
        <v>165</v>
      </c>
      <c r="R40" s="29" t="s">
        <v>9</v>
      </c>
      <c r="S40" s="29" t="s">
        <v>160</v>
      </c>
      <c r="T40" s="29" t="s">
        <v>159</v>
      </c>
      <c r="U40" s="29" t="str">
        <f t="shared" ref="U40" si="50">SUBSTITUTE(E40, "_", " ")</f>
        <v>Esgoto.Acessórios</v>
      </c>
      <c r="V40" s="29" t="s">
        <v>161</v>
      </c>
      <c r="W40" s="57" t="str">
        <f t="shared" si="5"/>
        <v>Key-HIDR-40</v>
      </c>
      <c r="X40" s="28" t="s">
        <v>244</v>
      </c>
      <c r="Y40" s="28" t="s">
        <v>243</v>
      </c>
      <c r="Z40" s="29" t="s">
        <v>128</v>
      </c>
      <c r="AA40" s="29" t="str">
        <f t="shared" ref="AA40" si="51">_xlfn.TRANSLATE(P40,"pt","en")</f>
        <v>Sanitary sewer system accessory like brackets, hooks, pedestals, etc.</v>
      </c>
    </row>
  </sheetData>
  <sortState xmlns:xlrd2="http://schemas.microsoft.com/office/spreadsheetml/2017/richdata2" ref="A2:AA931">
    <sortCondition ref="F2:F931"/>
  </sortState>
  <phoneticPr fontId="1" type="noConversion"/>
  <conditionalFormatting sqref="AA2:AA40 A2:B40">
    <cfRule type="cellIs" dxfId="26" priority="6" operator="equal">
      <formula>"null"</formula>
    </cfRule>
  </conditionalFormatting>
  <conditionalFormatting sqref="F1">
    <cfRule type="duplicateValues" dxfId="25" priority="1494"/>
  </conditionalFormatting>
  <conditionalFormatting sqref="F1:F1048576">
    <cfRule type="duplicateValues" dxfId="24" priority="22"/>
  </conditionalFormatting>
  <conditionalFormatting sqref="F11">
    <cfRule type="duplicateValues" dxfId="23" priority="24"/>
  </conditionalFormatting>
  <conditionalFormatting sqref="F30">
    <cfRule type="duplicateValues" dxfId="22" priority="44"/>
  </conditionalFormatting>
  <conditionalFormatting sqref="F33 F35:F1048576 F12:F28 F1:F10">
    <cfRule type="duplicateValues" dxfId="21" priority="46"/>
  </conditionalFormatting>
  <conditionalFormatting sqref="F41:F1048576">
    <cfRule type="duplicateValues" dxfId="20" priority="251"/>
    <cfRule type="duplicateValues" dxfId="19" priority="253"/>
    <cfRule type="duplicateValues" dxfId="18" priority="1466"/>
    <cfRule type="duplicateValues" dxfId="17" priority="1487"/>
  </conditionalFormatting>
  <conditionalFormatting sqref="F1:O1 A1:D1 Q1:X1">
    <cfRule type="cellIs" dxfId="16" priority="58" operator="equal">
      <formula>"null"</formula>
    </cfRule>
  </conditionalFormatting>
  <conditionalFormatting sqref="P2:P4">
    <cfRule type="duplicateValues" dxfId="15" priority="29"/>
  </conditionalFormatting>
  <conditionalFormatting sqref="P5:P10 P12:P21">
    <cfRule type="duplicateValues" dxfId="14" priority="1507"/>
  </conditionalFormatting>
  <conditionalFormatting sqref="P22:P27">
    <cfRule type="duplicateValues" dxfId="13" priority="27"/>
  </conditionalFormatting>
  <conditionalFormatting sqref="P28">
    <cfRule type="duplicateValues" dxfId="12" priority="1500"/>
  </conditionalFormatting>
  <conditionalFormatting sqref="Q2:Q4">
    <cfRule type="duplicateValues" dxfId="11" priority="28"/>
  </conditionalFormatting>
  <conditionalFormatting sqref="Q21">
    <cfRule type="duplicateValues" dxfId="10" priority="30"/>
  </conditionalFormatting>
  <conditionalFormatting sqref="Q28">
    <cfRule type="duplicateValues" dxfId="9" priority="1501"/>
  </conditionalFormatting>
  <conditionalFormatting sqref="Z1:AA1">
    <cfRule type="cellIs" dxfId="8" priority="23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U2"/>
  <sheetViews>
    <sheetView zoomScale="180" zoomScaleNormal="180" workbookViewId="0">
      <selection activeCell="A3" sqref="A3:XFD3"/>
    </sheetView>
  </sheetViews>
  <sheetFormatPr defaultColWidth="11.140625" defaultRowHeight="8.25" x14ac:dyDescent="0.15"/>
  <cols>
    <col min="1" max="1" width="2.85546875" style="9" customWidth="1"/>
    <col min="2" max="10" width="6.5703125" style="10" customWidth="1"/>
    <col min="11" max="21" width="6.5703125" style="8" customWidth="1"/>
    <col min="22" max="16384" width="11.140625" style="8"/>
  </cols>
  <sheetData>
    <row r="1" spans="1:21" s="4" customFormat="1" ht="16.5" x14ac:dyDescent="0.15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5" t="s">
        <v>31</v>
      </c>
    </row>
    <row r="2" spans="1:21" s="4" customFormat="1" ht="10.5" customHeight="1" x14ac:dyDescent="0.15">
      <c r="A2" s="6">
        <v>2</v>
      </c>
      <c r="B2" s="7" t="s">
        <v>9</v>
      </c>
      <c r="C2" s="7" t="s">
        <v>9</v>
      </c>
      <c r="D2" s="7" t="s">
        <v>9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9</v>
      </c>
      <c r="R2" s="7" t="s">
        <v>9</v>
      </c>
      <c r="S2" s="7" t="s">
        <v>9</v>
      </c>
      <c r="T2" s="7" t="s">
        <v>9</v>
      </c>
      <c r="U2" s="7" t="s">
        <v>9</v>
      </c>
    </row>
  </sheetData>
  <conditionalFormatting sqref="A1:XFD1048576">
    <cfRule type="cellIs" dxfId="7" priority="2" operator="equal">
      <formula>"null"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0525-EDFB-44CB-9009-6752AEDD7340}">
  <sheetPr codeName="Planilha4"/>
  <dimension ref="A1:S19"/>
  <sheetViews>
    <sheetView tabSelected="1" zoomScale="190" zoomScaleNormal="190" workbookViewId="0">
      <pane ySplit="1" topLeftCell="A2" activePane="bottomLeft" state="frozen"/>
      <selection pane="bottomLeft" activeCell="A2" sqref="A2"/>
    </sheetView>
  </sheetViews>
  <sheetFormatPr defaultColWidth="11.5703125" defaultRowHeight="7.9" customHeight="1" x14ac:dyDescent="0.25"/>
  <cols>
    <col min="1" max="1" width="2.5703125" bestFit="1" customWidth="1"/>
    <col min="2" max="2" width="9.28515625" bestFit="1" customWidth="1"/>
    <col min="3" max="3" width="13.28515625" bestFit="1" customWidth="1"/>
    <col min="4" max="4" width="8.7109375" bestFit="1" customWidth="1"/>
    <col min="5" max="5" width="7.85546875" customWidth="1"/>
    <col min="6" max="6" width="6" bestFit="1" customWidth="1"/>
    <col min="7" max="7" width="60.140625" customWidth="1"/>
    <col min="8" max="8" width="6" bestFit="1" customWidth="1"/>
    <col min="9" max="9" width="19.42578125" customWidth="1"/>
    <col min="10" max="10" width="8.28515625" bestFit="1" customWidth="1"/>
    <col min="11" max="11" width="4.85546875" bestFit="1" customWidth="1"/>
    <col min="12" max="12" width="8.42578125" bestFit="1" customWidth="1"/>
    <col min="13" max="13" width="24" bestFit="1" customWidth="1"/>
    <col min="14" max="14" width="8.42578125" bestFit="1" customWidth="1"/>
    <col min="15" max="15" width="23.85546875" bestFit="1" customWidth="1"/>
    <col min="16" max="16" width="5.7109375" bestFit="1" customWidth="1"/>
    <col min="17" max="17" width="19.7109375" bestFit="1" customWidth="1"/>
    <col min="18" max="18" width="7.28515625" bestFit="1" customWidth="1"/>
    <col min="19" max="19" width="8.42578125" bestFit="1" customWidth="1"/>
  </cols>
  <sheetData>
    <row r="1" spans="1:19" ht="14.65" customHeight="1" x14ac:dyDescent="0.25">
      <c r="A1" s="16" t="s">
        <v>10</v>
      </c>
      <c r="B1" s="17" t="s">
        <v>73</v>
      </c>
      <c r="C1" s="17" t="s">
        <v>74</v>
      </c>
      <c r="D1" s="18" t="s">
        <v>75</v>
      </c>
      <c r="E1" s="18" t="s">
        <v>78</v>
      </c>
      <c r="F1" s="18" t="s">
        <v>75</v>
      </c>
      <c r="G1" s="18" t="s">
        <v>78</v>
      </c>
      <c r="H1" s="47" t="s">
        <v>76</v>
      </c>
      <c r="I1" s="18" t="s">
        <v>78</v>
      </c>
      <c r="J1" s="18" t="s">
        <v>75</v>
      </c>
      <c r="K1" s="18" t="s">
        <v>78</v>
      </c>
      <c r="L1" s="18" t="s">
        <v>75</v>
      </c>
      <c r="M1" s="18" t="s">
        <v>78</v>
      </c>
      <c r="N1" s="18" t="s">
        <v>75</v>
      </c>
      <c r="O1" s="18" t="s">
        <v>78</v>
      </c>
      <c r="P1" s="18" t="s">
        <v>75</v>
      </c>
      <c r="Q1" s="18" t="s">
        <v>78</v>
      </c>
      <c r="R1" s="18" t="s">
        <v>75</v>
      </c>
      <c r="S1" s="18" t="s">
        <v>78</v>
      </c>
    </row>
    <row r="2" spans="1:19" ht="7.9" customHeight="1" x14ac:dyDescent="0.25">
      <c r="A2" s="19">
        <v>1</v>
      </c>
      <c r="B2" s="20" t="s">
        <v>96</v>
      </c>
      <c r="C2" s="41" t="s">
        <v>253</v>
      </c>
      <c r="D2" s="49" t="s">
        <v>9</v>
      </c>
      <c r="E2" s="50" t="s">
        <v>9</v>
      </c>
      <c r="F2" s="21" t="s">
        <v>77</v>
      </c>
      <c r="G2" s="22" t="s">
        <v>258</v>
      </c>
      <c r="H2" s="48" t="s">
        <v>9</v>
      </c>
      <c r="I2" s="23" t="s">
        <v>9</v>
      </c>
      <c r="J2" s="48" t="s">
        <v>9</v>
      </c>
      <c r="K2" s="23" t="s">
        <v>9</v>
      </c>
      <c r="L2" s="48" t="s">
        <v>9</v>
      </c>
      <c r="M2" s="23" t="s">
        <v>9</v>
      </c>
      <c r="N2" s="48" t="s">
        <v>9</v>
      </c>
      <c r="O2" s="23" t="s">
        <v>9</v>
      </c>
      <c r="P2" s="48" t="s">
        <v>9</v>
      </c>
      <c r="Q2" s="23" t="s">
        <v>9</v>
      </c>
      <c r="R2" s="48" t="s">
        <v>9</v>
      </c>
      <c r="S2" s="23" t="s">
        <v>9</v>
      </c>
    </row>
    <row r="3" spans="1:19" ht="7.9" customHeight="1" x14ac:dyDescent="0.25">
      <c r="A3" s="19">
        <v>2</v>
      </c>
      <c r="B3" s="20" t="s">
        <v>217</v>
      </c>
      <c r="C3" s="41" t="s">
        <v>162</v>
      </c>
      <c r="D3" s="49" t="s">
        <v>82</v>
      </c>
      <c r="E3" s="33" t="s">
        <v>96</v>
      </c>
      <c r="F3" s="21" t="s">
        <v>77</v>
      </c>
      <c r="G3" s="22" t="s">
        <v>259</v>
      </c>
      <c r="H3" s="48" t="s">
        <v>77</v>
      </c>
      <c r="I3" s="23" t="s">
        <v>132</v>
      </c>
      <c r="J3" s="48" t="s">
        <v>9</v>
      </c>
      <c r="K3" s="23" t="s">
        <v>9</v>
      </c>
      <c r="L3" s="48" t="s">
        <v>9</v>
      </c>
      <c r="M3" s="23" t="s">
        <v>9</v>
      </c>
      <c r="N3" s="48" t="s">
        <v>9</v>
      </c>
      <c r="O3" s="23" t="s">
        <v>236</v>
      </c>
      <c r="P3" s="48" t="s">
        <v>9</v>
      </c>
      <c r="Q3" s="23" t="s">
        <v>9</v>
      </c>
      <c r="R3" s="48" t="s">
        <v>9</v>
      </c>
      <c r="S3" s="23" t="s">
        <v>9</v>
      </c>
    </row>
    <row r="4" spans="1:19" ht="7.9" customHeight="1" x14ac:dyDescent="0.25">
      <c r="A4" s="19">
        <v>3</v>
      </c>
      <c r="B4" s="20" t="s">
        <v>218</v>
      </c>
      <c r="C4" s="41" t="s">
        <v>228</v>
      </c>
      <c r="D4" s="49" t="s">
        <v>82</v>
      </c>
      <c r="E4" s="33" t="s">
        <v>96</v>
      </c>
      <c r="F4" s="21" t="s">
        <v>77</v>
      </c>
      <c r="G4" s="22" t="s">
        <v>260</v>
      </c>
      <c r="H4" s="48" t="s">
        <v>77</v>
      </c>
      <c r="I4" s="23" t="s">
        <v>132</v>
      </c>
      <c r="J4" s="48" t="s">
        <v>9</v>
      </c>
      <c r="K4" s="23" t="s">
        <v>9</v>
      </c>
      <c r="L4" s="48" t="s">
        <v>9</v>
      </c>
      <c r="M4" s="23" t="s">
        <v>9</v>
      </c>
      <c r="N4" s="48" t="s">
        <v>9</v>
      </c>
      <c r="O4" s="23" t="s">
        <v>236</v>
      </c>
      <c r="P4" s="48" t="s">
        <v>9</v>
      </c>
      <c r="Q4" s="23" t="s">
        <v>9</v>
      </c>
      <c r="R4" s="48" t="s">
        <v>9</v>
      </c>
      <c r="S4" s="23" t="s">
        <v>9</v>
      </c>
    </row>
    <row r="5" spans="1:19" ht="7.9" customHeight="1" x14ac:dyDescent="0.25">
      <c r="A5" s="19">
        <v>4</v>
      </c>
      <c r="B5" s="20" t="s">
        <v>230</v>
      </c>
      <c r="C5" s="41" t="s">
        <v>229</v>
      </c>
      <c r="D5" s="49" t="s">
        <v>82</v>
      </c>
      <c r="E5" s="33" t="s">
        <v>96</v>
      </c>
      <c r="F5" s="21" t="s">
        <v>77</v>
      </c>
      <c r="G5" s="22" t="s">
        <v>260</v>
      </c>
      <c r="H5" s="48" t="s">
        <v>77</v>
      </c>
      <c r="I5" s="23" t="s">
        <v>132</v>
      </c>
      <c r="J5" s="48" t="s">
        <v>9</v>
      </c>
      <c r="K5" s="23" t="s">
        <v>9</v>
      </c>
      <c r="L5" s="48" t="s">
        <v>9</v>
      </c>
      <c r="M5" s="23" t="s">
        <v>9</v>
      </c>
      <c r="N5" s="48" t="s">
        <v>9</v>
      </c>
      <c r="O5" s="23" t="s">
        <v>236</v>
      </c>
      <c r="P5" s="48" t="s">
        <v>9</v>
      </c>
      <c r="Q5" s="23" t="s">
        <v>9</v>
      </c>
      <c r="R5" s="48" t="s">
        <v>9</v>
      </c>
      <c r="S5" s="23" t="s">
        <v>9</v>
      </c>
    </row>
    <row r="6" spans="1:19" ht="7.9" customHeight="1" x14ac:dyDescent="0.25">
      <c r="A6" s="19">
        <v>5</v>
      </c>
      <c r="B6" s="46" t="s">
        <v>199</v>
      </c>
      <c r="C6" s="41" t="s">
        <v>168</v>
      </c>
      <c r="D6" s="49" t="s">
        <v>131</v>
      </c>
      <c r="E6" s="33" t="s">
        <v>217</v>
      </c>
      <c r="F6" s="21" t="s">
        <v>77</v>
      </c>
      <c r="G6" s="22" t="s">
        <v>166</v>
      </c>
      <c r="H6" s="48" t="s">
        <v>9</v>
      </c>
      <c r="I6" s="23" t="s">
        <v>9</v>
      </c>
      <c r="J6" s="48" t="s">
        <v>250</v>
      </c>
      <c r="K6" s="23" t="s">
        <v>129</v>
      </c>
      <c r="L6" s="48" t="s">
        <v>251</v>
      </c>
      <c r="M6" s="23" t="s">
        <v>98</v>
      </c>
      <c r="N6" s="48" t="s">
        <v>100</v>
      </c>
      <c r="O6" s="23" t="s">
        <v>261</v>
      </c>
      <c r="P6" s="48" t="s">
        <v>99</v>
      </c>
      <c r="Q6" s="23" t="s">
        <v>262</v>
      </c>
      <c r="R6" s="48" t="s">
        <v>97</v>
      </c>
      <c r="S6" s="23" t="s">
        <v>130</v>
      </c>
    </row>
    <row r="7" spans="1:19" ht="7.9" customHeight="1" x14ac:dyDescent="0.25">
      <c r="A7" s="19">
        <v>6</v>
      </c>
      <c r="B7" s="46" t="s">
        <v>200</v>
      </c>
      <c r="C7" s="41" t="s">
        <v>168</v>
      </c>
      <c r="D7" s="49" t="s">
        <v>131</v>
      </c>
      <c r="E7" s="33" t="s">
        <v>217</v>
      </c>
      <c r="F7" s="21" t="s">
        <v>77</v>
      </c>
      <c r="G7" s="22" t="s">
        <v>166</v>
      </c>
      <c r="H7" s="48" t="s">
        <v>9</v>
      </c>
      <c r="I7" s="23" t="s">
        <v>9</v>
      </c>
      <c r="J7" s="48" t="s">
        <v>250</v>
      </c>
      <c r="K7" s="23" t="s">
        <v>129</v>
      </c>
      <c r="L7" s="48" t="s">
        <v>251</v>
      </c>
      <c r="M7" s="23" t="s">
        <v>98</v>
      </c>
      <c r="N7" s="48" t="s">
        <v>100</v>
      </c>
      <c r="O7" s="23" t="s">
        <v>261</v>
      </c>
      <c r="P7" s="48" t="s">
        <v>99</v>
      </c>
      <c r="Q7" s="23" t="s">
        <v>262</v>
      </c>
      <c r="R7" s="48" t="s">
        <v>97</v>
      </c>
      <c r="S7" s="23" t="s">
        <v>130</v>
      </c>
    </row>
    <row r="8" spans="1:19" ht="7.9" customHeight="1" x14ac:dyDescent="0.25">
      <c r="A8" s="19">
        <v>7</v>
      </c>
      <c r="B8" s="46" t="s">
        <v>201</v>
      </c>
      <c r="C8" s="41" t="s">
        <v>221</v>
      </c>
      <c r="D8" s="49" t="s">
        <v>131</v>
      </c>
      <c r="E8" s="33" t="s">
        <v>218</v>
      </c>
      <c r="F8" s="21" t="s">
        <v>77</v>
      </c>
      <c r="G8" s="22" t="s">
        <v>167</v>
      </c>
      <c r="H8" s="48" t="s">
        <v>9</v>
      </c>
      <c r="I8" s="23" t="s">
        <v>9</v>
      </c>
      <c r="J8" s="48" t="s">
        <v>250</v>
      </c>
      <c r="K8" s="23" t="s">
        <v>129</v>
      </c>
      <c r="L8" s="48" t="s">
        <v>251</v>
      </c>
      <c r="M8" s="23" t="s">
        <v>98</v>
      </c>
      <c r="N8" s="48" t="s">
        <v>100</v>
      </c>
      <c r="O8" s="23" t="s">
        <v>261</v>
      </c>
      <c r="P8" s="48" t="s">
        <v>99</v>
      </c>
      <c r="Q8" s="23" t="s">
        <v>262</v>
      </c>
      <c r="R8" s="48" t="s">
        <v>97</v>
      </c>
      <c r="S8" s="23" t="s">
        <v>198</v>
      </c>
    </row>
    <row r="9" spans="1:19" ht="7.9" customHeight="1" x14ac:dyDescent="0.25">
      <c r="A9" s="19">
        <v>8</v>
      </c>
      <c r="B9" s="46" t="s">
        <v>202</v>
      </c>
      <c r="C9" s="41" t="s">
        <v>221</v>
      </c>
      <c r="D9" s="49" t="s">
        <v>131</v>
      </c>
      <c r="E9" s="33" t="s">
        <v>218</v>
      </c>
      <c r="F9" s="21" t="s">
        <v>77</v>
      </c>
      <c r="G9" s="22" t="s">
        <v>167</v>
      </c>
      <c r="H9" s="48" t="s">
        <v>9</v>
      </c>
      <c r="I9" s="23" t="s">
        <v>9</v>
      </c>
      <c r="J9" s="48" t="s">
        <v>250</v>
      </c>
      <c r="K9" s="23" t="s">
        <v>129</v>
      </c>
      <c r="L9" s="48" t="s">
        <v>251</v>
      </c>
      <c r="M9" s="23" t="s">
        <v>98</v>
      </c>
      <c r="N9" s="48" t="s">
        <v>100</v>
      </c>
      <c r="O9" s="23" t="s">
        <v>261</v>
      </c>
      <c r="P9" s="48" t="s">
        <v>99</v>
      </c>
      <c r="Q9" s="23" t="s">
        <v>262</v>
      </c>
      <c r="R9" s="48" t="s">
        <v>97</v>
      </c>
      <c r="S9" s="23" t="s">
        <v>198</v>
      </c>
    </row>
    <row r="10" spans="1:19" ht="7.9" customHeight="1" x14ac:dyDescent="0.25">
      <c r="A10" s="19">
        <v>9</v>
      </c>
      <c r="B10" s="46" t="s">
        <v>203</v>
      </c>
      <c r="C10" s="41" t="s">
        <v>221</v>
      </c>
      <c r="D10" s="49" t="s">
        <v>131</v>
      </c>
      <c r="E10" s="33" t="s">
        <v>218</v>
      </c>
      <c r="F10" s="21" t="s">
        <v>77</v>
      </c>
      <c r="G10" s="22" t="s">
        <v>167</v>
      </c>
      <c r="H10" s="48" t="s">
        <v>9</v>
      </c>
      <c r="I10" s="23" t="s">
        <v>9</v>
      </c>
      <c r="J10" s="48" t="s">
        <v>250</v>
      </c>
      <c r="K10" s="23" t="s">
        <v>129</v>
      </c>
      <c r="L10" s="48" t="s">
        <v>251</v>
      </c>
      <c r="M10" s="23" t="s">
        <v>98</v>
      </c>
      <c r="N10" s="48" t="s">
        <v>100</v>
      </c>
      <c r="O10" s="23" t="s">
        <v>261</v>
      </c>
      <c r="P10" s="48" t="s">
        <v>99</v>
      </c>
      <c r="Q10" s="23" t="s">
        <v>262</v>
      </c>
      <c r="R10" s="48" t="s">
        <v>97</v>
      </c>
      <c r="S10" s="23" t="s">
        <v>198</v>
      </c>
    </row>
    <row r="11" spans="1:19" ht="7.9" customHeight="1" x14ac:dyDescent="0.25">
      <c r="A11" s="19">
        <v>10</v>
      </c>
      <c r="B11" s="46" t="s">
        <v>204</v>
      </c>
      <c r="C11" s="41" t="s">
        <v>221</v>
      </c>
      <c r="D11" s="49" t="s">
        <v>131</v>
      </c>
      <c r="E11" s="33" t="s">
        <v>218</v>
      </c>
      <c r="F11" s="21" t="s">
        <v>77</v>
      </c>
      <c r="G11" s="22" t="s">
        <v>167</v>
      </c>
      <c r="H11" s="48" t="s">
        <v>9</v>
      </c>
      <c r="I11" s="23" t="s">
        <v>9</v>
      </c>
      <c r="J11" s="48" t="s">
        <v>250</v>
      </c>
      <c r="K11" s="23" t="s">
        <v>129</v>
      </c>
      <c r="L11" s="48" t="s">
        <v>251</v>
      </c>
      <c r="M11" s="23" t="s">
        <v>98</v>
      </c>
      <c r="N11" s="48" t="s">
        <v>100</v>
      </c>
      <c r="O11" s="23" t="s">
        <v>261</v>
      </c>
      <c r="P11" s="48" t="s">
        <v>99</v>
      </c>
      <c r="Q11" s="23" t="s">
        <v>262</v>
      </c>
      <c r="R11" s="48" t="s">
        <v>97</v>
      </c>
      <c r="S11" s="23" t="s">
        <v>198</v>
      </c>
    </row>
    <row r="12" spans="1:19" ht="7.9" customHeight="1" x14ac:dyDescent="0.25">
      <c r="A12" s="19">
        <v>11</v>
      </c>
      <c r="B12" s="46" t="s">
        <v>205</v>
      </c>
      <c r="C12" s="41" t="s">
        <v>221</v>
      </c>
      <c r="D12" s="49" t="s">
        <v>131</v>
      </c>
      <c r="E12" s="33" t="s">
        <v>218</v>
      </c>
      <c r="F12" s="21" t="s">
        <v>77</v>
      </c>
      <c r="G12" s="22" t="s">
        <v>167</v>
      </c>
      <c r="H12" s="48" t="s">
        <v>9</v>
      </c>
      <c r="I12" s="23" t="s">
        <v>9</v>
      </c>
      <c r="J12" s="48" t="s">
        <v>250</v>
      </c>
      <c r="K12" s="23" t="s">
        <v>129</v>
      </c>
      <c r="L12" s="48" t="s">
        <v>251</v>
      </c>
      <c r="M12" s="23" t="s">
        <v>98</v>
      </c>
      <c r="N12" s="48" t="s">
        <v>100</v>
      </c>
      <c r="O12" s="23" t="s">
        <v>261</v>
      </c>
      <c r="P12" s="48" t="s">
        <v>99</v>
      </c>
      <c r="Q12" s="23" t="s">
        <v>262</v>
      </c>
      <c r="R12" s="48" t="s">
        <v>97</v>
      </c>
      <c r="S12" s="23" t="s">
        <v>198</v>
      </c>
    </row>
    <row r="13" spans="1:19" ht="7.9" customHeight="1" x14ac:dyDescent="0.25">
      <c r="A13" s="19">
        <v>12</v>
      </c>
      <c r="B13" s="46" t="s">
        <v>206</v>
      </c>
      <c r="C13" s="41" t="s">
        <v>221</v>
      </c>
      <c r="D13" s="49" t="s">
        <v>131</v>
      </c>
      <c r="E13" s="33" t="s">
        <v>218</v>
      </c>
      <c r="F13" s="21" t="s">
        <v>77</v>
      </c>
      <c r="G13" s="22" t="s">
        <v>167</v>
      </c>
      <c r="H13" s="48" t="s">
        <v>9</v>
      </c>
      <c r="I13" s="23" t="s">
        <v>9</v>
      </c>
      <c r="J13" s="48" t="s">
        <v>250</v>
      </c>
      <c r="K13" s="23" t="s">
        <v>129</v>
      </c>
      <c r="L13" s="48" t="s">
        <v>251</v>
      </c>
      <c r="M13" s="23" t="s">
        <v>98</v>
      </c>
      <c r="N13" s="48" t="s">
        <v>100</v>
      </c>
      <c r="O13" s="23" t="s">
        <v>261</v>
      </c>
      <c r="P13" s="48" t="s">
        <v>99</v>
      </c>
      <c r="Q13" s="23" t="s">
        <v>262</v>
      </c>
      <c r="R13" s="48" t="s">
        <v>97</v>
      </c>
      <c r="S13" s="23" t="s">
        <v>198</v>
      </c>
    </row>
    <row r="14" spans="1:19" ht="7.9" customHeight="1" x14ac:dyDescent="0.25">
      <c r="A14" s="19">
        <v>13</v>
      </c>
      <c r="B14" s="46" t="s">
        <v>207</v>
      </c>
      <c r="C14" s="41" t="s">
        <v>222</v>
      </c>
      <c r="D14" s="49" t="s">
        <v>131</v>
      </c>
      <c r="E14" s="33" t="s">
        <v>230</v>
      </c>
      <c r="F14" s="21" t="s">
        <v>77</v>
      </c>
      <c r="G14" s="22" t="s">
        <v>196</v>
      </c>
      <c r="H14" s="48" t="s">
        <v>9</v>
      </c>
      <c r="I14" s="23" t="s">
        <v>9</v>
      </c>
      <c r="J14" s="48" t="s">
        <v>250</v>
      </c>
      <c r="K14" s="23" t="s">
        <v>129</v>
      </c>
      <c r="L14" s="48" t="s">
        <v>251</v>
      </c>
      <c r="M14" s="23" t="s">
        <v>98</v>
      </c>
      <c r="N14" s="48" t="s">
        <v>100</v>
      </c>
      <c r="O14" s="23" t="s">
        <v>261</v>
      </c>
      <c r="P14" s="48" t="s">
        <v>99</v>
      </c>
      <c r="Q14" s="23" t="s">
        <v>262</v>
      </c>
      <c r="R14" s="48" t="s">
        <v>97</v>
      </c>
      <c r="S14" s="23" t="s">
        <v>198</v>
      </c>
    </row>
    <row r="15" spans="1:19" ht="7.9" customHeight="1" x14ac:dyDescent="0.25">
      <c r="A15" s="19">
        <v>14</v>
      </c>
      <c r="B15" s="46" t="s">
        <v>208</v>
      </c>
      <c r="C15" s="41" t="s">
        <v>222</v>
      </c>
      <c r="D15" s="49" t="s">
        <v>131</v>
      </c>
      <c r="E15" s="33" t="s">
        <v>230</v>
      </c>
      <c r="F15" s="21" t="s">
        <v>77</v>
      </c>
      <c r="G15" s="22" t="s">
        <v>196</v>
      </c>
      <c r="H15" s="48" t="s">
        <v>9</v>
      </c>
      <c r="I15" s="23" t="s">
        <v>9</v>
      </c>
      <c r="J15" s="48" t="s">
        <v>250</v>
      </c>
      <c r="K15" s="23" t="s">
        <v>129</v>
      </c>
      <c r="L15" s="48" t="s">
        <v>251</v>
      </c>
      <c r="M15" s="23" t="s">
        <v>98</v>
      </c>
      <c r="N15" s="48" t="s">
        <v>100</v>
      </c>
      <c r="O15" s="23" t="s">
        <v>261</v>
      </c>
      <c r="P15" s="48" t="s">
        <v>99</v>
      </c>
      <c r="Q15" s="23" t="s">
        <v>262</v>
      </c>
      <c r="R15" s="48" t="s">
        <v>97</v>
      </c>
      <c r="S15" s="23" t="s">
        <v>198</v>
      </c>
    </row>
    <row r="16" spans="1:19" ht="7.9" customHeight="1" x14ac:dyDescent="0.25">
      <c r="A16" s="19">
        <v>15</v>
      </c>
      <c r="B16" s="46" t="s">
        <v>209</v>
      </c>
      <c r="C16" s="41" t="s">
        <v>222</v>
      </c>
      <c r="D16" s="49" t="s">
        <v>131</v>
      </c>
      <c r="E16" s="33" t="s">
        <v>230</v>
      </c>
      <c r="F16" s="21" t="s">
        <v>77</v>
      </c>
      <c r="G16" s="22" t="s">
        <v>196</v>
      </c>
      <c r="H16" s="48" t="s">
        <v>9</v>
      </c>
      <c r="I16" s="23" t="s">
        <v>9</v>
      </c>
      <c r="J16" s="48" t="s">
        <v>250</v>
      </c>
      <c r="K16" s="23" t="s">
        <v>129</v>
      </c>
      <c r="L16" s="48" t="s">
        <v>251</v>
      </c>
      <c r="M16" s="23" t="s">
        <v>98</v>
      </c>
      <c r="N16" s="48" t="s">
        <v>100</v>
      </c>
      <c r="O16" s="23" t="s">
        <v>261</v>
      </c>
      <c r="P16" s="48" t="s">
        <v>99</v>
      </c>
      <c r="Q16" s="23" t="s">
        <v>262</v>
      </c>
      <c r="R16" s="48" t="s">
        <v>97</v>
      </c>
      <c r="S16" s="23" t="s">
        <v>198</v>
      </c>
    </row>
    <row r="17" spans="1:19" ht="7.9" customHeight="1" x14ac:dyDescent="0.25">
      <c r="A17" s="19">
        <v>16</v>
      </c>
      <c r="B17" s="46" t="s">
        <v>210</v>
      </c>
      <c r="C17" s="41" t="s">
        <v>222</v>
      </c>
      <c r="D17" s="49" t="s">
        <v>131</v>
      </c>
      <c r="E17" s="33" t="s">
        <v>230</v>
      </c>
      <c r="F17" s="21" t="s">
        <v>77</v>
      </c>
      <c r="G17" s="22" t="s">
        <v>196</v>
      </c>
      <c r="H17" s="48" t="s">
        <v>9</v>
      </c>
      <c r="I17" s="23" t="s">
        <v>9</v>
      </c>
      <c r="J17" s="48" t="s">
        <v>250</v>
      </c>
      <c r="K17" s="23" t="s">
        <v>129</v>
      </c>
      <c r="L17" s="48" t="s">
        <v>251</v>
      </c>
      <c r="M17" s="23" t="s">
        <v>98</v>
      </c>
      <c r="N17" s="48" t="s">
        <v>100</v>
      </c>
      <c r="O17" s="23" t="s">
        <v>261</v>
      </c>
      <c r="P17" s="48" t="s">
        <v>99</v>
      </c>
      <c r="Q17" s="23" t="s">
        <v>262</v>
      </c>
      <c r="R17" s="48" t="s">
        <v>97</v>
      </c>
      <c r="S17" s="23" t="s">
        <v>198</v>
      </c>
    </row>
    <row r="18" spans="1:19" ht="7.9" customHeight="1" x14ac:dyDescent="0.25">
      <c r="A18" s="19">
        <v>17</v>
      </c>
      <c r="B18" s="46" t="s">
        <v>211</v>
      </c>
      <c r="C18" s="41" t="s">
        <v>222</v>
      </c>
      <c r="D18" s="49" t="s">
        <v>131</v>
      </c>
      <c r="E18" s="33" t="s">
        <v>230</v>
      </c>
      <c r="F18" s="21" t="s">
        <v>77</v>
      </c>
      <c r="G18" s="22" t="s">
        <v>196</v>
      </c>
      <c r="H18" s="48" t="s">
        <v>9</v>
      </c>
      <c r="I18" s="23" t="s">
        <v>9</v>
      </c>
      <c r="J18" s="48" t="s">
        <v>250</v>
      </c>
      <c r="K18" s="23" t="s">
        <v>129</v>
      </c>
      <c r="L18" s="48" t="s">
        <v>251</v>
      </c>
      <c r="M18" s="23" t="s">
        <v>98</v>
      </c>
      <c r="N18" s="48" t="s">
        <v>100</v>
      </c>
      <c r="O18" s="23" t="s">
        <v>261</v>
      </c>
      <c r="P18" s="48" t="s">
        <v>99</v>
      </c>
      <c r="Q18" s="23" t="s">
        <v>262</v>
      </c>
      <c r="R18" s="48" t="s">
        <v>97</v>
      </c>
      <c r="S18" s="23" t="s">
        <v>198</v>
      </c>
    </row>
    <row r="19" spans="1:19" ht="7.9" customHeight="1" x14ac:dyDescent="0.25">
      <c r="A19" s="19">
        <v>18</v>
      </c>
      <c r="B19" s="46" t="s">
        <v>212</v>
      </c>
      <c r="C19" s="41" t="s">
        <v>222</v>
      </c>
      <c r="D19" s="49" t="s">
        <v>131</v>
      </c>
      <c r="E19" s="33" t="s">
        <v>230</v>
      </c>
      <c r="F19" s="21" t="s">
        <v>77</v>
      </c>
      <c r="G19" s="22" t="s">
        <v>196</v>
      </c>
      <c r="H19" s="48" t="s">
        <v>9</v>
      </c>
      <c r="I19" s="23" t="s">
        <v>9</v>
      </c>
      <c r="J19" s="48" t="s">
        <v>250</v>
      </c>
      <c r="K19" s="23" t="s">
        <v>129</v>
      </c>
      <c r="L19" s="48" t="s">
        <v>251</v>
      </c>
      <c r="M19" s="23" t="s">
        <v>98</v>
      </c>
      <c r="N19" s="48" t="s">
        <v>100</v>
      </c>
      <c r="O19" s="23" t="s">
        <v>261</v>
      </c>
      <c r="P19" s="48" t="s">
        <v>99</v>
      </c>
      <c r="Q19" s="23" t="s">
        <v>262</v>
      </c>
      <c r="R19" s="48" t="s">
        <v>97</v>
      </c>
      <c r="S19" s="23" t="s">
        <v>198</v>
      </c>
    </row>
  </sheetData>
  <phoneticPr fontId="1" type="noConversion"/>
  <conditionalFormatting sqref="C3:C5">
    <cfRule type="duplicateValues" dxfId="6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5EC8-1387-4A67-960C-C64BD1326958}">
  <sheetPr codeName="Planilha5"/>
  <dimension ref="A1:G2"/>
  <sheetViews>
    <sheetView zoomScale="280" zoomScaleNormal="280" workbookViewId="0">
      <pane ySplit="1" topLeftCell="A2" activePane="bottomLeft" state="frozen"/>
      <selection activeCell="B1" sqref="B1"/>
      <selection pane="bottomLeft" activeCell="E7" sqref="E7"/>
    </sheetView>
  </sheetViews>
  <sheetFormatPr defaultColWidth="9.140625" defaultRowHeight="8.25" customHeight="1" x14ac:dyDescent="0.25"/>
  <cols>
    <col min="1" max="1" width="2.140625" style="25" customWidth="1"/>
    <col min="2" max="2" width="5.85546875" style="24" bestFit="1" customWidth="1"/>
    <col min="3" max="3" width="11.28515625" style="24" bestFit="1" customWidth="1"/>
    <col min="4" max="7" width="10.85546875" style="24" bestFit="1" customWidth="1"/>
  </cols>
  <sheetData>
    <row r="1" spans="1:7" ht="33" customHeight="1" x14ac:dyDescent="0.25">
      <c r="A1" s="30">
        <v>0</v>
      </c>
      <c r="B1" s="26" t="s">
        <v>79</v>
      </c>
      <c r="C1" s="27" t="s">
        <v>80</v>
      </c>
      <c r="D1" s="27" t="s">
        <v>81</v>
      </c>
      <c r="E1" s="27" t="s">
        <v>81</v>
      </c>
      <c r="F1" s="27" t="s">
        <v>81</v>
      </c>
      <c r="G1" s="27" t="s">
        <v>81</v>
      </c>
    </row>
    <row r="2" spans="1:7" ht="8.25" customHeight="1" x14ac:dyDescent="0.25">
      <c r="A2" s="31">
        <v>2</v>
      </c>
      <c r="B2" s="29" t="s">
        <v>9</v>
      </c>
      <c r="C2" s="29" t="s">
        <v>9</v>
      </c>
      <c r="D2" s="29" t="s">
        <v>9</v>
      </c>
      <c r="E2" s="29" t="s">
        <v>9</v>
      </c>
      <c r="F2" s="29" t="s">
        <v>9</v>
      </c>
      <c r="G2" s="29" t="s">
        <v>9</v>
      </c>
    </row>
  </sheetData>
  <sortState xmlns:xlrd2="http://schemas.microsoft.com/office/spreadsheetml/2017/richdata2" ref="A2:G2">
    <sortCondition ref="A1:A2"/>
  </sortState>
  <phoneticPr fontId="1" type="noConversion"/>
  <conditionalFormatting sqref="A1:G1 B3:G1048576">
    <cfRule type="containsText" dxfId="5" priority="5" operator="containsText" text="null">
      <formula>NOT(ISERROR(SEARCH("null",A1)))</formula>
    </cfRule>
  </conditionalFormatting>
  <conditionalFormatting sqref="B2">
    <cfRule type="duplicateValues" dxfId="4" priority="1449"/>
    <cfRule type="duplicateValues" dxfId="3" priority="1450"/>
  </conditionalFormatting>
  <conditionalFormatting sqref="B3:B1048576 A1:B1">
    <cfRule type="duplicateValues" dxfId="2" priority="6"/>
  </conditionalFormatting>
  <conditionalFormatting sqref="B3:B1048576 B1">
    <cfRule type="duplicateValues" dxfId="1" priority="4"/>
  </conditionalFormatting>
  <conditionalFormatting sqref="B2:G2">
    <cfRule type="containsText" dxfId="0" priority="2" operator="containsText" text="null">
      <formula>NOT(ISERROR(SEARCH("null",B2)))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FatosIn</vt:lpstr>
      <vt:lpstr>Interop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2026-08-10T19:07:12Z</dcterms:modified>
  <dc:language>pt-BR</dc:language>
</cp:coreProperties>
</file>