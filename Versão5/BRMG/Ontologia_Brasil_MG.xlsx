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Construtor_Onto\BRMG\"/>
    </mc:Choice>
  </mc:AlternateContent>
  <xr:revisionPtr revIDLastSave="0" documentId="13_ncr:1_{D8CF607B-BD61-441B-9545-256A5C02D368}" xr6:coauthVersionLast="47" xr6:coauthVersionMax="47" xr10:uidLastSave="{00000000-0000-0000-0000-000000000000}"/>
  <bookViews>
    <workbookView xWindow="-120" yWindow="-120" windowWidth="24240" windowHeight="13290" tabRatio="587" activeTab="4" xr2:uid="{6AA21774-678E-47D1-B8DD-6444A2CEB00E}"/>
  </bookViews>
  <sheets>
    <sheet name="Projeto" sheetId="26" r:id="rId1"/>
    <sheet name="Classes" sheetId="31" r:id="rId2"/>
    <sheet name="Disjunt" sheetId="3" r:id="rId3"/>
    <sheet name="Interop" sheetId="27" r:id="rId4"/>
    <sheet name="FatosIn" sheetId="30" r:id="rId5"/>
  </sheets>
  <definedNames>
    <definedName name="_xlnm._FilterDatabase" localSheetId="4" hidden="1">FatosIn!$F$1:$F$6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 i="31" l="1"/>
  <c r="W4" i="31"/>
  <c r="W5" i="31"/>
  <c r="W6" i="31"/>
  <c r="W7" i="31"/>
  <c r="W8" i="31"/>
  <c r="W9" i="31"/>
  <c r="W10" i="31"/>
  <c r="W11" i="31"/>
  <c r="W12" i="31"/>
  <c r="W13" i="31"/>
  <c r="W14" i="31"/>
  <c r="W15" i="31"/>
  <c r="W16" i="31"/>
  <c r="W17" i="31"/>
  <c r="W18" i="31"/>
  <c r="W19" i="31"/>
  <c r="W20" i="31"/>
  <c r="W21" i="31"/>
  <c r="W22" i="31"/>
  <c r="W23" i="31"/>
  <c r="W24" i="31"/>
  <c r="W25" i="31"/>
  <c r="W26" i="31"/>
  <c r="W27" i="31"/>
  <c r="W28" i="31"/>
  <c r="W29" i="31"/>
  <c r="W30" i="31"/>
  <c r="W31" i="31"/>
  <c r="W32" i="31"/>
  <c r="W33" i="31"/>
  <c r="W34" i="31"/>
  <c r="W35" i="31"/>
  <c r="W36" i="31"/>
  <c r="W37" i="31"/>
  <c r="W38" i="31"/>
  <c r="W39" i="31"/>
  <c r="W40" i="31"/>
  <c r="W41" i="31"/>
  <c r="W42" i="31"/>
  <c r="W43" i="31"/>
  <c r="W44" i="31"/>
  <c r="W45" i="31"/>
  <c r="W46" i="31"/>
  <c r="W47" i="31"/>
  <c r="W48" i="31"/>
  <c r="W49" i="31"/>
  <c r="W50" i="31"/>
  <c r="W51" i="31"/>
  <c r="W52" i="31"/>
  <c r="W53" i="31"/>
  <c r="W54" i="31"/>
  <c r="W55" i="31"/>
  <c r="W56" i="31"/>
  <c r="W57" i="31"/>
  <c r="W58" i="31"/>
  <c r="W59" i="31"/>
  <c r="W60" i="31"/>
  <c r="W61" i="31"/>
  <c r="W62" i="31"/>
  <c r="W63" i="31"/>
  <c r="W64" i="31"/>
  <c r="W65" i="31"/>
  <c r="W66" i="31"/>
  <c r="W67" i="31"/>
  <c r="W68" i="31"/>
  <c r="W69" i="31"/>
  <c r="W70" i="31"/>
  <c r="W71" i="31"/>
  <c r="W72" i="31"/>
  <c r="W73" i="31"/>
  <c r="W74" i="31"/>
  <c r="W75" i="31"/>
  <c r="W76" i="31"/>
  <c r="W77" i="31"/>
  <c r="W78" i="31"/>
  <c r="W79" i="31"/>
  <c r="W80" i="31"/>
  <c r="W81" i="31"/>
  <c r="W82" i="31"/>
  <c r="W83" i="31"/>
  <c r="W84" i="31"/>
  <c r="W85" i="31"/>
  <c r="W86" i="31"/>
  <c r="W87" i="31"/>
  <c r="W88" i="31"/>
  <c r="W89" i="31"/>
  <c r="W90" i="31"/>
  <c r="W91" i="31"/>
  <c r="W92" i="31"/>
  <c r="W93" i="31"/>
  <c r="W94" i="31"/>
  <c r="W95" i="31"/>
  <c r="W96" i="31"/>
  <c r="W97" i="31"/>
  <c r="W98" i="31"/>
  <c r="W99" i="31"/>
  <c r="W100" i="31"/>
  <c r="W101" i="31"/>
  <c r="W102" i="31"/>
  <c r="W103" i="31"/>
  <c r="W104" i="31"/>
  <c r="W105" i="31"/>
  <c r="W106" i="31"/>
  <c r="W107" i="31"/>
  <c r="W108" i="31"/>
  <c r="W109" i="31"/>
  <c r="W110" i="31"/>
  <c r="W111" i="31"/>
  <c r="W112" i="31"/>
  <c r="W113" i="31"/>
  <c r="W114" i="31"/>
  <c r="W115" i="31"/>
  <c r="W116" i="31"/>
  <c r="W117" i="31"/>
  <c r="W118" i="31"/>
  <c r="W119" i="31"/>
  <c r="W120" i="31"/>
  <c r="W121" i="31"/>
  <c r="W122" i="31"/>
  <c r="W123" i="31"/>
  <c r="W124" i="31"/>
  <c r="W125" i="31"/>
  <c r="W126" i="31"/>
  <c r="W127" i="31"/>
  <c r="W128" i="31"/>
  <c r="W129" i="31"/>
  <c r="W130" i="31"/>
  <c r="W131" i="31"/>
  <c r="W132" i="31"/>
  <c r="W133" i="31"/>
  <c r="W134" i="31"/>
  <c r="W135" i="31"/>
  <c r="W136" i="31"/>
  <c r="W137" i="31"/>
  <c r="W138" i="31"/>
  <c r="W139" i="31"/>
  <c r="W140" i="31"/>
  <c r="W141" i="31"/>
  <c r="W142" i="31"/>
  <c r="W143" i="31"/>
  <c r="W144" i="31"/>
  <c r="W145" i="31"/>
  <c r="W146" i="31"/>
  <c r="W147" i="31"/>
  <c r="W148" i="31"/>
  <c r="W149" i="31"/>
  <c r="W150" i="31"/>
  <c r="W151" i="31"/>
  <c r="W152" i="31"/>
  <c r="W153" i="31"/>
  <c r="W154" i="31"/>
  <c r="W155" i="31"/>
  <c r="W156" i="31"/>
  <c r="W157" i="31"/>
  <c r="W158" i="31"/>
  <c r="W159" i="31"/>
  <c r="W160" i="31"/>
  <c r="W161" i="31"/>
  <c r="W162" i="31"/>
  <c r="W163" i="31"/>
  <c r="W164" i="31"/>
  <c r="W165" i="31"/>
  <c r="W166" i="31"/>
  <c r="W167" i="31"/>
  <c r="W168" i="31"/>
  <c r="W169" i="31"/>
  <c r="W170" i="31"/>
  <c r="W171" i="31"/>
  <c r="W172" i="31"/>
  <c r="W173" i="31"/>
  <c r="W174" i="31"/>
  <c r="W175" i="31"/>
  <c r="W176" i="31"/>
  <c r="W177" i="31"/>
  <c r="W178" i="31"/>
  <c r="W179" i="31"/>
  <c r="W180" i="31"/>
  <c r="W181" i="31"/>
  <c r="W182" i="31"/>
  <c r="W183" i="31"/>
  <c r="W184" i="31"/>
  <c r="W185" i="31"/>
  <c r="W186" i="31"/>
  <c r="W187" i="31"/>
  <c r="W188" i="31"/>
  <c r="W189" i="31"/>
  <c r="W190" i="31"/>
  <c r="W191" i="31"/>
  <c r="W192" i="31"/>
  <c r="W193" i="31"/>
  <c r="W194" i="31"/>
  <c r="W195" i="31"/>
  <c r="W196" i="31"/>
  <c r="W197" i="31"/>
  <c r="W198" i="31"/>
  <c r="W199" i="31"/>
  <c r="W200" i="31"/>
  <c r="W201" i="31"/>
  <c r="W202" i="31"/>
  <c r="W203" i="31"/>
  <c r="W204" i="31"/>
  <c r="W205" i="31"/>
  <c r="W206" i="31"/>
  <c r="W207" i="31"/>
  <c r="W208" i="31"/>
  <c r="W209" i="31"/>
  <c r="W210" i="31"/>
  <c r="W211" i="31"/>
  <c r="W212" i="31"/>
  <c r="W213" i="31"/>
  <c r="W214" i="31"/>
  <c r="W215" i="31"/>
  <c r="W216" i="31"/>
  <c r="W217" i="31"/>
  <c r="W218" i="31"/>
  <c r="W219" i="31"/>
  <c r="W220" i="31"/>
  <c r="W221" i="31"/>
  <c r="W222" i="31"/>
  <c r="W223" i="31"/>
  <c r="W224" i="31"/>
  <c r="W225" i="31"/>
  <c r="W226" i="31"/>
  <c r="W227" i="31"/>
  <c r="W228" i="31"/>
  <c r="W229" i="31"/>
  <c r="W230" i="31"/>
  <c r="W231" i="31"/>
  <c r="W232" i="31"/>
  <c r="W233" i="31"/>
  <c r="W234" i="31"/>
  <c r="W235" i="31"/>
  <c r="W236" i="31"/>
  <c r="W237" i="31"/>
  <c r="W238" i="31"/>
  <c r="W239" i="31"/>
  <c r="W240" i="31"/>
  <c r="W241" i="31"/>
  <c r="W242" i="31"/>
  <c r="W243" i="31"/>
  <c r="W244" i="31"/>
  <c r="W245" i="31"/>
  <c r="W246" i="31"/>
  <c r="W247" i="31"/>
  <c r="W248" i="31"/>
  <c r="W249" i="31"/>
  <c r="W250" i="31"/>
  <c r="W251" i="31"/>
  <c r="W252" i="31"/>
  <c r="W253" i="31"/>
  <c r="W254" i="31"/>
  <c r="W255" i="31"/>
  <c r="W256" i="31"/>
  <c r="W257" i="31"/>
  <c r="W258" i="31"/>
  <c r="W259" i="31"/>
  <c r="W260" i="31"/>
  <c r="W261" i="31"/>
  <c r="W262" i="31"/>
  <c r="W263" i="31"/>
  <c r="W264" i="31"/>
  <c r="W265" i="31"/>
  <c r="W266" i="31"/>
  <c r="W267" i="31"/>
  <c r="W268" i="31"/>
  <c r="W269" i="31"/>
  <c r="W270" i="31"/>
  <c r="W271" i="31"/>
  <c r="W272" i="31"/>
  <c r="W273" i="31"/>
  <c r="W274" i="31"/>
  <c r="W275" i="31"/>
  <c r="W276" i="31"/>
  <c r="W277" i="31"/>
  <c r="W278" i="31"/>
  <c r="W279" i="31"/>
  <c r="W280" i="31"/>
  <c r="W281" i="31"/>
  <c r="W282" i="31"/>
  <c r="W283" i="31"/>
  <c r="W284" i="31"/>
  <c r="W285" i="31"/>
  <c r="W286" i="31"/>
  <c r="W287" i="31"/>
  <c r="W288" i="31"/>
  <c r="W289" i="31"/>
  <c r="W290" i="31"/>
  <c r="W291" i="31"/>
  <c r="W292" i="31"/>
  <c r="W293" i="31"/>
  <c r="W294" i="31"/>
  <c r="W295" i="31"/>
  <c r="W296" i="31"/>
  <c r="W297" i="31"/>
  <c r="W298" i="31"/>
  <c r="W299" i="31"/>
  <c r="W300" i="31"/>
  <c r="W301" i="31"/>
  <c r="W302" i="31"/>
  <c r="W303" i="31"/>
  <c r="W304" i="31"/>
  <c r="W305" i="31"/>
  <c r="W306" i="31"/>
  <c r="W307" i="31"/>
  <c r="W308" i="31"/>
  <c r="W309" i="31"/>
  <c r="W310" i="31"/>
  <c r="W311" i="31"/>
  <c r="W312" i="31"/>
  <c r="W313" i="31"/>
  <c r="W314" i="31"/>
  <c r="W315" i="31"/>
  <c r="W316" i="31"/>
  <c r="W317" i="31"/>
  <c r="W318" i="31"/>
  <c r="W319" i="31"/>
  <c r="W320" i="31"/>
  <c r="W321" i="31"/>
  <c r="W322" i="31"/>
  <c r="W323" i="31"/>
  <c r="W324" i="31"/>
  <c r="W325" i="31"/>
  <c r="W326" i="31"/>
  <c r="W327" i="31"/>
  <c r="W328" i="31"/>
  <c r="W329" i="31"/>
  <c r="W330" i="31"/>
  <c r="W331" i="31"/>
  <c r="W332" i="31"/>
  <c r="W333" i="31"/>
  <c r="W334" i="31"/>
  <c r="W335" i="31"/>
  <c r="W336" i="31"/>
  <c r="W337" i="31"/>
  <c r="W338" i="31"/>
  <c r="W339" i="31"/>
  <c r="W340" i="31"/>
  <c r="W341" i="31"/>
  <c r="W342" i="31"/>
  <c r="W343" i="31"/>
  <c r="W344" i="31"/>
  <c r="W345" i="31"/>
  <c r="W346" i="31"/>
  <c r="W347" i="31"/>
  <c r="W348" i="31"/>
  <c r="W349" i="31"/>
  <c r="W350" i="31"/>
  <c r="W351" i="31"/>
  <c r="W352" i="31"/>
  <c r="W353" i="31"/>
  <c r="W354" i="31"/>
  <c r="W355" i="31"/>
  <c r="W356" i="31"/>
  <c r="W357" i="31"/>
  <c r="W358" i="31"/>
  <c r="W359" i="31"/>
  <c r="W360" i="31"/>
  <c r="W361" i="31"/>
  <c r="W362" i="31"/>
  <c r="W363" i="31"/>
  <c r="W364" i="31"/>
  <c r="W365" i="31"/>
  <c r="W366" i="31"/>
  <c r="W367" i="31"/>
  <c r="W368" i="31"/>
  <c r="W369" i="31"/>
  <c r="W370" i="31"/>
  <c r="W371" i="31"/>
  <c r="W372" i="31"/>
  <c r="W373" i="31"/>
  <c r="W374" i="31"/>
  <c r="W375" i="31"/>
  <c r="W376" i="31"/>
  <c r="W377" i="31"/>
  <c r="W378" i="31"/>
  <c r="W379" i="31"/>
  <c r="W380" i="31"/>
  <c r="W381" i="31"/>
  <c r="W382" i="31"/>
  <c r="W383" i="31"/>
  <c r="W384" i="31"/>
  <c r="W385" i="31"/>
  <c r="W386" i="31"/>
  <c r="W387" i="31"/>
  <c r="W388" i="31"/>
  <c r="W389" i="31"/>
  <c r="W390" i="31"/>
  <c r="W391" i="31"/>
  <c r="W392" i="31"/>
  <c r="W393" i="31"/>
  <c r="W2" i="31"/>
  <c r="U6" i="31"/>
  <c r="T6" i="31"/>
  <c r="S6" i="31"/>
  <c r="O6" i="31"/>
  <c r="N6" i="31"/>
  <c r="M6" i="31"/>
  <c r="L6" i="31"/>
  <c r="U5" i="31"/>
  <c r="T5" i="31"/>
  <c r="S5" i="31"/>
  <c r="O5" i="31"/>
  <c r="N5" i="31"/>
  <c r="M5" i="31"/>
  <c r="L5" i="31"/>
  <c r="U4" i="31"/>
  <c r="T4" i="31"/>
  <c r="S4" i="31"/>
  <c r="O4" i="31"/>
  <c r="N4" i="31"/>
  <c r="M4" i="31"/>
  <c r="L4" i="31"/>
  <c r="U3" i="31"/>
  <c r="T3" i="31"/>
  <c r="S3" i="31"/>
  <c r="O3" i="31"/>
  <c r="N3" i="31"/>
  <c r="M3" i="31"/>
  <c r="L3" i="31"/>
  <c r="U2" i="31"/>
  <c r="T2" i="31"/>
  <c r="S2" i="31"/>
  <c r="O2" i="31"/>
  <c r="N2" i="31"/>
  <c r="M2" i="31"/>
  <c r="L2" i="31"/>
  <c r="BE8" i="30"/>
  <c r="O8" i="30"/>
  <c r="AA6" i="31"/>
  <c r="AA5" i="31"/>
  <c r="AA4" i="31"/>
  <c r="AA3" i="31"/>
  <c r="AA2" i="31"/>
  <c r="BE7" i="30" l="1"/>
  <c r="BE10" i="30"/>
  <c r="BE9" i="30"/>
  <c r="J57" i="31" l="1"/>
  <c r="Q20" i="31"/>
  <c r="Q21" i="31"/>
  <c r="Q19" i="31"/>
  <c r="U20" i="31" l="1"/>
  <c r="T20" i="31"/>
  <c r="S20" i="31"/>
  <c r="O20" i="31"/>
  <c r="N20" i="31"/>
  <c r="M20" i="31"/>
  <c r="L20" i="31"/>
  <c r="U19" i="31"/>
  <c r="T19" i="31"/>
  <c r="S19" i="31"/>
  <c r="O19" i="31"/>
  <c r="N19" i="31"/>
  <c r="M19" i="31"/>
  <c r="L19" i="31"/>
  <c r="K17" i="31"/>
  <c r="BE3" i="30"/>
  <c r="BE4" i="30"/>
  <c r="BE5" i="30"/>
  <c r="BE6" i="30"/>
  <c r="AA20" i="31"/>
  <c r="AA19" i="31"/>
  <c r="B21" i="26" l="1"/>
  <c r="B20" i="26"/>
  <c r="B26" i="26" l="1"/>
  <c r="AA351" i="31"/>
  <c r="U249" i="31" l="1"/>
  <c r="T249" i="31"/>
  <c r="S249" i="31"/>
  <c r="O249" i="31"/>
  <c r="N249" i="31"/>
  <c r="M249" i="31"/>
  <c r="L249" i="31"/>
  <c r="U262" i="31"/>
  <c r="T262" i="31"/>
  <c r="S262" i="31"/>
  <c r="O262" i="31"/>
  <c r="N262" i="31"/>
  <c r="M262" i="31"/>
  <c r="L262" i="31"/>
  <c r="U261" i="31"/>
  <c r="T261" i="31"/>
  <c r="S261" i="31"/>
  <c r="O261" i="31"/>
  <c r="N261" i="31"/>
  <c r="M261" i="31"/>
  <c r="L261" i="31"/>
  <c r="U260" i="31"/>
  <c r="T260" i="31"/>
  <c r="S260" i="31"/>
  <c r="O260" i="31"/>
  <c r="N260" i="31"/>
  <c r="M260" i="31"/>
  <c r="L260" i="31"/>
  <c r="U259" i="31"/>
  <c r="T259" i="31"/>
  <c r="S259" i="31"/>
  <c r="O259" i="31"/>
  <c r="N259" i="31"/>
  <c r="M259" i="31"/>
  <c r="L259" i="31"/>
  <c r="U241" i="31"/>
  <c r="T241" i="31"/>
  <c r="S241" i="31"/>
  <c r="O241" i="31"/>
  <c r="N241" i="31"/>
  <c r="M241" i="31"/>
  <c r="L241" i="31"/>
  <c r="U360" i="31"/>
  <c r="T360" i="31"/>
  <c r="S360" i="31"/>
  <c r="O360" i="31"/>
  <c r="N360" i="31"/>
  <c r="M360" i="31"/>
  <c r="L360" i="31"/>
  <c r="U381" i="31"/>
  <c r="T381" i="31"/>
  <c r="S381" i="31"/>
  <c r="O381" i="31"/>
  <c r="N381" i="31"/>
  <c r="M381" i="31"/>
  <c r="L381" i="31"/>
  <c r="U380" i="31"/>
  <c r="T380" i="31"/>
  <c r="S380" i="31"/>
  <c r="O380" i="31"/>
  <c r="N380" i="31"/>
  <c r="M380" i="31"/>
  <c r="L380" i="31"/>
  <c r="U379" i="31"/>
  <c r="T379" i="31"/>
  <c r="S379" i="31"/>
  <c r="O379" i="31"/>
  <c r="N379" i="31"/>
  <c r="M379" i="31"/>
  <c r="L379" i="31"/>
  <c r="U378" i="31"/>
  <c r="T378" i="31"/>
  <c r="S378" i="31"/>
  <c r="O378" i="31"/>
  <c r="N378" i="31"/>
  <c r="M378" i="31"/>
  <c r="L378" i="31"/>
  <c r="U377" i="31"/>
  <c r="T377" i="31"/>
  <c r="S377" i="31"/>
  <c r="O377" i="31"/>
  <c r="N377" i="31"/>
  <c r="M377" i="31"/>
  <c r="L377" i="31"/>
  <c r="U373" i="31"/>
  <c r="T373" i="31"/>
  <c r="S373" i="31"/>
  <c r="O373" i="31"/>
  <c r="N373" i="31"/>
  <c r="M373" i="31"/>
  <c r="L373" i="31"/>
  <c r="U371" i="31"/>
  <c r="T371" i="31"/>
  <c r="S371" i="31"/>
  <c r="O371" i="31"/>
  <c r="N371" i="31"/>
  <c r="M371" i="31"/>
  <c r="L371" i="31"/>
  <c r="U370" i="31"/>
  <c r="T370" i="31"/>
  <c r="S370" i="31"/>
  <c r="O370" i="31"/>
  <c r="N370" i="31"/>
  <c r="M370" i="31"/>
  <c r="L370" i="31"/>
  <c r="U372" i="31"/>
  <c r="T372" i="31"/>
  <c r="S372" i="31"/>
  <c r="O372" i="31"/>
  <c r="N372" i="31"/>
  <c r="M372" i="31"/>
  <c r="L372" i="31"/>
  <c r="U368" i="31"/>
  <c r="T368" i="31"/>
  <c r="S368" i="31"/>
  <c r="O368" i="31"/>
  <c r="N368" i="31"/>
  <c r="M368" i="31"/>
  <c r="L368" i="31"/>
  <c r="U93" i="31"/>
  <c r="T93" i="31"/>
  <c r="S93" i="31"/>
  <c r="O93" i="31"/>
  <c r="N93" i="31"/>
  <c r="M93" i="31"/>
  <c r="L93" i="31"/>
  <c r="U92" i="31"/>
  <c r="T92" i="31"/>
  <c r="S92" i="31"/>
  <c r="O92" i="31"/>
  <c r="N92" i="31"/>
  <c r="M92" i="31"/>
  <c r="L92" i="31"/>
  <c r="U389" i="31"/>
  <c r="T389" i="31"/>
  <c r="S389" i="31"/>
  <c r="O389" i="31"/>
  <c r="N389" i="31"/>
  <c r="M389" i="31"/>
  <c r="L389" i="31"/>
  <c r="U353" i="31"/>
  <c r="T353" i="31"/>
  <c r="S353" i="31"/>
  <c r="O353" i="31"/>
  <c r="N353" i="31"/>
  <c r="M353" i="31"/>
  <c r="L353" i="31"/>
  <c r="U354" i="31"/>
  <c r="T354" i="31"/>
  <c r="S354" i="31"/>
  <c r="O354" i="31"/>
  <c r="N354" i="31"/>
  <c r="M354" i="31"/>
  <c r="L354" i="31"/>
  <c r="U355" i="31"/>
  <c r="T355" i="31"/>
  <c r="S355" i="31"/>
  <c r="O355" i="31"/>
  <c r="N355" i="31"/>
  <c r="M355" i="31"/>
  <c r="L355" i="31"/>
  <c r="U313" i="31"/>
  <c r="T313" i="31"/>
  <c r="S313" i="31"/>
  <c r="O313" i="31"/>
  <c r="N313" i="31"/>
  <c r="M313" i="31"/>
  <c r="L313" i="31"/>
  <c r="U351" i="31"/>
  <c r="T351" i="31"/>
  <c r="S351" i="31"/>
  <c r="O351" i="31"/>
  <c r="N351" i="31"/>
  <c r="M351" i="31"/>
  <c r="L351" i="31"/>
  <c r="U350" i="31"/>
  <c r="T350" i="31"/>
  <c r="S350" i="31"/>
  <c r="O350" i="31"/>
  <c r="N350" i="31"/>
  <c r="M350" i="31"/>
  <c r="L350" i="31"/>
  <c r="U357" i="31"/>
  <c r="T357" i="31"/>
  <c r="S357" i="31"/>
  <c r="O357" i="31"/>
  <c r="N357" i="31"/>
  <c r="M357" i="31"/>
  <c r="L357" i="31"/>
  <c r="U356" i="31"/>
  <c r="T356" i="31"/>
  <c r="S356" i="31"/>
  <c r="O356" i="31"/>
  <c r="N356" i="31"/>
  <c r="M356" i="31"/>
  <c r="L356" i="31"/>
  <c r="U352" i="31"/>
  <c r="T352" i="31"/>
  <c r="S352" i="31"/>
  <c r="O352" i="31"/>
  <c r="N352" i="31"/>
  <c r="M352" i="31"/>
  <c r="L352" i="31"/>
  <c r="U349" i="31"/>
  <c r="T349" i="31"/>
  <c r="S349" i="31"/>
  <c r="O349" i="31"/>
  <c r="N349" i="31"/>
  <c r="M349" i="31"/>
  <c r="L349" i="31"/>
  <c r="U392" i="31"/>
  <c r="T392" i="31"/>
  <c r="S392" i="31"/>
  <c r="O392" i="31"/>
  <c r="N392" i="31"/>
  <c r="M392" i="31"/>
  <c r="L392" i="31"/>
  <c r="U393" i="31"/>
  <c r="T393" i="31"/>
  <c r="S393" i="31"/>
  <c r="O393" i="31"/>
  <c r="N393" i="31"/>
  <c r="M393" i="31"/>
  <c r="L393" i="31"/>
  <c r="U388" i="31"/>
  <c r="T388" i="31"/>
  <c r="S388" i="31"/>
  <c r="O388" i="31"/>
  <c r="N388" i="31"/>
  <c r="M388" i="31"/>
  <c r="L388" i="31"/>
  <c r="U386" i="31"/>
  <c r="T386" i="31"/>
  <c r="S386" i="31"/>
  <c r="O386" i="31"/>
  <c r="N386" i="31"/>
  <c r="M386" i="31"/>
  <c r="L386" i="31"/>
  <c r="U391" i="31"/>
  <c r="T391" i="31"/>
  <c r="S391" i="31"/>
  <c r="O391" i="31"/>
  <c r="N391" i="31"/>
  <c r="M391" i="31"/>
  <c r="L391" i="31"/>
  <c r="U390" i="31"/>
  <c r="T390" i="31"/>
  <c r="S390" i="31"/>
  <c r="O390" i="31"/>
  <c r="N390" i="31"/>
  <c r="M390" i="31"/>
  <c r="L390" i="31"/>
  <c r="U387" i="31"/>
  <c r="T387" i="31"/>
  <c r="S387" i="31"/>
  <c r="O387" i="31"/>
  <c r="N387" i="31"/>
  <c r="M387" i="31"/>
  <c r="L387" i="31"/>
  <c r="U385" i="31"/>
  <c r="T385" i="31"/>
  <c r="S385" i="31"/>
  <c r="O385" i="31"/>
  <c r="N385" i="31"/>
  <c r="M385" i="31"/>
  <c r="L385" i="31"/>
  <c r="U13" i="31"/>
  <c r="T13" i="31"/>
  <c r="S13" i="31"/>
  <c r="O13" i="31"/>
  <c r="N13" i="31"/>
  <c r="M13" i="31"/>
  <c r="L13" i="31"/>
  <c r="U12" i="31"/>
  <c r="T12" i="31"/>
  <c r="S12" i="31"/>
  <c r="O12" i="31"/>
  <c r="N12" i="31"/>
  <c r="M12" i="31"/>
  <c r="L12" i="31"/>
  <c r="U11" i="31"/>
  <c r="T11" i="31"/>
  <c r="S11" i="31"/>
  <c r="O11" i="31"/>
  <c r="N11" i="31"/>
  <c r="M11" i="31"/>
  <c r="L11" i="31"/>
  <c r="U10" i="31"/>
  <c r="T10" i="31"/>
  <c r="S10" i="31"/>
  <c r="O10" i="31"/>
  <c r="N10" i="31"/>
  <c r="M10" i="31"/>
  <c r="L10" i="31"/>
  <c r="U9" i="31"/>
  <c r="T9" i="31"/>
  <c r="S9" i="31"/>
  <c r="O9" i="31"/>
  <c r="N9" i="31"/>
  <c r="M9" i="31"/>
  <c r="L9" i="31"/>
  <c r="U8" i="31"/>
  <c r="T8" i="31"/>
  <c r="S8" i="31"/>
  <c r="O8" i="31"/>
  <c r="N8" i="31"/>
  <c r="M8" i="31"/>
  <c r="L8" i="31"/>
  <c r="U7" i="31"/>
  <c r="T7" i="31"/>
  <c r="S7" i="31"/>
  <c r="O7" i="31"/>
  <c r="N7" i="31"/>
  <c r="M7" i="31"/>
  <c r="L7" i="31"/>
  <c r="S358" i="31"/>
  <c r="T358" i="31"/>
  <c r="U358" i="31"/>
  <c r="S359" i="31"/>
  <c r="T359" i="31"/>
  <c r="U359" i="31"/>
  <c r="S361" i="31"/>
  <c r="T361" i="31"/>
  <c r="U361" i="31"/>
  <c r="S362" i="31"/>
  <c r="T362" i="31"/>
  <c r="U362" i="31"/>
  <c r="S363" i="31"/>
  <c r="T363" i="31"/>
  <c r="U363" i="31"/>
  <c r="S364" i="31"/>
  <c r="T364" i="31"/>
  <c r="U364" i="31"/>
  <c r="S365" i="31"/>
  <c r="T365" i="31"/>
  <c r="U365" i="31"/>
  <c r="S366" i="31"/>
  <c r="T366" i="31"/>
  <c r="U366" i="31"/>
  <c r="S367" i="31"/>
  <c r="T367" i="31"/>
  <c r="U367" i="31"/>
  <c r="S369" i="31"/>
  <c r="T369" i="31"/>
  <c r="U369" i="31"/>
  <c r="S374" i="31"/>
  <c r="T374" i="31"/>
  <c r="U374" i="31"/>
  <c r="S375" i="31"/>
  <c r="T375" i="31"/>
  <c r="U375" i="31"/>
  <c r="S376" i="31"/>
  <c r="T376" i="31"/>
  <c r="U376" i="31"/>
  <c r="S382" i="31"/>
  <c r="T382" i="31"/>
  <c r="U382" i="31"/>
  <c r="S383" i="31"/>
  <c r="T383" i="31"/>
  <c r="U383" i="31"/>
  <c r="S384" i="31"/>
  <c r="T384" i="31"/>
  <c r="U384" i="31"/>
  <c r="O384" i="31"/>
  <c r="N384" i="31"/>
  <c r="M384" i="31"/>
  <c r="L384" i="31"/>
  <c r="O383" i="31"/>
  <c r="N383" i="31"/>
  <c r="M383" i="31"/>
  <c r="L383" i="31"/>
  <c r="O382" i="31"/>
  <c r="N382" i="31"/>
  <c r="M382" i="31"/>
  <c r="L382" i="31"/>
  <c r="O376" i="31"/>
  <c r="N376" i="31"/>
  <c r="M376" i="31"/>
  <c r="L376" i="31"/>
  <c r="O375" i="31"/>
  <c r="N375" i="31"/>
  <c r="M375" i="31"/>
  <c r="L375" i="31"/>
  <c r="O374" i="31"/>
  <c r="N374" i="31"/>
  <c r="M374" i="31"/>
  <c r="L374" i="31"/>
  <c r="O369" i="31"/>
  <c r="N369" i="31"/>
  <c r="M369" i="31"/>
  <c r="L369" i="31"/>
  <c r="O367" i="31"/>
  <c r="N367" i="31"/>
  <c r="M367" i="31"/>
  <c r="L367" i="31"/>
  <c r="O366" i="31"/>
  <c r="N366" i="31"/>
  <c r="M366" i="31"/>
  <c r="L366" i="31"/>
  <c r="O365" i="31"/>
  <c r="N365" i="31"/>
  <c r="M365" i="31"/>
  <c r="L365" i="31"/>
  <c r="O364" i="31"/>
  <c r="N364" i="31"/>
  <c r="M364" i="31"/>
  <c r="L364" i="31"/>
  <c r="O363" i="31"/>
  <c r="N363" i="31"/>
  <c r="M363" i="31"/>
  <c r="L363" i="31"/>
  <c r="O362" i="31"/>
  <c r="N362" i="31"/>
  <c r="M362" i="31"/>
  <c r="L362" i="31"/>
  <c r="O361" i="31"/>
  <c r="N361" i="31"/>
  <c r="M361" i="31"/>
  <c r="L361" i="31"/>
  <c r="O359" i="31"/>
  <c r="N359" i="31"/>
  <c r="M359" i="31"/>
  <c r="L359" i="31"/>
  <c r="O358" i="31"/>
  <c r="N358" i="31"/>
  <c r="M358" i="31"/>
  <c r="L358" i="31"/>
  <c r="U338" i="31"/>
  <c r="T338" i="31"/>
  <c r="S338" i="31"/>
  <c r="O338" i="31"/>
  <c r="N338" i="31"/>
  <c r="M338" i="31"/>
  <c r="L338" i="31"/>
  <c r="U120" i="31"/>
  <c r="T120" i="31"/>
  <c r="S120" i="31"/>
  <c r="O120" i="31"/>
  <c r="N120" i="31"/>
  <c r="M120" i="31"/>
  <c r="L120" i="31"/>
  <c r="U119" i="31"/>
  <c r="T119" i="31"/>
  <c r="S119" i="31"/>
  <c r="O119" i="31"/>
  <c r="N119" i="31"/>
  <c r="M119" i="31"/>
  <c r="L119" i="31"/>
  <c r="U118" i="31"/>
  <c r="T118" i="31"/>
  <c r="S118" i="31"/>
  <c r="O118" i="31"/>
  <c r="N118" i="31"/>
  <c r="M118" i="31"/>
  <c r="L118" i="31"/>
  <c r="U121" i="31"/>
  <c r="T121" i="31"/>
  <c r="S121" i="31"/>
  <c r="O121" i="31"/>
  <c r="N121" i="31"/>
  <c r="M121" i="31"/>
  <c r="L121" i="31"/>
  <c r="U312" i="31"/>
  <c r="T312" i="31"/>
  <c r="S312" i="31"/>
  <c r="O312" i="31"/>
  <c r="N312" i="31"/>
  <c r="M312" i="31"/>
  <c r="L312" i="31"/>
  <c r="U44" i="31"/>
  <c r="T44" i="31"/>
  <c r="S44" i="31"/>
  <c r="O44" i="31"/>
  <c r="N44" i="31"/>
  <c r="M44" i="31"/>
  <c r="L44" i="31"/>
  <c r="U43" i="31"/>
  <c r="T43" i="31"/>
  <c r="S43" i="31"/>
  <c r="O43" i="31"/>
  <c r="N43" i="31"/>
  <c r="M43" i="31"/>
  <c r="L43" i="31"/>
  <c r="U45" i="31"/>
  <c r="T45" i="31"/>
  <c r="S45" i="31"/>
  <c r="O45" i="31"/>
  <c r="N45" i="31"/>
  <c r="M45" i="31"/>
  <c r="L45" i="31"/>
  <c r="U116" i="31"/>
  <c r="T116" i="31"/>
  <c r="S116" i="31"/>
  <c r="O116" i="31"/>
  <c r="N116" i="31"/>
  <c r="M116" i="31"/>
  <c r="L116" i="31"/>
  <c r="U115" i="31"/>
  <c r="T115" i="31"/>
  <c r="S115" i="31"/>
  <c r="O115" i="31"/>
  <c r="N115" i="31"/>
  <c r="M115" i="31"/>
  <c r="L115" i="31"/>
  <c r="U114" i="31"/>
  <c r="T114" i="31"/>
  <c r="S114" i="31"/>
  <c r="O114" i="31"/>
  <c r="N114" i="31"/>
  <c r="M114" i="31"/>
  <c r="L114" i="31"/>
  <c r="U108" i="31"/>
  <c r="T108" i="31"/>
  <c r="S108" i="31"/>
  <c r="O108" i="31"/>
  <c r="N108" i="31"/>
  <c r="M108" i="31"/>
  <c r="L108" i="31"/>
  <c r="U109" i="31"/>
  <c r="T109" i="31"/>
  <c r="S109" i="31"/>
  <c r="O109" i="31"/>
  <c r="N109" i="31"/>
  <c r="M109" i="31"/>
  <c r="L109" i="31"/>
  <c r="U107" i="31"/>
  <c r="T107" i="31"/>
  <c r="S107" i="31"/>
  <c r="O107" i="31"/>
  <c r="N107" i="31"/>
  <c r="M107" i="31"/>
  <c r="L107" i="31"/>
  <c r="U178" i="31"/>
  <c r="T178" i="31"/>
  <c r="S178" i="31"/>
  <c r="O178" i="31"/>
  <c r="N178" i="31"/>
  <c r="M178" i="31"/>
  <c r="L178" i="31"/>
  <c r="U177" i="31"/>
  <c r="T177" i="31"/>
  <c r="S177" i="31"/>
  <c r="O177" i="31"/>
  <c r="N177" i="31"/>
  <c r="M177" i="31"/>
  <c r="L177" i="31"/>
  <c r="U191" i="31"/>
  <c r="T191" i="31"/>
  <c r="S191" i="31"/>
  <c r="O191" i="31"/>
  <c r="N191" i="31"/>
  <c r="M191" i="31"/>
  <c r="L191" i="31"/>
  <c r="U190" i="31"/>
  <c r="T190" i="31"/>
  <c r="S190" i="31"/>
  <c r="O190" i="31"/>
  <c r="N190" i="31"/>
  <c r="M190" i="31"/>
  <c r="L190" i="31"/>
  <c r="U194" i="31"/>
  <c r="T194" i="31"/>
  <c r="S194" i="31"/>
  <c r="O194" i="31"/>
  <c r="N194" i="31"/>
  <c r="M194" i="31"/>
  <c r="L194" i="31"/>
  <c r="U193" i="31"/>
  <c r="T193" i="31"/>
  <c r="S193" i="31"/>
  <c r="O193" i="31"/>
  <c r="N193" i="31"/>
  <c r="M193" i="31"/>
  <c r="L193" i="31"/>
  <c r="U192" i="31"/>
  <c r="T192" i="31"/>
  <c r="S192" i="31"/>
  <c r="O192" i="31"/>
  <c r="N192" i="31"/>
  <c r="M192" i="31"/>
  <c r="L192" i="31"/>
  <c r="U251" i="31"/>
  <c r="T251" i="31"/>
  <c r="S251" i="31"/>
  <c r="O251" i="31"/>
  <c r="N251" i="31"/>
  <c r="M251" i="31"/>
  <c r="L251" i="31"/>
  <c r="I77" i="31"/>
  <c r="H57" i="31"/>
  <c r="AA47" i="31"/>
  <c r="AA299" i="31"/>
  <c r="AA155" i="31"/>
  <c r="AA339" i="31"/>
  <c r="AA314" i="31"/>
  <c r="AA231" i="31"/>
  <c r="AA297" i="31"/>
  <c r="AA213" i="31"/>
  <c r="AA134" i="31"/>
  <c r="AA386" i="31"/>
  <c r="AA104" i="31"/>
  <c r="AA283" i="31"/>
  <c r="AA118" i="31"/>
  <c r="AA55" i="31"/>
  <c r="AA307" i="31"/>
  <c r="AA312" i="31"/>
  <c r="AA328" i="31"/>
  <c r="AA343" i="31"/>
  <c r="AA18" i="31"/>
  <c r="AA259" i="31"/>
  <c r="AA277" i="31"/>
  <c r="AA187" i="31"/>
  <c r="AA384" i="31"/>
  <c r="AA38" i="31"/>
  <c r="AA154" i="31"/>
  <c r="AA182" i="31"/>
  <c r="AA95" i="31"/>
  <c r="AA65" i="31"/>
  <c r="AA197" i="31"/>
  <c r="AA227" i="31"/>
  <c r="AA181" i="31"/>
  <c r="AA52" i="31"/>
  <c r="AA253" i="31"/>
  <c r="AA370" i="31"/>
  <c r="AA262" i="31"/>
  <c r="AA101" i="31"/>
  <c r="AA302" i="31"/>
  <c r="AA313" i="31"/>
  <c r="AA210" i="31"/>
  <c r="AA300" i="31"/>
  <c r="AA378" i="31"/>
  <c r="AA176" i="31"/>
  <c r="AA189" i="31"/>
  <c r="AA21" i="31"/>
  <c r="AA216" i="31"/>
  <c r="AA50" i="31"/>
  <c r="AA188" i="31"/>
  <c r="AA162" i="31"/>
  <c r="AA8" i="31"/>
  <c r="AA380" i="31"/>
  <c r="AA185" i="31"/>
  <c r="AA127" i="31"/>
  <c r="AA234" i="31"/>
  <c r="AA48" i="31"/>
  <c r="AA371" i="31"/>
  <c r="AA245" i="31"/>
  <c r="AA244" i="31"/>
  <c r="AA36" i="31"/>
  <c r="AA212" i="31"/>
  <c r="AA82" i="31"/>
  <c r="AA317" i="31"/>
  <c r="AA295" i="31"/>
  <c r="AA232" i="31"/>
  <c r="AA41" i="31"/>
  <c r="AA220" i="31"/>
  <c r="AA79" i="31"/>
  <c r="AA117" i="31"/>
  <c r="AA341" i="31"/>
  <c r="AA211" i="31"/>
  <c r="AA105" i="31"/>
  <c r="AA381" i="31"/>
  <c r="AA194" i="31"/>
  <c r="AA200" i="31"/>
  <c r="AA10" i="31"/>
  <c r="AA66" i="31"/>
  <c r="AA163" i="31"/>
  <c r="AA310" i="31"/>
  <c r="AA284" i="31"/>
  <c r="AA120" i="31"/>
  <c r="AA190" i="31"/>
  <c r="AA342" i="31"/>
  <c r="AA172" i="31"/>
  <c r="AA217" i="31"/>
  <c r="AA359" i="31"/>
  <c r="AA389" i="31"/>
  <c r="AA94" i="31"/>
  <c r="AA63" i="31"/>
  <c r="AA42" i="31"/>
  <c r="AA147" i="31"/>
  <c r="AA199" i="31"/>
  <c r="AA151" i="31"/>
  <c r="AA215" i="31"/>
  <c r="AA326" i="31"/>
  <c r="AA319" i="31"/>
  <c r="AA282" i="31"/>
  <c r="AA241" i="31"/>
  <c r="AA85" i="31"/>
  <c r="AA270" i="31"/>
  <c r="AA186" i="31"/>
  <c r="AA360" i="31"/>
  <c r="AA345" i="31"/>
  <c r="AA14" i="31"/>
  <c r="AA152" i="31"/>
  <c r="AA221" i="31"/>
  <c r="AA324" i="31"/>
  <c r="AA113" i="31"/>
  <c r="AA274" i="31"/>
  <c r="AA237" i="31"/>
  <c r="AA77" i="31"/>
  <c r="AA121" i="31"/>
  <c r="AA279" i="31"/>
  <c r="AA276" i="31"/>
  <c r="AA392" i="31"/>
  <c r="AA30" i="31"/>
  <c r="AA219" i="31"/>
  <c r="AA180" i="31"/>
  <c r="AA159" i="31"/>
  <c r="AA43" i="31"/>
  <c r="AA17" i="31"/>
  <c r="AA303" i="31"/>
  <c r="AA387" i="31"/>
  <c r="AA156" i="31"/>
  <c r="AA243" i="31"/>
  <c r="AA28" i="31"/>
  <c r="AA149" i="31"/>
  <c r="AA24" i="31"/>
  <c r="AA318" i="31"/>
  <c r="AA97" i="31"/>
  <c r="AA76" i="31"/>
  <c r="AA257" i="31"/>
  <c r="AA84" i="31"/>
  <c r="AA353" i="31"/>
  <c r="AA45" i="31"/>
  <c r="AA44" i="31"/>
  <c r="AA90" i="31"/>
  <c r="AA298" i="31"/>
  <c r="AA46" i="31"/>
  <c r="AA235" i="31"/>
  <c r="AA261" i="31"/>
  <c r="AA23" i="31"/>
  <c r="AA383" i="31"/>
  <c r="AA238" i="31"/>
  <c r="AA16" i="31"/>
  <c r="AA348" i="31"/>
  <c r="AA133" i="31"/>
  <c r="AA72" i="31"/>
  <c r="AA382" i="31"/>
  <c r="AA49" i="31"/>
  <c r="AA15" i="31"/>
  <c r="AA367" i="31"/>
  <c r="AA391" i="31"/>
  <c r="AA93" i="31"/>
  <c r="AA75" i="31"/>
  <c r="AA361" i="31"/>
  <c r="AA59" i="31"/>
  <c r="AA58" i="31"/>
  <c r="AA333" i="31"/>
  <c r="AA338" i="31"/>
  <c r="AA366" i="31"/>
  <c r="AA68" i="31"/>
  <c r="AA375" i="31"/>
  <c r="AA136" i="31"/>
  <c r="AA247" i="31"/>
  <c r="AA256" i="31"/>
  <c r="AA37" i="31"/>
  <c r="AA207" i="31"/>
  <c r="AA142" i="31"/>
  <c r="AA287" i="31"/>
  <c r="AA254" i="31"/>
  <c r="AA171" i="31"/>
  <c r="AA321" i="31"/>
  <c r="AA145" i="31"/>
  <c r="AA35" i="31"/>
  <c r="AA363" i="31"/>
  <c r="AA377" i="31"/>
  <c r="AA258" i="31"/>
  <c r="AA233" i="31"/>
  <c r="AA57" i="31"/>
  <c r="AA334" i="31"/>
  <c r="AA385" i="31"/>
  <c r="AA128" i="31"/>
  <c r="AA202" i="31"/>
  <c r="AA164" i="31"/>
  <c r="AA179" i="31"/>
  <c r="AA69" i="31"/>
  <c r="AA278" i="31"/>
  <c r="AA294" i="31"/>
  <c r="AA87" i="31"/>
  <c r="AA70" i="31"/>
  <c r="AA340" i="31"/>
  <c r="AA92" i="31"/>
  <c r="AA174" i="31"/>
  <c r="AA25" i="31"/>
  <c r="AA54" i="31"/>
  <c r="AA89" i="31"/>
  <c r="AA103" i="31"/>
  <c r="AA206" i="31"/>
  <c r="AA32" i="31"/>
  <c r="AA184" i="31"/>
  <c r="AA150" i="31"/>
  <c r="AA308" i="31"/>
  <c r="AA107" i="31"/>
  <c r="AA369" i="31"/>
  <c r="AA132" i="31"/>
  <c r="AA292" i="31"/>
  <c r="AA281" i="31"/>
  <c r="AA148" i="31"/>
  <c r="AA122" i="31"/>
  <c r="AA178" i="31"/>
  <c r="AA268" i="31"/>
  <c r="AA336" i="31"/>
  <c r="AA173" i="31"/>
  <c r="AA7" i="31"/>
  <c r="AA153" i="31"/>
  <c r="AA31" i="31"/>
  <c r="AA376" i="31"/>
  <c r="AA131" i="31"/>
  <c r="AA12" i="31"/>
  <c r="AA83" i="31"/>
  <c r="AA170" i="31"/>
  <c r="AA304" i="31"/>
  <c r="AA373" i="31"/>
  <c r="AA229" i="31"/>
  <c r="AA67" i="31"/>
  <c r="AA86" i="31"/>
  <c r="AA201" i="31"/>
  <c r="AA26" i="31"/>
  <c r="AA320" i="31"/>
  <c r="AA64" i="31"/>
  <c r="AA288" i="31"/>
  <c r="AA309" i="31"/>
  <c r="AA350" i="31"/>
  <c r="AA22" i="31"/>
  <c r="AA96" i="31"/>
  <c r="AA301" i="31"/>
  <c r="AA196" i="31"/>
  <c r="AA265" i="31"/>
  <c r="AA100" i="31"/>
  <c r="AA60" i="31"/>
  <c r="AA168" i="31"/>
  <c r="AA273" i="31"/>
  <c r="AA316" i="31"/>
  <c r="AA315" i="31"/>
  <c r="AA252" i="31"/>
  <c r="AA291" i="31"/>
  <c r="AA88" i="31"/>
  <c r="AA204" i="31"/>
  <c r="AA166" i="31"/>
  <c r="AA271" i="31"/>
  <c r="AA226" i="31"/>
  <c r="AA218" i="31"/>
  <c r="AA393" i="31"/>
  <c r="AA102" i="31"/>
  <c r="AA335" i="31"/>
  <c r="AA388" i="31"/>
  <c r="AA62" i="31"/>
  <c r="AA39" i="31"/>
  <c r="AA175" i="31"/>
  <c r="AA239" i="31"/>
  <c r="AA198" i="31"/>
  <c r="AA29" i="31"/>
  <c r="AA192" i="31"/>
  <c r="AA161" i="31"/>
  <c r="AA40" i="31"/>
  <c r="AA109" i="31"/>
  <c r="AA357" i="31"/>
  <c r="AA143" i="31"/>
  <c r="AA195" i="31"/>
  <c r="AA358" i="31"/>
  <c r="AA112" i="31"/>
  <c r="AA111" i="31"/>
  <c r="AA110" i="31"/>
  <c r="AA269" i="31"/>
  <c r="AA246" i="31"/>
  <c r="AA169" i="31"/>
  <c r="AA61" i="31"/>
  <c r="AA236" i="31"/>
  <c r="AA362" i="31"/>
  <c r="AA193" i="31"/>
  <c r="AA203" i="31"/>
  <c r="AA116" i="31"/>
  <c r="AA364" i="31"/>
  <c r="AA355" i="31"/>
  <c r="AA332" i="31"/>
  <c r="AA290" i="31"/>
  <c r="AA124" i="31"/>
  <c r="AA125" i="31"/>
  <c r="AA106" i="31"/>
  <c r="AA177" i="31"/>
  <c r="AA139" i="31"/>
  <c r="AA347" i="31"/>
  <c r="AA242" i="31"/>
  <c r="AA329" i="31"/>
  <c r="AA264" i="31"/>
  <c r="AA140" i="31"/>
  <c r="AA208" i="31"/>
  <c r="AA230" i="31"/>
  <c r="AA372" i="31"/>
  <c r="AA285" i="31"/>
  <c r="AA126" i="31"/>
  <c r="AA379" i="31"/>
  <c r="AA209" i="31"/>
  <c r="AA356" i="31"/>
  <c r="AA137" i="31"/>
  <c r="AA250" i="31"/>
  <c r="AA272" i="31"/>
  <c r="AA130" i="31"/>
  <c r="AA368" i="31"/>
  <c r="AA311" i="31"/>
  <c r="AA53" i="31"/>
  <c r="AA344" i="31"/>
  <c r="AA306" i="31"/>
  <c r="AA13" i="31"/>
  <c r="AA249" i="31"/>
  <c r="AA352" i="31"/>
  <c r="AA123" i="31"/>
  <c r="AA108" i="31"/>
  <c r="AA263" i="31"/>
  <c r="AA280" i="31"/>
  <c r="AA349" i="31"/>
  <c r="AA91" i="31"/>
  <c r="AA78" i="31"/>
  <c r="AA27" i="31"/>
  <c r="AA286" i="31"/>
  <c r="AA322" i="31"/>
  <c r="AA248" i="31"/>
  <c r="AA346" i="31"/>
  <c r="AA80" i="31"/>
  <c r="AA129" i="31"/>
  <c r="AA390" i="31"/>
  <c r="AA354" i="31"/>
  <c r="AA222" i="31"/>
  <c r="AA267" i="31"/>
  <c r="AA141" i="31"/>
  <c r="AA337" i="31"/>
  <c r="AA165" i="31"/>
  <c r="AA374" i="31"/>
  <c r="AA330" i="31"/>
  <c r="AA214" i="31"/>
  <c r="AA251" i="31"/>
  <c r="AA327" i="31"/>
  <c r="AA240" i="31"/>
  <c r="AA115" i="31"/>
  <c r="AA73" i="31"/>
  <c r="AA365" i="31"/>
  <c r="AA266" i="31"/>
  <c r="AA157" i="31"/>
  <c r="AA98" i="31"/>
  <c r="AA260" i="31"/>
  <c r="AA296" i="31"/>
  <c r="AA71" i="31"/>
  <c r="AA255" i="31"/>
  <c r="AA275" i="31"/>
  <c r="AA158" i="31"/>
  <c r="AA325" i="31"/>
  <c r="AA34" i="31"/>
  <c r="AA146" i="31"/>
  <c r="AA223" i="31"/>
  <c r="AA74" i="31"/>
  <c r="AA114" i="31"/>
  <c r="AA293" i="31"/>
  <c r="AA225" i="31"/>
  <c r="AA183" i="31"/>
  <c r="AA33" i="31"/>
  <c r="AA289" i="31"/>
  <c r="AA191" i="31"/>
  <c r="AA224" i="31"/>
  <c r="AA135" i="31"/>
  <c r="AA331" i="31"/>
  <c r="AA11" i="31"/>
  <c r="AA160" i="31"/>
  <c r="AA305" i="31"/>
  <c r="AA138" i="31"/>
  <c r="AA81" i="31"/>
  <c r="AA119" i="31"/>
  <c r="AA323" i="31"/>
  <c r="AA99" i="31"/>
  <c r="AA51" i="31"/>
  <c r="AA228" i="31"/>
  <c r="AA205" i="31"/>
  <c r="AA56" i="31"/>
  <c r="AA167" i="31"/>
  <c r="AA9" i="31"/>
  <c r="AA144" i="31"/>
  <c r="H14" i="31" l="1"/>
  <c r="G14" i="31"/>
  <c r="U176" i="31"/>
  <c r="T176" i="31"/>
  <c r="S176" i="31"/>
  <c r="O176" i="31"/>
  <c r="N176" i="31"/>
  <c r="M176" i="31"/>
  <c r="L176" i="31"/>
  <c r="U175" i="31"/>
  <c r="T175" i="31"/>
  <c r="S175" i="31"/>
  <c r="O175" i="31"/>
  <c r="N175" i="31"/>
  <c r="M175" i="31"/>
  <c r="L175" i="31"/>
  <c r="U173" i="31"/>
  <c r="T173" i="31"/>
  <c r="S173" i="31"/>
  <c r="O173" i="31"/>
  <c r="N173" i="31"/>
  <c r="M173" i="31"/>
  <c r="L173" i="31"/>
  <c r="U174" i="31"/>
  <c r="T174" i="31"/>
  <c r="S174" i="31"/>
  <c r="O174" i="31"/>
  <c r="N174" i="31"/>
  <c r="M174" i="31"/>
  <c r="L174" i="31"/>
  <c r="U179" i="31"/>
  <c r="T179" i="31"/>
  <c r="S179" i="31"/>
  <c r="O179" i="31"/>
  <c r="N179" i="31"/>
  <c r="M179" i="31"/>
  <c r="L179" i="31"/>
  <c r="U172" i="31"/>
  <c r="T172" i="31"/>
  <c r="S172" i="31"/>
  <c r="O172" i="31"/>
  <c r="N172" i="31"/>
  <c r="M172" i="31"/>
  <c r="L172" i="31"/>
  <c r="U171" i="31"/>
  <c r="T171" i="31"/>
  <c r="S171" i="31"/>
  <c r="O171" i="31"/>
  <c r="N171" i="31"/>
  <c r="M171" i="31"/>
  <c r="L171" i="31"/>
  <c r="U110" i="31"/>
  <c r="T110" i="31"/>
  <c r="S110" i="31"/>
  <c r="O110" i="31"/>
  <c r="N110" i="31"/>
  <c r="M110" i="31"/>
  <c r="L110" i="31"/>
  <c r="U106" i="31"/>
  <c r="T106" i="31"/>
  <c r="S106" i="31"/>
  <c r="O106" i="31"/>
  <c r="N106" i="31"/>
  <c r="M106" i="31"/>
  <c r="L106" i="31"/>
  <c r="U105" i="31"/>
  <c r="T105" i="31"/>
  <c r="S105" i="31"/>
  <c r="O105" i="31"/>
  <c r="N105" i="31"/>
  <c r="M105" i="31"/>
  <c r="L105" i="31"/>
  <c r="U104" i="31"/>
  <c r="T104" i="31"/>
  <c r="S104" i="31"/>
  <c r="O104" i="31"/>
  <c r="N104" i="31"/>
  <c r="M104" i="31"/>
  <c r="L104" i="31"/>
  <c r="U103" i="31"/>
  <c r="T103" i="31"/>
  <c r="S103" i="31"/>
  <c r="O103" i="31"/>
  <c r="N103" i="31"/>
  <c r="M103" i="31"/>
  <c r="L103" i="31"/>
  <c r="U102" i="31"/>
  <c r="T102" i="31"/>
  <c r="S102" i="31"/>
  <c r="O102" i="31"/>
  <c r="N102" i="31"/>
  <c r="M102" i="31"/>
  <c r="L102" i="31"/>
  <c r="U101" i="31"/>
  <c r="T101" i="31"/>
  <c r="S101" i="31"/>
  <c r="O101" i="31"/>
  <c r="N101" i="31"/>
  <c r="M101" i="31"/>
  <c r="L101" i="31"/>
  <c r="U170" i="31"/>
  <c r="T170" i="31"/>
  <c r="S170" i="31"/>
  <c r="O170" i="31"/>
  <c r="N170" i="31"/>
  <c r="M170" i="31"/>
  <c r="L170" i="31"/>
  <c r="U169" i="31"/>
  <c r="T169" i="31"/>
  <c r="S169" i="31"/>
  <c r="O169" i="31"/>
  <c r="N169" i="31"/>
  <c r="M169" i="31"/>
  <c r="L169" i="31"/>
  <c r="U168" i="31"/>
  <c r="T168" i="31"/>
  <c r="S168" i="31"/>
  <c r="O168" i="31"/>
  <c r="N168" i="31"/>
  <c r="M168" i="31"/>
  <c r="L168" i="31"/>
  <c r="U167" i="31"/>
  <c r="T167" i="31"/>
  <c r="S167" i="31"/>
  <c r="O167" i="31"/>
  <c r="N167" i="31"/>
  <c r="M167" i="31"/>
  <c r="L167" i="31"/>
  <c r="U166" i="31"/>
  <c r="T166" i="31"/>
  <c r="S166" i="31"/>
  <c r="O166" i="31"/>
  <c r="N166" i="31"/>
  <c r="M166" i="31"/>
  <c r="L166" i="31"/>
  <c r="U165" i="31"/>
  <c r="T165" i="31"/>
  <c r="S165" i="31"/>
  <c r="O165" i="31"/>
  <c r="N165" i="31"/>
  <c r="M165" i="31"/>
  <c r="L165" i="31"/>
  <c r="U164" i="31"/>
  <c r="T164" i="31"/>
  <c r="S164" i="31"/>
  <c r="O164" i="31"/>
  <c r="N164" i="31"/>
  <c r="M164" i="31"/>
  <c r="L164" i="31"/>
  <c r="U163" i="31"/>
  <c r="T163" i="31"/>
  <c r="S163" i="31"/>
  <c r="O163" i="31"/>
  <c r="N163" i="31"/>
  <c r="M163" i="31"/>
  <c r="L163" i="31"/>
  <c r="U162" i="31"/>
  <c r="T162" i="31"/>
  <c r="S162" i="31"/>
  <c r="O162" i="31"/>
  <c r="N162" i="31"/>
  <c r="M162" i="31"/>
  <c r="L162" i="31"/>
  <c r="U161" i="31"/>
  <c r="T161" i="31"/>
  <c r="S161" i="31"/>
  <c r="O161" i="31"/>
  <c r="N161" i="31"/>
  <c r="M161" i="31"/>
  <c r="L161" i="31"/>
  <c r="U160" i="31"/>
  <c r="T160" i="31"/>
  <c r="S160" i="31"/>
  <c r="O160" i="31"/>
  <c r="N160" i="31"/>
  <c r="M160" i="31"/>
  <c r="L160" i="31"/>
  <c r="U159" i="31"/>
  <c r="T159" i="31"/>
  <c r="S159" i="31"/>
  <c r="O159" i="31"/>
  <c r="N159" i="31"/>
  <c r="M159" i="31"/>
  <c r="L159" i="31"/>
  <c r="U158" i="31"/>
  <c r="T158" i="31"/>
  <c r="S158" i="31"/>
  <c r="O158" i="31"/>
  <c r="N158" i="31"/>
  <c r="M158" i="31"/>
  <c r="L158" i="31"/>
  <c r="U157" i="31"/>
  <c r="T157" i="31"/>
  <c r="S157" i="31"/>
  <c r="O157" i="31"/>
  <c r="N157" i="31"/>
  <c r="M157" i="31"/>
  <c r="L157" i="31"/>
  <c r="U156" i="31"/>
  <c r="T156" i="31"/>
  <c r="S156" i="31"/>
  <c r="O156" i="31"/>
  <c r="N156" i="31"/>
  <c r="M156" i="31"/>
  <c r="L156" i="31"/>
  <c r="U155" i="31"/>
  <c r="T155" i="31"/>
  <c r="S155" i="31"/>
  <c r="O155" i="31"/>
  <c r="N155" i="31"/>
  <c r="M155" i="31"/>
  <c r="L155" i="31"/>
  <c r="U154" i="31"/>
  <c r="T154" i="31"/>
  <c r="S154" i="31"/>
  <c r="O154" i="31"/>
  <c r="N154" i="31"/>
  <c r="M154" i="31"/>
  <c r="L154" i="31"/>
  <c r="U153" i="31"/>
  <c r="T153" i="31"/>
  <c r="S153" i="31"/>
  <c r="O153" i="31"/>
  <c r="N153" i="31"/>
  <c r="M153" i="31"/>
  <c r="L153" i="31"/>
  <c r="U152" i="31"/>
  <c r="T152" i="31"/>
  <c r="S152" i="31"/>
  <c r="O152" i="31"/>
  <c r="N152" i="31"/>
  <c r="M152" i="31"/>
  <c r="L152" i="31"/>
  <c r="U151" i="31"/>
  <c r="T151" i="31"/>
  <c r="S151" i="31"/>
  <c r="O151" i="31"/>
  <c r="N151" i="31"/>
  <c r="M151" i="31"/>
  <c r="L151" i="31"/>
  <c r="U150" i="31"/>
  <c r="T150" i="31"/>
  <c r="S150" i="31"/>
  <c r="O150" i="31"/>
  <c r="N150" i="31"/>
  <c r="M150" i="31"/>
  <c r="L150" i="31"/>
  <c r="U149" i="31"/>
  <c r="T149" i="31"/>
  <c r="S149" i="31"/>
  <c r="O149" i="31"/>
  <c r="N149" i="31"/>
  <c r="M149" i="31"/>
  <c r="L149" i="31"/>
  <c r="U148" i="31"/>
  <c r="T148" i="31"/>
  <c r="S148" i="31"/>
  <c r="O148" i="31"/>
  <c r="N148" i="31"/>
  <c r="M148" i="31"/>
  <c r="L148" i="31"/>
  <c r="U147" i="31"/>
  <c r="T147" i="31"/>
  <c r="S147" i="31"/>
  <c r="O147" i="31"/>
  <c r="N147" i="31"/>
  <c r="M147" i="31"/>
  <c r="L147" i="31"/>
  <c r="U146" i="31"/>
  <c r="T146" i="31"/>
  <c r="S146" i="31"/>
  <c r="O146" i="31"/>
  <c r="N146" i="31"/>
  <c r="M146" i="31"/>
  <c r="L146" i="31"/>
  <c r="U145" i="31"/>
  <c r="T145" i="31"/>
  <c r="S145" i="31"/>
  <c r="O145" i="31"/>
  <c r="N145" i="31"/>
  <c r="M145" i="31"/>
  <c r="L145" i="31"/>
  <c r="U189" i="31"/>
  <c r="T189" i="31"/>
  <c r="S189" i="31"/>
  <c r="O189" i="31"/>
  <c r="N189" i="31"/>
  <c r="M189" i="31"/>
  <c r="L189" i="31"/>
  <c r="U188" i="31"/>
  <c r="T188" i="31"/>
  <c r="S188" i="31"/>
  <c r="O188" i="31"/>
  <c r="N188" i="31"/>
  <c r="M188" i="31"/>
  <c r="L188" i="31"/>
  <c r="U187" i="31"/>
  <c r="T187" i="31"/>
  <c r="S187" i="31"/>
  <c r="O187" i="31"/>
  <c r="N187" i="31"/>
  <c r="M187" i="31"/>
  <c r="L187" i="31"/>
  <c r="U186" i="31"/>
  <c r="T186" i="31"/>
  <c r="S186" i="31"/>
  <c r="O186" i="31"/>
  <c r="N186" i="31"/>
  <c r="M186" i="31"/>
  <c r="L186" i="31"/>
  <c r="U185" i="31"/>
  <c r="T185" i="31"/>
  <c r="S185" i="31"/>
  <c r="O185" i="31"/>
  <c r="N185" i="31"/>
  <c r="M185" i="31"/>
  <c r="L185" i="31"/>
  <c r="U184" i="31"/>
  <c r="T184" i="31"/>
  <c r="S184" i="31"/>
  <c r="O184" i="31"/>
  <c r="N184" i="31"/>
  <c r="M184" i="31"/>
  <c r="L184" i="31"/>
  <c r="U183" i="31"/>
  <c r="T183" i="31"/>
  <c r="S183" i="31"/>
  <c r="O183" i="31"/>
  <c r="N183" i="31"/>
  <c r="M183" i="31"/>
  <c r="L183" i="31"/>
  <c r="U182" i="31"/>
  <c r="T182" i="31"/>
  <c r="S182" i="31"/>
  <c r="O182" i="31"/>
  <c r="N182" i="31"/>
  <c r="M182" i="31"/>
  <c r="L182" i="31"/>
  <c r="U181" i="31"/>
  <c r="T181" i="31"/>
  <c r="S181" i="31"/>
  <c r="O181" i="31"/>
  <c r="N181" i="31"/>
  <c r="M181" i="31"/>
  <c r="L181" i="31"/>
  <c r="U180" i="31"/>
  <c r="T180" i="31"/>
  <c r="S180" i="31"/>
  <c r="O180" i="31"/>
  <c r="N180" i="31"/>
  <c r="M180" i="31"/>
  <c r="L180" i="31"/>
  <c r="U139" i="31"/>
  <c r="T139" i="31"/>
  <c r="S139" i="31"/>
  <c r="O139" i="31"/>
  <c r="N139" i="31"/>
  <c r="M139" i="31"/>
  <c r="L139" i="31"/>
  <c r="U144" i="31"/>
  <c r="T144" i="31"/>
  <c r="S144" i="31"/>
  <c r="O144" i="31"/>
  <c r="N144" i="31"/>
  <c r="M144" i="31"/>
  <c r="L144" i="31"/>
  <c r="U142" i="31"/>
  <c r="T142" i="31"/>
  <c r="S142" i="31"/>
  <c r="O142" i="31"/>
  <c r="N142" i="31"/>
  <c r="M142" i="31"/>
  <c r="L142" i="31"/>
  <c r="U117" i="31"/>
  <c r="T117" i="31"/>
  <c r="S117" i="31"/>
  <c r="O117" i="31"/>
  <c r="N117" i="31"/>
  <c r="M117" i="31"/>
  <c r="L117" i="31"/>
  <c r="U113" i="31"/>
  <c r="T113" i="31"/>
  <c r="S113" i="31"/>
  <c r="O113" i="31"/>
  <c r="N113" i="31"/>
  <c r="M113" i="31"/>
  <c r="L113" i="31"/>
  <c r="U112" i="31"/>
  <c r="T112" i="31"/>
  <c r="S112" i="31"/>
  <c r="O112" i="31"/>
  <c r="N112" i="31"/>
  <c r="M112" i="31"/>
  <c r="L112" i="31"/>
  <c r="U111" i="31"/>
  <c r="T111" i="31"/>
  <c r="S111" i="31"/>
  <c r="O111" i="31"/>
  <c r="N111" i="31"/>
  <c r="M111" i="31"/>
  <c r="L111" i="31"/>
  <c r="U136" i="31"/>
  <c r="T136" i="31"/>
  <c r="S136" i="31"/>
  <c r="O136" i="31"/>
  <c r="N136" i="31"/>
  <c r="M136" i="31"/>
  <c r="L136" i="31"/>
  <c r="U135" i="31"/>
  <c r="T135" i="31"/>
  <c r="S135" i="31"/>
  <c r="O135" i="31"/>
  <c r="N135" i="31"/>
  <c r="M135" i="31"/>
  <c r="L135" i="31"/>
  <c r="U134" i="31"/>
  <c r="T134" i="31"/>
  <c r="S134" i="31"/>
  <c r="O134" i="31"/>
  <c r="N134" i="31"/>
  <c r="M134" i="31"/>
  <c r="L134" i="31"/>
  <c r="U133" i="31"/>
  <c r="T133" i="31"/>
  <c r="S133" i="31"/>
  <c r="O133" i="31"/>
  <c r="N133" i="31"/>
  <c r="M133" i="31"/>
  <c r="L133" i="31"/>
  <c r="U132" i="31"/>
  <c r="T132" i="31"/>
  <c r="S132" i="31"/>
  <c r="O132" i="31"/>
  <c r="N132" i="31"/>
  <c r="M132" i="31"/>
  <c r="L132" i="31"/>
  <c r="U131" i="31"/>
  <c r="T131" i="31"/>
  <c r="S131" i="31"/>
  <c r="O131" i="31"/>
  <c r="N131" i="31"/>
  <c r="M131" i="31"/>
  <c r="L131" i="31"/>
  <c r="U130" i="31"/>
  <c r="T130" i="31"/>
  <c r="S130" i="31"/>
  <c r="O130" i="31"/>
  <c r="N130" i="31"/>
  <c r="M130" i="31"/>
  <c r="L130" i="31"/>
  <c r="U129" i="31"/>
  <c r="T129" i="31"/>
  <c r="S129" i="31"/>
  <c r="O129" i="31"/>
  <c r="N129" i="31"/>
  <c r="M129" i="31"/>
  <c r="L129" i="31"/>
  <c r="U128" i="31"/>
  <c r="T128" i="31"/>
  <c r="S128" i="31"/>
  <c r="O128" i="31"/>
  <c r="N128" i="31"/>
  <c r="M128" i="31"/>
  <c r="L128" i="31"/>
  <c r="U127" i="31"/>
  <c r="T127" i="31"/>
  <c r="S127" i="31"/>
  <c r="O127" i="31"/>
  <c r="N127" i="31"/>
  <c r="M127" i="31"/>
  <c r="L127" i="31"/>
  <c r="U126" i="31"/>
  <c r="T126" i="31"/>
  <c r="S126" i="31"/>
  <c r="O126" i="31"/>
  <c r="N126" i="31"/>
  <c r="M126" i="31"/>
  <c r="L126" i="31"/>
  <c r="U125" i="31"/>
  <c r="T125" i="31"/>
  <c r="S125" i="31"/>
  <c r="O125" i="31"/>
  <c r="N125" i="31"/>
  <c r="M125" i="31"/>
  <c r="L125" i="31"/>
  <c r="U124" i="31"/>
  <c r="T124" i="31"/>
  <c r="S124" i="31"/>
  <c r="O124" i="31"/>
  <c r="N124" i="31"/>
  <c r="M124" i="31"/>
  <c r="L124" i="31"/>
  <c r="U123" i="31"/>
  <c r="T123" i="31"/>
  <c r="S123" i="31"/>
  <c r="O123" i="31"/>
  <c r="N123" i="31"/>
  <c r="M123" i="31"/>
  <c r="L123" i="31"/>
  <c r="U122" i="31"/>
  <c r="T122" i="31"/>
  <c r="S122" i="31"/>
  <c r="O122" i="31"/>
  <c r="N122" i="31"/>
  <c r="M122" i="31"/>
  <c r="L122" i="31"/>
  <c r="U54" i="31"/>
  <c r="T54" i="31"/>
  <c r="S54" i="31"/>
  <c r="O54" i="31"/>
  <c r="N54" i="31"/>
  <c r="M54" i="31"/>
  <c r="L54" i="31"/>
  <c r="U207" i="31"/>
  <c r="T207" i="31"/>
  <c r="S207" i="31"/>
  <c r="O207" i="31"/>
  <c r="N207" i="31"/>
  <c r="M207" i="31"/>
  <c r="L207" i="31"/>
  <c r="U35" i="31"/>
  <c r="T35" i="31"/>
  <c r="S35" i="31"/>
  <c r="O35" i="31"/>
  <c r="N35" i="31"/>
  <c r="M35" i="31"/>
  <c r="L35" i="31"/>
  <c r="U31" i="31"/>
  <c r="U32" i="31"/>
  <c r="U33" i="31"/>
  <c r="U34" i="31"/>
  <c r="U36" i="31"/>
  <c r="U37" i="31"/>
  <c r="U38" i="31"/>
  <c r="U39" i="31"/>
  <c r="U40" i="31"/>
  <c r="U41" i="31"/>
  <c r="U42" i="31"/>
  <c r="U46" i="31"/>
  <c r="U47" i="31"/>
  <c r="U48" i="31"/>
  <c r="U49" i="31"/>
  <c r="U50" i="31"/>
  <c r="U51" i="31"/>
  <c r="U52" i="31"/>
  <c r="U53" i="31"/>
  <c r="U55" i="31"/>
  <c r="U56" i="31"/>
  <c r="U57" i="31"/>
  <c r="U58" i="31"/>
  <c r="U59" i="31"/>
  <c r="U60" i="31"/>
  <c r="U61" i="31"/>
  <c r="U62" i="31"/>
  <c r="U63" i="31"/>
  <c r="U64" i="31"/>
  <c r="U65" i="31"/>
  <c r="U66" i="31"/>
  <c r="U67" i="31"/>
  <c r="U68" i="31"/>
  <c r="U69" i="31"/>
  <c r="U70" i="31"/>
  <c r="U71" i="31"/>
  <c r="U72" i="31"/>
  <c r="U73" i="31"/>
  <c r="U74" i="31"/>
  <c r="U75" i="31"/>
  <c r="U76" i="31"/>
  <c r="U77" i="31"/>
  <c r="U78" i="31"/>
  <c r="U79" i="31"/>
  <c r="U80" i="31"/>
  <c r="U81" i="31"/>
  <c r="U82" i="31"/>
  <c r="U83" i="31"/>
  <c r="U84" i="31"/>
  <c r="U85" i="31"/>
  <c r="U86" i="31"/>
  <c r="U87" i="31"/>
  <c r="U88" i="31"/>
  <c r="U89" i="31"/>
  <c r="U90" i="31"/>
  <c r="U91" i="31"/>
  <c r="U94" i="31"/>
  <c r="U95" i="31"/>
  <c r="U96" i="31"/>
  <c r="U97" i="31"/>
  <c r="U98" i="31"/>
  <c r="U99" i="31"/>
  <c r="U100" i="31"/>
  <c r="U137" i="31"/>
  <c r="U138" i="31"/>
  <c r="U140" i="31"/>
  <c r="U141" i="31"/>
  <c r="U143" i="31"/>
  <c r="U195" i="31"/>
  <c r="U196" i="31"/>
  <c r="U197" i="31"/>
  <c r="U198" i="31"/>
  <c r="U199" i="31"/>
  <c r="U200" i="31"/>
  <c r="U201" i="31"/>
  <c r="U202" i="31"/>
  <c r="U203" i="31"/>
  <c r="U204" i="31"/>
  <c r="U205" i="31"/>
  <c r="U206" i="31"/>
  <c r="U208" i="31"/>
  <c r="U209" i="31"/>
  <c r="U210" i="31"/>
  <c r="U211" i="31"/>
  <c r="U212" i="31"/>
  <c r="U213" i="31"/>
  <c r="U214" i="31"/>
  <c r="U215" i="31"/>
  <c r="U216" i="31"/>
  <c r="U217" i="31"/>
  <c r="U218" i="31"/>
  <c r="U219" i="31"/>
  <c r="U220" i="31"/>
  <c r="U221" i="31"/>
  <c r="U222" i="31"/>
  <c r="U223" i="31"/>
  <c r="U224" i="31"/>
  <c r="U225" i="31"/>
  <c r="U226" i="31"/>
  <c r="U227" i="31"/>
  <c r="U228" i="31"/>
  <c r="U229" i="31"/>
  <c r="U230" i="31"/>
  <c r="U231" i="31"/>
  <c r="U232" i="31"/>
  <c r="U233" i="31"/>
  <c r="U234" i="31"/>
  <c r="U235" i="31"/>
  <c r="U236" i="31"/>
  <c r="U237" i="31"/>
  <c r="U238" i="31"/>
  <c r="U239" i="31"/>
  <c r="U240" i="31"/>
  <c r="U242" i="31"/>
  <c r="U243" i="31"/>
  <c r="U244" i="31"/>
  <c r="U245" i="31"/>
  <c r="U246" i="31"/>
  <c r="U247" i="31"/>
  <c r="U248" i="31"/>
  <c r="U250" i="31"/>
  <c r="U252" i="31"/>
  <c r="U253" i="31"/>
  <c r="U254" i="31"/>
  <c r="U255" i="31"/>
  <c r="U256" i="31"/>
  <c r="U257" i="31"/>
  <c r="U258" i="31"/>
  <c r="U263" i="31"/>
  <c r="U264" i="31"/>
  <c r="U265" i="31"/>
  <c r="U266" i="31"/>
  <c r="U267" i="31"/>
  <c r="U268" i="31"/>
  <c r="U269" i="31"/>
  <c r="U270" i="31"/>
  <c r="U271" i="31"/>
  <c r="U272" i="31"/>
  <c r="U273" i="31"/>
  <c r="U274" i="31"/>
  <c r="U275" i="31"/>
  <c r="U276" i="31"/>
  <c r="U277" i="31"/>
  <c r="U278" i="31"/>
  <c r="U279" i="31"/>
  <c r="U280" i="31"/>
  <c r="U281" i="31"/>
  <c r="U282" i="31"/>
  <c r="U283" i="31"/>
  <c r="U284" i="31"/>
  <c r="U285" i="31"/>
  <c r="U286" i="31"/>
  <c r="U287" i="31"/>
  <c r="U288" i="31"/>
  <c r="U289" i="31"/>
  <c r="U290" i="31"/>
  <c r="U291" i="31"/>
  <c r="U292" i="31"/>
  <c r="U293" i="31"/>
  <c r="U294" i="31"/>
  <c r="U295" i="31"/>
  <c r="U296" i="31"/>
  <c r="U297" i="31"/>
  <c r="U298" i="31"/>
  <c r="U299" i="31"/>
  <c r="U300" i="31"/>
  <c r="U301" i="31"/>
  <c r="U302" i="31"/>
  <c r="U303" i="31"/>
  <c r="U304" i="31"/>
  <c r="U305" i="31"/>
  <c r="U306" i="31"/>
  <c r="U307" i="31"/>
  <c r="U308" i="31"/>
  <c r="U309" i="31"/>
  <c r="U310" i="31"/>
  <c r="U311" i="31"/>
  <c r="U314" i="31"/>
  <c r="U315" i="31"/>
  <c r="U316" i="31"/>
  <c r="U317" i="31"/>
  <c r="U318" i="31"/>
  <c r="U319" i="31"/>
  <c r="U320" i="31"/>
  <c r="U321" i="31"/>
  <c r="U322" i="31"/>
  <c r="U323" i="31"/>
  <c r="U324" i="31"/>
  <c r="U325" i="31"/>
  <c r="U326" i="31"/>
  <c r="U327" i="31"/>
  <c r="U328" i="31"/>
  <c r="U329" i="31"/>
  <c r="U330" i="31"/>
  <c r="U331" i="31"/>
  <c r="U332" i="31"/>
  <c r="U333" i="31"/>
  <c r="U334" i="31"/>
  <c r="U335" i="31"/>
  <c r="U336" i="31"/>
  <c r="U337" i="31"/>
  <c r="U339" i="31"/>
  <c r="U340" i="31"/>
  <c r="U341" i="31"/>
  <c r="U342" i="31"/>
  <c r="U343" i="31"/>
  <c r="U344" i="31"/>
  <c r="U345" i="31"/>
  <c r="U346" i="31"/>
  <c r="U347" i="31"/>
  <c r="U348" i="31"/>
  <c r="T42" i="31"/>
  <c r="S42" i="31"/>
  <c r="O42" i="31"/>
  <c r="N42" i="31"/>
  <c r="M42" i="31"/>
  <c r="L42" i="31"/>
  <c r="T41" i="31"/>
  <c r="S41" i="31"/>
  <c r="O41" i="31"/>
  <c r="N41" i="31"/>
  <c r="M41" i="31"/>
  <c r="L41" i="31"/>
  <c r="T40" i="31"/>
  <c r="S40" i="31"/>
  <c r="O40" i="31"/>
  <c r="N40" i="31"/>
  <c r="M40" i="31"/>
  <c r="L40" i="31"/>
  <c r="T39" i="31"/>
  <c r="S39" i="31"/>
  <c r="O39" i="31"/>
  <c r="N39" i="31"/>
  <c r="M39" i="31"/>
  <c r="L39" i="31"/>
  <c r="T38" i="31"/>
  <c r="S38" i="31"/>
  <c r="O38" i="31"/>
  <c r="N38" i="31"/>
  <c r="M38" i="31"/>
  <c r="L38" i="31"/>
  <c r="T37" i="31"/>
  <c r="S37" i="31"/>
  <c r="O37" i="31"/>
  <c r="N37" i="31"/>
  <c r="M37" i="31"/>
  <c r="L37" i="31"/>
  <c r="T36" i="31"/>
  <c r="S36" i="31"/>
  <c r="O36" i="31"/>
  <c r="N36" i="31"/>
  <c r="M36" i="31"/>
  <c r="L36" i="31"/>
  <c r="T34" i="31"/>
  <c r="S34" i="31"/>
  <c r="O34" i="31"/>
  <c r="N34" i="31"/>
  <c r="M34" i="31"/>
  <c r="L34" i="31"/>
  <c r="T33" i="31"/>
  <c r="S33" i="31"/>
  <c r="O33" i="31"/>
  <c r="N33" i="31"/>
  <c r="M33" i="31"/>
  <c r="L33" i="31"/>
  <c r="T32" i="31"/>
  <c r="S32" i="31"/>
  <c r="O32" i="31"/>
  <c r="N32" i="31"/>
  <c r="M32" i="31"/>
  <c r="L32" i="31"/>
  <c r="T278" i="31"/>
  <c r="S278" i="31"/>
  <c r="O278" i="31"/>
  <c r="N278" i="31"/>
  <c r="M278" i="31"/>
  <c r="L278" i="31"/>
  <c r="T296" i="31" l="1"/>
  <c r="S296" i="31"/>
  <c r="O296" i="31"/>
  <c r="N296" i="31"/>
  <c r="M296" i="31"/>
  <c r="L296" i="31"/>
  <c r="T295" i="31"/>
  <c r="S295" i="31"/>
  <c r="O295" i="31"/>
  <c r="N295" i="31"/>
  <c r="M295" i="31"/>
  <c r="L295" i="31"/>
  <c r="T294" i="31"/>
  <c r="S294" i="31"/>
  <c r="O294" i="31"/>
  <c r="N294" i="31"/>
  <c r="M294" i="31"/>
  <c r="L294" i="31"/>
  <c r="T293" i="31"/>
  <c r="S293" i="31"/>
  <c r="O293" i="31"/>
  <c r="N293" i="31"/>
  <c r="M293" i="31"/>
  <c r="L293" i="31"/>
  <c r="T292" i="31"/>
  <c r="S292" i="31"/>
  <c r="O292" i="31"/>
  <c r="N292" i="31"/>
  <c r="M292" i="31"/>
  <c r="L292" i="31"/>
  <c r="T291" i="31"/>
  <c r="S291" i="31"/>
  <c r="O291" i="31"/>
  <c r="N291" i="31"/>
  <c r="M291" i="31"/>
  <c r="L291" i="31"/>
  <c r="T290" i="31"/>
  <c r="S290" i="31"/>
  <c r="O290" i="31"/>
  <c r="N290" i="31"/>
  <c r="M290" i="31"/>
  <c r="L290" i="31"/>
  <c r="T289" i="31"/>
  <c r="S289" i="31"/>
  <c r="O289" i="31"/>
  <c r="N289" i="31"/>
  <c r="M289" i="31"/>
  <c r="L289" i="31"/>
  <c r="T288" i="31"/>
  <c r="S288" i="31"/>
  <c r="O288" i="31"/>
  <c r="N288" i="31"/>
  <c r="M288" i="31"/>
  <c r="L288" i="31"/>
  <c r="T287" i="31"/>
  <c r="S287" i="31"/>
  <c r="O287" i="31"/>
  <c r="N287" i="31"/>
  <c r="M287" i="31"/>
  <c r="L287" i="31"/>
  <c r="T315" i="31"/>
  <c r="S315" i="31"/>
  <c r="O315" i="31"/>
  <c r="N315" i="31"/>
  <c r="M315" i="31"/>
  <c r="L315" i="31"/>
  <c r="T314" i="31"/>
  <c r="S314" i="31"/>
  <c r="O314" i="31"/>
  <c r="N314" i="31"/>
  <c r="M314" i="31"/>
  <c r="L314" i="31"/>
  <c r="T252" i="31"/>
  <c r="S252" i="31"/>
  <c r="O252" i="31"/>
  <c r="N252" i="31"/>
  <c r="M252" i="31"/>
  <c r="L252" i="31"/>
  <c r="T253" i="31"/>
  <c r="S253" i="31"/>
  <c r="O253" i="31"/>
  <c r="N253" i="31"/>
  <c r="M253" i="31"/>
  <c r="L253" i="31"/>
  <c r="T254" i="31"/>
  <c r="S254" i="31"/>
  <c r="O254" i="31"/>
  <c r="N254" i="31"/>
  <c r="M254" i="31"/>
  <c r="L254" i="31"/>
  <c r="T258" i="31"/>
  <c r="S258" i="31"/>
  <c r="O258" i="31"/>
  <c r="N258" i="31"/>
  <c r="M258" i="31"/>
  <c r="L258" i="31"/>
  <c r="T257" i="31"/>
  <c r="S257" i="31"/>
  <c r="O257" i="31"/>
  <c r="N257" i="31"/>
  <c r="M257" i="31"/>
  <c r="L257" i="31"/>
  <c r="T256" i="31"/>
  <c r="S256" i="31"/>
  <c r="O256" i="31"/>
  <c r="N256" i="31"/>
  <c r="M256" i="31"/>
  <c r="L256" i="31"/>
  <c r="T255" i="31"/>
  <c r="S255" i="31"/>
  <c r="O255" i="31"/>
  <c r="N255" i="31"/>
  <c r="M255" i="31"/>
  <c r="L255" i="31"/>
  <c r="T248" i="31"/>
  <c r="S248" i="31"/>
  <c r="O248" i="31"/>
  <c r="N248" i="31"/>
  <c r="M248" i="31"/>
  <c r="L248" i="31"/>
  <c r="T250" i="31"/>
  <c r="S250" i="31"/>
  <c r="O250" i="31"/>
  <c r="N250" i="31"/>
  <c r="M250" i="31"/>
  <c r="L250" i="31"/>
  <c r="T201" i="31"/>
  <c r="S201" i="31"/>
  <c r="O201" i="31"/>
  <c r="N201" i="31"/>
  <c r="M201" i="31"/>
  <c r="L201" i="31"/>
  <c r="T56" i="31"/>
  <c r="S56" i="31"/>
  <c r="O56" i="31"/>
  <c r="N56" i="31"/>
  <c r="M56" i="31"/>
  <c r="L56" i="31"/>
  <c r="U14" i="31" l="1"/>
  <c r="U15" i="31"/>
  <c r="U16" i="31"/>
  <c r="U17" i="31"/>
  <c r="U18" i="31"/>
  <c r="U21" i="31"/>
  <c r="U22" i="31"/>
  <c r="U23" i="31"/>
  <c r="U24" i="31"/>
  <c r="U25" i="31"/>
  <c r="U26" i="31"/>
  <c r="U27" i="31"/>
  <c r="U28" i="31"/>
  <c r="U29" i="31"/>
  <c r="U30" i="31"/>
  <c r="T14" i="31"/>
  <c r="T15" i="31"/>
  <c r="T16" i="31"/>
  <c r="T17" i="31"/>
  <c r="T18" i="31"/>
  <c r="T21" i="31"/>
  <c r="T22" i="31"/>
  <c r="T23" i="31"/>
  <c r="T24" i="31"/>
  <c r="T25" i="31"/>
  <c r="T26" i="31"/>
  <c r="T27" i="31"/>
  <c r="T28" i="31"/>
  <c r="T29" i="31"/>
  <c r="T30" i="31"/>
  <c r="T31" i="31"/>
  <c r="T46" i="31"/>
  <c r="T47" i="31"/>
  <c r="T48" i="31"/>
  <c r="T49" i="31"/>
  <c r="T50" i="31"/>
  <c r="T51" i="31"/>
  <c r="T52" i="31"/>
  <c r="T53" i="31"/>
  <c r="T55" i="31"/>
  <c r="T57" i="31"/>
  <c r="T58" i="31"/>
  <c r="T59" i="31"/>
  <c r="T60" i="31"/>
  <c r="T61" i="31"/>
  <c r="T62" i="31"/>
  <c r="T63" i="31"/>
  <c r="T64" i="31"/>
  <c r="T65" i="31"/>
  <c r="T66" i="31"/>
  <c r="T67" i="31"/>
  <c r="T68" i="31"/>
  <c r="T69" i="31"/>
  <c r="T70" i="31"/>
  <c r="T71" i="31"/>
  <c r="T72" i="31"/>
  <c r="T73" i="31"/>
  <c r="T74" i="31"/>
  <c r="T75" i="31"/>
  <c r="T76" i="31"/>
  <c r="T77" i="31"/>
  <c r="T78" i="31"/>
  <c r="T79" i="31"/>
  <c r="T80" i="31"/>
  <c r="T81" i="31"/>
  <c r="T82" i="31"/>
  <c r="T83" i="31"/>
  <c r="T84" i="31"/>
  <c r="T85" i="31"/>
  <c r="T86" i="31"/>
  <c r="T87" i="31"/>
  <c r="T88" i="31"/>
  <c r="T89" i="31"/>
  <c r="T90" i="31"/>
  <c r="T91" i="31"/>
  <c r="T94" i="31"/>
  <c r="T95" i="31"/>
  <c r="T96" i="31"/>
  <c r="T97" i="31"/>
  <c r="T98" i="31"/>
  <c r="T99" i="31"/>
  <c r="T100" i="31"/>
  <c r="T137" i="31"/>
  <c r="T138" i="31"/>
  <c r="T140" i="31"/>
  <c r="T141" i="31"/>
  <c r="T143" i="31"/>
  <c r="T195" i="31"/>
  <c r="T196" i="31"/>
  <c r="T197" i="31"/>
  <c r="T198" i="31"/>
  <c r="T199" i="31"/>
  <c r="T200" i="31"/>
  <c r="T202" i="31"/>
  <c r="T203" i="31"/>
  <c r="T204" i="31"/>
  <c r="T205" i="31"/>
  <c r="T206" i="31"/>
  <c r="T208" i="31"/>
  <c r="T209" i="31"/>
  <c r="T210" i="31"/>
  <c r="T211" i="31"/>
  <c r="T212" i="31"/>
  <c r="T213" i="31"/>
  <c r="T214" i="31"/>
  <c r="T215" i="31"/>
  <c r="T216" i="31"/>
  <c r="T217" i="31"/>
  <c r="T218" i="31"/>
  <c r="T219" i="31"/>
  <c r="T220" i="31"/>
  <c r="T221" i="31"/>
  <c r="T222" i="31"/>
  <c r="T223" i="31"/>
  <c r="T224" i="31"/>
  <c r="T225" i="31"/>
  <c r="T226" i="31"/>
  <c r="T227" i="31"/>
  <c r="T228" i="31"/>
  <c r="T229" i="31"/>
  <c r="T230" i="31"/>
  <c r="T231" i="31"/>
  <c r="T232" i="31"/>
  <c r="T233" i="31"/>
  <c r="T234" i="31"/>
  <c r="T235" i="31"/>
  <c r="T236" i="31"/>
  <c r="T237" i="31"/>
  <c r="T238" i="31"/>
  <c r="T239" i="31"/>
  <c r="T240" i="31"/>
  <c r="T242" i="31"/>
  <c r="T243" i="31"/>
  <c r="T244" i="31"/>
  <c r="T245" i="31"/>
  <c r="T246" i="31"/>
  <c r="T247" i="31"/>
  <c r="T263" i="31"/>
  <c r="T264" i="31"/>
  <c r="T265" i="31"/>
  <c r="T266" i="31"/>
  <c r="T267" i="31"/>
  <c r="T268" i="31"/>
  <c r="T269" i="31"/>
  <c r="T270" i="31"/>
  <c r="T271" i="31"/>
  <c r="T272" i="31"/>
  <c r="T273" i="31"/>
  <c r="T274" i="31"/>
  <c r="T275" i="31"/>
  <c r="T276" i="31"/>
  <c r="T277" i="31"/>
  <c r="T279" i="31"/>
  <c r="T280" i="31"/>
  <c r="T281" i="31"/>
  <c r="T282" i="31"/>
  <c r="T283" i="31"/>
  <c r="T284" i="31"/>
  <c r="T285" i="31"/>
  <c r="T286" i="31"/>
  <c r="T297" i="31"/>
  <c r="T298" i="31"/>
  <c r="T299" i="31"/>
  <c r="T300" i="31"/>
  <c r="T301" i="31"/>
  <c r="T302" i="31"/>
  <c r="T303" i="31"/>
  <c r="T304" i="31"/>
  <c r="T305" i="31"/>
  <c r="T306" i="31"/>
  <c r="T307" i="31"/>
  <c r="T308" i="31"/>
  <c r="T309" i="31"/>
  <c r="T310" i="31"/>
  <c r="T311" i="31"/>
  <c r="T316" i="31"/>
  <c r="T317" i="31"/>
  <c r="T318" i="31"/>
  <c r="T319" i="31"/>
  <c r="T320" i="31"/>
  <c r="T321" i="31"/>
  <c r="T322" i="31"/>
  <c r="T323" i="31"/>
  <c r="T324" i="31"/>
  <c r="T325" i="31"/>
  <c r="T326" i="31"/>
  <c r="T327" i="31"/>
  <c r="T328" i="31"/>
  <c r="T329" i="31"/>
  <c r="T330" i="31"/>
  <c r="T331" i="31"/>
  <c r="T332" i="31"/>
  <c r="T333" i="31"/>
  <c r="T334" i="31"/>
  <c r="T335" i="31"/>
  <c r="T336" i="31"/>
  <c r="T337" i="31"/>
  <c r="T339" i="31"/>
  <c r="T340" i="31"/>
  <c r="T341" i="31"/>
  <c r="T342" i="31"/>
  <c r="T343" i="31"/>
  <c r="T344" i="31"/>
  <c r="T345" i="31"/>
  <c r="T346" i="31"/>
  <c r="T347" i="31"/>
  <c r="T348" i="31"/>
  <c r="S14" i="31"/>
  <c r="S15" i="31"/>
  <c r="S16" i="31"/>
  <c r="S17" i="31"/>
  <c r="S18" i="31"/>
  <c r="S21" i="31"/>
  <c r="S22" i="31"/>
  <c r="S23" i="31"/>
  <c r="S24" i="31"/>
  <c r="S25" i="31"/>
  <c r="S26" i="31"/>
  <c r="S27" i="31"/>
  <c r="S28" i="31"/>
  <c r="S29" i="31"/>
  <c r="S30" i="31"/>
  <c r="S31" i="31"/>
  <c r="S46" i="31"/>
  <c r="S47" i="31"/>
  <c r="S48" i="31"/>
  <c r="S49" i="31"/>
  <c r="S50" i="31"/>
  <c r="S51" i="31"/>
  <c r="S52" i="31"/>
  <c r="S53" i="31"/>
  <c r="S55" i="31"/>
  <c r="S57" i="31"/>
  <c r="S58" i="31"/>
  <c r="S59" i="31"/>
  <c r="S60" i="31"/>
  <c r="S61" i="31"/>
  <c r="S62" i="31"/>
  <c r="S63" i="31"/>
  <c r="S64" i="31"/>
  <c r="S65" i="31"/>
  <c r="S66" i="31"/>
  <c r="S67" i="31"/>
  <c r="S68" i="31"/>
  <c r="S69" i="31"/>
  <c r="S70" i="31"/>
  <c r="S71" i="31"/>
  <c r="S72" i="31"/>
  <c r="S73" i="31"/>
  <c r="S74" i="31"/>
  <c r="S75" i="31"/>
  <c r="S76" i="31"/>
  <c r="S77" i="31"/>
  <c r="S78" i="31"/>
  <c r="S79" i="31"/>
  <c r="S80" i="31"/>
  <c r="S81" i="31"/>
  <c r="S82" i="31"/>
  <c r="S83" i="31"/>
  <c r="S84" i="31"/>
  <c r="S85" i="31"/>
  <c r="S86" i="31"/>
  <c r="S87" i="31"/>
  <c r="S88" i="31"/>
  <c r="S89" i="31"/>
  <c r="S90" i="31"/>
  <c r="S91" i="31"/>
  <c r="S94" i="31"/>
  <c r="S95" i="31"/>
  <c r="S96" i="31"/>
  <c r="S97" i="31"/>
  <c r="S98" i="31"/>
  <c r="S99" i="31"/>
  <c r="S100" i="31"/>
  <c r="S137" i="31"/>
  <c r="S138" i="31"/>
  <c r="S140" i="31"/>
  <c r="S141" i="31"/>
  <c r="S143" i="31"/>
  <c r="S195" i="31"/>
  <c r="S196" i="31"/>
  <c r="S197" i="31"/>
  <c r="S198" i="31"/>
  <c r="S199" i="31"/>
  <c r="S200" i="31"/>
  <c r="S202" i="31"/>
  <c r="S203" i="31"/>
  <c r="S204" i="31"/>
  <c r="S205" i="31"/>
  <c r="S206" i="31"/>
  <c r="S208" i="31"/>
  <c r="S209" i="31"/>
  <c r="S210" i="31"/>
  <c r="S211" i="31"/>
  <c r="S212" i="31"/>
  <c r="S213" i="31"/>
  <c r="S214" i="31"/>
  <c r="S215" i="31"/>
  <c r="S216" i="31"/>
  <c r="S217" i="31"/>
  <c r="S218" i="31"/>
  <c r="S219" i="31"/>
  <c r="S220" i="31"/>
  <c r="S221" i="31"/>
  <c r="S222" i="31"/>
  <c r="S223" i="31"/>
  <c r="S224" i="31"/>
  <c r="S225" i="31"/>
  <c r="S226" i="31"/>
  <c r="S227" i="31"/>
  <c r="S228" i="31"/>
  <c r="S229" i="31"/>
  <c r="S230" i="31"/>
  <c r="S231" i="31"/>
  <c r="S232" i="31"/>
  <c r="S233" i="31"/>
  <c r="S234" i="31"/>
  <c r="S235" i="31"/>
  <c r="S236" i="31"/>
  <c r="S237" i="31"/>
  <c r="S238" i="31"/>
  <c r="S239" i="31"/>
  <c r="S240" i="31"/>
  <c r="S242" i="31"/>
  <c r="S243" i="31"/>
  <c r="S244" i="31"/>
  <c r="S245" i="31"/>
  <c r="S246" i="31"/>
  <c r="S247" i="31"/>
  <c r="S263" i="31"/>
  <c r="S264" i="31"/>
  <c r="S265" i="31"/>
  <c r="S266" i="31"/>
  <c r="S267" i="31"/>
  <c r="S268" i="31"/>
  <c r="S269" i="31"/>
  <c r="S270" i="31"/>
  <c r="S271" i="31"/>
  <c r="S272" i="31"/>
  <c r="S273" i="31"/>
  <c r="S274" i="31"/>
  <c r="S275" i="31"/>
  <c r="S276" i="31"/>
  <c r="S277" i="31"/>
  <c r="S279" i="31"/>
  <c r="S280" i="31"/>
  <c r="S281" i="31"/>
  <c r="S282" i="31"/>
  <c r="S283" i="31"/>
  <c r="S284" i="31"/>
  <c r="S285" i="31"/>
  <c r="S286" i="31"/>
  <c r="S297" i="31"/>
  <c r="S298" i="31"/>
  <c r="S299" i="31"/>
  <c r="S300" i="31"/>
  <c r="S301" i="31"/>
  <c r="S302" i="31"/>
  <c r="S303" i="31"/>
  <c r="S304" i="31"/>
  <c r="S305" i="31"/>
  <c r="S306" i="31"/>
  <c r="S307" i="31"/>
  <c r="S308" i="31"/>
  <c r="S309" i="31"/>
  <c r="S310" i="31"/>
  <c r="S311" i="31"/>
  <c r="S316" i="31"/>
  <c r="S317" i="31"/>
  <c r="S318" i="31"/>
  <c r="S319" i="31"/>
  <c r="S320" i="31"/>
  <c r="S321" i="31"/>
  <c r="S322" i="31"/>
  <c r="S323" i="31"/>
  <c r="S324" i="31"/>
  <c r="S325" i="31"/>
  <c r="S326" i="31"/>
  <c r="S327" i="31"/>
  <c r="S328" i="31"/>
  <c r="S329" i="31"/>
  <c r="S330" i="31"/>
  <c r="S331" i="31"/>
  <c r="S332" i="31"/>
  <c r="S333" i="31"/>
  <c r="S334" i="31"/>
  <c r="S335" i="31"/>
  <c r="S336" i="31"/>
  <c r="S337" i="31"/>
  <c r="S339" i="31"/>
  <c r="S340" i="31"/>
  <c r="S341" i="31"/>
  <c r="S342" i="31"/>
  <c r="S343" i="31"/>
  <c r="S344" i="31"/>
  <c r="S345" i="31"/>
  <c r="S346" i="31"/>
  <c r="S347" i="31"/>
  <c r="S348" i="31"/>
  <c r="O31" i="31"/>
  <c r="N31" i="31"/>
  <c r="M31" i="31"/>
  <c r="L31" i="31"/>
  <c r="K31" i="31"/>
  <c r="O30" i="31"/>
  <c r="N30" i="31"/>
  <c r="M30" i="31"/>
  <c r="L30" i="31"/>
  <c r="K30" i="31"/>
  <c r="O29" i="31"/>
  <c r="N29" i="31"/>
  <c r="M29" i="31"/>
  <c r="L29" i="31"/>
  <c r="K29" i="31"/>
  <c r="O55" i="31" l="1"/>
  <c r="N55" i="31"/>
  <c r="M55" i="31"/>
  <c r="L55" i="31"/>
  <c r="O53" i="31"/>
  <c r="N53" i="31"/>
  <c r="M53" i="31"/>
  <c r="L53" i="31"/>
  <c r="O52" i="31"/>
  <c r="N52" i="31"/>
  <c r="M52" i="31"/>
  <c r="L52" i="31"/>
  <c r="O51" i="31"/>
  <c r="N51" i="31"/>
  <c r="M51" i="31"/>
  <c r="L51" i="31"/>
  <c r="O50" i="31"/>
  <c r="N50" i="31"/>
  <c r="M50" i="31"/>
  <c r="L50" i="31"/>
  <c r="O49" i="31"/>
  <c r="N49" i="31"/>
  <c r="M49" i="31"/>
  <c r="L49" i="31"/>
  <c r="O48" i="31"/>
  <c r="N48" i="31"/>
  <c r="M48" i="31"/>
  <c r="L48" i="31"/>
  <c r="O47" i="31"/>
  <c r="N47" i="31"/>
  <c r="M47" i="31"/>
  <c r="L47" i="31"/>
  <c r="O46" i="31"/>
  <c r="N46" i="31"/>
  <c r="M46" i="31"/>
  <c r="L46" i="31"/>
  <c r="O100" i="31"/>
  <c r="N100" i="31"/>
  <c r="M100" i="31"/>
  <c r="L100" i="31"/>
  <c r="O99" i="31"/>
  <c r="N99" i="31"/>
  <c r="M99" i="31"/>
  <c r="L99" i="31"/>
  <c r="O98" i="31"/>
  <c r="N98" i="31"/>
  <c r="M98" i="31"/>
  <c r="L98" i="31"/>
  <c r="O97" i="31"/>
  <c r="N97" i="31"/>
  <c r="M97" i="31"/>
  <c r="L97" i="31"/>
  <c r="O96" i="31"/>
  <c r="N96" i="31"/>
  <c r="M96" i="31"/>
  <c r="L96" i="31"/>
  <c r="O95" i="31"/>
  <c r="N95" i="31"/>
  <c r="M95" i="31"/>
  <c r="L95" i="31"/>
  <c r="O94" i="31"/>
  <c r="N94" i="31"/>
  <c r="M94" i="31"/>
  <c r="L94" i="31"/>
  <c r="O91" i="31"/>
  <c r="N91" i="31"/>
  <c r="M91" i="31"/>
  <c r="L91" i="31"/>
  <c r="O90" i="31"/>
  <c r="N90" i="31"/>
  <c r="M90" i="31"/>
  <c r="L90" i="31"/>
  <c r="O89" i="31"/>
  <c r="N89" i="31"/>
  <c r="M89" i="31"/>
  <c r="L89" i="31"/>
  <c r="O88" i="31"/>
  <c r="N88" i="31"/>
  <c r="M88" i="31"/>
  <c r="L88" i="31"/>
  <c r="O87" i="31"/>
  <c r="N87" i="31"/>
  <c r="M87" i="31"/>
  <c r="L87" i="31"/>
  <c r="O86" i="31"/>
  <c r="N86" i="31"/>
  <c r="M86" i="31"/>
  <c r="L86" i="31"/>
  <c r="O85" i="31"/>
  <c r="N85" i="31"/>
  <c r="M85" i="31"/>
  <c r="L85" i="31"/>
  <c r="O84" i="31"/>
  <c r="N84" i="31"/>
  <c r="M84" i="31"/>
  <c r="L84" i="31"/>
  <c r="O83" i="31"/>
  <c r="N83" i="31"/>
  <c r="M83" i="31"/>
  <c r="L83" i="31"/>
  <c r="O82" i="31"/>
  <c r="N82" i="31"/>
  <c r="M82" i="31"/>
  <c r="L82" i="31"/>
  <c r="O81" i="31"/>
  <c r="N81" i="31"/>
  <c r="M81" i="31"/>
  <c r="L81" i="31"/>
  <c r="O80" i="31"/>
  <c r="N80" i="31"/>
  <c r="M80" i="31"/>
  <c r="L80" i="31"/>
  <c r="O79" i="31"/>
  <c r="N79" i="31"/>
  <c r="M79" i="31"/>
  <c r="L79" i="31"/>
  <c r="O78" i="31"/>
  <c r="N78" i="31"/>
  <c r="M78" i="31"/>
  <c r="L78" i="31"/>
  <c r="O77" i="31"/>
  <c r="N77" i="31"/>
  <c r="M77" i="31"/>
  <c r="L77" i="31"/>
  <c r="O76" i="31"/>
  <c r="N76" i="31"/>
  <c r="M76" i="31"/>
  <c r="L76" i="31"/>
  <c r="O75" i="31"/>
  <c r="N75" i="31"/>
  <c r="M75" i="31"/>
  <c r="L75" i="31"/>
  <c r="O74" i="31"/>
  <c r="N74" i="31"/>
  <c r="M74" i="31"/>
  <c r="L74" i="31"/>
  <c r="K74" i="31"/>
  <c r="O73" i="31"/>
  <c r="N73" i="31"/>
  <c r="M73" i="31"/>
  <c r="L73" i="31"/>
  <c r="K73" i="31"/>
  <c r="O72" i="31"/>
  <c r="N72" i="31"/>
  <c r="M72" i="31"/>
  <c r="L72" i="31"/>
  <c r="K72" i="31"/>
  <c r="O71" i="31"/>
  <c r="N71" i="31"/>
  <c r="M71" i="31"/>
  <c r="L71" i="31"/>
  <c r="K71" i="31"/>
  <c r="O70" i="31"/>
  <c r="N70" i="31"/>
  <c r="M70" i="31"/>
  <c r="L70" i="31"/>
  <c r="K70" i="31"/>
  <c r="O69" i="31"/>
  <c r="N69" i="31"/>
  <c r="M69" i="31"/>
  <c r="L69" i="31"/>
  <c r="O68" i="31"/>
  <c r="N68" i="31"/>
  <c r="M68" i="31"/>
  <c r="L68" i="31"/>
  <c r="O67" i="31"/>
  <c r="N67" i="31"/>
  <c r="M67" i="31"/>
  <c r="L67" i="31"/>
  <c r="O66" i="31"/>
  <c r="N66" i="31"/>
  <c r="M66" i="31"/>
  <c r="L66" i="31"/>
  <c r="O65" i="31"/>
  <c r="N65" i="31"/>
  <c r="M65" i="31"/>
  <c r="L65" i="31"/>
  <c r="O64" i="31"/>
  <c r="N64" i="31"/>
  <c r="M64" i="31"/>
  <c r="L64" i="31"/>
  <c r="O63" i="31"/>
  <c r="N63" i="31"/>
  <c r="M63" i="31"/>
  <c r="L63" i="31"/>
  <c r="O62" i="31"/>
  <c r="N62" i="31"/>
  <c r="M62" i="31"/>
  <c r="L62" i="31"/>
  <c r="O61" i="31"/>
  <c r="N61" i="31"/>
  <c r="M61" i="31"/>
  <c r="L61" i="31"/>
  <c r="O60" i="31"/>
  <c r="N60" i="31"/>
  <c r="M60" i="31"/>
  <c r="L60" i="31"/>
  <c r="O59" i="31"/>
  <c r="N59" i="31"/>
  <c r="M59" i="31"/>
  <c r="L59" i="31"/>
  <c r="O58" i="31"/>
  <c r="N58" i="31"/>
  <c r="M58" i="31"/>
  <c r="L58" i="31"/>
  <c r="K58" i="31"/>
  <c r="J58" i="31"/>
  <c r="O57" i="31"/>
  <c r="N57" i="31"/>
  <c r="M57" i="31"/>
  <c r="L57" i="31"/>
  <c r="K57" i="31"/>
  <c r="O28" i="31"/>
  <c r="N28" i="31"/>
  <c r="M28" i="31"/>
  <c r="L28" i="31"/>
  <c r="K28" i="31"/>
  <c r="O27" i="31"/>
  <c r="N27" i="31"/>
  <c r="M27" i="31"/>
  <c r="L27" i="31"/>
  <c r="K27" i="31"/>
  <c r="O26" i="31"/>
  <c r="N26" i="31"/>
  <c r="M26" i="31"/>
  <c r="L26" i="31"/>
  <c r="K26" i="31"/>
  <c r="O25" i="31"/>
  <c r="N25" i="31"/>
  <c r="M25" i="31"/>
  <c r="L25" i="31"/>
  <c r="K25" i="31"/>
  <c r="O24" i="31"/>
  <c r="N24" i="31"/>
  <c r="M24" i="31"/>
  <c r="L24" i="31"/>
  <c r="K24" i="31"/>
  <c r="O23" i="31"/>
  <c r="N23" i="31"/>
  <c r="M23" i="31"/>
  <c r="L23" i="31"/>
  <c r="O22" i="31"/>
  <c r="N22" i="31"/>
  <c r="M22" i="31"/>
  <c r="L22" i="31"/>
  <c r="K22" i="31"/>
  <c r="O21" i="31"/>
  <c r="N21" i="31"/>
  <c r="M21" i="31"/>
  <c r="L21" i="31"/>
  <c r="O18" i="31"/>
  <c r="N18" i="31"/>
  <c r="M18" i="31"/>
  <c r="L18" i="31"/>
  <c r="O17" i="31"/>
  <c r="N17" i="31"/>
  <c r="M17" i="31"/>
  <c r="L17" i="31"/>
  <c r="O16" i="31"/>
  <c r="N16" i="31"/>
  <c r="M16" i="31"/>
  <c r="L16" i="31"/>
  <c r="O15" i="31"/>
  <c r="N15" i="31"/>
  <c r="M15" i="31"/>
  <c r="L15" i="31"/>
  <c r="O14" i="31"/>
  <c r="N14" i="31"/>
  <c r="M14" i="31"/>
  <c r="L14" i="31"/>
  <c r="O348" i="31" l="1"/>
  <c r="N348" i="31"/>
  <c r="M348" i="31"/>
  <c r="L348" i="31"/>
  <c r="O347" i="31"/>
  <c r="N347" i="31"/>
  <c r="M347" i="31"/>
  <c r="L347" i="31"/>
  <c r="O346" i="31"/>
  <c r="N346" i="31"/>
  <c r="M346" i="31"/>
  <c r="L346" i="31"/>
  <c r="O345" i="31"/>
  <c r="N345" i="31"/>
  <c r="M345" i="31"/>
  <c r="L345" i="31"/>
  <c r="O344" i="31"/>
  <c r="N344" i="31"/>
  <c r="M344" i="31"/>
  <c r="L344" i="31"/>
  <c r="O343" i="31"/>
  <c r="N343" i="31"/>
  <c r="M343" i="31"/>
  <c r="L343" i="31"/>
  <c r="O342" i="31"/>
  <c r="N342" i="31"/>
  <c r="M342" i="31"/>
  <c r="L342" i="31"/>
  <c r="O341" i="31"/>
  <c r="N341" i="31"/>
  <c r="M341" i="31"/>
  <c r="L341" i="31"/>
  <c r="O340" i="31"/>
  <c r="N340" i="31"/>
  <c r="M340" i="31"/>
  <c r="L340" i="31"/>
  <c r="O339" i="31"/>
  <c r="N339" i="31"/>
  <c r="M339" i="31"/>
  <c r="L339" i="31"/>
  <c r="O337" i="31"/>
  <c r="N337" i="31"/>
  <c r="M337" i="31"/>
  <c r="L337" i="31"/>
  <c r="O336" i="31"/>
  <c r="N336" i="31"/>
  <c r="M336" i="31"/>
  <c r="L336" i="31"/>
  <c r="O335" i="31"/>
  <c r="N335" i="31"/>
  <c r="M335" i="31"/>
  <c r="L335" i="31"/>
  <c r="O334" i="31"/>
  <c r="N334" i="31"/>
  <c r="M334" i="31"/>
  <c r="L334" i="31"/>
  <c r="O333" i="31"/>
  <c r="N333" i="31"/>
  <c r="M333" i="31"/>
  <c r="L333" i="31"/>
  <c r="O332" i="31"/>
  <c r="N332" i="31"/>
  <c r="M332" i="31"/>
  <c r="L332" i="31"/>
  <c r="O331" i="31"/>
  <c r="N331" i="31"/>
  <c r="M331" i="31"/>
  <c r="L331" i="31"/>
  <c r="O330" i="31"/>
  <c r="N330" i="31"/>
  <c r="M330" i="31"/>
  <c r="L330" i="31"/>
  <c r="O329" i="31"/>
  <c r="N329" i="31"/>
  <c r="M329" i="31"/>
  <c r="L329" i="31"/>
  <c r="O328" i="31"/>
  <c r="N328" i="31"/>
  <c r="M328" i="31"/>
  <c r="L328" i="31"/>
  <c r="O327" i="31"/>
  <c r="N327" i="31"/>
  <c r="M327" i="31"/>
  <c r="L327" i="31"/>
  <c r="O326" i="31"/>
  <c r="N326" i="31"/>
  <c r="M326" i="31"/>
  <c r="L326" i="31"/>
  <c r="O325" i="31"/>
  <c r="N325" i="31"/>
  <c r="M325" i="31"/>
  <c r="L325" i="31"/>
  <c r="O324" i="31"/>
  <c r="N324" i="31"/>
  <c r="M324" i="31"/>
  <c r="L324" i="31"/>
  <c r="O323" i="31"/>
  <c r="N323" i="31"/>
  <c r="M323" i="31"/>
  <c r="L323" i="31"/>
  <c r="O322" i="31"/>
  <c r="N322" i="31"/>
  <c r="M322" i="31"/>
  <c r="L322" i="31"/>
  <c r="O321" i="31"/>
  <c r="N321" i="31"/>
  <c r="M321" i="31"/>
  <c r="L321" i="31"/>
  <c r="O320" i="31"/>
  <c r="N320" i="31"/>
  <c r="M320" i="31"/>
  <c r="L320" i="31"/>
  <c r="O319" i="31"/>
  <c r="N319" i="31"/>
  <c r="M319" i="31"/>
  <c r="L319" i="31"/>
  <c r="O318" i="31"/>
  <c r="N318" i="31"/>
  <c r="M318" i="31"/>
  <c r="L318" i="31"/>
  <c r="O317" i="31"/>
  <c r="N317" i="31"/>
  <c r="M317" i="31"/>
  <c r="L317" i="31"/>
  <c r="O316" i="31"/>
  <c r="N316" i="31"/>
  <c r="M316" i="31"/>
  <c r="L316" i="31"/>
  <c r="O311" i="31"/>
  <c r="N311" i="31"/>
  <c r="M311" i="31"/>
  <c r="L311" i="31"/>
  <c r="O310" i="31"/>
  <c r="N310" i="31"/>
  <c r="M310" i="31"/>
  <c r="L310" i="31"/>
  <c r="O309" i="31"/>
  <c r="N309" i="31"/>
  <c r="M309" i="31"/>
  <c r="L309" i="31"/>
  <c r="O308" i="31"/>
  <c r="N308" i="31"/>
  <c r="M308" i="31"/>
  <c r="L308" i="31"/>
  <c r="O307" i="31"/>
  <c r="N307" i="31"/>
  <c r="M307" i="31"/>
  <c r="L307" i="31"/>
  <c r="O306" i="31"/>
  <c r="N306" i="31"/>
  <c r="M306" i="31"/>
  <c r="L306" i="31"/>
  <c r="O305" i="31"/>
  <c r="N305" i="31"/>
  <c r="M305" i="31"/>
  <c r="L305" i="31"/>
  <c r="O304" i="31"/>
  <c r="N304" i="31"/>
  <c r="M304" i="31"/>
  <c r="L304" i="31"/>
  <c r="O303" i="31"/>
  <c r="N303" i="31"/>
  <c r="M303" i="31"/>
  <c r="L303" i="31"/>
  <c r="O302" i="31"/>
  <c r="N302" i="31"/>
  <c r="M302" i="31"/>
  <c r="L302" i="31"/>
  <c r="O301" i="31"/>
  <c r="N301" i="31"/>
  <c r="M301" i="31"/>
  <c r="L301" i="31"/>
  <c r="O300" i="31"/>
  <c r="N300" i="31"/>
  <c r="M300" i="31"/>
  <c r="L300" i="31"/>
  <c r="O299" i="31"/>
  <c r="N299" i="31"/>
  <c r="M299" i="31"/>
  <c r="L299" i="31"/>
  <c r="O298" i="31"/>
  <c r="N298" i="31"/>
  <c r="M298" i="31"/>
  <c r="L298" i="31"/>
  <c r="O297" i="31"/>
  <c r="N297" i="31"/>
  <c r="M297" i="31"/>
  <c r="L297" i="31"/>
  <c r="O247" i="31"/>
  <c r="N247" i="31"/>
  <c r="M247" i="31"/>
  <c r="L247" i="31"/>
  <c r="O246" i="31"/>
  <c r="N246" i="31"/>
  <c r="M246" i="31"/>
  <c r="L246" i="31"/>
  <c r="O286" i="31"/>
  <c r="N286" i="31"/>
  <c r="M286" i="31"/>
  <c r="L286" i="31"/>
  <c r="O279" i="31"/>
  <c r="N279" i="31"/>
  <c r="M279" i="31"/>
  <c r="L279" i="31"/>
  <c r="O277" i="31"/>
  <c r="N277" i="31"/>
  <c r="M277" i="31"/>
  <c r="L277" i="31"/>
  <c r="O276" i="31"/>
  <c r="N276" i="31"/>
  <c r="M276" i="31"/>
  <c r="L276" i="31"/>
  <c r="O275" i="31"/>
  <c r="N275" i="31"/>
  <c r="M275" i="31"/>
  <c r="L275" i="31"/>
  <c r="O274" i="31"/>
  <c r="N274" i="31"/>
  <c r="M274" i="31"/>
  <c r="L274" i="31"/>
  <c r="O273" i="31"/>
  <c r="N273" i="31"/>
  <c r="M273" i="31"/>
  <c r="L273" i="31"/>
  <c r="O272" i="31"/>
  <c r="N272" i="31"/>
  <c r="M272" i="31"/>
  <c r="L272" i="31"/>
  <c r="O271" i="31"/>
  <c r="N271" i="31"/>
  <c r="M271" i="31"/>
  <c r="L271" i="31"/>
  <c r="O270" i="31"/>
  <c r="N270" i="31"/>
  <c r="M270" i="31"/>
  <c r="L270" i="31"/>
  <c r="O269" i="31"/>
  <c r="N269" i="31"/>
  <c r="M269" i="31"/>
  <c r="L269" i="31"/>
  <c r="O281" i="31"/>
  <c r="N281" i="31"/>
  <c r="M281" i="31"/>
  <c r="L281" i="31"/>
  <c r="O283" i="31"/>
  <c r="N283" i="31"/>
  <c r="M283" i="31"/>
  <c r="L283" i="31"/>
  <c r="O285" i="31"/>
  <c r="N285" i="31"/>
  <c r="M285" i="31"/>
  <c r="L285" i="31"/>
  <c r="L280" i="31"/>
  <c r="M280" i="31"/>
  <c r="N280" i="31"/>
  <c r="O280" i="31"/>
  <c r="L282" i="31"/>
  <c r="M282" i="31"/>
  <c r="N282" i="31"/>
  <c r="O282" i="31"/>
  <c r="L284" i="31"/>
  <c r="M284" i="31"/>
  <c r="N284" i="31"/>
  <c r="O284" i="31"/>
  <c r="O264" i="31"/>
  <c r="O265" i="31"/>
  <c r="O266" i="31"/>
  <c r="O267" i="31"/>
  <c r="O268" i="31"/>
  <c r="O263" i="31"/>
  <c r="O242" i="31"/>
  <c r="O243" i="31"/>
  <c r="O244" i="31"/>
  <c r="O245" i="31"/>
  <c r="L264" i="31"/>
  <c r="M264" i="31"/>
  <c r="N264" i="31"/>
  <c r="L265" i="31"/>
  <c r="M265" i="31"/>
  <c r="N265" i="31"/>
  <c r="L266" i="31"/>
  <c r="M266" i="31"/>
  <c r="N266" i="31"/>
  <c r="L267" i="31"/>
  <c r="M267" i="31"/>
  <c r="N267" i="31"/>
  <c r="L268" i="31"/>
  <c r="M268" i="31"/>
  <c r="N268" i="31"/>
  <c r="N263" i="31"/>
  <c r="M263" i="31"/>
  <c r="L263" i="31"/>
  <c r="N245" i="31"/>
  <c r="M245" i="31"/>
  <c r="L245" i="31"/>
  <c r="N244" i="31"/>
  <c r="M244" i="31"/>
  <c r="L244" i="31"/>
  <c r="N243" i="31"/>
  <c r="M243" i="31"/>
  <c r="L243" i="31"/>
  <c r="N242" i="31"/>
  <c r="M242" i="31"/>
  <c r="L242" i="31"/>
  <c r="O215" i="31" l="1"/>
  <c r="N215" i="31"/>
  <c r="M215" i="31"/>
  <c r="L215" i="31"/>
  <c r="O210" i="31"/>
  <c r="N210" i="31"/>
  <c r="M210" i="31"/>
  <c r="L210" i="31"/>
  <c r="O216" i="31" l="1"/>
  <c r="N216" i="31"/>
  <c r="M216" i="31"/>
  <c r="L216" i="31"/>
  <c r="O223" i="31"/>
  <c r="N223" i="31"/>
  <c r="M223" i="31"/>
  <c r="L223" i="31"/>
  <c r="O233" i="31"/>
  <c r="N233" i="31"/>
  <c r="M233" i="31"/>
  <c r="L233" i="31"/>
  <c r="O232" i="31"/>
  <c r="N232" i="31"/>
  <c r="M232" i="31"/>
  <c r="L232" i="31"/>
  <c r="O236" i="31"/>
  <c r="N236" i="31"/>
  <c r="M236" i="31"/>
  <c r="L236" i="31"/>
  <c r="O234" i="31"/>
  <c r="N234" i="31"/>
  <c r="M234" i="31"/>
  <c r="L234" i="31"/>
  <c r="O240" i="31"/>
  <c r="N240" i="31"/>
  <c r="M240" i="31"/>
  <c r="L240" i="31"/>
  <c r="O239" i="31"/>
  <c r="N239" i="31"/>
  <c r="M239" i="31"/>
  <c r="L239" i="31"/>
  <c r="O221" i="31"/>
  <c r="N221" i="31"/>
  <c r="M221" i="31"/>
  <c r="L221" i="31"/>
  <c r="O237" i="31"/>
  <c r="N237" i="31"/>
  <c r="M237" i="31"/>
  <c r="L237" i="31"/>
  <c r="O224" i="31"/>
  <c r="N224" i="31"/>
  <c r="M224" i="31"/>
  <c r="L224" i="31"/>
  <c r="O228" i="31"/>
  <c r="N228" i="31"/>
  <c r="M228" i="31"/>
  <c r="L228" i="31"/>
  <c r="O219" i="31"/>
  <c r="N219" i="31"/>
  <c r="M219" i="31"/>
  <c r="L219" i="31"/>
  <c r="O230" i="31"/>
  <c r="N230" i="31"/>
  <c r="M230" i="31"/>
  <c r="L230" i="31"/>
  <c r="O229" i="31"/>
  <c r="N229" i="31"/>
  <c r="M229" i="31"/>
  <c r="L229" i="31"/>
  <c r="O226" i="31"/>
  <c r="N226" i="31"/>
  <c r="M226" i="31"/>
  <c r="L226" i="31"/>
  <c r="O227" i="31"/>
  <c r="N227" i="31"/>
  <c r="M227" i="31"/>
  <c r="L227" i="31"/>
  <c r="O222" i="31"/>
  <c r="N222" i="31"/>
  <c r="M222" i="31"/>
  <c r="L222" i="31"/>
  <c r="N214" i="31"/>
  <c r="N217" i="31"/>
  <c r="N218" i="31"/>
  <c r="N220" i="31"/>
  <c r="N225" i="31"/>
  <c r="N231" i="31"/>
  <c r="N235" i="31"/>
  <c r="N238" i="31"/>
  <c r="O218" i="31"/>
  <c r="O220" i="31"/>
  <c r="O225" i="31"/>
  <c r="O231" i="31"/>
  <c r="O235" i="31"/>
  <c r="O238" i="31"/>
  <c r="M238" i="31"/>
  <c r="L238" i="31"/>
  <c r="M235" i="31"/>
  <c r="L235" i="31"/>
  <c r="M231" i="31"/>
  <c r="L231" i="31"/>
  <c r="M225" i="31"/>
  <c r="L225" i="31"/>
  <c r="M220" i="31"/>
  <c r="L220" i="31"/>
  <c r="M218" i="31"/>
  <c r="L218" i="31"/>
  <c r="O198" i="31" l="1"/>
  <c r="N198" i="31"/>
  <c r="M198" i="31"/>
  <c r="L198" i="31"/>
  <c r="O197" i="31"/>
  <c r="N197" i="31"/>
  <c r="M197" i="31"/>
  <c r="L197" i="31"/>
  <c r="O199" i="31"/>
  <c r="N199" i="31"/>
  <c r="M199" i="31"/>
  <c r="L199" i="31"/>
  <c r="O200" i="31"/>
  <c r="N200" i="31"/>
  <c r="M200" i="31"/>
  <c r="L200" i="31"/>
  <c r="O202" i="31"/>
  <c r="N202" i="31"/>
  <c r="M202" i="31"/>
  <c r="L202" i="31"/>
  <c r="O195" i="31"/>
  <c r="N195" i="31"/>
  <c r="M195" i="31"/>
  <c r="L195" i="31"/>
  <c r="O205" i="31"/>
  <c r="N205" i="31"/>
  <c r="M205" i="31"/>
  <c r="L205" i="31"/>
  <c r="O204" i="31"/>
  <c r="N204" i="31"/>
  <c r="M204" i="31"/>
  <c r="L204" i="31"/>
  <c r="O217" i="31"/>
  <c r="M217" i="31"/>
  <c r="L217" i="31"/>
  <c r="O214" i="31"/>
  <c r="M214" i="31"/>
  <c r="L214" i="31"/>
  <c r="O213" i="31"/>
  <c r="N213" i="31"/>
  <c r="M213" i="31"/>
  <c r="L213" i="31"/>
  <c r="O212" i="31"/>
  <c r="N212" i="31"/>
  <c r="M212" i="31"/>
  <c r="L212" i="31"/>
  <c r="O203" i="31"/>
  <c r="N203" i="31"/>
  <c r="M203" i="31"/>
  <c r="L203" i="31"/>
  <c r="O206" i="31"/>
  <c r="N206" i="31"/>
  <c r="M206" i="31"/>
  <c r="L206" i="31"/>
  <c r="O196" i="31"/>
  <c r="N196" i="31"/>
  <c r="M196" i="31"/>
  <c r="L196" i="31"/>
  <c r="O209" i="31"/>
  <c r="N209" i="31"/>
  <c r="M209" i="31"/>
  <c r="L209" i="31"/>
  <c r="O208" i="31"/>
  <c r="N208" i="31"/>
  <c r="M208" i="31"/>
  <c r="L208" i="31"/>
  <c r="O211" i="31"/>
  <c r="N211" i="31"/>
  <c r="M211" i="31"/>
  <c r="L211" i="31"/>
  <c r="O143" i="31" l="1"/>
  <c r="N143" i="31"/>
  <c r="M143" i="31"/>
  <c r="L143" i="31"/>
  <c r="O141" i="31"/>
  <c r="N141" i="31"/>
  <c r="M141" i="31"/>
  <c r="L141" i="31"/>
  <c r="O140" i="31"/>
  <c r="N140" i="31"/>
  <c r="M140" i="31"/>
  <c r="L140" i="31"/>
  <c r="O138" i="31"/>
  <c r="N138" i="31"/>
  <c r="M138" i="31"/>
  <c r="L138" i="31"/>
  <c r="O137" i="31"/>
  <c r="N137" i="31"/>
  <c r="M137" i="31"/>
  <c r="L137" i="31"/>
  <c r="B18" i="26" l="1"/>
  <c r="B6" i="26" l="1"/>
  <c r="B5" i="26"/>
</calcChain>
</file>

<file path=xl/sharedStrings.xml><?xml version="1.0" encoding="utf-8"?>
<sst xmlns="http://schemas.openxmlformats.org/spreadsheetml/2006/main" count="7386" uniqueCount="1478">
  <si>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</si>
  <si>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</si>
  <si>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</si>
  <si>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</si>
  <si>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</si>
  <si>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</si>
  <si>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</si>
  <si>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</si>
  <si>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</si>
  <si>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</si>
  <si>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</si>
  <si>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</si>
  <si>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</si>
  <si>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</si>
  <si>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</si>
  <si>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</si>
  <si>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</si>
  <si>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</si>
  <si>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</si>
  <si>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</si>
  <si>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</si>
  <si>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</si>
  <si>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</si>
  <si>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</si>
  <si>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</si>
  <si>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</si>
  <si>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</si>
  <si>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</si>
  <si>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</si>
  <si>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</si>
  <si>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</si>
  <si>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</si>
  <si>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</si>
  <si>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</si>
  <si>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</si>
  <si>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</si>
  <si>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</si>
  <si>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</si>
  <si>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</si>
  <si>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</si>
  <si>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</si>
  <si>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</si>
  <si>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</si>
  <si>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</si>
  <si>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</si>
  <si>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</si>
  <si>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</si>
  <si>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</si>
  <si>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</si>
  <si>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</si>
  <si>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</si>
  <si>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</si>
  <si>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</si>
  <si>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</si>
  <si>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</si>
  <si>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</si>
  <si>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</si>
  <si>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</si>
  <si>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</si>
  <si>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</si>
  <si>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</si>
  <si>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</si>
  <si>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</si>
  <si>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</si>
  <si>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</si>
  <si>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</si>
  <si>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</si>
  <si>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</si>
  <si>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</si>
  <si>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</si>
  <si>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</si>
  <si>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</si>
  <si>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</si>
  <si>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</si>
  <si>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</si>
  <si>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</si>
  <si>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Classe</t>
  </si>
  <si>
    <t>Equivalente a</t>
  </si>
  <si>
    <t>Informação</t>
  </si>
  <si>
    <t>Contêiner</t>
  </si>
  <si>
    <t>Define un contenedor de información de acuerdo con la norma NBR 19650-1.</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</si>
  <si>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</si>
  <si>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</si>
  <si>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</si>
  <si>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</si>
  <si>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</si>
  <si>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</si>
  <si>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</si>
  <si>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</si>
  <si>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</si>
  <si>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</si>
  <si>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</si>
  <si>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</si>
  <si>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</si>
  <si>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</si>
  <si>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</si>
  <si>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</si>
  <si>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</si>
  <si>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</si>
  <si>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</si>
  <si>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</si>
  <si>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</si>
  <si>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</si>
  <si>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</si>
  <si>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</si>
  <si>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</si>
  <si>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</si>
  <si>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</si>
  <si>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</si>
  <si>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</si>
  <si>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</si>
  <si>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</si>
  <si>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</si>
  <si>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</si>
  <si>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</si>
  <si>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</si>
  <si>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</si>
  <si>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</si>
  <si>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</si>
  <si>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</si>
  <si>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</si>
  <si>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</si>
  <si>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</si>
  <si>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</si>
  <si>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</si>
  <si>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</si>
  <si>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</si>
  <si>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</si>
  <si>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</si>
  <si>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ClasseIFC</t>
  </si>
  <si>
    <t>CategoriaRvt</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</si>
  <si>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</si>
  <si>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</si>
  <si>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</si>
  <si>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</si>
  <si>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</si>
  <si>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</si>
  <si>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</si>
  <si>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</si>
  <si>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</si>
  <si>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</si>
  <si>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</si>
  <si>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</si>
  <si>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</si>
  <si>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</si>
  <si>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</si>
  <si>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</si>
  <si>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</si>
  <si>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</si>
  <si>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</si>
  <si>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</si>
  <si>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</si>
  <si>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</si>
  <si>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</si>
  <si>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</si>
  <si>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</si>
  <si>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</si>
  <si>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</si>
  <si>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</si>
  <si>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</si>
  <si>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</si>
  <si>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</si>
  <si>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</si>
  <si>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</si>
  <si>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</si>
  <si>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</si>
  <si>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</si>
  <si>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</si>
  <si>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</si>
  <si>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</si>
  <si>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</si>
  <si>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</si>
  <si>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</si>
  <si>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</si>
  <si>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</si>
  <si>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</si>
  <si>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</si>
  <si>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</si>
  <si>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</si>
  <si>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</si>
  <si>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</si>
  <si>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</si>
  <si>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</si>
  <si>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</si>
  <si>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</si>
  <si>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</si>
  <si>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</si>
  <si>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</si>
  <si>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</si>
  <si>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</si>
  <si>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</si>
  <si>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</si>
  <si>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</si>
  <si>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</si>
  <si>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</si>
  <si>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</si>
  <si>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</si>
  <si>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</si>
  <si>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</si>
  <si>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</si>
  <si>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</si>
  <si>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</si>
  <si>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</si>
  <si>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</si>
  <si>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</si>
  <si>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</si>
  <si>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</si>
  <si>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</si>
  <si>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</si>
  <si>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</si>
  <si>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</si>
  <si>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</si>
  <si>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</si>
  <si>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</si>
  <si>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</si>
  <si>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</si>
  <si>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</si>
  <si>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</si>
  <si>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</si>
  <si>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</si>
  <si>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</si>
  <si>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</si>
  <si>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</si>
  <si>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</si>
  <si>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</si>
  <si>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</si>
  <si>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</si>
  <si>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</si>
  <si>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</si>
  <si>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</si>
  <si>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</si>
  <si>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</si>
  <si>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</si>
  <si>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</si>
  <si>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</si>
  <si>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</si>
  <si>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</si>
  <si>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</si>
  <si>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</si>
  <si>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</si>
  <si>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</si>
  <si>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</si>
  <si>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</si>
  <si>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</si>
  <si>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</si>
  <si>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</si>
  <si>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</si>
  <si>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</si>
  <si>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</si>
  <si>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</si>
  <si>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</si>
  <si>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</si>
  <si>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</si>
  <si>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</si>
  <si>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</si>
  <si>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Contenção.Perfil</t>
  </si>
  <si>
    <t>Contenção.Cortina</t>
  </si>
  <si>
    <t>Contenção.Guardacorpo</t>
  </si>
  <si>
    <t>Contenção.GuardaRail</t>
  </si>
  <si>
    <t>Elemento contínuo de proteção lateral na borda da estrada de alta velocidade.</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</si>
  <si>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</si>
  <si>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</si>
  <si>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</si>
  <si>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</si>
  <si>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</si>
  <si>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</si>
  <si>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</si>
  <si>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</si>
  <si>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</si>
  <si>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</si>
  <si>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</si>
  <si>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</si>
  <si>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</si>
  <si>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</si>
  <si>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</si>
  <si>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</si>
  <si>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</si>
  <si>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</si>
  <si>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</si>
  <si>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</si>
  <si>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</si>
  <si>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</si>
  <si>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</si>
  <si>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</si>
  <si>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</si>
  <si>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</si>
  <si>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</si>
  <si>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</si>
  <si>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</si>
  <si>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</si>
  <si>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</si>
  <si>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</si>
  <si>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</si>
  <si>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</si>
  <si>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</si>
  <si>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</si>
  <si>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</si>
  <si>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</si>
  <si>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</si>
  <si>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</si>
  <si>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</si>
  <si>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</si>
  <si>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</si>
  <si>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</si>
  <si>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</si>
  <si>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</si>
  <si>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</si>
  <si>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</si>
  <si>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</si>
  <si>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</si>
  <si>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</si>
  <si>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</si>
  <si>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</si>
  <si>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</si>
  <si>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</si>
  <si>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</si>
  <si>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</si>
  <si>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</si>
  <si>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</si>
  <si>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</si>
  <si>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</si>
  <si>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</si>
  <si>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</si>
  <si>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</si>
  <si>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</si>
  <si>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</si>
  <si>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</si>
  <si>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</si>
  <si>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</si>
  <si>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</si>
  <si>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</si>
  <si>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</si>
  <si>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</si>
  <si>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</si>
  <si>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</si>
  <si>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</si>
  <si>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</si>
  <si>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</si>
  <si>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</si>
  <si>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</si>
  <si>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</si>
  <si>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</si>
  <si>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</si>
  <si>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</si>
  <si>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</si>
  <si>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</si>
  <si>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</si>
  <si>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</si>
  <si>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</si>
  <si>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</si>
  <si>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</si>
  <si>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</si>
  <si>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</si>
  <si>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</si>
  <si>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</si>
  <si>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</si>
  <si>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</si>
  <si>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</si>
  <si>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</si>
  <si>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</si>
  <si>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</si>
  <si>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</si>
  <si>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</si>
  <si>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</si>
  <si>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</si>
  <si>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</si>
  <si>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</si>
  <si>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</si>
  <si>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</si>
  <si>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</si>
  <si>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</si>
  <si>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</si>
  <si>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</si>
  <si>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</si>
  <si>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</si>
  <si>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</si>
  <si>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</si>
  <si>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</si>
  <si>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</si>
  <si>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</si>
  <si>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</si>
  <si>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</si>
  <si>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</si>
  <si>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</si>
  <si>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</si>
  <si>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</si>
  <si>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</si>
  <si>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</si>
  <si>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</si>
  <si>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</si>
  <si>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</si>
  <si>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</si>
  <si>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</si>
  <si>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</si>
  <si>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</si>
  <si>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</si>
  <si>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</si>
  <si>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</si>
  <si>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</si>
  <si>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</si>
  <si>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</si>
  <si>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</si>
  <si>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</si>
  <si>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</si>
  <si>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</si>
  <si>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</si>
  <si>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</si>
  <si>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</si>
  <si>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</si>
  <si>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</si>
  <si>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</si>
  <si>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</si>
  <si>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</si>
  <si>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</si>
  <si>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</si>
  <si>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</si>
  <si>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</si>
  <si>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</si>
  <si>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</si>
  <si>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</si>
  <si>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</si>
  <si>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</si>
  <si>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</si>
  <si>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</si>
  <si>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</si>
  <si>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</si>
  <si>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</si>
  <si>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</si>
  <si>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</si>
  <si>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</si>
  <si>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</si>
  <si>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</si>
  <si>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</si>
  <si>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</si>
  <si>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</si>
  <si>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</si>
  <si>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</si>
  <si>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</si>
  <si>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</si>
  <si>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</si>
  <si>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</si>
  <si>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</si>
  <si>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</si>
  <si>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</si>
  <si>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</si>
  <si>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</si>
  <si>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</si>
  <si>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</si>
  <si>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</si>
  <si>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</si>
  <si>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</si>
  <si>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</si>
  <si>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</si>
  <si>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</si>
  <si>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</si>
  <si>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</si>
  <si>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</si>
  <si>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</si>
  <si>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</si>
  <si>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</si>
  <si>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</si>
  <si>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</si>
  <si>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</si>
  <si>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</si>
  <si>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</si>
  <si>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</si>
  <si>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</si>
  <si>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</si>
  <si>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</si>
  <si>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</si>
  <si>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</si>
  <si>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</si>
  <si>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</si>
  <si>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</si>
  <si>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</si>
  <si>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</si>
  <si>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</si>
  <si>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</si>
  <si>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</si>
  <si>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</si>
  <si>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</si>
  <si>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</si>
  <si>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</si>
  <si>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</si>
  <si>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</si>
  <si>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</si>
  <si>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</si>
  <si>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</si>
  <si>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</si>
  <si>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</si>
  <si>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</si>
  <si>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</si>
  <si>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</si>
  <si>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</si>
  <si>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</si>
  <si>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</si>
  <si>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</si>
  <si>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</si>
  <si>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</si>
  <si>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</si>
  <si>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</si>
  <si>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</si>
  <si>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</si>
  <si>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</si>
  <si>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</si>
  <si>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</si>
  <si>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</si>
  <si>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</si>
  <si>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</si>
  <si>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</si>
  <si>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</si>
  <si>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</si>
  <si>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</si>
  <si>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</si>
  <si>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</si>
  <si>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</si>
  <si>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</si>
  <si>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</si>
  <si>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</si>
  <si>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</si>
  <si>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</si>
  <si>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</si>
  <si>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</si>
  <si>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</si>
  <si>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</si>
  <si>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</si>
  <si>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</si>
  <si>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</si>
  <si>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</si>
  <si>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</si>
  <si>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</si>
  <si>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</si>
  <si>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</si>
  <si>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</si>
  <si>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</si>
  <si>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</si>
  <si>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</si>
  <si>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</si>
  <si>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</si>
  <si>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</si>
  <si>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</si>
  <si>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</si>
  <si>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</si>
  <si>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</si>
  <si>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</si>
  <si>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</si>
  <si>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</si>
  <si>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</si>
  <si>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</si>
  <si>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</si>
  <si>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</si>
  <si>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</si>
  <si>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</si>
  <si>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</si>
  <si>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</si>
  <si>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</si>
  <si>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</si>
  <si>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</si>
  <si>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</si>
  <si>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</si>
  <si>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</si>
  <si>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</si>
  <si>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</si>
  <si>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</si>
  <si>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</si>
  <si>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</si>
  <si>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</si>
  <si>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</si>
  <si>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</si>
  <si>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</si>
  <si>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</si>
  <si>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</si>
  <si>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</si>
  <si>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</si>
  <si>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</si>
  <si>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</si>
  <si>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</si>
  <si>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</si>
  <si>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</si>
  <si>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</si>
  <si>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</si>
  <si>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</si>
  <si>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</si>
  <si>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</si>
  <si>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</si>
  <si>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</si>
  <si>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</si>
  <si>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</si>
  <si>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</si>
  <si>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</si>
  <si>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</si>
  <si>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</si>
  <si>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</si>
  <si>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</si>
  <si>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</si>
  <si>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</si>
  <si>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</si>
  <si>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</si>
  <si>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</si>
  <si>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</si>
  <si>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</si>
  <si>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</si>
  <si>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</si>
  <si>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</si>
  <si>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</si>
  <si>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</si>
  <si>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</si>
  <si>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</si>
  <si>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</si>
  <si>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</si>
  <si>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</si>
  <si>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</si>
  <si>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</si>
  <si>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</si>
  <si>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</si>
  <si>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</si>
  <si>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</si>
  <si>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</si>
  <si>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</si>
  <si>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</si>
  <si>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</si>
  <si>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</si>
  <si>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</si>
  <si>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</si>
  <si>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</si>
  <si>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</si>
  <si>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</si>
  <si>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</si>
  <si>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</si>
  <si>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</si>
  <si>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</si>
  <si>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</si>
  <si>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</si>
  <si>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</si>
  <si>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</si>
  <si>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Ciudad</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</si>
  <si>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</si>
  <si>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</si>
  <si>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</si>
  <si>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</si>
  <si>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</si>
  <si>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</si>
  <si>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</si>
  <si>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</si>
  <si>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</si>
  <si>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</si>
  <si>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</si>
  <si>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</si>
  <si>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</si>
  <si>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</si>
  <si>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</si>
  <si>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</si>
  <si>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</si>
  <si>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</si>
  <si>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</si>
  <si>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</si>
  <si>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</si>
  <si>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</si>
  <si>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</si>
  <si>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</si>
  <si>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</si>
  <si>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</si>
  <si>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</si>
  <si>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</si>
  <si>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</si>
  <si>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</si>
  <si>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</si>
  <si>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</si>
  <si>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</si>
  <si>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</si>
  <si>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</si>
  <si>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</si>
  <si>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</si>
  <si>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</si>
  <si>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</si>
  <si>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</si>
  <si>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</si>
  <si>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</si>
  <si>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</si>
  <si>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</si>
  <si>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</si>
  <si>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</si>
  <si>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</si>
  <si>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</si>
  <si>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</si>
  <si>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</si>
  <si>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</si>
  <si>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</si>
  <si>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</si>
  <si>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</si>
  <si>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</si>
  <si>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</si>
  <si>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</si>
  <si>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</si>
  <si>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</si>
  <si>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</si>
  <si>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</si>
  <si>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</si>
  <si>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</si>
  <si>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</si>
  <si>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</si>
  <si>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</si>
  <si>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</si>
  <si>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</si>
  <si>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</si>
  <si>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</si>
  <si>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</si>
  <si>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</si>
  <si>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</si>
  <si>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</si>
  <si>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</si>
  <si>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</si>
  <si>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</si>
  <si>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</si>
  <si>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</si>
  <si>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</si>
  <si>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</si>
  <si>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</si>
  <si>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</si>
  <si>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</si>
  <si>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</si>
  <si>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</si>
  <si>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</si>
  <si>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</si>
  <si>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</si>
  <si>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</si>
  <si>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</si>
  <si>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</si>
  <si>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</si>
  <si>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</si>
  <si>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</si>
  <si>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</si>
  <si>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</si>
  <si>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</si>
  <si>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</si>
  <si>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</si>
  <si>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</si>
  <si>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é.continente</t>
  </si>
  <si>
    <t>"Um subcontinente de América"</t>
  </si>
  <si>
    <t>Brasil</t>
  </si>
  <si>
    <t>"É um país de América do Sul"</t>
  </si>
  <si>
    <t>Minas.Gerais</t>
  </si>
  <si>
    <t>é.agrupado.com</t>
  </si>
  <si>
    <t>é.capital.de</t>
  </si>
  <si>
    <t>Belo.Horizonte</t>
  </si>
  <si>
    <t>MG</t>
  </si>
  <si>
    <t>Região.Sudeste</t>
  </si>
  <si>
    <t>Estados.do.Sudeste</t>
  </si>
  <si>
    <t>lista</t>
  </si>
  <si>
    <t>"Sudeste:MG:ES:SP:RJ"</t>
  </si>
  <si>
    <t>"Lista de estados do Sudeste do Brasil"</t>
  </si>
  <si>
    <t>é.agrupador.de</t>
  </si>
  <si>
    <t>é.lista</t>
  </si>
  <si>
    <t>"Região Sudeste do Brasil"</t>
  </si>
  <si>
    <t>uf</t>
  </si>
  <si>
    <t>nuf</t>
  </si>
  <si>
    <t>estado</t>
  </si>
  <si>
    <t>UFed31</t>
  </si>
  <si>
    <t>"MG"</t>
  </si>
  <si>
    <t>"31"</t>
  </si>
  <si>
    <t>"Minas Gerais"</t>
  </si>
  <si>
    <t>SameAs</t>
  </si>
  <si>
    <t>Lagoa</t>
  </si>
  <si>
    <t>classe.ifc</t>
  </si>
  <si>
    <t>Metrovia</t>
  </si>
  <si>
    <t>Árvore</t>
  </si>
  <si>
    <t>Gramado</t>
  </si>
  <si>
    <t>Monumento</t>
  </si>
  <si>
    <t>Ornamento</t>
  </si>
  <si>
    <t>Fonte.Ornamental</t>
  </si>
  <si>
    <t>Poste.Luz.Pedestre</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</si>
  <si>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</si>
  <si>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</si>
  <si>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</si>
  <si>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</si>
  <si>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</si>
  <si>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</si>
  <si>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</si>
  <si>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</si>
  <si>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</si>
  <si>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</si>
  <si>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</si>
  <si>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</si>
  <si>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</si>
  <si>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</si>
  <si>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</si>
  <si>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</si>
  <si>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</si>
  <si>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</si>
  <si>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</si>
  <si>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</si>
  <si>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</si>
  <si>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</si>
  <si>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</si>
  <si>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</si>
  <si>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</si>
  <si>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</si>
  <si>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</si>
  <si>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</si>
  <si>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</si>
  <si>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</si>
  <si>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</si>
  <si>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</si>
  <si>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</si>
  <si>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</si>
  <si>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</si>
  <si>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</si>
  <si>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</si>
  <si>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</si>
  <si>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</si>
  <si>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</si>
  <si>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</si>
  <si>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</si>
  <si>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</si>
  <si>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</si>
  <si>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</si>
  <si>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Poste.Luz.Viário</t>
  </si>
  <si>
    <t>Semáforo</t>
  </si>
  <si>
    <t>Sinal de trânsito urbano.</t>
  </si>
  <si>
    <t>Semáforo urbano.</t>
  </si>
  <si>
    <t>Edifício.Garagem</t>
  </si>
  <si>
    <t>Passarela.Urbana</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</si>
  <si>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</si>
  <si>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</si>
  <si>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</si>
  <si>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</si>
  <si>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</si>
  <si>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</si>
  <si>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</si>
  <si>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</si>
  <si>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</si>
  <si>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</si>
  <si>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</si>
  <si>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</si>
  <si>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</si>
  <si>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</si>
  <si>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</si>
  <si>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</si>
  <si>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</si>
  <si>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</si>
  <si>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</si>
  <si>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</si>
  <si>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</si>
  <si>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</si>
  <si>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</si>
  <si>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</si>
  <si>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</si>
  <si>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</si>
  <si>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</si>
  <si>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</si>
  <si>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</si>
  <si>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</si>
  <si>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</si>
  <si>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</si>
  <si>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</si>
  <si>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</si>
  <si>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</si>
  <si>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</si>
  <si>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</si>
  <si>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</si>
  <si>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</si>
  <si>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</si>
  <si>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</si>
  <si>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</si>
  <si>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</si>
  <si>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</si>
  <si>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</si>
  <si>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</si>
  <si>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</si>
  <si>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</si>
  <si>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</si>
  <si>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</si>
  <si>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</si>
  <si>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</si>
  <si>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</si>
  <si>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Instituições.Públicas</t>
  </si>
  <si>
    <t>Serviços</t>
  </si>
  <si>
    <t>Educacionais</t>
  </si>
  <si>
    <t>Vias</t>
  </si>
  <si>
    <t>Faixas</t>
  </si>
  <si>
    <t>Proteções</t>
  </si>
  <si>
    <t>Obras.de.Arte.Especial</t>
  </si>
  <si>
    <t>Trens</t>
  </si>
  <si>
    <t>Ferrovias</t>
  </si>
  <si>
    <t>Infraestruturas</t>
  </si>
  <si>
    <t>Paisagísticas</t>
  </si>
  <si>
    <t>Urbanas</t>
  </si>
  <si>
    <t>Sinalizações</t>
  </si>
  <si>
    <t>Totem.Informativo</t>
  </si>
  <si>
    <t>Rodoviárias</t>
  </si>
  <si>
    <t>Ferroviárias</t>
  </si>
  <si>
    <t>Hidroviárias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</si>
  <si>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</si>
  <si>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</si>
  <si>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</si>
  <si>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</si>
  <si>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</si>
  <si>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</si>
  <si>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</si>
  <si>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</si>
  <si>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</si>
  <si>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</si>
  <si>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</si>
  <si>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</si>
  <si>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</si>
  <si>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</si>
  <si>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</si>
  <si>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</si>
  <si>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</si>
  <si>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Topografias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</si>
  <si>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</si>
  <si>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</si>
  <si>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</si>
  <si>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</si>
  <si>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</si>
  <si>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</si>
  <si>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</si>
  <si>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</si>
  <si>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</si>
  <si>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</si>
  <si>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</si>
  <si>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</si>
  <si>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</si>
  <si>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</si>
  <si>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Transportes</t>
  </si>
  <si>
    <t>Terrestres</t>
  </si>
  <si>
    <t>Aquáticos</t>
  </si>
  <si>
    <t>Aéreos</t>
  </si>
  <si>
    <t>Aviões</t>
  </si>
  <si>
    <t>Avioneta</t>
  </si>
  <si>
    <t>Helicópteros</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</si>
  <si>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</si>
  <si>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</si>
  <si>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</si>
  <si>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</si>
  <si>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</si>
  <si>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</si>
  <si>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</si>
  <si>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</si>
  <si>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</si>
  <si>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</si>
  <si>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</si>
  <si>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</si>
  <si>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</si>
  <si>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</si>
  <si>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</si>
  <si>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</si>
  <si>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</si>
  <si>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</si>
  <si>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</si>
  <si>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</si>
  <si>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</si>
  <si>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</si>
  <si>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</si>
  <si>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</si>
  <si>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</si>
  <si>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</si>
  <si>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</si>
  <si>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</si>
  <si>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</si>
  <si>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</si>
  <si>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</si>
  <si>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</si>
  <si>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</si>
  <si>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</si>
  <si>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</si>
  <si>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Planejamentos</t>
  </si>
  <si>
    <t>Ocupações</t>
  </si>
  <si>
    <t>Construídas</t>
  </si>
  <si>
    <t>Organizativas</t>
  </si>
  <si>
    <t>Zona.de.Pátio</t>
  </si>
  <si>
    <t>Zona.de.Operação</t>
  </si>
  <si>
    <t>Zona.de.Fabricação</t>
  </si>
  <si>
    <t>Zona.de.Transbordo</t>
  </si>
  <si>
    <t>Zona.de.Estocagem</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</si>
  <si>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</si>
  <si>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</si>
  <si>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</si>
  <si>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</si>
  <si>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</si>
  <si>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</si>
  <si>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</si>
  <si>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</si>
  <si>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</si>
  <si>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</si>
  <si>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</si>
  <si>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</si>
  <si>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</si>
  <si>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</si>
  <si>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</si>
  <si>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</si>
  <si>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</si>
  <si>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</si>
  <si>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</si>
  <si>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</si>
  <si>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</si>
  <si>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</si>
  <si>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</si>
  <si>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</si>
  <si>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</si>
  <si>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</si>
  <si>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</si>
  <si>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</si>
  <si>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</si>
  <si>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</si>
  <si>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</si>
  <si>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</si>
  <si>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</si>
  <si>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</si>
  <si>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</si>
  <si>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</si>
  <si>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</si>
  <si>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</si>
  <si>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</si>
  <si>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</si>
  <si>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</si>
  <si>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</si>
  <si>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</si>
  <si>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</si>
  <si>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</si>
  <si>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</si>
  <si>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</si>
  <si>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</si>
  <si>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Capital.</t>
  </si>
  <si>
    <t>Cidade.</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</si>
  <si>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</si>
  <si>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</si>
  <si>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</si>
  <si>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</si>
  <si>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</si>
  <si>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</si>
  <si>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</si>
  <si>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</si>
  <si>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</si>
  <si>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</si>
  <si>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</si>
  <si>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</si>
  <si>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</si>
  <si>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</si>
  <si>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</si>
  <si>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</si>
  <si>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</si>
  <si>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</si>
  <si>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</si>
  <si>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</si>
  <si>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</si>
  <si>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</si>
  <si>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</si>
  <si>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</si>
  <si>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</si>
  <si>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</si>
  <si>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</si>
  <si>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</si>
  <si>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</si>
  <si>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</si>
  <si>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</si>
  <si>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</si>
  <si>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</si>
  <si>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</si>
  <si>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</si>
  <si>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</si>
  <si>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</si>
  <si>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</si>
  <si>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</si>
  <si>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</si>
  <si>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</si>
  <si>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</si>
  <si>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</si>
  <si>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Elemento de parquisação urbana: Lagoa.</t>
  </si>
  <si>
    <t>Totem de informação urbana.</t>
  </si>
  <si>
    <t>Elemento de parquisação urbana: Ornamento urbano.</t>
  </si>
  <si>
    <t>Elemento de parquisação urbana: Árvore.</t>
  </si>
  <si>
    <t>Elemento de parquisação urbana: Monumento urbano.</t>
  </si>
  <si>
    <t>Elemento de parquisação urbana: Fonte ornamental.</t>
  </si>
  <si>
    <t>Elemento de parquisação urbana: Área coberta por gramado.</t>
  </si>
  <si>
    <t>Poste de luz de baixa altura para pedestre.</t>
  </si>
  <si>
    <t>Poste de luz altos para iluminação de avenidas.</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</si>
  <si>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</si>
  <si>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</si>
  <si>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</si>
  <si>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</si>
  <si>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</si>
  <si>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</si>
  <si>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</si>
  <si>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</si>
  <si>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</si>
  <si>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</si>
  <si>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</si>
  <si>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</si>
  <si>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</si>
  <si>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</si>
  <si>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</si>
  <si>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</si>
  <si>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</si>
  <si>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</si>
  <si>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</si>
  <si>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Rede.de.Substâncias</t>
  </si>
  <si>
    <t>Sistema de rede de fornecimento de substâncias (combustíveis, por exemplo).</t>
  </si>
  <si>
    <t>Suministro de sustancias.</t>
  </si>
  <si>
    <t>Rede.de.Combustíveis</t>
  </si>
  <si>
    <t>Suministro de combustibles.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</si>
  <si>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</si>
  <si>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</si>
  <si>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</si>
  <si>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</si>
  <si>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</si>
  <si>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</si>
  <si>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</si>
  <si>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</si>
  <si>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</si>
  <si>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</si>
  <si>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</si>
  <si>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</si>
  <si>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</si>
  <si>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</si>
  <si>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</si>
  <si>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</si>
  <si>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</si>
  <si>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</si>
  <si>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</si>
  <si>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</si>
  <si>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</si>
  <si>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</si>
  <si>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</si>
  <si>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</si>
  <si>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</si>
  <si>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</si>
  <si>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</si>
  <si>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</si>
  <si>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</si>
  <si>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</si>
  <si>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</si>
  <si>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</si>
  <si>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Rede elétrica de sinalização pública urbana (Sinais de trânsito e totems).</t>
  </si>
  <si>
    <t>Red eléctrica de señalización pública urbana (señales de tráfico y tótems).</t>
  </si>
  <si>
    <t>Rede de Fibra Ótica aérea.</t>
  </si>
  <si>
    <t>Rede de telefonia aérea.</t>
  </si>
  <si>
    <t>Rede dados lógica aérea.</t>
  </si>
  <si>
    <t>Rede Internet Fixa aérea.</t>
  </si>
  <si>
    <t>Rede Internet Móvel aérea.</t>
  </si>
  <si>
    <t>Rede de telefonia subterrânea.</t>
  </si>
  <si>
    <t>Rede dados lógica subterrânea.</t>
  </si>
  <si>
    <t>Rede Internet Fixa subterrânea.</t>
  </si>
  <si>
    <t>Redes</t>
  </si>
  <si>
    <t>Materialidade</t>
  </si>
  <si>
    <t>Da.Tubulação</t>
  </si>
  <si>
    <t>Materiais</t>
  </si>
  <si>
    <t>Tubos.de.FoFo</t>
  </si>
  <si>
    <t>Tubo de Ferro Fundido para redes de agua e esgoto de saneamento básico.</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</si>
  <si>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</si>
  <si>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</si>
  <si>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</si>
  <si>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</si>
  <si>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</si>
  <si>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</si>
  <si>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</si>
  <si>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</si>
  <si>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</si>
  <si>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</si>
  <si>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</si>
  <si>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</si>
  <si>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</si>
  <si>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</si>
  <si>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</si>
  <si>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</si>
  <si>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</si>
  <si>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</si>
  <si>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</si>
  <si>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</si>
  <si>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</si>
  <si>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</si>
  <si>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</si>
  <si>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</si>
  <si>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</si>
  <si>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</si>
  <si>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</si>
  <si>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</si>
  <si>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</si>
  <si>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Aeroportuárias</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</si>
  <si>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</si>
  <si>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</si>
  <si>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</si>
  <si>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</si>
  <si>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</si>
  <si>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</si>
  <si>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</si>
  <si>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</si>
  <si>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</si>
  <si>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</si>
  <si>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</si>
  <si>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</si>
  <si>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</si>
  <si>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</si>
  <si>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</si>
  <si>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</si>
  <si>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</si>
  <si>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</si>
  <si>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</si>
  <si>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</si>
  <si>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</si>
  <si>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</si>
  <si>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</si>
  <si>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</si>
  <si>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</si>
  <si>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</si>
  <si>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</si>
  <si>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</si>
  <si>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</si>
  <si>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</si>
  <si>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</si>
  <si>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</si>
  <si>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</si>
  <si>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</si>
  <si>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</si>
  <si>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Elemento de aparcamiento urbano: Lagoa.</t>
  </si>
  <si>
    <t>Elemento de aparcamiento urbano: Árbol.</t>
  </si>
  <si>
    <t>Elemento de aparcamiento urbano: Zona cubierta por césped.</t>
  </si>
  <si>
    <t>Elemento de aparcamiento urbano: Monumento urbano.</t>
  </si>
  <si>
    <t>Elemento de aparcamiento urbano: Ornamento urbano.</t>
  </si>
  <si>
    <t>Elemento de aparcamiento urbano: Fuente ornamental.</t>
  </si>
  <si>
    <t>Poste de luz peatonal de baja altura.</t>
  </si>
  <si>
    <t>Postes de luz altos para iluminar avenidas.</t>
  </si>
  <si>
    <t>Tótem de información urbana.</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</si>
  <si>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</si>
  <si>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</si>
  <si>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</si>
  <si>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</si>
  <si>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</si>
  <si>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</si>
  <si>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</si>
  <si>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</si>
  <si>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</si>
  <si>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</si>
  <si>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</si>
  <si>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</si>
  <si>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</si>
  <si>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</si>
  <si>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</si>
  <si>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</si>
  <si>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</si>
  <si>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</si>
  <si>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</si>
  <si>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</si>
  <si>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</si>
  <si>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</si>
  <si>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</si>
  <si>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</si>
  <si>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</si>
  <si>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</si>
  <si>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</si>
  <si>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</si>
  <si>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</si>
  <si>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</si>
  <si>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</si>
  <si>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</si>
  <si>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</si>
  <si>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</si>
  <si>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</si>
  <si>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</si>
  <si>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</si>
  <si>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</si>
  <si>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</si>
  <si>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</si>
  <si>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</si>
  <si>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</si>
  <si>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</si>
  <si>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</si>
  <si>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</si>
  <si>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</si>
  <si>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</si>
  <si>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</si>
  <si>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</si>
  <si>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</si>
  <si>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</si>
  <si>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</si>
  <si>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</si>
  <si>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</si>
  <si>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</si>
  <si>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</si>
  <si>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</si>
  <si>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</si>
  <si>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</si>
  <si>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</si>
  <si>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</si>
  <si>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</si>
  <si>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</si>
  <si>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</si>
  <si>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</si>
  <si>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</si>
  <si>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</si>
  <si>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</si>
  <si>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</si>
  <si>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</si>
  <si>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</si>
  <si>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</si>
  <si>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</si>
  <si>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</si>
  <si>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</si>
  <si>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</si>
  <si>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</si>
  <si>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</si>
  <si>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</si>
  <si>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</si>
  <si>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</si>
  <si>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</si>
  <si>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</si>
  <si>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</si>
  <si>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</si>
  <si>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</si>
  <si>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</si>
  <si>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</si>
  <si>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</si>
  <si>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</si>
  <si>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</si>
  <si>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</si>
  <si>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</si>
  <si>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</si>
  <si>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</si>
  <si>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</si>
  <si>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</si>
  <si>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</si>
  <si>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</si>
  <si>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</si>
  <si>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</si>
  <si>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</si>
  <si>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</si>
  <si>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</si>
  <si>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</si>
  <si>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</si>
  <si>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</si>
  <si>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</si>
  <si>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</si>
  <si>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</si>
  <si>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Advertência</t>
  </si>
  <si>
    <t xml:space="preserve">Traduções ao espanhol e ao inglês incorporadas - As traduções devem ser constantemente revisadas </t>
  </si>
  <si>
    <t>Aviso</t>
  </si>
  <si>
    <t>Alert</t>
  </si>
  <si>
    <t>Define um contêiner de informação de acordo à norma NBR 19650-1. Definição do Projeto.</t>
  </si>
  <si>
    <t>[ OST_PipeMaterials ]</t>
  </si>
  <si>
    <t>[ IfcMaterial ]</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</si>
  <si>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</si>
  <si>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</si>
  <si>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</si>
  <si>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</si>
  <si>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</si>
  <si>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</si>
  <si>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</si>
  <si>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</si>
  <si>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</si>
  <si>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</si>
  <si>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OST_TopographyContours , OST_ToposolidContours , OST_ToposolidSecondaryContours ]</t>
  </si>
  <si>
    <t>[ OST_Floors ]</t>
  </si>
  <si>
    <t>[ OST_SiteProperty , OST_SitePropertyLineSegment ]</t>
  </si>
  <si>
    <t>[ OST_Areas , OST_Rooms ]</t>
  </si>
  <si>
    <t>[ OST_Rooms ]</t>
  </si>
  <si>
    <t>[ OST_Mass ]</t>
  </si>
  <si>
    <t>[ OST_SpecialityEquipment ]</t>
  </si>
  <si>
    <t>null ]</t>
  </si>
  <si>
    <t>[ OST_Entourage ]</t>
  </si>
  <si>
    <t>[ OST_SiteRegion , OST_SiteSurface ]</t>
  </si>
  <si>
    <t>[ OST_Planting ]</t>
  </si>
  <si>
    <t>[ OST_LightingDevices ]</t>
  </si>
  <si>
    <t>[ OST_Signage ]</t>
  </si>
  <si>
    <t>[ OST_Roads ]</t>
  </si>
  <si>
    <t>[ OST_RailingSystem , OST_RailingSystemBaluster , OST_RailingSystemHandRail , OST_RailingSystemHandRailBracket , OST_RailingSystemHardware , OST_RailingSystemPanel , OST_RailingSystemP[ OST , OST_RailingSystemRail , OST_RailingSystemSegment , OST_RailingSystemTermination ]</t>
  </si>
  <si>
    <t>[ OST_BridgeBearings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</si>
  <si>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</si>
  <si>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</si>
  <si>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</si>
  <si>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</si>
  <si>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</si>
  <si>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</si>
  <si>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</si>
  <si>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</si>
  <si>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</si>
  <si>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</si>
  <si>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</si>
  <si>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</si>
  <si>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</si>
  <si>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OST_PlumbingFixtures ]</t>
  </si>
  <si>
    <t>[ OST_SpecialityEquipment , OST_LightingDevices ]</t>
  </si>
  <si>
    <t>[ OST_Levels , OST_LevelHeads ]</t>
  </si>
  <si>
    <t>[ OST_MEPZone , OST_MEPSystemZone , OST_MassZone ]</t>
  </si>
  <si>
    <t>[ OST_PipingSystem ]</t>
  </si>
  <si>
    <t>[ OST_ElecDistributionSys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</si>
  <si>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</si>
  <si>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</si>
  <si>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</si>
  <si>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</si>
  <si>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</si>
  <si>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</si>
  <si>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</si>
  <si>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</si>
  <si>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</si>
  <si>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</si>
  <si>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</si>
  <si>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</si>
  <si>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</si>
  <si>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</si>
  <si>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</si>
  <si>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</si>
  <si>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</si>
  <si>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null ]</t>
  </si>
  <si>
    <t>[ IfcVehicleROLLINGSTOCK ]</t>
  </si>
  <si>
    <t>[ IfcVehicleVEHICLETRACKED ]</t>
  </si>
  <si>
    <t>[ IfcMarinePart , IfcTransportElement ]</t>
  </si>
  <si>
    <t>[ IfcVehicleCARGO ]</t>
  </si>
  <si>
    <t>[ IfcVehicleVEHICLEWHEELED ]</t>
  </si>
  <si>
    <t>[ IfcVehicleVEHICLEMARINE ]</t>
  </si>
  <si>
    <t>[ IfcVehicleVEHICLEAIR ]</t>
  </si>
  <si>
    <t>[ IfcLightFixture ]</t>
  </si>
  <si>
    <t>[ IfcSignal ]</t>
  </si>
  <si>
    <t>[ IfcCourse ]</t>
  </si>
  <si>
    <t>[ IfcRailing ]</t>
  </si>
  <si>
    <t>[ IfcBridge ]</t>
  </si>
  <si>
    <t>[ IfcBearing ]</t>
  </si>
  <si>
    <t>[ IfcBridgePart ]</t>
  </si>
  <si>
    <t>[ IfcRoadPart ]</t>
  </si>
  <si>
    <t>[ IfcFlowTerminal ]</t>
  </si>
  <si>
    <t>[ IfcSign ]</t>
  </si>
  <si>
    <t>[ IfcRailway ]</t>
  </si>
  <si>
    <t>[ IfcRail ]</t>
  </si>
  <si>
    <t>[ IfcTrackElement ]</t>
  </si>
  <si>
    <t>[ IfcRailwayPart ]</t>
  </si>
  <si>
    <t>[ IfcMarinePart ]</t>
  </si>
  <si>
    <t>[ IfcBuildingStorey ]</t>
  </si>
  <si>
    <t>[ IfcZone , IfcSpatialZone ]</t>
  </si>
  <si>
    <t>[ IfcDistributionSystemWATERSUPPLY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</si>
  <si>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</si>
  <si>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</si>
  <si>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</si>
  <si>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</si>
  <si>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</si>
  <si>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</si>
  <si>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</si>
  <si>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</si>
  <si>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</si>
  <si>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</si>
  <si>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IfcDistributionSystemLIGHTING ]</t>
  </si>
  <si>
    <t>[ IfcDistributionSystemSIGNAL ]</t>
  </si>
  <si>
    <t>[ IfcDistributionSystemTELEPHONE ]</t>
  </si>
  <si>
    <t>[ IfcDistributionSystemDATA ]</t>
  </si>
  <si>
    <t>[ IfcDistributionSystemMOBILENETWORK ]</t>
  </si>
  <si>
    <t>[ IfcDistributionSystemFIXEDTRANSMISSIONNETWORK ]</t>
  </si>
  <si>
    <t>[  ]</t>
  </si>
  <si>
    <t>[ OST_ToposolidMembrane ]</t>
  </si>
  <si>
    <t>Gestão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</si>
  <si>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</si>
  <si>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</si>
  <si>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</si>
  <si>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</si>
  <si>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</si>
  <si>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</si>
  <si>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</si>
  <si>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</si>
  <si>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tema</t>
  </si>
  <si>
    <t>subtema</t>
  </si>
  <si>
    <t>"Gestão"</t>
  </si>
  <si>
    <t>"[ - ]"</t>
  </si>
  <si>
    <t>Região.Imediata</t>
  </si>
  <si>
    <t>Tipo</t>
  </si>
  <si>
    <t>Região.Intermediária</t>
  </si>
  <si>
    <t>Região Geográfica Imediata. Definidas pelo IBGE do Brasil há 510 Regiões Geográficas de escala menor, são articuladas por cidades médias e pequenas.</t>
  </si>
  <si>
    <t>Região Geográfica Intermediária. Definidas pelo IBGE do Brasil há 133 Regiões Geográficas Intermediárias, de escala maior, são articuladas por capitais regionais ou grandes centros urbanos.</t>
  </si>
  <si>
    <t>Região Geográfica do Brasil. do Brasil há 5 Regiões Geográficas principais.</t>
  </si>
  <si>
    <t>Formalizar conceptos de elementos de Urbanismo de Ciudades del Brasil RJ.</t>
  </si>
  <si>
    <t>Formalizar conceitos de elementos de Urbanismo de Cidades do Brasil RJ.</t>
  </si>
  <si>
    <t>código.abnt</t>
  </si>
  <si>
    <t>"[ 4U.02.38.06 ]"</t>
  </si>
  <si>
    <t>"[ OST_Areas  ]"</t>
  </si>
  <si>
    <t>"[ IfcBuildingElementProxy ]"</t>
  </si>
  <si>
    <t>"É um Estado da República Federativa de Brasil: Minas Gerais"</t>
  </si>
  <si>
    <t>Urbanismo_MG</t>
  </si>
  <si>
    <t>Conceitos de elementos de urbanos de Minas Gerais</t>
  </si>
  <si>
    <t>Conceito</t>
  </si>
  <si>
    <t>Contêineres</t>
  </si>
  <si>
    <t>Interdisciplinar</t>
  </si>
  <si>
    <t>[ 5I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</si>
</sst>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23">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5" tint="0.79998168889431442"/>
        <bgColor rgb="FFD9F2D0"/>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1">
    <xf numFmtId="0" fontId="0" fillId="0" borderId="0"/>
  </cellStyleXfs>
  <cellXfs count="88">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8" fillId="6" borderId="1" xfId="0" applyFont="1" applyFill="1" applyBorder="1" applyAlignment="1">
      <alignment horizontal="left" vertical="center"/>
    </xf>
    <xf numFmtId="0" fontId="8" fillId="6" borderId="4" xfId="0" applyFont="1" applyFill="1" applyBorder="1" applyAlignment="1">
      <alignment horizontal="left" vertical="center"/>
    </xf>
    <xf numFmtId="0" fontId="12" fillId="10" borderId="1" xfId="0" applyFont="1" applyFill="1" applyBorder="1" applyAlignment="1">
      <alignment horizontal="left" vertical="center"/>
    </xf>
    <xf numFmtId="0" fontId="8" fillId="17" borderId="3" xfId="0" applyFont="1" applyFill="1" applyBorder="1" applyAlignment="1">
      <alignment horizontal="left" vertical="center"/>
    </xf>
    <xf numFmtId="0" fontId="8" fillId="6" borderId="3" xfId="0" applyFont="1" applyFill="1" applyBorder="1" applyAlignment="1">
      <alignment horizontal="left" vertical="center"/>
    </xf>
    <xf numFmtId="0" fontId="7" fillId="6" borderId="1" xfId="0" applyFont="1" applyFill="1" applyBorder="1" applyAlignment="1">
      <alignment vertical="center"/>
    </xf>
    <xf numFmtId="0" fontId="8" fillId="6" borderId="3" xfId="0" applyFont="1" applyFill="1" applyBorder="1" applyAlignment="1">
      <alignment horizontal="left" vertical="center" wrapText="1"/>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8" fillId="17" borderId="1" xfId="0" applyFont="1" applyFill="1" applyBorder="1" applyAlignment="1">
      <alignment horizontal="left" vertical="center" wrapText="1"/>
    </xf>
    <xf numFmtId="0" fontId="12" fillId="18" borderId="1" xfId="0" applyFont="1" applyFill="1" applyBorder="1" applyAlignment="1">
      <alignment horizontal="left" vertical="center"/>
    </xf>
    <xf numFmtId="0" fontId="7" fillId="0" borderId="0" xfId="0" applyFont="1"/>
    <xf numFmtId="0" fontId="7" fillId="17" borderId="1" xfId="0" applyFont="1" applyFill="1" applyBorder="1" applyAlignment="1">
      <alignment horizontal="left" vertical="center"/>
    </xf>
    <xf numFmtId="0" fontId="7" fillId="6" borderId="1" xfId="0" applyFont="1" applyFill="1" applyBorder="1" applyAlignment="1">
      <alignment horizontal="left" vertical="center"/>
    </xf>
    <xf numFmtId="0" fontId="8" fillId="6" borderId="1" xfId="0" applyFont="1" applyFill="1" applyBorder="1" applyAlignment="1">
      <alignment horizontal="left" vertical="center" wrapText="1"/>
    </xf>
    <xf numFmtId="0" fontId="12" fillId="19"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0" fillId="0" borderId="0" xfId="0" applyNumberFormat="1" applyAlignment="1">
      <alignment horizontal="left" vertical="center"/>
    </xf>
    <xf numFmtId="0" fontId="8" fillId="20" borderId="1" xfId="0" applyFont="1" applyFill="1" applyBorder="1" applyAlignment="1">
      <alignment horizontal="left" vertical="center" wrapText="1"/>
    </xf>
    <xf numFmtId="0" fontId="8" fillId="21" borderId="1" xfId="0" applyFont="1" applyFill="1" applyBorder="1" applyAlignment="1">
      <alignment horizontal="left" vertical="center" wrapText="1"/>
    </xf>
    <xf numFmtId="0" fontId="7" fillId="3" borderId="1" xfId="0" applyFont="1" applyFill="1" applyBorder="1" applyAlignment="1">
      <alignment vertical="center"/>
    </xf>
    <xf numFmtId="0" fontId="14"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22" fontId="7" fillId="0" borderId="1" xfId="0" applyNumberFormat="1" applyFont="1" applyBorder="1" applyAlignment="1">
      <alignment vertical="center"/>
    </xf>
    <xf numFmtId="0" fontId="11" fillId="15" borderId="2" xfId="0" applyFont="1" applyFill="1" applyBorder="1" applyAlignment="1">
      <alignment horizontal="left" vertical="center" wrapText="1"/>
    </xf>
    <xf numFmtId="0" fontId="8" fillId="22" borderId="1" xfId="0" applyFont="1" applyFill="1" applyBorder="1" applyAlignment="1">
      <alignment horizontal="left" vertical="center"/>
    </xf>
    <xf numFmtId="0" fontId="0" fillId="0" borderId="0" xfId="0" applyAlignment="1">
      <alignment horizontal="center" vertical="center"/>
    </xf>
    <xf numFmtId="1" fontId="0" fillId="0" borderId="0" xfId="0" applyNumberFormat="1" applyAlignment="1">
      <alignment horizontal="left" vertical="center"/>
    </xf>
    <xf numFmtId="0" fontId="7" fillId="6" borderId="3" xfId="0" applyFont="1" applyFill="1" applyBorder="1" applyAlignment="1">
      <alignment horizontal="lef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8" fillId="2" borderId="1" xfId="0" applyFont="1" applyFill="1" applyBorder="1" applyAlignment="1">
      <alignment vertical="center"/>
    </xf>
    <xf numFmtId="0" fontId="10" fillId="15" borderId="3" xfId="0" applyFont="1" applyFill="1" applyBorder="1" applyAlignment="1">
      <alignment horizontal="left" vertical="center" wrapText="1"/>
    </xf>
    <xf numFmtId="0" fontId="12" fillId="15" borderId="1" xfId="0" applyFont="1" applyFill="1" applyBorder="1" applyAlignment="1">
      <alignment horizontal="left" vertical="center"/>
    </xf>
    <xf numFmtId="0" fontId="9" fillId="3" borderId="1" xfId="0" applyFont="1" applyFill="1" applyBorder="1" applyAlignment="1">
      <alignment horizontal="left" vertical="center"/>
    </xf>
    <xf numFmtId="0" fontId="12" fillId="17" borderId="1" xfId="0" applyFont="1" applyFill="1" applyBorder="1" applyAlignment="1">
      <alignment horizontal="left" vertical="center"/>
    </xf>
    <xf numFmtId="0" fontId="12" fillId="6" borderId="1" xfId="0" applyFont="1" applyFill="1" applyBorder="1" applyAlignment="1">
      <alignment horizontal="left" vertical="center"/>
    </xf>
    <xf numFmtId="0" fontId="12" fillId="3" borderId="1" xfId="0" applyFont="1" applyFill="1" applyBorder="1" applyAlignment="1">
      <alignment horizontal="left" vertical="center"/>
    </xf>
    <xf numFmtId="0" fontId="7" fillId="17" borderId="3" xfId="0" applyFont="1" applyFill="1" applyBorder="1" applyAlignment="1">
      <alignment horizontal="left" vertical="center"/>
    </xf>
    <xf numFmtId="0" fontId="12" fillId="6" borderId="3" xfId="0" applyFont="1" applyFill="1" applyBorder="1" applyAlignment="1">
      <alignment horizontal="left" vertical="center"/>
    </xf>
    <xf numFmtId="0" fontId="12" fillId="3" borderId="3" xfId="0" applyFont="1" applyFill="1" applyBorder="1" applyAlignment="1">
      <alignment horizontal="left" vertical="center"/>
    </xf>
    <xf numFmtId="0" fontId="7" fillId="6" borderId="1" xfId="0" applyFont="1" applyFill="1" applyBorder="1" applyAlignment="1">
      <alignment horizontal="left" vertical="center" wrapText="1"/>
    </xf>
    <xf numFmtId="0" fontId="7" fillId="17" borderId="1" xfId="0" applyFont="1" applyFill="1" applyBorder="1" applyAlignment="1">
      <alignment horizontal="left" vertical="center" wrapText="1"/>
    </xf>
    <xf numFmtId="0" fontId="7" fillId="0" borderId="0" xfId="0" applyFont="1" applyAlignment="1">
      <alignment horizontal="left"/>
    </xf>
    <xf numFmtId="0" fontId="12" fillId="15" borderId="3" xfId="0" applyFont="1" applyFill="1" applyBorder="1" applyAlignment="1">
      <alignment horizontal="left" vertical="center"/>
    </xf>
    <xf numFmtId="0" fontId="7" fillId="6" borderId="3" xfId="0" applyFont="1" applyFill="1" applyBorder="1" applyAlignment="1">
      <alignment horizontal="left" vertical="center" wrapText="1"/>
    </xf>
  </cellXfs>
  <cellStyles count="1">
    <cellStyle name="Normal" xfId="0" builtinId="0"/>
  </cellStyles>
  <dxfs count="76">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175" zoomScaleNormal="175" workbookViewId="0">
      <pane ySplit="1" topLeftCell="A2" activePane="bottomLeft" state="frozen"/>
      <selection activeCell="C18" sqref="C18"/>
      <selection pane="bottomLeft" activeCell="B18" sqref="B18"/>
    </sheetView>
  </sheetViews>
  <sheetFormatPr defaultColWidth="3.28515625" defaultRowHeight="9.75" customHeight="1" x14ac:dyDescent="0.25"/>
  <cols>
    <col min="1" max="1" width="9.7109375" style="6" customWidth="1"/>
    <col min="2" max="2" width="41.5703125" style="6" customWidth="1"/>
    <col min="3" max="3" width="3.42578125" style="63" bestFit="1" customWidth="1"/>
    <col min="4" max="16384" width="3.28515625" style="6"/>
  </cols>
  <sheetData>
    <row r="1" spans="1:3" ht="49.5" customHeight="1" x14ac:dyDescent="0.25">
      <c r="A1" s="7" t="s">
        <v>36</v>
      </c>
      <c r="B1" s="7" t="s">
        <v>35</v>
      </c>
      <c r="C1" s="27" t="s">
        <v>1324</v>
      </c>
    </row>
    <row r="2" spans="1:3" ht="8.25" customHeight="1" x14ac:dyDescent="0.25">
      <c r="A2" s="8" t="s">
        <v>45</v>
      </c>
      <c r="B2" s="8" t="s">
        <v>61</v>
      </c>
      <c r="C2" s="62" t="s">
        <v>1325</v>
      </c>
    </row>
    <row r="3" spans="1:3" ht="8.25" customHeight="1" x14ac:dyDescent="0.25">
      <c r="A3" s="8" t="s">
        <v>46</v>
      </c>
      <c r="B3" s="9" t="s">
        <v>1472</v>
      </c>
      <c r="C3" s="62" t="s">
        <v>1325</v>
      </c>
    </row>
    <row r="4" spans="1:3" ht="8.25" customHeight="1" x14ac:dyDescent="0.25">
      <c r="A4" s="8" t="s">
        <v>37</v>
      </c>
      <c r="B4" s="8" t="s">
        <v>47</v>
      </c>
      <c r="C4" s="62" t="s">
        <v>1325</v>
      </c>
    </row>
    <row r="5" spans="1:3" ht="8.25" customHeight="1" x14ac:dyDescent="0.25">
      <c r="A5" s="8" t="s">
        <v>38</v>
      </c>
      <c r="B5" s="8" t="str">
        <f>_xlfn.CONCAT(B4,"Prop")</f>
        <v>BIMProp</v>
      </c>
      <c r="C5" s="62" t="s">
        <v>1325</v>
      </c>
    </row>
    <row r="6" spans="1:3" ht="8.25" customHeight="1" x14ac:dyDescent="0.25">
      <c r="A6" s="8" t="s">
        <v>39</v>
      </c>
      <c r="B6" s="8" t="str">
        <f>_xlfn.CONCAT(B4,"Data")</f>
        <v>BIMData</v>
      </c>
      <c r="C6" s="62" t="s">
        <v>1325</v>
      </c>
    </row>
    <row r="7" spans="1:3" ht="8.25" customHeight="1" x14ac:dyDescent="0.25">
      <c r="A7" s="8" t="s">
        <v>40</v>
      </c>
      <c r="B7" s="8" t="s">
        <v>48</v>
      </c>
      <c r="C7" s="62" t="s">
        <v>1325</v>
      </c>
    </row>
    <row r="8" spans="1:3" ht="8.25" customHeight="1" x14ac:dyDescent="0.25">
      <c r="A8" s="8" t="s">
        <v>41</v>
      </c>
      <c r="B8" s="8" t="s">
        <v>1322</v>
      </c>
      <c r="C8" s="62" t="s">
        <v>1325</v>
      </c>
    </row>
    <row r="9" spans="1:3" ht="8.25" customHeight="1" x14ac:dyDescent="0.25">
      <c r="A9" s="8" t="s">
        <v>49</v>
      </c>
      <c r="B9" s="8" t="s">
        <v>50</v>
      </c>
      <c r="C9" s="62" t="s">
        <v>1325</v>
      </c>
    </row>
    <row r="10" spans="1:3" ht="8.25" customHeight="1" x14ac:dyDescent="0.25">
      <c r="A10" s="8" t="s">
        <v>51</v>
      </c>
      <c r="B10" s="8" t="s">
        <v>23</v>
      </c>
      <c r="C10" s="62" t="s">
        <v>1325</v>
      </c>
    </row>
    <row r="11" spans="1:3" ht="8.25" customHeight="1" x14ac:dyDescent="0.25">
      <c r="A11" s="8" t="s">
        <v>42</v>
      </c>
      <c r="B11" s="8" t="s">
        <v>23</v>
      </c>
      <c r="C11" s="62" t="s">
        <v>1325</v>
      </c>
    </row>
    <row r="12" spans="1:3" ht="8.25" customHeight="1" x14ac:dyDescent="0.25">
      <c r="A12" s="8" t="s">
        <v>43</v>
      </c>
      <c r="B12" s="8" t="s">
        <v>23</v>
      </c>
      <c r="C12" s="62" t="s">
        <v>1325</v>
      </c>
    </row>
    <row r="13" spans="1:3" ht="8.25" customHeight="1" x14ac:dyDescent="0.25">
      <c r="A13" s="8" t="s">
        <v>52</v>
      </c>
      <c r="B13" s="8" t="s">
        <v>23</v>
      </c>
      <c r="C13" s="62" t="s">
        <v>1325</v>
      </c>
    </row>
    <row r="14" spans="1:3" ht="8.25" customHeight="1" x14ac:dyDescent="0.25">
      <c r="A14" s="8" t="s">
        <v>53</v>
      </c>
      <c r="B14" s="8" t="s">
        <v>23</v>
      </c>
      <c r="C14" s="62" t="s">
        <v>1325</v>
      </c>
    </row>
    <row r="15" spans="1:3" ht="8.25" customHeight="1" x14ac:dyDescent="0.25">
      <c r="A15" s="8" t="s">
        <v>54</v>
      </c>
      <c r="B15" s="8" t="s">
        <v>23</v>
      </c>
      <c r="C15" s="62" t="s">
        <v>1325</v>
      </c>
    </row>
    <row r="16" spans="1:3" ht="8.25" customHeight="1" x14ac:dyDescent="0.25">
      <c r="A16" s="8" t="s">
        <v>55</v>
      </c>
      <c r="B16" s="8" t="s">
        <v>23</v>
      </c>
      <c r="C16" s="62" t="s">
        <v>1325</v>
      </c>
    </row>
    <row r="17" spans="1:3" ht="8.25" customHeight="1" x14ac:dyDescent="0.25">
      <c r="A17" s="8" t="s">
        <v>44</v>
      </c>
      <c r="B17" s="10" t="s">
        <v>1473</v>
      </c>
      <c r="C17" s="62" t="s">
        <v>1325</v>
      </c>
    </row>
    <row r="18" spans="1:3" ht="8.25" customHeight="1" x14ac:dyDescent="0.25">
      <c r="A18" s="8" t="s">
        <v>56</v>
      </c>
      <c r="B18" s="11">
        <f ca="1">NOW()</f>
        <v>46216.361386921293</v>
      </c>
      <c r="C18" s="62" t="s">
        <v>1325</v>
      </c>
    </row>
    <row r="19" spans="1:3" ht="8.25" customHeight="1" x14ac:dyDescent="0.25">
      <c r="A19" s="10" t="s">
        <v>1333</v>
      </c>
      <c r="B19" s="64" t="s">
        <v>1334</v>
      </c>
      <c r="C19" s="62" t="s">
        <v>1325</v>
      </c>
    </row>
    <row r="20" spans="1:3" ht="8.25" customHeight="1" x14ac:dyDescent="0.25">
      <c r="A20" s="10" t="s">
        <v>1335</v>
      </c>
      <c r="B20" s="64" t="str">
        <f>_xlfn.TRANSLATE(B19,"pt","es")</f>
        <v>Traducciones integradas al español e inglés - Las traducciones deben revisarse constantemente</v>
      </c>
      <c r="C20" s="62" t="s">
        <v>1326</v>
      </c>
    </row>
    <row r="21" spans="1:3" ht="8.25" customHeight="1" x14ac:dyDescent="0.25">
      <c r="A21" s="10" t="s">
        <v>1336</v>
      </c>
      <c r="B21" s="64" t="str">
        <f>_xlfn.TRANSLATE(B19,"pt","en")</f>
        <v>Built-in Spanish and English Translations - Translations must be constantly reviewed</v>
      </c>
      <c r="C21" s="62" t="s">
        <v>1327</v>
      </c>
    </row>
    <row r="22" spans="1:3" ht="8.25" customHeight="1" x14ac:dyDescent="0.25">
      <c r="A22" s="8" t="s">
        <v>57</v>
      </c>
      <c r="B22" s="8" t="s">
        <v>23</v>
      </c>
      <c r="C22" s="62" t="s">
        <v>1325</v>
      </c>
    </row>
    <row r="23" spans="1:3" ht="8.25" customHeight="1" x14ac:dyDescent="0.25">
      <c r="A23" s="8" t="s">
        <v>58</v>
      </c>
      <c r="B23" s="8" t="s">
        <v>23</v>
      </c>
      <c r="C23" s="62" t="s">
        <v>1325</v>
      </c>
    </row>
    <row r="24" spans="1:3" ht="8.25" customHeight="1" x14ac:dyDescent="0.25">
      <c r="A24" s="10" t="s">
        <v>59</v>
      </c>
      <c r="B24" s="12" t="s">
        <v>1466</v>
      </c>
      <c r="C24" s="62" t="s">
        <v>1325</v>
      </c>
    </row>
    <row r="25" spans="1:3" ht="8.25" customHeight="1" x14ac:dyDescent="0.25">
      <c r="A25" s="10" t="s">
        <v>60</v>
      </c>
      <c r="B25" s="12" t="s">
        <v>1465</v>
      </c>
      <c r="C25" s="62" t="s">
        <v>1326</v>
      </c>
    </row>
    <row r="26" spans="1:3" ht="9.75" customHeight="1" x14ac:dyDescent="0.25">
      <c r="A26" s="10" t="s">
        <v>1323</v>
      </c>
      <c r="B26" s="12" t="str">
        <f>_xlfn.TRANSLATE(B24,"pt","en")</f>
        <v>Formalize concepts of elements of Urbanism of Cities in Brazil RJ.</v>
      </c>
      <c r="C26" s="62" t="s">
        <v>1327</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393"/>
  <sheetViews>
    <sheetView zoomScale="220" zoomScaleNormal="220" workbookViewId="0">
      <pane ySplit="1" topLeftCell="A372" activePane="bottomLeft" state="frozen"/>
      <selection pane="bottomLeft" activeCell="D376" sqref="D376"/>
    </sheetView>
  </sheetViews>
  <sheetFormatPr defaultColWidth="9.140625" defaultRowHeight="6.6" customHeight="1" x14ac:dyDescent="0.25"/>
  <cols>
    <col min="1" max="1" width="3.140625" bestFit="1" customWidth="1"/>
    <col min="2" max="2" width="5.7109375" style="38" bestFit="1" customWidth="1"/>
    <col min="3" max="3" width="11.42578125" style="38" bestFit="1" customWidth="1"/>
    <col min="4" max="4" width="10.42578125" style="38" bestFit="1" customWidth="1"/>
    <col min="5" max="5" width="12.85546875" style="38" bestFit="1" customWidth="1"/>
    <col min="6" max="6" width="18.42578125" style="38" bestFit="1" customWidth="1"/>
    <col min="7" max="7" width="14.42578125" style="38" bestFit="1" customWidth="1"/>
    <col min="8" max="8" width="18" style="38" bestFit="1" customWidth="1"/>
    <col min="9" max="9" width="16" style="38" bestFit="1" customWidth="1"/>
    <col min="10" max="10" width="23.42578125" style="38" bestFit="1" customWidth="1"/>
    <col min="11" max="11" width="22.140625" style="38" bestFit="1" customWidth="1"/>
    <col min="12" max="12" width="11.42578125" style="38" bestFit="1" customWidth="1"/>
    <col min="13" max="13" width="10.42578125" style="38" bestFit="1" customWidth="1"/>
    <col min="14" max="14" width="12.85546875" style="38" bestFit="1" customWidth="1"/>
    <col min="15" max="15" width="18.42578125" style="38" bestFit="1" customWidth="1"/>
    <col min="16" max="17" width="255.7109375" style="38" bestFit="1" customWidth="1"/>
    <col min="18" max="18" width="3.7109375" style="38" bestFit="1" customWidth="1"/>
    <col min="19" max="19" width="11.42578125" style="38" bestFit="1" customWidth="1"/>
    <col min="20" max="20" width="10.42578125" style="38" bestFit="1" customWidth="1"/>
    <col min="21" max="21" width="12.85546875" style="38" bestFit="1" customWidth="1"/>
    <col min="22" max="22" width="8.5703125" style="38" bestFit="1" customWidth="1"/>
    <col min="23" max="23" width="9.5703125" style="38" bestFit="1" customWidth="1"/>
    <col min="24" max="24" width="159.28515625" style="38" bestFit="1" customWidth="1"/>
    <col min="25" max="25" width="21" style="38" bestFit="1" customWidth="1"/>
    <col min="26" max="26" width="5.140625" style="38" bestFit="1" customWidth="1"/>
    <col min="27" max="27" width="255.7109375" style="38" bestFit="1" customWidth="1"/>
    <col min="28" max="16384" width="9.140625" style="38"/>
  </cols>
  <sheetData>
    <row r="1" spans="1:27" ht="34.15" customHeight="1" x14ac:dyDescent="0.25">
      <c r="A1" s="14">
        <v>1</v>
      </c>
      <c r="B1" s="15" t="s">
        <v>65</v>
      </c>
      <c r="C1" s="15" t="s">
        <v>66</v>
      </c>
      <c r="D1" s="15" t="s">
        <v>67</v>
      </c>
      <c r="E1" s="15" t="s">
        <v>68</v>
      </c>
      <c r="F1" s="15" t="s">
        <v>69</v>
      </c>
      <c r="G1" s="74" t="s">
        <v>24</v>
      </c>
      <c r="H1" s="74" t="s">
        <v>25</v>
      </c>
      <c r="I1" s="74" t="s">
        <v>26</v>
      </c>
      <c r="J1" s="74" t="s">
        <v>27</v>
      </c>
      <c r="K1" s="74" t="s">
        <v>28</v>
      </c>
      <c r="L1" s="16" t="s">
        <v>31</v>
      </c>
      <c r="M1" s="16" t="s">
        <v>32</v>
      </c>
      <c r="N1" s="16" t="s">
        <v>30</v>
      </c>
      <c r="O1" s="16" t="s">
        <v>29</v>
      </c>
      <c r="P1" s="16" t="s">
        <v>70</v>
      </c>
      <c r="Q1" s="16" t="s">
        <v>71</v>
      </c>
      <c r="R1" s="16" t="s">
        <v>72</v>
      </c>
      <c r="S1" s="16" t="s">
        <v>62</v>
      </c>
      <c r="T1" s="16" t="s">
        <v>73</v>
      </c>
      <c r="U1" s="17" t="s">
        <v>64</v>
      </c>
      <c r="V1" s="16" t="s">
        <v>63</v>
      </c>
      <c r="W1" s="65" t="s">
        <v>0</v>
      </c>
      <c r="X1" s="17" t="s">
        <v>130</v>
      </c>
      <c r="Y1" s="16" t="s">
        <v>129</v>
      </c>
      <c r="Z1" s="16" t="s">
        <v>1321</v>
      </c>
      <c r="AA1" s="61" t="s">
        <v>1320</v>
      </c>
    </row>
    <row r="2" spans="1:27" ht="6" customHeight="1" x14ac:dyDescent="0.25">
      <c r="A2" s="73">
        <v>2</v>
      </c>
      <c r="B2" s="30" t="s">
        <v>1474</v>
      </c>
      <c r="C2" s="30" t="s">
        <v>1446</v>
      </c>
      <c r="D2" s="30" t="s">
        <v>78</v>
      </c>
      <c r="E2" s="46" t="s">
        <v>1475</v>
      </c>
      <c r="F2" s="46" t="s">
        <v>79</v>
      </c>
      <c r="G2" s="75" t="s">
        <v>1</v>
      </c>
      <c r="H2" s="75" t="s">
        <v>1</v>
      </c>
      <c r="I2" s="75" t="s">
        <v>1</v>
      </c>
      <c r="J2" s="75" t="s">
        <v>1</v>
      </c>
      <c r="K2" s="75" t="s">
        <v>1</v>
      </c>
      <c r="L2" s="28" t="str">
        <f t="shared" ref="L2:M6" si="0">CONCATENATE("", C2)</f>
        <v>Gestão</v>
      </c>
      <c r="M2" s="28" t="str">
        <f t="shared" si="0"/>
        <v>Informação</v>
      </c>
      <c r="N2" s="28" t="str">
        <f t="shared" ref="N2:O6" si="1">(SUBSTITUTE(SUBSTITUTE(CONCATENATE("",E2),"."," ")," De "," de "))</f>
        <v>Contêineres</v>
      </c>
      <c r="O2" s="28" t="str">
        <f t="shared" si="1"/>
        <v>Contêiner</v>
      </c>
      <c r="P2" s="29" t="s">
        <v>1337</v>
      </c>
      <c r="Q2" s="29" t="s">
        <v>80</v>
      </c>
      <c r="R2" s="29" t="s">
        <v>1</v>
      </c>
      <c r="S2" s="29" t="str">
        <f t="shared" ref="S2:U6" si="2">SUBSTITUTE(C2, ".", " ")</f>
        <v>Gestão</v>
      </c>
      <c r="T2" s="29" t="str">
        <f t="shared" si="2"/>
        <v>Informação</v>
      </c>
      <c r="U2" s="29" t="str">
        <f t="shared" si="2"/>
        <v>Contêineres</v>
      </c>
      <c r="V2" s="29" t="s">
        <v>1476</v>
      </c>
      <c r="W2" s="66" t="str">
        <f>CONCATENATE("Key-BRMG-",A2)</f>
        <v>Key-BRMG-2</v>
      </c>
      <c r="X2" s="29" t="s">
        <v>1</v>
      </c>
      <c r="Y2" s="29" t="s">
        <v>1</v>
      </c>
      <c r="Z2" s="29" t="s">
        <v>1477</v>
      </c>
      <c r="AA2" s="29" t="str">
        <f t="shared" ref="AA2:AA6" si="3">_xlfn.TRANSLATE(P2,"pt","en")</f>
        <v>Defines an information container in accordance with the NBR 19650-1 standard. Project Definition.</v>
      </c>
    </row>
    <row r="3" spans="1:27" ht="6" customHeight="1" x14ac:dyDescent="0.25">
      <c r="A3" s="73">
        <v>3</v>
      </c>
      <c r="B3" s="30" t="s">
        <v>1474</v>
      </c>
      <c r="C3" s="30" t="s">
        <v>1446</v>
      </c>
      <c r="D3" s="30" t="s">
        <v>78</v>
      </c>
      <c r="E3" s="46" t="s">
        <v>1475</v>
      </c>
      <c r="F3" s="46" t="s">
        <v>1447</v>
      </c>
      <c r="G3" s="75" t="s">
        <v>1</v>
      </c>
      <c r="H3" s="75" t="s">
        <v>1</v>
      </c>
      <c r="I3" s="75" t="s">
        <v>1</v>
      </c>
      <c r="J3" s="75" t="s">
        <v>1</v>
      </c>
      <c r="K3" s="75" t="s">
        <v>1</v>
      </c>
      <c r="L3" s="28" t="str">
        <f t="shared" si="0"/>
        <v>Gestão</v>
      </c>
      <c r="M3" s="28" t="str">
        <f t="shared" si="0"/>
        <v>Informação</v>
      </c>
      <c r="N3" s="28" t="str">
        <f t="shared" si="1"/>
        <v>Contêineres</v>
      </c>
      <c r="O3" s="28" t="str">
        <f t="shared" si="1"/>
        <v>Requisito Espacial</v>
      </c>
      <c r="P3" s="29" t="s">
        <v>1448</v>
      </c>
      <c r="Q3" s="29" t="s">
        <v>80</v>
      </c>
      <c r="R3" s="29" t="s">
        <v>1</v>
      </c>
      <c r="S3" s="29" t="str">
        <f t="shared" si="2"/>
        <v>Gestão</v>
      </c>
      <c r="T3" s="29" t="str">
        <f t="shared" si="2"/>
        <v>Informação</v>
      </c>
      <c r="U3" s="29" t="str">
        <f t="shared" si="2"/>
        <v>Contêineres</v>
      </c>
      <c r="V3" s="29" t="s">
        <v>1476</v>
      </c>
      <c r="W3" s="66" t="str">
        <f t="shared" ref="W3:W66" si="4">CONCATENATE("Key-BRMG-",A3)</f>
        <v>Key-BRMG-3</v>
      </c>
      <c r="X3" s="29" t="s">
        <v>1</v>
      </c>
      <c r="Y3" s="29" t="s">
        <v>1</v>
      </c>
      <c r="Z3" s="29" t="s">
        <v>1</v>
      </c>
      <c r="AA3" s="29" t="str">
        <f t="shared" si="3"/>
        <v>Defines an information container in accordance with the NBR 19650-1 standard. Spatial Requirements for the Project.</v>
      </c>
    </row>
    <row r="4" spans="1:27" ht="6" customHeight="1" x14ac:dyDescent="0.25">
      <c r="A4" s="73">
        <v>4</v>
      </c>
      <c r="B4" s="30" t="s">
        <v>1474</v>
      </c>
      <c r="C4" s="30" t="s">
        <v>1446</v>
      </c>
      <c r="D4" s="30" t="s">
        <v>78</v>
      </c>
      <c r="E4" s="46" t="s">
        <v>1475</v>
      </c>
      <c r="F4" s="46" t="s">
        <v>1449</v>
      </c>
      <c r="G4" s="75" t="s">
        <v>1</v>
      </c>
      <c r="H4" s="75" t="s">
        <v>1</v>
      </c>
      <c r="I4" s="75" t="s">
        <v>1</v>
      </c>
      <c r="J4" s="75" t="s">
        <v>1</v>
      </c>
      <c r="K4" s="75" t="s">
        <v>1</v>
      </c>
      <c r="L4" s="28" t="str">
        <f t="shared" si="0"/>
        <v>Gestão</v>
      </c>
      <c r="M4" s="28" t="str">
        <f t="shared" si="0"/>
        <v>Informação</v>
      </c>
      <c r="N4" s="28" t="str">
        <f t="shared" si="1"/>
        <v>Contêineres</v>
      </c>
      <c r="O4" s="28" t="str">
        <f t="shared" si="1"/>
        <v>Requisito Mobiliário</v>
      </c>
      <c r="P4" s="29" t="s">
        <v>1450</v>
      </c>
      <c r="Q4" s="29" t="s">
        <v>80</v>
      </c>
      <c r="R4" s="29" t="s">
        <v>1</v>
      </c>
      <c r="S4" s="29" t="str">
        <f t="shared" si="2"/>
        <v>Gestão</v>
      </c>
      <c r="T4" s="29" t="str">
        <f t="shared" si="2"/>
        <v>Informação</v>
      </c>
      <c r="U4" s="29" t="str">
        <f t="shared" si="2"/>
        <v>Contêineres</v>
      </c>
      <c r="V4" s="29" t="s">
        <v>1476</v>
      </c>
      <c r="W4" s="66" t="str">
        <f t="shared" si="4"/>
        <v>Key-BRMG-4</v>
      </c>
      <c r="X4" s="29" t="s">
        <v>1</v>
      </c>
      <c r="Y4" s="29" t="s">
        <v>1</v>
      </c>
      <c r="Z4" s="29" t="s">
        <v>1</v>
      </c>
      <c r="AA4" s="29" t="str">
        <f t="shared" si="3"/>
        <v>Defines an information container in accordance with the NBR 19650-1 standard. Furniture Requirements for the Project.</v>
      </c>
    </row>
    <row r="5" spans="1:27" ht="6" customHeight="1" x14ac:dyDescent="0.25">
      <c r="A5" s="73">
        <v>5</v>
      </c>
      <c r="B5" s="30" t="s">
        <v>1474</v>
      </c>
      <c r="C5" s="30" t="s">
        <v>1446</v>
      </c>
      <c r="D5" s="30" t="s">
        <v>78</v>
      </c>
      <c r="E5" s="46" t="s">
        <v>1475</v>
      </c>
      <c r="F5" s="46" t="s">
        <v>1451</v>
      </c>
      <c r="G5" s="75" t="s">
        <v>1</v>
      </c>
      <c r="H5" s="75" t="s">
        <v>1</v>
      </c>
      <c r="I5" s="75" t="s">
        <v>1</v>
      </c>
      <c r="J5" s="75" t="s">
        <v>1</v>
      </c>
      <c r="K5" s="75" t="s">
        <v>1</v>
      </c>
      <c r="L5" s="28" t="str">
        <f t="shared" si="0"/>
        <v>Gestão</v>
      </c>
      <c r="M5" s="28" t="str">
        <f t="shared" si="0"/>
        <v>Informação</v>
      </c>
      <c r="N5" s="28" t="str">
        <f t="shared" si="1"/>
        <v>Contêineres</v>
      </c>
      <c r="O5" s="28" t="str">
        <f t="shared" si="1"/>
        <v>Requisito Equipamento</v>
      </c>
      <c r="P5" s="29" t="s">
        <v>1452</v>
      </c>
      <c r="Q5" s="29" t="s">
        <v>80</v>
      </c>
      <c r="R5" s="29" t="s">
        <v>1</v>
      </c>
      <c r="S5" s="29" t="str">
        <f t="shared" si="2"/>
        <v>Gestão</v>
      </c>
      <c r="T5" s="29" t="str">
        <f t="shared" si="2"/>
        <v>Informação</v>
      </c>
      <c r="U5" s="29" t="str">
        <f t="shared" si="2"/>
        <v>Contêineres</v>
      </c>
      <c r="V5" s="29" t="s">
        <v>1476</v>
      </c>
      <c r="W5" s="66" t="str">
        <f t="shared" si="4"/>
        <v>Key-BRMG-5</v>
      </c>
      <c r="X5" s="29" t="s">
        <v>1</v>
      </c>
      <c r="Y5" s="29" t="s">
        <v>1</v>
      </c>
      <c r="Z5" s="29" t="s">
        <v>1</v>
      </c>
      <c r="AA5" s="29" t="str">
        <f t="shared" si="3"/>
        <v>Defines an information container in accordance with the NBR 19650-1 standard. Equipment Requirements for the Project.</v>
      </c>
    </row>
    <row r="6" spans="1:27" ht="6" customHeight="1" x14ac:dyDescent="0.25">
      <c r="A6" s="73">
        <v>6</v>
      </c>
      <c r="B6" s="30" t="s">
        <v>1474</v>
      </c>
      <c r="C6" s="30" t="s">
        <v>1446</v>
      </c>
      <c r="D6" s="30" t="s">
        <v>78</v>
      </c>
      <c r="E6" s="46" t="s">
        <v>1475</v>
      </c>
      <c r="F6" s="46" t="s">
        <v>1453</v>
      </c>
      <c r="G6" s="75" t="s">
        <v>1</v>
      </c>
      <c r="H6" s="75" t="s">
        <v>1</v>
      </c>
      <c r="I6" s="75" t="s">
        <v>1</v>
      </c>
      <c r="J6" s="75" t="s">
        <v>1</v>
      </c>
      <c r="K6" s="75" t="s">
        <v>1</v>
      </c>
      <c r="L6" s="28" t="str">
        <f t="shared" si="0"/>
        <v>Gestão</v>
      </c>
      <c r="M6" s="28" t="str">
        <f t="shared" si="0"/>
        <v>Informação</v>
      </c>
      <c r="N6" s="28" t="str">
        <f t="shared" si="1"/>
        <v>Contêineres</v>
      </c>
      <c r="O6" s="28" t="str">
        <f t="shared" si="1"/>
        <v>Requisito Sistemas</v>
      </c>
      <c r="P6" s="29" t="s">
        <v>1454</v>
      </c>
      <c r="Q6" s="29" t="s">
        <v>80</v>
      </c>
      <c r="R6" s="29" t="s">
        <v>1</v>
      </c>
      <c r="S6" s="29" t="str">
        <f t="shared" si="2"/>
        <v>Gestão</v>
      </c>
      <c r="T6" s="29" t="str">
        <f t="shared" si="2"/>
        <v>Informação</v>
      </c>
      <c r="U6" s="29" t="str">
        <f t="shared" si="2"/>
        <v>Contêineres</v>
      </c>
      <c r="V6" s="29" t="s">
        <v>1476</v>
      </c>
      <c r="W6" s="66" t="str">
        <f t="shared" si="4"/>
        <v>Key-BRMG-6</v>
      </c>
      <c r="X6" s="29" t="s">
        <v>1</v>
      </c>
      <c r="Y6" s="29" t="s">
        <v>1</v>
      </c>
      <c r="Z6" s="29" t="s">
        <v>1</v>
      </c>
      <c r="AA6" s="29" t="str">
        <f t="shared" si="3"/>
        <v>Defines an information container in accordance with the NBR 19650-1 standard. Building Systems Requirements for the Project.</v>
      </c>
    </row>
    <row r="7" spans="1:27" ht="6.6" customHeight="1" x14ac:dyDescent="0.25">
      <c r="A7" s="73">
        <v>7</v>
      </c>
      <c r="B7" s="30" t="s">
        <v>1474</v>
      </c>
      <c r="C7" s="31" t="s">
        <v>1144</v>
      </c>
      <c r="D7" s="30" t="s">
        <v>1145</v>
      </c>
      <c r="E7" s="30" t="s">
        <v>1146</v>
      </c>
      <c r="F7" s="46" t="s">
        <v>1147</v>
      </c>
      <c r="G7" s="76" t="s">
        <v>1</v>
      </c>
      <c r="H7" s="76" t="s">
        <v>1</v>
      </c>
      <c r="I7" s="76" t="s">
        <v>1</v>
      </c>
      <c r="J7" s="76" t="s">
        <v>1</v>
      </c>
      <c r="K7" s="76" t="s">
        <v>1</v>
      </c>
      <c r="L7" s="28" t="str">
        <f t="shared" ref="L7:O13" si="5">SUBSTITUTE(CONCATENATE("", C7), ".", " ")</f>
        <v>Materialidade</v>
      </c>
      <c r="M7" s="28" t="str">
        <f t="shared" si="5"/>
        <v>Da Tubulação</v>
      </c>
      <c r="N7" s="28" t="str">
        <f t="shared" si="5"/>
        <v>Materiais</v>
      </c>
      <c r="O7" s="28" t="str">
        <f t="shared" si="5"/>
        <v>Tubos de FoFo</v>
      </c>
      <c r="P7" s="44" t="s">
        <v>1148</v>
      </c>
      <c r="Q7" s="44" t="s">
        <v>1189</v>
      </c>
      <c r="R7" s="29" t="s">
        <v>1</v>
      </c>
      <c r="S7" s="29" t="str">
        <f t="shared" ref="S7:U13" si="6">SUBSTITUTE(C7, ".", " ")</f>
        <v>Materialidade</v>
      </c>
      <c r="T7" s="29" t="str">
        <f t="shared" si="6"/>
        <v>Da Tubulação</v>
      </c>
      <c r="U7" s="29" t="str">
        <f t="shared" si="6"/>
        <v>Materiais</v>
      </c>
      <c r="V7" s="29" t="s">
        <v>1476</v>
      </c>
      <c r="W7" s="66" t="str">
        <f t="shared" si="4"/>
        <v>Key-BRMG-7</v>
      </c>
      <c r="X7" s="29" t="s">
        <v>1338</v>
      </c>
      <c r="Y7" s="29" t="s">
        <v>1339</v>
      </c>
      <c r="Z7" s="41" t="s">
        <v>1</v>
      </c>
      <c r="AA7" s="29" t="str">
        <f t="shared" ref="AA7:AA72" si="7">_xlfn.TRANSLATE(P7,"pt","en")</f>
        <v>Cast Iron Pipe for water and sewage networks of basic sanitation.</v>
      </c>
    </row>
    <row r="8" spans="1:27" ht="6.6" customHeight="1" x14ac:dyDescent="0.25">
      <c r="A8" s="73">
        <v>8</v>
      </c>
      <c r="B8" s="30" t="s">
        <v>1474</v>
      </c>
      <c r="C8" s="31" t="s">
        <v>1144</v>
      </c>
      <c r="D8" s="30" t="s">
        <v>1145</v>
      </c>
      <c r="E8" s="30" t="s">
        <v>1146</v>
      </c>
      <c r="F8" s="46" t="s">
        <v>1149</v>
      </c>
      <c r="G8" s="76" t="s">
        <v>1</v>
      </c>
      <c r="H8" s="76" t="s">
        <v>1</v>
      </c>
      <c r="I8" s="76" t="s">
        <v>1</v>
      </c>
      <c r="J8" s="76" t="s">
        <v>1</v>
      </c>
      <c r="K8" s="76" t="s">
        <v>1</v>
      </c>
      <c r="L8" s="28" t="str">
        <f t="shared" si="5"/>
        <v>Materialidade</v>
      </c>
      <c r="M8" s="28" t="str">
        <f t="shared" si="5"/>
        <v>Da Tubulação</v>
      </c>
      <c r="N8" s="28" t="str">
        <f t="shared" si="5"/>
        <v>Materiais</v>
      </c>
      <c r="O8" s="28" t="str">
        <f t="shared" si="5"/>
        <v>Tubos de PVC</v>
      </c>
      <c r="P8" s="44" t="s">
        <v>1150</v>
      </c>
      <c r="Q8" s="44" t="s">
        <v>1190</v>
      </c>
      <c r="R8" s="29" t="s">
        <v>1</v>
      </c>
      <c r="S8" s="29" t="str">
        <f t="shared" si="6"/>
        <v>Materialidade</v>
      </c>
      <c r="T8" s="29" t="str">
        <f t="shared" si="6"/>
        <v>Da Tubulação</v>
      </c>
      <c r="U8" s="29" t="str">
        <f t="shared" si="6"/>
        <v>Materiais</v>
      </c>
      <c r="V8" s="29" t="s">
        <v>1476</v>
      </c>
      <c r="W8" s="66" t="str">
        <f t="shared" si="4"/>
        <v>Key-BRMG-8</v>
      </c>
      <c r="X8" s="29" t="s">
        <v>1338</v>
      </c>
      <c r="Y8" s="29" t="s">
        <v>1339</v>
      </c>
      <c r="Z8" s="41" t="s">
        <v>1</v>
      </c>
      <c r="AA8" s="29" t="str">
        <f t="shared" si="7"/>
        <v>PVC (Polyvinyl Chloride) pipe for domestic water and sewage networks.</v>
      </c>
    </row>
    <row r="9" spans="1:27" ht="6.6" customHeight="1" x14ac:dyDescent="0.25">
      <c r="A9" s="73">
        <v>9</v>
      </c>
      <c r="B9" s="30" t="s">
        <v>1474</v>
      </c>
      <c r="C9" s="31" t="s">
        <v>1144</v>
      </c>
      <c r="D9" s="30" t="s">
        <v>1145</v>
      </c>
      <c r="E9" s="30" t="s">
        <v>1146</v>
      </c>
      <c r="F9" s="46" t="s">
        <v>1151</v>
      </c>
      <c r="G9" s="76" t="s">
        <v>1</v>
      </c>
      <c r="H9" s="76" t="s">
        <v>1</v>
      </c>
      <c r="I9" s="76" t="s">
        <v>1</v>
      </c>
      <c r="J9" s="76" t="s">
        <v>1</v>
      </c>
      <c r="K9" s="76" t="s">
        <v>1</v>
      </c>
      <c r="L9" s="28" t="str">
        <f t="shared" si="5"/>
        <v>Materialidade</v>
      </c>
      <c r="M9" s="28" t="str">
        <f t="shared" si="5"/>
        <v>Da Tubulação</v>
      </c>
      <c r="N9" s="28" t="str">
        <f t="shared" si="5"/>
        <v>Materiais</v>
      </c>
      <c r="O9" s="28" t="str">
        <f t="shared" si="5"/>
        <v>Tubos de PVC O</v>
      </c>
      <c r="P9" s="44" t="s">
        <v>1152</v>
      </c>
      <c r="Q9" s="44" t="s">
        <v>1191</v>
      </c>
      <c r="R9" s="29" t="s">
        <v>1</v>
      </c>
      <c r="S9" s="29" t="str">
        <f t="shared" si="6"/>
        <v>Materialidade</v>
      </c>
      <c r="T9" s="29" t="str">
        <f t="shared" si="6"/>
        <v>Da Tubulação</v>
      </c>
      <c r="U9" s="29" t="str">
        <f t="shared" si="6"/>
        <v>Materiais</v>
      </c>
      <c r="V9" s="29" t="s">
        <v>1476</v>
      </c>
      <c r="W9" s="66" t="str">
        <f t="shared" si="4"/>
        <v>Key-BRMG-9</v>
      </c>
      <c r="X9" s="29" t="s">
        <v>1338</v>
      </c>
      <c r="Y9" s="29" t="s">
        <v>1339</v>
      </c>
      <c r="Z9" s="41" t="s">
        <v>1</v>
      </c>
      <c r="AA9" s="29" t="str">
        <f t="shared" si="7"/>
        <v>Oriented PVC Pipe (Polyvinyl Chloride). More resistant material than normal PVC for water and sewage networks.</v>
      </c>
    </row>
    <row r="10" spans="1:27" ht="6.6" customHeight="1" x14ac:dyDescent="0.25">
      <c r="A10" s="73">
        <v>10</v>
      </c>
      <c r="B10" s="30" t="s">
        <v>1474</v>
      </c>
      <c r="C10" s="31" t="s">
        <v>1144</v>
      </c>
      <c r="D10" s="30" t="s">
        <v>1145</v>
      </c>
      <c r="E10" s="30" t="s">
        <v>1146</v>
      </c>
      <c r="F10" s="46" t="s">
        <v>1153</v>
      </c>
      <c r="G10" s="76" t="s">
        <v>1</v>
      </c>
      <c r="H10" s="76" t="s">
        <v>1</v>
      </c>
      <c r="I10" s="76" t="s">
        <v>1</v>
      </c>
      <c r="J10" s="76" t="s">
        <v>1</v>
      </c>
      <c r="K10" s="76" t="s">
        <v>1</v>
      </c>
      <c r="L10" s="28" t="str">
        <f t="shared" si="5"/>
        <v>Materialidade</v>
      </c>
      <c r="M10" s="28" t="str">
        <f t="shared" si="5"/>
        <v>Da Tubulação</v>
      </c>
      <c r="N10" s="28" t="str">
        <f t="shared" si="5"/>
        <v>Materiais</v>
      </c>
      <c r="O10" s="28" t="str">
        <f t="shared" si="5"/>
        <v>Tubos de Latão</v>
      </c>
      <c r="P10" s="44" t="s">
        <v>1154</v>
      </c>
      <c r="Q10" s="44" t="s">
        <v>1192</v>
      </c>
      <c r="R10" s="29" t="s">
        <v>1</v>
      </c>
      <c r="S10" s="29" t="str">
        <f t="shared" si="6"/>
        <v>Materialidade</v>
      </c>
      <c r="T10" s="29" t="str">
        <f t="shared" si="6"/>
        <v>Da Tubulação</v>
      </c>
      <c r="U10" s="29" t="str">
        <f t="shared" si="6"/>
        <v>Materiais</v>
      </c>
      <c r="V10" s="29" t="s">
        <v>1476</v>
      </c>
      <c r="W10" s="66" t="str">
        <f t="shared" si="4"/>
        <v>Key-BRMG-10</v>
      </c>
      <c r="X10" s="29" t="s">
        <v>1338</v>
      </c>
      <c r="Y10" s="29" t="s">
        <v>1339</v>
      </c>
      <c r="Z10" s="41" t="s">
        <v>1</v>
      </c>
      <c r="AA10" s="29" t="str">
        <f t="shared" si="7"/>
        <v>Brass pipe for water networks.</v>
      </c>
    </row>
    <row r="11" spans="1:27" ht="6.6" customHeight="1" x14ac:dyDescent="0.25">
      <c r="A11" s="73">
        <v>11</v>
      </c>
      <c r="B11" s="30" t="s">
        <v>1474</v>
      </c>
      <c r="C11" s="31" t="s">
        <v>1144</v>
      </c>
      <c r="D11" s="30" t="s">
        <v>1145</v>
      </c>
      <c r="E11" s="30" t="s">
        <v>1146</v>
      </c>
      <c r="F11" s="46" t="s">
        <v>1155</v>
      </c>
      <c r="G11" s="76" t="s">
        <v>1</v>
      </c>
      <c r="H11" s="76" t="s">
        <v>1</v>
      </c>
      <c r="I11" s="76" t="s">
        <v>1</v>
      </c>
      <c r="J11" s="76" t="s">
        <v>1</v>
      </c>
      <c r="K11" s="76" t="s">
        <v>1</v>
      </c>
      <c r="L11" s="28" t="str">
        <f t="shared" si="5"/>
        <v>Materialidade</v>
      </c>
      <c r="M11" s="28" t="str">
        <f t="shared" si="5"/>
        <v>Da Tubulação</v>
      </c>
      <c r="N11" s="28" t="str">
        <f t="shared" si="5"/>
        <v>Materiais</v>
      </c>
      <c r="O11" s="28" t="str">
        <f t="shared" si="5"/>
        <v>Tubos de Cobre</v>
      </c>
      <c r="P11" s="44" t="s">
        <v>1156</v>
      </c>
      <c r="Q11" s="44" t="s">
        <v>1193</v>
      </c>
      <c r="R11" s="29" t="s">
        <v>1</v>
      </c>
      <c r="S11" s="29" t="str">
        <f t="shared" si="6"/>
        <v>Materialidade</v>
      </c>
      <c r="T11" s="29" t="str">
        <f t="shared" si="6"/>
        <v>Da Tubulação</v>
      </c>
      <c r="U11" s="29" t="str">
        <f t="shared" si="6"/>
        <v>Materiais</v>
      </c>
      <c r="V11" s="29" t="s">
        <v>1476</v>
      </c>
      <c r="W11" s="66" t="str">
        <f t="shared" si="4"/>
        <v>Key-BRMG-11</v>
      </c>
      <c r="X11" s="29" t="s">
        <v>1338</v>
      </c>
      <c r="Y11" s="29" t="s">
        <v>1339</v>
      </c>
      <c r="Z11" s="41" t="s">
        <v>1</v>
      </c>
      <c r="AA11" s="29" t="str">
        <f t="shared" si="7"/>
        <v>Copper pipe for hot water or gas networks.</v>
      </c>
    </row>
    <row r="12" spans="1:27" ht="6.6" customHeight="1" x14ac:dyDescent="0.25">
      <c r="A12" s="73">
        <v>12</v>
      </c>
      <c r="B12" s="30" t="s">
        <v>1474</v>
      </c>
      <c r="C12" s="31" t="s">
        <v>1144</v>
      </c>
      <c r="D12" s="30" t="s">
        <v>1145</v>
      </c>
      <c r="E12" s="30" t="s">
        <v>1146</v>
      </c>
      <c r="F12" s="46" t="s">
        <v>1157</v>
      </c>
      <c r="G12" s="76" t="s">
        <v>1</v>
      </c>
      <c r="H12" s="76" t="s">
        <v>1</v>
      </c>
      <c r="I12" s="76" t="s">
        <v>1</v>
      </c>
      <c r="J12" s="76" t="s">
        <v>1</v>
      </c>
      <c r="K12" s="76" t="s">
        <v>1</v>
      </c>
      <c r="L12" s="28" t="str">
        <f t="shared" si="5"/>
        <v>Materialidade</v>
      </c>
      <c r="M12" s="28" t="str">
        <f t="shared" si="5"/>
        <v>Da Tubulação</v>
      </c>
      <c r="N12" s="28" t="str">
        <f t="shared" si="5"/>
        <v>Materiais</v>
      </c>
      <c r="O12" s="28" t="str">
        <f t="shared" si="5"/>
        <v>Tubos de PEAD</v>
      </c>
      <c r="P12" s="44" t="s">
        <v>1158</v>
      </c>
      <c r="Q12" s="44" t="s">
        <v>1159</v>
      </c>
      <c r="R12" s="29" t="s">
        <v>1</v>
      </c>
      <c r="S12" s="29" t="str">
        <f t="shared" si="6"/>
        <v>Materialidade</v>
      </c>
      <c r="T12" s="29" t="str">
        <f t="shared" si="6"/>
        <v>Da Tubulação</v>
      </c>
      <c r="U12" s="29" t="str">
        <f t="shared" si="6"/>
        <v>Materiais</v>
      </c>
      <c r="V12" s="29" t="s">
        <v>1476</v>
      </c>
      <c r="W12" s="66" t="str">
        <f t="shared" si="4"/>
        <v>Key-BRMG-12</v>
      </c>
      <c r="X12" s="29" t="s">
        <v>1338</v>
      </c>
      <c r="Y12" s="29" t="s">
        <v>1339</v>
      </c>
      <c r="Z12" s="41" t="s">
        <v>1</v>
      </c>
      <c r="AA12" s="29" t="str">
        <f t="shared" si="7"/>
        <v>HDPE (High Density Polyethylene) thermofusion tube.</v>
      </c>
    </row>
    <row r="13" spans="1:27" ht="6.6" customHeight="1" x14ac:dyDescent="0.25">
      <c r="A13" s="73">
        <v>13</v>
      </c>
      <c r="B13" s="30" t="s">
        <v>1474</v>
      </c>
      <c r="C13" s="31" t="s">
        <v>1144</v>
      </c>
      <c r="D13" s="30" t="s">
        <v>1145</v>
      </c>
      <c r="E13" s="30" t="s">
        <v>1146</v>
      </c>
      <c r="F13" s="46" t="s">
        <v>1160</v>
      </c>
      <c r="G13" s="76" t="s">
        <v>1</v>
      </c>
      <c r="H13" s="76" t="s">
        <v>1</v>
      </c>
      <c r="I13" s="76" t="s">
        <v>1</v>
      </c>
      <c r="J13" s="76" t="s">
        <v>1</v>
      </c>
      <c r="K13" s="76" t="s">
        <v>1</v>
      </c>
      <c r="L13" s="28" t="str">
        <f t="shared" si="5"/>
        <v>Materialidade</v>
      </c>
      <c r="M13" s="28" t="str">
        <f t="shared" si="5"/>
        <v>Da Tubulação</v>
      </c>
      <c r="N13" s="28" t="str">
        <f t="shared" si="5"/>
        <v>Materiais</v>
      </c>
      <c r="O13" s="28" t="str">
        <f t="shared" si="5"/>
        <v>Tubos de Aço</v>
      </c>
      <c r="P13" s="44" t="s">
        <v>1161</v>
      </c>
      <c r="Q13" s="44" t="s">
        <v>1162</v>
      </c>
      <c r="R13" s="29" t="s">
        <v>1</v>
      </c>
      <c r="S13" s="29" t="str">
        <f t="shared" si="6"/>
        <v>Materialidade</v>
      </c>
      <c r="T13" s="29" t="str">
        <f t="shared" si="6"/>
        <v>Da Tubulação</v>
      </c>
      <c r="U13" s="29" t="str">
        <f t="shared" si="6"/>
        <v>Materiais</v>
      </c>
      <c r="V13" s="29" t="s">
        <v>1476</v>
      </c>
      <c r="W13" s="66" t="str">
        <f t="shared" si="4"/>
        <v>Key-BRMG-13</v>
      </c>
      <c r="X13" s="29" t="s">
        <v>1338</v>
      </c>
      <c r="Y13" s="29" t="s">
        <v>1339</v>
      </c>
      <c r="Z13" s="41" t="s">
        <v>1</v>
      </c>
      <c r="AA13" s="29" t="str">
        <f t="shared" si="7"/>
        <v>Steel pipe for plumbing.</v>
      </c>
    </row>
    <row r="14" spans="1:27" ht="6.6" customHeight="1" x14ac:dyDescent="0.25">
      <c r="A14" s="73">
        <v>14</v>
      </c>
      <c r="B14" s="30" t="s">
        <v>1474</v>
      </c>
      <c r="C14" s="45" t="s">
        <v>860</v>
      </c>
      <c r="D14" s="45" t="s">
        <v>859</v>
      </c>
      <c r="E14" s="45" t="s">
        <v>861</v>
      </c>
      <c r="F14" s="45" t="s">
        <v>620</v>
      </c>
      <c r="G14" s="76" t="str">
        <f>_xlfn.CONCAT("é.nomeado some ",B14)</f>
        <v>é.nomeado some Conceito</v>
      </c>
      <c r="H14" s="76" t="str">
        <f>_xlfn.CONCAT("é.nomeada some ",C14)</f>
        <v>é.nomeada some Fronteiras</v>
      </c>
      <c r="I14" s="76" t="s">
        <v>1</v>
      </c>
      <c r="J14" s="76" t="s">
        <v>1</v>
      </c>
      <c r="K14" s="76" t="s">
        <v>1</v>
      </c>
      <c r="L14" s="44" t="str">
        <f t="shared" ref="L14:L100" si="8">_xlfn.CONCAT(SUBSTITUTE(C14,"1.",""))</f>
        <v>Fronteiras</v>
      </c>
      <c r="M14" s="44" t="str">
        <f>_xlfn.CONCAT(SUBSTITUTE(D14,"."," "))</f>
        <v>Geográficas</v>
      </c>
      <c r="N14" s="44" t="str">
        <f>_xlfn.CONCAT(SUBSTITUTE(E14,"."," "))</f>
        <v>Naturais</v>
      </c>
      <c r="O14" s="44" t="str">
        <f>_xlfn.CONCAT(SUBSTITUTE(F14,"."," "))</f>
        <v>Continente</v>
      </c>
      <c r="P14" s="44" t="s">
        <v>1017</v>
      </c>
      <c r="Q14" s="44" t="s">
        <v>620</v>
      </c>
      <c r="R14" s="29" t="s">
        <v>1</v>
      </c>
      <c r="S14" s="29" t="str">
        <f t="shared" ref="S14:S96" si="9">SUBSTITUTE(C14, ".", " ")</f>
        <v>Fronteiras</v>
      </c>
      <c r="T14" s="29" t="str">
        <f t="shared" ref="T14:T96" si="10">SUBSTITUTE(D14, ".", " ")</f>
        <v>Geográficas</v>
      </c>
      <c r="U14" s="29" t="str">
        <f t="shared" ref="U14:U96" si="11">SUBSTITUTE(E14, ".", " ")</f>
        <v>Naturais</v>
      </c>
      <c r="V14" s="29" t="s">
        <v>1476</v>
      </c>
      <c r="W14" s="66" t="str">
        <f t="shared" si="4"/>
        <v>Key-BRMG-14</v>
      </c>
      <c r="X14" s="29" t="s">
        <v>1</v>
      </c>
      <c r="Y14" s="29" t="s">
        <v>1</v>
      </c>
      <c r="Z14" s="41" t="s">
        <v>1</v>
      </c>
      <c r="AA14" s="29" t="str">
        <f t="shared" si="7"/>
        <v>Continent.</v>
      </c>
    </row>
    <row r="15" spans="1:27" ht="6.6" customHeight="1" x14ac:dyDescent="0.25">
      <c r="A15" s="73">
        <v>15</v>
      </c>
      <c r="B15" s="30" t="s">
        <v>1474</v>
      </c>
      <c r="C15" s="45" t="s">
        <v>860</v>
      </c>
      <c r="D15" s="45" t="s">
        <v>859</v>
      </c>
      <c r="E15" s="45" t="s">
        <v>861</v>
      </c>
      <c r="F15" s="45" t="s">
        <v>621</v>
      </c>
      <c r="G15" s="76" t="s">
        <v>1</v>
      </c>
      <c r="H15" s="76" t="s">
        <v>1</v>
      </c>
      <c r="I15" s="76" t="s">
        <v>1</v>
      </c>
      <c r="J15" s="76" t="s">
        <v>1</v>
      </c>
      <c r="K15" s="76" t="s">
        <v>1</v>
      </c>
      <c r="L15" s="44" t="str">
        <f t="shared" si="8"/>
        <v>Fronteiras</v>
      </c>
      <c r="M15" s="44" t="str">
        <f t="shared" ref="M15:O59" si="12">_xlfn.CONCAT(SUBSTITUTE(D15,"."," "))</f>
        <v>Geográficas</v>
      </c>
      <c r="N15" s="44" t="str">
        <f t="shared" si="12"/>
        <v>Naturais</v>
      </c>
      <c r="O15" s="44" t="str">
        <f t="shared" si="12"/>
        <v>SubContinente</v>
      </c>
      <c r="P15" s="44" t="s">
        <v>1029</v>
      </c>
      <c r="Q15" s="44" t="s">
        <v>621</v>
      </c>
      <c r="R15" s="29" t="s">
        <v>1</v>
      </c>
      <c r="S15" s="29" t="str">
        <f t="shared" si="9"/>
        <v>Fronteiras</v>
      </c>
      <c r="T15" s="29" t="str">
        <f t="shared" si="10"/>
        <v>Geográficas</v>
      </c>
      <c r="U15" s="29" t="str">
        <f t="shared" si="11"/>
        <v>Naturais</v>
      </c>
      <c r="V15" s="29" t="s">
        <v>1476</v>
      </c>
      <c r="W15" s="66" t="str">
        <f t="shared" si="4"/>
        <v>Key-BRMG-15</v>
      </c>
      <c r="X15" s="29" t="s">
        <v>1</v>
      </c>
      <c r="Y15" s="29" t="s">
        <v>1</v>
      </c>
      <c r="Z15" s="41" t="s">
        <v>1</v>
      </c>
      <c r="AA15" s="29" t="str">
        <f t="shared" si="7"/>
        <v>SubContinent.</v>
      </c>
    </row>
    <row r="16" spans="1:27" ht="6.6" customHeight="1" x14ac:dyDescent="0.25">
      <c r="A16" s="73">
        <v>16</v>
      </c>
      <c r="B16" s="30" t="s">
        <v>1474</v>
      </c>
      <c r="C16" s="45" t="s">
        <v>860</v>
      </c>
      <c r="D16" s="45" t="s">
        <v>859</v>
      </c>
      <c r="E16" s="45" t="s">
        <v>861</v>
      </c>
      <c r="F16" s="45" t="s">
        <v>622</v>
      </c>
      <c r="G16" s="76" t="s">
        <v>1</v>
      </c>
      <c r="H16" s="76" t="s">
        <v>1</v>
      </c>
      <c r="I16" s="76" t="s">
        <v>1</v>
      </c>
      <c r="J16" s="76" t="s">
        <v>1</v>
      </c>
      <c r="K16" s="76" t="s">
        <v>1</v>
      </c>
      <c r="L16" s="44" t="str">
        <f t="shared" si="8"/>
        <v>Fronteiras</v>
      </c>
      <c r="M16" s="44" t="str">
        <f t="shared" si="12"/>
        <v>Geográficas</v>
      </c>
      <c r="N16" s="44" t="str">
        <f t="shared" si="12"/>
        <v>Naturais</v>
      </c>
      <c r="O16" s="44" t="str">
        <f t="shared" si="12"/>
        <v>Bioma</v>
      </c>
      <c r="P16" s="44" t="s">
        <v>1018</v>
      </c>
      <c r="Q16" s="44" t="s">
        <v>623</v>
      </c>
      <c r="R16" s="29" t="s">
        <v>1</v>
      </c>
      <c r="S16" s="29" t="str">
        <f t="shared" si="9"/>
        <v>Fronteiras</v>
      </c>
      <c r="T16" s="29" t="str">
        <f t="shared" si="10"/>
        <v>Geográficas</v>
      </c>
      <c r="U16" s="29" t="str">
        <f t="shared" si="11"/>
        <v>Naturais</v>
      </c>
      <c r="V16" s="29" t="s">
        <v>1476</v>
      </c>
      <c r="W16" s="66" t="str">
        <f t="shared" si="4"/>
        <v>Key-BRMG-16</v>
      </c>
      <c r="X16" s="29" t="s">
        <v>1</v>
      </c>
      <c r="Y16" s="29" t="s">
        <v>1</v>
      </c>
      <c r="Z16" s="41" t="s">
        <v>1</v>
      </c>
      <c r="AA16" s="29" t="str">
        <f t="shared" si="7"/>
        <v>Region that defines characteristics of life in the natural environment.</v>
      </c>
    </row>
    <row r="17" spans="1:27" ht="6.6" customHeight="1" x14ac:dyDescent="0.25">
      <c r="A17" s="73">
        <v>17</v>
      </c>
      <c r="B17" s="30" t="s">
        <v>1474</v>
      </c>
      <c r="C17" s="45" t="s">
        <v>860</v>
      </c>
      <c r="D17" s="45" t="s">
        <v>859</v>
      </c>
      <c r="E17" s="45" t="s">
        <v>862</v>
      </c>
      <c r="F17" s="45" t="s">
        <v>624</v>
      </c>
      <c r="G17" s="76" t="s">
        <v>1</v>
      </c>
      <c r="H17" s="76" t="s">
        <v>1</v>
      </c>
      <c r="I17" s="76" t="s">
        <v>1</v>
      </c>
      <c r="J17" s="76" t="s">
        <v>1</v>
      </c>
      <c r="K17" s="76" t="str">
        <f>_xlfn.CONCAT("é.dentro.de some ",F14)</f>
        <v>é.dentro.de some Continente</v>
      </c>
      <c r="L17" s="44" t="str">
        <f t="shared" si="8"/>
        <v>Fronteiras</v>
      </c>
      <c r="M17" s="44" t="str">
        <f t="shared" si="12"/>
        <v>Geográficas</v>
      </c>
      <c r="N17" s="44" t="str">
        <f t="shared" si="12"/>
        <v>Políticas</v>
      </c>
      <c r="O17" s="44" t="str">
        <f t="shared" si="12"/>
        <v>País</v>
      </c>
      <c r="P17" s="44" t="s">
        <v>1019</v>
      </c>
      <c r="Q17" s="44" t="s">
        <v>624</v>
      </c>
      <c r="R17" s="29" t="s">
        <v>1</v>
      </c>
      <c r="S17" s="29" t="str">
        <f t="shared" si="9"/>
        <v>Fronteiras</v>
      </c>
      <c r="T17" s="29" t="str">
        <f t="shared" si="10"/>
        <v>Geográficas</v>
      </c>
      <c r="U17" s="29" t="str">
        <f t="shared" si="11"/>
        <v>Políticas</v>
      </c>
      <c r="V17" s="29" t="s">
        <v>1476</v>
      </c>
      <c r="W17" s="66" t="str">
        <f t="shared" si="4"/>
        <v>Key-BRMG-17</v>
      </c>
      <c r="X17" s="29" t="s">
        <v>1</v>
      </c>
      <c r="Y17" s="29" t="s">
        <v>1340</v>
      </c>
      <c r="Z17" s="41" t="s">
        <v>1</v>
      </c>
      <c r="AA17" s="29" t="str">
        <f t="shared" si="7"/>
        <v>Country.</v>
      </c>
    </row>
    <row r="18" spans="1:27" ht="6.6" customHeight="1" x14ac:dyDescent="0.25">
      <c r="A18" s="73">
        <v>18</v>
      </c>
      <c r="B18" s="30" t="s">
        <v>1474</v>
      </c>
      <c r="C18" s="45" t="s">
        <v>860</v>
      </c>
      <c r="D18" s="45" t="s">
        <v>859</v>
      </c>
      <c r="E18" s="45" t="s">
        <v>862</v>
      </c>
      <c r="F18" s="45" t="s">
        <v>625</v>
      </c>
      <c r="G18" s="76" t="s">
        <v>1</v>
      </c>
      <c r="H18" s="76" t="s">
        <v>1</v>
      </c>
      <c r="I18" s="76" t="s">
        <v>1</v>
      </c>
      <c r="J18" s="76" t="s">
        <v>1</v>
      </c>
      <c r="K18" s="76" t="s">
        <v>1</v>
      </c>
      <c r="L18" s="44" t="str">
        <f t="shared" si="8"/>
        <v>Fronteiras</v>
      </c>
      <c r="M18" s="44" t="str">
        <f t="shared" si="12"/>
        <v>Geográficas</v>
      </c>
      <c r="N18" s="44" t="str">
        <f t="shared" si="12"/>
        <v>Políticas</v>
      </c>
      <c r="O18" s="44" t="str">
        <f t="shared" si="12"/>
        <v>Nação</v>
      </c>
      <c r="P18" s="44" t="s">
        <v>625</v>
      </c>
      <c r="Q18" s="44" t="s">
        <v>626</v>
      </c>
      <c r="R18" s="29" t="s">
        <v>1</v>
      </c>
      <c r="S18" s="29" t="str">
        <f t="shared" si="9"/>
        <v>Fronteiras</v>
      </c>
      <c r="T18" s="29" t="str">
        <f t="shared" si="10"/>
        <v>Geográficas</v>
      </c>
      <c r="U18" s="29" t="str">
        <f t="shared" si="11"/>
        <v>Políticas</v>
      </c>
      <c r="V18" s="29" t="s">
        <v>1476</v>
      </c>
      <c r="W18" s="66" t="str">
        <f t="shared" si="4"/>
        <v>Key-BRMG-18</v>
      </c>
      <c r="X18" s="29" t="s">
        <v>1</v>
      </c>
      <c r="Y18" s="29" t="s">
        <v>1340</v>
      </c>
      <c r="Z18" s="41" t="s">
        <v>1</v>
      </c>
      <c r="AA18" s="29" t="str">
        <f t="shared" si="7"/>
        <v>Nation</v>
      </c>
    </row>
    <row r="19" spans="1:27" ht="6.6" customHeight="1" x14ac:dyDescent="0.25">
      <c r="A19" s="73">
        <v>19</v>
      </c>
      <c r="B19" s="30" t="s">
        <v>1474</v>
      </c>
      <c r="C19" s="45" t="s">
        <v>860</v>
      </c>
      <c r="D19" s="45" t="s">
        <v>859</v>
      </c>
      <c r="E19" s="45" t="s">
        <v>862</v>
      </c>
      <c r="F19" s="45" t="s">
        <v>627</v>
      </c>
      <c r="G19" s="76" t="s">
        <v>1</v>
      </c>
      <c r="H19" s="76" t="s">
        <v>1</v>
      </c>
      <c r="I19" s="76" t="s">
        <v>1</v>
      </c>
      <c r="J19" s="76" t="s">
        <v>1</v>
      </c>
      <c r="K19" s="76" t="s">
        <v>628</v>
      </c>
      <c r="L19" s="44" t="str">
        <f t="shared" ref="L19:L20" si="13">_xlfn.CONCAT(SUBSTITUTE(C19,"1.",""))</f>
        <v>Fronteiras</v>
      </c>
      <c r="M19" s="44" t="str">
        <f t="shared" ref="M19:M20" si="14">_xlfn.CONCAT(SUBSTITUTE(D19,"."," "))</f>
        <v>Geográficas</v>
      </c>
      <c r="N19" s="44" t="str">
        <f t="shared" ref="N19:N20" si="15">_xlfn.CONCAT(SUBSTITUTE(E19,"."," "))</f>
        <v>Políticas</v>
      </c>
      <c r="O19" s="44" t="str">
        <f t="shared" ref="O19:O20" si="16">_xlfn.CONCAT(SUBSTITUTE(F19,"."," "))</f>
        <v>Região</v>
      </c>
      <c r="P19" s="77" t="s">
        <v>1464</v>
      </c>
      <c r="Q19" s="44" t="str">
        <f>_xlfn.TRANSLATE(P19,"pt","es")</f>
        <v>Región geográfica de Brasil. de Brasil hay 5 regiones geográficas principales.</v>
      </c>
      <c r="R19" s="29" t="s">
        <v>1</v>
      </c>
      <c r="S19" s="29" t="str">
        <f t="shared" ref="S19:S20" si="17">SUBSTITUTE(C19, ".", " ")</f>
        <v>Fronteiras</v>
      </c>
      <c r="T19" s="29" t="str">
        <f t="shared" ref="T19:T20" si="18">SUBSTITUTE(D19, ".", " ")</f>
        <v>Geográficas</v>
      </c>
      <c r="U19" s="29" t="str">
        <f t="shared" ref="U19:U20" si="19">SUBSTITUTE(E19, ".", " ")</f>
        <v>Políticas</v>
      </c>
      <c r="V19" s="29" t="s">
        <v>1476</v>
      </c>
      <c r="W19" s="66" t="str">
        <f t="shared" si="4"/>
        <v>Key-BRMG-19</v>
      </c>
      <c r="X19" s="29" t="s">
        <v>1</v>
      </c>
      <c r="Y19" s="29" t="s">
        <v>1340</v>
      </c>
      <c r="Z19" s="41" t="s">
        <v>1</v>
      </c>
      <c r="AA19" s="29" t="str">
        <f t="shared" ref="AA19:AA20" si="20">_xlfn.TRANSLATE(P19,"pt","en")</f>
        <v>Geographic Region of Brazil. of Brazil there are 5 main Geographic Regions.</v>
      </c>
    </row>
    <row r="20" spans="1:27" ht="6.6" customHeight="1" x14ac:dyDescent="0.25">
      <c r="A20" s="73">
        <v>20</v>
      </c>
      <c r="B20" s="30" t="s">
        <v>1474</v>
      </c>
      <c r="C20" s="45" t="s">
        <v>860</v>
      </c>
      <c r="D20" s="45" t="s">
        <v>859</v>
      </c>
      <c r="E20" s="45" t="s">
        <v>862</v>
      </c>
      <c r="F20" s="45" t="s">
        <v>1461</v>
      </c>
      <c r="G20" s="76" t="s">
        <v>1</v>
      </c>
      <c r="H20" s="76" t="s">
        <v>1</v>
      </c>
      <c r="I20" s="76" t="s">
        <v>1</v>
      </c>
      <c r="J20" s="76" t="s">
        <v>1</v>
      </c>
      <c r="K20" s="76" t="s">
        <v>628</v>
      </c>
      <c r="L20" s="44" t="str">
        <f t="shared" si="13"/>
        <v>Fronteiras</v>
      </c>
      <c r="M20" s="44" t="str">
        <f t="shared" si="14"/>
        <v>Geográficas</v>
      </c>
      <c r="N20" s="44" t="str">
        <f t="shared" si="15"/>
        <v>Políticas</v>
      </c>
      <c r="O20" s="44" t="str">
        <f t="shared" si="16"/>
        <v>Região Intermediária</v>
      </c>
      <c r="P20" s="77" t="s">
        <v>1463</v>
      </c>
      <c r="Q20" s="44" t="str">
        <f t="shared" ref="Q20:Q21" si="21">_xlfn.TRANSLATE(P20,"pt","es")</f>
        <v>Región geográfica intermedia. Definidas por el IBGE de Brasil, existen 133 Regiones Geográficas Intermedias, de mayor escala, que se articulan por capitales regionales o grandes centros urbanos.</v>
      </c>
      <c r="R20" s="29" t="s">
        <v>1</v>
      </c>
      <c r="S20" s="29" t="str">
        <f t="shared" si="17"/>
        <v>Fronteiras</v>
      </c>
      <c r="T20" s="29" t="str">
        <f t="shared" si="18"/>
        <v>Geográficas</v>
      </c>
      <c r="U20" s="29" t="str">
        <f t="shared" si="19"/>
        <v>Políticas</v>
      </c>
      <c r="V20" s="29" t="s">
        <v>1476</v>
      </c>
      <c r="W20" s="66" t="str">
        <f t="shared" si="4"/>
        <v>Key-BRMG-20</v>
      </c>
      <c r="X20" s="29" t="s">
        <v>1</v>
      </c>
      <c r="Y20" s="29" t="s">
        <v>1340</v>
      </c>
      <c r="Z20" s="41" t="s">
        <v>1</v>
      </c>
      <c r="AA20" s="29" t="str">
        <f t="shared" si="20"/>
        <v>Intermediate Geographic Region. Defined by the IBGE of Brazil, there are 133 Intermediate Geographic Regions, of a larger scale, which are articulated by regional capitals or large urban centers.</v>
      </c>
    </row>
    <row r="21" spans="1:27" ht="6.6" customHeight="1" x14ac:dyDescent="0.25">
      <c r="A21" s="73">
        <v>21</v>
      </c>
      <c r="B21" s="30" t="s">
        <v>1474</v>
      </c>
      <c r="C21" s="45" t="s">
        <v>860</v>
      </c>
      <c r="D21" s="45" t="s">
        <v>859</v>
      </c>
      <c r="E21" s="45" t="s">
        <v>862</v>
      </c>
      <c r="F21" s="45" t="s">
        <v>1459</v>
      </c>
      <c r="G21" s="76" t="s">
        <v>1</v>
      </c>
      <c r="H21" s="76" t="s">
        <v>1</v>
      </c>
      <c r="I21" s="76" t="s">
        <v>1</v>
      </c>
      <c r="J21" s="76" t="s">
        <v>1</v>
      </c>
      <c r="K21" s="76" t="s">
        <v>628</v>
      </c>
      <c r="L21" s="44" t="str">
        <f t="shared" si="8"/>
        <v>Fronteiras</v>
      </c>
      <c r="M21" s="44" t="str">
        <f t="shared" si="12"/>
        <v>Geográficas</v>
      </c>
      <c r="N21" s="44" t="str">
        <f t="shared" si="12"/>
        <v>Políticas</v>
      </c>
      <c r="O21" s="44" t="str">
        <f t="shared" si="12"/>
        <v>Região Imediata</v>
      </c>
      <c r="P21" s="77" t="s">
        <v>1462</v>
      </c>
      <c r="Q21" s="44" t="str">
        <f t="shared" si="21"/>
        <v>Región geográfica inmediata. Definida por el IBGE de Brasil, hay 510 regiones geográficas de menor escala, articuladas por ciudades medianas y pequeñas.</v>
      </c>
      <c r="R21" s="29" t="s">
        <v>1</v>
      </c>
      <c r="S21" s="29" t="str">
        <f t="shared" si="9"/>
        <v>Fronteiras</v>
      </c>
      <c r="T21" s="29" t="str">
        <f t="shared" si="10"/>
        <v>Geográficas</v>
      </c>
      <c r="U21" s="29" t="str">
        <f t="shared" si="11"/>
        <v>Políticas</v>
      </c>
      <c r="V21" s="29" t="s">
        <v>1476</v>
      </c>
      <c r="W21" s="66" t="str">
        <f t="shared" si="4"/>
        <v>Key-BRMG-21</v>
      </c>
      <c r="X21" s="29" t="s">
        <v>1</v>
      </c>
      <c r="Y21" s="29" t="s">
        <v>1340</v>
      </c>
      <c r="Z21" s="41" t="s">
        <v>1</v>
      </c>
      <c r="AA21" s="29" t="str">
        <f t="shared" si="7"/>
        <v>Immediate geographic region. Defined by the IBGE of Brazil, there are 510 Geographic Regions of smaller scale, they are articulated by medium and small cities.</v>
      </c>
    </row>
    <row r="22" spans="1:27" ht="6.6" customHeight="1" x14ac:dyDescent="0.25">
      <c r="A22" s="73">
        <v>22</v>
      </c>
      <c r="B22" s="30" t="s">
        <v>1474</v>
      </c>
      <c r="C22" s="45" t="s">
        <v>860</v>
      </c>
      <c r="D22" s="45" t="s">
        <v>859</v>
      </c>
      <c r="E22" s="45" t="s">
        <v>862</v>
      </c>
      <c r="F22" s="45" t="s">
        <v>629</v>
      </c>
      <c r="G22" s="76" t="s">
        <v>1</v>
      </c>
      <c r="H22" s="76" t="s">
        <v>1</v>
      </c>
      <c r="I22" s="76" t="s">
        <v>1</v>
      </c>
      <c r="J22" s="76" t="s">
        <v>1</v>
      </c>
      <c r="K22" s="76" t="str">
        <f>_xlfn.CONCAT("é.dentro.de some ",F17)</f>
        <v>é.dentro.de some País</v>
      </c>
      <c r="L22" s="44" t="str">
        <f t="shared" si="8"/>
        <v>Fronteiras</v>
      </c>
      <c r="M22" s="44" t="str">
        <f t="shared" si="12"/>
        <v>Geográficas</v>
      </c>
      <c r="N22" s="44" t="str">
        <f t="shared" si="12"/>
        <v>Políticas</v>
      </c>
      <c r="O22" s="44" t="str">
        <f t="shared" si="12"/>
        <v>Estado</v>
      </c>
      <c r="P22" s="44" t="s">
        <v>1020</v>
      </c>
      <c r="Q22" s="44" t="s">
        <v>629</v>
      </c>
      <c r="R22" s="29" t="s">
        <v>1</v>
      </c>
      <c r="S22" s="29" t="str">
        <f t="shared" si="9"/>
        <v>Fronteiras</v>
      </c>
      <c r="T22" s="29" t="str">
        <f t="shared" si="10"/>
        <v>Geográficas</v>
      </c>
      <c r="U22" s="29" t="str">
        <f t="shared" si="11"/>
        <v>Políticas</v>
      </c>
      <c r="V22" s="29" t="s">
        <v>1476</v>
      </c>
      <c r="W22" s="66" t="str">
        <f t="shared" si="4"/>
        <v>Key-BRMG-22</v>
      </c>
      <c r="X22" s="29" t="s">
        <v>1</v>
      </c>
      <c r="Y22" s="29" t="s">
        <v>1340</v>
      </c>
      <c r="Z22" s="41" t="s">
        <v>1</v>
      </c>
      <c r="AA22" s="29" t="str">
        <f t="shared" si="7"/>
        <v>State.</v>
      </c>
    </row>
    <row r="23" spans="1:27" ht="6.6" customHeight="1" x14ac:dyDescent="0.25">
      <c r="A23" s="73">
        <v>23</v>
      </c>
      <c r="B23" s="30" t="s">
        <v>1474</v>
      </c>
      <c r="C23" s="45" t="s">
        <v>860</v>
      </c>
      <c r="D23" s="45" t="s">
        <v>859</v>
      </c>
      <c r="E23" s="45" t="s">
        <v>862</v>
      </c>
      <c r="F23" s="45" t="s">
        <v>630</v>
      </c>
      <c r="G23" s="76" t="s">
        <v>1</v>
      </c>
      <c r="H23" s="76" t="s">
        <v>1</v>
      </c>
      <c r="I23" s="76" t="s">
        <v>1</v>
      </c>
      <c r="J23" s="76" t="s">
        <v>1</v>
      </c>
      <c r="K23" s="76" t="s">
        <v>1</v>
      </c>
      <c r="L23" s="44" t="str">
        <f t="shared" si="8"/>
        <v>Fronteiras</v>
      </c>
      <c r="M23" s="44" t="str">
        <f t="shared" si="12"/>
        <v>Geográficas</v>
      </c>
      <c r="N23" s="44" t="str">
        <f t="shared" si="12"/>
        <v>Políticas</v>
      </c>
      <c r="O23" s="44" t="str">
        <f t="shared" si="12"/>
        <v>UF</v>
      </c>
      <c r="P23" s="44" t="s">
        <v>1021</v>
      </c>
      <c r="Q23" s="44" t="s">
        <v>631</v>
      </c>
      <c r="R23" s="29" t="s">
        <v>1</v>
      </c>
      <c r="S23" s="29" t="str">
        <f t="shared" si="9"/>
        <v>Fronteiras</v>
      </c>
      <c r="T23" s="29" t="str">
        <f t="shared" si="10"/>
        <v>Geográficas</v>
      </c>
      <c r="U23" s="29" t="str">
        <f t="shared" si="11"/>
        <v>Políticas</v>
      </c>
      <c r="V23" s="29" t="s">
        <v>1476</v>
      </c>
      <c r="W23" s="66" t="str">
        <f t="shared" si="4"/>
        <v>Key-BRMG-23</v>
      </c>
      <c r="X23" s="29" t="s">
        <v>1</v>
      </c>
      <c r="Y23" s="29" t="s">
        <v>1340</v>
      </c>
      <c r="Z23" s="41" t="s">
        <v>1</v>
      </c>
      <c r="AA23" s="29" t="str">
        <f t="shared" si="7"/>
        <v>Federative Unit of Brazil.</v>
      </c>
    </row>
    <row r="24" spans="1:27" ht="6.6" customHeight="1" x14ac:dyDescent="0.25">
      <c r="A24" s="73">
        <v>24</v>
      </c>
      <c r="B24" s="30" t="s">
        <v>1474</v>
      </c>
      <c r="C24" s="45" t="s">
        <v>860</v>
      </c>
      <c r="D24" s="45" t="s">
        <v>859</v>
      </c>
      <c r="E24" s="45" t="s">
        <v>862</v>
      </c>
      <c r="F24" s="45" t="s">
        <v>632</v>
      </c>
      <c r="G24" s="76" t="s">
        <v>1</v>
      </c>
      <c r="H24" s="76" t="s">
        <v>1</v>
      </c>
      <c r="I24" s="76" t="s">
        <v>1</v>
      </c>
      <c r="J24" s="76" t="s">
        <v>1</v>
      </c>
      <c r="K24" s="76" t="str">
        <f>_xlfn.CONCAT("é.dentro.de some ",F18)</f>
        <v>é.dentro.de some Nação</v>
      </c>
      <c r="L24" s="44" t="str">
        <f t="shared" si="8"/>
        <v>Fronteiras</v>
      </c>
      <c r="M24" s="44" t="str">
        <f t="shared" si="12"/>
        <v>Geográficas</v>
      </c>
      <c r="N24" s="44" t="str">
        <f t="shared" si="12"/>
        <v>Políticas</v>
      </c>
      <c r="O24" s="44" t="str">
        <f t="shared" si="12"/>
        <v>Província</v>
      </c>
      <c r="P24" s="44" t="s">
        <v>1022</v>
      </c>
      <c r="Q24" s="44" t="s">
        <v>633</v>
      </c>
      <c r="R24" s="29" t="s">
        <v>1</v>
      </c>
      <c r="S24" s="29" t="str">
        <f t="shared" si="9"/>
        <v>Fronteiras</v>
      </c>
      <c r="T24" s="29" t="str">
        <f t="shared" si="10"/>
        <v>Geográficas</v>
      </c>
      <c r="U24" s="29" t="str">
        <f t="shared" si="11"/>
        <v>Políticas</v>
      </c>
      <c r="V24" s="29" t="s">
        <v>1476</v>
      </c>
      <c r="W24" s="66" t="str">
        <f t="shared" si="4"/>
        <v>Key-BRMG-24</v>
      </c>
      <c r="X24" s="29" t="s">
        <v>1</v>
      </c>
      <c r="Y24" s="29" t="s">
        <v>1340</v>
      </c>
      <c r="Z24" s="41" t="s">
        <v>1</v>
      </c>
      <c r="AA24" s="29" t="str">
        <f t="shared" si="7"/>
        <v>Province.</v>
      </c>
    </row>
    <row r="25" spans="1:27" ht="6.6" customHeight="1" x14ac:dyDescent="0.25">
      <c r="A25" s="73">
        <v>25</v>
      </c>
      <c r="B25" s="30" t="s">
        <v>1474</v>
      </c>
      <c r="C25" s="45" t="s">
        <v>860</v>
      </c>
      <c r="D25" s="45" t="s">
        <v>859</v>
      </c>
      <c r="E25" s="45" t="s">
        <v>862</v>
      </c>
      <c r="F25" s="45" t="s">
        <v>634</v>
      </c>
      <c r="G25" s="76" t="s">
        <v>1</v>
      </c>
      <c r="H25" s="76" t="s">
        <v>1</v>
      </c>
      <c r="I25" s="76" t="s">
        <v>1</v>
      </c>
      <c r="J25" s="76" t="s">
        <v>1</v>
      </c>
      <c r="K25" s="76" t="str">
        <f>_xlfn.CONCAT("é.dentro.de some ",F22)</f>
        <v>é.dentro.de some Estado</v>
      </c>
      <c r="L25" s="44" t="str">
        <f t="shared" si="8"/>
        <v>Fronteiras</v>
      </c>
      <c r="M25" s="44" t="str">
        <f t="shared" si="12"/>
        <v>Geográficas</v>
      </c>
      <c r="N25" s="44" t="str">
        <f t="shared" si="12"/>
        <v>Políticas</v>
      </c>
      <c r="O25" s="44" t="str">
        <f t="shared" si="12"/>
        <v>Capital</v>
      </c>
      <c r="P25" s="44" t="s">
        <v>1023</v>
      </c>
      <c r="Q25" s="44" t="s">
        <v>634</v>
      </c>
      <c r="R25" s="29" t="s">
        <v>1</v>
      </c>
      <c r="S25" s="29" t="str">
        <f t="shared" si="9"/>
        <v>Fronteiras</v>
      </c>
      <c r="T25" s="29" t="str">
        <f t="shared" si="10"/>
        <v>Geográficas</v>
      </c>
      <c r="U25" s="29" t="str">
        <f t="shared" si="11"/>
        <v>Políticas</v>
      </c>
      <c r="V25" s="29" t="s">
        <v>1476</v>
      </c>
      <c r="W25" s="66" t="str">
        <f t="shared" si="4"/>
        <v>Key-BRMG-25</v>
      </c>
      <c r="X25" s="29" t="s">
        <v>1</v>
      </c>
      <c r="Y25" s="29" t="s">
        <v>1340</v>
      </c>
      <c r="Z25" s="41" t="s">
        <v>1</v>
      </c>
      <c r="AA25" s="29" t="str">
        <f t="shared" si="7"/>
        <v>Capital.</v>
      </c>
    </row>
    <row r="26" spans="1:27" ht="6.6" customHeight="1" x14ac:dyDescent="0.25">
      <c r="A26" s="73">
        <v>26</v>
      </c>
      <c r="B26" s="30" t="s">
        <v>1474</v>
      </c>
      <c r="C26" s="45" t="s">
        <v>860</v>
      </c>
      <c r="D26" s="45" t="s">
        <v>859</v>
      </c>
      <c r="E26" s="45" t="s">
        <v>862</v>
      </c>
      <c r="F26" s="45" t="s">
        <v>58</v>
      </c>
      <c r="G26" s="76" t="s">
        <v>1</v>
      </c>
      <c r="H26" s="76" t="s">
        <v>1</v>
      </c>
      <c r="I26" s="76" t="s">
        <v>1</v>
      </c>
      <c r="J26" s="76" t="s">
        <v>1</v>
      </c>
      <c r="K26" s="76" t="str">
        <f>_xlfn.CONCAT("é.dentro.de some ",F22)</f>
        <v>é.dentro.de some Estado</v>
      </c>
      <c r="L26" s="44" t="str">
        <f t="shared" si="8"/>
        <v>Fronteiras</v>
      </c>
      <c r="M26" s="44" t="str">
        <f t="shared" si="12"/>
        <v>Geográficas</v>
      </c>
      <c r="N26" s="44" t="str">
        <f t="shared" si="12"/>
        <v>Políticas</v>
      </c>
      <c r="O26" s="44" t="str">
        <f t="shared" si="12"/>
        <v>Cidade</v>
      </c>
      <c r="P26" s="44" t="s">
        <v>1024</v>
      </c>
      <c r="Q26" s="44" t="s">
        <v>635</v>
      </c>
      <c r="R26" s="29" t="s">
        <v>1</v>
      </c>
      <c r="S26" s="29" t="str">
        <f t="shared" si="9"/>
        <v>Fronteiras</v>
      </c>
      <c r="T26" s="29" t="str">
        <f t="shared" si="10"/>
        <v>Geográficas</v>
      </c>
      <c r="U26" s="29" t="str">
        <f t="shared" si="11"/>
        <v>Políticas</v>
      </c>
      <c r="V26" s="29" t="s">
        <v>1476</v>
      </c>
      <c r="W26" s="66" t="str">
        <f t="shared" si="4"/>
        <v>Key-BRMG-26</v>
      </c>
      <c r="X26" s="29" t="s">
        <v>1</v>
      </c>
      <c r="Y26" s="29" t="s">
        <v>1340</v>
      </c>
      <c r="Z26" s="41" t="s">
        <v>1</v>
      </c>
      <c r="AA26" s="29" t="str">
        <f t="shared" si="7"/>
        <v>City.</v>
      </c>
    </row>
    <row r="27" spans="1:27" ht="6.6" customHeight="1" x14ac:dyDescent="0.25">
      <c r="A27" s="73">
        <v>27</v>
      </c>
      <c r="B27" s="30" t="s">
        <v>1474</v>
      </c>
      <c r="C27" s="45" t="s">
        <v>860</v>
      </c>
      <c r="D27" s="45" t="s">
        <v>859</v>
      </c>
      <c r="E27" s="45" t="s">
        <v>862</v>
      </c>
      <c r="F27" s="45" t="s">
        <v>636</v>
      </c>
      <c r="G27" s="76" t="s">
        <v>1</v>
      </c>
      <c r="H27" s="76" t="s">
        <v>1</v>
      </c>
      <c r="I27" s="76" t="s">
        <v>1</v>
      </c>
      <c r="J27" s="76" t="s">
        <v>1</v>
      </c>
      <c r="K27" s="76" t="str">
        <f>_xlfn.CONCAT("é.dentro.de some ",F22)</f>
        <v>é.dentro.de some Estado</v>
      </c>
      <c r="L27" s="44" t="str">
        <f t="shared" si="8"/>
        <v>Fronteiras</v>
      </c>
      <c r="M27" s="44" t="str">
        <f t="shared" si="12"/>
        <v>Geográficas</v>
      </c>
      <c r="N27" s="44" t="str">
        <f t="shared" si="12"/>
        <v>Políticas</v>
      </c>
      <c r="O27" s="44" t="str">
        <f t="shared" si="12"/>
        <v>Metrópoli</v>
      </c>
      <c r="P27" s="44" t="s">
        <v>1025</v>
      </c>
      <c r="Q27" s="44" t="s">
        <v>636</v>
      </c>
      <c r="R27" s="29" t="s">
        <v>1</v>
      </c>
      <c r="S27" s="29" t="str">
        <f t="shared" si="9"/>
        <v>Fronteiras</v>
      </c>
      <c r="T27" s="29" t="str">
        <f t="shared" si="10"/>
        <v>Geográficas</v>
      </c>
      <c r="U27" s="29" t="str">
        <f t="shared" si="11"/>
        <v>Políticas</v>
      </c>
      <c r="V27" s="29" t="s">
        <v>1476</v>
      </c>
      <c r="W27" s="66" t="str">
        <f t="shared" si="4"/>
        <v>Key-BRMG-27</v>
      </c>
      <c r="X27" s="29" t="s">
        <v>1</v>
      </c>
      <c r="Y27" s="29" t="s">
        <v>1340</v>
      </c>
      <c r="Z27" s="41" t="s">
        <v>1</v>
      </c>
      <c r="AA27" s="29" t="str">
        <f t="shared" si="7"/>
        <v>Metropolis.</v>
      </c>
    </row>
    <row r="28" spans="1:27" ht="6.6" customHeight="1" x14ac:dyDescent="0.25">
      <c r="A28" s="73">
        <v>28</v>
      </c>
      <c r="B28" s="30" t="s">
        <v>1474</v>
      </c>
      <c r="C28" s="45" t="s">
        <v>860</v>
      </c>
      <c r="D28" s="45" t="s">
        <v>859</v>
      </c>
      <c r="E28" s="45" t="s">
        <v>862</v>
      </c>
      <c r="F28" s="45" t="s">
        <v>637</v>
      </c>
      <c r="G28" s="76" t="s">
        <v>1</v>
      </c>
      <c r="H28" s="76" t="s">
        <v>1</v>
      </c>
      <c r="I28" s="76" t="s">
        <v>1</v>
      </c>
      <c r="J28" s="76" t="s">
        <v>1</v>
      </c>
      <c r="K28" s="76" t="str">
        <f>_xlfn.CONCAT("é.dentro.de some ",F23)</f>
        <v>é.dentro.de some UF</v>
      </c>
      <c r="L28" s="44" t="str">
        <f t="shared" si="8"/>
        <v>Fronteiras</v>
      </c>
      <c r="M28" s="44" t="str">
        <f t="shared" si="12"/>
        <v>Geográficas</v>
      </c>
      <c r="N28" s="44" t="str">
        <f t="shared" si="12"/>
        <v>Políticas</v>
      </c>
      <c r="O28" s="44" t="str">
        <f t="shared" si="12"/>
        <v>Município</v>
      </c>
      <c r="P28" s="44" t="s">
        <v>1026</v>
      </c>
      <c r="Q28" s="44" t="s">
        <v>638</v>
      </c>
      <c r="R28" s="29" t="s">
        <v>1</v>
      </c>
      <c r="S28" s="29" t="str">
        <f t="shared" si="9"/>
        <v>Fronteiras</v>
      </c>
      <c r="T28" s="29" t="str">
        <f t="shared" si="10"/>
        <v>Geográficas</v>
      </c>
      <c r="U28" s="29" t="str">
        <f t="shared" si="11"/>
        <v>Políticas</v>
      </c>
      <c r="V28" s="29" t="s">
        <v>1476</v>
      </c>
      <c r="W28" s="66" t="str">
        <f t="shared" si="4"/>
        <v>Key-BRMG-28</v>
      </c>
      <c r="X28" s="29" t="s">
        <v>1</v>
      </c>
      <c r="Y28" s="29" t="s">
        <v>1340</v>
      </c>
      <c r="Z28" s="41" t="s">
        <v>1</v>
      </c>
      <c r="AA28" s="29" t="str">
        <f t="shared" si="7"/>
        <v>Municipality.</v>
      </c>
    </row>
    <row r="29" spans="1:27" ht="6.6" customHeight="1" x14ac:dyDescent="0.25">
      <c r="A29" s="73">
        <v>29</v>
      </c>
      <c r="B29" s="30" t="s">
        <v>1474</v>
      </c>
      <c r="C29" s="45" t="s">
        <v>860</v>
      </c>
      <c r="D29" s="45" t="s">
        <v>863</v>
      </c>
      <c r="E29" s="45" t="s">
        <v>864</v>
      </c>
      <c r="F29" s="45" t="s">
        <v>639</v>
      </c>
      <c r="G29" s="76" t="s">
        <v>1</v>
      </c>
      <c r="H29" s="76" t="s">
        <v>1</v>
      </c>
      <c r="I29" s="76" t="s">
        <v>1</v>
      </c>
      <c r="J29" s="76" t="s">
        <v>1</v>
      </c>
      <c r="K29" s="76" t="str">
        <f>_xlfn.CONCAT("é.dentro.de some ",E29)</f>
        <v>é.dentro.de some Bioclimáticas</v>
      </c>
      <c r="L29" s="44" t="str">
        <f t="shared" ref="L29:L31" si="22">_xlfn.CONCAT(SUBSTITUTE(C29,"1.",""))</f>
        <v>Fronteiras</v>
      </c>
      <c r="M29" s="44" t="str">
        <f t="shared" ref="M29:M31" si="23">_xlfn.CONCAT(SUBSTITUTE(D29,"."," "))</f>
        <v>Térmicas</v>
      </c>
      <c r="N29" s="44" t="str">
        <f t="shared" ref="N29:N31" si="24">_xlfn.CONCAT(SUBSTITUTE(E29,"."," "))</f>
        <v>Bioclimáticas</v>
      </c>
      <c r="O29" s="44" t="str">
        <f t="shared" ref="O29:O31" si="25">_xlfn.CONCAT(SUBSTITUTE(F29,"."," "))</f>
        <v>Região Climática</v>
      </c>
      <c r="P29" s="44" t="s">
        <v>1027</v>
      </c>
      <c r="Q29" s="44" t="s">
        <v>640</v>
      </c>
      <c r="R29" s="29" t="s">
        <v>1</v>
      </c>
      <c r="S29" s="29" t="str">
        <f t="shared" si="9"/>
        <v>Fronteiras</v>
      </c>
      <c r="T29" s="29" t="str">
        <f t="shared" si="10"/>
        <v>Térmicas</v>
      </c>
      <c r="U29" s="29" t="str">
        <f t="shared" si="11"/>
        <v>Bioclimáticas</v>
      </c>
      <c r="V29" s="29" t="s">
        <v>1476</v>
      </c>
      <c r="W29" s="66" t="str">
        <f t="shared" si="4"/>
        <v>Key-BRMG-29</v>
      </c>
      <c r="X29" s="29" t="s">
        <v>1341</v>
      </c>
      <c r="Y29" s="29" t="s">
        <v>1340</v>
      </c>
      <c r="Z29" s="41" t="s">
        <v>1</v>
      </c>
      <c r="AA29" s="29" t="str">
        <f t="shared" si="7"/>
        <v>Climatic region.</v>
      </c>
    </row>
    <row r="30" spans="1:27" ht="6.6" customHeight="1" x14ac:dyDescent="0.25">
      <c r="A30" s="73">
        <v>30</v>
      </c>
      <c r="B30" s="30" t="s">
        <v>1474</v>
      </c>
      <c r="C30" s="45" t="s">
        <v>860</v>
      </c>
      <c r="D30" s="45" t="s">
        <v>863</v>
      </c>
      <c r="E30" s="45" t="s">
        <v>864</v>
      </c>
      <c r="F30" s="45" t="s">
        <v>641</v>
      </c>
      <c r="G30" s="76" t="s">
        <v>1</v>
      </c>
      <c r="H30" s="76" t="s">
        <v>1</v>
      </c>
      <c r="I30" s="76" t="s">
        <v>1</v>
      </c>
      <c r="J30" s="76" t="s">
        <v>1</v>
      </c>
      <c r="K30" s="76" t="str">
        <f>_xlfn.CONCAT("é.dentro.de some ",E30)</f>
        <v>é.dentro.de some Bioclimáticas</v>
      </c>
      <c r="L30" s="44" t="str">
        <f t="shared" si="22"/>
        <v>Fronteiras</v>
      </c>
      <c r="M30" s="44" t="str">
        <f t="shared" si="23"/>
        <v>Térmicas</v>
      </c>
      <c r="N30" s="44" t="str">
        <f t="shared" si="24"/>
        <v>Bioclimáticas</v>
      </c>
      <c r="O30" s="44" t="str">
        <f t="shared" si="25"/>
        <v>Zona Climática</v>
      </c>
      <c r="P30" s="44" t="s">
        <v>1028</v>
      </c>
      <c r="Q30" s="44" t="s">
        <v>642</v>
      </c>
      <c r="R30" s="29" t="s">
        <v>1</v>
      </c>
      <c r="S30" s="29" t="str">
        <f t="shared" si="9"/>
        <v>Fronteiras</v>
      </c>
      <c r="T30" s="29" t="str">
        <f t="shared" si="10"/>
        <v>Térmicas</v>
      </c>
      <c r="U30" s="29" t="str">
        <f t="shared" si="11"/>
        <v>Bioclimáticas</v>
      </c>
      <c r="V30" s="29" t="s">
        <v>1476</v>
      </c>
      <c r="W30" s="66" t="str">
        <f t="shared" si="4"/>
        <v>Key-BRMG-30</v>
      </c>
      <c r="X30" s="29" t="s">
        <v>1341</v>
      </c>
      <c r="Y30" s="29" t="s">
        <v>1340</v>
      </c>
      <c r="Z30" s="41" t="s">
        <v>1</v>
      </c>
      <c r="AA30" s="29" t="str">
        <f t="shared" si="7"/>
        <v>Climate zone.</v>
      </c>
    </row>
    <row r="31" spans="1:27" ht="6.6" customHeight="1" x14ac:dyDescent="0.25">
      <c r="A31" s="73">
        <v>31</v>
      </c>
      <c r="B31" s="30" t="s">
        <v>1474</v>
      </c>
      <c r="C31" s="45" t="s">
        <v>860</v>
      </c>
      <c r="D31" s="45" t="s">
        <v>863</v>
      </c>
      <c r="E31" s="45" t="s">
        <v>865</v>
      </c>
      <c r="F31" s="45" t="s">
        <v>643</v>
      </c>
      <c r="G31" s="76" t="s">
        <v>1</v>
      </c>
      <c r="H31" s="76" t="s">
        <v>1</v>
      </c>
      <c r="I31" s="76" t="s">
        <v>1</v>
      </c>
      <c r="J31" s="76" t="s">
        <v>1</v>
      </c>
      <c r="K31" s="76" t="str">
        <f>_xlfn.CONCAT("é.dentro.de some ",E31)</f>
        <v>é.dentro.de some Ilhas.de.Calor</v>
      </c>
      <c r="L31" s="44" t="str">
        <f t="shared" si="22"/>
        <v>Fronteiras</v>
      </c>
      <c r="M31" s="44" t="str">
        <f t="shared" si="23"/>
        <v>Térmicas</v>
      </c>
      <c r="N31" s="44" t="str">
        <f t="shared" si="24"/>
        <v>Ilhas de Calor</v>
      </c>
      <c r="O31" s="44" t="str">
        <f t="shared" si="25"/>
        <v>Zona Climática Local</v>
      </c>
      <c r="P31" s="44" t="s">
        <v>1030</v>
      </c>
      <c r="Q31" s="44" t="s">
        <v>644</v>
      </c>
      <c r="R31" s="29" t="s">
        <v>1</v>
      </c>
      <c r="S31" s="29" t="str">
        <f t="shared" si="9"/>
        <v>Fronteiras</v>
      </c>
      <c r="T31" s="29" t="str">
        <f t="shared" si="10"/>
        <v>Térmicas</v>
      </c>
      <c r="U31" s="29" t="str">
        <f t="shared" si="11"/>
        <v>Ilhas de Calor</v>
      </c>
      <c r="V31" s="29" t="s">
        <v>1476</v>
      </c>
      <c r="W31" s="66" t="str">
        <f t="shared" si="4"/>
        <v>Key-BRMG-31</v>
      </c>
      <c r="X31" s="29" t="s">
        <v>1341</v>
      </c>
      <c r="Y31" s="29" t="s">
        <v>1340</v>
      </c>
      <c r="Z31" s="41" t="s">
        <v>1</v>
      </c>
      <c r="AA31" s="29" t="str">
        <f t="shared" si="7"/>
        <v>Local climate zone (FTZ) according to Stewart and Oke's methodology for qualifying heat islands in urban areas.</v>
      </c>
    </row>
    <row r="32" spans="1:27" ht="6.6" customHeight="1" x14ac:dyDescent="0.25">
      <c r="A32" s="73">
        <v>32</v>
      </c>
      <c r="B32" s="30" t="s">
        <v>1474</v>
      </c>
      <c r="C32" s="45" t="s">
        <v>860</v>
      </c>
      <c r="D32" s="45" t="s">
        <v>1001</v>
      </c>
      <c r="E32" s="30" t="s">
        <v>1002</v>
      </c>
      <c r="F32" s="46" t="s">
        <v>847</v>
      </c>
      <c r="G32" s="76" t="s">
        <v>1</v>
      </c>
      <c r="H32" s="76" t="s">
        <v>1</v>
      </c>
      <c r="I32" s="76" t="s">
        <v>1</v>
      </c>
      <c r="J32" s="76" t="s">
        <v>1</v>
      </c>
      <c r="K32" s="76" t="s">
        <v>1</v>
      </c>
      <c r="L32" s="28" t="str">
        <f t="shared" ref="L32:L42" si="26">CONCATENATE("", C32)</f>
        <v>Fronteiras</v>
      </c>
      <c r="M32" s="28" t="str">
        <f t="shared" ref="M32:M42" si="27">CONCATENATE("", D32)</f>
        <v>Demarcadas</v>
      </c>
      <c r="N32" s="28" t="str">
        <f t="shared" ref="N32:N42" si="28">(SUBSTITUTE(SUBSTITUTE(CONCATENATE("",E32),"."," ")," De "," de "))</f>
        <v>Marcos</v>
      </c>
      <c r="O32" s="29" t="str">
        <f t="shared" ref="O32:O42" si="29">F32</f>
        <v>Marco.Referencial</v>
      </c>
      <c r="P32" s="29" t="s">
        <v>822</v>
      </c>
      <c r="Q32" s="29" t="s">
        <v>823</v>
      </c>
      <c r="R32" s="29" t="s">
        <v>1</v>
      </c>
      <c r="S32" s="29" t="str">
        <f t="shared" ref="S32:S42" si="30">SUBSTITUTE(C32, "_", " ")</f>
        <v>Fronteiras</v>
      </c>
      <c r="T32" s="29" t="str">
        <f t="shared" ref="T32:T42" si="31">SUBSTITUTE(D32, "_", " ")</f>
        <v>Demarcadas</v>
      </c>
      <c r="U32" s="29" t="str">
        <f t="shared" si="11"/>
        <v>Marcos</v>
      </c>
      <c r="V32" s="29" t="s">
        <v>1476</v>
      </c>
      <c r="W32" s="66" t="str">
        <f t="shared" si="4"/>
        <v>Key-BRMG-32</v>
      </c>
      <c r="X32" s="29" t="s">
        <v>1</v>
      </c>
      <c r="Y32" s="41" t="s">
        <v>1385</v>
      </c>
      <c r="Z32" s="41" t="s">
        <v>1</v>
      </c>
      <c r="AA32" s="29" t="str">
        <f t="shared" si="7"/>
        <v>Ifcreferent defines a position at a specific offset along an alignment curve.</v>
      </c>
    </row>
    <row r="33" spans="1:27" ht="6.6" customHeight="1" x14ac:dyDescent="0.25">
      <c r="A33" s="73">
        <v>33</v>
      </c>
      <c r="B33" s="30" t="s">
        <v>1474</v>
      </c>
      <c r="C33" s="45" t="s">
        <v>860</v>
      </c>
      <c r="D33" s="45" t="s">
        <v>1001</v>
      </c>
      <c r="E33" s="30" t="s">
        <v>1002</v>
      </c>
      <c r="F33" s="46" t="s">
        <v>848</v>
      </c>
      <c r="G33" s="76" t="s">
        <v>1</v>
      </c>
      <c r="H33" s="76" t="s">
        <v>1</v>
      </c>
      <c r="I33" s="76" t="s">
        <v>1</v>
      </c>
      <c r="J33" s="76" t="s">
        <v>1</v>
      </c>
      <c r="K33" s="76" t="s">
        <v>1</v>
      </c>
      <c r="L33" s="28" t="str">
        <f t="shared" si="26"/>
        <v>Fronteiras</v>
      </c>
      <c r="M33" s="28" t="str">
        <f t="shared" si="27"/>
        <v>Demarcadas</v>
      </c>
      <c r="N33" s="28" t="str">
        <f t="shared" si="28"/>
        <v>Marcos</v>
      </c>
      <c r="O33" s="29" t="str">
        <f t="shared" si="29"/>
        <v>Marco.de.Fronteira</v>
      </c>
      <c r="P33" s="29" t="s">
        <v>824</v>
      </c>
      <c r="Q33" s="29" t="s">
        <v>825</v>
      </c>
      <c r="R33" s="29" t="s">
        <v>1</v>
      </c>
      <c r="S33" s="29" t="str">
        <f t="shared" si="30"/>
        <v>Fronteiras</v>
      </c>
      <c r="T33" s="29" t="str">
        <f t="shared" si="31"/>
        <v>Demarcadas</v>
      </c>
      <c r="U33" s="29" t="str">
        <f t="shared" si="11"/>
        <v>Marcos</v>
      </c>
      <c r="V33" s="29" t="s">
        <v>1476</v>
      </c>
      <c r="W33" s="66" t="str">
        <f t="shared" si="4"/>
        <v>Key-BRMG-33</v>
      </c>
      <c r="X33" s="29" t="s">
        <v>1</v>
      </c>
      <c r="Y33" s="41" t="s">
        <v>1386</v>
      </c>
      <c r="Z33" s="41" t="s">
        <v>1</v>
      </c>
      <c r="AA33" s="29" t="str">
        <f t="shared" si="7"/>
        <v>Represents where an administrative (city or state) or maintenance boundary (different companies or regionals) intersects the linear element (rails or roads) being measured.</v>
      </c>
    </row>
    <row r="34" spans="1:27" ht="6.6" customHeight="1" x14ac:dyDescent="0.25">
      <c r="A34" s="73">
        <v>34</v>
      </c>
      <c r="B34" s="30" t="s">
        <v>1474</v>
      </c>
      <c r="C34" s="45" t="s">
        <v>860</v>
      </c>
      <c r="D34" s="45" t="s">
        <v>1001</v>
      </c>
      <c r="E34" s="30" t="s">
        <v>1002</v>
      </c>
      <c r="F34" s="46" t="s">
        <v>849</v>
      </c>
      <c r="G34" s="76" t="s">
        <v>1</v>
      </c>
      <c r="H34" s="76" t="s">
        <v>1</v>
      </c>
      <c r="I34" s="76" t="s">
        <v>1</v>
      </c>
      <c r="J34" s="76" t="s">
        <v>1</v>
      </c>
      <c r="K34" s="76" t="s">
        <v>1</v>
      </c>
      <c r="L34" s="28" t="str">
        <f t="shared" si="26"/>
        <v>Fronteiras</v>
      </c>
      <c r="M34" s="28" t="str">
        <f t="shared" si="27"/>
        <v>Demarcadas</v>
      </c>
      <c r="N34" s="28" t="str">
        <f t="shared" si="28"/>
        <v>Marcos</v>
      </c>
      <c r="O34" s="29" t="str">
        <f t="shared" si="29"/>
        <v>Marco.de.Cruzamento</v>
      </c>
      <c r="P34" s="29" t="s">
        <v>826</v>
      </c>
      <c r="Q34" s="29" t="s">
        <v>827</v>
      </c>
      <c r="R34" s="29" t="s">
        <v>1</v>
      </c>
      <c r="S34" s="29" t="str">
        <f t="shared" si="30"/>
        <v>Fronteiras</v>
      </c>
      <c r="T34" s="29" t="str">
        <f t="shared" si="31"/>
        <v>Demarcadas</v>
      </c>
      <c r="U34" s="29" t="str">
        <f t="shared" si="11"/>
        <v>Marcos</v>
      </c>
      <c r="V34" s="29" t="s">
        <v>1476</v>
      </c>
      <c r="W34" s="66" t="str">
        <f t="shared" si="4"/>
        <v>Key-BRMG-34</v>
      </c>
      <c r="X34" s="29" t="s">
        <v>1</v>
      </c>
      <c r="Y34" s="41" t="s">
        <v>1387</v>
      </c>
      <c r="Z34" s="41" t="s">
        <v>1</v>
      </c>
      <c r="AA34" s="29" t="str">
        <f t="shared" si="7"/>
        <v>It is the location of an intersection specified by the name of the referent. the intersection location of the intersection's street reference lines. it is not precise or deterministic.</v>
      </c>
    </row>
    <row r="35" spans="1:27" ht="6.6" customHeight="1" x14ac:dyDescent="0.25">
      <c r="A35" s="73">
        <v>35</v>
      </c>
      <c r="B35" s="30" t="s">
        <v>1474</v>
      </c>
      <c r="C35" s="45" t="s">
        <v>860</v>
      </c>
      <c r="D35" s="45" t="s">
        <v>1001</v>
      </c>
      <c r="E35" s="30" t="s">
        <v>1002</v>
      </c>
      <c r="F35" s="46" t="s">
        <v>850</v>
      </c>
      <c r="G35" s="76" t="s">
        <v>1</v>
      </c>
      <c r="H35" s="76" t="s">
        <v>1</v>
      </c>
      <c r="I35" s="76" t="s">
        <v>1</v>
      </c>
      <c r="J35" s="76" t="s">
        <v>1</v>
      </c>
      <c r="K35" s="76" t="s">
        <v>1</v>
      </c>
      <c r="L35" s="28" t="str">
        <f t="shared" ref="L35" si="32">CONCATENATE("", C35)</f>
        <v>Fronteiras</v>
      </c>
      <c r="M35" s="28" t="str">
        <f t="shared" ref="M35" si="33">CONCATENATE("", D35)</f>
        <v>Demarcadas</v>
      </c>
      <c r="N35" s="28" t="str">
        <f t="shared" ref="N35" si="34">(SUBSTITUTE(SUBSTITUTE(CONCATENATE("",E35),"."," ")," De "," de "))</f>
        <v>Marcos</v>
      </c>
      <c r="O35" s="29" t="str">
        <f t="shared" ref="O35" si="35">F35</f>
        <v>Marco.de.Localização</v>
      </c>
      <c r="P35" s="29" t="s">
        <v>834</v>
      </c>
      <c r="Q35" s="29" t="s">
        <v>835</v>
      </c>
      <c r="R35" s="29" t="s">
        <v>1</v>
      </c>
      <c r="S35" s="29" t="str">
        <f t="shared" ref="S35" si="36">SUBSTITUTE(C35, "_", " ")</f>
        <v>Fronteiras</v>
      </c>
      <c r="T35" s="29" t="str">
        <f t="shared" ref="T35" si="37">SUBSTITUTE(D35, "_", " ")</f>
        <v>Demarcadas</v>
      </c>
      <c r="U35" s="29" t="str">
        <f t="shared" ref="U35" si="38">SUBSTITUTE(E35, ".", " ")</f>
        <v>Marcos</v>
      </c>
      <c r="V35" s="29" t="s">
        <v>1476</v>
      </c>
      <c r="W35" s="66" t="str">
        <f t="shared" si="4"/>
        <v>Key-BRMG-35</v>
      </c>
      <c r="X35" s="29" t="s">
        <v>1</v>
      </c>
      <c r="Y35" s="41" t="s">
        <v>1388</v>
      </c>
      <c r="Z35" s="41" t="s">
        <v>1</v>
      </c>
      <c r="AA35" s="29" t="str">
        <f t="shared" si="7"/>
        <v>Used to completely describe a linearly referenced location, given by the line element.</v>
      </c>
    </row>
    <row r="36" spans="1:27" ht="6.6" customHeight="1" x14ac:dyDescent="0.25">
      <c r="A36" s="73">
        <v>36</v>
      </c>
      <c r="B36" s="30" t="s">
        <v>1474</v>
      </c>
      <c r="C36" s="45" t="s">
        <v>860</v>
      </c>
      <c r="D36" s="45" t="s">
        <v>1001</v>
      </c>
      <c r="E36" s="30" t="s">
        <v>1002</v>
      </c>
      <c r="F36" s="46" t="s">
        <v>844</v>
      </c>
      <c r="G36" s="76" t="s">
        <v>1</v>
      </c>
      <c r="H36" s="76" t="s">
        <v>1</v>
      </c>
      <c r="I36" s="76" t="s">
        <v>1</v>
      </c>
      <c r="J36" s="76" t="s">
        <v>1</v>
      </c>
      <c r="K36" s="76" t="s">
        <v>1</v>
      </c>
      <c r="L36" s="28" t="str">
        <f t="shared" si="26"/>
        <v>Fronteiras</v>
      </c>
      <c r="M36" s="28" t="str">
        <f t="shared" si="27"/>
        <v>Demarcadas</v>
      </c>
      <c r="N36" s="28" t="str">
        <f t="shared" si="28"/>
        <v>Marcos</v>
      </c>
      <c r="O36" s="29" t="str">
        <f t="shared" si="29"/>
        <v>Marco.Quilométrico</v>
      </c>
      <c r="P36" s="29" t="s">
        <v>828</v>
      </c>
      <c r="Q36" s="29" t="s">
        <v>829</v>
      </c>
      <c r="R36" s="29" t="s">
        <v>1</v>
      </c>
      <c r="S36" s="29" t="str">
        <f t="shared" si="30"/>
        <v>Fronteiras</v>
      </c>
      <c r="T36" s="29" t="str">
        <f t="shared" si="31"/>
        <v>Demarcadas</v>
      </c>
      <c r="U36" s="29" t="str">
        <f t="shared" si="11"/>
        <v>Marcos</v>
      </c>
      <c r="V36" s="29" t="s">
        <v>1476</v>
      </c>
      <c r="W36" s="66" t="str">
        <f t="shared" si="4"/>
        <v>Key-BRMG-36</v>
      </c>
      <c r="X36" s="29" t="s">
        <v>1</v>
      </c>
      <c r="Y36" s="41" t="s">
        <v>1389</v>
      </c>
      <c r="Z36" s="41" t="s">
        <v>1</v>
      </c>
      <c r="AA36" s="29" t="str">
        <f t="shared" si="7"/>
        <v>Point in kilometer.</v>
      </c>
    </row>
    <row r="37" spans="1:27" ht="6.6" customHeight="1" x14ac:dyDescent="0.25">
      <c r="A37" s="73">
        <v>37</v>
      </c>
      <c r="B37" s="30" t="s">
        <v>1474</v>
      </c>
      <c r="C37" s="45" t="s">
        <v>860</v>
      </c>
      <c r="D37" s="45" t="s">
        <v>1001</v>
      </c>
      <c r="E37" s="30" t="s">
        <v>1002</v>
      </c>
      <c r="F37" s="46" t="s">
        <v>845</v>
      </c>
      <c r="G37" s="76" t="s">
        <v>1</v>
      </c>
      <c r="H37" s="76" t="s">
        <v>1</v>
      </c>
      <c r="I37" s="76" t="s">
        <v>1</v>
      </c>
      <c r="J37" s="76" t="s">
        <v>1</v>
      </c>
      <c r="K37" s="76" t="s">
        <v>1</v>
      </c>
      <c r="L37" s="28" t="str">
        <f t="shared" si="26"/>
        <v>Fronteiras</v>
      </c>
      <c r="M37" s="28" t="str">
        <f t="shared" si="27"/>
        <v>Demarcadas</v>
      </c>
      <c r="N37" s="28" t="str">
        <f t="shared" si="28"/>
        <v>Marcos</v>
      </c>
      <c r="O37" s="29" t="str">
        <f t="shared" si="29"/>
        <v>Marco.Geográfico</v>
      </c>
      <c r="P37" s="29" t="s">
        <v>830</v>
      </c>
      <c r="Q37" s="29" t="s">
        <v>831</v>
      </c>
      <c r="R37" s="29" t="s">
        <v>1</v>
      </c>
      <c r="S37" s="29" t="str">
        <f t="shared" si="30"/>
        <v>Fronteiras</v>
      </c>
      <c r="T37" s="29" t="str">
        <f t="shared" si="31"/>
        <v>Demarcadas</v>
      </c>
      <c r="U37" s="29" t="str">
        <f t="shared" si="11"/>
        <v>Marcos</v>
      </c>
      <c r="V37" s="29" t="s">
        <v>1476</v>
      </c>
      <c r="W37" s="66" t="str">
        <f t="shared" si="4"/>
        <v>Key-BRMG-37</v>
      </c>
      <c r="X37" s="29" t="s">
        <v>1</v>
      </c>
      <c r="Y37" s="41" t="s">
        <v>1390</v>
      </c>
      <c r="Z37" s="41" t="s">
        <v>1</v>
      </c>
      <c r="AA37" s="29" t="str">
        <f t="shared" si="7"/>
        <v>The reference is the location of a visible physical reference point in the field.</v>
      </c>
    </row>
    <row r="38" spans="1:27" ht="6.6" customHeight="1" x14ac:dyDescent="0.25">
      <c r="A38" s="73">
        <v>38</v>
      </c>
      <c r="B38" s="30" t="s">
        <v>1474</v>
      </c>
      <c r="C38" s="45" t="s">
        <v>860</v>
      </c>
      <c r="D38" s="45" t="s">
        <v>1001</v>
      </c>
      <c r="E38" s="30" t="s">
        <v>1002</v>
      </c>
      <c r="F38" s="46" t="s">
        <v>866</v>
      </c>
      <c r="G38" s="76" t="s">
        <v>1</v>
      </c>
      <c r="H38" s="76" t="s">
        <v>1</v>
      </c>
      <c r="I38" s="76" t="s">
        <v>1</v>
      </c>
      <c r="J38" s="76" t="s">
        <v>1</v>
      </c>
      <c r="K38" s="76" t="s">
        <v>1</v>
      </c>
      <c r="L38" s="28" t="str">
        <f t="shared" si="26"/>
        <v>Fronteiras</v>
      </c>
      <c r="M38" s="28" t="str">
        <f t="shared" si="27"/>
        <v>Demarcadas</v>
      </c>
      <c r="N38" s="28" t="str">
        <f t="shared" si="28"/>
        <v>Marcos</v>
      </c>
      <c r="O38" s="29" t="str">
        <f t="shared" si="29"/>
        <v>Marco.de.Milha</v>
      </c>
      <c r="P38" s="29" t="s">
        <v>832</v>
      </c>
      <c r="Q38" s="29" t="s">
        <v>833</v>
      </c>
      <c r="R38" s="29" t="s">
        <v>1</v>
      </c>
      <c r="S38" s="29" t="str">
        <f t="shared" si="30"/>
        <v>Fronteiras</v>
      </c>
      <c r="T38" s="29" t="str">
        <f t="shared" si="31"/>
        <v>Demarcadas</v>
      </c>
      <c r="U38" s="29" t="str">
        <f t="shared" si="11"/>
        <v>Marcos</v>
      </c>
      <c r="V38" s="29" t="s">
        <v>1476</v>
      </c>
      <c r="W38" s="66" t="str">
        <f t="shared" si="4"/>
        <v>Key-BRMG-38</v>
      </c>
      <c r="X38" s="29" t="s">
        <v>1</v>
      </c>
      <c r="Y38" s="41" t="s">
        <v>1391</v>
      </c>
      <c r="Z38" s="41" t="s">
        <v>1</v>
      </c>
      <c r="AA38" s="29" t="str">
        <f t="shared" si="7"/>
        <v>Point in mile.</v>
      </c>
    </row>
    <row r="39" spans="1:27" ht="6.6" customHeight="1" x14ac:dyDescent="0.25">
      <c r="A39" s="73">
        <v>39</v>
      </c>
      <c r="B39" s="30" t="s">
        <v>1474</v>
      </c>
      <c r="C39" s="45" t="s">
        <v>860</v>
      </c>
      <c r="D39" s="45" t="s">
        <v>1001</v>
      </c>
      <c r="E39" s="30" t="s">
        <v>1002</v>
      </c>
      <c r="F39" s="46" t="s">
        <v>867</v>
      </c>
      <c r="G39" s="76" t="s">
        <v>1</v>
      </c>
      <c r="H39" s="76" t="s">
        <v>1</v>
      </c>
      <c r="I39" s="76" t="s">
        <v>1</v>
      </c>
      <c r="J39" s="76" t="s">
        <v>1</v>
      </c>
      <c r="K39" s="76" t="s">
        <v>1</v>
      </c>
      <c r="L39" s="28" t="str">
        <f t="shared" si="26"/>
        <v>Fronteiras</v>
      </c>
      <c r="M39" s="28" t="str">
        <f t="shared" si="27"/>
        <v>Demarcadas</v>
      </c>
      <c r="N39" s="28" t="str">
        <f t="shared" si="28"/>
        <v>Marcos</v>
      </c>
      <c r="O39" s="29" t="str">
        <f t="shared" si="29"/>
        <v>Estaca.de.Controle</v>
      </c>
      <c r="P39" s="29" t="s">
        <v>836</v>
      </c>
      <c r="Q39" s="29" t="s">
        <v>837</v>
      </c>
      <c r="R39" s="29" t="s">
        <v>1</v>
      </c>
      <c r="S39" s="29" t="str">
        <f t="shared" si="30"/>
        <v>Fronteiras</v>
      </c>
      <c r="T39" s="29" t="str">
        <f t="shared" si="31"/>
        <v>Demarcadas</v>
      </c>
      <c r="U39" s="29" t="str">
        <f t="shared" si="11"/>
        <v>Marcos</v>
      </c>
      <c r="V39" s="29" t="s">
        <v>1476</v>
      </c>
      <c r="W39" s="66" t="str">
        <f t="shared" si="4"/>
        <v>Key-BRMG-39</v>
      </c>
      <c r="X39" s="29" t="s">
        <v>1</v>
      </c>
      <c r="Y39" s="41" t="s">
        <v>1392</v>
      </c>
      <c r="Z39" s="41" t="s">
        <v>1</v>
      </c>
      <c r="AA39" s="29" t="str">
        <f t="shared" si="7"/>
        <v>A reference marker is a notation referent, located in the right-of-way of a highway, railroad or other transportation system spaced at uniform distances.</v>
      </c>
    </row>
    <row r="40" spans="1:27" ht="6.6" customHeight="1" x14ac:dyDescent="0.25">
      <c r="A40" s="73">
        <v>40</v>
      </c>
      <c r="B40" s="30" t="s">
        <v>1474</v>
      </c>
      <c r="C40" s="45" t="s">
        <v>860</v>
      </c>
      <c r="D40" s="45" t="s">
        <v>1001</v>
      </c>
      <c r="E40" s="30" t="s">
        <v>1002</v>
      </c>
      <c r="F40" s="46" t="s">
        <v>868</v>
      </c>
      <c r="G40" s="76" t="s">
        <v>1</v>
      </c>
      <c r="H40" s="76" t="s">
        <v>1</v>
      </c>
      <c r="I40" s="76" t="s">
        <v>1</v>
      </c>
      <c r="J40" s="76" t="s">
        <v>1</v>
      </c>
      <c r="K40" s="76" t="s">
        <v>1</v>
      </c>
      <c r="L40" s="28" t="str">
        <f t="shared" si="26"/>
        <v>Fronteiras</v>
      </c>
      <c r="M40" s="28" t="str">
        <f t="shared" si="27"/>
        <v>Demarcadas</v>
      </c>
      <c r="N40" s="28" t="str">
        <f t="shared" si="28"/>
        <v>Marcos</v>
      </c>
      <c r="O40" s="29" t="str">
        <f t="shared" si="29"/>
        <v>Estação.de.Medição</v>
      </c>
      <c r="P40" s="29" t="s">
        <v>838</v>
      </c>
      <c r="Q40" s="29" t="s">
        <v>839</v>
      </c>
      <c r="R40" s="29" t="s">
        <v>1</v>
      </c>
      <c r="S40" s="29" t="str">
        <f t="shared" si="30"/>
        <v>Fronteiras</v>
      </c>
      <c r="T40" s="29" t="str">
        <f t="shared" si="31"/>
        <v>Demarcadas</v>
      </c>
      <c r="U40" s="29" t="str">
        <f t="shared" si="11"/>
        <v>Marcos</v>
      </c>
      <c r="V40" s="29" t="s">
        <v>1476</v>
      </c>
      <c r="W40" s="66" t="str">
        <f t="shared" si="4"/>
        <v>Key-BRMG-40</v>
      </c>
      <c r="X40" s="29" t="s">
        <v>1</v>
      </c>
      <c r="Y40" s="41" t="s">
        <v>1393</v>
      </c>
      <c r="Z40" s="41" t="s">
        <v>1</v>
      </c>
      <c r="AA40" s="29" t="str">
        <f t="shared" si="7"/>
        <v>Season.</v>
      </c>
    </row>
    <row r="41" spans="1:27" ht="6.6" customHeight="1" x14ac:dyDescent="0.25">
      <c r="A41" s="73">
        <v>41</v>
      </c>
      <c r="B41" s="30" t="s">
        <v>1474</v>
      </c>
      <c r="C41" s="45" t="s">
        <v>860</v>
      </c>
      <c r="D41" s="45" t="s">
        <v>1001</v>
      </c>
      <c r="E41" s="30" t="s">
        <v>1002</v>
      </c>
      <c r="F41" s="46" t="s">
        <v>846</v>
      </c>
      <c r="G41" s="76" t="s">
        <v>1</v>
      </c>
      <c r="H41" s="76" t="s">
        <v>1</v>
      </c>
      <c r="I41" s="76" t="s">
        <v>1</v>
      </c>
      <c r="J41" s="76" t="s">
        <v>1</v>
      </c>
      <c r="K41" s="76" t="s">
        <v>1</v>
      </c>
      <c r="L41" s="28" t="str">
        <f t="shared" si="26"/>
        <v>Fronteiras</v>
      </c>
      <c r="M41" s="28" t="str">
        <f t="shared" si="27"/>
        <v>Demarcadas</v>
      </c>
      <c r="N41" s="28" t="str">
        <f t="shared" si="28"/>
        <v>Marcos</v>
      </c>
      <c r="O41" s="29" t="str">
        <f t="shared" si="29"/>
        <v xml:space="preserve">Superelevação </v>
      </c>
      <c r="P41" s="29" t="s">
        <v>840</v>
      </c>
      <c r="Q41" s="29" t="s">
        <v>841</v>
      </c>
      <c r="R41" s="29" t="s">
        <v>1</v>
      </c>
      <c r="S41" s="29" t="str">
        <f t="shared" si="30"/>
        <v>Fronteiras</v>
      </c>
      <c r="T41" s="29" t="str">
        <f t="shared" si="31"/>
        <v>Demarcadas</v>
      </c>
      <c r="U41" s="29" t="str">
        <f t="shared" si="11"/>
        <v>Marcos</v>
      </c>
      <c r="V41" s="29" t="s">
        <v>1476</v>
      </c>
      <c r="W41" s="66" t="str">
        <f t="shared" si="4"/>
        <v>Key-BRMG-41</v>
      </c>
      <c r="X41" s="29" t="s">
        <v>1</v>
      </c>
      <c r="Y41" s="41" t="s">
        <v>1394</v>
      </c>
      <c r="Z41" s="41" t="s">
        <v>1</v>
      </c>
      <c r="AA41" s="29" t="str">
        <f t="shared" si="7"/>
        <v>Specifies the superelevation (transverse slope) at a specific location along a road alignment, and the type of transition from the previous location.</v>
      </c>
    </row>
    <row r="42" spans="1:27" ht="6.6" customHeight="1" x14ac:dyDescent="0.25">
      <c r="A42" s="73">
        <v>42</v>
      </c>
      <c r="B42" s="30" t="s">
        <v>1474</v>
      </c>
      <c r="C42" s="45" t="s">
        <v>860</v>
      </c>
      <c r="D42" s="45" t="s">
        <v>1001</v>
      </c>
      <c r="E42" s="30" t="s">
        <v>1002</v>
      </c>
      <c r="F42" s="46" t="s">
        <v>851</v>
      </c>
      <c r="G42" s="76" t="s">
        <v>1</v>
      </c>
      <c r="H42" s="76" t="s">
        <v>1</v>
      </c>
      <c r="I42" s="76" t="s">
        <v>1</v>
      </c>
      <c r="J42" s="76" t="s">
        <v>1</v>
      </c>
      <c r="K42" s="76" t="s">
        <v>1</v>
      </c>
      <c r="L42" s="28" t="str">
        <f t="shared" si="26"/>
        <v>Fronteiras</v>
      </c>
      <c r="M42" s="28" t="str">
        <f t="shared" si="27"/>
        <v>Demarcadas</v>
      </c>
      <c r="N42" s="28" t="str">
        <f t="shared" si="28"/>
        <v>Marcos</v>
      </c>
      <c r="O42" s="29" t="str">
        <f t="shared" si="29"/>
        <v>Largura.de.Pista</v>
      </c>
      <c r="P42" s="29" t="s">
        <v>842</v>
      </c>
      <c r="Q42" s="29" t="s">
        <v>843</v>
      </c>
      <c r="R42" s="29" t="s">
        <v>1</v>
      </c>
      <c r="S42" s="29" t="str">
        <f t="shared" si="30"/>
        <v>Fronteiras</v>
      </c>
      <c r="T42" s="29" t="str">
        <f t="shared" si="31"/>
        <v>Demarcadas</v>
      </c>
      <c r="U42" s="29" t="str">
        <f t="shared" si="11"/>
        <v>Marcos</v>
      </c>
      <c r="V42" s="29" t="s">
        <v>1476</v>
      </c>
      <c r="W42" s="66" t="str">
        <f t="shared" si="4"/>
        <v>Key-BRMG-42</v>
      </c>
      <c r="X42" s="29" t="s">
        <v>1</v>
      </c>
      <c r="Y42" s="41" t="s">
        <v>1395</v>
      </c>
      <c r="Z42" s="41" t="s">
        <v>1</v>
      </c>
      <c r="AA42" s="29" t="str">
        <f t="shared" si="7"/>
        <v>Event type that specifies the width at a specific location along a road alignment.</v>
      </c>
    </row>
    <row r="43" spans="1:27" ht="6.6" customHeight="1" x14ac:dyDescent="0.25">
      <c r="A43" s="73">
        <v>43</v>
      </c>
      <c r="B43" s="30" t="s">
        <v>1474</v>
      </c>
      <c r="C43" s="45" t="s">
        <v>909</v>
      </c>
      <c r="D43" s="45" t="s">
        <v>908</v>
      </c>
      <c r="E43" s="45" t="s">
        <v>1014</v>
      </c>
      <c r="F43" s="45" t="s">
        <v>912</v>
      </c>
      <c r="G43" s="76" t="s">
        <v>1</v>
      </c>
      <c r="H43" s="76" t="s">
        <v>1</v>
      </c>
      <c r="I43" s="76" t="s">
        <v>1</v>
      </c>
      <c r="J43" s="76" t="s">
        <v>1</v>
      </c>
      <c r="K43" s="76" t="s">
        <v>1</v>
      </c>
      <c r="L43" s="44" t="str">
        <f t="shared" ref="L43:L44" si="39">_xlfn.CONCAT(SUBSTITUTE(C43,"1.",""))</f>
        <v>Topografias</v>
      </c>
      <c r="M43" s="44" t="str">
        <f t="shared" ref="M43:M44" si="40">_xlfn.CONCAT(SUBSTITUTE(D43,"."," "))</f>
        <v>Altimetrias</v>
      </c>
      <c r="N43" s="44" t="str">
        <f t="shared" ref="N43:N44" si="41">_xlfn.CONCAT(SUBSTITUTE(E43,"."," "))</f>
        <v>Pontos Cotados</v>
      </c>
      <c r="O43" s="44" t="str">
        <f t="shared" ref="O43:O44" si="42">_xlfn.CONCAT(SUBSTITUTE(F43,"."," "))</f>
        <v>Ponto Interno</v>
      </c>
      <c r="P43" s="44" t="s">
        <v>1015</v>
      </c>
      <c r="Q43" s="44" t="s">
        <v>1194</v>
      </c>
      <c r="R43" s="29" t="s">
        <v>1</v>
      </c>
      <c r="S43" s="29" t="str">
        <f t="shared" ref="S43:S44" si="43">SUBSTITUTE(C43, ".", " ")</f>
        <v>Topografias</v>
      </c>
      <c r="T43" s="29" t="str">
        <f t="shared" ref="T43:T44" si="44">SUBSTITUTE(D43, ".", " ")</f>
        <v>Altimetrias</v>
      </c>
      <c r="U43" s="29" t="str">
        <f t="shared" ref="U43:U44" si="45">SUBSTITUTE(E43, ".", " ")</f>
        <v>Pontos Cotados</v>
      </c>
      <c r="V43" s="29" t="s">
        <v>1476</v>
      </c>
      <c r="W43" s="66" t="str">
        <f t="shared" si="4"/>
        <v>Key-BRMG-43</v>
      </c>
      <c r="X43" s="29" t="s">
        <v>1342</v>
      </c>
      <c r="Y43" s="29" t="s">
        <v>1395</v>
      </c>
      <c r="Z43" s="41" t="s">
        <v>1</v>
      </c>
      <c r="AA43" s="29" t="str">
        <f t="shared" si="7"/>
        <v>Elevation points positioned inside the land.</v>
      </c>
    </row>
    <row r="44" spans="1:27" ht="6.6" customHeight="1" x14ac:dyDescent="0.25">
      <c r="A44" s="73">
        <v>44</v>
      </c>
      <c r="B44" s="30" t="s">
        <v>1474</v>
      </c>
      <c r="C44" s="45" t="s">
        <v>909</v>
      </c>
      <c r="D44" s="45" t="s">
        <v>908</v>
      </c>
      <c r="E44" s="45" t="s">
        <v>1014</v>
      </c>
      <c r="F44" s="45" t="s">
        <v>1013</v>
      </c>
      <c r="G44" s="76" t="s">
        <v>1</v>
      </c>
      <c r="H44" s="76" t="s">
        <v>1</v>
      </c>
      <c r="I44" s="76" t="s">
        <v>1</v>
      </c>
      <c r="J44" s="76" t="s">
        <v>1</v>
      </c>
      <c r="K44" s="76" t="s">
        <v>1</v>
      </c>
      <c r="L44" s="44" t="str">
        <f t="shared" si="39"/>
        <v>Topografias</v>
      </c>
      <c r="M44" s="44" t="str">
        <f t="shared" si="40"/>
        <v>Altimetrias</v>
      </c>
      <c r="N44" s="44" t="str">
        <f t="shared" si="41"/>
        <v>Pontos Cotados</v>
      </c>
      <c r="O44" s="44" t="str">
        <f t="shared" si="42"/>
        <v>Ponto Perimetral</v>
      </c>
      <c r="P44" s="44" t="s">
        <v>1016</v>
      </c>
      <c r="Q44" s="44" t="s">
        <v>1195</v>
      </c>
      <c r="R44" s="29" t="s">
        <v>1</v>
      </c>
      <c r="S44" s="29" t="str">
        <f t="shared" si="43"/>
        <v>Topografias</v>
      </c>
      <c r="T44" s="29" t="str">
        <f t="shared" si="44"/>
        <v>Altimetrias</v>
      </c>
      <c r="U44" s="29" t="str">
        <f t="shared" si="45"/>
        <v>Pontos Cotados</v>
      </c>
      <c r="V44" s="29" t="s">
        <v>1476</v>
      </c>
      <c r="W44" s="66" t="str">
        <f t="shared" si="4"/>
        <v>Key-BRMG-44</v>
      </c>
      <c r="X44" s="29" t="s">
        <v>1343</v>
      </c>
      <c r="Y44" s="29" t="s">
        <v>1396</v>
      </c>
      <c r="Z44" s="41" t="s">
        <v>1</v>
      </c>
      <c r="AA44" s="29" t="str">
        <f t="shared" si="7"/>
        <v>Altimetric elevation points positioned on the perimeter of the land.</v>
      </c>
    </row>
    <row r="45" spans="1:27" ht="6.6" customHeight="1" x14ac:dyDescent="0.25">
      <c r="A45" s="73">
        <v>45</v>
      </c>
      <c r="B45" s="30" t="s">
        <v>1474</v>
      </c>
      <c r="C45" s="45" t="s">
        <v>909</v>
      </c>
      <c r="D45" s="45" t="s">
        <v>908</v>
      </c>
      <c r="E45" s="45" t="s">
        <v>907</v>
      </c>
      <c r="F45" s="45" t="s">
        <v>1011</v>
      </c>
      <c r="G45" s="76" t="s">
        <v>1</v>
      </c>
      <c r="H45" s="76" t="s">
        <v>1</v>
      </c>
      <c r="I45" s="76" t="s">
        <v>1</v>
      </c>
      <c r="J45" s="76" t="s">
        <v>1</v>
      </c>
      <c r="K45" s="76" t="s">
        <v>1</v>
      </c>
      <c r="L45" s="44" t="str">
        <f t="shared" ref="L45" si="46">_xlfn.CONCAT(SUBSTITUTE(C45,"1.",""))</f>
        <v>Topografias</v>
      </c>
      <c r="M45" s="44" t="str">
        <f t="shared" ref="M45" si="47">_xlfn.CONCAT(SUBSTITUTE(D45,"."," "))</f>
        <v>Altimetrias</v>
      </c>
      <c r="N45" s="44" t="str">
        <f t="shared" ref="N45" si="48">_xlfn.CONCAT(SUBSTITUTE(E45,"."," "))</f>
        <v>Terrenos</v>
      </c>
      <c r="O45" s="44" t="str">
        <f t="shared" ref="O45" si="49">_xlfn.CONCAT(SUBSTITUTE(F45,"."," "))</f>
        <v>Terreno 3D Sólido</v>
      </c>
      <c r="P45" s="44" t="s">
        <v>1009</v>
      </c>
      <c r="Q45" s="44" t="s">
        <v>1196</v>
      </c>
      <c r="R45" s="29" t="s">
        <v>1</v>
      </c>
      <c r="S45" s="29" t="str">
        <f t="shared" ref="S45" si="50">SUBSTITUTE(C45, ".", " ")</f>
        <v>Topografias</v>
      </c>
      <c r="T45" s="29" t="str">
        <f t="shared" ref="T45" si="51">SUBSTITUTE(D45, ".", " ")</f>
        <v>Altimetrias</v>
      </c>
      <c r="U45" s="29" t="str">
        <f t="shared" ref="U45" si="52">SUBSTITUTE(E45, ".", " ")</f>
        <v>Terrenos</v>
      </c>
      <c r="V45" s="29" t="s">
        <v>1476</v>
      </c>
      <c r="W45" s="66" t="str">
        <f t="shared" si="4"/>
        <v>Key-BRMG-45</v>
      </c>
      <c r="X45" s="29" t="s">
        <v>1344</v>
      </c>
      <c r="Y45" s="29" t="s">
        <v>1396</v>
      </c>
      <c r="Z45" s="41" t="s">
        <v>1</v>
      </c>
      <c r="AA45" s="29" t="str">
        <f t="shared" si="7"/>
        <v>Three-dimensional solid terrain. Revit models above 2024 use solid terrain models, while still maintaining the terrain mesh scheme.</v>
      </c>
    </row>
    <row r="46" spans="1:27" ht="6.6" customHeight="1" x14ac:dyDescent="0.25">
      <c r="A46" s="73">
        <v>46</v>
      </c>
      <c r="B46" s="30" t="s">
        <v>1474</v>
      </c>
      <c r="C46" s="45" t="s">
        <v>909</v>
      </c>
      <c r="D46" s="45" t="s">
        <v>908</v>
      </c>
      <c r="E46" s="45" t="s">
        <v>907</v>
      </c>
      <c r="F46" s="45" t="s">
        <v>1012</v>
      </c>
      <c r="G46" s="76" t="s">
        <v>1</v>
      </c>
      <c r="H46" s="76" t="s">
        <v>1</v>
      </c>
      <c r="I46" s="76" t="s">
        <v>1</v>
      </c>
      <c r="J46" s="76" t="s">
        <v>1</v>
      </c>
      <c r="K46" s="76" t="s">
        <v>1</v>
      </c>
      <c r="L46" s="44" t="str">
        <f t="shared" si="8"/>
        <v>Topografias</v>
      </c>
      <c r="M46" s="44" t="str">
        <f t="shared" si="12"/>
        <v>Altimetrias</v>
      </c>
      <c r="N46" s="44" t="str">
        <f t="shared" si="12"/>
        <v>Terrenos</v>
      </c>
      <c r="O46" s="44" t="str">
        <f t="shared" ref="O46:O51" si="53">_xlfn.CONCAT(SUBSTITUTE(F46,"."," "))</f>
        <v>Terreno 3D Superficial</v>
      </c>
      <c r="P46" s="44" t="s">
        <v>1010</v>
      </c>
      <c r="Q46" s="44" t="s">
        <v>1197</v>
      </c>
      <c r="R46" s="29" t="s">
        <v>1</v>
      </c>
      <c r="S46" s="29" t="str">
        <f t="shared" si="9"/>
        <v>Topografias</v>
      </c>
      <c r="T46" s="29" t="str">
        <f t="shared" si="10"/>
        <v>Altimetrias</v>
      </c>
      <c r="U46" s="29" t="str">
        <f t="shared" si="11"/>
        <v>Terrenos</v>
      </c>
      <c r="V46" s="29" t="s">
        <v>1476</v>
      </c>
      <c r="W46" s="66" t="str">
        <f t="shared" si="4"/>
        <v>Key-BRMG-46</v>
      </c>
      <c r="X46" s="29" t="s">
        <v>1345</v>
      </c>
      <c r="Y46" s="29" t="s">
        <v>1396</v>
      </c>
      <c r="Z46" s="41" t="s">
        <v>1</v>
      </c>
      <c r="AA46" s="29" t="str">
        <f t="shared" si="7"/>
        <v>Three-dimensional maha of the terrain. Revit models prior to 2024 use surface terrain models.</v>
      </c>
    </row>
    <row r="47" spans="1:27" ht="6.6" customHeight="1" x14ac:dyDescent="0.25">
      <c r="A47" s="73">
        <v>47</v>
      </c>
      <c r="B47" s="30" t="s">
        <v>1474</v>
      </c>
      <c r="C47" s="45" t="s">
        <v>909</v>
      </c>
      <c r="D47" s="45" t="s">
        <v>908</v>
      </c>
      <c r="E47" s="45" t="s">
        <v>907</v>
      </c>
      <c r="F47" s="45" t="s">
        <v>1004</v>
      </c>
      <c r="G47" s="76" t="s">
        <v>1</v>
      </c>
      <c r="H47" s="76" t="s">
        <v>1</v>
      </c>
      <c r="I47" s="76" t="s">
        <v>1</v>
      </c>
      <c r="J47" s="76" t="s">
        <v>1</v>
      </c>
      <c r="K47" s="76" t="s">
        <v>1</v>
      </c>
      <c r="L47" s="44" t="str">
        <f t="shared" si="8"/>
        <v>Topografias</v>
      </c>
      <c r="M47" s="44" t="str">
        <f t="shared" si="12"/>
        <v>Altimetrias</v>
      </c>
      <c r="N47" s="44" t="str">
        <f t="shared" si="12"/>
        <v>Terrenos</v>
      </c>
      <c r="O47" s="44" t="str">
        <f t="shared" si="53"/>
        <v>MDT Camada Núcleo</v>
      </c>
      <c r="P47" s="44" t="s">
        <v>1031</v>
      </c>
      <c r="Q47" s="44" t="s">
        <v>1198</v>
      </c>
      <c r="R47" s="29" t="s">
        <v>1</v>
      </c>
      <c r="S47" s="29" t="str">
        <f t="shared" si="9"/>
        <v>Topografias</v>
      </c>
      <c r="T47" s="29" t="str">
        <f t="shared" si="10"/>
        <v>Altimetrias</v>
      </c>
      <c r="U47" s="29" t="str">
        <f t="shared" si="11"/>
        <v>Terrenos</v>
      </c>
      <c r="V47" s="29" t="s">
        <v>1476</v>
      </c>
      <c r="W47" s="66" t="str">
        <f t="shared" si="4"/>
        <v>Key-BRMG-47</v>
      </c>
      <c r="X47" s="29" t="s">
        <v>1346</v>
      </c>
      <c r="Y47" s="29" t="s">
        <v>1396</v>
      </c>
      <c r="Z47" s="41" t="s">
        <v>1</v>
      </c>
      <c r="AA47" s="29" t="str">
        <f t="shared" si="7"/>
        <v>Three-dimensional terrain solid: core layer.</v>
      </c>
    </row>
    <row r="48" spans="1:27" ht="6.6" customHeight="1" x14ac:dyDescent="0.25">
      <c r="A48" s="73">
        <v>48</v>
      </c>
      <c r="B48" s="30" t="s">
        <v>1474</v>
      </c>
      <c r="C48" s="45" t="s">
        <v>909</v>
      </c>
      <c r="D48" s="45" t="s">
        <v>908</v>
      </c>
      <c r="E48" s="45" t="s">
        <v>907</v>
      </c>
      <c r="F48" s="45" t="s">
        <v>1008</v>
      </c>
      <c r="G48" s="76" t="s">
        <v>1</v>
      </c>
      <c r="H48" s="76" t="s">
        <v>1</v>
      </c>
      <c r="I48" s="76" t="s">
        <v>1</v>
      </c>
      <c r="J48" s="76" t="s">
        <v>1</v>
      </c>
      <c r="K48" s="76" t="s">
        <v>1</v>
      </c>
      <c r="L48" s="44" t="str">
        <f t="shared" si="8"/>
        <v>Topografias</v>
      </c>
      <c r="M48" s="44" t="str">
        <f t="shared" si="12"/>
        <v>Altimetrias</v>
      </c>
      <c r="N48" s="44" t="str">
        <f t="shared" si="12"/>
        <v>Terrenos</v>
      </c>
      <c r="O48" s="44" t="str">
        <f t="shared" si="53"/>
        <v>MDT Camada Substrato</v>
      </c>
      <c r="P48" s="44" t="s">
        <v>1033</v>
      </c>
      <c r="Q48" s="44" t="s">
        <v>1199</v>
      </c>
      <c r="R48" s="29" t="s">
        <v>1</v>
      </c>
      <c r="S48" s="29" t="str">
        <f t="shared" si="9"/>
        <v>Topografias</v>
      </c>
      <c r="T48" s="29" t="str">
        <f t="shared" si="10"/>
        <v>Altimetrias</v>
      </c>
      <c r="U48" s="29" t="str">
        <f t="shared" si="11"/>
        <v>Terrenos</v>
      </c>
      <c r="V48" s="29" t="s">
        <v>1476</v>
      </c>
      <c r="W48" s="66" t="str">
        <f t="shared" si="4"/>
        <v>Key-BRMG-48</v>
      </c>
      <c r="X48" s="29" t="s">
        <v>1347</v>
      </c>
      <c r="Y48" s="29" t="s">
        <v>1396</v>
      </c>
      <c r="Z48" s="41" t="s">
        <v>1</v>
      </c>
      <c r="AA48" s="29" t="str">
        <f t="shared" si="7"/>
        <v>Three-dimensional solid of the terrain: substrate layer.</v>
      </c>
    </row>
    <row r="49" spans="1:27" ht="6.6" customHeight="1" x14ac:dyDescent="0.25">
      <c r="A49" s="73">
        <v>49</v>
      </c>
      <c r="B49" s="30" t="s">
        <v>1474</v>
      </c>
      <c r="C49" s="45" t="s">
        <v>909</v>
      </c>
      <c r="D49" s="45" t="s">
        <v>908</v>
      </c>
      <c r="E49" s="45" t="s">
        <v>907</v>
      </c>
      <c r="F49" s="45" t="s">
        <v>1007</v>
      </c>
      <c r="G49" s="76" t="s">
        <v>1</v>
      </c>
      <c r="H49" s="76" t="s">
        <v>1</v>
      </c>
      <c r="I49" s="76" t="s">
        <v>1</v>
      </c>
      <c r="J49" s="76" t="s">
        <v>1</v>
      </c>
      <c r="K49" s="76" t="s">
        <v>1</v>
      </c>
      <c r="L49" s="44" t="str">
        <f t="shared" si="8"/>
        <v>Topografias</v>
      </c>
      <c r="M49" s="44" t="str">
        <f t="shared" si="12"/>
        <v>Altimetrias</v>
      </c>
      <c r="N49" s="44" t="str">
        <f t="shared" si="12"/>
        <v>Terrenos</v>
      </c>
      <c r="O49" s="44" t="str">
        <f t="shared" si="53"/>
        <v>MDT Camada Membrana</v>
      </c>
      <c r="P49" s="44" t="s">
        <v>1032</v>
      </c>
      <c r="Q49" s="44" t="s">
        <v>1200</v>
      </c>
      <c r="R49" s="29" t="s">
        <v>1</v>
      </c>
      <c r="S49" s="29" t="str">
        <f t="shared" si="9"/>
        <v>Topografias</v>
      </c>
      <c r="T49" s="29" t="str">
        <f t="shared" si="10"/>
        <v>Altimetrias</v>
      </c>
      <c r="U49" s="29" t="str">
        <f t="shared" si="11"/>
        <v>Terrenos</v>
      </c>
      <c r="V49" s="29" t="s">
        <v>1476</v>
      </c>
      <c r="W49" s="66" t="str">
        <f t="shared" si="4"/>
        <v>Key-BRMG-49</v>
      </c>
      <c r="X49" s="29" t="s">
        <v>1445</v>
      </c>
      <c r="Y49" s="29" t="s">
        <v>1396</v>
      </c>
      <c r="Z49" s="41" t="s">
        <v>1</v>
      </c>
      <c r="AA49" s="29" t="str">
        <f t="shared" si="7"/>
        <v>Three-dimensional solid of the terrain: membrane layer.</v>
      </c>
    </row>
    <row r="50" spans="1:27" ht="6.6" customHeight="1" x14ac:dyDescent="0.25">
      <c r="A50" s="73">
        <v>50</v>
      </c>
      <c r="B50" s="30" t="s">
        <v>1474</v>
      </c>
      <c r="C50" s="45" t="s">
        <v>909</v>
      </c>
      <c r="D50" s="45" t="s">
        <v>908</v>
      </c>
      <c r="E50" s="45" t="s">
        <v>907</v>
      </c>
      <c r="F50" s="45" t="s">
        <v>1006</v>
      </c>
      <c r="G50" s="76" t="s">
        <v>1</v>
      </c>
      <c r="H50" s="76" t="s">
        <v>1</v>
      </c>
      <c r="I50" s="76" t="s">
        <v>1</v>
      </c>
      <c r="J50" s="76" t="s">
        <v>1</v>
      </c>
      <c r="K50" s="76" t="s">
        <v>1</v>
      </c>
      <c r="L50" s="44" t="str">
        <f t="shared" si="8"/>
        <v>Topografias</v>
      </c>
      <c r="M50" s="44" t="str">
        <f t="shared" si="12"/>
        <v>Altimetrias</v>
      </c>
      <c r="N50" s="44" t="str">
        <f t="shared" si="12"/>
        <v>Terrenos</v>
      </c>
      <c r="O50" s="44" t="str">
        <f t="shared" si="53"/>
        <v>MDT Camada Isolamento</v>
      </c>
      <c r="P50" s="44" t="s">
        <v>1035</v>
      </c>
      <c r="Q50" s="44" t="s">
        <v>1201</v>
      </c>
      <c r="R50" s="29" t="s">
        <v>1</v>
      </c>
      <c r="S50" s="29" t="str">
        <f t="shared" si="9"/>
        <v>Topografias</v>
      </c>
      <c r="T50" s="29" t="str">
        <f t="shared" si="10"/>
        <v>Altimetrias</v>
      </c>
      <c r="U50" s="29" t="str">
        <f t="shared" si="11"/>
        <v>Terrenos</v>
      </c>
      <c r="V50" s="29" t="s">
        <v>1476</v>
      </c>
      <c r="W50" s="66" t="str">
        <f t="shared" si="4"/>
        <v>Key-BRMG-50</v>
      </c>
      <c r="X50" s="29" t="s">
        <v>1348</v>
      </c>
      <c r="Y50" s="29" t="s">
        <v>1396</v>
      </c>
      <c r="Z50" s="41" t="s">
        <v>1</v>
      </c>
      <c r="AA50" s="29" t="str">
        <f t="shared" si="7"/>
        <v>Three-dimensional solid terrain: insulation layer.</v>
      </c>
    </row>
    <row r="51" spans="1:27" ht="6.6" customHeight="1" x14ac:dyDescent="0.25">
      <c r="A51" s="73">
        <v>51</v>
      </c>
      <c r="B51" s="30" t="s">
        <v>1474</v>
      </c>
      <c r="C51" s="45" t="s">
        <v>909</v>
      </c>
      <c r="D51" s="45" t="s">
        <v>908</v>
      </c>
      <c r="E51" s="45" t="s">
        <v>907</v>
      </c>
      <c r="F51" s="45" t="s">
        <v>1005</v>
      </c>
      <c r="G51" s="76" t="s">
        <v>1</v>
      </c>
      <c r="H51" s="76" t="s">
        <v>1</v>
      </c>
      <c r="I51" s="76" t="s">
        <v>1</v>
      </c>
      <c r="J51" s="76" t="s">
        <v>1</v>
      </c>
      <c r="K51" s="76" t="s">
        <v>1</v>
      </c>
      <c r="L51" s="44" t="str">
        <f t="shared" ref="L51:L55" si="54">_xlfn.CONCAT(SUBSTITUTE(C51,"1.",""))</f>
        <v>Topografias</v>
      </c>
      <c r="M51" s="44" t="str">
        <f t="shared" si="12"/>
        <v>Altimetrias</v>
      </c>
      <c r="N51" s="44" t="str">
        <f t="shared" si="12"/>
        <v>Terrenos</v>
      </c>
      <c r="O51" s="44" t="str">
        <f t="shared" si="53"/>
        <v>MDT Camada Superficial</v>
      </c>
      <c r="P51" s="44" t="s">
        <v>1034</v>
      </c>
      <c r="Q51" s="44" t="s">
        <v>1202</v>
      </c>
      <c r="R51" s="29" t="s">
        <v>1</v>
      </c>
      <c r="S51" s="29" t="str">
        <f t="shared" si="9"/>
        <v>Topografias</v>
      </c>
      <c r="T51" s="29" t="str">
        <f t="shared" si="10"/>
        <v>Altimetrias</v>
      </c>
      <c r="U51" s="29" t="str">
        <f t="shared" si="11"/>
        <v>Terrenos</v>
      </c>
      <c r="V51" s="29" t="s">
        <v>1476</v>
      </c>
      <c r="W51" s="66" t="str">
        <f t="shared" si="4"/>
        <v>Key-BRMG-51</v>
      </c>
      <c r="X51" s="29" t="s">
        <v>1349</v>
      </c>
      <c r="Y51" s="29" t="s">
        <v>1397</v>
      </c>
      <c r="Z51" s="41" t="s">
        <v>1</v>
      </c>
      <c r="AA51" s="29" t="str">
        <f t="shared" si="7"/>
        <v>Three-dimensional solid of the terrain: surface layer.</v>
      </c>
    </row>
    <row r="52" spans="1:27" ht="6.6" customHeight="1" x14ac:dyDescent="0.25">
      <c r="A52" s="73">
        <v>52</v>
      </c>
      <c r="B52" s="30" t="s">
        <v>1474</v>
      </c>
      <c r="C52" s="45" t="s">
        <v>909</v>
      </c>
      <c r="D52" s="45" t="s">
        <v>908</v>
      </c>
      <c r="E52" s="45" t="s">
        <v>910</v>
      </c>
      <c r="F52" s="45" t="s">
        <v>913</v>
      </c>
      <c r="G52" s="76" t="s">
        <v>1</v>
      </c>
      <c r="H52" s="76" t="s">
        <v>1</v>
      </c>
      <c r="I52" s="76" t="s">
        <v>1</v>
      </c>
      <c r="J52" s="76" t="s">
        <v>1</v>
      </c>
      <c r="K52" s="76" t="s">
        <v>1</v>
      </c>
      <c r="L52" s="44" t="str">
        <f t="shared" si="54"/>
        <v>Topografias</v>
      </c>
      <c r="M52" s="44" t="str">
        <f t="shared" si="12"/>
        <v>Altimetrias</v>
      </c>
      <c r="N52" s="44" t="str">
        <f t="shared" si="12"/>
        <v>Curvas de Nível</v>
      </c>
      <c r="O52" s="44" t="str">
        <f t="shared" ref="O52:O55" si="55">_xlfn.CONCAT(SUBSTITUTE(F52,"."," "))</f>
        <v>Curva de Nível 10m</v>
      </c>
      <c r="P52" s="44" t="s">
        <v>1036</v>
      </c>
      <c r="Q52" s="44" t="s">
        <v>1203</v>
      </c>
      <c r="R52" s="29" t="s">
        <v>1</v>
      </c>
      <c r="S52" s="29" t="str">
        <f t="shared" si="9"/>
        <v>Topografias</v>
      </c>
      <c r="T52" s="29" t="str">
        <f t="shared" si="10"/>
        <v>Altimetrias</v>
      </c>
      <c r="U52" s="29" t="str">
        <f t="shared" si="11"/>
        <v>Curvas de Nível</v>
      </c>
      <c r="V52" s="29" t="s">
        <v>1476</v>
      </c>
      <c r="W52" s="66" t="str">
        <f t="shared" si="4"/>
        <v>Key-BRMG-52</v>
      </c>
      <c r="X52" s="29" t="s">
        <v>1350</v>
      </c>
      <c r="Y52" s="29" t="s">
        <v>1397</v>
      </c>
      <c r="Z52" s="41" t="s">
        <v>1</v>
      </c>
      <c r="AA52" s="29" t="str">
        <f t="shared" si="7"/>
        <v>10-meter level curve.</v>
      </c>
    </row>
    <row r="53" spans="1:27" ht="6.6" customHeight="1" x14ac:dyDescent="0.25">
      <c r="A53" s="73">
        <v>53</v>
      </c>
      <c r="B53" s="30" t="s">
        <v>1474</v>
      </c>
      <c r="C53" s="45" t="s">
        <v>909</v>
      </c>
      <c r="D53" s="45" t="s">
        <v>908</v>
      </c>
      <c r="E53" s="45" t="s">
        <v>910</v>
      </c>
      <c r="F53" s="45" t="s">
        <v>914</v>
      </c>
      <c r="G53" s="76" t="s">
        <v>1</v>
      </c>
      <c r="H53" s="76" t="s">
        <v>1</v>
      </c>
      <c r="I53" s="76" t="s">
        <v>1</v>
      </c>
      <c r="J53" s="76" t="s">
        <v>1</v>
      </c>
      <c r="K53" s="76" t="s">
        <v>1</v>
      </c>
      <c r="L53" s="44" t="str">
        <f t="shared" si="54"/>
        <v>Topografias</v>
      </c>
      <c r="M53" s="44" t="str">
        <f t="shared" si="12"/>
        <v>Altimetrias</v>
      </c>
      <c r="N53" s="44" t="str">
        <f t="shared" si="12"/>
        <v>Curvas de Nível</v>
      </c>
      <c r="O53" s="44" t="str">
        <f t="shared" si="55"/>
        <v>Curva de Nível 05m</v>
      </c>
      <c r="P53" s="44" t="s">
        <v>1037</v>
      </c>
      <c r="Q53" s="44" t="s">
        <v>1204</v>
      </c>
      <c r="R53" s="29" t="s">
        <v>1</v>
      </c>
      <c r="S53" s="29" t="str">
        <f t="shared" si="9"/>
        <v>Topografias</v>
      </c>
      <c r="T53" s="29" t="str">
        <f t="shared" si="10"/>
        <v>Altimetrias</v>
      </c>
      <c r="U53" s="29" t="str">
        <f t="shared" si="11"/>
        <v>Curvas de Nível</v>
      </c>
      <c r="V53" s="29" t="s">
        <v>1476</v>
      </c>
      <c r="W53" s="66" t="str">
        <f t="shared" si="4"/>
        <v>Key-BRMG-53</v>
      </c>
      <c r="X53" s="29" t="s">
        <v>1350</v>
      </c>
      <c r="Y53" s="29" t="s">
        <v>1397</v>
      </c>
      <c r="Z53" s="41" t="s">
        <v>1</v>
      </c>
      <c r="AA53" s="29" t="str">
        <f t="shared" si="7"/>
        <v>5 meter level curve.</v>
      </c>
    </row>
    <row r="54" spans="1:27" ht="6.6" customHeight="1" x14ac:dyDescent="0.25">
      <c r="A54" s="73">
        <v>54</v>
      </c>
      <c r="B54" s="30" t="s">
        <v>1474</v>
      </c>
      <c r="C54" s="45" t="s">
        <v>909</v>
      </c>
      <c r="D54" s="45" t="s">
        <v>908</v>
      </c>
      <c r="E54" s="45" t="s">
        <v>910</v>
      </c>
      <c r="F54" s="45" t="s">
        <v>915</v>
      </c>
      <c r="G54" s="76" t="s">
        <v>1</v>
      </c>
      <c r="H54" s="76" t="s">
        <v>1</v>
      </c>
      <c r="I54" s="76" t="s">
        <v>1</v>
      </c>
      <c r="J54" s="76" t="s">
        <v>1</v>
      </c>
      <c r="K54" s="76" t="s">
        <v>1</v>
      </c>
      <c r="L54" s="44" t="str">
        <f t="shared" ref="L54" si="56">_xlfn.CONCAT(SUBSTITUTE(C54,"1.",""))</f>
        <v>Topografias</v>
      </c>
      <c r="M54" s="44" t="str">
        <f t="shared" ref="M54" si="57">_xlfn.CONCAT(SUBSTITUTE(D54,"."," "))</f>
        <v>Altimetrias</v>
      </c>
      <c r="N54" s="44" t="str">
        <f t="shared" ref="N54" si="58">_xlfn.CONCAT(SUBSTITUTE(E54,"."," "))</f>
        <v>Curvas de Nível</v>
      </c>
      <c r="O54" s="44" t="str">
        <f t="shared" ref="O54" si="59">_xlfn.CONCAT(SUBSTITUTE(F54,"."," "))</f>
        <v>Curva de Nível 01m</v>
      </c>
      <c r="P54" s="44" t="s">
        <v>917</v>
      </c>
      <c r="Q54" s="44" t="s">
        <v>1205</v>
      </c>
      <c r="R54" s="29" t="s">
        <v>1</v>
      </c>
      <c r="S54" s="29" t="str">
        <f t="shared" ref="S54" si="60">SUBSTITUTE(C54, ".", " ")</f>
        <v>Topografias</v>
      </c>
      <c r="T54" s="29" t="str">
        <f t="shared" ref="T54" si="61">SUBSTITUTE(D54, ".", " ")</f>
        <v>Altimetrias</v>
      </c>
      <c r="U54" s="29" t="str">
        <f t="shared" ref="U54" si="62">SUBSTITUTE(E54, ".", " ")</f>
        <v>Curvas de Nível</v>
      </c>
      <c r="V54" s="29" t="s">
        <v>1476</v>
      </c>
      <c r="W54" s="66" t="str">
        <f t="shared" si="4"/>
        <v>Key-BRMG-54</v>
      </c>
      <c r="X54" s="29" t="s">
        <v>1350</v>
      </c>
      <c r="Y54" s="29" t="s">
        <v>1397</v>
      </c>
      <c r="Z54" s="41" t="s">
        <v>1</v>
      </c>
      <c r="AA54" s="29" t="str">
        <f t="shared" si="7"/>
        <v>Level curve of 1 meter.</v>
      </c>
    </row>
    <row r="55" spans="1:27" ht="6.6" customHeight="1" x14ac:dyDescent="0.25">
      <c r="A55" s="73">
        <v>55</v>
      </c>
      <c r="B55" s="30" t="s">
        <v>1474</v>
      </c>
      <c r="C55" s="45" t="s">
        <v>909</v>
      </c>
      <c r="D55" s="45" t="s">
        <v>908</v>
      </c>
      <c r="E55" s="45" t="s">
        <v>910</v>
      </c>
      <c r="F55" s="45" t="s">
        <v>916</v>
      </c>
      <c r="G55" s="76" t="s">
        <v>1</v>
      </c>
      <c r="H55" s="76" t="s">
        <v>1</v>
      </c>
      <c r="I55" s="76" t="s">
        <v>1</v>
      </c>
      <c r="J55" s="76" t="s">
        <v>1</v>
      </c>
      <c r="K55" s="76" t="s">
        <v>1</v>
      </c>
      <c r="L55" s="44" t="str">
        <f t="shared" si="54"/>
        <v>Topografias</v>
      </c>
      <c r="M55" s="44" t="str">
        <f t="shared" si="12"/>
        <v>Altimetrias</v>
      </c>
      <c r="N55" s="44" t="str">
        <f t="shared" si="12"/>
        <v>Curvas de Nível</v>
      </c>
      <c r="O55" s="44" t="str">
        <f t="shared" si="55"/>
        <v>Curva de Nível Submétrica</v>
      </c>
      <c r="P55" s="44" t="s">
        <v>918</v>
      </c>
      <c r="Q55" s="44" t="s">
        <v>1206</v>
      </c>
      <c r="R55" s="29" t="s">
        <v>1</v>
      </c>
      <c r="S55" s="29" t="str">
        <f t="shared" si="9"/>
        <v>Topografias</v>
      </c>
      <c r="T55" s="29" t="str">
        <f t="shared" si="10"/>
        <v>Altimetrias</v>
      </c>
      <c r="U55" s="29" t="str">
        <f t="shared" si="11"/>
        <v>Curvas de Nível</v>
      </c>
      <c r="V55" s="29" t="s">
        <v>1476</v>
      </c>
      <c r="W55" s="66" t="str">
        <f t="shared" si="4"/>
        <v>Key-BRMG-55</v>
      </c>
      <c r="X55" s="29" t="s">
        <v>1350</v>
      </c>
      <c r="Y55" s="29" t="s">
        <v>1395</v>
      </c>
      <c r="Z55" s="41" t="s">
        <v>1</v>
      </c>
      <c r="AA55" s="29" t="str">
        <f t="shared" si="7"/>
        <v>Submetric contour line, its value must be less than 1m and can be 5 cm, 10 cm, 25 cm, etc. For adjustments of boxes or poles on the ground.</v>
      </c>
    </row>
    <row r="56" spans="1:27" ht="6.6" customHeight="1" x14ac:dyDescent="0.25">
      <c r="A56" s="73">
        <v>56</v>
      </c>
      <c r="B56" s="30" t="s">
        <v>1474</v>
      </c>
      <c r="C56" s="45" t="s">
        <v>909</v>
      </c>
      <c r="D56" s="45" t="s">
        <v>908</v>
      </c>
      <c r="E56" s="45" t="s">
        <v>911</v>
      </c>
      <c r="F56" s="45" t="s">
        <v>869</v>
      </c>
      <c r="G56" s="76" t="s">
        <v>1</v>
      </c>
      <c r="H56" s="76" t="s">
        <v>1</v>
      </c>
      <c r="I56" s="76" t="s">
        <v>1</v>
      </c>
      <c r="J56" s="76" t="s">
        <v>1</v>
      </c>
      <c r="K56" s="76" t="s">
        <v>1</v>
      </c>
      <c r="L56" s="44" t="str">
        <f t="shared" ref="L56" si="63">_xlfn.CONCAT(SUBSTITUTE(C56,"1.",""))</f>
        <v>Topografias</v>
      </c>
      <c r="M56" s="44" t="str">
        <f t="shared" ref="M56" si="64">_xlfn.CONCAT(SUBSTITUTE(D56,"."," "))</f>
        <v>Altimetrias</v>
      </c>
      <c r="N56" s="44" t="str">
        <f t="shared" ref="N56" si="65">_xlfn.CONCAT(SUBSTITUTE(E56,"."," "))</f>
        <v>Sondagens</v>
      </c>
      <c r="O56" s="44" t="str">
        <f t="shared" ref="O56" si="66">_xlfn.CONCAT(SUBSTITUTE(F56,"."," "))</f>
        <v>Ponto de Sondagem</v>
      </c>
      <c r="P56" s="44" t="s">
        <v>1038</v>
      </c>
      <c r="Q56" s="44" t="s">
        <v>1207</v>
      </c>
      <c r="R56" s="29" t="s">
        <v>1</v>
      </c>
      <c r="S56" s="29" t="str">
        <f t="shared" ref="S56" si="67">SUBSTITUTE(C56, ".", " ")</f>
        <v>Topografias</v>
      </c>
      <c r="T56" s="29" t="str">
        <f t="shared" ref="T56" si="68">SUBSTITUTE(D56, ".", " ")</f>
        <v>Altimetrias</v>
      </c>
      <c r="U56" s="29" t="str">
        <f t="shared" si="11"/>
        <v>Sondagens</v>
      </c>
      <c r="V56" s="29" t="s">
        <v>1476</v>
      </c>
      <c r="W56" s="66" t="str">
        <f t="shared" si="4"/>
        <v>Key-BRMG-56</v>
      </c>
      <c r="X56" s="29" t="s">
        <v>1342</v>
      </c>
      <c r="Y56" s="29" t="s">
        <v>1340</v>
      </c>
      <c r="Z56" s="41" t="s">
        <v>1</v>
      </c>
      <c r="AA56" s="29" t="str">
        <f t="shared" si="7"/>
        <v>Land polling point.</v>
      </c>
    </row>
    <row r="57" spans="1:27" ht="6.6" customHeight="1" x14ac:dyDescent="0.25">
      <c r="A57" s="73">
        <v>57</v>
      </c>
      <c r="B57" s="30" t="s">
        <v>1474</v>
      </c>
      <c r="C57" s="45" t="s">
        <v>966</v>
      </c>
      <c r="D57" s="45" t="s">
        <v>870</v>
      </c>
      <c r="E57" s="45" t="s">
        <v>905</v>
      </c>
      <c r="F57" s="45" t="s">
        <v>645</v>
      </c>
      <c r="G57" s="76" t="s">
        <v>1</v>
      </c>
      <c r="H57" s="76" t="str">
        <f>_xlfn.CONCAT("é.nomeado some ",C57)</f>
        <v>é.nomeado some Planejamentos</v>
      </c>
      <c r="I57" s="76" t="s">
        <v>1</v>
      </c>
      <c r="J57" s="76" t="str">
        <f>_xlfn.CONCAT("é.área.de.planejamento some ",E57)</f>
        <v>é.área.de.planejamento some Zonificações</v>
      </c>
      <c r="K57" s="76" t="str">
        <f>_xlfn.CONCAT("é.dentro.de some ",F26)</f>
        <v>é.dentro.de some Cidade</v>
      </c>
      <c r="L57" s="44" t="str">
        <f t="shared" si="8"/>
        <v>Planejamentos</v>
      </c>
      <c r="M57" s="44" t="str">
        <f t="shared" si="12"/>
        <v>Urbanísticos</v>
      </c>
      <c r="N57" s="44" t="str">
        <f t="shared" si="12"/>
        <v>Zonificações</v>
      </c>
      <c r="O57" s="44" t="str">
        <f t="shared" si="12"/>
        <v>Area de Planejamento</v>
      </c>
      <c r="P57" s="44" t="s">
        <v>1040</v>
      </c>
      <c r="Q57" s="44" t="s">
        <v>646</v>
      </c>
      <c r="R57" s="29" t="s">
        <v>1</v>
      </c>
      <c r="S57" s="29" t="str">
        <f t="shared" si="9"/>
        <v>Planejamentos</v>
      </c>
      <c r="T57" s="29" t="str">
        <f t="shared" si="10"/>
        <v>Urbanísticos</v>
      </c>
      <c r="U57" s="29" t="str">
        <f t="shared" si="11"/>
        <v>Zonificações</v>
      </c>
      <c r="V57" s="29" t="s">
        <v>1476</v>
      </c>
      <c r="W57" s="66" t="str">
        <f t="shared" si="4"/>
        <v>Key-BRMG-57</v>
      </c>
      <c r="X57" s="29" t="s">
        <v>1341</v>
      </c>
      <c r="Y57" s="29" t="s">
        <v>1340</v>
      </c>
      <c r="Z57" s="41" t="s">
        <v>1</v>
      </c>
      <c r="AA57" s="29" t="str">
        <f t="shared" si="7"/>
        <v>AP stands for Planning Area.</v>
      </c>
    </row>
    <row r="58" spans="1:27" ht="6.6" customHeight="1" x14ac:dyDescent="0.25">
      <c r="A58" s="73">
        <v>58</v>
      </c>
      <c r="B58" s="30" t="s">
        <v>1474</v>
      </c>
      <c r="C58" s="45" t="s">
        <v>966</v>
      </c>
      <c r="D58" s="45" t="s">
        <v>870</v>
      </c>
      <c r="E58" s="45" t="s">
        <v>905</v>
      </c>
      <c r="F58" s="45" t="s">
        <v>647</v>
      </c>
      <c r="G58" s="76" t="s">
        <v>1</v>
      </c>
      <c r="H58" s="76" t="s">
        <v>1</v>
      </c>
      <c r="I58" s="76" t="s">
        <v>1</v>
      </c>
      <c r="J58" s="76" t="str">
        <f>_xlfn.CONCAT("é.região.administrativa some ",E58)</f>
        <v>é.região.administrativa some Zonificações</v>
      </c>
      <c r="K58" s="76" t="str">
        <f>_xlfn.CONCAT("é.dentro.de some ",F57)</f>
        <v>é.dentro.de some Area.de.Planejamento</v>
      </c>
      <c r="L58" s="44" t="str">
        <f t="shared" si="8"/>
        <v>Planejamentos</v>
      </c>
      <c r="M58" s="44" t="str">
        <f t="shared" si="12"/>
        <v>Urbanísticos</v>
      </c>
      <c r="N58" s="44" t="str">
        <f t="shared" si="12"/>
        <v>Zonificações</v>
      </c>
      <c r="O58" s="44" t="str">
        <f t="shared" si="12"/>
        <v>Região Administrativa</v>
      </c>
      <c r="P58" s="44" t="s">
        <v>1039</v>
      </c>
      <c r="Q58" s="44" t="s">
        <v>648</v>
      </c>
      <c r="R58" s="29" t="s">
        <v>1</v>
      </c>
      <c r="S58" s="29" t="str">
        <f t="shared" si="9"/>
        <v>Planejamentos</v>
      </c>
      <c r="T58" s="29" t="str">
        <f t="shared" si="10"/>
        <v>Urbanísticos</v>
      </c>
      <c r="U58" s="29" t="str">
        <f t="shared" si="11"/>
        <v>Zonificações</v>
      </c>
      <c r="V58" s="29" t="s">
        <v>1476</v>
      </c>
      <c r="W58" s="66" t="str">
        <f t="shared" si="4"/>
        <v>Key-BRMG-58</v>
      </c>
      <c r="X58" s="29" t="s">
        <v>1341</v>
      </c>
      <c r="Y58" s="29" t="s">
        <v>1340</v>
      </c>
      <c r="Z58" s="41" t="s">
        <v>1</v>
      </c>
      <c r="AA58" s="29" t="str">
        <f t="shared" si="7"/>
        <v>RA stands for Administrative Region.</v>
      </c>
    </row>
    <row r="59" spans="1:27" ht="6.6" customHeight="1" x14ac:dyDescent="0.25">
      <c r="A59" s="73">
        <v>59</v>
      </c>
      <c r="B59" s="30" t="s">
        <v>1474</v>
      </c>
      <c r="C59" s="45" t="s">
        <v>966</v>
      </c>
      <c r="D59" s="45" t="s">
        <v>870</v>
      </c>
      <c r="E59" s="45" t="s">
        <v>905</v>
      </c>
      <c r="F59" s="45" t="s">
        <v>1003</v>
      </c>
      <c r="G59" s="76" t="s">
        <v>1</v>
      </c>
      <c r="H59" s="76" t="s">
        <v>1</v>
      </c>
      <c r="I59" s="76" t="s">
        <v>1</v>
      </c>
      <c r="J59" s="76" t="s">
        <v>1</v>
      </c>
      <c r="K59" s="76" t="s">
        <v>1</v>
      </c>
      <c r="L59" s="44" t="str">
        <f t="shared" si="8"/>
        <v>Planejamentos</v>
      </c>
      <c r="M59" s="44" t="str">
        <f t="shared" si="12"/>
        <v>Urbanísticos</v>
      </c>
      <c r="N59" s="44" t="str">
        <f t="shared" si="12"/>
        <v>Zonificações</v>
      </c>
      <c r="O59" s="44" t="str">
        <f t="shared" si="12"/>
        <v>Area de Interesse Especial</v>
      </c>
      <c r="P59" s="44" t="s">
        <v>1041</v>
      </c>
      <c r="Q59" s="44" t="s">
        <v>649</v>
      </c>
      <c r="R59" s="29" t="s">
        <v>1</v>
      </c>
      <c r="S59" s="29" t="str">
        <f t="shared" si="9"/>
        <v>Planejamentos</v>
      </c>
      <c r="T59" s="29" t="str">
        <f t="shared" si="10"/>
        <v>Urbanísticos</v>
      </c>
      <c r="U59" s="29" t="str">
        <f t="shared" si="11"/>
        <v>Zonificações</v>
      </c>
      <c r="V59" s="29" t="s">
        <v>1476</v>
      </c>
      <c r="W59" s="66" t="str">
        <f t="shared" si="4"/>
        <v>Key-BRMG-59</v>
      </c>
      <c r="X59" s="29" t="s">
        <v>1341</v>
      </c>
      <c r="Y59" s="29" t="s">
        <v>1340</v>
      </c>
      <c r="Z59" s="41" t="s">
        <v>1</v>
      </c>
      <c r="AA59" s="29" t="str">
        <f t="shared" si="7"/>
        <v>Area of Special Interest.</v>
      </c>
    </row>
    <row r="60" spans="1:27" ht="6.6" customHeight="1" x14ac:dyDescent="0.25">
      <c r="A60" s="73">
        <v>60</v>
      </c>
      <c r="B60" s="30" t="s">
        <v>1474</v>
      </c>
      <c r="C60" s="45" t="s">
        <v>966</v>
      </c>
      <c r="D60" s="45" t="s">
        <v>870</v>
      </c>
      <c r="E60" s="45" t="s">
        <v>905</v>
      </c>
      <c r="F60" s="45" t="s">
        <v>650</v>
      </c>
      <c r="G60" s="76" t="s">
        <v>1</v>
      </c>
      <c r="H60" s="76" t="s">
        <v>1</v>
      </c>
      <c r="I60" s="76" t="s">
        <v>1</v>
      </c>
      <c r="J60" s="76" t="s">
        <v>1</v>
      </c>
      <c r="K60" s="76" t="s">
        <v>1</v>
      </c>
      <c r="L60" s="44" t="str">
        <f t="shared" si="8"/>
        <v>Planejamentos</v>
      </c>
      <c r="M60" s="44" t="str">
        <f t="shared" ref="M60:O75" si="69">_xlfn.CONCAT(SUBSTITUTE(D60,"."," "))</f>
        <v>Urbanísticos</v>
      </c>
      <c r="N60" s="44" t="str">
        <f t="shared" si="69"/>
        <v>Zonificações</v>
      </c>
      <c r="O60" s="44" t="str">
        <f t="shared" si="69"/>
        <v>Area Restringida</v>
      </c>
      <c r="P60" s="44" t="s">
        <v>651</v>
      </c>
      <c r="Q60" s="44" t="s">
        <v>652</v>
      </c>
      <c r="R60" s="29" t="s">
        <v>1</v>
      </c>
      <c r="S60" s="29" t="str">
        <f t="shared" si="9"/>
        <v>Planejamentos</v>
      </c>
      <c r="T60" s="29" t="str">
        <f t="shared" si="10"/>
        <v>Urbanísticos</v>
      </c>
      <c r="U60" s="29" t="str">
        <f t="shared" si="11"/>
        <v>Zonificações</v>
      </c>
      <c r="V60" s="29" t="s">
        <v>1476</v>
      </c>
      <c r="W60" s="66" t="str">
        <f t="shared" si="4"/>
        <v>Key-BRMG-60</v>
      </c>
      <c r="X60" s="29" t="s">
        <v>1341</v>
      </c>
      <c r="Y60" s="29" t="s">
        <v>1340</v>
      </c>
      <c r="Z60" s="41" t="s">
        <v>1</v>
      </c>
      <c r="AA60" s="29" t="str">
        <f t="shared" si="7"/>
        <v>Area with occupancy restrictions</v>
      </c>
    </row>
    <row r="61" spans="1:27" ht="6.6" customHeight="1" x14ac:dyDescent="0.25">
      <c r="A61" s="73">
        <v>61</v>
      </c>
      <c r="B61" s="30" t="s">
        <v>1474</v>
      </c>
      <c r="C61" s="45" t="s">
        <v>966</v>
      </c>
      <c r="D61" s="45" t="s">
        <v>870</v>
      </c>
      <c r="E61" s="45" t="s">
        <v>905</v>
      </c>
      <c r="F61" s="45" t="s">
        <v>653</v>
      </c>
      <c r="G61" s="76" t="s">
        <v>1</v>
      </c>
      <c r="H61" s="76" t="s">
        <v>1</v>
      </c>
      <c r="I61" s="76" t="s">
        <v>1</v>
      </c>
      <c r="J61" s="76" t="s">
        <v>1</v>
      </c>
      <c r="K61" s="76" t="s">
        <v>654</v>
      </c>
      <c r="L61" s="44" t="str">
        <f t="shared" si="8"/>
        <v>Planejamentos</v>
      </c>
      <c r="M61" s="44" t="str">
        <f t="shared" si="69"/>
        <v>Urbanísticos</v>
      </c>
      <c r="N61" s="44" t="str">
        <f t="shared" si="69"/>
        <v>Zonificações</v>
      </c>
      <c r="O61" s="44" t="str">
        <f t="shared" si="69"/>
        <v>Zona</v>
      </c>
      <c r="P61" s="44" t="s">
        <v>1042</v>
      </c>
      <c r="Q61" s="44" t="s">
        <v>655</v>
      </c>
      <c r="R61" s="29" t="s">
        <v>1</v>
      </c>
      <c r="S61" s="29" t="str">
        <f t="shared" si="9"/>
        <v>Planejamentos</v>
      </c>
      <c r="T61" s="29" t="str">
        <f t="shared" si="10"/>
        <v>Urbanísticos</v>
      </c>
      <c r="U61" s="29" t="str">
        <f t="shared" si="11"/>
        <v>Zonificações</v>
      </c>
      <c r="V61" s="29" t="s">
        <v>1476</v>
      </c>
      <c r="W61" s="66" t="str">
        <f t="shared" si="4"/>
        <v>Key-BRMG-61</v>
      </c>
      <c r="X61" s="29" t="s">
        <v>1341</v>
      </c>
      <c r="Y61" s="29" t="s">
        <v>1340</v>
      </c>
      <c r="Z61" s="41" t="s">
        <v>1</v>
      </c>
      <c r="AA61" s="29" t="str">
        <f t="shared" si="7"/>
        <v>Areas of the city of Rio de Janeiro.</v>
      </c>
    </row>
    <row r="62" spans="1:27" ht="6.6" customHeight="1" x14ac:dyDescent="0.25">
      <c r="A62" s="73">
        <v>62</v>
      </c>
      <c r="B62" s="30" t="s">
        <v>1474</v>
      </c>
      <c r="C62" s="45" t="s">
        <v>966</v>
      </c>
      <c r="D62" s="45" t="s">
        <v>870</v>
      </c>
      <c r="E62" s="45" t="s">
        <v>905</v>
      </c>
      <c r="F62" s="45" t="s">
        <v>656</v>
      </c>
      <c r="G62" s="76" t="s">
        <v>1</v>
      </c>
      <c r="H62" s="76" t="s">
        <v>1</v>
      </c>
      <c r="I62" s="76" t="s">
        <v>1</v>
      </c>
      <c r="J62" s="76" t="s">
        <v>1</v>
      </c>
      <c r="K62" s="76" t="s">
        <v>654</v>
      </c>
      <c r="L62" s="44" t="str">
        <f t="shared" si="8"/>
        <v>Planejamentos</v>
      </c>
      <c r="M62" s="44" t="str">
        <f t="shared" si="69"/>
        <v>Urbanísticos</v>
      </c>
      <c r="N62" s="44" t="str">
        <f t="shared" si="69"/>
        <v>Zonificações</v>
      </c>
      <c r="O62" s="44" t="str">
        <f t="shared" si="69"/>
        <v>Bairro</v>
      </c>
      <c r="P62" s="44" t="s">
        <v>657</v>
      </c>
      <c r="Q62" s="44" t="s">
        <v>658</v>
      </c>
      <c r="R62" s="29" t="s">
        <v>1</v>
      </c>
      <c r="S62" s="29" t="str">
        <f t="shared" si="9"/>
        <v>Planejamentos</v>
      </c>
      <c r="T62" s="29" t="str">
        <f t="shared" si="10"/>
        <v>Urbanísticos</v>
      </c>
      <c r="U62" s="29" t="str">
        <f t="shared" si="11"/>
        <v>Zonificações</v>
      </c>
      <c r="V62" s="29" t="s">
        <v>1476</v>
      </c>
      <c r="W62" s="66" t="str">
        <f t="shared" si="4"/>
        <v>Key-BRMG-62</v>
      </c>
      <c r="X62" s="29" t="s">
        <v>1341</v>
      </c>
      <c r="Y62" s="29" t="s">
        <v>1340</v>
      </c>
      <c r="Z62" s="41" t="s">
        <v>1</v>
      </c>
      <c r="AA62" s="29" t="str">
        <f t="shared" si="7"/>
        <v>City Neighborhood</v>
      </c>
    </row>
    <row r="63" spans="1:27" ht="6.6" customHeight="1" x14ac:dyDescent="0.25">
      <c r="A63" s="73">
        <v>63</v>
      </c>
      <c r="B63" s="30" t="s">
        <v>1474</v>
      </c>
      <c r="C63" s="45" t="s">
        <v>966</v>
      </c>
      <c r="D63" s="45" t="s">
        <v>870</v>
      </c>
      <c r="E63" s="45" t="s">
        <v>905</v>
      </c>
      <c r="F63" s="45" t="s">
        <v>906</v>
      </c>
      <c r="G63" s="76" t="s">
        <v>1</v>
      </c>
      <c r="H63" s="76" t="s">
        <v>1</v>
      </c>
      <c r="I63" s="76" t="s">
        <v>1</v>
      </c>
      <c r="J63" s="76" t="s">
        <v>1</v>
      </c>
      <c r="K63" s="76" t="s">
        <v>654</v>
      </c>
      <c r="L63" s="44" t="str">
        <f t="shared" si="8"/>
        <v>Planejamentos</v>
      </c>
      <c r="M63" s="44" t="str">
        <f t="shared" si="69"/>
        <v>Urbanísticos</v>
      </c>
      <c r="N63" s="44" t="str">
        <f t="shared" si="69"/>
        <v>Zonificações</v>
      </c>
      <c r="O63" s="44" t="str">
        <f t="shared" si="69"/>
        <v>Zona de Uso</v>
      </c>
      <c r="P63" s="44" t="s">
        <v>1043</v>
      </c>
      <c r="Q63" s="44" t="s">
        <v>659</v>
      </c>
      <c r="R63" s="29" t="s">
        <v>1</v>
      </c>
      <c r="S63" s="29" t="str">
        <f t="shared" si="9"/>
        <v>Planejamentos</v>
      </c>
      <c r="T63" s="29" t="str">
        <f t="shared" si="10"/>
        <v>Urbanísticos</v>
      </c>
      <c r="U63" s="29" t="str">
        <f t="shared" si="11"/>
        <v>Zonificações</v>
      </c>
      <c r="V63" s="29" t="s">
        <v>1476</v>
      </c>
      <c r="W63" s="66" t="str">
        <f t="shared" si="4"/>
        <v>Key-BRMG-63</v>
      </c>
      <c r="X63" s="29" t="s">
        <v>1341</v>
      </c>
      <c r="Y63" s="29" t="s">
        <v>1340</v>
      </c>
      <c r="Z63" s="41" t="s">
        <v>1</v>
      </c>
      <c r="AA63" s="29" t="str">
        <f t="shared" si="7"/>
        <v>Zone of use of the municipal zoning of the city of Rio de Janeiro.</v>
      </c>
    </row>
    <row r="64" spans="1:27" ht="6.6" customHeight="1" x14ac:dyDescent="0.25">
      <c r="A64" s="73">
        <v>64</v>
      </c>
      <c r="B64" s="30" t="s">
        <v>1474</v>
      </c>
      <c r="C64" s="45" t="s">
        <v>966</v>
      </c>
      <c r="D64" s="45" t="s">
        <v>870</v>
      </c>
      <c r="E64" s="45" t="s">
        <v>905</v>
      </c>
      <c r="F64" s="45" t="s">
        <v>660</v>
      </c>
      <c r="G64" s="76" t="s">
        <v>1</v>
      </c>
      <c r="H64" s="76" t="s">
        <v>1</v>
      </c>
      <c r="I64" s="76" t="s">
        <v>1</v>
      </c>
      <c r="J64" s="76" t="s">
        <v>1</v>
      </c>
      <c r="K64" s="76" t="s">
        <v>654</v>
      </c>
      <c r="L64" s="44" t="str">
        <f t="shared" si="8"/>
        <v>Planejamentos</v>
      </c>
      <c r="M64" s="44" t="str">
        <f t="shared" si="69"/>
        <v>Urbanísticos</v>
      </c>
      <c r="N64" s="44" t="str">
        <f t="shared" si="69"/>
        <v>Zonificações</v>
      </c>
      <c r="O64" s="44" t="str">
        <f t="shared" si="69"/>
        <v>Macrozona</v>
      </c>
      <c r="P64" s="44" t="s">
        <v>657</v>
      </c>
      <c r="Q64" s="44" t="s">
        <v>658</v>
      </c>
      <c r="R64" s="29" t="s">
        <v>1</v>
      </c>
      <c r="S64" s="29" t="str">
        <f t="shared" si="9"/>
        <v>Planejamentos</v>
      </c>
      <c r="T64" s="29" t="str">
        <f t="shared" si="10"/>
        <v>Urbanísticos</v>
      </c>
      <c r="U64" s="29" t="str">
        <f t="shared" si="11"/>
        <v>Zonificações</v>
      </c>
      <c r="V64" s="29" t="s">
        <v>1476</v>
      </c>
      <c r="W64" s="66" t="str">
        <f t="shared" si="4"/>
        <v>Key-BRMG-64</v>
      </c>
      <c r="X64" s="29" t="s">
        <v>1341</v>
      </c>
      <c r="Y64" s="29" t="s">
        <v>1398</v>
      </c>
      <c r="Z64" s="41" t="s">
        <v>1</v>
      </c>
      <c r="AA64" s="29" t="str">
        <f t="shared" si="7"/>
        <v>City Neighborhood</v>
      </c>
    </row>
    <row r="65" spans="1:27" ht="6.6" customHeight="1" x14ac:dyDescent="0.25">
      <c r="A65" s="73">
        <v>65</v>
      </c>
      <c r="B65" s="30" t="s">
        <v>1474</v>
      </c>
      <c r="C65" s="45" t="s">
        <v>966</v>
      </c>
      <c r="D65" s="45" t="s">
        <v>870</v>
      </c>
      <c r="E65" s="45" t="s">
        <v>904</v>
      </c>
      <c r="F65" s="45" t="s">
        <v>661</v>
      </c>
      <c r="G65" s="76" t="s">
        <v>1</v>
      </c>
      <c r="H65" s="76" t="s">
        <v>1</v>
      </c>
      <c r="I65" s="76" t="s">
        <v>1</v>
      </c>
      <c r="J65" s="76" t="s">
        <v>1</v>
      </c>
      <c r="K65" s="76" t="s">
        <v>662</v>
      </c>
      <c r="L65" s="44" t="str">
        <f t="shared" si="8"/>
        <v>Planejamentos</v>
      </c>
      <c r="M65" s="44" t="str">
        <f t="shared" si="69"/>
        <v>Urbanísticos</v>
      </c>
      <c r="N65" s="44" t="str">
        <f t="shared" si="69"/>
        <v>Frações</v>
      </c>
      <c r="O65" s="44" t="str">
        <f t="shared" si="69"/>
        <v>Quadra</v>
      </c>
      <c r="P65" s="44" t="s">
        <v>1044</v>
      </c>
      <c r="Q65" s="44" t="s">
        <v>663</v>
      </c>
      <c r="R65" s="29" t="s">
        <v>1</v>
      </c>
      <c r="S65" s="29" t="str">
        <f t="shared" si="9"/>
        <v>Planejamentos</v>
      </c>
      <c r="T65" s="29" t="str">
        <f t="shared" si="10"/>
        <v>Urbanísticos</v>
      </c>
      <c r="U65" s="29" t="str">
        <f t="shared" si="11"/>
        <v>Frações</v>
      </c>
      <c r="V65" s="29" t="s">
        <v>1476</v>
      </c>
      <c r="W65" s="66" t="str">
        <f t="shared" si="4"/>
        <v>Key-BRMG-65</v>
      </c>
      <c r="X65" s="29" t="s">
        <v>1351</v>
      </c>
      <c r="Y65" s="29" t="s">
        <v>1398</v>
      </c>
      <c r="Z65" s="41" t="s">
        <v>1</v>
      </c>
      <c r="AA65" s="29" t="str">
        <f t="shared" si="7"/>
        <v>Block of a neighborhood.</v>
      </c>
    </row>
    <row r="66" spans="1:27" ht="6.6" customHeight="1" x14ac:dyDescent="0.25">
      <c r="A66" s="73">
        <v>66</v>
      </c>
      <c r="B66" s="30" t="s">
        <v>1474</v>
      </c>
      <c r="C66" s="45" t="s">
        <v>966</v>
      </c>
      <c r="D66" s="45" t="s">
        <v>870</v>
      </c>
      <c r="E66" s="45" t="s">
        <v>904</v>
      </c>
      <c r="F66" s="45" t="s">
        <v>664</v>
      </c>
      <c r="G66" s="76" t="s">
        <v>1</v>
      </c>
      <c r="H66" s="76" t="s">
        <v>1</v>
      </c>
      <c r="I66" s="76" t="s">
        <v>1</v>
      </c>
      <c r="J66" s="76" t="s">
        <v>1</v>
      </c>
      <c r="K66" s="76" t="s">
        <v>1</v>
      </c>
      <c r="L66" s="44" t="str">
        <f t="shared" si="8"/>
        <v>Planejamentos</v>
      </c>
      <c r="M66" s="44" t="str">
        <f t="shared" si="69"/>
        <v>Urbanísticos</v>
      </c>
      <c r="N66" s="44" t="str">
        <f t="shared" si="69"/>
        <v>Frações</v>
      </c>
      <c r="O66" s="44" t="str">
        <f t="shared" si="69"/>
        <v>Gleba</v>
      </c>
      <c r="P66" s="44" t="s">
        <v>1045</v>
      </c>
      <c r="Q66" s="44" t="s">
        <v>665</v>
      </c>
      <c r="R66" s="29" t="s">
        <v>1</v>
      </c>
      <c r="S66" s="29" t="str">
        <f t="shared" si="9"/>
        <v>Planejamentos</v>
      </c>
      <c r="T66" s="29" t="str">
        <f t="shared" si="10"/>
        <v>Urbanísticos</v>
      </c>
      <c r="U66" s="29" t="str">
        <f t="shared" si="11"/>
        <v>Frações</v>
      </c>
      <c r="V66" s="29" t="s">
        <v>1476</v>
      </c>
      <c r="W66" s="66" t="str">
        <f t="shared" si="4"/>
        <v>Key-BRMG-66</v>
      </c>
      <c r="X66" s="29" t="s">
        <v>1351</v>
      </c>
      <c r="Y66" s="29" t="s">
        <v>1399</v>
      </c>
      <c r="Z66" s="41" t="s">
        <v>1</v>
      </c>
      <c r="AA66" s="29" t="str">
        <f t="shared" si="7"/>
        <v>Large land that has not yet been subdivided.</v>
      </c>
    </row>
    <row r="67" spans="1:27" ht="6.6" customHeight="1" x14ac:dyDescent="0.25">
      <c r="A67" s="73">
        <v>67</v>
      </c>
      <c r="B67" s="30" t="s">
        <v>1474</v>
      </c>
      <c r="C67" s="45" t="s">
        <v>966</v>
      </c>
      <c r="D67" s="45" t="s">
        <v>870</v>
      </c>
      <c r="E67" s="45" t="s">
        <v>904</v>
      </c>
      <c r="F67" s="45" t="s">
        <v>666</v>
      </c>
      <c r="G67" s="76" t="s">
        <v>1</v>
      </c>
      <c r="H67" s="76" t="s">
        <v>1</v>
      </c>
      <c r="I67" s="76" t="s">
        <v>1</v>
      </c>
      <c r="J67" s="76" t="s">
        <v>1</v>
      </c>
      <c r="K67" s="76" t="s">
        <v>1</v>
      </c>
      <c r="L67" s="44" t="str">
        <f t="shared" si="8"/>
        <v>Planejamentos</v>
      </c>
      <c r="M67" s="44" t="str">
        <f t="shared" si="69"/>
        <v>Urbanísticos</v>
      </c>
      <c r="N67" s="44" t="str">
        <f t="shared" si="69"/>
        <v>Frações</v>
      </c>
      <c r="O67" s="44" t="str">
        <f t="shared" si="69"/>
        <v>Loteamento</v>
      </c>
      <c r="P67" s="44" t="s">
        <v>1050</v>
      </c>
      <c r="Q67" s="44" t="s">
        <v>667</v>
      </c>
      <c r="R67" s="29" t="s">
        <v>1</v>
      </c>
      <c r="S67" s="29" t="str">
        <f t="shared" si="9"/>
        <v>Planejamentos</v>
      </c>
      <c r="T67" s="29" t="str">
        <f t="shared" si="10"/>
        <v>Urbanísticos</v>
      </c>
      <c r="U67" s="29" t="str">
        <f t="shared" si="11"/>
        <v>Frações</v>
      </c>
      <c r="V67" s="29" t="s">
        <v>1476</v>
      </c>
      <c r="W67" s="66" t="str">
        <f t="shared" ref="W67:W130" si="70">CONCATENATE("Key-BRMG-",A67)</f>
        <v>Key-BRMG-67</v>
      </c>
      <c r="X67" s="29" t="s">
        <v>1352</v>
      </c>
      <c r="Y67" s="29" t="s">
        <v>1399</v>
      </c>
      <c r="Z67" s="41" t="s">
        <v>1</v>
      </c>
      <c r="AA67" s="29" t="str">
        <f t="shared" si="7"/>
        <v>Urban allotment.</v>
      </c>
    </row>
    <row r="68" spans="1:27" ht="6.6" customHeight="1" x14ac:dyDescent="0.25">
      <c r="A68" s="73">
        <v>68</v>
      </c>
      <c r="B68" s="30" t="s">
        <v>1474</v>
      </c>
      <c r="C68" s="45" t="s">
        <v>966</v>
      </c>
      <c r="D68" s="45" t="s">
        <v>870</v>
      </c>
      <c r="E68" s="45" t="s">
        <v>904</v>
      </c>
      <c r="F68" s="45" t="s">
        <v>668</v>
      </c>
      <c r="G68" s="76" t="s">
        <v>1</v>
      </c>
      <c r="H68" s="76" t="s">
        <v>1</v>
      </c>
      <c r="I68" s="76" t="s">
        <v>1</v>
      </c>
      <c r="J68" s="76" t="s">
        <v>1</v>
      </c>
      <c r="K68" s="76" t="s">
        <v>1</v>
      </c>
      <c r="L68" s="44" t="str">
        <f t="shared" si="8"/>
        <v>Planejamentos</v>
      </c>
      <c r="M68" s="44" t="str">
        <f t="shared" si="69"/>
        <v>Urbanísticos</v>
      </c>
      <c r="N68" s="44" t="str">
        <f t="shared" si="69"/>
        <v>Frações</v>
      </c>
      <c r="O68" s="44" t="str">
        <f t="shared" si="69"/>
        <v>Parcela</v>
      </c>
      <c r="P68" s="44" t="s">
        <v>1046</v>
      </c>
      <c r="Q68" s="44" t="s">
        <v>669</v>
      </c>
      <c r="R68" s="29" t="s">
        <v>1</v>
      </c>
      <c r="S68" s="29" t="str">
        <f t="shared" si="9"/>
        <v>Planejamentos</v>
      </c>
      <c r="T68" s="29" t="str">
        <f t="shared" si="10"/>
        <v>Urbanísticos</v>
      </c>
      <c r="U68" s="29" t="str">
        <f t="shared" si="11"/>
        <v>Frações</v>
      </c>
      <c r="V68" s="29" t="s">
        <v>1476</v>
      </c>
      <c r="W68" s="66" t="str">
        <f t="shared" si="70"/>
        <v>Key-BRMG-68</v>
      </c>
      <c r="X68" s="29" t="s">
        <v>1352</v>
      </c>
      <c r="Y68" s="29" t="s">
        <v>1399</v>
      </c>
      <c r="Z68" s="41" t="s">
        <v>1</v>
      </c>
      <c r="AA68" s="29" t="str">
        <f t="shared" si="7"/>
        <v>Urban parcel.</v>
      </c>
    </row>
    <row r="69" spans="1:27" ht="6.6" customHeight="1" x14ac:dyDescent="0.25">
      <c r="A69" s="73">
        <v>69</v>
      </c>
      <c r="B69" s="30" t="s">
        <v>1474</v>
      </c>
      <c r="C69" s="45" t="s">
        <v>966</v>
      </c>
      <c r="D69" s="45" t="s">
        <v>870</v>
      </c>
      <c r="E69" s="45" t="s">
        <v>904</v>
      </c>
      <c r="F69" s="45" t="s">
        <v>670</v>
      </c>
      <c r="G69" s="76" t="s">
        <v>1</v>
      </c>
      <c r="H69" s="76" t="s">
        <v>1</v>
      </c>
      <c r="I69" s="76" t="s">
        <v>1</v>
      </c>
      <c r="J69" s="76" t="s">
        <v>1</v>
      </c>
      <c r="K69" s="76" t="s">
        <v>1</v>
      </c>
      <c r="L69" s="44" t="str">
        <f t="shared" si="8"/>
        <v>Planejamentos</v>
      </c>
      <c r="M69" s="44" t="str">
        <f t="shared" si="69"/>
        <v>Urbanísticos</v>
      </c>
      <c r="N69" s="44" t="str">
        <f t="shared" si="69"/>
        <v>Frações</v>
      </c>
      <c r="O69" s="44" t="str">
        <f t="shared" si="69"/>
        <v>Lote</v>
      </c>
      <c r="P69" s="44" t="s">
        <v>1047</v>
      </c>
      <c r="Q69" s="44" t="s">
        <v>671</v>
      </c>
      <c r="R69" s="29" t="s">
        <v>1</v>
      </c>
      <c r="S69" s="29" t="str">
        <f t="shared" si="9"/>
        <v>Planejamentos</v>
      </c>
      <c r="T69" s="29" t="str">
        <f t="shared" si="10"/>
        <v>Urbanísticos</v>
      </c>
      <c r="U69" s="29" t="str">
        <f t="shared" si="11"/>
        <v>Frações</v>
      </c>
      <c r="V69" s="29" t="s">
        <v>1476</v>
      </c>
      <c r="W69" s="66" t="str">
        <f t="shared" si="70"/>
        <v>Key-BRMG-69</v>
      </c>
      <c r="X69" s="29" t="s">
        <v>1352</v>
      </c>
      <c r="Y69" s="29" t="s">
        <v>1340</v>
      </c>
      <c r="Z69" s="41" t="s">
        <v>1</v>
      </c>
      <c r="AA69" s="29" t="str">
        <f t="shared" si="7"/>
        <v>Urban lot.</v>
      </c>
    </row>
    <row r="70" spans="1:27" ht="6.6" customHeight="1" x14ac:dyDescent="0.25">
      <c r="A70" s="73">
        <v>70</v>
      </c>
      <c r="B70" s="30" t="s">
        <v>1474</v>
      </c>
      <c r="C70" s="45" t="s">
        <v>967</v>
      </c>
      <c r="D70" s="45" t="s">
        <v>871</v>
      </c>
      <c r="E70" s="45" t="s">
        <v>968</v>
      </c>
      <c r="F70" s="45" t="s">
        <v>57</v>
      </c>
      <c r="G70" s="76" t="s">
        <v>1</v>
      </c>
      <c r="H70" s="76" t="s">
        <v>1</v>
      </c>
      <c r="I70" s="76" t="s">
        <v>1</v>
      </c>
      <c r="J70" s="76" t="s">
        <v>1</v>
      </c>
      <c r="K70" s="76" t="str">
        <f>_xlfn.CONCAT("é.dentro.de some ",F69)</f>
        <v>é.dentro.de some Lote</v>
      </c>
      <c r="L70" s="44" t="str">
        <f t="shared" si="8"/>
        <v>Ocupações</v>
      </c>
      <c r="M70" s="44" t="str">
        <f t="shared" si="69"/>
        <v>Prediais</v>
      </c>
      <c r="N70" s="44" t="str">
        <f t="shared" si="69"/>
        <v>Construídas</v>
      </c>
      <c r="O70" s="44" t="str">
        <f t="shared" si="69"/>
        <v>Prédio</v>
      </c>
      <c r="P70" s="44" t="s">
        <v>1049</v>
      </c>
      <c r="Q70" s="44" t="s">
        <v>1208</v>
      </c>
      <c r="R70" s="29" t="s">
        <v>1</v>
      </c>
      <c r="S70" s="29" t="str">
        <f t="shared" si="9"/>
        <v>Ocupações</v>
      </c>
      <c r="T70" s="29" t="str">
        <f t="shared" si="10"/>
        <v>Prediais</v>
      </c>
      <c r="U70" s="29" t="str">
        <f t="shared" si="11"/>
        <v>Construídas</v>
      </c>
      <c r="V70" s="29" t="s">
        <v>1476</v>
      </c>
      <c r="W70" s="66" t="str">
        <f t="shared" si="70"/>
        <v>Key-BRMG-70</v>
      </c>
      <c r="X70" s="29" t="s">
        <v>1341</v>
      </c>
      <c r="Y70" s="29" t="s">
        <v>1340</v>
      </c>
      <c r="Z70" s="41" t="s">
        <v>1</v>
      </c>
      <c r="AA70" s="29" t="str">
        <f t="shared" si="7"/>
        <v>Building.</v>
      </c>
    </row>
    <row r="71" spans="1:27" ht="6.6" customHeight="1" x14ac:dyDescent="0.25">
      <c r="A71" s="73">
        <v>71</v>
      </c>
      <c r="B71" s="30" t="s">
        <v>1474</v>
      </c>
      <c r="C71" s="45" t="s">
        <v>967</v>
      </c>
      <c r="D71" s="45" t="s">
        <v>871</v>
      </c>
      <c r="E71" s="45" t="s">
        <v>968</v>
      </c>
      <c r="F71" s="45" t="s">
        <v>672</v>
      </c>
      <c r="G71" s="76" t="s">
        <v>1</v>
      </c>
      <c r="H71" s="76" t="s">
        <v>1</v>
      </c>
      <c r="I71" s="76" t="s">
        <v>1</v>
      </c>
      <c r="J71" s="76" t="s">
        <v>1</v>
      </c>
      <c r="K71" s="76" t="str">
        <f>_xlfn.CONCAT("é.dentro.de some ",F69)</f>
        <v>é.dentro.de some Lote</v>
      </c>
      <c r="L71" s="44" t="str">
        <f t="shared" si="8"/>
        <v>Ocupações</v>
      </c>
      <c r="M71" s="44" t="str">
        <f t="shared" si="69"/>
        <v>Prediais</v>
      </c>
      <c r="N71" s="44" t="str">
        <f t="shared" si="69"/>
        <v>Construídas</v>
      </c>
      <c r="O71" s="44" t="str">
        <f t="shared" si="69"/>
        <v>Bloco</v>
      </c>
      <c r="P71" s="44" t="s">
        <v>1048</v>
      </c>
      <c r="Q71" s="44" t="s">
        <v>673</v>
      </c>
      <c r="R71" s="29" t="s">
        <v>1</v>
      </c>
      <c r="S71" s="29" t="str">
        <f t="shared" si="9"/>
        <v>Ocupações</v>
      </c>
      <c r="T71" s="29" t="str">
        <f t="shared" si="10"/>
        <v>Prediais</v>
      </c>
      <c r="U71" s="29" t="str">
        <f t="shared" si="11"/>
        <v>Construídas</v>
      </c>
      <c r="V71" s="29" t="s">
        <v>1476</v>
      </c>
      <c r="W71" s="66" t="str">
        <f t="shared" si="70"/>
        <v>Key-BRMG-71</v>
      </c>
      <c r="X71" s="29" t="s">
        <v>1341</v>
      </c>
      <c r="Y71" s="29" t="s">
        <v>1340</v>
      </c>
      <c r="Z71" s="41" t="s">
        <v>1</v>
      </c>
      <c r="AA71" s="29" t="str">
        <f t="shared" si="7"/>
        <v>Built block.</v>
      </c>
    </row>
    <row r="72" spans="1:27" ht="6.6" customHeight="1" x14ac:dyDescent="0.25">
      <c r="A72" s="73">
        <v>72</v>
      </c>
      <c r="B72" s="30" t="s">
        <v>1474</v>
      </c>
      <c r="C72" s="45" t="s">
        <v>967</v>
      </c>
      <c r="D72" s="45" t="s">
        <v>871</v>
      </c>
      <c r="E72" s="45" t="s">
        <v>968</v>
      </c>
      <c r="F72" s="45" t="s">
        <v>674</v>
      </c>
      <c r="G72" s="76" t="s">
        <v>1</v>
      </c>
      <c r="H72" s="76" t="s">
        <v>1</v>
      </c>
      <c r="I72" s="76" t="s">
        <v>1</v>
      </c>
      <c r="J72" s="76" t="s">
        <v>1</v>
      </c>
      <c r="K72" s="76" t="str">
        <f>_xlfn.CONCAT("é.dentro.de some ",F69)</f>
        <v>é.dentro.de some Lote</v>
      </c>
      <c r="L72" s="44" t="str">
        <f t="shared" si="8"/>
        <v>Ocupações</v>
      </c>
      <c r="M72" s="44" t="str">
        <f t="shared" si="69"/>
        <v>Prediais</v>
      </c>
      <c r="N72" s="44" t="str">
        <f t="shared" si="69"/>
        <v>Construídas</v>
      </c>
      <c r="O72" s="44" t="str">
        <f t="shared" si="69"/>
        <v>Edifício</v>
      </c>
      <c r="P72" s="44" t="s">
        <v>1051</v>
      </c>
      <c r="Q72" s="44" t="s">
        <v>675</v>
      </c>
      <c r="R72" s="29" t="s">
        <v>1</v>
      </c>
      <c r="S72" s="29" t="str">
        <f t="shared" si="9"/>
        <v>Ocupações</v>
      </c>
      <c r="T72" s="29" t="str">
        <f t="shared" si="10"/>
        <v>Prediais</v>
      </c>
      <c r="U72" s="29" t="str">
        <f t="shared" si="11"/>
        <v>Construídas</v>
      </c>
      <c r="V72" s="29" t="s">
        <v>1476</v>
      </c>
      <c r="W72" s="66" t="str">
        <f t="shared" si="70"/>
        <v>Key-BRMG-72</v>
      </c>
      <c r="X72" s="29" t="s">
        <v>1341</v>
      </c>
      <c r="Y72" s="29" t="s">
        <v>1340</v>
      </c>
      <c r="Z72" s="41" t="s">
        <v>1</v>
      </c>
      <c r="AA72" s="29" t="str">
        <f t="shared" si="7"/>
        <v>Building.</v>
      </c>
    </row>
    <row r="73" spans="1:27" ht="6.6" customHeight="1" x14ac:dyDescent="0.25">
      <c r="A73" s="73">
        <v>73</v>
      </c>
      <c r="B73" s="30" t="s">
        <v>1474</v>
      </c>
      <c r="C73" s="45" t="s">
        <v>967</v>
      </c>
      <c r="D73" s="45" t="s">
        <v>871</v>
      </c>
      <c r="E73" s="45" t="s">
        <v>968</v>
      </c>
      <c r="F73" s="45" t="s">
        <v>676</v>
      </c>
      <c r="G73" s="76" t="s">
        <v>1</v>
      </c>
      <c r="H73" s="76" t="s">
        <v>1</v>
      </c>
      <c r="I73" s="76" t="s">
        <v>1</v>
      </c>
      <c r="J73" s="76" t="s">
        <v>1</v>
      </c>
      <c r="K73" s="76" t="str">
        <f>_xlfn.CONCAT("é.dentro.de some ",F68)</f>
        <v>é.dentro.de some Parcela</v>
      </c>
      <c r="L73" s="44" t="str">
        <f t="shared" si="8"/>
        <v>Ocupações</v>
      </c>
      <c r="M73" s="44" t="str">
        <f t="shared" si="69"/>
        <v>Prediais</v>
      </c>
      <c r="N73" s="44" t="str">
        <f t="shared" si="69"/>
        <v>Construídas</v>
      </c>
      <c r="O73" s="44" t="str">
        <f t="shared" si="69"/>
        <v>Casa</v>
      </c>
      <c r="P73" s="44" t="s">
        <v>1054</v>
      </c>
      <c r="Q73" s="44" t="s">
        <v>676</v>
      </c>
      <c r="R73" s="29" t="s">
        <v>1</v>
      </c>
      <c r="S73" s="29" t="str">
        <f t="shared" si="9"/>
        <v>Ocupações</v>
      </c>
      <c r="T73" s="29" t="str">
        <f t="shared" si="10"/>
        <v>Prediais</v>
      </c>
      <c r="U73" s="29" t="str">
        <f t="shared" si="11"/>
        <v>Construídas</v>
      </c>
      <c r="V73" s="29" t="s">
        <v>1476</v>
      </c>
      <c r="W73" s="66" t="str">
        <f t="shared" si="70"/>
        <v>Key-BRMG-73</v>
      </c>
      <c r="X73" s="29" t="s">
        <v>1341</v>
      </c>
      <c r="Y73" s="29" t="s">
        <v>1340</v>
      </c>
      <c r="Z73" s="41" t="s">
        <v>1</v>
      </c>
      <c r="AA73" s="29" t="str">
        <f t="shared" ref="AA73:AA136" si="71">_xlfn.TRANSLATE(P73,"pt","en")</f>
        <v>Home.</v>
      </c>
    </row>
    <row r="74" spans="1:27" ht="6.6" customHeight="1" x14ac:dyDescent="0.25">
      <c r="A74" s="73">
        <v>74</v>
      </c>
      <c r="B74" s="30" t="s">
        <v>1474</v>
      </c>
      <c r="C74" s="45" t="s">
        <v>967</v>
      </c>
      <c r="D74" s="45" t="s">
        <v>871</v>
      </c>
      <c r="E74" s="45" t="s">
        <v>968</v>
      </c>
      <c r="F74" s="45" t="s">
        <v>677</v>
      </c>
      <c r="G74" s="76" t="s">
        <v>1</v>
      </c>
      <c r="H74" s="76" t="s">
        <v>1</v>
      </c>
      <c r="I74" s="76" t="s">
        <v>1</v>
      </c>
      <c r="J74" s="76" t="s">
        <v>1</v>
      </c>
      <c r="K74" s="76" t="str">
        <f>_xlfn.CONCAT("é.dentro.de some ",F69)</f>
        <v>é.dentro.de some Lote</v>
      </c>
      <c r="L74" s="44" t="str">
        <f t="shared" si="8"/>
        <v>Ocupações</v>
      </c>
      <c r="M74" s="44" t="str">
        <f t="shared" si="69"/>
        <v>Prediais</v>
      </c>
      <c r="N74" s="44" t="str">
        <f t="shared" si="69"/>
        <v>Construídas</v>
      </c>
      <c r="O74" s="44" t="str">
        <f t="shared" si="69"/>
        <v>HIS</v>
      </c>
      <c r="P74" s="44" t="s">
        <v>1052</v>
      </c>
      <c r="Q74" s="44" t="s">
        <v>678</v>
      </c>
      <c r="R74" s="29" t="s">
        <v>1</v>
      </c>
      <c r="S74" s="29" t="str">
        <f t="shared" si="9"/>
        <v>Ocupações</v>
      </c>
      <c r="T74" s="29" t="str">
        <f t="shared" si="10"/>
        <v>Prediais</v>
      </c>
      <c r="U74" s="29" t="str">
        <f t="shared" si="11"/>
        <v>Construídas</v>
      </c>
      <c r="V74" s="29" t="s">
        <v>1476</v>
      </c>
      <c r="W74" s="66" t="str">
        <f t="shared" si="70"/>
        <v>Key-BRMG-74</v>
      </c>
      <c r="X74" s="29" t="s">
        <v>1341</v>
      </c>
      <c r="Y74" s="29" t="s">
        <v>1340</v>
      </c>
      <c r="Z74" s="41" t="s">
        <v>1</v>
      </c>
      <c r="AA74" s="29" t="str">
        <f t="shared" si="71"/>
        <v>Social Interest Housing.</v>
      </c>
    </row>
    <row r="75" spans="1:27" ht="6.6" customHeight="1" x14ac:dyDescent="0.25">
      <c r="A75" s="73">
        <v>75</v>
      </c>
      <c r="B75" s="30" t="s">
        <v>1474</v>
      </c>
      <c r="C75" s="45" t="s">
        <v>967</v>
      </c>
      <c r="D75" s="45" t="s">
        <v>871</v>
      </c>
      <c r="E75" s="45" t="s">
        <v>968</v>
      </c>
      <c r="F75" s="45" t="s">
        <v>679</v>
      </c>
      <c r="G75" s="76" t="s">
        <v>1</v>
      </c>
      <c r="H75" s="76" t="s">
        <v>1</v>
      </c>
      <c r="I75" s="76" t="s">
        <v>1</v>
      </c>
      <c r="J75" s="76" t="s">
        <v>1</v>
      </c>
      <c r="K75" s="76" t="s">
        <v>680</v>
      </c>
      <c r="L75" s="44" t="str">
        <f t="shared" si="8"/>
        <v>Ocupações</v>
      </c>
      <c r="M75" s="44" t="str">
        <f t="shared" si="69"/>
        <v>Prediais</v>
      </c>
      <c r="N75" s="44" t="str">
        <f t="shared" si="69"/>
        <v>Construídas</v>
      </c>
      <c r="O75" s="44" t="str">
        <f t="shared" si="69"/>
        <v>Galpão</v>
      </c>
      <c r="P75" s="44" t="s">
        <v>1055</v>
      </c>
      <c r="Q75" s="44" t="s">
        <v>681</v>
      </c>
      <c r="R75" s="29" t="s">
        <v>1</v>
      </c>
      <c r="S75" s="29" t="str">
        <f t="shared" si="9"/>
        <v>Ocupações</v>
      </c>
      <c r="T75" s="29" t="str">
        <f t="shared" si="10"/>
        <v>Prediais</v>
      </c>
      <c r="U75" s="29" t="str">
        <f t="shared" si="11"/>
        <v>Construídas</v>
      </c>
      <c r="V75" s="29" t="s">
        <v>1476</v>
      </c>
      <c r="W75" s="66" t="str">
        <f t="shared" si="70"/>
        <v>Key-BRMG-75</v>
      </c>
      <c r="X75" s="29" t="s">
        <v>1341</v>
      </c>
      <c r="Y75" s="29" t="s">
        <v>1340</v>
      </c>
      <c r="Z75" s="41" t="s">
        <v>1</v>
      </c>
      <c r="AA75" s="29" t="str">
        <f t="shared" si="71"/>
        <v>Shed.</v>
      </c>
    </row>
    <row r="76" spans="1:27" ht="6.6" customHeight="1" x14ac:dyDescent="0.25">
      <c r="A76" s="73">
        <v>76</v>
      </c>
      <c r="B76" s="30" t="s">
        <v>1474</v>
      </c>
      <c r="C76" s="45" t="s">
        <v>967</v>
      </c>
      <c r="D76" s="45" t="s">
        <v>871</v>
      </c>
      <c r="E76" s="45" t="s">
        <v>968</v>
      </c>
      <c r="F76" s="45" t="s">
        <v>682</v>
      </c>
      <c r="G76" s="76" t="s">
        <v>1</v>
      </c>
      <c r="H76" s="76" t="s">
        <v>1</v>
      </c>
      <c r="I76" s="76" t="s">
        <v>1</v>
      </c>
      <c r="J76" s="76" t="s">
        <v>1</v>
      </c>
      <c r="K76" s="76" t="s">
        <v>680</v>
      </c>
      <c r="L76" s="44" t="str">
        <f t="shared" si="8"/>
        <v>Ocupações</v>
      </c>
      <c r="M76" s="44" t="str">
        <f t="shared" ref="M76:O91" si="72">_xlfn.CONCAT(SUBSTITUTE(D76,"."," "))</f>
        <v>Prediais</v>
      </c>
      <c r="N76" s="44" t="str">
        <f t="shared" si="72"/>
        <v>Construídas</v>
      </c>
      <c r="O76" s="44" t="str">
        <f t="shared" si="72"/>
        <v>Edícula</v>
      </c>
      <c r="P76" s="44" t="s">
        <v>1053</v>
      </c>
      <c r="Q76" s="44" t="s">
        <v>682</v>
      </c>
      <c r="R76" s="29" t="s">
        <v>1</v>
      </c>
      <c r="S76" s="29" t="str">
        <f t="shared" si="9"/>
        <v>Ocupações</v>
      </c>
      <c r="T76" s="29" t="str">
        <f t="shared" si="10"/>
        <v>Prediais</v>
      </c>
      <c r="U76" s="29" t="str">
        <f t="shared" si="11"/>
        <v>Construídas</v>
      </c>
      <c r="V76" s="29" t="s">
        <v>1476</v>
      </c>
      <c r="W76" s="66" t="str">
        <f t="shared" si="70"/>
        <v>Key-BRMG-76</v>
      </c>
      <c r="X76" s="29" t="s">
        <v>1341</v>
      </c>
      <c r="Y76" s="29" t="s">
        <v>1399</v>
      </c>
      <c r="Z76" s="41" t="s">
        <v>1</v>
      </c>
      <c r="AA76" s="29" t="str">
        <f t="shared" si="71"/>
        <v>Edicule.</v>
      </c>
    </row>
    <row r="77" spans="1:27" ht="6.6" customHeight="1" x14ac:dyDescent="0.25">
      <c r="A77" s="73">
        <v>77</v>
      </c>
      <c r="B77" s="30" t="s">
        <v>1474</v>
      </c>
      <c r="C77" s="45" t="s">
        <v>967</v>
      </c>
      <c r="D77" s="45" t="s">
        <v>872</v>
      </c>
      <c r="E77" s="45" t="s">
        <v>969</v>
      </c>
      <c r="F77" s="45" t="s">
        <v>683</v>
      </c>
      <c r="G77" s="76" t="s">
        <v>1</v>
      </c>
      <c r="H77" s="76" t="s">
        <v>1</v>
      </c>
      <c r="I77" s="76" t="str">
        <f>_xlfn.CONCAT("é.nomeado some ",D77)</f>
        <v>é.nomeado some Funcionais</v>
      </c>
      <c r="J77" s="76" t="s">
        <v>1</v>
      </c>
      <c r="K77" s="76" t="s">
        <v>684</v>
      </c>
      <c r="L77" s="44" t="str">
        <f t="shared" si="8"/>
        <v>Ocupações</v>
      </c>
      <c r="M77" s="44" t="str">
        <f t="shared" si="72"/>
        <v>Funcionais</v>
      </c>
      <c r="N77" s="44" t="str">
        <f t="shared" si="72"/>
        <v>Organizativas</v>
      </c>
      <c r="O77" s="44" t="str">
        <f t="shared" si="72"/>
        <v>Unidade</v>
      </c>
      <c r="P77" s="44" t="s">
        <v>1056</v>
      </c>
      <c r="Q77" s="44" t="s">
        <v>685</v>
      </c>
      <c r="R77" s="29" t="s">
        <v>1</v>
      </c>
      <c r="S77" s="29" t="str">
        <f t="shared" si="9"/>
        <v>Ocupações</v>
      </c>
      <c r="T77" s="29" t="str">
        <f t="shared" si="10"/>
        <v>Funcionais</v>
      </c>
      <c r="U77" s="29" t="str">
        <f t="shared" si="11"/>
        <v>Organizativas</v>
      </c>
      <c r="V77" s="29" t="s">
        <v>1476</v>
      </c>
      <c r="W77" s="66" t="str">
        <f t="shared" si="70"/>
        <v>Key-BRMG-77</v>
      </c>
      <c r="X77" s="29" t="s">
        <v>1341</v>
      </c>
      <c r="Y77" s="29" t="s">
        <v>1399</v>
      </c>
      <c r="Z77" s="41" t="s">
        <v>1</v>
      </c>
      <c r="AA77" s="29" t="str">
        <f t="shared" si="71"/>
        <v>Unity.</v>
      </c>
    </row>
    <row r="78" spans="1:27" ht="6.6" customHeight="1" x14ac:dyDescent="0.25">
      <c r="A78" s="73">
        <v>78</v>
      </c>
      <c r="B78" s="30" t="s">
        <v>1474</v>
      </c>
      <c r="C78" s="45" t="s">
        <v>967</v>
      </c>
      <c r="D78" s="45" t="s">
        <v>872</v>
      </c>
      <c r="E78" s="45" t="s">
        <v>969</v>
      </c>
      <c r="F78" s="45" t="s">
        <v>873</v>
      </c>
      <c r="G78" s="76" t="s">
        <v>1</v>
      </c>
      <c r="H78" s="76" t="s">
        <v>1</v>
      </c>
      <c r="I78" s="76" t="s">
        <v>1</v>
      </c>
      <c r="J78" s="76" t="s">
        <v>1</v>
      </c>
      <c r="K78" s="76" t="s">
        <v>684</v>
      </c>
      <c r="L78" s="44" t="str">
        <f t="shared" si="8"/>
        <v>Ocupações</v>
      </c>
      <c r="M78" s="44" t="str">
        <f t="shared" si="72"/>
        <v>Funcionais</v>
      </c>
      <c r="N78" s="44" t="str">
        <f t="shared" si="72"/>
        <v>Organizativas</v>
      </c>
      <c r="O78" s="44" t="str">
        <f t="shared" si="72"/>
        <v>Setor Urbano</v>
      </c>
      <c r="P78" s="44" t="s">
        <v>1061</v>
      </c>
      <c r="Q78" s="44" t="s">
        <v>686</v>
      </c>
      <c r="R78" s="29" t="s">
        <v>1</v>
      </c>
      <c r="S78" s="29" t="str">
        <f t="shared" si="9"/>
        <v>Ocupações</v>
      </c>
      <c r="T78" s="29" t="str">
        <f t="shared" si="10"/>
        <v>Funcionais</v>
      </c>
      <c r="U78" s="29" t="str">
        <f t="shared" si="11"/>
        <v>Organizativas</v>
      </c>
      <c r="V78" s="29" t="s">
        <v>1476</v>
      </c>
      <c r="W78" s="66" t="str">
        <f t="shared" si="70"/>
        <v>Key-BRMG-78</v>
      </c>
      <c r="X78" s="29" t="s">
        <v>1353</v>
      </c>
      <c r="Y78" s="29" t="s">
        <v>1399</v>
      </c>
      <c r="Z78" s="41" t="s">
        <v>1</v>
      </c>
      <c r="AA78" s="29" t="str">
        <f t="shared" si="71"/>
        <v>Sector.</v>
      </c>
    </row>
    <row r="79" spans="1:27" ht="6.6" customHeight="1" x14ac:dyDescent="0.25">
      <c r="A79" s="73">
        <v>79</v>
      </c>
      <c r="B79" s="30" t="s">
        <v>1474</v>
      </c>
      <c r="C79" s="45" t="s">
        <v>967</v>
      </c>
      <c r="D79" s="45" t="s">
        <v>872</v>
      </c>
      <c r="E79" s="45" t="s">
        <v>969</v>
      </c>
      <c r="F79" s="45" t="s">
        <v>687</v>
      </c>
      <c r="G79" s="76" t="s">
        <v>1</v>
      </c>
      <c r="H79" s="76" t="s">
        <v>1</v>
      </c>
      <c r="I79" s="76" t="s">
        <v>1</v>
      </c>
      <c r="J79" s="76" t="s">
        <v>1</v>
      </c>
      <c r="K79" s="76" t="s">
        <v>684</v>
      </c>
      <c r="L79" s="44" t="str">
        <f t="shared" si="8"/>
        <v>Ocupações</v>
      </c>
      <c r="M79" s="44" t="str">
        <f t="shared" si="72"/>
        <v>Funcionais</v>
      </c>
      <c r="N79" s="44" t="str">
        <f t="shared" si="72"/>
        <v>Organizativas</v>
      </c>
      <c r="O79" s="44" t="str">
        <f t="shared" si="72"/>
        <v>Divisão</v>
      </c>
      <c r="P79" s="44" t="s">
        <v>1057</v>
      </c>
      <c r="Q79" s="44" t="s">
        <v>688</v>
      </c>
      <c r="R79" s="29" t="s">
        <v>1</v>
      </c>
      <c r="S79" s="29" t="str">
        <f t="shared" si="9"/>
        <v>Ocupações</v>
      </c>
      <c r="T79" s="29" t="str">
        <f t="shared" si="10"/>
        <v>Funcionais</v>
      </c>
      <c r="U79" s="29" t="str">
        <f t="shared" si="11"/>
        <v>Organizativas</v>
      </c>
      <c r="V79" s="29" t="s">
        <v>1476</v>
      </c>
      <c r="W79" s="66" t="str">
        <f t="shared" si="70"/>
        <v>Key-BRMG-79</v>
      </c>
      <c r="X79" s="29" t="s">
        <v>1353</v>
      </c>
      <c r="Y79" s="29" t="s">
        <v>1399</v>
      </c>
      <c r="Z79" s="41" t="s">
        <v>1</v>
      </c>
      <c r="AA79" s="29" t="str">
        <f t="shared" si="71"/>
        <v>Division.</v>
      </c>
    </row>
    <row r="80" spans="1:27" ht="6.6" customHeight="1" x14ac:dyDescent="0.25">
      <c r="A80" s="73">
        <v>80</v>
      </c>
      <c r="B80" s="30" t="s">
        <v>1474</v>
      </c>
      <c r="C80" s="45" t="s">
        <v>967</v>
      </c>
      <c r="D80" s="45" t="s">
        <v>872</v>
      </c>
      <c r="E80" s="45" t="s">
        <v>969</v>
      </c>
      <c r="F80" s="45" t="s">
        <v>689</v>
      </c>
      <c r="G80" s="76" t="s">
        <v>1</v>
      </c>
      <c r="H80" s="76" t="s">
        <v>1</v>
      </c>
      <c r="I80" s="76" t="s">
        <v>1</v>
      </c>
      <c r="J80" s="76" t="s">
        <v>1</v>
      </c>
      <c r="K80" s="76" t="s">
        <v>684</v>
      </c>
      <c r="L80" s="44" t="str">
        <f t="shared" si="8"/>
        <v>Ocupações</v>
      </c>
      <c r="M80" s="44" t="str">
        <f t="shared" si="72"/>
        <v>Funcionais</v>
      </c>
      <c r="N80" s="44" t="str">
        <f t="shared" si="72"/>
        <v>Organizativas</v>
      </c>
      <c r="O80" s="44" t="str">
        <f t="shared" si="72"/>
        <v>Departamento</v>
      </c>
      <c r="P80" s="44" t="s">
        <v>689</v>
      </c>
      <c r="Q80" s="44" t="s">
        <v>689</v>
      </c>
      <c r="R80" s="29" t="s">
        <v>1</v>
      </c>
      <c r="S80" s="29" t="str">
        <f t="shared" si="9"/>
        <v>Ocupações</v>
      </c>
      <c r="T80" s="29" t="str">
        <f t="shared" si="10"/>
        <v>Funcionais</v>
      </c>
      <c r="U80" s="29" t="str">
        <f t="shared" si="11"/>
        <v>Organizativas</v>
      </c>
      <c r="V80" s="29" t="s">
        <v>1476</v>
      </c>
      <c r="W80" s="66" t="str">
        <f t="shared" si="70"/>
        <v>Key-BRMG-80</v>
      </c>
      <c r="X80" s="29" t="s">
        <v>1353</v>
      </c>
      <c r="Y80" s="29" t="s">
        <v>1400</v>
      </c>
      <c r="Z80" s="41" t="s">
        <v>1</v>
      </c>
      <c r="AA80" s="29" t="str">
        <f t="shared" si="71"/>
        <v>Department</v>
      </c>
    </row>
    <row r="81" spans="1:27" ht="6.6" customHeight="1" x14ac:dyDescent="0.25">
      <c r="A81" s="73">
        <v>81</v>
      </c>
      <c r="B81" s="30" t="s">
        <v>1474</v>
      </c>
      <c r="C81" s="45" t="s">
        <v>967</v>
      </c>
      <c r="D81" s="45" t="s">
        <v>872</v>
      </c>
      <c r="E81" s="45" t="s">
        <v>874</v>
      </c>
      <c r="F81" s="45" t="s">
        <v>690</v>
      </c>
      <c r="G81" s="76" t="s">
        <v>1</v>
      </c>
      <c r="H81" s="76" t="s">
        <v>1</v>
      </c>
      <c r="I81" s="76" t="s">
        <v>1</v>
      </c>
      <c r="J81" s="76" t="s">
        <v>1</v>
      </c>
      <c r="K81" s="76" t="s">
        <v>684</v>
      </c>
      <c r="L81" s="44" t="str">
        <f t="shared" si="8"/>
        <v>Ocupações</v>
      </c>
      <c r="M81" s="44" t="str">
        <f t="shared" si="72"/>
        <v>Funcionais</v>
      </c>
      <c r="N81" s="44" t="str">
        <f t="shared" si="72"/>
        <v>Distribuição</v>
      </c>
      <c r="O81" s="44" t="str">
        <f t="shared" si="72"/>
        <v>Ambiente</v>
      </c>
      <c r="P81" s="44" t="s">
        <v>1058</v>
      </c>
      <c r="Q81" s="44" t="s">
        <v>690</v>
      </c>
      <c r="R81" s="29" t="s">
        <v>1</v>
      </c>
      <c r="S81" s="29" t="str">
        <f t="shared" si="9"/>
        <v>Ocupações</v>
      </c>
      <c r="T81" s="29" t="str">
        <f t="shared" si="10"/>
        <v>Funcionais</v>
      </c>
      <c r="U81" s="29" t="str">
        <f t="shared" si="11"/>
        <v>Distribuição</v>
      </c>
      <c r="V81" s="29" t="s">
        <v>1476</v>
      </c>
      <c r="W81" s="66" t="str">
        <f t="shared" si="70"/>
        <v>Key-BRMG-81</v>
      </c>
      <c r="X81" s="29" t="s">
        <v>1354</v>
      </c>
      <c r="Y81" s="29" t="s">
        <v>1399</v>
      </c>
      <c r="Z81" s="41" t="s">
        <v>1</v>
      </c>
      <c r="AA81" s="29" t="str">
        <f t="shared" si="71"/>
        <v>Environment.</v>
      </c>
    </row>
    <row r="82" spans="1:27" ht="6.6" customHeight="1" x14ac:dyDescent="0.25">
      <c r="A82" s="73">
        <v>82</v>
      </c>
      <c r="B82" s="30" t="s">
        <v>1474</v>
      </c>
      <c r="C82" s="45" t="s">
        <v>967</v>
      </c>
      <c r="D82" s="45" t="s">
        <v>872</v>
      </c>
      <c r="E82" s="45" t="s">
        <v>874</v>
      </c>
      <c r="F82" s="45" t="s">
        <v>691</v>
      </c>
      <c r="G82" s="76" t="s">
        <v>1</v>
      </c>
      <c r="H82" s="76" t="s">
        <v>1</v>
      </c>
      <c r="I82" s="76" t="s">
        <v>1</v>
      </c>
      <c r="J82" s="76" t="s">
        <v>1</v>
      </c>
      <c r="K82" s="76" t="s">
        <v>684</v>
      </c>
      <c r="L82" s="44" t="str">
        <f t="shared" si="8"/>
        <v>Ocupações</v>
      </c>
      <c r="M82" s="44" t="str">
        <f t="shared" si="72"/>
        <v>Funcionais</v>
      </c>
      <c r="N82" s="44" t="str">
        <f t="shared" si="72"/>
        <v>Distribuição</v>
      </c>
      <c r="O82" s="44" t="str">
        <f t="shared" si="72"/>
        <v>Apartamento</v>
      </c>
      <c r="P82" s="44" t="s">
        <v>691</v>
      </c>
      <c r="Q82" s="44" t="s">
        <v>691</v>
      </c>
      <c r="R82" s="29" t="s">
        <v>1</v>
      </c>
      <c r="S82" s="29" t="str">
        <f t="shared" si="9"/>
        <v>Ocupações</v>
      </c>
      <c r="T82" s="29" t="str">
        <f t="shared" si="10"/>
        <v>Funcionais</v>
      </c>
      <c r="U82" s="29" t="str">
        <f t="shared" si="11"/>
        <v>Distribuição</v>
      </c>
      <c r="V82" s="29" t="s">
        <v>1476</v>
      </c>
      <c r="W82" s="66" t="str">
        <f t="shared" si="70"/>
        <v>Key-BRMG-82</v>
      </c>
      <c r="X82" s="29" t="s">
        <v>1353</v>
      </c>
      <c r="Y82" s="29" t="s">
        <v>1399</v>
      </c>
      <c r="Z82" s="41" t="s">
        <v>1</v>
      </c>
      <c r="AA82" s="29" t="str">
        <f t="shared" si="71"/>
        <v>Apartment</v>
      </c>
    </row>
    <row r="83" spans="1:27" ht="6.6" customHeight="1" x14ac:dyDescent="0.25">
      <c r="A83" s="73">
        <v>83</v>
      </c>
      <c r="B83" s="30" t="s">
        <v>1474</v>
      </c>
      <c r="C83" s="45" t="s">
        <v>967</v>
      </c>
      <c r="D83" s="45" t="s">
        <v>872</v>
      </c>
      <c r="E83" s="45" t="s">
        <v>874</v>
      </c>
      <c r="F83" s="45" t="s">
        <v>692</v>
      </c>
      <c r="G83" s="76" t="s">
        <v>1</v>
      </c>
      <c r="H83" s="76" t="s">
        <v>1</v>
      </c>
      <c r="I83" s="76" t="s">
        <v>1</v>
      </c>
      <c r="J83" s="76" t="s">
        <v>1</v>
      </c>
      <c r="K83" s="76" t="s">
        <v>684</v>
      </c>
      <c r="L83" s="44" t="str">
        <f t="shared" si="8"/>
        <v>Ocupações</v>
      </c>
      <c r="M83" s="44" t="str">
        <f t="shared" si="72"/>
        <v>Funcionais</v>
      </c>
      <c r="N83" s="44" t="str">
        <f t="shared" si="72"/>
        <v>Distribuição</v>
      </c>
      <c r="O83" s="44" t="str">
        <f t="shared" si="72"/>
        <v>Núcleo de Circulação</v>
      </c>
      <c r="P83" s="44" t="s">
        <v>1059</v>
      </c>
      <c r="Q83" s="44" t="s">
        <v>693</v>
      </c>
      <c r="R83" s="29" t="s">
        <v>1</v>
      </c>
      <c r="S83" s="29" t="str">
        <f t="shared" si="9"/>
        <v>Ocupações</v>
      </c>
      <c r="T83" s="29" t="str">
        <f t="shared" si="10"/>
        <v>Funcionais</v>
      </c>
      <c r="U83" s="29" t="str">
        <f t="shared" si="11"/>
        <v>Distribuição</v>
      </c>
      <c r="V83" s="29" t="s">
        <v>1476</v>
      </c>
      <c r="W83" s="66" t="str">
        <f t="shared" si="70"/>
        <v>Key-BRMG-83</v>
      </c>
      <c r="X83" s="29" t="s">
        <v>1353</v>
      </c>
      <c r="Y83" s="29" t="s">
        <v>1401</v>
      </c>
      <c r="Z83" s="41" t="s">
        <v>1</v>
      </c>
      <c r="AA83" s="29" t="str">
        <f t="shared" si="71"/>
        <v>Circulation Center.</v>
      </c>
    </row>
    <row r="84" spans="1:27" ht="6.6" customHeight="1" x14ac:dyDescent="0.25">
      <c r="A84" s="73">
        <v>84</v>
      </c>
      <c r="B84" s="30" t="s">
        <v>1474</v>
      </c>
      <c r="C84" s="45" t="s">
        <v>875</v>
      </c>
      <c r="D84" s="45" t="s">
        <v>876</v>
      </c>
      <c r="E84" s="45" t="s">
        <v>694</v>
      </c>
      <c r="F84" s="45" t="s">
        <v>695</v>
      </c>
      <c r="G84" s="76" t="s">
        <v>1</v>
      </c>
      <c r="H84" s="76" t="s">
        <v>1</v>
      </c>
      <c r="I84" s="76" t="s">
        <v>1</v>
      </c>
      <c r="J84" s="76" t="s">
        <v>1</v>
      </c>
      <c r="K84" s="76" t="s">
        <v>1</v>
      </c>
      <c r="L84" s="44" t="str">
        <f t="shared" si="8"/>
        <v>Instituições.Públicas</v>
      </c>
      <c r="M84" s="44" t="str">
        <f t="shared" si="72"/>
        <v>Serviços</v>
      </c>
      <c r="N84" s="44" t="str">
        <f t="shared" si="72"/>
        <v>Saúde</v>
      </c>
      <c r="O84" s="44" t="str">
        <f t="shared" si="72"/>
        <v>Hospital Federal</v>
      </c>
      <c r="P84" s="44" t="s">
        <v>1062</v>
      </c>
      <c r="Q84" s="44" t="s">
        <v>696</v>
      </c>
      <c r="R84" s="29" t="s">
        <v>1</v>
      </c>
      <c r="S84" s="29" t="str">
        <f t="shared" si="9"/>
        <v>Instituições Públicas</v>
      </c>
      <c r="T84" s="29" t="str">
        <f t="shared" si="10"/>
        <v>Serviços</v>
      </c>
      <c r="U84" s="29" t="str">
        <f t="shared" si="11"/>
        <v>Saúde</v>
      </c>
      <c r="V84" s="29" t="s">
        <v>1476</v>
      </c>
      <c r="W84" s="66" t="str">
        <f t="shared" si="70"/>
        <v>Key-BRMG-84</v>
      </c>
      <c r="X84" s="29" t="s">
        <v>1355</v>
      </c>
      <c r="Y84" s="29" t="s">
        <v>1401</v>
      </c>
      <c r="Z84" s="41" t="s">
        <v>1</v>
      </c>
      <c r="AA84" s="29" t="str">
        <f t="shared" si="71"/>
        <v>National Hospital.</v>
      </c>
    </row>
    <row r="85" spans="1:27" ht="6.6" customHeight="1" x14ac:dyDescent="0.25">
      <c r="A85" s="73">
        <v>85</v>
      </c>
      <c r="B85" s="30" t="s">
        <v>1474</v>
      </c>
      <c r="C85" s="45" t="s">
        <v>875</v>
      </c>
      <c r="D85" s="45" t="s">
        <v>876</v>
      </c>
      <c r="E85" s="45" t="s">
        <v>694</v>
      </c>
      <c r="F85" s="45" t="s">
        <v>697</v>
      </c>
      <c r="G85" s="76" t="s">
        <v>1</v>
      </c>
      <c r="H85" s="76" t="s">
        <v>1</v>
      </c>
      <c r="I85" s="76" t="s">
        <v>1</v>
      </c>
      <c r="J85" s="76" t="s">
        <v>1</v>
      </c>
      <c r="K85" s="76" t="s">
        <v>1</v>
      </c>
      <c r="L85" s="44" t="str">
        <f t="shared" si="8"/>
        <v>Instituições.Públicas</v>
      </c>
      <c r="M85" s="44" t="str">
        <f t="shared" si="72"/>
        <v>Serviços</v>
      </c>
      <c r="N85" s="44" t="str">
        <f t="shared" si="72"/>
        <v>Saúde</v>
      </c>
      <c r="O85" s="44" t="str">
        <f t="shared" si="72"/>
        <v>Hospital Estadual</v>
      </c>
      <c r="P85" s="44" t="s">
        <v>1060</v>
      </c>
      <c r="Q85" s="44" t="s">
        <v>698</v>
      </c>
      <c r="R85" s="29" t="s">
        <v>1</v>
      </c>
      <c r="S85" s="29" t="str">
        <f t="shared" si="9"/>
        <v>Instituições Públicas</v>
      </c>
      <c r="T85" s="29" t="str">
        <f t="shared" si="10"/>
        <v>Serviços</v>
      </c>
      <c r="U85" s="29" t="str">
        <f t="shared" si="11"/>
        <v>Saúde</v>
      </c>
      <c r="V85" s="29" t="s">
        <v>1476</v>
      </c>
      <c r="W85" s="66" t="str">
        <f t="shared" si="70"/>
        <v>Key-BRMG-85</v>
      </c>
      <c r="X85" s="29" t="s">
        <v>1355</v>
      </c>
      <c r="Y85" s="29" t="s">
        <v>1401</v>
      </c>
      <c r="Z85" s="41" t="s">
        <v>1</v>
      </c>
      <c r="AA85" s="29" t="str">
        <f t="shared" si="71"/>
        <v>State Hospital.</v>
      </c>
    </row>
    <row r="86" spans="1:27" ht="6.6" customHeight="1" x14ac:dyDescent="0.25">
      <c r="A86" s="73">
        <v>86</v>
      </c>
      <c r="B86" s="30" t="s">
        <v>1474</v>
      </c>
      <c r="C86" s="45" t="s">
        <v>875</v>
      </c>
      <c r="D86" s="45" t="s">
        <v>876</v>
      </c>
      <c r="E86" s="45" t="s">
        <v>694</v>
      </c>
      <c r="F86" s="45" t="s">
        <v>699</v>
      </c>
      <c r="G86" s="76" t="s">
        <v>1</v>
      </c>
      <c r="H86" s="76" t="s">
        <v>1</v>
      </c>
      <c r="I86" s="76" t="s">
        <v>1</v>
      </c>
      <c r="J86" s="76" t="s">
        <v>1</v>
      </c>
      <c r="K86" s="76" t="s">
        <v>1</v>
      </c>
      <c r="L86" s="44" t="str">
        <f t="shared" si="8"/>
        <v>Instituições.Públicas</v>
      </c>
      <c r="M86" s="44" t="str">
        <f t="shared" si="72"/>
        <v>Serviços</v>
      </c>
      <c r="N86" s="44" t="str">
        <f t="shared" si="72"/>
        <v>Saúde</v>
      </c>
      <c r="O86" s="44" t="str">
        <f t="shared" si="72"/>
        <v>Hospital Municipal</v>
      </c>
      <c r="P86" s="44" t="s">
        <v>1064</v>
      </c>
      <c r="Q86" s="44" t="s">
        <v>700</v>
      </c>
      <c r="R86" s="29" t="s">
        <v>1</v>
      </c>
      <c r="S86" s="29" t="str">
        <f t="shared" si="9"/>
        <v>Instituições Públicas</v>
      </c>
      <c r="T86" s="29" t="str">
        <f t="shared" si="10"/>
        <v>Serviços</v>
      </c>
      <c r="U86" s="29" t="str">
        <f t="shared" si="11"/>
        <v>Saúde</v>
      </c>
      <c r="V86" s="29" t="s">
        <v>1476</v>
      </c>
      <c r="W86" s="66" t="str">
        <f t="shared" si="70"/>
        <v>Key-BRMG-86</v>
      </c>
      <c r="X86" s="29" t="s">
        <v>1355</v>
      </c>
      <c r="Y86" s="29" t="s">
        <v>1401</v>
      </c>
      <c r="Z86" s="41" t="s">
        <v>1</v>
      </c>
      <c r="AA86" s="29" t="str">
        <f t="shared" si="71"/>
        <v>Municipal Hospital.</v>
      </c>
    </row>
    <row r="87" spans="1:27" ht="6.6" customHeight="1" x14ac:dyDescent="0.25">
      <c r="A87" s="73">
        <v>87</v>
      </c>
      <c r="B87" s="30" t="s">
        <v>1474</v>
      </c>
      <c r="C87" s="45" t="s">
        <v>875</v>
      </c>
      <c r="D87" s="45" t="s">
        <v>876</v>
      </c>
      <c r="E87" s="45" t="s">
        <v>694</v>
      </c>
      <c r="F87" s="45" t="s">
        <v>701</v>
      </c>
      <c r="G87" s="76" t="s">
        <v>1</v>
      </c>
      <c r="H87" s="76" t="s">
        <v>1</v>
      </c>
      <c r="I87" s="76" t="s">
        <v>1</v>
      </c>
      <c r="J87" s="76" t="s">
        <v>1</v>
      </c>
      <c r="K87" s="76" t="s">
        <v>1</v>
      </c>
      <c r="L87" s="44" t="str">
        <f t="shared" si="8"/>
        <v>Instituições.Públicas</v>
      </c>
      <c r="M87" s="44" t="str">
        <f t="shared" si="72"/>
        <v>Serviços</v>
      </c>
      <c r="N87" s="44" t="str">
        <f t="shared" si="72"/>
        <v>Saúde</v>
      </c>
      <c r="O87" s="44" t="str">
        <f t="shared" si="72"/>
        <v>UBS</v>
      </c>
      <c r="P87" s="44" t="s">
        <v>702</v>
      </c>
      <c r="Q87" s="44" t="s">
        <v>703</v>
      </c>
      <c r="R87" s="29" t="s">
        <v>1</v>
      </c>
      <c r="S87" s="29" t="str">
        <f t="shared" si="9"/>
        <v>Instituições Públicas</v>
      </c>
      <c r="T87" s="29" t="str">
        <f t="shared" si="10"/>
        <v>Serviços</v>
      </c>
      <c r="U87" s="29" t="str">
        <f t="shared" si="11"/>
        <v>Saúde</v>
      </c>
      <c r="V87" s="29" t="s">
        <v>1476</v>
      </c>
      <c r="W87" s="66" t="str">
        <f t="shared" si="70"/>
        <v>Key-BRMG-87</v>
      </c>
      <c r="X87" s="29" t="s">
        <v>1355</v>
      </c>
      <c r="Y87" s="29" t="s">
        <v>1401</v>
      </c>
      <c r="Z87" s="41" t="s">
        <v>1</v>
      </c>
      <c r="AA87" s="29" t="str">
        <f t="shared" si="71"/>
        <v>UBS Basic Health Unit. Primary and preventive health care offered by the SUS.</v>
      </c>
    </row>
    <row r="88" spans="1:27" ht="6.6" customHeight="1" x14ac:dyDescent="0.25">
      <c r="A88" s="73">
        <v>88</v>
      </c>
      <c r="B88" s="30" t="s">
        <v>1474</v>
      </c>
      <c r="C88" s="45" t="s">
        <v>875</v>
      </c>
      <c r="D88" s="45" t="s">
        <v>876</v>
      </c>
      <c r="E88" s="45" t="s">
        <v>694</v>
      </c>
      <c r="F88" s="45" t="s">
        <v>704</v>
      </c>
      <c r="G88" s="76" t="s">
        <v>1</v>
      </c>
      <c r="H88" s="76" t="s">
        <v>1</v>
      </c>
      <c r="I88" s="76" t="s">
        <v>1</v>
      </c>
      <c r="J88" s="76" t="s">
        <v>1</v>
      </c>
      <c r="K88" s="76" t="s">
        <v>1</v>
      </c>
      <c r="L88" s="44" t="str">
        <f t="shared" si="8"/>
        <v>Instituições.Públicas</v>
      </c>
      <c r="M88" s="44" t="str">
        <f t="shared" si="72"/>
        <v>Serviços</v>
      </c>
      <c r="N88" s="44" t="str">
        <f t="shared" si="72"/>
        <v>Saúde</v>
      </c>
      <c r="O88" s="44" t="str">
        <f t="shared" si="72"/>
        <v>UPA</v>
      </c>
      <c r="P88" s="44" t="s">
        <v>705</v>
      </c>
      <c r="Q88" s="44" t="s">
        <v>706</v>
      </c>
      <c r="R88" s="29" t="s">
        <v>1</v>
      </c>
      <c r="S88" s="29" t="str">
        <f t="shared" si="9"/>
        <v>Instituições Públicas</v>
      </c>
      <c r="T88" s="29" t="str">
        <f t="shared" si="10"/>
        <v>Serviços</v>
      </c>
      <c r="U88" s="29" t="str">
        <f t="shared" si="11"/>
        <v>Saúde</v>
      </c>
      <c r="V88" s="29" t="s">
        <v>1476</v>
      </c>
      <c r="W88" s="66" t="str">
        <f t="shared" si="70"/>
        <v>Key-BRMG-88</v>
      </c>
      <c r="X88" s="29" t="s">
        <v>1355</v>
      </c>
      <c r="Y88" s="29" t="s">
        <v>1401</v>
      </c>
      <c r="Z88" s="41" t="s">
        <v>1</v>
      </c>
      <c r="AA88" s="29" t="str">
        <f t="shared" si="71"/>
        <v>UPA Emergency Health Care Unit. Urgencies and emergencies 24x7.</v>
      </c>
    </row>
    <row r="89" spans="1:27" ht="6.6" customHeight="1" x14ac:dyDescent="0.25">
      <c r="A89" s="73">
        <v>89</v>
      </c>
      <c r="B89" s="30" t="s">
        <v>1474</v>
      </c>
      <c r="C89" s="45" t="s">
        <v>875</v>
      </c>
      <c r="D89" s="45" t="s">
        <v>876</v>
      </c>
      <c r="E89" s="45" t="s">
        <v>877</v>
      </c>
      <c r="F89" s="45" t="s">
        <v>707</v>
      </c>
      <c r="G89" s="76" t="s">
        <v>1</v>
      </c>
      <c r="H89" s="76" t="s">
        <v>1</v>
      </c>
      <c r="I89" s="76" t="s">
        <v>1</v>
      </c>
      <c r="J89" s="76" t="s">
        <v>1</v>
      </c>
      <c r="K89" s="76" t="s">
        <v>1</v>
      </c>
      <c r="L89" s="44" t="str">
        <f t="shared" si="8"/>
        <v>Instituições.Públicas</v>
      </c>
      <c r="M89" s="44" t="str">
        <f t="shared" si="72"/>
        <v>Serviços</v>
      </c>
      <c r="N89" s="44" t="str">
        <f t="shared" si="72"/>
        <v>Educacionais</v>
      </c>
      <c r="O89" s="44" t="str">
        <f t="shared" si="72"/>
        <v>Universidade Federal</v>
      </c>
      <c r="P89" s="44" t="s">
        <v>1063</v>
      </c>
      <c r="Q89" s="44" t="s">
        <v>708</v>
      </c>
      <c r="R89" s="29" t="s">
        <v>1</v>
      </c>
      <c r="S89" s="29" t="str">
        <f t="shared" si="9"/>
        <v>Instituições Públicas</v>
      </c>
      <c r="T89" s="29" t="str">
        <f t="shared" si="10"/>
        <v>Serviços</v>
      </c>
      <c r="U89" s="29" t="str">
        <f t="shared" si="11"/>
        <v>Educacionais</v>
      </c>
      <c r="V89" s="29" t="s">
        <v>1476</v>
      </c>
      <c r="W89" s="66" t="str">
        <f t="shared" si="70"/>
        <v>Key-BRMG-89</v>
      </c>
      <c r="X89" s="29" t="s">
        <v>1355</v>
      </c>
      <c r="Y89" s="29" t="s">
        <v>1401</v>
      </c>
      <c r="Z89" s="41" t="s">
        <v>1</v>
      </c>
      <c r="AA89" s="29" t="str">
        <f t="shared" si="71"/>
        <v>Federal University.</v>
      </c>
    </row>
    <row r="90" spans="1:27" ht="6.6" customHeight="1" x14ac:dyDescent="0.25">
      <c r="A90" s="73">
        <v>90</v>
      </c>
      <c r="B90" s="30" t="s">
        <v>1474</v>
      </c>
      <c r="C90" s="45" t="s">
        <v>875</v>
      </c>
      <c r="D90" s="45" t="s">
        <v>876</v>
      </c>
      <c r="E90" s="45" t="s">
        <v>877</v>
      </c>
      <c r="F90" s="45" t="s">
        <v>709</v>
      </c>
      <c r="G90" s="76" t="s">
        <v>1</v>
      </c>
      <c r="H90" s="76" t="s">
        <v>1</v>
      </c>
      <c r="I90" s="76" t="s">
        <v>1</v>
      </c>
      <c r="J90" s="76" t="s">
        <v>1</v>
      </c>
      <c r="K90" s="76" t="s">
        <v>1</v>
      </c>
      <c r="L90" s="44" t="str">
        <f t="shared" si="8"/>
        <v>Instituições.Públicas</v>
      </c>
      <c r="M90" s="44" t="str">
        <f t="shared" si="72"/>
        <v>Serviços</v>
      </c>
      <c r="N90" s="44" t="str">
        <f t="shared" si="72"/>
        <v>Educacionais</v>
      </c>
      <c r="O90" s="44" t="str">
        <f t="shared" si="72"/>
        <v>Universidade Estadual</v>
      </c>
      <c r="P90" s="44" t="s">
        <v>1065</v>
      </c>
      <c r="Q90" s="44" t="s">
        <v>710</v>
      </c>
      <c r="R90" s="29" t="s">
        <v>1</v>
      </c>
      <c r="S90" s="29" t="str">
        <f t="shared" si="9"/>
        <v>Instituições Públicas</v>
      </c>
      <c r="T90" s="29" t="str">
        <f t="shared" si="10"/>
        <v>Serviços</v>
      </c>
      <c r="U90" s="29" t="str">
        <f t="shared" si="11"/>
        <v>Educacionais</v>
      </c>
      <c r="V90" s="29" t="s">
        <v>1476</v>
      </c>
      <c r="W90" s="66" t="str">
        <f t="shared" si="70"/>
        <v>Key-BRMG-90</v>
      </c>
      <c r="X90" s="29" t="s">
        <v>1355</v>
      </c>
      <c r="Y90" s="29" t="s">
        <v>1401</v>
      </c>
      <c r="Z90" s="41" t="s">
        <v>1</v>
      </c>
      <c r="AA90" s="29" t="str">
        <f t="shared" si="71"/>
        <v>State University.</v>
      </c>
    </row>
    <row r="91" spans="1:27" ht="6.6" customHeight="1" x14ac:dyDescent="0.25">
      <c r="A91" s="73">
        <v>91</v>
      </c>
      <c r="B91" s="30" t="s">
        <v>1474</v>
      </c>
      <c r="C91" s="45" t="s">
        <v>875</v>
      </c>
      <c r="D91" s="45" t="s">
        <v>876</v>
      </c>
      <c r="E91" s="45" t="s">
        <v>877</v>
      </c>
      <c r="F91" s="45" t="s">
        <v>711</v>
      </c>
      <c r="G91" s="76" t="s">
        <v>1</v>
      </c>
      <c r="H91" s="76" t="s">
        <v>1</v>
      </c>
      <c r="I91" s="76" t="s">
        <v>1</v>
      </c>
      <c r="J91" s="76" t="s">
        <v>1</v>
      </c>
      <c r="K91" s="76" t="s">
        <v>1</v>
      </c>
      <c r="L91" s="44" t="str">
        <f t="shared" si="8"/>
        <v>Instituições.Públicas</v>
      </c>
      <c r="M91" s="44" t="str">
        <f t="shared" si="72"/>
        <v>Serviços</v>
      </c>
      <c r="N91" s="44" t="str">
        <f t="shared" si="72"/>
        <v>Educacionais</v>
      </c>
      <c r="O91" s="44" t="str">
        <f t="shared" si="72"/>
        <v>Escola Estadual</v>
      </c>
      <c r="P91" s="44" t="s">
        <v>1067</v>
      </c>
      <c r="Q91" s="44" t="s">
        <v>712</v>
      </c>
      <c r="R91" s="29" t="s">
        <v>1</v>
      </c>
      <c r="S91" s="29" t="str">
        <f t="shared" si="9"/>
        <v>Instituições Públicas</v>
      </c>
      <c r="T91" s="29" t="str">
        <f t="shared" si="10"/>
        <v>Serviços</v>
      </c>
      <c r="U91" s="29" t="str">
        <f t="shared" si="11"/>
        <v>Educacionais</v>
      </c>
      <c r="V91" s="29" t="s">
        <v>1476</v>
      </c>
      <c r="W91" s="66" t="str">
        <f t="shared" si="70"/>
        <v>Key-BRMG-91</v>
      </c>
      <c r="X91" s="29" t="s">
        <v>1355</v>
      </c>
      <c r="Y91" s="29" t="s">
        <v>1401</v>
      </c>
      <c r="Z91" s="41" t="s">
        <v>1</v>
      </c>
      <c r="AA91" s="29" t="str">
        <f t="shared" si="71"/>
        <v>State School.</v>
      </c>
    </row>
    <row r="92" spans="1:27" ht="6.6" customHeight="1" x14ac:dyDescent="0.25">
      <c r="A92" s="73">
        <v>92</v>
      </c>
      <c r="B92" s="30" t="s">
        <v>1474</v>
      </c>
      <c r="C92" s="45" t="s">
        <v>875</v>
      </c>
      <c r="D92" s="45" t="s">
        <v>876</v>
      </c>
      <c r="E92" s="45" t="s">
        <v>877</v>
      </c>
      <c r="F92" s="45" t="s">
        <v>713</v>
      </c>
      <c r="G92" s="76" t="s">
        <v>1</v>
      </c>
      <c r="H92" s="76" t="s">
        <v>1</v>
      </c>
      <c r="I92" s="76" t="s">
        <v>1</v>
      </c>
      <c r="J92" s="76" t="s">
        <v>1</v>
      </c>
      <c r="K92" s="76" t="s">
        <v>1</v>
      </c>
      <c r="L92" s="44" t="str">
        <f t="shared" ref="L92:L93" si="73">_xlfn.CONCAT(SUBSTITUTE(C92,"1.",""))</f>
        <v>Instituições.Públicas</v>
      </c>
      <c r="M92" s="44" t="str">
        <f t="shared" ref="M92:M93" si="74">_xlfn.CONCAT(SUBSTITUTE(D92,"."," "))</f>
        <v>Serviços</v>
      </c>
      <c r="N92" s="44" t="str">
        <f t="shared" ref="N92:N93" si="75">_xlfn.CONCAT(SUBSTITUTE(E92,"."," "))</f>
        <v>Educacionais</v>
      </c>
      <c r="O92" s="44" t="str">
        <f t="shared" ref="O92:O93" si="76">_xlfn.CONCAT(SUBSTITUTE(F92,"."," "))</f>
        <v>Escola Municipal</v>
      </c>
      <c r="P92" s="44" t="s">
        <v>1066</v>
      </c>
      <c r="Q92" s="44" t="s">
        <v>714</v>
      </c>
      <c r="R92" s="29" t="s">
        <v>1</v>
      </c>
      <c r="S92" s="29" t="str">
        <f t="shared" ref="S92:S93" si="77">SUBSTITUTE(C92, ".", " ")</f>
        <v>Instituições Públicas</v>
      </c>
      <c r="T92" s="29" t="str">
        <f t="shared" ref="T92:T93" si="78">SUBSTITUTE(D92, ".", " ")</f>
        <v>Serviços</v>
      </c>
      <c r="U92" s="29" t="str">
        <f t="shared" ref="U92:U93" si="79">SUBSTITUTE(E92, ".", " ")</f>
        <v>Educacionais</v>
      </c>
      <c r="V92" s="29" t="s">
        <v>1476</v>
      </c>
      <c r="W92" s="66" t="str">
        <f t="shared" si="70"/>
        <v>Key-BRMG-92</v>
      </c>
      <c r="X92" s="29" t="s">
        <v>1355</v>
      </c>
      <c r="Y92" s="29" t="s">
        <v>1401</v>
      </c>
      <c r="Z92" s="41" t="s">
        <v>1</v>
      </c>
      <c r="AA92" s="29" t="str">
        <f t="shared" si="71"/>
        <v>Municipal School.</v>
      </c>
    </row>
    <row r="93" spans="1:27" ht="6.6" customHeight="1" x14ac:dyDescent="0.25">
      <c r="A93" s="73">
        <v>93</v>
      </c>
      <c r="B93" s="30" t="s">
        <v>1474</v>
      </c>
      <c r="C93" s="45" t="s">
        <v>875</v>
      </c>
      <c r="D93" s="45" t="s">
        <v>876</v>
      </c>
      <c r="E93" s="45" t="s">
        <v>877</v>
      </c>
      <c r="F93" s="45" t="s">
        <v>1244</v>
      </c>
      <c r="G93" s="76" t="s">
        <v>1</v>
      </c>
      <c r="H93" s="76" t="s">
        <v>1</v>
      </c>
      <c r="I93" s="76" t="s">
        <v>1</v>
      </c>
      <c r="J93" s="76" t="s">
        <v>1</v>
      </c>
      <c r="K93" s="76" t="s">
        <v>1</v>
      </c>
      <c r="L93" s="44" t="str">
        <f t="shared" si="73"/>
        <v>Instituições.Públicas</v>
      </c>
      <c r="M93" s="44" t="str">
        <f t="shared" si="74"/>
        <v>Serviços</v>
      </c>
      <c r="N93" s="44" t="str">
        <f t="shared" si="75"/>
        <v>Educacionais</v>
      </c>
      <c r="O93" s="44" t="str">
        <f t="shared" si="76"/>
        <v>Colégio de Aplicação</v>
      </c>
      <c r="P93" s="44" t="s">
        <v>1243</v>
      </c>
      <c r="Q93" s="44" t="s">
        <v>1245</v>
      </c>
      <c r="R93" s="29" t="s">
        <v>1</v>
      </c>
      <c r="S93" s="29" t="str">
        <f t="shared" si="77"/>
        <v>Instituições Públicas</v>
      </c>
      <c r="T93" s="29" t="str">
        <f t="shared" si="78"/>
        <v>Serviços</v>
      </c>
      <c r="U93" s="29" t="str">
        <f t="shared" si="79"/>
        <v>Educacionais</v>
      </c>
      <c r="V93" s="29" t="s">
        <v>1476</v>
      </c>
      <c r="W93" s="66" t="str">
        <f t="shared" si="70"/>
        <v>Key-BRMG-93</v>
      </c>
      <c r="X93" s="29" t="s">
        <v>1355</v>
      </c>
      <c r="Y93" s="29" t="s">
        <v>1401</v>
      </c>
      <c r="Z93" s="41" t="s">
        <v>1</v>
      </c>
      <c r="AA93" s="29" t="str">
        <f t="shared" si="71"/>
        <v>The application colleges are educational institutions linked to universities, with the mission of integrating theory and practice in the training of students and teachers.</v>
      </c>
    </row>
    <row r="94" spans="1:27" ht="6.6" customHeight="1" x14ac:dyDescent="0.25">
      <c r="A94" s="73">
        <v>94</v>
      </c>
      <c r="B94" s="30" t="s">
        <v>1474</v>
      </c>
      <c r="C94" s="45" t="s">
        <v>875</v>
      </c>
      <c r="D94" s="45" t="s">
        <v>876</v>
      </c>
      <c r="E94" s="45" t="s">
        <v>877</v>
      </c>
      <c r="F94" s="45" t="s">
        <v>1246</v>
      </c>
      <c r="G94" s="76" t="s">
        <v>1</v>
      </c>
      <c r="H94" s="76" t="s">
        <v>1</v>
      </c>
      <c r="I94" s="76" t="s">
        <v>1</v>
      </c>
      <c r="J94" s="76" t="s">
        <v>1</v>
      </c>
      <c r="K94" s="76" t="s">
        <v>1</v>
      </c>
      <c r="L94" s="44" t="str">
        <f t="shared" si="8"/>
        <v>Instituições.Públicas</v>
      </c>
      <c r="M94" s="44" t="str">
        <f t="shared" ref="M94:O100" si="80">_xlfn.CONCAT(SUBSTITUTE(D94,"."," "))</f>
        <v>Serviços</v>
      </c>
      <c r="N94" s="44" t="str">
        <f t="shared" si="80"/>
        <v>Educacionais</v>
      </c>
      <c r="O94" s="44" t="str">
        <f t="shared" si="80"/>
        <v>Instituiçao de Ensino Militar</v>
      </c>
      <c r="P94" s="44" t="s">
        <v>1247</v>
      </c>
      <c r="Q94" s="44" t="s">
        <v>1248</v>
      </c>
      <c r="R94" s="29" t="s">
        <v>1</v>
      </c>
      <c r="S94" s="29" t="str">
        <f t="shared" si="9"/>
        <v>Instituições Públicas</v>
      </c>
      <c r="T94" s="29" t="str">
        <f t="shared" si="10"/>
        <v>Serviços</v>
      </c>
      <c r="U94" s="29" t="str">
        <f t="shared" si="11"/>
        <v>Educacionais</v>
      </c>
      <c r="V94" s="29" t="s">
        <v>1476</v>
      </c>
      <c r="W94" s="66" t="str">
        <f t="shared" si="70"/>
        <v>Key-BRMG-94</v>
      </c>
      <c r="X94" s="29" t="s">
        <v>1355</v>
      </c>
      <c r="Y94" s="29" t="s">
        <v>1395</v>
      </c>
      <c r="Z94" s="41" t="s">
        <v>1</v>
      </c>
      <c r="AA94" s="29" t="str">
        <f t="shared" si="71"/>
        <v>Military education institutions include military elementary and secondary education colleges as well as the vocational schools of the Armed Forces.</v>
      </c>
    </row>
    <row r="95" spans="1:27" ht="6.6" customHeight="1" x14ac:dyDescent="0.25">
      <c r="A95" s="73">
        <v>95</v>
      </c>
      <c r="B95" s="30" t="s">
        <v>1474</v>
      </c>
      <c r="C95" s="45" t="s">
        <v>875</v>
      </c>
      <c r="D95" s="45" t="s">
        <v>876</v>
      </c>
      <c r="E95" s="45" t="s">
        <v>715</v>
      </c>
      <c r="F95" s="45" t="s">
        <v>716</v>
      </c>
      <c r="G95" s="76" t="s">
        <v>1</v>
      </c>
      <c r="H95" s="76" t="s">
        <v>1</v>
      </c>
      <c r="I95" s="76" t="s">
        <v>1</v>
      </c>
      <c r="J95" s="76" t="s">
        <v>1</v>
      </c>
      <c r="K95" s="76" t="s">
        <v>1</v>
      </c>
      <c r="L95" s="44" t="str">
        <f t="shared" si="8"/>
        <v>Instituições.Públicas</v>
      </c>
      <c r="M95" s="44" t="str">
        <f t="shared" si="80"/>
        <v>Serviços</v>
      </c>
      <c r="N95" s="44" t="str">
        <f t="shared" si="80"/>
        <v>INMET</v>
      </c>
      <c r="O95" s="44" t="str">
        <f t="shared" si="80"/>
        <v>Estação Meteorológica</v>
      </c>
      <c r="P95" s="44" t="s">
        <v>717</v>
      </c>
      <c r="Q95" s="44" t="s">
        <v>718</v>
      </c>
      <c r="R95" s="29" t="s">
        <v>1</v>
      </c>
      <c r="S95" s="29" t="str">
        <f t="shared" si="9"/>
        <v>Instituições Públicas</v>
      </c>
      <c r="T95" s="29" t="str">
        <f t="shared" si="10"/>
        <v>Serviços</v>
      </c>
      <c r="U95" s="29" t="str">
        <f t="shared" si="11"/>
        <v>INMET</v>
      </c>
      <c r="V95" s="29" t="s">
        <v>1476</v>
      </c>
      <c r="W95" s="66" t="str">
        <f t="shared" si="70"/>
        <v>Key-BRMG-95</v>
      </c>
      <c r="X95" s="29" t="s">
        <v>1356</v>
      </c>
      <c r="Y95" s="29" t="s">
        <v>1395</v>
      </c>
      <c r="Z95" s="41" t="s">
        <v>1</v>
      </c>
      <c r="AA95" s="29" t="str">
        <f t="shared" si="71"/>
        <v>Meteorological station managed by the National Institute of Meteorology (INMET) dependent on the Ministry of Agriculture and Livestock.</v>
      </c>
    </row>
    <row r="96" spans="1:27" ht="6.6" customHeight="1" x14ac:dyDescent="0.25">
      <c r="A96" s="73">
        <v>96</v>
      </c>
      <c r="B96" s="30" t="s">
        <v>1474</v>
      </c>
      <c r="C96" s="45" t="s">
        <v>875</v>
      </c>
      <c r="D96" s="45" t="s">
        <v>876</v>
      </c>
      <c r="E96" s="45" t="s">
        <v>719</v>
      </c>
      <c r="F96" s="45" t="s">
        <v>720</v>
      </c>
      <c r="G96" s="76" t="s">
        <v>1</v>
      </c>
      <c r="H96" s="76" t="s">
        <v>1</v>
      </c>
      <c r="I96" s="76" t="s">
        <v>1</v>
      </c>
      <c r="J96" s="76" t="s">
        <v>1</v>
      </c>
      <c r="K96" s="76" t="s">
        <v>1</v>
      </c>
      <c r="L96" s="44" t="str">
        <f t="shared" si="8"/>
        <v>Instituições.Públicas</v>
      </c>
      <c r="M96" s="44" t="str">
        <f t="shared" si="80"/>
        <v>Serviços</v>
      </c>
      <c r="N96" s="44" t="str">
        <f t="shared" si="80"/>
        <v>IBGE</v>
      </c>
      <c r="O96" s="44" t="str">
        <f t="shared" si="80"/>
        <v>Area Densa</v>
      </c>
      <c r="P96" s="44" t="s">
        <v>721</v>
      </c>
      <c r="Q96" s="44" t="s">
        <v>722</v>
      </c>
      <c r="R96" s="29" t="s">
        <v>1</v>
      </c>
      <c r="S96" s="29" t="str">
        <f t="shared" si="9"/>
        <v>Instituições Públicas</v>
      </c>
      <c r="T96" s="29" t="str">
        <f t="shared" si="10"/>
        <v>Serviços</v>
      </c>
      <c r="U96" s="29" t="str">
        <f t="shared" si="11"/>
        <v>IBGE</v>
      </c>
      <c r="V96" s="29" t="s">
        <v>1476</v>
      </c>
      <c r="W96" s="66" t="str">
        <f t="shared" si="70"/>
        <v>Key-BRMG-96</v>
      </c>
      <c r="X96" s="29" t="s">
        <v>1357</v>
      </c>
      <c r="Y96" s="29" t="s">
        <v>1402</v>
      </c>
      <c r="Z96" s="41" t="s">
        <v>1</v>
      </c>
      <c r="AA96" s="29" t="str">
        <f t="shared" si="71"/>
        <v>IBGE Index - Number of inhabitants per square kilometer measured by the Brazilian Institute of Geography and Statistics.</v>
      </c>
    </row>
    <row r="97" spans="1:27" ht="6.6" customHeight="1" x14ac:dyDescent="0.25">
      <c r="A97" s="73">
        <v>97</v>
      </c>
      <c r="B97" s="30" t="s">
        <v>1474</v>
      </c>
      <c r="C97" s="45" t="s">
        <v>875</v>
      </c>
      <c r="D97" s="45" t="s">
        <v>876</v>
      </c>
      <c r="E97" s="45" t="s">
        <v>719</v>
      </c>
      <c r="F97" s="45" t="s">
        <v>723</v>
      </c>
      <c r="G97" s="76" t="s">
        <v>1</v>
      </c>
      <c r="H97" s="76" t="s">
        <v>1</v>
      </c>
      <c r="I97" s="76" t="s">
        <v>1</v>
      </c>
      <c r="J97" s="76" t="s">
        <v>1</v>
      </c>
      <c r="K97" s="76" t="s">
        <v>1</v>
      </c>
      <c r="L97" s="44" t="str">
        <f t="shared" si="8"/>
        <v>Instituições.Públicas</v>
      </c>
      <c r="M97" s="44" t="str">
        <f t="shared" si="80"/>
        <v>Serviços</v>
      </c>
      <c r="N97" s="44" t="str">
        <f t="shared" si="80"/>
        <v>IBGE</v>
      </c>
      <c r="O97" s="44" t="str">
        <f>_xlfn.CONCAT(SUBSTITUTE(F97,"."," "))</f>
        <v>Area Pouco Densa</v>
      </c>
      <c r="P97" s="44" t="s">
        <v>721</v>
      </c>
      <c r="Q97" s="44" t="s">
        <v>722</v>
      </c>
      <c r="R97" s="29" t="s">
        <v>1</v>
      </c>
      <c r="S97" s="29" t="str">
        <f t="shared" ref="S97:S229" si="81">SUBSTITUTE(C97, ".", " ")</f>
        <v>Instituições Públicas</v>
      </c>
      <c r="T97" s="29" t="str">
        <f t="shared" ref="T97:U229" si="82">SUBSTITUTE(D97, ".", " ")</f>
        <v>Serviços</v>
      </c>
      <c r="U97" s="29" t="str">
        <f t="shared" si="82"/>
        <v>IBGE</v>
      </c>
      <c r="V97" s="29" t="s">
        <v>1476</v>
      </c>
      <c r="W97" s="66" t="str">
        <f t="shared" si="70"/>
        <v>Key-BRMG-97</v>
      </c>
      <c r="X97" s="29" t="s">
        <v>1357</v>
      </c>
      <c r="Y97" s="29" t="s">
        <v>1402</v>
      </c>
      <c r="Z97" s="41" t="s">
        <v>1</v>
      </c>
      <c r="AA97" s="29" t="str">
        <f t="shared" si="71"/>
        <v>IBGE Index - Number of inhabitants per square kilometer measured by the Brazilian Institute of Geography and Statistics.</v>
      </c>
    </row>
    <row r="98" spans="1:27" ht="6.6" customHeight="1" x14ac:dyDescent="0.25">
      <c r="A98" s="73">
        <v>98</v>
      </c>
      <c r="B98" s="30" t="s">
        <v>1474</v>
      </c>
      <c r="C98" s="45" t="s">
        <v>875</v>
      </c>
      <c r="D98" s="45" t="s">
        <v>876</v>
      </c>
      <c r="E98" s="45" t="s">
        <v>719</v>
      </c>
      <c r="F98" s="45" t="s">
        <v>724</v>
      </c>
      <c r="G98" s="76" t="s">
        <v>1</v>
      </c>
      <c r="H98" s="76" t="s">
        <v>1</v>
      </c>
      <c r="I98" s="76" t="s">
        <v>1</v>
      </c>
      <c r="J98" s="76" t="s">
        <v>1</v>
      </c>
      <c r="K98" s="76" t="s">
        <v>1</v>
      </c>
      <c r="L98" s="44" t="str">
        <f t="shared" si="8"/>
        <v>Instituições.Públicas</v>
      </c>
      <c r="M98" s="44" t="str">
        <f t="shared" si="80"/>
        <v>Serviços</v>
      </c>
      <c r="N98" s="44" t="str">
        <f t="shared" si="80"/>
        <v>IBGE</v>
      </c>
      <c r="O98" s="44" t="str">
        <f t="shared" si="80"/>
        <v>IDU</v>
      </c>
      <c r="P98" s="44" t="s">
        <v>725</v>
      </c>
      <c r="Q98" s="44" t="s">
        <v>726</v>
      </c>
      <c r="R98" s="29" t="s">
        <v>1</v>
      </c>
      <c r="S98" s="29" t="str">
        <f t="shared" si="81"/>
        <v>Instituições Públicas</v>
      </c>
      <c r="T98" s="29" t="str">
        <f t="shared" si="82"/>
        <v>Serviços</v>
      </c>
      <c r="U98" s="29" t="str">
        <f t="shared" si="82"/>
        <v>IBGE</v>
      </c>
      <c r="V98" s="29" t="s">
        <v>1476</v>
      </c>
      <c r="W98" s="66" t="str">
        <f t="shared" si="70"/>
        <v>Key-BRMG-98</v>
      </c>
      <c r="X98" s="29" t="s">
        <v>1357</v>
      </c>
      <c r="Y98" s="29" t="s">
        <v>1402</v>
      </c>
      <c r="Z98" s="41" t="s">
        <v>1</v>
      </c>
      <c r="AA98" s="29" t="str">
        <f t="shared" si="71"/>
        <v>IBGE Index - IDU (Urban Development Index) evaluates the quality of life and access to urban services measured by the Brazilian Institute of Geography and Statistics.</v>
      </c>
    </row>
    <row r="99" spans="1:27" ht="6.6" customHeight="1" x14ac:dyDescent="0.25">
      <c r="A99" s="73">
        <v>99</v>
      </c>
      <c r="B99" s="30" t="s">
        <v>1474</v>
      </c>
      <c r="C99" s="45" t="s">
        <v>875</v>
      </c>
      <c r="D99" s="45" t="s">
        <v>876</v>
      </c>
      <c r="E99" s="45" t="s">
        <v>719</v>
      </c>
      <c r="F99" s="45" t="s">
        <v>727</v>
      </c>
      <c r="G99" s="76" t="s">
        <v>1</v>
      </c>
      <c r="H99" s="76" t="s">
        <v>1</v>
      </c>
      <c r="I99" s="76" t="s">
        <v>1</v>
      </c>
      <c r="J99" s="76" t="s">
        <v>1</v>
      </c>
      <c r="K99" s="76" t="s">
        <v>1</v>
      </c>
      <c r="L99" s="44" t="str">
        <f t="shared" si="8"/>
        <v>Instituições.Públicas</v>
      </c>
      <c r="M99" s="44" t="str">
        <f t="shared" si="80"/>
        <v>Serviços</v>
      </c>
      <c r="N99" s="44" t="str">
        <f t="shared" si="80"/>
        <v>IBGE</v>
      </c>
      <c r="O99" s="44" t="str">
        <f t="shared" si="80"/>
        <v>Taxa Urbanização</v>
      </c>
      <c r="P99" s="44" t="s">
        <v>728</v>
      </c>
      <c r="Q99" s="44" t="s">
        <v>729</v>
      </c>
      <c r="R99" s="29" t="s">
        <v>1</v>
      </c>
      <c r="S99" s="29" t="str">
        <f t="shared" si="81"/>
        <v>Instituições Públicas</v>
      </c>
      <c r="T99" s="29" t="str">
        <f t="shared" si="82"/>
        <v>Serviços</v>
      </c>
      <c r="U99" s="29" t="str">
        <f t="shared" si="82"/>
        <v>IBGE</v>
      </c>
      <c r="V99" s="29" t="s">
        <v>1476</v>
      </c>
      <c r="W99" s="66" t="str">
        <f t="shared" si="70"/>
        <v>Key-BRMG-99</v>
      </c>
      <c r="X99" s="29" t="s">
        <v>1357</v>
      </c>
      <c r="Y99" s="29" t="s">
        <v>1402</v>
      </c>
      <c r="Z99" s="41" t="s">
        <v>1</v>
      </c>
      <c r="AA99" s="29" t="str">
        <f t="shared" si="71"/>
        <v>IBGE Index - Proportion between urban and rural population measured by the Brazilian Institute of Geography and Statistics.</v>
      </c>
    </row>
    <row r="100" spans="1:27" ht="6.6" customHeight="1" x14ac:dyDescent="0.25">
      <c r="A100" s="73">
        <v>100</v>
      </c>
      <c r="B100" s="30" t="s">
        <v>1474</v>
      </c>
      <c r="C100" s="45" t="s">
        <v>875</v>
      </c>
      <c r="D100" s="45" t="s">
        <v>876</v>
      </c>
      <c r="E100" s="45" t="s">
        <v>719</v>
      </c>
      <c r="F100" s="45" t="s">
        <v>730</v>
      </c>
      <c r="G100" s="76" t="s">
        <v>1</v>
      </c>
      <c r="H100" s="76" t="s">
        <v>1</v>
      </c>
      <c r="I100" s="76" t="s">
        <v>1</v>
      </c>
      <c r="J100" s="76" t="s">
        <v>1</v>
      </c>
      <c r="K100" s="76" t="s">
        <v>1</v>
      </c>
      <c r="L100" s="44" t="str">
        <f t="shared" si="8"/>
        <v>Instituições.Públicas</v>
      </c>
      <c r="M100" s="44" t="str">
        <f t="shared" si="80"/>
        <v>Serviços</v>
      </c>
      <c r="N100" s="44" t="str">
        <f t="shared" si="80"/>
        <v>IBGE</v>
      </c>
      <c r="O100" s="44" t="str">
        <f t="shared" si="80"/>
        <v>Expansão Urbana</v>
      </c>
      <c r="P100" s="44" t="s">
        <v>731</v>
      </c>
      <c r="Q100" s="44" t="s">
        <v>732</v>
      </c>
      <c r="R100" s="29" t="s">
        <v>1</v>
      </c>
      <c r="S100" s="29" t="str">
        <f t="shared" si="81"/>
        <v>Instituições Públicas</v>
      </c>
      <c r="T100" s="29" t="str">
        <f t="shared" si="82"/>
        <v>Serviços</v>
      </c>
      <c r="U100" s="29" t="str">
        <f t="shared" si="82"/>
        <v>IBGE</v>
      </c>
      <c r="V100" s="29" t="s">
        <v>1476</v>
      </c>
      <c r="W100" s="66" t="str">
        <f t="shared" si="70"/>
        <v>Key-BRMG-100</v>
      </c>
      <c r="X100" s="29" t="s">
        <v>1357</v>
      </c>
      <c r="Y100" s="29" t="s">
        <v>1402</v>
      </c>
      <c r="Z100" s="41" t="s">
        <v>1</v>
      </c>
      <c r="AA100" s="29" t="str">
        <f t="shared" si="71"/>
        <v>IBGE Index - Measure of physical growth of cities established by the Brazilian Institute of Geography and Statistics.</v>
      </c>
    </row>
    <row r="101" spans="1:27" ht="6.6" customHeight="1" x14ac:dyDescent="0.25">
      <c r="A101" s="73">
        <v>101</v>
      </c>
      <c r="B101" s="30" t="s">
        <v>1474</v>
      </c>
      <c r="C101" s="31" t="s">
        <v>924</v>
      </c>
      <c r="D101" s="30" t="s">
        <v>978</v>
      </c>
      <c r="E101" s="78" t="s">
        <v>882</v>
      </c>
      <c r="F101" s="45" t="s">
        <v>316</v>
      </c>
      <c r="G101" s="79" t="s">
        <v>1</v>
      </c>
      <c r="H101" s="79" t="s">
        <v>1</v>
      </c>
      <c r="I101" s="79" t="s">
        <v>1</v>
      </c>
      <c r="J101" s="79" t="s">
        <v>1</v>
      </c>
      <c r="K101" s="79" t="s">
        <v>1</v>
      </c>
      <c r="L101" s="80" t="str">
        <f t="shared" ref="L101:L110" si="83">_xlfn.CONCAT(C101)</f>
        <v>Transportes</v>
      </c>
      <c r="M101" s="28" t="str">
        <f t="shared" ref="M101:M110" si="84">CONCATENATE("", D101)</f>
        <v>Ferroviários</v>
      </c>
      <c r="N101" s="28" t="str">
        <f t="shared" ref="N101:N110" si="85">(SUBSTITUTE(SUBSTITUTE(CONCATENATE("",E101),"."," ")," De "," de "))</f>
        <v>Trens</v>
      </c>
      <c r="O101" s="29" t="str">
        <f t="shared" ref="O101:O110" si="86">F101</f>
        <v>Locomotiva</v>
      </c>
      <c r="P101" s="44" t="s">
        <v>319</v>
      </c>
      <c r="Q101" s="29" t="s">
        <v>327</v>
      </c>
      <c r="R101" s="29" t="s">
        <v>1</v>
      </c>
      <c r="S101" s="29" t="str">
        <f t="shared" si="81"/>
        <v>Transportes</v>
      </c>
      <c r="T101" s="29" t="str">
        <f t="shared" si="82"/>
        <v>Ferroviários</v>
      </c>
      <c r="U101" s="29" t="str">
        <f t="shared" si="82"/>
        <v>Trens</v>
      </c>
      <c r="V101" s="29" t="s">
        <v>1476</v>
      </c>
      <c r="W101" s="66" t="str">
        <f t="shared" si="70"/>
        <v>Key-BRMG-101</v>
      </c>
      <c r="X101" s="29" t="s">
        <v>1358</v>
      </c>
      <c r="Y101" s="29" t="s">
        <v>1403</v>
      </c>
      <c r="Z101" s="41" t="s">
        <v>1</v>
      </c>
      <c r="AA101" s="29" t="str">
        <f t="shared" si="71"/>
        <v>A heavy rail vehicle that pulls or pushes railway cars. They can be electric, diesel-electric or steam.</v>
      </c>
    </row>
    <row r="102" spans="1:27" ht="6.6" customHeight="1" x14ac:dyDescent="0.25">
      <c r="A102" s="73">
        <v>102</v>
      </c>
      <c r="B102" s="30" t="s">
        <v>1474</v>
      </c>
      <c r="C102" s="31" t="s">
        <v>924</v>
      </c>
      <c r="D102" s="30" t="s">
        <v>978</v>
      </c>
      <c r="E102" s="78" t="s">
        <v>882</v>
      </c>
      <c r="F102" s="45" t="s">
        <v>317</v>
      </c>
      <c r="G102" s="79" t="s">
        <v>1</v>
      </c>
      <c r="H102" s="79" t="s">
        <v>1</v>
      </c>
      <c r="I102" s="79" t="s">
        <v>1</v>
      </c>
      <c r="J102" s="79" t="s">
        <v>1</v>
      </c>
      <c r="K102" s="79" t="s">
        <v>1</v>
      </c>
      <c r="L102" s="80" t="str">
        <f t="shared" si="83"/>
        <v>Transportes</v>
      </c>
      <c r="M102" s="28" t="str">
        <f t="shared" si="84"/>
        <v>Ferroviários</v>
      </c>
      <c r="N102" s="28" t="str">
        <f t="shared" si="85"/>
        <v>Trens</v>
      </c>
      <c r="O102" s="29" t="str">
        <f t="shared" si="86"/>
        <v>Vagão.Carga</v>
      </c>
      <c r="P102" s="44" t="s">
        <v>320</v>
      </c>
      <c r="Q102" s="29" t="s">
        <v>328</v>
      </c>
      <c r="R102" s="29" t="s">
        <v>1</v>
      </c>
      <c r="S102" s="29" t="str">
        <f t="shared" si="81"/>
        <v>Transportes</v>
      </c>
      <c r="T102" s="29" t="str">
        <f t="shared" si="82"/>
        <v>Ferroviários</v>
      </c>
      <c r="U102" s="29" t="str">
        <f t="shared" si="82"/>
        <v>Trens</v>
      </c>
      <c r="V102" s="29" t="s">
        <v>1476</v>
      </c>
      <c r="W102" s="66" t="str">
        <f t="shared" si="70"/>
        <v>Key-BRMG-102</v>
      </c>
      <c r="X102" s="29" t="s">
        <v>1358</v>
      </c>
      <c r="Y102" s="29" t="s">
        <v>1403</v>
      </c>
      <c r="Z102" s="41" t="s">
        <v>1</v>
      </c>
      <c r="AA102" s="29" t="str">
        <f t="shared" si="71"/>
        <v>Heavy vehicle to run on rails to transport goods (grains, ores, fuels, containers).</v>
      </c>
    </row>
    <row r="103" spans="1:27" ht="6.6" customHeight="1" x14ac:dyDescent="0.25">
      <c r="A103" s="73">
        <v>103</v>
      </c>
      <c r="B103" s="30" t="s">
        <v>1474</v>
      </c>
      <c r="C103" s="31" t="s">
        <v>924</v>
      </c>
      <c r="D103" s="30" t="s">
        <v>978</v>
      </c>
      <c r="E103" s="78" t="s">
        <v>882</v>
      </c>
      <c r="F103" s="45" t="s">
        <v>318</v>
      </c>
      <c r="G103" s="79" t="s">
        <v>1</v>
      </c>
      <c r="H103" s="79" t="s">
        <v>1</v>
      </c>
      <c r="I103" s="79" t="s">
        <v>1</v>
      </c>
      <c r="J103" s="79" t="s">
        <v>1</v>
      </c>
      <c r="K103" s="79" t="s">
        <v>1</v>
      </c>
      <c r="L103" s="80" t="str">
        <f t="shared" si="83"/>
        <v>Transportes</v>
      </c>
      <c r="M103" s="28" t="str">
        <f t="shared" si="84"/>
        <v>Ferroviários</v>
      </c>
      <c r="N103" s="28" t="str">
        <f t="shared" si="85"/>
        <v>Trens</v>
      </c>
      <c r="O103" s="29" t="str">
        <f t="shared" si="86"/>
        <v>Vagão.Passageiro</v>
      </c>
      <c r="P103" s="44" t="s">
        <v>321</v>
      </c>
      <c r="Q103" s="29" t="s">
        <v>329</v>
      </c>
      <c r="R103" s="29" t="s">
        <v>1</v>
      </c>
      <c r="S103" s="29" t="str">
        <f t="shared" si="81"/>
        <v>Transportes</v>
      </c>
      <c r="T103" s="29" t="str">
        <f t="shared" si="82"/>
        <v>Ferroviários</v>
      </c>
      <c r="U103" s="29" t="str">
        <f t="shared" si="82"/>
        <v>Trens</v>
      </c>
      <c r="V103" s="29" t="s">
        <v>1476</v>
      </c>
      <c r="W103" s="66" t="str">
        <f t="shared" si="70"/>
        <v>Key-BRMG-103</v>
      </c>
      <c r="X103" s="29" t="s">
        <v>1358</v>
      </c>
      <c r="Y103" s="29" t="s">
        <v>1403</v>
      </c>
      <c r="Z103" s="41" t="s">
        <v>1</v>
      </c>
      <c r="AA103" s="29" t="str">
        <f t="shared" si="71"/>
        <v>Heavy vehicles to run on rails to transport people, can be equipped with toilets and special facilities.</v>
      </c>
    </row>
    <row r="104" spans="1:27" ht="6.6" customHeight="1" x14ac:dyDescent="0.25">
      <c r="A104" s="73">
        <v>104</v>
      </c>
      <c r="B104" s="30" t="s">
        <v>1474</v>
      </c>
      <c r="C104" s="31" t="s">
        <v>924</v>
      </c>
      <c r="D104" s="30" t="s">
        <v>978</v>
      </c>
      <c r="E104" s="78" t="s">
        <v>882</v>
      </c>
      <c r="F104" s="45" t="s">
        <v>323</v>
      </c>
      <c r="G104" s="79" t="s">
        <v>1</v>
      </c>
      <c r="H104" s="79" t="s">
        <v>1</v>
      </c>
      <c r="I104" s="79" t="s">
        <v>1</v>
      </c>
      <c r="J104" s="79" t="s">
        <v>1</v>
      </c>
      <c r="K104" s="79" t="s">
        <v>1</v>
      </c>
      <c r="L104" s="80" t="str">
        <f t="shared" si="83"/>
        <v>Transportes</v>
      </c>
      <c r="M104" s="28" t="str">
        <f t="shared" si="84"/>
        <v>Ferroviários</v>
      </c>
      <c r="N104" s="28" t="str">
        <f t="shared" si="85"/>
        <v>Trens</v>
      </c>
      <c r="O104" s="29" t="str">
        <f t="shared" si="86"/>
        <v>Vagão.Dormitório</v>
      </c>
      <c r="P104" s="44" t="s">
        <v>324</v>
      </c>
      <c r="Q104" s="29" t="s">
        <v>330</v>
      </c>
      <c r="R104" s="29" t="s">
        <v>1</v>
      </c>
      <c r="S104" s="29" t="str">
        <f t="shared" si="81"/>
        <v>Transportes</v>
      </c>
      <c r="T104" s="29" t="str">
        <f t="shared" si="82"/>
        <v>Ferroviários</v>
      </c>
      <c r="U104" s="29" t="str">
        <f t="shared" si="82"/>
        <v>Trens</v>
      </c>
      <c r="V104" s="29" t="s">
        <v>1476</v>
      </c>
      <c r="W104" s="66" t="str">
        <f t="shared" si="70"/>
        <v>Key-BRMG-104</v>
      </c>
      <c r="X104" s="29" t="s">
        <v>1358</v>
      </c>
      <c r="Y104" s="29" t="s">
        <v>1403</v>
      </c>
      <c r="Z104" s="41" t="s">
        <v>1</v>
      </c>
      <c r="AA104" s="29" t="str">
        <f t="shared" si="71"/>
        <v>Heavy rail vehicle to transport people prepared with sleeping facilities.</v>
      </c>
    </row>
    <row r="105" spans="1:27" ht="6.6" customHeight="1" x14ac:dyDescent="0.25">
      <c r="A105" s="73">
        <v>105</v>
      </c>
      <c r="B105" s="30" t="s">
        <v>1474</v>
      </c>
      <c r="C105" s="31" t="s">
        <v>924</v>
      </c>
      <c r="D105" s="30" t="s">
        <v>978</v>
      </c>
      <c r="E105" s="78" t="s">
        <v>882</v>
      </c>
      <c r="F105" s="45" t="s">
        <v>315</v>
      </c>
      <c r="G105" s="79" t="s">
        <v>1</v>
      </c>
      <c r="H105" s="79" t="s">
        <v>1</v>
      </c>
      <c r="I105" s="79" t="s">
        <v>1</v>
      </c>
      <c r="J105" s="79" t="s">
        <v>1</v>
      </c>
      <c r="K105" s="79" t="s">
        <v>1</v>
      </c>
      <c r="L105" s="80" t="str">
        <f t="shared" si="83"/>
        <v>Transportes</v>
      </c>
      <c r="M105" s="28" t="str">
        <f t="shared" si="84"/>
        <v>Ferroviários</v>
      </c>
      <c r="N105" s="28" t="str">
        <f t="shared" si="85"/>
        <v>Trens</v>
      </c>
      <c r="O105" s="29" t="str">
        <f t="shared" si="86"/>
        <v>Vagão.Metro</v>
      </c>
      <c r="P105" s="44" t="s">
        <v>322</v>
      </c>
      <c r="Q105" s="29" t="s">
        <v>331</v>
      </c>
      <c r="R105" s="29" t="s">
        <v>1</v>
      </c>
      <c r="S105" s="29" t="str">
        <f t="shared" si="81"/>
        <v>Transportes</v>
      </c>
      <c r="T105" s="29" t="str">
        <f t="shared" si="82"/>
        <v>Ferroviários</v>
      </c>
      <c r="U105" s="29" t="str">
        <f t="shared" si="82"/>
        <v>Trens</v>
      </c>
      <c r="V105" s="29" t="s">
        <v>1476</v>
      </c>
      <c r="W105" s="66" t="str">
        <f t="shared" si="70"/>
        <v>Key-BRMG-105</v>
      </c>
      <c r="X105" s="29" t="s">
        <v>1358</v>
      </c>
      <c r="Y105" s="29" t="s">
        <v>1403</v>
      </c>
      <c r="Z105" s="41" t="s">
        <v>1</v>
      </c>
      <c r="AA105" s="29" t="str">
        <f t="shared" si="71"/>
        <v>Heavy vehicle to run on rails to transport people in urban environments.</v>
      </c>
    </row>
    <row r="106" spans="1:27" ht="6.6" customHeight="1" x14ac:dyDescent="0.25">
      <c r="A106" s="73">
        <v>106</v>
      </c>
      <c r="B106" s="30" t="s">
        <v>1474</v>
      </c>
      <c r="C106" s="31" t="s">
        <v>924</v>
      </c>
      <c r="D106" s="30" t="s">
        <v>978</v>
      </c>
      <c r="E106" s="78" t="s">
        <v>882</v>
      </c>
      <c r="F106" s="45" t="s">
        <v>364</v>
      </c>
      <c r="G106" s="79" t="s">
        <v>1</v>
      </c>
      <c r="H106" s="79" t="s">
        <v>1</v>
      </c>
      <c r="I106" s="79" t="s">
        <v>1</v>
      </c>
      <c r="J106" s="79" t="s">
        <v>1</v>
      </c>
      <c r="K106" s="79" t="s">
        <v>1</v>
      </c>
      <c r="L106" s="80" t="str">
        <f t="shared" si="83"/>
        <v>Transportes</v>
      </c>
      <c r="M106" s="28" t="str">
        <f t="shared" si="84"/>
        <v>Ferroviários</v>
      </c>
      <c r="N106" s="28" t="str">
        <f t="shared" si="85"/>
        <v>Trens</v>
      </c>
      <c r="O106" s="29" t="str">
        <f t="shared" si="86"/>
        <v>Vagão.Monotrilho</v>
      </c>
      <c r="P106" s="44" t="s">
        <v>322</v>
      </c>
      <c r="Q106" s="29" t="s">
        <v>331</v>
      </c>
      <c r="R106" s="29" t="s">
        <v>1</v>
      </c>
      <c r="S106" s="29" t="str">
        <f t="shared" si="81"/>
        <v>Transportes</v>
      </c>
      <c r="T106" s="29" t="str">
        <f t="shared" si="82"/>
        <v>Ferroviários</v>
      </c>
      <c r="U106" s="29" t="str">
        <f t="shared" si="82"/>
        <v>Trens</v>
      </c>
      <c r="V106" s="29" t="s">
        <v>1476</v>
      </c>
      <c r="W106" s="66" t="str">
        <f t="shared" si="70"/>
        <v>Key-BRMG-106</v>
      </c>
      <c r="X106" s="29" t="s">
        <v>1358</v>
      </c>
      <c r="Y106" s="29" t="s">
        <v>1403</v>
      </c>
      <c r="Z106" s="41" t="s">
        <v>1</v>
      </c>
      <c r="AA106" s="29" t="str">
        <f t="shared" si="71"/>
        <v>Heavy vehicle to run on rails to transport people in urban environments.</v>
      </c>
    </row>
    <row r="107" spans="1:27" ht="6.6" customHeight="1" x14ac:dyDescent="0.25">
      <c r="A107" s="73">
        <v>107</v>
      </c>
      <c r="B107" s="30" t="s">
        <v>1474</v>
      </c>
      <c r="C107" s="31" t="s">
        <v>924</v>
      </c>
      <c r="D107" s="30" t="s">
        <v>978</v>
      </c>
      <c r="E107" s="78" t="s">
        <v>882</v>
      </c>
      <c r="F107" s="45" t="s">
        <v>771</v>
      </c>
      <c r="G107" s="79" t="s">
        <v>1</v>
      </c>
      <c r="H107" s="79" t="s">
        <v>1</v>
      </c>
      <c r="I107" s="79" t="s">
        <v>1</v>
      </c>
      <c r="J107" s="79" t="s">
        <v>1</v>
      </c>
      <c r="K107" s="79" t="s">
        <v>1</v>
      </c>
      <c r="L107" s="80" t="str">
        <f t="shared" ref="L107:L109" si="87">_xlfn.CONCAT(C107)</f>
        <v>Transportes</v>
      </c>
      <c r="M107" s="28" t="str">
        <f t="shared" ref="M107:M109" si="88">CONCATENATE("", D107)</f>
        <v>Ferroviários</v>
      </c>
      <c r="N107" s="28" t="str">
        <f t="shared" ref="N107:N109" si="89">(SUBSTITUTE(SUBSTITUTE(CONCATENATE("",E107),"."," ")," De "," de "))</f>
        <v>Trens</v>
      </c>
      <c r="O107" s="29" t="str">
        <f t="shared" ref="O107:O109" si="90">F107</f>
        <v>Vagão.VLT</v>
      </c>
      <c r="P107" s="44" t="s">
        <v>773</v>
      </c>
      <c r="Q107" s="44" t="s">
        <v>772</v>
      </c>
      <c r="R107" s="29" t="s">
        <v>1</v>
      </c>
      <c r="S107" s="29" t="str">
        <f t="shared" ref="S107:S109" si="91">SUBSTITUTE(C107, ".", " ")</f>
        <v>Transportes</v>
      </c>
      <c r="T107" s="29" t="str">
        <f t="shared" ref="T107:T109" si="92">SUBSTITUTE(D107, ".", " ")</f>
        <v>Ferroviários</v>
      </c>
      <c r="U107" s="29" t="str">
        <f t="shared" ref="U107:U109" si="93">SUBSTITUTE(E107, ".", " ")</f>
        <v>Trens</v>
      </c>
      <c r="V107" s="29" t="s">
        <v>1476</v>
      </c>
      <c r="W107" s="66" t="str">
        <f t="shared" si="70"/>
        <v>Key-BRMG-107</v>
      </c>
      <c r="X107" s="29" t="s">
        <v>1358</v>
      </c>
      <c r="Y107" s="29" t="s">
        <v>1403</v>
      </c>
      <c r="Z107" s="41" t="s">
        <v>1</v>
      </c>
      <c r="AA107" s="29" t="str">
        <f t="shared" si="71"/>
        <v>Light Rail Vehicle (VLT). System of articulated and bidirectional wagons to transport people at the level of urban surroundings.</v>
      </c>
    </row>
    <row r="108" spans="1:27" ht="6.6" customHeight="1" x14ac:dyDescent="0.25">
      <c r="A108" s="73">
        <v>108</v>
      </c>
      <c r="B108" s="30" t="s">
        <v>1474</v>
      </c>
      <c r="C108" s="31" t="s">
        <v>924</v>
      </c>
      <c r="D108" s="30" t="s">
        <v>978</v>
      </c>
      <c r="E108" s="78" t="s">
        <v>882</v>
      </c>
      <c r="F108" s="45" t="s">
        <v>979</v>
      </c>
      <c r="G108" s="79" t="s">
        <v>1</v>
      </c>
      <c r="H108" s="79" t="s">
        <v>1</v>
      </c>
      <c r="I108" s="79" t="s">
        <v>1</v>
      </c>
      <c r="J108" s="79" t="s">
        <v>1</v>
      </c>
      <c r="K108" s="79" t="s">
        <v>1</v>
      </c>
      <c r="L108" s="80" t="str">
        <f t="shared" ref="L108" si="94">_xlfn.CONCAT(C108)</f>
        <v>Transportes</v>
      </c>
      <c r="M108" s="28" t="str">
        <f t="shared" ref="M108" si="95">CONCATENATE("", D108)</f>
        <v>Ferroviários</v>
      </c>
      <c r="N108" s="28" t="str">
        <f t="shared" ref="N108" si="96">(SUBSTITUTE(SUBSTITUTE(CONCATENATE("",E108),"."," ")," De "," de "))</f>
        <v>Trens</v>
      </c>
      <c r="O108" s="29" t="str">
        <f t="shared" ref="O108" si="97">F108</f>
        <v>Trem.de.Alta.Velocidade</v>
      </c>
      <c r="P108" s="44" t="s">
        <v>981</v>
      </c>
      <c r="Q108" s="44" t="s">
        <v>982</v>
      </c>
      <c r="R108" s="29" t="s">
        <v>1</v>
      </c>
      <c r="S108" s="29" t="str">
        <f t="shared" ref="S108" si="98">SUBSTITUTE(C108, ".", " ")</f>
        <v>Transportes</v>
      </c>
      <c r="T108" s="29" t="str">
        <f t="shared" ref="T108" si="99">SUBSTITUTE(D108, ".", " ")</f>
        <v>Ferroviários</v>
      </c>
      <c r="U108" s="29" t="str">
        <f t="shared" ref="U108" si="100">SUBSTITUTE(E108, ".", " ")</f>
        <v>Trens</v>
      </c>
      <c r="V108" s="29" t="s">
        <v>1476</v>
      </c>
      <c r="W108" s="66" t="str">
        <f t="shared" si="70"/>
        <v>Key-BRMG-108</v>
      </c>
      <c r="X108" s="29" t="s">
        <v>1358</v>
      </c>
      <c r="Y108" s="29" t="s">
        <v>1403</v>
      </c>
      <c r="Z108" s="41" t="s">
        <v>1</v>
      </c>
      <c r="AA108" s="29" t="str">
        <f t="shared" si="71"/>
        <v>Bullet or high-speed train. It travels at speeds that can reach 300 km/h.</v>
      </c>
    </row>
    <row r="109" spans="1:27" ht="6.6" customHeight="1" x14ac:dyDescent="0.25">
      <c r="A109" s="73">
        <v>109</v>
      </c>
      <c r="B109" s="30" t="s">
        <v>1474</v>
      </c>
      <c r="C109" s="31" t="s">
        <v>924</v>
      </c>
      <c r="D109" s="30" t="s">
        <v>978</v>
      </c>
      <c r="E109" s="78" t="s">
        <v>882</v>
      </c>
      <c r="F109" s="45" t="s">
        <v>984</v>
      </c>
      <c r="G109" s="79" t="s">
        <v>1</v>
      </c>
      <c r="H109" s="79" t="s">
        <v>1</v>
      </c>
      <c r="I109" s="79" t="s">
        <v>1</v>
      </c>
      <c r="J109" s="79" t="s">
        <v>1</v>
      </c>
      <c r="K109" s="79" t="s">
        <v>1</v>
      </c>
      <c r="L109" s="80" t="str">
        <f t="shared" si="87"/>
        <v>Transportes</v>
      </c>
      <c r="M109" s="28" t="str">
        <f t="shared" si="88"/>
        <v>Ferroviários</v>
      </c>
      <c r="N109" s="28" t="str">
        <f t="shared" si="89"/>
        <v>Trens</v>
      </c>
      <c r="O109" s="29" t="str">
        <f t="shared" si="90"/>
        <v>Trem.Bala</v>
      </c>
      <c r="P109" s="44" t="s">
        <v>981</v>
      </c>
      <c r="Q109" s="44" t="s">
        <v>982</v>
      </c>
      <c r="R109" s="29" t="s">
        <v>1</v>
      </c>
      <c r="S109" s="29" t="str">
        <f t="shared" si="91"/>
        <v>Transportes</v>
      </c>
      <c r="T109" s="29" t="str">
        <f t="shared" si="92"/>
        <v>Ferroviários</v>
      </c>
      <c r="U109" s="29" t="str">
        <f t="shared" si="93"/>
        <v>Trens</v>
      </c>
      <c r="V109" s="29" t="s">
        <v>1476</v>
      </c>
      <c r="W109" s="66" t="str">
        <f t="shared" si="70"/>
        <v>Key-BRMG-109</v>
      </c>
      <c r="X109" s="29" t="s">
        <v>1358</v>
      </c>
      <c r="Y109" s="29" t="s">
        <v>1403</v>
      </c>
      <c r="Z109" s="41" t="s">
        <v>1</v>
      </c>
      <c r="AA109" s="29" t="str">
        <f t="shared" si="71"/>
        <v>Bullet or high-speed train. It travels at speeds that can reach 300 km/h.</v>
      </c>
    </row>
    <row r="110" spans="1:27" ht="6.6" customHeight="1" x14ac:dyDescent="0.25">
      <c r="A110" s="73">
        <v>110</v>
      </c>
      <c r="B110" s="30" t="s">
        <v>1474</v>
      </c>
      <c r="C110" s="31" t="s">
        <v>924</v>
      </c>
      <c r="D110" s="30" t="s">
        <v>978</v>
      </c>
      <c r="E110" s="78" t="s">
        <v>882</v>
      </c>
      <c r="F110" s="45" t="s">
        <v>985</v>
      </c>
      <c r="G110" s="79" t="s">
        <v>1</v>
      </c>
      <c r="H110" s="79" t="s">
        <v>1</v>
      </c>
      <c r="I110" s="79" t="s">
        <v>1</v>
      </c>
      <c r="J110" s="79" t="s">
        <v>1</v>
      </c>
      <c r="K110" s="79" t="s">
        <v>1</v>
      </c>
      <c r="L110" s="80" t="str">
        <f t="shared" si="83"/>
        <v>Transportes</v>
      </c>
      <c r="M110" s="28" t="str">
        <f t="shared" si="84"/>
        <v>Ferroviários</v>
      </c>
      <c r="N110" s="28" t="str">
        <f t="shared" si="85"/>
        <v>Trens</v>
      </c>
      <c r="O110" s="29" t="str">
        <f t="shared" si="86"/>
        <v>MagLev</v>
      </c>
      <c r="P110" s="44" t="s">
        <v>980</v>
      </c>
      <c r="Q110" s="44" t="s">
        <v>983</v>
      </c>
      <c r="R110" s="29" t="s">
        <v>1</v>
      </c>
      <c r="S110" s="29" t="str">
        <f t="shared" si="81"/>
        <v>Transportes</v>
      </c>
      <c r="T110" s="29" t="str">
        <f t="shared" si="82"/>
        <v>Ferroviários</v>
      </c>
      <c r="U110" s="29" t="str">
        <f t="shared" si="82"/>
        <v>Trens</v>
      </c>
      <c r="V110" s="29" t="s">
        <v>1476</v>
      </c>
      <c r="W110" s="66" t="str">
        <f t="shared" si="70"/>
        <v>Key-BRMG-110</v>
      </c>
      <c r="X110" s="29" t="s">
        <v>1358</v>
      </c>
      <c r="Y110" s="29" t="s">
        <v>1404</v>
      </c>
      <c r="Z110" s="41" t="s">
        <v>1</v>
      </c>
      <c r="AA110" s="29" t="str">
        <f t="shared" si="71"/>
        <v>Magnetic or Maglev levitation train. It travels on a line elevated over the ground that is propelled by the attractive and repulsive forces of magnetism using superconductors.</v>
      </c>
    </row>
    <row r="111" spans="1:27" ht="6.6" customHeight="1" x14ac:dyDescent="0.25">
      <c r="A111" s="73">
        <v>111</v>
      </c>
      <c r="B111" s="30" t="s">
        <v>1474</v>
      </c>
      <c r="C111" s="31" t="s">
        <v>924</v>
      </c>
      <c r="D111" s="30" t="s">
        <v>925</v>
      </c>
      <c r="E111" s="78" t="s">
        <v>977</v>
      </c>
      <c r="F111" s="45" t="s">
        <v>988</v>
      </c>
      <c r="G111" s="79" t="s">
        <v>1</v>
      </c>
      <c r="H111" s="79" t="s">
        <v>1</v>
      </c>
      <c r="I111" s="79" t="s">
        <v>1</v>
      </c>
      <c r="J111" s="79" t="s">
        <v>1</v>
      </c>
      <c r="K111" s="79" t="s">
        <v>1</v>
      </c>
      <c r="L111" s="80" t="str">
        <f t="shared" ref="L111:L121" si="101">_xlfn.CONCAT(C111)</f>
        <v>Transportes</v>
      </c>
      <c r="M111" s="28" t="str">
        <f t="shared" ref="M111:M121" si="102">CONCATENATE("", D111)</f>
        <v>Terrestres</v>
      </c>
      <c r="N111" s="28" t="str">
        <f t="shared" ref="N111:N121" si="103">(SUBSTITUTE(SUBSTITUTE(CONCATENATE("",E111),"."," ")," De "," de "))</f>
        <v>Veículos Maquinária</v>
      </c>
      <c r="O111" s="29" t="str">
        <f t="shared" ref="O111:O121" si="104">F111</f>
        <v>Trator</v>
      </c>
      <c r="P111" s="44" t="s">
        <v>365</v>
      </c>
      <c r="Q111" s="80" t="s">
        <v>369</v>
      </c>
      <c r="R111" s="29" t="s">
        <v>1</v>
      </c>
      <c r="S111" s="29" t="str">
        <f t="shared" ref="S111:S121" si="105">SUBSTITUTE(C111, ".", " ")</f>
        <v>Transportes</v>
      </c>
      <c r="T111" s="29" t="str">
        <f t="shared" ref="T111:T121" si="106">SUBSTITUTE(D111, ".", " ")</f>
        <v>Terrestres</v>
      </c>
      <c r="U111" s="29" t="str">
        <f t="shared" ref="U111:U121" si="107">SUBSTITUTE(E111, ".", " ")</f>
        <v>Veículos Maquinária</v>
      </c>
      <c r="V111" s="29" t="s">
        <v>1476</v>
      </c>
      <c r="W111" s="66" t="str">
        <f t="shared" si="70"/>
        <v>Key-BRMG-111</v>
      </c>
      <c r="X111" s="29" t="s">
        <v>1358</v>
      </c>
      <c r="Y111" s="29" t="s">
        <v>1404</v>
      </c>
      <c r="Z111" s="41" t="s">
        <v>1</v>
      </c>
      <c r="AA111" s="29" t="str">
        <f t="shared" si="71"/>
        <v>Tractor-type construction vehicle.</v>
      </c>
    </row>
    <row r="112" spans="1:27" ht="6.6" customHeight="1" x14ac:dyDescent="0.25">
      <c r="A112" s="73">
        <v>112</v>
      </c>
      <c r="B112" s="30" t="s">
        <v>1474</v>
      </c>
      <c r="C112" s="31" t="s">
        <v>924</v>
      </c>
      <c r="D112" s="30" t="s">
        <v>925</v>
      </c>
      <c r="E112" s="78" t="s">
        <v>977</v>
      </c>
      <c r="F112" s="45" t="s">
        <v>989</v>
      </c>
      <c r="G112" s="79" t="s">
        <v>1</v>
      </c>
      <c r="H112" s="79" t="s">
        <v>1</v>
      </c>
      <c r="I112" s="79" t="s">
        <v>1</v>
      </c>
      <c r="J112" s="79" t="s">
        <v>1</v>
      </c>
      <c r="K112" s="79" t="s">
        <v>1</v>
      </c>
      <c r="L112" s="80" t="str">
        <f t="shared" si="101"/>
        <v>Transportes</v>
      </c>
      <c r="M112" s="28" t="str">
        <f t="shared" si="102"/>
        <v>Terrestres</v>
      </c>
      <c r="N112" s="28" t="str">
        <f t="shared" si="103"/>
        <v>Veículos Maquinária</v>
      </c>
      <c r="O112" s="29" t="str">
        <f t="shared" si="104"/>
        <v xml:space="preserve">Escavadeira.Hidráulica </v>
      </c>
      <c r="P112" s="44" t="s">
        <v>366</v>
      </c>
      <c r="Q112" s="80" t="s">
        <v>370</v>
      </c>
      <c r="R112" s="29" t="s">
        <v>1</v>
      </c>
      <c r="S112" s="29" t="str">
        <f t="shared" si="105"/>
        <v>Transportes</v>
      </c>
      <c r="T112" s="29" t="str">
        <f t="shared" si="106"/>
        <v>Terrestres</v>
      </c>
      <c r="U112" s="29" t="str">
        <f t="shared" si="107"/>
        <v>Veículos Maquinária</v>
      </c>
      <c r="V112" s="29" t="s">
        <v>1476</v>
      </c>
      <c r="W112" s="66" t="str">
        <f t="shared" si="70"/>
        <v>Key-BRMG-112</v>
      </c>
      <c r="X112" s="29" t="s">
        <v>1358</v>
      </c>
      <c r="Y112" s="29" t="s">
        <v>1404</v>
      </c>
      <c r="Z112" s="41" t="s">
        <v>1</v>
      </c>
      <c r="AA112" s="29" t="str">
        <f t="shared" si="71"/>
        <v>Hydraulic excavator type construction vehicle.</v>
      </c>
    </row>
    <row r="113" spans="1:27" ht="6.6" customHeight="1" x14ac:dyDescent="0.25">
      <c r="A113" s="73">
        <v>113</v>
      </c>
      <c r="B113" s="30" t="s">
        <v>1474</v>
      </c>
      <c r="C113" s="31" t="s">
        <v>924</v>
      </c>
      <c r="D113" s="30" t="s">
        <v>925</v>
      </c>
      <c r="E113" s="78" t="s">
        <v>977</v>
      </c>
      <c r="F113" s="45" t="s">
        <v>990</v>
      </c>
      <c r="G113" s="79" t="s">
        <v>1</v>
      </c>
      <c r="H113" s="79" t="s">
        <v>1</v>
      </c>
      <c r="I113" s="79" t="s">
        <v>1</v>
      </c>
      <c r="J113" s="79" t="s">
        <v>1</v>
      </c>
      <c r="K113" s="79" t="s">
        <v>1</v>
      </c>
      <c r="L113" s="80" t="str">
        <f t="shared" si="101"/>
        <v>Transportes</v>
      </c>
      <c r="M113" s="28" t="str">
        <f t="shared" si="102"/>
        <v>Terrestres</v>
      </c>
      <c r="N113" s="28" t="str">
        <f t="shared" si="103"/>
        <v>Veículos Maquinária</v>
      </c>
      <c r="O113" s="29" t="str">
        <f t="shared" si="104"/>
        <v>Retroescavadeira</v>
      </c>
      <c r="P113" s="44" t="s">
        <v>367</v>
      </c>
      <c r="Q113" s="80" t="s">
        <v>371</v>
      </c>
      <c r="R113" s="29" t="s">
        <v>1</v>
      </c>
      <c r="S113" s="29" t="str">
        <f t="shared" si="105"/>
        <v>Transportes</v>
      </c>
      <c r="T113" s="29" t="str">
        <f t="shared" si="106"/>
        <v>Terrestres</v>
      </c>
      <c r="U113" s="29" t="str">
        <f t="shared" si="107"/>
        <v>Veículos Maquinária</v>
      </c>
      <c r="V113" s="29" t="s">
        <v>1476</v>
      </c>
      <c r="W113" s="66" t="str">
        <f t="shared" si="70"/>
        <v>Key-BRMG-113</v>
      </c>
      <c r="X113" s="29" t="s">
        <v>1358</v>
      </c>
      <c r="Y113" s="29" t="s">
        <v>1404</v>
      </c>
      <c r="Z113" s="41" t="s">
        <v>1</v>
      </c>
      <c r="AA113" s="29" t="str">
        <f t="shared" si="71"/>
        <v>Backhoe type work vehicle.</v>
      </c>
    </row>
    <row r="114" spans="1:27" ht="6.6" customHeight="1" x14ac:dyDescent="0.25">
      <c r="A114" s="73">
        <v>114</v>
      </c>
      <c r="B114" s="30" t="s">
        <v>1474</v>
      </c>
      <c r="C114" s="31" t="s">
        <v>924</v>
      </c>
      <c r="D114" s="30" t="s">
        <v>925</v>
      </c>
      <c r="E114" s="78" t="s">
        <v>977</v>
      </c>
      <c r="F114" s="45" t="s">
        <v>991</v>
      </c>
      <c r="G114" s="79" t="s">
        <v>1</v>
      </c>
      <c r="H114" s="79" t="s">
        <v>1</v>
      </c>
      <c r="I114" s="79" t="s">
        <v>1</v>
      </c>
      <c r="J114" s="79" t="s">
        <v>1</v>
      </c>
      <c r="K114" s="79" t="s">
        <v>1</v>
      </c>
      <c r="L114" s="80" t="str">
        <f t="shared" ref="L114:L116" si="108">_xlfn.CONCAT(C114)</f>
        <v>Transportes</v>
      </c>
      <c r="M114" s="28" t="str">
        <f t="shared" ref="M114:M116" si="109">CONCATENATE("", D114)</f>
        <v>Terrestres</v>
      </c>
      <c r="N114" s="28" t="str">
        <f t="shared" ref="N114:N116" si="110">(SUBSTITUTE(SUBSTITUTE(CONCATENATE("",E114),"."," ")," De "," de "))</f>
        <v>Veículos Maquinária</v>
      </c>
      <c r="O114" s="29" t="str">
        <f t="shared" ref="O114:O116" si="111">F114</f>
        <v>Motoniveladora</v>
      </c>
      <c r="P114" s="44" t="s">
        <v>368</v>
      </c>
      <c r="Q114" s="80" t="s">
        <v>372</v>
      </c>
      <c r="R114" s="29" t="s">
        <v>1</v>
      </c>
      <c r="S114" s="29" t="str">
        <f t="shared" ref="S114:S116" si="112">SUBSTITUTE(C114, ".", " ")</f>
        <v>Transportes</v>
      </c>
      <c r="T114" s="29" t="str">
        <f t="shared" ref="T114:T116" si="113">SUBSTITUTE(D114, ".", " ")</f>
        <v>Terrestres</v>
      </c>
      <c r="U114" s="29" t="str">
        <f t="shared" ref="U114:U116" si="114">SUBSTITUTE(E114, ".", " ")</f>
        <v>Veículos Maquinária</v>
      </c>
      <c r="V114" s="29" t="s">
        <v>1476</v>
      </c>
      <c r="W114" s="66" t="str">
        <f t="shared" si="70"/>
        <v>Key-BRMG-114</v>
      </c>
      <c r="X114" s="29" t="s">
        <v>1358</v>
      </c>
      <c r="Y114" s="29" t="s">
        <v>1404</v>
      </c>
      <c r="Z114" s="41" t="s">
        <v>1</v>
      </c>
      <c r="AA114" s="29" t="str">
        <f t="shared" si="71"/>
        <v>Motor grader-type work vehicle.</v>
      </c>
    </row>
    <row r="115" spans="1:27" ht="6.6" customHeight="1" x14ac:dyDescent="0.25">
      <c r="A115" s="73">
        <v>115</v>
      </c>
      <c r="B115" s="30" t="s">
        <v>1474</v>
      </c>
      <c r="C115" s="31" t="s">
        <v>924</v>
      </c>
      <c r="D115" s="30" t="s">
        <v>925</v>
      </c>
      <c r="E115" s="78" t="s">
        <v>977</v>
      </c>
      <c r="F115" s="45" t="s">
        <v>992</v>
      </c>
      <c r="G115" s="79" t="s">
        <v>1</v>
      </c>
      <c r="H115" s="79" t="s">
        <v>1</v>
      </c>
      <c r="I115" s="79" t="s">
        <v>1</v>
      </c>
      <c r="J115" s="79" t="s">
        <v>1</v>
      </c>
      <c r="K115" s="79" t="s">
        <v>1</v>
      </c>
      <c r="L115" s="80" t="str">
        <f t="shared" si="108"/>
        <v>Transportes</v>
      </c>
      <c r="M115" s="28" t="str">
        <f t="shared" si="109"/>
        <v>Terrestres</v>
      </c>
      <c r="N115" s="28" t="str">
        <f t="shared" si="110"/>
        <v>Veículos Maquinária</v>
      </c>
      <c r="O115" s="29" t="str">
        <f t="shared" si="111"/>
        <v>Empilhadeira</v>
      </c>
      <c r="P115" s="44" t="s">
        <v>995</v>
      </c>
      <c r="Q115" s="80" t="s">
        <v>997</v>
      </c>
      <c r="R115" s="29" t="s">
        <v>1</v>
      </c>
      <c r="S115" s="29" t="str">
        <f t="shared" si="112"/>
        <v>Transportes</v>
      </c>
      <c r="T115" s="29" t="str">
        <f t="shared" si="113"/>
        <v>Terrestres</v>
      </c>
      <c r="U115" s="29" t="str">
        <f t="shared" si="114"/>
        <v>Veículos Maquinária</v>
      </c>
      <c r="V115" s="29" t="s">
        <v>1476</v>
      </c>
      <c r="W115" s="66" t="str">
        <f t="shared" si="70"/>
        <v>Key-BRMG-115</v>
      </c>
      <c r="X115" s="29" t="s">
        <v>1358</v>
      </c>
      <c r="Y115" s="29" t="s">
        <v>1404</v>
      </c>
      <c r="Z115" s="41" t="s">
        <v>1</v>
      </c>
      <c r="AA115" s="29" t="str">
        <f t="shared" si="71"/>
        <v>Forklift type construction vehicle for handling and stacking pallets.</v>
      </c>
    </row>
    <row r="116" spans="1:27" ht="6.6" customHeight="1" x14ac:dyDescent="0.25">
      <c r="A116" s="73">
        <v>116</v>
      </c>
      <c r="B116" s="30" t="s">
        <v>1474</v>
      </c>
      <c r="C116" s="31" t="s">
        <v>924</v>
      </c>
      <c r="D116" s="30" t="s">
        <v>925</v>
      </c>
      <c r="E116" s="78" t="s">
        <v>977</v>
      </c>
      <c r="F116" s="45" t="s">
        <v>993</v>
      </c>
      <c r="G116" s="79" t="s">
        <v>1</v>
      </c>
      <c r="H116" s="79" t="s">
        <v>1</v>
      </c>
      <c r="I116" s="79" t="s">
        <v>1</v>
      </c>
      <c r="J116" s="79" t="s">
        <v>1</v>
      </c>
      <c r="K116" s="79" t="s">
        <v>1</v>
      </c>
      <c r="L116" s="80" t="str">
        <f t="shared" si="108"/>
        <v>Transportes</v>
      </c>
      <c r="M116" s="28" t="str">
        <f t="shared" si="109"/>
        <v>Terrestres</v>
      </c>
      <c r="N116" s="28" t="str">
        <f t="shared" si="110"/>
        <v>Veículos Maquinária</v>
      </c>
      <c r="O116" s="29" t="str">
        <f t="shared" si="111"/>
        <v>Munk</v>
      </c>
      <c r="P116" s="44" t="s">
        <v>994</v>
      </c>
      <c r="Q116" s="80" t="s">
        <v>998</v>
      </c>
      <c r="R116" s="29" t="s">
        <v>1</v>
      </c>
      <c r="S116" s="29" t="str">
        <f t="shared" si="112"/>
        <v>Transportes</v>
      </c>
      <c r="T116" s="29" t="str">
        <f t="shared" si="113"/>
        <v>Terrestres</v>
      </c>
      <c r="U116" s="29" t="str">
        <f t="shared" si="114"/>
        <v>Veículos Maquinária</v>
      </c>
      <c r="V116" s="29" t="s">
        <v>1476</v>
      </c>
      <c r="W116" s="66" t="str">
        <f t="shared" si="70"/>
        <v>Key-BRMG-116</v>
      </c>
      <c r="X116" s="29" t="s">
        <v>1358</v>
      </c>
      <c r="Y116" s="29" t="s">
        <v>1404</v>
      </c>
      <c r="Z116" s="41" t="s">
        <v>1</v>
      </c>
      <c r="AA116" s="29" t="str">
        <f t="shared" si="71"/>
        <v>Truck-type construction vehicle with built-in crane.</v>
      </c>
    </row>
    <row r="117" spans="1:27" ht="6.6" customHeight="1" x14ac:dyDescent="0.25">
      <c r="A117" s="73">
        <v>117</v>
      </c>
      <c r="B117" s="30" t="s">
        <v>1474</v>
      </c>
      <c r="C117" s="31" t="s">
        <v>924</v>
      </c>
      <c r="D117" s="30" t="s">
        <v>925</v>
      </c>
      <c r="E117" s="81" t="s">
        <v>1084</v>
      </c>
      <c r="F117" s="45" t="s">
        <v>1000</v>
      </c>
      <c r="G117" s="79" t="s">
        <v>1</v>
      </c>
      <c r="H117" s="79" t="s">
        <v>1</v>
      </c>
      <c r="I117" s="79" t="s">
        <v>1</v>
      </c>
      <c r="J117" s="79" t="s">
        <v>1</v>
      </c>
      <c r="K117" s="79" t="s">
        <v>1</v>
      </c>
      <c r="L117" s="80" t="str">
        <f t="shared" si="101"/>
        <v>Transportes</v>
      </c>
      <c r="M117" s="28" t="str">
        <f t="shared" si="102"/>
        <v>Terrestres</v>
      </c>
      <c r="N117" s="28" t="str">
        <f t="shared" si="103"/>
        <v>Guindastes</v>
      </c>
      <c r="O117" s="29" t="str">
        <f t="shared" si="104"/>
        <v>Guindaste.Telescópico</v>
      </c>
      <c r="P117" s="44" t="s">
        <v>996</v>
      </c>
      <c r="Q117" s="80" t="s">
        <v>999</v>
      </c>
      <c r="R117" s="29" t="s">
        <v>1</v>
      </c>
      <c r="S117" s="29" t="str">
        <f t="shared" si="105"/>
        <v>Transportes</v>
      </c>
      <c r="T117" s="29" t="str">
        <f t="shared" si="106"/>
        <v>Terrestres</v>
      </c>
      <c r="U117" s="29" t="str">
        <f t="shared" si="107"/>
        <v>Guindastes</v>
      </c>
      <c r="V117" s="29" t="s">
        <v>1476</v>
      </c>
      <c r="W117" s="66" t="str">
        <f t="shared" si="70"/>
        <v>Key-BRMG-117</v>
      </c>
      <c r="X117" s="29" t="s">
        <v>1358</v>
      </c>
      <c r="Y117" s="29" t="s">
        <v>1405</v>
      </c>
      <c r="Z117" s="41" t="s">
        <v>1</v>
      </c>
      <c r="AA117" s="29" t="str">
        <f t="shared" si="71"/>
        <v>Truck-type construction vehicle with telescopic lifting system with built-in horizontal and vertical reach.</v>
      </c>
    </row>
    <row r="118" spans="1:27" ht="6.6" customHeight="1" x14ac:dyDescent="0.25">
      <c r="A118" s="73">
        <v>118</v>
      </c>
      <c r="B118" s="30" t="s">
        <v>1474</v>
      </c>
      <c r="C118" s="31" t="s">
        <v>924</v>
      </c>
      <c r="D118" s="30" t="s">
        <v>925</v>
      </c>
      <c r="E118" s="81" t="s">
        <v>1084</v>
      </c>
      <c r="F118" s="46" t="s">
        <v>1085</v>
      </c>
      <c r="G118" s="75" t="s">
        <v>1</v>
      </c>
      <c r="H118" s="75" t="s">
        <v>1</v>
      </c>
      <c r="I118" s="75" t="s">
        <v>1</v>
      </c>
      <c r="J118" s="75" t="s">
        <v>1</v>
      </c>
      <c r="K118" s="75" t="s">
        <v>1</v>
      </c>
      <c r="L118" s="80" t="str">
        <f t="shared" ref="L118:L120" si="115">_xlfn.CONCAT(C118)</f>
        <v>Transportes</v>
      </c>
      <c r="M118" s="28" t="str">
        <f t="shared" ref="M118:M120" si="116">CONCATENATE("", D118)</f>
        <v>Terrestres</v>
      </c>
      <c r="N118" s="28" t="str">
        <f t="shared" ref="N118:N120" si="117">(SUBSTITUTE(SUBSTITUTE(CONCATENATE("",E118),"."," ")," De "," de "))</f>
        <v>Guindastes</v>
      </c>
      <c r="O118" s="29" t="str">
        <f t="shared" ref="O118:O120" si="118">F118</f>
        <v>Guindaste.Móvel</v>
      </c>
      <c r="P118" s="29" t="s">
        <v>1087</v>
      </c>
      <c r="Q118" s="80" t="s">
        <v>1209</v>
      </c>
      <c r="R118" s="29" t="s">
        <v>1</v>
      </c>
      <c r="S118" s="29" t="str">
        <f t="shared" ref="S118:S120" si="119">SUBSTITUTE(C118, ".", " ")</f>
        <v>Transportes</v>
      </c>
      <c r="T118" s="29" t="str">
        <f t="shared" ref="T118:T120" si="120">SUBSTITUTE(D118, ".", " ")</f>
        <v>Terrestres</v>
      </c>
      <c r="U118" s="29" t="str">
        <f t="shared" ref="U118:U120" si="121">SUBSTITUTE(E118, ".", " ")</f>
        <v>Guindastes</v>
      </c>
      <c r="V118" s="29" t="s">
        <v>1476</v>
      </c>
      <c r="W118" s="66" t="str">
        <f t="shared" si="70"/>
        <v>Key-BRMG-118</v>
      </c>
      <c r="X118" s="29" t="s">
        <v>1356</v>
      </c>
      <c r="Y118" s="29" t="s">
        <v>1405</v>
      </c>
      <c r="Z118" s="41" t="s">
        <v>1</v>
      </c>
      <c r="AA118" s="29" t="str">
        <f t="shared" si="71"/>
        <v>Crane-type operation structure moved on rails.</v>
      </c>
    </row>
    <row r="119" spans="1:27" ht="6.6" customHeight="1" x14ac:dyDescent="0.25">
      <c r="A119" s="73">
        <v>119</v>
      </c>
      <c r="B119" s="30" t="s">
        <v>1474</v>
      </c>
      <c r="C119" s="31" t="s">
        <v>924</v>
      </c>
      <c r="D119" s="30" t="s">
        <v>925</v>
      </c>
      <c r="E119" s="81" t="s">
        <v>1084</v>
      </c>
      <c r="F119" s="46" t="s">
        <v>1086</v>
      </c>
      <c r="G119" s="75" t="s">
        <v>1</v>
      </c>
      <c r="H119" s="75" t="s">
        <v>1</v>
      </c>
      <c r="I119" s="75" t="s">
        <v>1</v>
      </c>
      <c r="J119" s="75" t="s">
        <v>1</v>
      </c>
      <c r="K119" s="75" t="s">
        <v>1</v>
      </c>
      <c r="L119" s="80" t="str">
        <f t="shared" si="115"/>
        <v>Transportes</v>
      </c>
      <c r="M119" s="28" t="str">
        <f t="shared" si="116"/>
        <v>Terrestres</v>
      </c>
      <c r="N119" s="28" t="str">
        <f t="shared" si="117"/>
        <v>Guindastes</v>
      </c>
      <c r="O119" s="29" t="str">
        <f t="shared" si="118"/>
        <v>Guindaste.Torre</v>
      </c>
      <c r="P119" s="29" t="s">
        <v>1090</v>
      </c>
      <c r="Q119" s="80" t="s">
        <v>1210</v>
      </c>
      <c r="R119" s="29" t="s">
        <v>1</v>
      </c>
      <c r="S119" s="29" t="str">
        <f t="shared" si="119"/>
        <v>Transportes</v>
      </c>
      <c r="T119" s="29" t="str">
        <f t="shared" si="120"/>
        <v>Terrestres</v>
      </c>
      <c r="U119" s="29" t="str">
        <f t="shared" si="121"/>
        <v>Guindastes</v>
      </c>
      <c r="V119" s="29" t="s">
        <v>1476</v>
      </c>
      <c r="W119" s="66" t="str">
        <f t="shared" si="70"/>
        <v>Key-BRMG-119</v>
      </c>
      <c r="X119" s="29" t="s">
        <v>1356</v>
      </c>
      <c r="Y119" s="29" t="s">
        <v>1405</v>
      </c>
      <c r="Z119" s="41" t="s">
        <v>1</v>
      </c>
      <c r="AA119" s="29" t="str">
        <f t="shared" si="71"/>
        <v>High tower crane type operation structure which can operate by rotation and travel.</v>
      </c>
    </row>
    <row r="120" spans="1:27" ht="6.6" customHeight="1" x14ac:dyDescent="0.25">
      <c r="A120" s="73">
        <v>120</v>
      </c>
      <c r="B120" s="30" t="s">
        <v>1474</v>
      </c>
      <c r="C120" s="31" t="s">
        <v>924</v>
      </c>
      <c r="D120" s="30" t="s">
        <v>925</v>
      </c>
      <c r="E120" s="81" t="s">
        <v>1084</v>
      </c>
      <c r="F120" s="46" t="s">
        <v>1088</v>
      </c>
      <c r="G120" s="75" t="s">
        <v>1</v>
      </c>
      <c r="H120" s="75" t="s">
        <v>1</v>
      </c>
      <c r="I120" s="75" t="s">
        <v>1</v>
      </c>
      <c r="J120" s="75" t="s">
        <v>1</v>
      </c>
      <c r="K120" s="75" t="s">
        <v>1</v>
      </c>
      <c r="L120" s="80" t="str">
        <f t="shared" si="115"/>
        <v>Transportes</v>
      </c>
      <c r="M120" s="28" t="str">
        <f t="shared" si="116"/>
        <v>Terrestres</v>
      </c>
      <c r="N120" s="28" t="str">
        <f t="shared" si="117"/>
        <v>Guindastes</v>
      </c>
      <c r="O120" s="29" t="str">
        <f t="shared" si="118"/>
        <v>Guindaste.Lança</v>
      </c>
      <c r="P120" s="29" t="s">
        <v>1089</v>
      </c>
      <c r="Q120" s="80" t="s">
        <v>1211</v>
      </c>
      <c r="R120" s="29" t="s">
        <v>1</v>
      </c>
      <c r="S120" s="29" t="str">
        <f t="shared" si="119"/>
        <v>Transportes</v>
      </c>
      <c r="T120" s="29" t="str">
        <f t="shared" si="120"/>
        <v>Terrestres</v>
      </c>
      <c r="U120" s="29" t="str">
        <f t="shared" si="121"/>
        <v>Guindastes</v>
      </c>
      <c r="V120" s="29" t="s">
        <v>1476</v>
      </c>
      <c r="W120" s="66" t="str">
        <f t="shared" si="70"/>
        <v>Key-BRMG-120</v>
      </c>
      <c r="X120" s="29" t="s">
        <v>1356</v>
      </c>
      <c r="Y120" s="29" t="s">
        <v>1405</v>
      </c>
      <c r="Z120" s="41" t="s">
        <v>1</v>
      </c>
      <c r="AA120" s="29" t="str">
        <f t="shared" si="71"/>
        <v>Small crane type operation structure that can operate by rotation and travel.</v>
      </c>
    </row>
    <row r="121" spans="1:27" ht="6.6" customHeight="1" x14ac:dyDescent="0.25">
      <c r="A121" s="73">
        <v>121</v>
      </c>
      <c r="B121" s="30" t="s">
        <v>1474</v>
      </c>
      <c r="C121" s="31" t="s">
        <v>924</v>
      </c>
      <c r="D121" s="30" t="s">
        <v>925</v>
      </c>
      <c r="E121" s="81" t="s">
        <v>1084</v>
      </c>
      <c r="F121" s="46" t="s">
        <v>1091</v>
      </c>
      <c r="G121" s="75" t="s">
        <v>1</v>
      </c>
      <c r="H121" s="75" t="s">
        <v>1</v>
      </c>
      <c r="I121" s="75" t="s">
        <v>1</v>
      </c>
      <c r="J121" s="75" t="s">
        <v>1</v>
      </c>
      <c r="K121" s="75" t="s">
        <v>1</v>
      </c>
      <c r="L121" s="80" t="str">
        <f t="shared" si="101"/>
        <v>Transportes</v>
      </c>
      <c r="M121" s="28" t="str">
        <f t="shared" si="102"/>
        <v>Terrestres</v>
      </c>
      <c r="N121" s="28" t="str">
        <f t="shared" si="103"/>
        <v>Guindastes</v>
      </c>
      <c r="O121" s="29" t="str">
        <f t="shared" si="104"/>
        <v>Guindaste.Ponte</v>
      </c>
      <c r="P121" s="29" t="s">
        <v>1092</v>
      </c>
      <c r="Q121" s="80" t="s">
        <v>1212</v>
      </c>
      <c r="R121" s="29" t="s">
        <v>1</v>
      </c>
      <c r="S121" s="29" t="str">
        <f t="shared" si="105"/>
        <v>Transportes</v>
      </c>
      <c r="T121" s="29" t="str">
        <f t="shared" si="106"/>
        <v>Terrestres</v>
      </c>
      <c r="U121" s="29" t="str">
        <f t="shared" si="107"/>
        <v>Guindastes</v>
      </c>
      <c r="V121" s="29" t="s">
        <v>1476</v>
      </c>
      <c r="W121" s="66" t="str">
        <f t="shared" si="70"/>
        <v>Key-BRMG-121</v>
      </c>
      <c r="X121" s="29" t="s">
        <v>1356</v>
      </c>
      <c r="Y121" s="29" t="s">
        <v>1406</v>
      </c>
      <c r="Z121" s="41" t="s">
        <v>1</v>
      </c>
      <c r="AA121" s="29" t="str">
        <f t="shared" si="71"/>
        <v>Crane-type operation structure in gantry format.</v>
      </c>
    </row>
    <row r="122" spans="1:27" ht="6.6" customHeight="1" x14ac:dyDescent="0.25">
      <c r="A122" s="73">
        <v>122</v>
      </c>
      <c r="B122" s="30" t="s">
        <v>1474</v>
      </c>
      <c r="C122" s="31" t="s">
        <v>924</v>
      </c>
      <c r="D122" s="30" t="s">
        <v>925</v>
      </c>
      <c r="E122" s="78" t="s">
        <v>919</v>
      </c>
      <c r="F122" s="45" t="s">
        <v>184</v>
      </c>
      <c r="G122" s="79" t="s">
        <v>1</v>
      </c>
      <c r="H122" s="79" t="s">
        <v>1</v>
      </c>
      <c r="I122" s="79" t="s">
        <v>1</v>
      </c>
      <c r="J122" s="79" t="s">
        <v>1</v>
      </c>
      <c r="K122" s="79" t="s">
        <v>1</v>
      </c>
      <c r="L122" s="80" t="str">
        <f t="shared" ref="L122:L136" si="122">_xlfn.CONCAT(C122)</f>
        <v>Transportes</v>
      </c>
      <c r="M122" s="28" t="str">
        <f t="shared" ref="M122:M136" si="123">CONCATENATE("", D122)</f>
        <v>Terrestres</v>
      </c>
      <c r="N122" s="28" t="str">
        <f t="shared" ref="N122:N136" si="124">(SUBSTITUTE(SUBSTITUTE(CONCATENATE("",E122),"."," ")," De "," de "))</f>
        <v>Veículos Pesados</v>
      </c>
      <c r="O122" s="29" t="str">
        <f t="shared" ref="O122:O136" si="125">F122</f>
        <v>Caminhão.Baú</v>
      </c>
      <c r="P122" s="44" t="s">
        <v>194</v>
      </c>
      <c r="Q122" s="80" t="s">
        <v>201</v>
      </c>
      <c r="R122" s="29" t="s">
        <v>1</v>
      </c>
      <c r="S122" s="29" t="str">
        <f t="shared" ref="S122:S136" si="126">SUBSTITUTE(C122, ".", " ")</f>
        <v>Transportes</v>
      </c>
      <c r="T122" s="29" t="str">
        <f t="shared" ref="T122:T136" si="127">SUBSTITUTE(D122, ".", " ")</f>
        <v>Terrestres</v>
      </c>
      <c r="U122" s="29" t="str">
        <f t="shared" ref="U122:U136" si="128">SUBSTITUTE(E122, ".", " ")</f>
        <v>Veículos Pesados</v>
      </c>
      <c r="V122" s="29" t="s">
        <v>1476</v>
      </c>
      <c r="W122" s="66" t="str">
        <f t="shared" si="70"/>
        <v>Key-BRMG-122</v>
      </c>
      <c r="X122" s="29" t="s">
        <v>1358</v>
      </c>
      <c r="Y122" s="29" t="s">
        <v>1406</v>
      </c>
      <c r="Z122" s="41" t="s">
        <v>1</v>
      </c>
      <c r="AA122" s="29" t="str">
        <f t="shared" si="71"/>
        <v>High-capacity product loading vehicle with closed body.</v>
      </c>
    </row>
    <row r="123" spans="1:27" ht="6.6" customHeight="1" x14ac:dyDescent="0.25">
      <c r="A123" s="73">
        <v>123</v>
      </c>
      <c r="B123" s="30" t="s">
        <v>1474</v>
      </c>
      <c r="C123" s="31" t="s">
        <v>924</v>
      </c>
      <c r="D123" s="30" t="s">
        <v>925</v>
      </c>
      <c r="E123" s="78" t="s">
        <v>919</v>
      </c>
      <c r="F123" s="45" t="s">
        <v>185</v>
      </c>
      <c r="G123" s="79" t="s">
        <v>1</v>
      </c>
      <c r="H123" s="79" t="s">
        <v>1</v>
      </c>
      <c r="I123" s="79" t="s">
        <v>1</v>
      </c>
      <c r="J123" s="79" t="s">
        <v>1</v>
      </c>
      <c r="K123" s="79" t="s">
        <v>1</v>
      </c>
      <c r="L123" s="80" t="str">
        <f t="shared" si="122"/>
        <v>Transportes</v>
      </c>
      <c r="M123" s="28" t="str">
        <f t="shared" si="123"/>
        <v>Terrestres</v>
      </c>
      <c r="N123" s="28" t="str">
        <f t="shared" si="124"/>
        <v>Veículos Pesados</v>
      </c>
      <c r="O123" s="29" t="str">
        <f t="shared" si="125"/>
        <v>Caminhão.Tanque</v>
      </c>
      <c r="P123" s="44" t="s">
        <v>190</v>
      </c>
      <c r="Q123" s="80" t="s">
        <v>202</v>
      </c>
      <c r="R123" s="29" t="s">
        <v>1</v>
      </c>
      <c r="S123" s="29" t="str">
        <f t="shared" si="126"/>
        <v>Transportes</v>
      </c>
      <c r="T123" s="29" t="str">
        <f t="shared" si="127"/>
        <v>Terrestres</v>
      </c>
      <c r="U123" s="29" t="str">
        <f t="shared" si="128"/>
        <v>Veículos Pesados</v>
      </c>
      <c r="V123" s="29" t="s">
        <v>1476</v>
      </c>
      <c r="W123" s="66" t="str">
        <f t="shared" si="70"/>
        <v>Key-BRMG-123</v>
      </c>
      <c r="X123" s="29" t="s">
        <v>1358</v>
      </c>
      <c r="Y123" s="29" t="s">
        <v>1406</v>
      </c>
      <c r="Z123" s="41" t="s">
        <v>1</v>
      </c>
      <c r="AA123" s="29" t="str">
        <f t="shared" si="71"/>
        <v>Cargo vehicle with a high capacity to transport fluids or fuels.</v>
      </c>
    </row>
    <row r="124" spans="1:27" ht="6.6" customHeight="1" x14ac:dyDescent="0.25">
      <c r="A124" s="73">
        <v>124</v>
      </c>
      <c r="B124" s="30" t="s">
        <v>1474</v>
      </c>
      <c r="C124" s="31" t="s">
        <v>924</v>
      </c>
      <c r="D124" s="30" t="s">
        <v>925</v>
      </c>
      <c r="E124" s="78" t="s">
        <v>919</v>
      </c>
      <c r="F124" s="45" t="s">
        <v>186</v>
      </c>
      <c r="G124" s="79" t="s">
        <v>1</v>
      </c>
      <c r="H124" s="79" t="s">
        <v>1</v>
      </c>
      <c r="I124" s="79" t="s">
        <v>1</v>
      </c>
      <c r="J124" s="79" t="s">
        <v>1</v>
      </c>
      <c r="K124" s="79" t="s">
        <v>1</v>
      </c>
      <c r="L124" s="80" t="str">
        <f t="shared" si="122"/>
        <v>Transportes</v>
      </c>
      <c r="M124" s="28" t="str">
        <f t="shared" si="123"/>
        <v>Terrestres</v>
      </c>
      <c r="N124" s="28" t="str">
        <f t="shared" si="124"/>
        <v>Veículos Pesados</v>
      </c>
      <c r="O124" s="29" t="str">
        <f t="shared" si="125"/>
        <v>Caminhão.Caçamba</v>
      </c>
      <c r="P124" s="44" t="s">
        <v>196</v>
      </c>
      <c r="Q124" s="80" t="s">
        <v>203</v>
      </c>
      <c r="R124" s="29" t="s">
        <v>1</v>
      </c>
      <c r="S124" s="29" t="str">
        <f t="shared" si="126"/>
        <v>Transportes</v>
      </c>
      <c r="T124" s="29" t="str">
        <f t="shared" si="127"/>
        <v>Terrestres</v>
      </c>
      <c r="U124" s="29" t="str">
        <f t="shared" si="128"/>
        <v>Veículos Pesados</v>
      </c>
      <c r="V124" s="29" t="s">
        <v>1476</v>
      </c>
      <c r="W124" s="66" t="str">
        <f t="shared" si="70"/>
        <v>Key-BRMG-124</v>
      </c>
      <c r="X124" s="29" t="s">
        <v>1358</v>
      </c>
      <c r="Y124" s="29" t="s">
        <v>1406</v>
      </c>
      <c r="Z124" s="41" t="s">
        <v>1</v>
      </c>
      <c r="AA124" s="29" t="str">
        <f t="shared" si="71"/>
        <v>Cargo vehicle with high capacity for transporting and unloading bulk materials such as sand, gravel, earth, rubble or gravel. The bucket can be tipped.</v>
      </c>
    </row>
    <row r="125" spans="1:27" ht="6.6" customHeight="1" x14ac:dyDescent="0.25">
      <c r="A125" s="73">
        <v>125</v>
      </c>
      <c r="B125" s="30" t="s">
        <v>1474</v>
      </c>
      <c r="C125" s="31" t="s">
        <v>924</v>
      </c>
      <c r="D125" s="30" t="s">
        <v>925</v>
      </c>
      <c r="E125" s="78" t="s">
        <v>919</v>
      </c>
      <c r="F125" s="45" t="s">
        <v>187</v>
      </c>
      <c r="G125" s="79" t="s">
        <v>1</v>
      </c>
      <c r="H125" s="79" t="s">
        <v>1</v>
      </c>
      <c r="I125" s="79" t="s">
        <v>1</v>
      </c>
      <c r="J125" s="79" t="s">
        <v>1</v>
      </c>
      <c r="K125" s="79" t="s">
        <v>1</v>
      </c>
      <c r="L125" s="80" t="str">
        <f t="shared" si="122"/>
        <v>Transportes</v>
      </c>
      <c r="M125" s="28" t="str">
        <f t="shared" si="123"/>
        <v>Terrestres</v>
      </c>
      <c r="N125" s="28" t="str">
        <f t="shared" si="124"/>
        <v>Veículos Pesados</v>
      </c>
      <c r="O125" s="29" t="str">
        <f t="shared" si="125"/>
        <v>Caminhão.BiTrem</v>
      </c>
      <c r="P125" s="44" t="s">
        <v>195</v>
      </c>
      <c r="Q125" s="80" t="s">
        <v>204</v>
      </c>
      <c r="R125" s="29" t="s">
        <v>1</v>
      </c>
      <c r="S125" s="29" t="str">
        <f t="shared" si="126"/>
        <v>Transportes</v>
      </c>
      <c r="T125" s="29" t="str">
        <f t="shared" si="127"/>
        <v>Terrestres</v>
      </c>
      <c r="U125" s="29" t="str">
        <f t="shared" si="128"/>
        <v>Veículos Pesados</v>
      </c>
      <c r="V125" s="29" t="s">
        <v>1476</v>
      </c>
      <c r="W125" s="66" t="str">
        <f t="shared" si="70"/>
        <v>Key-BRMG-125</v>
      </c>
      <c r="X125" s="29" t="s">
        <v>1358</v>
      </c>
      <c r="Y125" s="29" t="s">
        <v>1406</v>
      </c>
      <c r="Z125" s="41" t="s">
        <v>1</v>
      </c>
      <c r="AA125" s="29" t="str">
        <f t="shared" si="71"/>
        <v>High-capacity cargo vehicle with two trailers (or semi-trailers) attached to the tractor truck.</v>
      </c>
    </row>
    <row r="126" spans="1:27" ht="6.6" customHeight="1" x14ac:dyDescent="0.25">
      <c r="A126" s="73">
        <v>126</v>
      </c>
      <c r="B126" s="30" t="s">
        <v>1474</v>
      </c>
      <c r="C126" s="31" t="s">
        <v>924</v>
      </c>
      <c r="D126" s="30" t="s">
        <v>925</v>
      </c>
      <c r="E126" s="78" t="s">
        <v>919</v>
      </c>
      <c r="F126" s="45" t="s">
        <v>188</v>
      </c>
      <c r="G126" s="79" t="s">
        <v>1</v>
      </c>
      <c r="H126" s="79" t="s">
        <v>1</v>
      </c>
      <c r="I126" s="79" t="s">
        <v>1</v>
      </c>
      <c r="J126" s="79" t="s">
        <v>1</v>
      </c>
      <c r="K126" s="79" t="s">
        <v>1</v>
      </c>
      <c r="L126" s="80" t="str">
        <f t="shared" si="122"/>
        <v>Transportes</v>
      </c>
      <c r="M126" s="28" t="str">
        <f t="shared" si="123"/>
        <v>Terrestres</v>
      </c>
      <c r="N126" s="28" t="str">
        <f t="shared" si="124"/>
        <v>Veículos Pesados</v>
      </c>
      <c r="O126" s="29" t="str">
        <f t="shared" si="125"/>
        <v>Caminhão.Carroceria</v>
      </c>
      <c r="P126" s="44" t="s">
        <v>191</v>
      </c>
      <c r="Q126" s="80" t="s">
        <v>205</v>
      </c>
      <c r="R126" s="29" t="s">
        <v>1</v>
      </c>
      <c r="S126" s="29" t="str">
        <f t="shared" si="126"/>
        <v>Transportes</v>
      </c>
      <c r="T126" s="29" t="str">
        <f t="shared" si="127"/>
        <v>Terrestres</v>
      </c>
      <c r="U126" s="29" t="str">
        <f t="shared" si="128"/>
        <v>Veículos Pesados</v>
      </c>
      <c r="V126" s="29" t="s">
        <v>1476</v>
      </c>
      <c r="W126" s="66" t="str">
        <f t="shared" si="70"/>
        <v>Key-BRMG-126</v>
      </c>
      <c r="X126" s="29" t="s">
        <v>1358</v>
      </c>
      <c r="Y126" s="29" t="s">
        <v>1406</v>
      </c>
      <c r="Z126" s="41" t="s">
        <v>1</v>
      </c>
      <c r="AA126" s="29" t="str">
        <f t="shared" si="71"/>
        <v>Cargo vehicle with an open or semi-open structure at the rear.</v>
      </c>
    </row>
    <row r="127" spans="1:27" ht="6.6" customHeight="1" x14ac:dyDescent="0.25">
      <c r="A127" s="73">
        <v>127</v>
      </c>
      <c r="B127" s="30" t="s">
        <v>1474</v>
      </c>
      <c r="C127" s="31" t="s">
        <v>924</v>
      </c>
      <c r="D127" s="30" t="s">
        <v>925</v>
      </c>
      <c r="E127" s="78" t="s">
        <v>919</v>
      </c>
      <c r="F127" s="45" t="s">
        <v>189</v>
      </c>
      <c r="G127" s="79" t="s">
        <v>1</v>
      </c>
      <c r="H127" s="79" t="s">
        <v>1</v>
      </c>
      <c r="I127" s="79" t="s">
        <v>1</v>
      </c>
      <c r="J127" s="79" t="s">
        <v>1</v>
      </c>
      <c r="K127" s="79" t="s">
        <v>1</v>
      </c>
      <c r="L127" s="80" t="str">
        <f t="shared" si="122"/>
        <v>Transportes</v>
      </c>
      <c r="M127" s="28" t="str">
        <f t="shared" si="123"/>
        <v>Terrestres</v>
      </c>
      <c r="N127" s="28" t="str">
        <f t="shared" si="124"/>
        <v>Veículos Pesados</v>
      </c>
      <c r="O127" s="29" t="str">
        <f t="shared" si="125"/>
        <v>Caminhão.Graneleiro</v>
      </c>
      <c r="P127" s="44" t="s">
        <v>192</v>
      </c>
      <c r="Q127" s="80" t="s">
        <v>206</v>
      </c>
      <c r="R127" s="29" t="s">
        <v>1</v>
      </c>
      <c r="S127" s="29" t="str">
        <f t="shared" si="126"/>
        <v>Transportes</v>
      </c>
      <c r="T127" s="29" t="str">
        <f t="shared" si="127"/>
        <v>Terrestres</v>
      </c>
      <c r="U127" s="29" t="str">
        <f t="shared" si="128"/>
        <v>Veículos Pesados</v>
      </c>
      <c r="V127" s="29" t="s">
        <v>1476</v>
      </c>
      <c r="W127" s="66" t="str">
        <f t="shared" si="70"/>
        <v>Key-BRMG-127</v>
      </c>
      <c r="X127" s="29" t="s">
        <v>1358</v>
      </c>
      <c r="Y127" s="29" t="s">
        <v>1406</v>
      </c>
      <c r="Z127" s="41" t="s">
        <v>1</v>
      </c>
      <c r="AA127" s="29" t="str">
        <f t="shared" si="71"/>
        <v>Cargo vehicle used to transport grains.</v>
      </c>
    </row>
    <row r="128" spans="1:27" ht="6.6" customHeight="1" x14ac:dyDescent="0.25">
      <c r="A128" s="73">
        <v>128</v>
      </c>
      <c r="B128" s="30" t="s">
        <v>1474</v>
      </c>
      <c r="C128" s="31" t="s">
        <v>924</v>
      </c>
      <c r="D128" s="30" t="s">
        <v>925</v>
      </c>
      <c r="E128" s="78" t="s">
        <v>919</v>
      </c>
      <c r="F128" s="45" t="s">
        <v>193</v>
      </c>
      <c r="G128" s="79" t="s">
        <v>1</v>
      </c>
      <c r="H128" s="79" t="s">
        <v>1</v>
      </c>
      <c r="I128" s="79" t="s">
        <v>1</v>
      </c>
      <c r="J128" s="79" t="s">
        <v>1</v>
      </c>
      <c r="K128" s="79" t="s">
        <v>1</v>
      </c>
      <c r="L128" s="80" t="str">
        <f t="shared" si="122"/>
        <v>Transportes</v>
      </c>
      <c r="M128" s="28" t="str">
        <f t="shared" si="123"/>
        <v>Terrestres</v>
      </c>
      <c r="N128" s="28" t="str">
        <f t="shared" si="124"/>
        <v>Veículos Pesados</v>
      </c>
      <c r="O128" s="29" t="str">
        <f t="shared" si="125"/>
        <v>Caminhão.Frigorífico</v>
      </c>
      <c r="P128" s="44" t="s">
        <v>197</v>
      </c>
      <c r="Q128" s="80" t="s">
        <v>207</v>
      </c>
      <c r="R128" s="29" t="s">
        <v>1</v>
      </c>
      <c r="S128" s="29" t="str">
        <f t="shared" si="126"/>
        <v>Transportes</v>
      </c>
      <c r="T128" s="29" t="str">
        <f t="shared" si="127"/>
        <v>Terrestres</v>
      </c>
      <c r="U128" s="29" t="str">
        <f t="shared" si="128"/>
        <v>Veículos Pesados</v>
      </c>
      <c r="V128" s="29" t="s">
        <v>1476</v>
      </c>
      <c r="W128" s="66" t="str">
        <f t="shared" si="70"/>
        <v>Key-BRMG-128</v>
      </c>
      <c r="X128" s="29" t="s">
        <v>1358</v>
      </c>
      <c r="Y128" s="29" t="s">
        <v>1406</v>
      </c>
      <c r="Z128" s="41" t="s">
        <v>1</v>
      </c>
      <c r="AA128" s="29" t="str">
        <f t="shared" si="71"/>
        <v>Cargo vehicle used to transport cargo that needs to be kept at controlled temperatures. Essential to ensure the cold chain.</v>
      </c>
    </row>
    <row r="129" spans="1:27" ht="6.6" customHeight="1" x14ac:dyDescent="0.25">
      <c r="A129" s="73">
        <v>129</v>
      </c>
      <c r="B129" s="30" t="s">
        <v>1474</v>
      </c>
      <c r="C129" s="31" t="s">
        <v>924</v>
      </c>
      <c r="D129" s="30" t="s">
        <v>925</v>
      </c>
      <c r="E129" s="78" t="s">
        <v>919</v>
      </c>
      <c r="F129" s="45" t="s">
        <v>261</v>
      </c>
      <c r="G129" s="79" t="s">
        <v>1</v>
      </c>
      <c r="H129" s="79" t="s">
        <v>1</v>
      </c>
      <c r="I129" s="79" t="s">
        <v>1</v>
      </c>
      <c r="J129" s="79" t="s">
        <v>1</v>
      </c>
      <c r="K129" s="79" t="s">
        <v>1</v>
      </c>
      <c r="L129" s="80" t="str">
        <f t="shared" si="122"/>
        <v>Transportes</v>
      </c>
      <c r="M129" s="28" t="str">
        <f t="shared" si="123"/>
        <v>Terrestres</v>
      </c>
      <c r="N129" s="28" t="str">
        <f t="shared" si="124"/>
        <v>Veículos Pesados</v>
      </c>
      <c r="O129" s="29" t="str">
        <f t="shared" si="125"/>
        <v>Caminhão.Trator</v>
      </c>
      <c r="P129" s="44" t="s">
        <v>262</v>
      </c>
      <c r="Q129" s="80" t="s">
        <v>263</v>
      </c>
      <c r="R129" s="29" t="s">
        <v>1</v>
      </c>
      <c r="S129" s="29" t="str">
        <f t="shared" si="126"/>
        <v>Transportes</v>
      </c>
      <c r="T129" s="29" t="str">
        <f t="shared" si="127"/>
        <v>Terrestres</v>
      </c>
      <c r="U129" s="29" t="str">
        <f t="shared" si="128"/>
        <v>Veículos Pesados</v>
      </c>
      <c r="V129" s="29" t="s">
        <v>1476</v>
      </c>
      <c r="W129" s="66" t="str">
        <f t="shared" si="70"/>
        <v>Key-BRMG-129</v>
      </c>
      <c r="X129" s="29" t="s">
        <v>1358</v>
      </c>
      <c r="Y129" s="29" t="s">
        <v>1406</v>
      </c>
      <c r="Z129" s="41" t="s">
        <v>1</v>
      </c>
      <c r="AA129" s="29" t="str">
        <f t="shared" si="71"/>
        <v>Vehicle with cabin and engine to pull semi-trailers forming an articulated set.</v>
      </c>
    </row>
    <row r="130" spans="1:27" ht="6.6" customHeight="1" x14ac:dyDescent="0.25">
      <c r="A130" s="73">
        <v>130</v>
      </c>
      <c r="B130" s="30" t="s">
        <v>1474</v>
      </c>
      <c r="C130" s="31" t="s">
        <v>924</v>
      </c>
      <c r="D130" s="30" t="s">
        <v>925</v>
      </c>
      <c r="E130" s="78" t="s">
        <v>919</v>
      </c>
      <c r="F130" s="45" t="s">
        <v>92</v>
      </c>
      <c r="G130" s="79" t="s">
        <v>1</v>
      </c>
      <c r="H130" s="79" t="s">
        <v>1</v>
      </c>
      <c r="I130" s="79" t="s">
        <v>1</v>
      </c>
      <c r="J130" s="79" t="s">
        <v>1</v>
      </c>
      <c r="K130" s="79" t="s">
        <v>1</v>
      </c>
      <c r="L130" s="80" t="str">
        <f t="shared" si="122"/>
        <v>Transportes</v>
      </c>
      <c r="M130" s="28" t="str">
        <f t="shared" si="123"/>
        <v>Terrestres</v>
      </c>
      <c r="N130" s="28" t="str">
        <f t="shared" si="124"/>
        <v>Veículos Pesados</v>
      </c>
      <c r="O130" s="29" t="str">
        <f t="shared" si="125"/>
        <v>Ônibus</v>
      </c>
      <c r="P130" s="44" t="s">
        <v>775</v>
      </c>
      <c r="Q130" s="80" t="s">
        <v>778</v>
      </c>
      <c r="R130" s="29" t="s">
        <v>1</v>
      </c>
      <c r="S130" s="29" t="str">
        <f t="shared" si="126"/>
        <v>Transportes</v>
      </c>
      <c r="T130" s="29" t="str">
        <f t="shared" si="127"/>
        <v>Terrestres</v>
      </c>
      <c r="U130" s="29" t="str">
        <f t="shared" si="128"/>
        <v>Veículos Pesados</v>
      </c>
      <c r="V130" s="29" t="s">
        <v>1476</v>
      </c>
      <c r="W130" s="66" t="str">
        <f t="shared" si="70"/>
        <v>Key-BRMG-130</v>
      </c>
      <c r="X130" s="29" t="s">
        <v>1358</v>
      </c>
      <c r="Y130" s="29" t="s">
        <v>1406</v>
      </c>
      <c r="Z130" s="41" t="s">
        <v>1</v>
      </c>
      <c r="AA130" s="29" t="str">
        <f t="shared" si="71"/>
        <v>Public transport vehicle with more than 20 passengers.</v>
      </c>
    </row>
    <row r="131" spans="1:27" ht="6.6" customHeight="1" x14ac:dyDescent="0.25">
      <c r="A131" s="73">
        <v>131</v>
      </c>
      <c r="B131" s="30" t="s">
        <v>1474</v>
      </c>
      <c r="C131" s="31" t="s">
        <v>924</v>
      </c>
      <c r="D131" s="30" t="s">
        <v>925</v>
      </c>
      <c r="E131" s="78" t="s">
        <v>919</v>
      </c>
      <c r="F131" s="45" t="s">
        <v>774</v>
      </c>
      <c r="G131" s="79" t="s">
        <v>1</v>
      </c>
      <c r="H131" s="79" t="s">
        <v>1</v>
      </c>
      <c r="I131" s="79" t="s">
        <v>1</v>
      </c>
      <c r="J131" s="79" t="s">
        <v>1</v>
      </c>
      <c r="K131" s="79" t="s">
        <v>1</v>
      </c>
      <c r="L131" s="80" t="str">
        <f t="shared" si="122"/>
        <v>Transportes</v>
      </c>
      <c r="M131" s="28" t="str">
        <f t="shared" si="123"/>
        <v>Terrestres</v>
      </c>
      <c r="N131" s="28" t="str">
        <f t="shared" si="124"/>
        <v>Veículos Pesados</v>
      </c>
      <c r="O131" s="29" t="str">
        <f t="shared" si="125"/>
        <v>Ônibus.BRT</v>
      </c>
      <c r="P131" s="44" t="s">
        <v>776</v>
      </c>
      <c r="Q131" s="80" t="s">
        <v>779</v>
      </c>
      <c r="R131" s="29" t="s">
        <v>1</v>
      </c>
      <c r="S131" s="29" t="str">
        <f t="shared" si="126"/>
        <v>Transportes</v>
      </c>
      <c r="T131" s="29" t="str">
        <f t="shared" si="127"/>
        <v>Terrestres</v>
      </c>
      <c r="U131" s="29" t="str">
        <f t="shared" si="128"/>
        <v>Veículos Pesados</v>
      </c>
      <c r="V131" s="29" t="s">
        <v>1476</v>
      </c>
      <c r="W131" s="66" t="str">
        <f t="shared" ref="W131:W194" si="129">CONCATENATE("Key-BRMG-",A131)</f>
        <v>Key-BRMG-131</v>
      </c>
      <c r="X131" s="29" t="s">
        <v>1358</v>
      </c>
      <c r="Y131" s="29" t="s">
        <v>1406</v>
      </c>
      <c r="Z131" s="41" t="s">
        <v>1</v>
      </c>
      <c r="AA131" s="29" t="str">
        <f t="shared" si="71"/>
        <v>Bus Rapid Transit (BRT) system public transport vehicle. High capacity urban bus system that operates on exclusive rails.</v>
      </c>
    </row>
    <row r="132" spans="1:27" ht="6.6" customHeight="1" x14ac:dyDescent="0.25">
      <c r="A132" s="73">
        <v>132</v>
      </c>
      <c r="B132" s="30" t="s">
        <v>1474</v>
      </c>
      <c r="C132" s="31" t="s">
        <v>924</v>
      </c>
      <c r="D132" s="30" t="s">
        <v>925</v>
      </c>
      <c r="E132" s="78" t="s">
        <v>919</v>
      </c>
      <c r="F132" s="45" t="s">
        <v>93</v>
      </c>
      <c r="G132" s="79" t="s">
        <v>1</v>
      </c>
      <c r="H132" s="79" t="s">
        <v>1</v>
      </c>
      <c r="I132" s="79" t="s">
        <v>1</v>
      </c>
      <c r="J132" s="79" t="s">
        <v>1</v>
      </c>
      <c r="K132" s="79" t="s">
        <v>1</v>
      </c>
      <c r="L132" s="80" t="str">
        <f t="shared" si="122"/>
        <v>Transportes</v>
      </c>
      <c r="M132" s="28" t="str">
        <f t="shared" si="123"/>
        <v>Terrestres</v>
      </c>
      <c r="N132" s="28" t="str">
        <f t="shared" si="124"/>
        <v>Veículos Pesados</v>
      </c>
      <c r="O132" s="29" t="str">
        <f t="shared" si="125"/>
        <v>Microônibus</v>
      </c>
      <c r="P132" s="44" t="s">
        <v>777</v>
      </c>
      <c r="Q132" s="80" t="s">
        <v>780</v>
      </c>
      <c r="R132" s="29" t="s">
        <v>1</v>
      </c>
      <c r="S132" s="29" t="str">
        <f t="shared" si="126"/>
        <v>Transportes</v>
      </c>
      <c r="T132" s="29" t="str">
        <f t="shared" si="127"/>
        <v>Terrestres</v>
      </c>
      <c r="U132" s="29" t="str">
        <f t="shared" si="128"/>
        <v>Veículos Pesados</v>
      </c>
      <c r="V132" s="29" t="s">
        <v>1476</v>
      </c>
      <c r="W132" s="66" t="str">
        <f t="shared" si="129"/>
        <v>Key-BRMG-132</v>
      </c>
      <c r="X132" s="29" t="s">
        <v>1358</v>
      </c>
      <c r="Y132" s="29" t="s">
        <v>1406</v>
      </c>
      <c r="Z132" s="41" t="s">
        <v>1</v>
      </c>
      <c r="AA132" s="29" t="str">
        <f t="shared" si="71"/>
        <v>Public transport vehicle with up to 20 passengers.</v>
      </c>
    </row>
    <row r="133" spans="1:27" ht="6.6" customHeight="1" x14ac:dyDescent="0.25">
      <c r="A133" s="73">
        <v>133</v>
      </c>
      <c r="B133" s="30" t="s">
        <v>1474</v>
      </c>
      <c r="C133" s="31" t="s">
        <v>924</v>
      </c>
      <c r="D133" s="30" t="s">
        <v>925</v>
      </c>
      <c r="E133" s="78" t="s">
        <v>919</v>
      </c>
      <c r="F133" s="45" t="s">
        <v>98</v>
      </c>
      <c r="G133" s="79" t="s">
        <v>1</v>
      </c>
      <c r="H133" s="79" t="s">
        <v>1</v>
      </c>
      <c r="I133" s="79" t="s">
        <v>1</v>
      </c>
      <c r="J133" s="79" t="s">
        <v>1</v>
      </c>
      <c r="K133" s="79" t="s">
        <v>1</v>
      </c>
      <c r="L133" s="80" t="str">
        <f t="shared" si="122"/>
        <v>Transportes</v>
      </c>
      <c r="M133" s="28" t="str">
        <f t="shared" si="123"/>
        <v>Terrestres</v>
      </c>
      <c r="N133" s="28" t="str">
        <f t="shared" si="124"/>
        <v>Veículos Pesados</v>
      </c>
      <c r="O133" s="29" t="str">
        <f t="shared" si="125"/>
        <v>Reboque</v>
      </c>
      <c r="P133" s="44" t="s">
        <v>182</v>
      </c>
      <c r="Q133" s="80" t="s">
        <v>211</v>
      </c>
      <c r="R133" s="29" t="s">
        <v>1</v>
      </c>
      <c r="S133" s="29" t="str">
        <f t="shared" si="126"/>
        <v>Transportes</v>
      </c>
      <c r="T133" s="29" t="str">
        <f t="shared" si="127"/>
        <v>Terrestres</v>
      </c>
      <c r="U133" s="29" t="str">
        <f t="shared" si="128"/>
        <v>Veículos Pesados</v>
      </c>
      <c r="V133" s="29" t="s">
        <v>1476</v>
      </c>
      <c r="W133" s="66" t="str">
        <f t="shared" si="129"/>
        <v>Key-BRMG-133</v>
      </c>
      <c r="X133" s="29" t="s">
        <v>1358</v>
      </c>
      <c r="Y133" s="29" t="s">
        <v>1406</v>
      </c>
      <c r="Z133" s="41" t="s">
        <v>1</v>
      </c>
      <c r="AA133" s="29" t="str">
        <f t="shared" si="71"/>
        <v>Non-motorized vehicle coupled to another.</v>
      </c>
    </row>
    <row r="134" spans="1:27" ht="6.6" customHeight="1" x14ac:dyDescent="0.25">
      <c r="A134" s="73">
        <v>134</v>
      </c>
      <c r="B134" s="30" t="s">
        <v>1474</v>
      </c>
      <c r="C134" s="31" t="s">
        <v>924</v>
      </c>
      <c r="D134" s="30" t="s">
        <v>925</v>
      </c>
      <c r="E134" s="78" t="s">
        <v>919</v>
      </c>
      <c r="F134" s="45" t="s">
        <v>99</v>
      </c>
      <c r="G134" s="79" t="s">
        <v>1</v>
      </c>
      <c r="H134" s="79" t="s">
        <v>1</v>
      </c>
      <c r="I134" s="79" t="s">
        <v>1</v>
      </c>
      <c r="J134" s="79" t="s">
        <v>1</v>
      </c>
      <c r="K134" s="79" t="s">
        <v>1</v>
      </c>
      <c r="L134" s="80" t="str">
        <f t="shared" si="122"/>
        <v>Transportes</v>
      </c>
      <c r="M134" s="28" t="str">
        <f t="shared" si="123"/>
        <v>Terrestres</v>
      </c>
      <c r="N134" s="28" t="str">
        <f t="shared" si="124"/>
        <v>Veículos Pesados</v>
      </c>
      <c r="O134" s="29" t="str">
        <f t="shared" si="125"/>
        <v>Semirreboque</v>
      </c>
      <c r="P134" s="44" t="s">
        <v>182</v>
      </c>
      <c r="Q134" s="80" t="s">
        <v>211</v>
      </c>
      <c r="R134" s="29" t="s">
        <v>1</v>
      </c>
      <c r="S134" s="29" t="str">
        <f t="shared" si="126"/>
        <v>Transportes</v>
      </c>
      <c r="T134" s="29" t="str">
        <f t="shared" si="127"/>
        <v>Terrestres</v>
      </c>
      <c r="U134" s="29" t="str">
        <f t="shared" si="128"/>
        <v>Veículos Pesados</v>
      </c>
      <c r="V134" s="29" t="s">
        <v>1476</v>
      </c>
      <c r="W134" s="66" t="str">
        <f t="shared" si="129"/>
        <v>Key-BRMG-134</v>
      </c>
      <c r="X134" s="29" t="s">
        <v>1358</v>
      </c>
      <c r="Y134" s="29" t="s">
        <v>1407</v>
      </c>
      <c r="Z134" s="41" t="s">
        <v>1</v>
      </c>
      <c r="AA134" s="29" t="str">
        <f t="shared" si="71"/>
        <v>Non-motorized vehicle coupled to another.</v>
      </c>
    </row>
    <row r="135" spans="1:27" ht="6.6" customHeight="1" x14ac:dyDescent="0.25">
      <c r="A135" s="73">
        <v>135</v>
      </c>
      <c r="B135" s="30" t="s">
        <v>1474</v>
      </c>
      <c r="C135" s="31" t="s">
        <v>924</v>
      </c>
      <c r="D135" s="30" t="s">
        <v>925</v>
      </c>
      <c r="E135" s="78" t="s">
        <v>919</v>
      </c>
      <c r="F135" s="45" t="s">
        <v>100</v>
      </c>
      <c r="G135" s="79" t="s">
        <v>1</v>
      </c>
      <c r="H135" s="79" t="s">
        <v>1</v>
      </c>
      <c r="I135" s="79" t="s">
        <v>1</v>
      </c>
      <c r="J135" s="79" t="s">
        <v>1</v>
      </c>
      <c r="K135" s="79" t="s">
        <v>1</v>
      </c>
      <c r="L135" s="80" t="str">
        <f t="shared" si="122"/>
        <v>Transportes</v>
      </c>
      <c r="M135" s="28" t="str">
        <f t="shared" si="123"/>
        <v>Terrestres</v>
      </c>
      <c r="N135" s="28" t="str">
        <f t="shared" si="124"/>
        <v>Veículos Pesados</v>
      </c>
      <c r="O135" s="29" t="str">
        <f t="shared" si="125"/>
        <v>Veículo.Misto</v>
      </c>
      <c r="P135" s="44" t="s">
        <v>181</v>
      </c>
      <c r="Q135" s="80" t="s">
        <v>212</v>
      </c>
      <c r="R135" s="29" t="s">
        <v>1</v>
      </c>
      <c r="S135" s="29" t="str">
        <f t="shared" si="126"/>
        <v>Transportes</v>
      </c>
      <c r="T135" s="29" t="str">
        <f t="shared" si="127"/>
        <v>Terrestres</v>
      </c>
      <c r="U135" s="29" t="str">
        <f t="shared" si="128"/>
        <v>Veículos Pesados</v>
      </c>
      <c r="V135" s="29" t="s">
        <v>1476</v>
      </c>
      <c r="W135" s="66" t="str">
        <f t="shared" si="129"/>
        <v>Key-BRMG-135</v>
      </c>
      <c r="X135" s="29" t="s">
        <v>1358</v>
      </c>
      <c r="Y135" s="29" t="s">
        <v>1407</v>
      </c>
      <c r="Z135" s="41" t="s">
        <v>1</v>
      </c>
      <c r="AA135" s="29" t="str">
        <f t="shared" si="71"/>
        <v>Vehicle that transports cargo and passengers simultaneously.</v>
      </c>
    </row>
    <row r="136" spans="1:27" ht="6.6" customHeight="1" x14ac:dyDescent="0.25">
      <c r="A136" s="73">
        <v>136</v>
      </c>
      <c r="B136" s="30" t="s">
        <v>1474</v>
      </c>
      <c r="C136" s="31" t="s">
        <v>924</v>
      </c>
      <c r="D136" s="30" t="s">
        <v>925</v>
      </c>
      <c r="E136" s="78" t="s">
        <v>919</v>
      </c>
      <c r="F136" s="45" t="s">
        <v>101</v>
      </c>
      <c r="G136" s="79" t="s">
        <v>1</v>
      </c>
      <c r="H136" s="79" t="s">
        <v>1</v>
      </c>
      <c r="I136" s="79" t="s">
        <v>1</v>
      </c>
      <c r="J136" s="79" t="s">
        <v>1</v>
      </c>
      <c r="K136" s="79" t="s">
        <v>1</v>
      </c>
      <c r="L136" s="80" t="str">
        <f t="shared" si="122"/>
        <v>Transportes</v>
      </c>
      <c r="M136" s="28" t="str">
        <f t="shared" si="123"/>
        <v>Terrestres</v>
      </c>
      <c r="N136" s="28" t="str">
        <f t="shared" si="124"/>
        <v>Veículos Pesados</v>
      </c>
      <c r="O136" s="29" t="str">
        <f t="shared" si="125"/>
        <v>Veículo.Especial</v>
      </c>
      <c r="P136" s="44" t="s">
        <v>88</v>
      </c>
      <c r="Q136" s="80" t="s">
        <v>213</v>
      </c>
      <c r="R136" s="29" t="s">
        <v>1</v>
      </c>
      <c r="S136" s="29" t="str">
        <f t="shared" si="126"/>
        <v>Transportes</v>
      </c>
      <c r="T136" s="29" t="str">
        <f t="shared" si="127"/>
        <v>Terrestres</v>
      </c>
      <c r="U136" s="29" t="str">
        <f t="shared" si="128"/>
        <v>Veículos Pesados</v>
      </c>
      <c r="V136" s="29" t="s">
        <v>1476</v>
      </c>
      <c r="W136" s="66" t="str">
        <f t="shared" si="129"/>
        <v>Key-BRMG-136</v>
      </c>
      <c r="X136" s="29" t="s">
        <v>1358</v>
      </c>
      <c r="Y136" s="29" t="s">
        <v>1407</v>
      </c>
      <c r="Z136" s="41" t="s">
        <v>1</v>
      </c>
      <c r="AA136" s="29" t="str">
        <f t="shared" si="71"/>
        <v>Vehicles adapted for specific functions such as ambulance, fire engine, school transport, etc.</v>
      </c>
    </row>
    <row r="137" spans="1:27" ht="6.6" customHeight="1" x14ac:dyDescent="0.25">
      <c r="A137" s="73">
        <v>137</v>
      </c>
      <c r="B137" s="30" t="s">
        <v>1474</v>
      </c>
      <c r="C137" s="31" t="s">
        <v>924</v>
      </c>
      <c r="D137" s="30" t="s">
        <v>925</v>
      </c>
      <c r="E137" s="78" t="s">
        <v>920</v>
      </c>
      <c r="F137" s="45" t="s">
        <v>90</v>
      </c>
      <c r="G137" s="79" t="s">
        <v>1</v>
      </c>
      <c r="H137" s="79" t="s">
        <v>1</v>
      </c>
      <c r="I137" s="79" t="s">
        <v>1</v>
      </c>
      <c r="J137" s="79" t="s">
        <v>1</v>
      </c>
      <c r="K137" s="79" t="s">
        <v>1</v>
      </c>
      <c r="L137" s="80" t="str">
        <f t="shared" ref="L137:L170" si="130">_xlfn.CONCAT(C137)</f>
        <v>Transportes</v>
      </c>
      <c r="M137" s="28" t="str">
        <f t="shared" ref="M137:M170" si="131">CONCATENATE("", D137)</f>
        <v>Terrestres</v>
      </c>
      <c r="N137" s="28" t="str">
        <f t="shared" ref="N137:N170" si="132">(SUBSTITUTE(SUBSTITUTE(CONCATENATE("",E137),"."," ")," De "," de "))</f>
        <v>Veículos Leves</v>
      </c>
      <c r="O137" s="29" t="str">
        <f t="shared" ref="O137:O170" si="133">F137</f>
        <v>Camioneta</v>
      </c>
      <c r="P137" s="44" t="s">
        <v>922</v>
      </c>
      <c r="Q137" s="80" t="s">
        <v>199</v>
      </c>
      <c r="R137" s="29" t="s">
        <v>1</v>
      </c>
      <c r="S137" s="29" t="str">
        <f t="shared" si="81"/>
        <v>Transportes</v>
      </c>
      <c r="T137" s="29" t="str">
        <f t="shared" si="82"/>
        <v>Terrestres</v>
      </c>
      <c r="U137" s="29" t="str">
        <f t="shared" si="82"/>
        <v>Veículos Leves</v>
      </c>
      <c r="V137" s="29" t="s">
        <v>1476</v>
      </c>
      <c r="W137" s="66" t="str">
        <f t="shared" si="129"/>
        <v>Key-BRMG-137</v>
      </c>
      <c r="X137" s="29" t="s">
        <v>1358</v>
      </c>
      <c r="Y137" s="29" t="s">
        <v>1407</v>
      </c>
      <c r="Z137" s="41" t="s">
        <v>1</v>
      </c>
      <c r="AA137" s="29" t="str">
        <f t="shared" ref="AA137:AA200" si="134">_xlfn.TRANSLATE(P137,"pt","en")</f>
        <v>With a total gross weight (GVW) of up to 3,500 kg, they are classified as light. Similar to the car, but with a cargo compartment.</v>
      </c>
    </row>
    <row r="138" spans="1:27" ht="6.6" customHeight="1" x14ac:dyDescent="0.25">
      <c r="A138" s="73">
        <v>138</v>
      </c>
      <c r="B138" s="30" t="s">
        <v>1474</v>
      </c>
      <c r="C138" s="31" t="s">
        <v>924</v>
      </c>
      <c r="D138" s="30" t="s">
        <v>925</v>
      </c>
      <c r="E138" s="78" t="s">
        <v>920</v>
      </c>
      <c r="F138" s="45" t="s">
        <v>91</v>
      </c>
      <c r="G138" s="79" t="s">
        <v>1</v>
      </c>
      <c r="H138" s="79" t="s">
        <v>1</v>
      </c>
      <c r="I138" s="79" t="s">
        <v>1</v>
      </c>
      <c r="J138" s="79" t="s">
        <v>1</v>
      </c>
      <c r="K138" s="79" t="s">
        <v>1</v>
      </c>
      <c r="L138" s="80" t="str">
        <f t="shared" si="130"/>
        <v>Transportes</v>
      </c>
      <c r="M138" s="28" t="str">
        <f t="shared" si="131"/>
        <v>Terrestres</v>
      </c>
      <c r="N138" s="28" t="str">
        <f t="shared" si="132"/>
        <v>Veículos Leves</v>
      </c>
      <c r="O138" s="29" t="str">
        <f t="shared" si="133"/>
        <v>Caminhonete</v>
      </c>
      <c r="P138" s="44" t="s">
        <v>923</v>
      </c>
      <c r="Q138" s="80" t="s">
        <v>200</v>
      </c>
      <c r="R138" s="29" t="s">
        <v>1</v>
      </c>
      <c r="S138" s="29" t="str">
        <f t="shared" si="81"/>
        <v>Transportes</v>
      </c>
      <c r="T138" s="29" t="str">
        <f t="shared" si="82"/>
        <v>Terrestres</v>
      </c>
      <c r="U138" s="29" t="str">
        <f t="shared" si="82"/>
        <v>Veículos Leves</v>
      </c>
      <c r="V138" s="29" t="s">
        <v>1476</v>
      </c>
      <c r="W138" s="66" t="str">
        <f t="shared" si="129"/>
        <v>Key-BRMG-138</v>
      </c>
      <c r="X138" s="29" t="s">
        <v>1358</v>
      </c>
      <c r="Y138" s="29" t="s">
        <v>1407</v>
      </c>
      <c r="Z138" s="41" t="s">
        <v>1</v>
      </c>
      <c r="AA138" s="29" t="str">
        <f t="shared" si="134"/>
        <v>With a total gross weight (GVW) of up to 3,500 kg, they are classified as light. Mixed vehicle with cabin and bucket.</v>
      </c>
    </row>
    <row r="139" spans="1:27" ht="6.6" customHeight="1" x14ac:dyDescent="0.25">
      <c r="A139" s="73">
        <v>139</v>
      </c>
      <c r="B139" s="30" t="s">
        <v>1474</v>
      </c>
      <c r="C139" s="31" t="s">
        <v>924</v>
      </c>
      <c r="D139" s="30" t="s">
        <v>925</v>
      </c>
      <c r="E139" s="78" t="s">
        <v>920</v>
      </c>
      <c r="F139" s="45" t="s">
        <v>89</v>
      </c>
      <c r="G139" s="79" t="s">
        <v>1</v>
      </c>
      <c r="H139" s="79" t="s">
        <v>1</v>
      </c>
      <c r="I139" s="79" t="s">
        <v>1</v>
      </c>
      <c r="J139" s="79" t="s">
        <v>1</v>
      </c>
      <c r="K139" s="79" t="s">
        <v>1</v>
      </c>
      <c r="L139" s="80" t="str">
        <f t="shared" ref="L139" si="135">_xlfn.CONCAT(C139)</f>
        <v>Transportes</v>
      </c>
      <c r="M139" s="28" t="str">
        <f t="shared" ref="M139" si="136">CONCATENATE("", D139)</f>
        <v>Terrestres</v>
      </c>
      <c r="N139" s="28" t="str">
        <f t="shared" ref="N139" si="137">(SUBSTITUTE(SUBSTITUTE(CONCATENATE("",E139),"."," ")," De "," de "))</f>
        <v>Veículos Leves</v>
      </c>
      <c r="O139" s="29" t="str">
        <f t="shared" ref="O139" si="138">F139</f>
        <v>Automóvel</v>
      </c>
      <c r="P139" s="44" t="s">
        <v>921</v>
      </c>
      <c r="Q139" s="80" t="s">
        <v>198</v>
      </c>
      <c r="R139" s="29" t="s">
        <v>1</v>
      </c>
      <c r="S139" s="29" t="str">
        <f t="shared" ref="S139" si="139">SUBSTITUTE(C139, ".", " ")</f>
        <v>Transportes</v>
      </c>
      <c r="T139" s="29" t="str">
        <f t="shared" ref="T139" si="140">SUBSTITUTE(D139, ".", " ")</f>
        <v>Terrestres</v>
      </c>
      <c r="U139" s="29" t="str">
        <f t="shared" ref="U139" si="141">SUBSTITUTE(E139, ".", " ")</f>
        <v>Veículos Leves</v>
      </c>
      <c r="V139" s="29" t="s">
        <v>1476</v>
      </c>
      <c r="W139" s="66" t="str">
        <f t="shared" si="129"/>
        <v>Key-BRMG-139</v>
      </c>
      <c r="X139" s="29" t="s">
        <v>1358</v>
      </c>
      <c r="Y139" s="29" t="s">
        <v>1407</v>
      </c>
      <c r="Z139" s="41" t="s">
        <v>1</v>
      </c>
      <c r="AA139" s="29" t="str">
        <f t="shared" si="134"/>
        <v>With a total gross weight (GVW) of up to 3,500 kg, they are classified as light.  Light vehicle for transporting up to 5 passengers.</v>
      </c>
    </row>
    <row r="140" spans="1:27" ht="6.6" customHeight="1" x14ac:dyDescent="0.25">
      <c r="A140" s="73">
        <v>140</v>
      </c>
      <c r="B140" s="30" t="s">
        <v>1474</v>
      </c>
      <c r="C140" s="31" t="s">
        <v>924</v>
      </c>
      <c r="D140" s="30" t="s">
        <v>925</v>
      </c>
      <c r="E140" s="78" t="s">
        <v>920</v>
      </c>
      <c r="F140" s="45" t="s">
        <v>94</v>
      </c>
      <c r="G140" s="79" t="s">
        <v>1</v>
      </c>
      <c r="H140" s="79" t="s">
        <v>1</v>
      </c>
      <c r="I140" s="79" t="s">
        <v>1</v>
      </c>
      <c r="J140" s="79" t="s">
        <v>1</v>
      </c>
      <c r="K140" s="79" t="s">
        <v>1</v>
      </c>
      <c r="L140" s="80" t="str">
        <f t="shared" si="130"/>
        <v>Transportes</v>
      </c>
      <c r="M140" s="28" t="str">
        <f t="shared" si="131"/>
        <v>Terrestres</v>
      </c>
      <c r="N140" s="28" t="str">
        <f t="shared" si="132"/>
        <v>Veículos Leves</v>
      </c>
      <c r="O140" s="29" t="str">
        <f t="shared" si="133"/>
        <v>Motocicleta</v>
      </c>
      <c r="P140" s="44" t="s">
        <v>178</v>
      </c>
      <c r="Q140" s="80" t="s">
        <v>208</v>
      </c>
      <c r="R140" s="29" t="s">
        <v>1</v>
      </c>
      <c r="S140" s="29" t="str">
        <f t="shared" si="81"/>
        <v>Transportes</v>
      </c>
      <c r="T140" s="29" t="str">
        <f t="shared" si="82"/>
        <v>Terrestres</v>
      </c>
      <c r="U140" s="29" t="str">
        <f t="shared" si="82"/>
        <v>Veículos Leves</v>
      </c>
      <c r="V140" s="29" t="s">
        <v>1476</v>
      </c>
      <c r="W140" s="66" t="str">
        <f t="shared" si="129"/>
        <v>Key-BRMG-140</v>
      </c>
      <c r="X140" s="29" t="s">
        <v>1358</v>
      </c>
      <c r="Y140" s="29" t="s">
        <v>1407</v>
      </c>
      <c r="Z140" s="41" t="s">
        <v>1</v>
      </c>
      <c r="AA140" s="29" t="str">
        <f t="shared" si="134"/>
        <v>Open, motorized two-wheeled vehicle.</v>
      </c>
    </row>
    <row r="141" spans="1:27" ht="6.6" customHeight="1" x14ac:dyDescent="0.25">
      <c r="A141" s="73">
        <v>141</v>
      </c>
      <c r="B141" s="30" t="s">
        <v>1474</v>
      </c>
      <c r="C141" s="31" t="s">
        <v>924</v>
      </c>
      <c r="D141" s="30" t="s">
        <v>925</v>
      </c>
      <c r="E141" s="78" t="s">
        <v>920</v>
      </c>
      <c r="F141" s="45" t="s">
        <v>95</v>
      </c>
      <c r="G141" s="79" t="s">
        <v>1</v>
      </c>
      <c r="H141" s="79" t="s">
        <v>1</v>
      </c>
      <c r="I141" s="79" t="s">
        <v>1</v>
      </c>
      <c r="J141" s="79" t="s">
        <v>1</v>
      </c>
      <c r="K141" s="79" t="s">
        <v>1</v>
      </c>
      <c r="L141" s="80" t="str">
        <f t="shared" si="130"/>
        <v>Transportes</v>
      </c>
      <c r="M141" s="28" t="str">
        <f t="shared" si="131"/>
        <v>Terrestres</v>
      </c>
      <c r="N141" s="28" t="str">
        <f t="shared" si="132"/>
        <v>Veículos Leves</v>
      </c>
      <c r="O141" s="29" t="str">
        <f t="shared" si="133"/>
        <v>Motoneta</v>
      </c>
      <c r="P141" s="44" t="s">
        <v>178</v>
      </c>
      <c r="Q141" s="80" t="s">
        <v>208</v>
      </c>
      <c r="R141" s="29" t="s">
        <v>1</v>
      </c>
      <c r="S141" s="29" t="str">
        <f t="shared" si="81"/>
        <v>Transportes</v>
      </c>
      <c r="T141" s="29" t="str">
        <f t="shared" si="82"/>
        <v>Terrestres</v>
      </c>
      <c r="U141" s="29" t="str">
        <f t="shared" si="82"/>
        <v>Veículos Leves</v>
      </c>
      <c r="V141" s="29" t="s">
        <v>1476</v>
      </c>
      <c r="W141" s="66" t="str">
        <f t="shared" si="129"/>
        <v>Key-BRMG-141</v>
      </c>
      <c r="X141" s="29" t="s">
        <v>1358</v>
      </c>
      <c r="Y141" s="29" t="s">
        <v>1407</v>
      </c>
      <c r="Z141" s="41" t="s">
        <v>1</v>
      </c>
      <c r="AA141" s="29" t="str">
        <f t="shared" si="134"/>
        <v>Open, motorized two-wheeled vehicle.</v>
      </c>
    </row>
    <row r="142" spans="1:27" ht="6.6" customHeight="1" x14ac:dyDescent="0.25">
      <c r="A142" s="73">
        <v>142</v>
      </c>
      <c r="B142" s="30" t="s">
        <v>1474</v>
      </c>
      <c r="C142" s="31" t="s">
        <v>924</v>
      </c>
      <c r="D142" s="30" t="s">
        <v>925</v>
      </c>
      <c r="E142" s="78" t="s">
        <v>920</v>
      </c>
      <c r="F142" s="45" t="s">
        <v>97</v>
      </c>
      <c r="G142" s="79" t="s">
        <v>1</v>
      </c>
      <c r="H142" s="79" t="s">
        <v>1</v>
      </c>
      <c r="I142" s="79" t="s">
        <v>1</v>
      </c>
      <c r="J142" s="79" t="s">
        <v>1</v>
      </c>
      <c r="K142" s="79" t="s">
        <v>1</v>
      </c>
      <c r="L142" s="80" t="str">
        <f t="shared" ref="L142" si="142">_xlfn.CONCAT(C142)</f>
        <v>Transportes</v>
      </c>
      <c r="M142" s="28" t="str">
        <f t="shared" ref="M142" si="143">CONCATENATE("", D142)</f>
        <v>Terrestres</v>
      </c>
      <c r="N142" s="28" t="str">
        <f t="shared" ref="N142" si="144">(SUBSTITUTE(SUBSTITUTE(CONCATENATE("",E142),"."," ")," De "," de "))</f>
        <v>Veículos Leves</v>
      </c>
      <c r="O142" s="29" t="str">
        <f t="shared" ref="O142" si="145">F142</f>
        <v>Quadriciclo</v>
      </c>
      <c r="P142" s="44" t="s">
        <v>180</v>
      </c>
      <c r="Q142" s="80" t="s">
        <v>210</v>
      </c>
      <c r="R142" s="29" t="s">
        <v>1</v>
      </c>
      <c r="S142" s="29" t="str">
        <f t="shared" ref="S142" si="146">SUBSTITUTE(C142, ".", " ")</f>
        <v>Transportes</v>
      </c>
      <c r="T142" s="29" t="str">
        <f t="shared" ref="T142" si="147">SUBSTITUTE(D142, ".", " ")</f>
        <v>Terrestres</v>
      </c>
      <c r="U142" s="29" t="str">
        <f t="shared" ref="U142" si="148">SUBSTITUTE(E142, ".", " ")</f>
        <v>Veículos Leves</v>
      </c>
      <c r="V142" s="29" t="s">
        <v>1476</v>
      </c>
      <c r="W142" s="66" t="str">
        <f t="shared" si="129"/>
        <v>Key-BRMG-142</v>
      </c>
      <c r="X142" s="29" t="s">
        <v>1358</v>
      </c>
      <c r="Y142" s="29" t="s">
        <v>1407</v>
      </c>
      <c r="Z142" s="41" t="s">
        <v>1</v>
      </c>
      <c r="AA142" s="29" t="str">
        <f t="shared" si="134"/>
        <v>Open, motorized four-wheeled vehicle.</v>
      </c>
    </row>
    <row r="143" spans="1:27" ht="6.6" customHeight="1" x14ac:dyDescent="0.25">
      <c r="A143" s="73">
        <v>143</v>
      </c>
      <c r="B143" s="30" t="s">
        <v>1474</v>
      </c>
      <c r="C143" s="31" t="s">
        <v>924</v>
      </c>
      <c r="D143" s="30" t="s">
        <v>925</v>
      </c>
      <c r="E143" s="78" t="s">
        <v>920</v>
      </c>
      <c r="F143" s="45" t="s">
        <v>96</v>
      </c>
      <c r="G143" s="79" t="s">
        <v>1</v>
      </c>
      <c r="H143" s="79" t="s">
        <v>1</v>
      </c>
      <c r="I143" s="79" t="s">
        <v>1</v>
      </c>
      <c r="J143" s="79" t="s">
        <v>1</v>
      </c>
      <c r="K143" s="79" t="s">
        <v>1</v>
      </c>
      <c r="L143" s="80" t="str">
        <f t="shared" si="130"/>
        <v>Transportes</v>
      </c>
      <c r="M143" s="28" t="str">
        <f t="shared" si="131"/>
        <v>Terrestres</v>
      </c>
      <c r="N143" s="28" t="str">
        <f t="shared" si="132"/>
        <v>Veículos Leves</v>
      </c>
      <c r="O143" s="29" t="str">
        <f t="shared" si="133"/>
        <v>Triciclo</v>
      </c>
      <c r="P143" s="44" t="s">
        <v>179</v>
      </c>
      <c r="Q143" s="80" t="s">
        <v>209</v>
      </c>
      <c r="R143" s="29" t="s">
        <v>1</v>
      </c>
      <c r="S143" s="29" t="str">
        <f t="shared" si="81"/>
        <v>Transportes</v>
      </c>
      <c r="T143" s="29" t="str">
        <f t="shared" si="82"/>
        <v>Terrestres</v>
      </c>
      <c r="U143" s="29" t="str">
        <f t="shared" si="82"/>
        <v>Veículos Leves</v>
      </c>
      <c r="V143" s="29" t="s">
        <v>1476</v>
      </c>
      <c r="W143" s="66" t="str">
        <f t="shared" si="129"/>
        <v>Key-BRMG-143</v>
      </c>
      <c r="X143" s="29" t="s">
        <v>1358</v>
      </c>
      <c r="Y143" s="29" t="s">
        <v>1407</v>
      </c>
      <c r="Z143" s="41" t="s">
        <v>1</v>
      </c>
      <c r="AA143" s="29" t="str">
        <f t="shared" si="134"/>
        <v>Open, motorized three-wheeled vehicle.</v>
      </c>
    </row>
    <row r="144" spans="1:27" ht="6.6" customHeight="1" x14ac:dyDescent="0.25">
      <c r="A144" s="73">
        <v>144</v>
      </c>
      <c r="B144" s="30" t="s">
        <v>1474</v>
      </c>
      <c r="C144" s="31" t="s">
        <v>924</v>
      </c>
      <c r="D144" s="30" t="s">
        <v>925</v>
      </c>
      <c r="E144" s="78" t="s">
        <v>920</v>
      </c>
      <c r="F144" s="45" t="s">
        <v>177</v>
      </c>
      <c r="G144" s="79" t="s">
        <v>1</v>
      </c>
      <c r="H144" s="79" t="s">
        <v>1</v>
      </c>
      <c r="I144" s="79" t="s">
        <v>1</v>
      </c>
      <c r="J144" s="79" t="s">
        <v>1</v>
      </c>
      <c r="K144" s="79" t="s">
        <v>1</v>
      </c>
      <c r="L144" s="80" t="str">
        <f t="shared" si="130"/>
        <v>Transportes</v>
      </c>
      <c r="M144" s="28" t="str">
        <f t="shared" si="131"/>
        <v>Terrestres</v>
      </c>
      <c r="N144" s="28" t="str">
        <f t="shared" si="132"/>
        <v>Veículos Leves</v>
      </c>
      <c r="O144" s="29" t="str">
        <f t="shared" si="133"/>
        <v>Bicicleta</v>
      </c>
      <c r="P144" s="44" t="s">
        <v>183</v>
      </c>
      <c r="Q144" s="80" t="s">
        <v>1213</v>
      </c>
      <c r="R144" s="29" t="s">
        <v>1</v>
      </c>
      <c r="S144" s="29" t="str">
        <f t="shared" ref="S144:S194" si="149">SUBSTITUTE(C144, ".", " ")</f>
        <v>Transportes</v>
      </c>
      <c r="T144" s="29" t="str">
        <f t="shared" ref="T144:T194" si="150">SUBSTITUTE(D144, ".", " ")</f>
        <v>Terrestres</v>
      </c>
      <c r="U144" s="29" t="str">
        <f t="shared" ref="U144:U194" si="151">SUBSTITUTE(E144, ".", " ")</f>
        <v>Veículos Leves</v>
      </c>
      <c r="V144" s="29" t="s">
        <v>1476</v>
      </c>
      <c r="W144" s="66" t="str">
        <f t="shared" si="129"/>
        <v>Key-BRMG-144</v>
      </c>
      <c r="X144" s="29" t="s">
        <v>1358</v>
      </c>
      <c r="Y144" s="29" t="s">
        <v>1408</v>
      </c>
      <c r="Z144" s="41" t="s">
        <v>1</v>
      </c>
      <c r="AA144" s="29" t="str">
        <f t="shared" si="134"/>
        <v>An open vehicle with two aligned wheels, moved by the user's own effort by means of pedals.</v>
      </c>
    </row>
    <row r="145" spans="1:27" ht="6.6" customHeight="1" x14ac:dyDescent="0.25">
      <c r="A145" s="73">
        <v>145</v>
      </c>
      <c r="B145" s="30" t="s">
        <v>1474</v>
      </c>
      <c r="C145" s="31" t="s">
        <v>924</v>
      </c>
      <c r="D145" s="30" t="s">
        <v>926</v>
      </c>
      <c r="E145" s="78" t="s">
        <v>893</v>
      </c>
      <c r="F145" s="45" t="s">
        <v>375</v>
      </c>
      <c r="G145" s="79" t="s">
        <v>1</v>
      </c>
      <c r="H145" s="79" t="s">
        <v>1</v>
      </c>
      <c r="I145" s="79" t="s">
        <v>1</v>
      </c>
      <c r="J145" s="79" t="s">
        <v>1</v>
      </c>
      <c r="K145" s="79" t="s">
        <v>1</v>
      </c>
      <c r="L145" s="80" t="str">
        <f t="shared" si="130"/>
        <v>Transportes</v>
      </c>
      <c r="M145" s="28" t="str">
        <f t="shared" si="131"/>
        <v>Aquáticos</v>
      </c>
      <c r="N145" s="28" t="str">
        <f t="shared" si="132"/>
        <v>Navios</v>
      </c>
      <c r="O145" s="29" t="str">
        <f t="shared" si="133"/>
        <v>Petroleiro</v>
      </c>
      <c r="P145" s="44" t="s">
        <v>376</v>
      </c>
      <c r="Q145" s="80" t="s">
        <v>377</v>
      </c>
      <c r="R145" s="29" t="s">
        <v>1</v>
      </c>
      <c r="S145" s="29" t="str">
        <f t="shared" si="149"/>
        <v>Transportes</v>
      </c>
      <c r="T145" s="29" t="str">
        <f t="shared" si="150"/>
        <v>Aquáticos</v>
      </c>
      <c r="U145" s="29" t="str">
        <f t="shared" si="151"/>
        <v>Navios</v>
      </c>
      <c r="V145" s="29" t="s">
        <v>1476</v>
      </c>
      <c r="W145" s="66" t="str">
        <f t="shared" si="129"/>
        <v>Key-BRMG-145</v>
      </c>
      <c r="X145" s="29" t="s">
        <v>1358</v>
      </c>
      <c r="Y145" s="29" t="s">
        <v>1408</v>
      </c>
      <c r="Z145" s="41" t="s">
        <v>1</v>
      </c>
      <c r="AA145" s="29" t="str">
        <f t="shared" si="134"/>
        <v>Crude oil cargo ship.</v>
      </c>
    </row>
    <row r="146" spans="1:27" ht="6.6" customHeight="1" x14ac:dyDescent="0.25">
      <c r="A146" s="73">
        <v>146</v>
      </c>
      <c r="B146" s="30" t="s">
        <v>1474</v>
      </c>
      <c r="C146" s="31" t="s">
        <v>924</v>
      </c>
      <c r="D146" s="30" t="s">
        <v>926</v>
      </c>
      <c r="E146" s="78" t="s">
        <v>893</v>
      </c>
      <c r="F146" s="45" t="s">
        <v>378</v>
      </c>
      <c r="G146" s="79" t="s">
        <v>1</v>
      </c>
      <c r="H146" s="79" t="s">
        <v>1</v>
      </c>
      <c r="I146" s="79" t="s">
        <v>1</v>
      </c>
      <c r="J146" s="79" t="s">
        <v>1</v>
      </c>
      <c r="K146" s="79" t="s">
        <v>1</v>
      </c>
      <c r="L146" s="80" t="str">
        <f t="shared" si="130"/>
        <v>Transportes</v>
      </c>
      <c r="M146" s="28" t="str">
        <f t="shared" si="131"/>
        <v>Aquáticos</v>
      </c>
      <c r="N146" s="28" t="str">
        <f t="shared" si="132"/>
        <v>Navios</v>
      </c>
      <c r="O146" s="29" t="str">
        <f t="shared" si="133"/>
        <v>Cargueiro</v>
      </c>
      <c r="P146" s="44" t="s">
        <v>379</v>
      </c>
      <c r="Q146" s="80" t="s">
        <v>380</v>
      </c>
      <c r="R146" s="29" t="s">
        <v>1</v>
      </c>
      <c r="S146" s="29" t="str">
        <f t="shared" si="149"/>
        <v>Transportes</v>
      </c>
      <c r="T146" s="29" t="str">
        <f t="shared" si="150"/>
        <v>Aquáticos</v>
      </c>
      <c r="U146" s="29" t="str">
        <f t="shared" si="151"/>
        <v>Navios</v>
      </c>
      <c r="V146" s="29" t="s">
        <v>1476</v>
      </c>
      <c r="W146" s="66" t="str">
        <f t="shared" si="129"/>
        <v>Key-BRMG-146</v>
      </c>
      <c r="X146" s="29" t="s">
        <v>1358</v>
      </c>
      <c r="Y146" s="29" t="s">
        <v>1408</v>
      </c>
      <c r="Z146" s="41" t="s">
        <v>1</v>
      </c>
      <c r="AA146" s="29" t="str">
        <f t="shared" si="134"/>
        <v>General dry cargo ship.</v>
      </c>
    </row>
    <row r="147" spans="1:27" ht="6.6" customHeight="1" x14ac:dyDescent="0.25">
      <c r="A147" s="73">
        <v>147</v>
      </c>
      <c r="B147" s="30" t="s">
        <v>1474</v>
      </c>
      <c r="C147" s="31" t="s">
        <v>924</v>
      </c>
      <c r="D147" s="30" t="s">
        <v>926</v>
      </c>
      <c r="E147" s="78" t="s">
        <v>893</v>
      </c>
      <c r="F147" s="45" t="s">
        <v>381</v>
      </c>
      <c r="G147" s="79" t="s">
        <v>1</v>
      </c>
      <c r="H147" s="79" t="s">
        <v>1</v>
      </c>
      <c r="I147" s="79" t="s">
        <v>1</v>
      </c>
      <c r="J147" s="79" t="s">
        <v>1</v>
      </c>
      <c r="K147" s="79" t="s">
        <v>1</v>
      </c>
      <c r="L147" s="80" t="str">
        <f t="shared" si="130"/>
        <v>Transportes</v>
      </c>
      <c r="M147" s="28" t="str">
        <f t="shared" si="131"/>
        <v>Aquáticos</v>
      </c>
      <c r="N147" s="28" t="str">
        <f t="shared" si="132"/>
        <v>Navios</v>
      </c>
      <c r="O147" s="29" t="str">
        <f t="shared" si="133"/>
        <v>Handysize</v>
      </c>
      <c r="P147" s="44" t="s">
        <v>382</v>
      </c>
      <c r="Q147" s="80" t="s">
        <v>383</v>
      </c>
      <c r="R147" s="29" t="s">
        <v>1</v>
      </c>
      <c r="S147" s="29" t="str">
        <f t="shared" si="149"/>
        <v>Transportes</v>
      </c>
      <c r="T147" s="29" t="str">
        <f t="shared" si="150"/>
        <v>Aquáticos</v>
      </c>
      <c r="U147" s="29" t="str">
        <f t="shared" si="151"/>
        <v>Navios</v>
      </c>
      <c r="V147" s="29" t="s">
        <v>1476</v>
      </c>
      <c r="W147" s="66" t="str">
        <f t="shared" si="129"/>
        <v>Key-BRMG-147</v>
      </c>
      <c r="X147" s="29" t="s">
        <v>1358</v>
      </c>
      <c r="Y147" s="29" t="s">
        <v>1408</v>
      </c>
      <c r="Z147" s="41" t="s">
        <v>1</v>
      </c>
      <c r="AA147" s="29" t="str">
        <f t="shared" si="134"/>
        <v>General dry cargo ships such as grain, cement and steel, access small ports with limited infrastructure.</v>
      </c>
    </row>
    <row r="148" spans="1:27" ht="6.6" customHeight="1" x14ac:dyDescent="0.25">
      <c r="A148" s="73">
        <v>148</v>
      </c>
      <c r="B148" s="30" t="s">
        <v>1474</v>
      </c>
      <c r="C148" s="31" t="s">
        <v>924</v>
      </c>
      <c r="D148" s="30" t="s">
        <v>926</v>
      </c>
      <c r="E148" s="78" t="s">
        <v>893</v>
      </c>
      <c r="F148" s="45" t="s">
        <v>384</v>
      </c>
      <c r="G148" s="79" t="s">
        <v>1</v>
      </c>
      <c r="H148" s="79" t="s">
        <v>1</v>
      </c>
      <c r="I148" s="79" t="s">
        <v>1</v>
      </c>
      <c r="J148" s="79" t="s">
        <v>1</v>
      </c>
      <c r="K148" s="79" t="s">
        <v>1</v>
      </c>
      <c r="L148" s="80" t="str">
        <f t="shared" si="130"/>
        <v>Transportes</v>
      </c>
      <c r="M148" s="28" t="str">
        <f t="shared" si="131"/>
        <v>Aquáticos</v>
      </c>
      <c r="N148" s="28" t="str">
        <f t="shared" si="132"/>
        <v>Navios</v>
      </c>
      <c r="O148" s="29" t="str">
        <f t="shared" si="133"/>
        <v>Handymax</v>
      </c>
      <c r="P148" s="44" t="s">
        <v>385</v>
      </c>
      <c r="Q148" s="80" t="s">
        <v>386</v>
      </c>
      <c r="R148" s="29" t="s">
        <v>1</v>
      </c>
      <c r="S148" s="29" t="str">
        <f t="shared" si="149"/>
        <v>Transportes</v>
      </c>
      <c r="T148" s="29" t="str">
        <f t="shared" si="150"/>
        <v>Aquáticos</v>
      </c>
      <c r="U148" s="29" t="str">
        <f t="shared" si="151"/>
        <v>Navios</v>
      </c>
      <c r="V148" s="29" t="s">
        <v>1476</v>
      </c>
      <c r="W148" s="66" t="str">
        <f t="shared" si="129"/>
        <v>Key-BRMG-148</v>
      </c>
      <c r="X148" s="29" t="s">
        <v>1358</v>
      </c>
      <c r="Y148" s="29" t="s">
        <v>1408</v>
      </c>
      <c r="Z148" s="41" t="s">
        <v>1</v>
      </c>
      <c r="AA148" s="29" t="str">
        <f t="shared" si="134"/>
        <v>Ship of varied cargoes, equipped with its own cranes, ideal for smaller ports.</v>
      </c>
    </row>
    <row r="149" spans="1:27" ht="6.6" customHeight="1" x14ac:dyDescent="0.25">
      <c r="A149" s="73">
        <v>149</v>
      </c>
      <c r="B149" s="30" t="s">
        <v>1474</v>
      </c>
      <c r="C149" s="31" t="s">
        <v>924</v>
      </c>
      <c r="D149" s="30" t="s">
        <v>926</v>
      </c>
      <c r="E149" s="78" t="s">
        <v>893</v>
      </c>
      <c r="F149" s="45" t="s">
        <v>387</v>
      </c>
      <c r="G149" s="79" t="s">
        <v>1</v>
      </c>
      <c r="H149" s="79" t="s">
        <v>1</v>
      </c>
      <c r="I149" s="79" t="s">
        <v>1</v>
      </c>
      <c r="J149" s="79" t="s">
        <v>1</v>
      </c>
      <c r="K149" s="79" t="s">
        <v>1</v>
      </c>
      <c r="L149" s="80" t="str">
        <f t="shared" si="130"/>
        <v>Transportes</v>
      </c>
      <c r="M149" s="28" t="str">
        <f t="shared" si="131"/>
        <v>Aquáticos</v>
      </c>
      <c r="N149" s="28" t="str">
        <f t="shared" si="132"/>
        <v>Navios</v>
      </c>
      <c r="O149" s="29" t="str">
        <f t="shared" si="133"/>
        <v>Supramax</v>
      </c>
      <c r="P149" s="44" t="s">
        <v>388</v>
      </c>
      <c r="Q149" s="80" t="s">
        <v>389</v>
      </c>
      <c r="R149" s="29" t="s">
        <v>1</v>
      </c>
      <c r="S149" s="29" t="str">
        <f t="shared" si="149"/>
        <v>Transportes</v>
      </c>
      <c r="T149" s="29" t="str">
        <f t="shared" si="150"/>
        <v>Aquáticos</v>
      </c>
      <c r="U149" s="29" t="str">
        <f t="shared" si="151"/>
        <v>Navios</v>
      </c>
      <c r="V149" s="29" t="s">
        <v>1476</v>
      </c>
      <c r="W149" s="66" t="str">
        <f t="shared" si="129"/>
        <v>Key-BRMG-149</v>
      </c>
      <c r="X149" s="29" t="s">
        <v>1358</v>
      </c>
      <c r="Y149" s="29" t="s">
        <v>1408</v>
      </c>
      <c r="Z149" s="41" t="s">
        <v>1</v>
      </c>
      <c r="AA149" s="29" t="str">
        <f t="shared" si="134"/>
        <v>Dry cargo ship like coal and fertilizer, similar to the Handymax but with higher capacity.</v>
      </c>
    </row>
    <row r="150" spans="1:27" ht="6.6" customHeight="1" x14ac:dyDescent="0.25">
      <c r="A150" s="73">
        <v>150</v>
      </c>
      <c r="B150" s="30" t="s">
        <v>1474</v>
      </c>
      <c r="C150" s="31" t="s">
        <v>924</v>
      </c>
      <c r="D150" s="30" t="s">
        <v>926</v>
      </c>
      <c r="E150" s="78" t="s">
        <v>893</v>
      </c>
      <c r="F150" s="45" t="s">
        <v>390</v>
      </c>
      <c r="G150" s="79" t="s">
        <v>1</v>
      </c>
      <c r="H150" s="79" t="s">
        <v>1</v>
      </c>
      <c r="I150" s="79" t="s">
        <v>1</v>
      </c>
      <c r="J150" s="79" t="s">
        <v>1</v>
      </c>
      <c r="K150" s="79" t="s">
        <v>1</v>
      </c>
      <c r="L150" s="80" t="str">
        <f t="shared" si="130"/>
        <v>Transportes</v>
      </c>
      <c r="M150" s="28" t="str">
        <f t="shared" si="131"/>
        <v>Aquáticos</v>
      </c>
      <c r="N150" s="28" t="str">
        <f t="shared" si="132"/>
        <v>Navios</v>
      </c>
      <c r="O150" s="29" t="str">
        <f t="shared" si="133"/>
        <v>Panamax</v>
      </c>
      <c r="P150" s="44" t="s">
        <v>391</v>
      </c>
      <c r="Q150" s="80" t="s">
        <v>392</v>
      </c>
      <c r="R150" s="29" t="s">
        <v>1</v>
      </c>
      <c r="S150" s="29" t="str">
        <f t="shared" si="149"/>
        <v>Transportes</v>
      </c>
      <c r="T150" s="29" t="str">
        <f t="shared" si="150"/>
        <v>Aquáticos</v>
      </c>
      <c r="U150" s="29" t="str">
        <f t="shared" si="151"/>
        <v>Navios</v>
      </c>
      <c r="V150" s="29" t="s">
        <v>1476</v>
      </c>
      <c r="W150" s="66" t="str">
        <f t="shared" si="129"/>
        <v>Key-BRMG-150</v>
      </c>
      <c r="X150" s="29" t="s">
        <v>1358</v>
      </c>
      <c r="Y150" s="29" t="s">
        <v>1408</v>
      </c>
      <c r="Z150" s="41" t="s">
        <v>1</v>
      </c>
      <c r="AA150" s="29" t="str">
        <f t="shared" si="134"/>
        <v>Grain, coal and oil cargo ship, designed to transit the Panama Canal.</v>
      </c>
    </row>
    <row r="151" spans="1:27" ht="6.6" customHeight="1" x14ac:dyDescent="0.25">
      <c r="A151" s="73">
        <v>151</v>
      </c>
      <c r="B151" s="30" t="s">
        <v>1474</v>
      </c>
      <c r="C151" s="31" t="s">
        <v>924</v>
      </c>
      <c r="D151" s="30" t="s">
        <v>926</v>
      </c>
      <c r="E151" s="78" t="s">
        <v>893</v>
      </c>
      <c r="F151" s="45" t="s">
        <v>393</v>
      </c>
      <c r="G151" s="79" t="s">
        <v>1</v>
      </c>
      <c r="H151" s="79" t="s">
        <v>1</v>
      </c>
      <c r="I151" s="79" t="s">
        <v>1</v>
      </c>
      <c r="J151" s="79" t="s">
        <v>1</v>
      </c>
      <c r="K151" s="79" t="s">
        <v>1</v>
      </c>
      <c r="L151" s="80" t="str">
        <f t="shared" si="130"/>
        <v>Transportes</v>
      </c>
      <c r="M151" s="28" t="str">
        <f t="shared" si="131"/>
        <v>Aquáticos</v>
      </c>
      <c r="N151" s="28" t="str">
        <f t="shared" si="132"/>
        <v>Navios</v>
      </c>
      <c r="O151" s="29" t="str">
        <f t="shared" si="133"/>
        <v>Neopanamax</v>
      </c>
      <c r="P151" s="44" t="s">
        <v>394</v>
      </c>
      <c r="Q151" s="80" t="s">
        <v>395</v>
      </c>
      <c r="R151" s="29" t="s">
        <v>1</v>
      </c>
      <c r="S151" s="29" t="str">
        <f t="shared" si="149"/>
        <v>Transportes</v>
      </c>
      <c r="T151" s="29" t="str">
        <f t="shared" si="150"/>
        <v>Aquáticos</v>
      </c>
      <c r="U151" s="29" t="str">
        <f t="shared" si="151"/>
        <v>Navios</v>
      </c>
      <c r="V151" s="29" t="s">
        <v>1476</v>
      </c>
      <c r="W151" s="66" t="str">
        <f t="shared" si="129"/>
        <v>Key-BRMG-151</v>
      </c>
      <c r="X151" s="29" t="s">
        <v>1358</v>
      </c>
      <c r="Y151" s="29" t="s">
        <v>1408</v>
      </c>
      <c r="Z151" s="41" t="s">
        <v>1</v>
      </c>
      <c r="AA151" s="29" t="str">
        <f t="shared" si="134"/>
        <v>General cargo ship and containers. Adapted to the new locks of the Panama Canal.</v>
      </c>
    </row>
    <row r="152" spans="1:27" ht="6.6" customHeight="1" x14ac:dyDescent="0.25">
      <c r="A152" s="73">
        <v>152</v>
      </c>
      <c r="B152" s="30" t="s">
        <v>1474</v>
      </c>
      <c r="C152" s="31" t="s">
        <v>924</v>
      </c>
      <c r="D152" s="30" t="s">
        <v>926</v>
      </c>
      <c r="E152" s="78" t="s">
        <v>893</v>
      </c>
      <c r="F152" s="45" t="s">
        <v>396</v>
      </c>
      <c r="G152" s="79" t="s">
        <v>1</v>
      </c>
      <c r="H152" s="79" t="s">
        <v>1</v>
      </c>
      <c r="I152" s="79" t="s">
        <v>1</v>
      </c>
      <c r="J152" s="79" t="s">
        <v>1</v>
      </c>
      <c r="K152" s="79" t="s">
        <v>1</v>
      </c>
      <c r="L152" s="80" t="str">
        <f t="shared" si="130"/>
        <v>Transportes</v>
      </c>
      <c r="M152" s="28" t="str">
        <f t="shared" si="131"/>
        <v>Aquáticos</v>
      </c>
      <c r="N152" s="28" t="str">
        <f t="shared" si="132"/>
        <v>Navios</v>
      </c>
      <c r="O152" s="29" t="str">
        <f t="shared" si="133"/>
        <v>Aframax</v>
      </c>
      <c r="P152" s="44" t="s">
        <v>397</v>
      </c>
      <c r="Q152" s="80" t="s">
        <v>398</v>
      </c>
      <c r="R152" s="29" t="s">
        <v>1</v>
      </c>
      <c r="S152" s="29" t="str">
        <f t="shared" si="149"/>
        <v>Transportes</v>
      </c>
      <c r="T152" s="29" t="str">
        <f t="shared" si="150"/>
        <v>Aquáticos</v>
      </c>
      <c r="U152" s="29" t="str">
        <f t="shared" si="151"/>
        <v>Navios</v>
      </c>
      <c r="V152" s="29" t="s">
        <v>1476</v>
      </c>
      <c r="W152" s="66" t="str">
        <f t="shared" si="129"/>
        <v>Key-BRMG-152</v>
      </c>
      <c r="X152" s="29" t="s">
        <v>1358</v>
      </c>
      <c r="Y152" s="29" t="s">
        <v>1408</v>
      </c>
      <c r="Z152" s="41" t="s">
        <v>1</v>
      </c>
      <c r="AA152" s="29" t="str">
        <f t="shared" si="134"/>
        <v>Crude oil cargo ship, medium-sized for short and medium routes.</v>
      </c>
    </row>
    <row r="153" spans="1:27" ht="6.6" customHeight="1" x14ac:dyDescent="0.25">
      <c r="A153" s="73">
        <v>153</v>
      </c>
      <c r="B153" s="30" t="s">
        <v>1474</v>
      </c>
      <c r="C153" s="31" t="s">
        <v>924</v>
      </c>
      <c r="D153" s="30" t="s">
        <v>926</v>
      </c>
      <c r="E153" s="78" t="s">
        <v>893</v>
      </c>
      <c r="F153" s="45" t="s">
        <v>399</v>
      </c>
      <c r="G153" s="79" t="s">
        <v>1</v>
      </c>
      <c r="H153" s="79" t="s">
        <v>1</v>
      </c>
      <c r="I153" s="79" t="s">
        <v>1</v>
      </c>
      <c r="J153" s="79" t="s">
        <v>1</v>
      </c>
      <c r="K153" s="79" t="s">
        <v>1</v>
      </c>
      <c r="L153" s="80" t="str">
        <f t="shared" si="130"/>
        <v>Transportes</v>
      </c>
      <c r="M153" s="28" t="str">
        <f t="shared" si="131"/>
        <v>Aquáticos</v>
      </c>
      <c r="N153" s="28" t="str">
        <f t="shared" si="132"/>
        <v>Navios</v>
      </c>
      <c r="O153" s="29" t="str">
        <f t="shared" si="133"/>
        <v>Suezmax</v>
      </c>
      <c r="P153" s="44" t="s">
        <v>400</v>
      </c>
      <c r="Q153" s="80" t="s">
        <v>401</v>
      </c>
      <c r="R153" s="29" t="s">
        <v>1</v>
      </c>
      <c r="S153" s="29" t="str">
        <f t="shared" si="149"/>
        <v>Transportes</v>
      </c>
      <c r="T153" s="29" t="str">
        <f t="shared" si="150"/>
        <v>Aquáticos</v>
      </c>
      <c r="U153" s="29" t="str">
        <f t="shared" si="151"/>
        <v>Navios</v>
      </c>
      <c r="V153" s="29" t="s">
        <v>1476</v>
      </c>
      <c r="W153" s="66" t="str">
        <f t="shared" si="129"/>
        <v>Key-BRMG-153</v>
      </c>
      <c r="X153" s="29" t="s">
        <v>1358</v>
      </c>
      <c r="Y153" s="29" t="s">
        <v>1408</v>
      </c>
      <c r="Z153" s="41" t="s">
        <v>1</v>
      </c>
      <c r="AA153" s="29" t="str">
        <f t="shared" si="134"/>
        <v>Crude oil cargo ship, designed for the Suez Canal.</v>
      </c>
    </row>
    <row r="154" spans="1:27" ht="6.6" customHeight="1" x14ac:dyDescent="0.25">
      <c r="A154" s="73">
        <v>154</v>
      </c>
      <c r="B154" s="30" t="s">
        <v>1474</v>
      </c>
      <c r="C154" s="31" t="s">
        <v>924</v>
      </c>
      <c r="D154" s="30" t="s">
        <v>926</v>
      </c>
      <c r="E154" s="78" t="s">
        <v>893</v>
      </c>
      <c r="F154" s="45" t="s">
        <v>402</v>
      </c>
      <c r="G154" s="79" t="s">
        <v>1</v>
      </c>
      <c r="H154" s="79" t="s">
        <v>1</v>
      </c>
      <c r="I154" s="79" t="s">
        <v>1</v>
      </c>
      <c r="J154" s="79" t="s">
        <v>1</v>
      </c>
      <c r="K154" s="79" t="s">
        <v>1</v>
      </c>
      <c r="L154" s="80" t="str">
        <f t="shared" si="130"/>
        <v>Transportes</v>
      </c>
      <c r="M154" s="28" t="str">
        <f t="shared" si="131"/>
        <v>Aquáticos</v>
      </c>
      <c r="N154" s="28" t="str">
        <f t="shared" si="132"/>
        <v>Navios</v>
      </c>
      <c r="O154" s="29" t="str">
        <f t="shared" si="133"/>
        <v>Capesize</v>
      </c>
      <c r="P154" s="44" t="s">
        <v>403</v>
      </c>
      <c r="Q154" s="80" t="s">
        <v>404</v>
      </c>
      <c r="R154" s="29" t="s">
        <v>1</v>
      </c>
      <c r="S154" s="29" t="str">
        <f t="shared" si="149"/>
        <v>Transportes</v>
      </c>
      <c r="T154" s="29" t="str">
        <f t="shared" si="150"/>
        <v>Aquáticos</v>
      </c>
      <c r="U154" s="29" t="str">
        <f t="shared" si="151"/>
        <v>Navios</v>
      </c>
      <c r="V154" s="29" t="s">
        <v>1476</v>
      </c>
      <c r="W154" s="66" t="str">
        <f t="shared" si="129"/>
        <v>Key-BRMG-154</v>
      </c>
      <c r="X154" s="29" t="s">
        <v>1358</v>
      </c>
      <c r="Y154" s="29" t="s">
        <v>1408</v>
      </c>
      <c r="Z154" s="41" t="s">
        <v>1</v>
      </c>
      <c r="AA154" s="29" t="str">
        <f t="shared" si="134"/>
        <v>Cargo ship iron ore and coal by routes via Cape of Good Hope or Cape Horn, as they are too large for the Suez and Panama Canals.</v>
      </c>
    </row>
    <row r="155" spans="1:27" ht="6.6" customHeight="1" x14ac:dyDescent="0.25">
      <c r="A155" s="73">
        <v>155</v>
      </c>
      <c r="B155" s="30" t="s">
        <v>1474</v>
      </c>
      <c r="C155" s="31" t="s">
        <v>924</v>
      </c>
      <c r="D155" s="30" t="s">
        <v>926</v>
      </c>
      <c r="E155" s="78" t="s">
        <v>893</v>
      </c>
      <c r="F155" s="45" t="s">
        <v>405</v>
      </c>
      <c r="G155" s="79" t="s">
        <v>1</v>
      </c>
      <c r="H155" s="79" t="s">
        <v>1</v>
      </c>
      <c r="I155" s="79" t="s">
        <v>1</v>
      </c>
      <c r="J155" s="79" t="s">
        <v>1</v>
      </c>
      <c r="K155" s="79" t="s">
        <v>1</v>
      </c>
      <c r="L155" s="80" t="str">
        <f t="shared" si="130"/>
        <v>Transportes</v>
      </c>
      <c r="M155" s="28" t="str">
        <f t="shared" si="131"/>
        <v>Aquáticos</v>
      </c>
      <c r="N155" s="28" t="str">
        <f t="shared" si="132"/>
        <v>Navios</v>
      </c>
      <c r="O155" s="29" t="str">
        <f t="shared" si="133"/>
        <v>Superpetroleiro</v>
      </c>
      <c r="P155" s="44" t="s">
        <v>406</v>
      </c>
      <c r="Q155" s="80" t="s">
        <v>407</v>
      </c>
      <c r="R155" s="29" t="s">
        <v>1</v>
      </c>
      <c r="S155" s="29" t="str">
        <f t="shared" si="149"/>
        <v>Transportes</v>
      </c>
      <c r="T155" s="29" t="str">
        <f t="shared" si="150"/>
        <v>Aquáticos</v>
      </c>
      <c r="U155" s="29" t="str">
        <f t="shared" si="151"/>
        <v>Navios</v>
      </c>
      <c r="V155" s="29" t="s">
        <v>1476</v>
      </c>
      <c r="W155" s="66" t="str">
        <f t="shared" si="129"/>
        <v>Key-BRMG-155</v>
      </c>
      <c r="X155" s="29" t="s">
        <v>1358</v>
      </c>
      <c r="Y155" s="29" t="s">
        <v>1408</v>
      </c>
      <c r="Z155" s="41" t="s">
        <v>1</v>
      </c>
      <c r="AA155" s="29" t="str">
        <f t="shared" si="134"/>
        <v>Crude oil cargo for intercontinental routes require specialized ports.</v>
      </c>
    </row>
    <row r="156" spans="1:27" ht="6.6" customHeight="1" x14ac:dyDescent="0.25">
      <c r="A156" s="73">
        <v>156</v>
      </c>
      <c r="B156" s="30" t="s">
        <v>1474</v>
      </c>
      <c r="C156" s="31" t="s">
        <v>924</v>
      </c>
      <c r="D156" s="30" t="s">
        <v>926</v>
      </c>
      <c r="E156" s="78" t="s">
        <v>893</v>
      </c>
      <c r="F156" s="45" t="s">
        <v>408</v>
      </c>
      <c r="G156" s="79" t="s">
        <v>1</v>
      </c>
      <c r="H156" s="79" t="s">
        <v>1</v>
      </c>
      <c r="I156" s="79" t="s">
        <v>1</v>
      </c>
      <c r="J156" s="79" t="s">
        <v>1</v>
      </c>
      <c r="K156" s="79" t="s">
        <v>1</v>
      </c>
      <c r="L156" s="80" t="str">
        <f t="shared" si="130"/>
        <v>Transportes</v>
      </c>
      <c r="M156" s="28" t="str">
        <f t="shared" si="131"/>
        <v>Aquáticos</v>
      </c>
      <c r="N156" s="28" t="str">
        <f t="shared" si="132"/>
        <v>Navios</v>
      </c>
      <c r="O156" s="29" t="str">
        <f t="shared" si="133"/>
        <v>Ultrapetroleiro</v>
      </c>
      <c r="P156" s="44" t="s">
        <v>409</v>
      </c>
      <c r="Q156" s="80" t="s">
        <v>410</v>
      </c>
      <c r="R156" s="29" t="s">
        <v>1</v>
      </c>
      <c r="S156" s="29" t="str">
        <f t="shared" si="149"/>
        <v>Transportes</v>
      </c>
      <c r="T156" s="29" t="str">
        <f t="shared" si="150"/>
        <v>Aquáticos</v>
      </c>
      <c r="U156" s="29" t="str">
        <f t="shared" si="151"/>
        <v>Navios</v>
      </c>
      <c r="V156" s="29" t="s">
        <v>1476</v>
      </c>
      <c r="W156" s="66" t="str">
        <f t="shared" si="129"/>
        <v>Key-BRMG-156</v>
      </c>
      <c r="X156" s="29" t="s">
        <v>1358</v>
      </c>
      <c r="Y156" s="29" t="s">
        <v>1408</v>
      </c>
      <c r="Z156" s="41" t="s">
        <v>1</v>
      </c>
      <c r="AA156" s="29" t="str">
        <f t="shared" si="134"/>
        <v>Supertankers used on routes between the Middle East, Asia and Europe, require dedicated terminals.</v>
      </c>
    </row>
    <row r="157" spans="1:27" ht="6.6" customHeight="1" x14ac:dyDescent="0.25">
      <c r="A157" s="73">
        <v>157</v>
      </c>
      <c r="B157" s="30" t="s">
        <v>1474</v>
      </c>
      <c r="C157" s="31" t="s">
        <v>924</v>
      </c>
      <c r="D157" s="30" t="s">
        <v>926</v>
      </c>
      <c r="E157" s="78" t="s">
        <v>893</v>
      </c>
      <c r="F157" s="45" t="s">
        <v>411</v>
      </c>
      <c r="G157" s="79" t="s">
        <v>1</v>
      </c>
      <c r="H157" s="79" t="s">
        <v>1</v>
      </c>
      <c r="I157" s="79" t="s">
        <v>1</v>
      </c>
      <c r="J157" s="79" t="s">
        <v>1</v>
      </c>
      <c r="K157" s="79" t="s">
        <v>1</v>
      </c>
      <c r="L157" s="80" t="str">
        <f t="shared" si="130"/>
        <v>Transportes</v>
      </c>
      <c r="M157" s="28" t="str">
        <f t="shared" si="131"/>
        <v>Aquáticos</v>
      </c>
      <c r="N157" s="28" t="str">
        <f t="shared" si="132"/>
        <v>Navios</v>
      </c>
      <c r="O157" s="29" t="str">
        <f t="shared" si="133"/>
        <v>Chinamax</v>
      </c>
      <c r="P157" s="44" t="s">
        <v>412</v>
      </c>
      <c r="Q157" s="80" t="s">
        <v>413</v>
      </c>
      <c r="R157" s="29" t="s">
        <v>1</v>
      </c>
      <c r="S157" s="29" t="str">
        <f t="shared" si="149"/>
        <v>Transportes</v>
      </c>
      <c r="T157" s="29" t="str">
        <f t="shared" si="150"/>
        <v>Aquáticos</v>
      </c>
      <c r="U157" s="29" t="str">
        <f t="shared" si="151"/>
        <v>Navios</v>
      </c>
      <c r="V157" s="29" t="s">
        <v>1476</v>
      </c>
      <c r="W157" s="66" t="str">
        <f t="shared" si="129"/>
        <v>Key-BRMG-157</v>
      </c>
      <c r="X157" s="29" t="s">
        <v>1358</v>
      </c>
      <c r="Y157" s="29" t="s">
        <v>1408</v>
      </c>
      <c r="Z157" s="41" t="s">
        <v>1</v>
      </c>
      <c r="AA157" s="29" t="str">
        <f t="shared" si="134"/>
        <v>Iron ore cargo between Brazil and China require ports with specific infrastructure.</v>
      </c>
    </row>
    <row r="158" spans="1:27" ht="6.6" customHeight="1" x14ac:dyDescent="0.25">
      <c r="A158" s="73">
        <v>158</v>
      </c>
      <c r="B158" s="30" t="s">
        <v>1474</v>
      </c>
      <c r="C158" s="31" t="s">
        <v>924</v>
      </c>
      <c r="D158" s="30" t="s">
        <v>926</v>
      </c>
      <c r="E158" s="78" t="s">
        <v>893</v>
      </c>
      <c r="F158" s="45" t="s">
        <v>414</v>
      </c>
      <c r="G158" s="79" t="s">
        <v>1</v>
      </c>
      <c r="H158" s="79" t="s">
        <v>1</v>
      </c>
      <c r="I158" s="79" t="s">
        <v>1</v>
      </c>
      <c r="J158" s="79" t="s">
        <v>1</v>
      </c>
      <c r="K158" s="79" t="s">
        <v>1</v>
      </c>
      <c r="L158" s="80" t="str">
        <f t="shared" si="130"/>
        <v>Transportes</v>
      </c>
      <c r="M158" s="28" t="str">
        <f t="shared" si="131"/>
        <v>Aquáticos</v>
      </c>
      <c r="N158" s="28" t="str">
        <f t="shared" si="132"/>
        <v>Navios</v>
      </c>
      <c r="O158" s="29" t="str">
        <f t="shared" si="133"/>
        <v>Cruzeiro</v>
      </c>
      <c r="P158" s="44" t="s">
        <v>415</v>
      </c>
      <c r="Q158" s="80" t="s">
        <v>416</v>
      </c>
      <c r="R158" s="29" t="s">
        <v>1</v>
      </c>
      <c r="S158" s="29" t="str">
        <f t="shared" si="149"/>
        <v>Transportes</v>
      </c>
      <c r="T158" s="29" t="str">
        <f t="shared" si="150"/>
        <v>Aquáticos</v>
      </c>
      <c r="U158" s="29" t="str">
        <f t="shared" si="151"/>
        <v>Navios</v>
      </c>
      <c r="V158" s="29" t="s">
        <v>1476</v>
      </c>
      <c r="W158" s="66" t="str">
        <f t="shared" si="129"/>
        <v>Key-BRMG-158</v>
      </c>
      <c r="X158" s="29" t="s">
        <v>1358</v>
      </c>
      <c r="Y158" s="29" t="s">
        <v>1408</v>
      </c>
      <c r="Z158" s="41" t="s">
        <v>1</v>
      </c>
      <c r="AA158" s="29" t="str">
        <f t="shared" si="134"/>
        <v>Tourist cruise ship for passengers.</v>
      </c>
    </row>
    <row r="159" spans="1:27" ht="6.6" customHeight="1" x14ac:dyDescent="0.25">
      <c r="A159" s="73">
        <v>159</v>
      </c>
      <c r="B159" s="30" t="s">
        <v>1474</v>
      </c>
      <c r="C159" s="31" t="s">
        <v>924</v>
      </c>
      <c r="D159" s="30" t="s">
        <v>926</v>
      </c>
      <c r="E159" s="78" t="s">
        <v>893</v>
      </c>
      <c r="F159" s="45" t="s">
        <v>417</v>
      </c>
      <c r="G159" s="79" t="s">
        <v>1</v>
      </c>
      <c r="H159" s="79" t="s">
        <v>1</v>
      </c>
      <c r="I159" s="79" t="s">
        <v>1</v>
      </c>
      <c r="J159" s="79" t="s">
        <v>1</v>
      </c>
      <c r="K159" s="79" t="s">
        <v>1</v>
      </c>
      <c r="L159" s="80" t="str">
        <f t="shared" si="130"/>
        <v>Transportes</v>
      </c>
      <c r="M159" s="28" t="str">
        <f t="shared" si="131"/>
        <v>Aquáticos</v>
      </c>
      <c r="N159" s="28" t="str">
        <f t="shared" si="132"/>
        <v>Navios</v>
      </c>
      <c r="O159" s="29" t="str">
        <f t="shared" si="133"/>
        <v>Militar</v>
      </c>
      <c r="P159" s="44" t="s">
        <v>418</v>
      </c>
      <c r="Q159" s="80" t="s">
        <v>419</v>
      </c>
      <c r="R159" s="29" t="s">
        <v>1</v>
      </c>
      <c r="S159" s="29" t="str">
        <f t="shared" si="149"/>
        <v>Transportes</v>
      </c>
      <c r="T159" s="29" t="str">
        <f t="shared" si="150"/>
        <v>Aquáticos</v>
      </c>
      <c r="U159" s="29" t="str">
        <f t="shared" si="151"/>
        <v>Navios</v>
      </c>
      <c r="V159" s="29" t="s">
        <v>1476</v>
      </c>
      <c r="W159" s="66" t="str">
        <f t="shared" si="129"/>
        <v>Key-BRMG-159</v>
      </c>
      <c r="X159" s="29" t="s">
        <v>1358</v>
      </c>
      <c r="Y159" s="29" t="s">
        <v>1408</v>
      </c>
      <c r="Z159" s="41" t="s">
        <v>1</v>
      </c>
      <c r="AA159" s="29" t="str">
        <f t="shared" si="134"/>
        <v>Military ship equipped with weapons or war elements.</v>
      </c>
    </row>
    <row r="160" spans="1:27" ht="6.6" customHeight="1" x14ac:dyDescent="0.25">
      <c r="A160" s="73">
        <v>160</v>
      </c>
      <c r="B160" s="30" t="s">
        <v>1474</v>
      </c>
      <c r="C160" s="31" t="s">
        <v>924</v>
      </c>
      <c r="D160" s="30" t="s">
        <v>926</v>
      </c>
      <c r="E160" s="78" t="s">
        <v>893</v>
      </c>
      <c r="F160" s="45" t="s">
        <v>420</v>
      </c>
      <c r="G160" s="79" t="s">
        <v>1</v>
      </c>
      <c r="H160" s="79" t="s">
        <v>1</v>
      </c>
      <c r="I160" s="79" t="s">
        <v>1</v>
      </c>
      <c r="J160" s="79" t="s">
        <v>1</v>
      </c>
      <c r="K160" s="79" t="s">
        <v>1</v>
      </c>
      <c r="L160" s="80" t="str">
        <f t="shared" si="130"/>
        <v>Transportes</v>
      </c>
      <c r="M160" s="28" t="str">
        <f t="shared" si="131"/>
        <v>Aquáticos</v>
      </c>
      <c r="N160" s="28" t="str">
        <f t="shared" si="132"/>
        <v>Navios</v>
      </c>
      <c r="O160" s="29" t="str">
        <f t="shared" si="133"/>
        <v>Científico</v>
      </c>
      <c r="P160" s="44" t="s">
        <v>421</v>
      </c>
      <c r="Q160" s="80" t="s">
        <v>422</v>
      </c>
      <c r="R160" s="29" t="s">
        <v>1</v>
      </c>
      <c r="S160" s="29" t="str">
        <f t="shared" si="149"/>
        <v>Transportes</v>
      </c>
      <c r="T160" s="29" t="str">
        <f t="shared" si="150"/>
        <v>Aquáticos</v>
      </c>
      <c r="U160" s="29" t="str">
        <f t="shared" si="151"/>
        <v>Navios</v>
      </c>
      <c r="V160" s="29" t="s">
        <v>1476</v>
      </c>
      <c r="W160" s="66" t="str">
        <f t="shared" si="129"/>
        <v>Key-BRMG-160</v>
      </c>
      <c r="X160" s="29" t="s">
        <v>1358</v>
      </c>
      <c r="Y160" s="29" t="s">
        <v>1408</v>
      </c>
      <c r="Z160" s="41" t="s">
        <v>1</v>
      </c>
      <c r="AA160" s="29" t="str">
        <f t="shared" si="134"/>
        <v>Ships with scientific functionality such as Hydrooceanographic, Oceanic or Antarctic Support vessels.</v>
      </c>
    </row>
    <row r="161" spans="1:27" ht="6.6" customHeight="1" x14ac:dyDescent="0.25">
      <c r="A161" s="73">
        <v>161</v>
      </c>
      <c r="B161" s="30" t="s">
        <v>1474</v>
      </c>
      <c r="C161" s="31" t="s">
        <v>924</v>
      </c>
      <c r="D161" s="30" t="s">
        <v>926</v>
      </c>
      <c r="E161" s="78" t="s">
        <v>893</v>
      </c>
      <c r="F161" s="45" t="s">
        <v>423</v>
      </c>
      <c r="G161" s="79" t="s">
        <v>1</v>
      </c>
      <c r="H161" s="79" t="s">
        <v>1</v>
      </c>
      <c r="I161" s="79" t="s">
        <v>1</v>
      </c>
      <c r="J161" s="79" t="s">
        <v>1</v>
      </c>
      <c r="K161" s="79" t="s">
        <v>1</v>
      </c>
      <c r="L161" s="80" t="str">
        <f t="shared" si="130"/>
        <v>Transportes</v>
      </c>
      <c r="M161" s="28" t="str">
        <f t="shared" si="131"/>
        <v>Aquáticos</v>
      </c>
      <c r="N161" s="28" t="str">
        <f t="shared" si="132"/>
        <v>Navios</v>
      </c>
      <c r="O161" s="29" t="str">
        <f t="shared" si="133"/>
        <v>Clipper</v>
      </c>
      <c r="P161" s="44" t="s">
        <v>424</v>
      </c>
      <c r="Q161" s="80" t="s">
        <v>425</v>
      </c>
      <c r="R161" s="29" t="s">
        <v>1</v>
      </c>
      <c r="S161" s="29" t="str">
        <f t="shared" si="149"/>
        <v>Transportes</v>
      </c>
      <c r="T161" s="29" t="str">
        <f t="shared" si="150"/>
        <v>Aquáticos</v>
      </c>
      <c r="U161" s="29" t="str">
        <f t="shared" si="151"/>
        <v>Navios</v>
      </c>
      <c r="V161" s="29" t="s">
        <v>1476</v>
      </c>
      <c r="W161" s="66" t="str">
        <f t="shared" si="129"/>
        <v>Key-BRMG-161</v>
      </c>
      <c r="X161" s="29" t="s">
        <v>1358</v>
      </c>
      <c r="Y161" s="29" t="s">
        <v>1408</v>
      </c>
      <c r="Z161" s="41" t="s">
        <v>1</v>
      </c>
      <c r="AA161" s="29" t="str">
        <f t="shared" si="134"/>
        <v>Sailboat designed for high speed, with a narrow hull and three high masts.</v>
      </c>
    </row>
    <row r="162" spans="1:27" ht="6.6" customHeight="1" x14ac:dyDescent="0.25">
      <c r="A162" s="73">
        <v>162</v>
      </c>
      <c r="B162" s="30" t="s">
        <v>1474</v>
      </c>
      <c r="C162" s="31" t="s">
        <v>924</v>
      </c>
      <c r="D162" s="30" t="s">
        <v>926</v>
      </c>
      <c r="E162" s="81" t="s">
        <v>894</v>
      </c>
      <c r="F162" s="45" t="s">
        <v>426</v>
      </c>
      <c r="G162" s="79" t="s">
        <v>1</v>
      </c>
      <c r="H162" s="79" t="s">
        <v>1</v>
      </c>
      <c r="I162" s="79" t="s">
        <v>1</v>
      </c>
      <c r="J162" s="79" t="s">
        <v>1</v>
      </c>
      <c r="K162" s="79" t="s">
        <v>1</v>
      </c>
      <c r="L162" s="80" t="str">
        <f t="shared" si="130"/>
        <v>Transportes</v>
      </c>
      <c r="M162" s="28" t="str">
        <f t="shared" si="131"/>
        <v>Aquáticos</v>
      </c>
      <c r="N162" s="28" t="str">
        <f t="shared" si="132"/>
        <v>Embarcações</v>
      </c>
      <c r="O162" s="29" t="str">
        <f t="shared" si="133"/>
        <v>Rebocador</v>
      </c>
      <c r="P162" s="44" t="s">
        <v>427</v>
      </c>
      <c r="Q162" s="80" t="s">
        <v>428</v>
      </c>
      <c r="R162" s="29" t="s">
        <v>1</v>
      </c>
      <c r="S162" s="29" t="str">
        <f t="shared" si="149"/>
        <v>Transportes</v>
      </c>
      <c r="T162" s="29" t="str">
        <f t="shared" si="150"/>
        <v>Aquáticos</v>
      </c>
      <c r="U162" s="29" t="str">
        <f t="shared" si="151"/>
        <v>Embarcações</v>
      </c>
      <c r="V162" s="29" t="s">
        <v>1476</v>
      </c>
      <c r="W162" s="66" t="str">
        <f t="shared" si="129"/>
        <v>Key-BRMG-162</v>
      </c>
      <c r="X162" s="29" t="s">
        <v>1358</v>
      </c>
      <c r="Y162" s="29" t="s">
        <v>1408</v>
      </c>
      <c r="Z162" s="41" t="s">
        <v>1</v>
      </c>
      <c r="AA162" s="29" t="str">
        <f t="shared" si="134"/>
        <v>Support ship for entry and exit to ports.</v>
      </c>
    </row>
    <row r="163" spans="1:27" ht="6.6" customHeight="1" x14ac:dyDescent="0.25">
      <c r="A163" s="73">
        <v>163</v>
      </c>
      <c r="B163" s="30" t="s">
        <v>1474</v>
      </c>
      <c r="C163" s="31" t="s">
        <v>924</v>
      </c>
      <c r="D163" s="30" t="s">
        <v>926</v>
      </c>
      <c r="E163" s="81" t="s">
        <v>894</v>
      </c>
      <c r="F163" s="45" t="s">
        <v>429</v>
      </c>
      <c r="G163" s="79" t="s">
        <v>1</v>
      </c>
      <c r="H163" s="79" t="s">
        <v>1</v>
      </c>
      <c r="I163" s="79" t="s">
        <v>1</v>
      </c>
      <c r="J163" s="79" t="s">
        <v>1</v>
      </c>
      <c r="K163" s="79" t="s">
        <v>1</v>
      </c>
      <c r="L163" s="80" t="str">
        <f t="shared" si="130"/>
        <v>Transportes</v>
      </c>
      <c r="M163" s="28" t="str">
        <f t="shared" si="131"/>
        <v>Aquáticos</v>
      </c>
      <c r="N163" s="28" t="str">
        <f t="shared" si="132"/>
        <v>Embarcações</v>
      </c>
      <c r="O163" s="29" t="str">
        <f t="shared" si="133"/>
        <v>Offshore</v>
      </c>
      <c r="P163" s="44" t="s">
        <v>430</v>
      </c>
      <c r="Q163" s="80" t="s">
        <v>431</v>
      </c>
      <c r="R163" s="29" t="s">
        <v>1</v>
      </c>
      <c r="S163" s="29" t="str">
        <f t="shared" si="149"/>
        <v>Transportes</v>
      </c>
      <c r="T163" s="29" t="str">
        <f t="shared" si="150"/>
        <v>Aquáticos</v>
      </c>
      <c r="U163" s="29" t="str">
        <f t="shared" si="151"/>
        <v>Embarcações</v>
      </c>
      <c r="V163" s="29" t="s">
        <v>1476</v>
      </c>
      <c r="W163" s="66" t="str">
        <f t="shared" si="129"/>
        <v>Key-BRMG-163</v>
      </c>
      <c r="X163" s="29" t="s">
        <v>1358</v>
      </c>
      <c r="Y163" s="29" t="s">
        <v>1408</v>
      </c>
      <c r="Z163" s="41" t="s">
        <v>1</v>
      </c>
      <c r="AA163" s="29" t="str">
        <f t="shared" si="134"/>
        <v>Support vessel equipped with specialized systems to perform chemical and hydraulic treatments in offshore oil wells. Offshore Support Vessels (OSV).</v>
      </c>
    </row>
    <row r="164" spans="1:27" ht="6.6" customHeight="1" x14ac:dyDescent="0.25">
      <c r="A164" s="73">
        <v>164</v>
      </c>
      <c r="B164" s="30" t="s">
        <v>1474</v>
      </c>
      <c r="C164" s="31" t="s">
        <v>924</v>
      </c>
      <c r="D164" s="30" t="s">
        <v>926</v>
      </c>
      <c r="E164" s="81" t="s">
        <v>894</v>
      </c>
      <c r="F164" s="69" t="s">
        <v>432</v>
      </c>
      <c r="G164" s="82" t="s">
        <v>1</v>
      </c>
      <c r="H164" s="82" t="s">
        <v>1</v>
      </c>
      <c r="I164" s="82" t="s">
        <v>1</v>
      </c>
      <c r="J164" s="79" t="s">
        <v>1</v>
      </c>
      <c r="K164" s="79" t="s">
        <v>1</v>
      </c>
      <c r="L164" s="80" t="str">
        <f t="shared" si="130"/>
        <v>Transportes</v>
      </c>
      <c r="M164" s="28" t="str">
        <f t="shared" si="131"/>
        <v>Aquáticos</v>
      </c>
      <c r="N164" s="28" t="str">
        <f t="shared" si="132"/>
        <v>Embarcações</v>
      </c>
      <c r="O164" s="29" t="str">
        <f t="shared" si="133"/>
        <v>Aliscafo</v>
      </c>
      <c r="P164" s="44" t="s">
        <v>433</v>
      </c>
      <c r="Q164" s="80" t="s">
        <v>434</v>
      </c>
      <c r="R164" s="29" t="s">
        <v>1</v>
      </c>
      <c r="S164" s="29" t="str">
        <f t="shared" si="149"/>
        <v>Transportes</v>
      </c>
      <c r="T164" s="29" t="str">
        <f t="shared" si="150"/>
        <v>Aquáticos</v>
      </c>
      <c r="U164" s="29" t="str">
        <f t="shared" si="151"/>
        <v>Embarcações</v>
      </c>
      <c r="V164" s="29" t="s">
        <v>1476</v>
      </c>
      <c r="W164" s="66" t="str">
        <f t="shared" si="129"/>
        <v>Key-BRMG-164</v>
      </c>
      <c r="X164" s="29" t="s">
        <v>1358</v>
      </c>
      <c r="Y164" s="29" t="s">
        <v>1408</v>
      </c>
      <c r="Z164" s="41" t="s">
        <v>1</v>
      </c>
      <c r="AA164" s="29" t="str">
        <f t="shared" si="134"/>
        <v>High-speed vessel designed with hydrofoils to carry passengers. Usually used between neighboring cities or nearby ports. It can reach about 110 km/h (60 knots).</v>
      </c>
    </row>
    <row r="165" spans="1:27" ht="6.6" customHeight="1" x14ac:dyDescent="0.25">
      <c r="A165" s="73">
        <v>165</v>
      </c>
      <c r="B165" s="30" t="s">
        <v>1474</v>
      </c>
      <c r="C165" s="31" t="s">
        <v>924</v>
      </c>
      <c r="D165" s="30" t="s">
        <v>926</v>
      </c>
      <c r="E165" s="81" t="s">
        <v>894</v>
      </c>
      <c r="F165" s="69" t="s">
        <v>435</v>
      </c>
      <c r="G165" s="82" t="s">
        <v>1</v>
      </c>
      <c r="H165" s="82" t="s">
        <v>1</v>
      </c>
      <c r="I165" s="82" t="s">
        <v>1</v>
      </c>
      <c r="J165" s="79" t="s">
        <v>1</v>
      </c>
      <c r="K165" s="79" t="s">
        <v>1</v>
      </c>
      <c r="L165" s="80" t="str">
        <f t="shared" si="130"/>
        <v>Transportes</v>
      </c>
      <c r="M165" s="28" t="str">
        <f t="shared" si="131"/>
        <v>Aquáticos</v>
      </c>
      <c r="N165" s="28" t="str">
        <f t="shared" si="132"/>
        <v>Embarcações</v>
      </c>
      <c r="O165" s="29" t="str">
        <f t="shared" si="133"/>
        <v>Ferry</v>
      </c>
      <c r="P165" s="44" t="s">
        <v>436</v>
      </c>
      <c r="Q165" s="80" t="s">
        <v>437</v>
      </c>
      <c r="R165" s="29" t="s">
        <v>1</v>
      </c>
      <c r="S165" s="29" t="str">
        <f t="shared" si="149"/>
        <v>Transportes</v>
      </c>
      <c r="T165" s="29" t="str">
        <f t="shared" si="150"/>
        <v>Aquáticos</v>
      </c>
      <c r="U165" s="29" t="str">
        <f t="shared" si="151"/>
        <v>Embarcações</v>
      </c>
      <c r="V165" s="29" t="s">
        <v>1476</v>
      </c>
      <c r="W165" s="66" t="str">
        <f t="shared" si="129"/>
        <v>Key-BRMG-165</v>
      </c>
      <c r="X165" s="29" t="s">
        <v>1358</v>
      </c>
      <c r="Y165" s="29" t="s">
        <v>1408</v>
      </c>
      <c r="Z165" s="41" t="s">
        <v>1</v>
      </c>
      <c r="AA165" s="29" t="str">
        <f t="shared" si="134"/>
        <v>A ferry-type vessel to transport passengers usually between neighboring cities or nearby ports.</v>
      </c>
    </row>
    <row r="166" spans="1:27" ht="6.6" customHeight="1" x14ac:dyDescent="0.25">
      <c r="A166" s="73">
        <v>166</v>
      </c>
      <c r="B166" s="30" t="s">
        <v>1474</v>
      </c>
      <c r="C166" s="31" t="s">
        <v>924</v>
      </c>
      <c r="D166" s="30" t="s">
        <v>926</v>
      </c>
      <c r="E166" s="81" t="s">
        <v>894</v>
      </c>
      <c r="F166" s="69" t="s">
        <v>438</v>
      </c>
      <c r="G166" s="82" t="s">
        <v>1</v>
      </c>
      <c r="H166" s="82" t="s">
        <v>1</v>
      </c>
      <c r="I166" s="82" t="s">
        <v>1</v>
      </c>
      <c r="J166" s="79" t="s">
        <v>1</v>
      </c>
      <c r="K166" s="79" t="s">
        <v>1</v>
      </c>
      <c r="L166" s="80" t="str">
        <f t="shared" si="130"/>
        <v>Transportes</v>
      </c>
      <c r="M166" s="28" t="str">
        <f t="shared" si="131"/>
        <v>Aquáticos</v>
      </c>
      <c r="N166" s="28" t="str">
        <f t="shared" si="132"/>
        <v>Embarcações</v>
      </c>
      <c r="O166" s="29" t="str">
        <f t="shared" si="133"/>
        <v>Lancha</v>
      </c>
      <c r="P166" s="44" t="s">
        <v>439</v>
      </c>
      <c r="Q166" s="80" t="s">
        <v>440</v>
      </c>
      <c r="R166" s="29" t="s">
        <v>1</v>
      </c>
      <c r="S166" s="29" t="str">
        <f t="shared" si="149"/>
        <v>Transportes</v>
      </c>
      <c r="T166" s="29" t="str">
        <f t="shared" si="150"/>
        <v>Aquáticos</v>
      </c>
      <c r="U166" s="29" t="str">
        <f t="shared" si="151"/>
        <v>Embarcações</v>
      </c>
      <c r="V166" s="29" t="s">
        <v>1476</v>
      </c>
      <c r="W166" s="66" t="str">
        <f t="shared" si="129"/>
        <v>Key-BRMG-166</v>
      </c>
      <c r="X166" s="29" t="s">
        <v>1358</v>
      </c>
      <c r="Y166" s="29" t="s">
        <v>1408</v>
      </c>
      <c r="Z166" s="41" t="s">
        <v>1</v>
      </c>
      <c r="AA166" s="29" t="str">
        <f t="shared" si="134"/>
        <v>Boat type boat for leisure or sport.</v>
      </c>
    </row>
    <row r="167" spans="1:27" ht="6.6" customHeight="1" x14ac:dyDescent="0.25">
      <c r="A167" s="73">
        <v>167</v>
      </c>
      <c r="B167" s="30" t="s">
        <v>1474</v>
      </c>
      <c r="C167" s="31" t="s">
        <v>924</v>
      </c>
      <c r="D167" s="30" t="s">
        <v>926</v>
      </c>
      <c r="E167" s="81" t="s">
        <v>894</v>
      </c>
      <c r="F167" s="69" t="s">
        <v>441</v>
      </c>
      <c r="G167" s="82" t="s">
        <v>1</v>
      </c>
      <c r="H167" s="82" t="s">
        <v>1</v>
      </c>
      <c r="I167" s="82" t="s">
        <v>1</v>
      </c>
      <c r="J167" s="79" t="s">
        <v>1</v>
      </c>
      <c r="K167" s="79" t="s">
        <v>1</v>
      </c>
      <c r="L167" s="80" t="str">
        <f t="shared" si="130"/>
        <v>Transportes</v>
      </c>
      <c r="M167" s="28" t="str">
        <f t="shared" si="131"/>
        <v>Aquáticos</v>
      </c>
      <c r="N167" s="28" t="str">
        <f t="shared" si="132"/>
        <v>Embarcações</v>
      </c>
      <c r="O167" s="29" t="str">
        <f t="shared" si="133"/>
        <v>Bote</v>
      </c>
      <c r="P167" s="44" t="s">
        <v>442</v>
      </c>
      <c r="Q167" s="80" t="s">
        <v>443</v>
      </c>
      <c r="R167" s="29" t="s">
        <v>1</v>
      </c>
      <c r="S167" s="29" t="str">
        <f t="shared" si="149"/>
        <v>Transportes</v>
      </c>
      <c r="T167" s="29" t="str">
        <f t="shared" si="150"/>
        <v>Aquáticos</v>
      </c>
      <c r="U167" s="29" t="str">
        <f t="shared" si="151"/>
        <v>Embarcações</v>
      </c>
      <c r="V167" s="29" t="s">
        <v>1476</v>
      </c>
      <c r="W167" s="66" t="str">
        <f t="shared" si="129"/>
        <v>Key-BRMG-167</v>
      </c>
      <c r="X167" s="29" t="s">
        <v>1358</v>
      </c>
      <c r="Y167" s="29" t="s">
        <v>1408</v>
      </c>
      <c r="Z167" s="41" t="s">
        <v>1</v>
      </c>
      <c r="AA167" s="29" t="str">
        <f t="shared" si="134"/>
        <v>Small dinghy type vessel.</v>
      </c>
    </row>
    <row r="168" spans="1:27" ht="6.6" customHeight="1" x14ac:dyDescent="0.25">
      <c r="A168" s="73">
        <v>168</v>
      </c>
      <c r="B168" s="30" t="s">
        <v>1474</v>
      </c>
      <c r="C168" s="31" t="s">
        <v>924</v>
      </c>
      <c r="D168" s="30" t="s">
        <v>926</v>
      </c>
      <c r="E168" s="81" t="s">
        <v>894</v>
      </c>
      <c r="F168" s="69" t="s">
        <v>444</v>
      </c>
      <c r="G168" s="82" t="s">
        <v>1</v>
      </c>
      <c r="H168" s="82" t="s">
        <v>1</v>
      </c>
      <c r="I168" s="82" t="s">
        <v>1</v>
      </c>
      <c r="J168" s="79" t="s">
        <v>1</v>
      </c>
      <c r="K168" s="79" t="s">
        <v>1</v>
      </c>
      <c r="L168" s="80" t="str">
        <f t="shared" si="130"/>
        <v>Transportes</v>
      </c>
      <c r="M168" s="28" t="str">
        <f t="shared" si="131"/>
        <v>Aquáticos</v>
      </c>
      <c r="N168" s="28" t="str">
        <f t="shared" si="132"/>
        <v>Embarcações</v>
      </c>
      <c r="O168" s="29" t="str">
        <f t="shared" si="133"/>
        <v>Iate</v>
      </c>
      <c r="P168" s="44" t="s">
        <v>445</v>
      </c>
      <c r="Q168" s="80" t="s">
        <v>446</v>
      </c>
      <c r="R168" s="29" t="s">
        <v>1</v>
      </c>
      <c r="S168" s="29" t="str">
        <f t="shared" si="149"/>
        <v>Transportes</v>
      </c>
      <c r="T168" s="29" t="str">
        <f t="shared" si="150"/>
        <v>Aquáticos</v>
      </c>
      <c r="U168" s="29" t="str">
        <f t="shared" si="151"/>
        <v>Embarcações</v>
      </c>
      <c r="V168" s="29" t="s">
        <v>1476</v>
      </c>
      <c r="W168" s="66" t="str">
        <f t="shared" si="129"/>
        <v>Key-BRMG-168</v>
      </c>
      <c r="X168" s="29" t="s">
        <v>1358</v>
      </c>
      <c r="Y168" s="29" t="s">
        <v>1408</v>
      </c>
      <c r="Z168" s="41" t="s">
        <v>1</v>
      </c>
      <c r="AA168" s="29" t="str">
        <f t="shared" si="134"/>
        <v>Yacht-type vessel with full cabin structure.</v>
      </c>
    </row>
    <row r="169" spans="1:27" ht="6.6" customHeight="1" x14ac:dyDescent="0.25">
      <c r="A169" s="73">
        <v>169</v>
      </c>
      <c r="B169" s="30" t="s">
        <v>1474</v>
      </c>
      <c r="C169" s="31" t="s">
        <v>924</v>
      </c>
      <c r="D169" s="30" t="s">
        <v>926</v>
      </c>
      <c r="E169" s="81" t="s">
        <v>894</v>
      </c>
      <c r="F169" s="69" t="s">
        <v>447</v>
      </c>
      <c r="G169" s="82" t="s">
        <v>1</v>
      </c>
      <c r="H169" s="82" t="s">
        <v>1</v>
      </c>
      <c r="I169" s="82" t="s">
        <v>1</v>
      </c>
      <c r="J169" s="79" t="s">
        <v>1</v>
      </c>
      <c r="K169" s="79" t="s">
        <v>1</v>
      </c>
      <c r="L169" s="80" t="str">
        <f t="shared" si="130"/>
        <v>Transportes</v>
      </c>
      <c r="M169" s="28" t="str">
        <f t="shared" si="131"/>
        <v>Aquáticos</v>
      </c>
      <c r="N169" s="28" t="str">
        <f t="shared" si="132"/>
        <v>Embarcações</v>
      </c>
      <c r="O169" s="29" t="str">
        <f t="shared" si="133"/>
        <v>Catamarã</v>
      </c>
      <c r="P169" s="44" t="s">
        <v>448</v>
      </c>
      <c r="Q169" s="80" t="s">
        <v>449</v>
      </c>
      <c r="R169" s="29" t="s">
        <v>1</v>
      </c>
      <c r="S169" s="29" t="str">
        <f t="shared" si="149"/>
        <v>Transportes</v>
      </c>
      <c r="T169" s="29" t="str">
        <f t="shared" si="150"/>
        <v>Aquáticos</v>
      </c>
      <c r="U169" s="29" t="str">
        <f t="shared" si="151"/>
        <v>Embarcações</v>
      </c>
      <c r="V169" s="29" t="s">
        <v>1476</v>
      </c>
      <c r="W169" s="66" t="str">
        <f t="shared" si="129"/>
        <v>Key-BRMG-169</v>
      </c>
      <c r="X169" s="29" t="s">
        <v>1358</v>
      </c>
      <c r="Y169" s="29" t="s">
        <v>1408</v>
      </c>
      <c r="Z169" s="41" t="s">
        <v>1</v>
      </c>
      <c r="AA169" s="29" t="str">
        <f t="shared" si="134"/>
        <v>Catamaran-type vessel with two parallel hulls.</v>
      </c>
    </row>
    <row r="170" spans="1:27" ht="6.6" customHeight="1" x14ac:dyDescent="0.25">
      <c r="A170" s="73">
        <v>170</v>
      </c>
      <c r="B170" s="30" t="s">
        <v>1474</v>
      </c>
      <c r="C170" s="31" t="s">
        <v>924</v>
      </c>
      <c r="D170" s="30" t="s">
        <v>926</v>
      </c>
      <c r="E170" s="81" t="s">
        <v>894</v>
      </c>
      <c r="F170" s="69" t="s">
        <v>450</v>
      </c>
      <c r="G170" s="82" t="s">
        <v>1</v>
      </c>
      <c r="H170" s="82" t="s">
        <v>1</v>
      </c>
      <c r="I170" s="82" t="s">
        <v>1</v>
      </c>
      <c r="J170" s="79" t="s">
        <v>1</v>
      </c>
      <c r="K170" s="79" t="s">
        <v>1</v>
      </c>
      <c r="L170" s="80" t="str">
        <f t="shared" si="130"/>
        <v>Transportes</v>
      </c>
      <c r="M170" s="28" t="str">
        <f t="shared" si="131"/>
        <v>Aquáticos</v>
      </c>
      <c r="N170" s="28" t="str">
        <f t="shared" si="132"/>
        <v>Embarcações</v>
      </c>
      <c r="O170" s="29" t="str">
        <f t="shared" si="133"/>
        <v>Veleiro</v>
      </c>
      <c r="P170" s="44" t="s">
        <v>451</v>
      </c>
      <c r="Q170" s="80" t="s">
        <v>452</v>
      </c>
      <c r="R170" s="29" t="s">
        <v>1</v>
      </c>
      <c r="S170" s="29" t="str">
        <f t="shared" si="149"/>
        <v>Transportes</v>
      </c>
      <c r="T170" s="29" t="str">
        <f t="shared" si="150"/>
        <v>Aquáticos</v>
      </c>
      <c r="U170" s="29" t="str">
        <f t="shared" si="151"/>
        <v>Embarcações</v>
      </c>
      <c r="V170" s="29" t="s">
        <v>1476</v>
      </c>
      <c r="W170" s="66" t="str">
        <f t="shared" si="129"/>
        <v>Key-BRMG-170</v>
      </c>
      <c r="X170" s="29" t="s">
        <v>1358</v>
      </c>
      <c r="Y170" s="29" t="s">
        <v>1409</v>
      </c>
      <c r="Z170" s="41" t="s">
        <v>1</v>
      </c>
      <c r="AA170" s="29" t="str">
        <f t="shared" si="134"/>
        <v>Sailboat type boat for leisure or sport.</v>
      </c>
    </row>
    <row r="171" spans="1:27" ht="6.6" customHeight="1" x14ac:dyDescent="0.25">
      <c r="A171" s="73">
        <v>171</v>
      </c>
      <c r="B171" s="30" t="s">
        <v>1474</v>
      </c>
      <c r="C171" s="31" t="s">
        <v>924</v>
      </c>
      <c r="D171" s="30" t="s">
        <v>927</v>
      </c>
      <c r="E171" s="81" t="s">
        <v>928</v>
      </c>
      <c r="F171" s="69" t="s">
        <v>987</v>
      </c>
      <c r="G171" s="82" t="s">
        <v>1</v>
      </c>
      <c r="H171" s="82" t="s">
        <v>1</v>
      </c>
      <c r="I171" s="82" t="s">
        <v>1</v>
      </c>
      <c r="J171" s="79" t="s">
        <v>1</v>
      </c>
      <c r="K171" s="79" t="s">
        <v>1</v>
      </c>
      <c r="L171" s="80" t="str">
        <f t="shared" ref="L171:L179" si="152">_xlfn.CONCAT(C171)</f>
        <v>Transportes</v>
      </c>
      <c r="M171" s="28" t="str">
        <f t="shared" ref="M171:M179" si="153">CONCATENATE("", D171)</f>
        <v>Aéreos</v>
      </c>
      <c r="N171" s="28" t="str">
        <f t="shared" ref="N171:N179" si="154">(SUBSTITUTE(SUBSTITUTE(CONCATENATE("",E171),"."," ")," De "," de "))</f>
        <v>Aviões</v>
      </c>
      <c r="O171" s="29" t="str">
        <f t="shared" ref="O171:O179" si="155">F171</f>
        <v>Avião.de.Fuselagem.Larga</v>
      </c>
      <c r="P171" s="44" t="s">
        <v>934</v>
      </c>
      <c r="Q171" s="80" t="s">
        <v>943</v>
      </c>
      <c r="R171" s="29" t="s">
        <v>1</v>
      </c>
      <c r="S171" s="29" t="str">
        <f t="shared" ref="S171:S179" si="156">SUBSTITUTE(C171, ".", " ")</f>
        <v>Transportes</v>
      </c>
      <c r="T171" s="29" t="str">
        <f t="shared" ref="T171:T179" si="157">SUBSTITUTE(D171, ".", " ")</f>
        <v>Aéreos</v>
      </c>
      <c r="U171" s="29" t="str">
        <f t="shared" ref="U171:U179" si="158">SUBSTITUTE(E171, ".", " ")</f>
        <v>Aviões</v>
      </c>
      <c r="V171" s="29" t="s">
        <v>1476</v>
      </c>
      <c r="W171" s="66" t="str">
        <f t="shared" si="129"/>
        <v>Key-BRMG-171</v>
      </c>
      <c r="X171" s="29" t="s">
        <v>1358</v>
      </c>
      <c r="Y171" s="29" t="s">
        <v>1409</v>
      </c>
      <c r="Z171" s="41" t="s">
        <v>1</v>
      </c>
      <c r="AA171" s="29" t="str">
        <f t="shared" si="134"/>
        <v>Airplane with two internal aisles, used on international and long-haul flights. Like Boeing or Airbus.</v>
      </c>
    </row>
    <row r="172" spans="1:27" ht="6.6" customHeight="1" x14ac:dyDescent="0.25">
      <c r="A172" s="73">
        <v>172</v>
      </c>
      <c r="B172" s="30" t="s">
        <v>1474</v>
      </c>
      <c r="C172" s="31" t="s">
        <v>924</v>
      </c>
      <c r="D172" s="30" t="s">
        <v>927</v>
      </c>
      <c r="E172" s="81" t="s">
        <v>928</v>
      </c>
      <c r="F172" s="69" t="s">
        <v>986</v>
      </c>
      <c r="G172" s="82" t="s">
        <v>1</v>
      </c>
      <c r="H172" s="82" t="s">
        <v>1</v>
      </c>
      <c r="I172" s="82" t="s">
        <v>1</v>
      </c>
      <c r="J172" s="79" t="s">
        <v>1</v>
      </c>
      <c r="K172" s="79" t="s">
        <v>1</v>
      </c>
      <c r="L172" s="80" t="str">
        <f t="shared" si="152"/>
        <v>Transportes</v>
      </c>
      <c r="M172" s="28" t="str">
        <f t="shared" si="153"/>
        <v>Aéreos</v>
      </c>
      <c r="N172" s="28" t="str">
        <f t="shared" si="154"/>
        <v>Aviões</v>
      </c>
      <c r="O172" s="29" t="str">
        <f t="shared" si="155"/>
        <v>Avião.de.Fuselagem.Estreita</v>
      </c>
      <c r="P172" s="44" t="s">
        <v>935</v>
      </c>
      <c r="Q172" s="80" t="s">
        <v>944</v>
      </c>
      <c r="R172" s="29" t="s">
        <v>1</v>
      </c>
      <c r="S172" s="29" t="str">
        <f t="shared" si="156"/>
        <v>Transportes</v>
      </c>
      <c r="T172" s="29" t="str">
        <f t="shared" si="157"/>
        <v>Aéreos</v>
      </c>
      <c r="U172" s="29" t="str">
        <f t="shared" si="158"/>
        <v>Aviões</v>
      </c>
      <c r="V172" s="29" t="s">
        <v>1476</v>
      </c>
      <c r="W172" s="66" t="str">
        <f t="shared" si="129"/>
        <v>Key-BRMG-172</v>
      </c>
      <c r="X172" s="29" t="s">
        <v>1358</v>
      </c>
      <c r="Y172" s="29" t="s">
        <v>1409</v>
      </c>
      <c r="Z172" s="41" t="s">
        <v>1</v>
      </c>
      <c r="AA172" s="29" t="str">
        <f t="shared" si="134"/>
        <v>Airplane with an internal aisle, used in international and long-haul flights. Like Boeing or Airbus.</v>
      </c>
    </row>
    <row r="173" spans="1:27" ht="6.6" customHeight="1" x14ac:dyDescent="0.25">
      <c r="A173" s="73">
        <v>173</v>
      </c>
      <c r="B173" s="30" t="s">
        <v>1474</v>
      </c>
      <c r="C173" s="31" t="s">
        <v>924</v>
      </c>
      <c r="D173" s="30" t="s">
        <v>927</v>
      </c>
      <c r="E173" s="81" t="s">
        <v>928</v>
      </c>
      <c r="F173" s="69" t="s">
        <v>931</v>
      </c>
      <c r="G173" s="82" t="s">
        <v>1</v>
      </c>
      <c r="H173" s="82" t="s">
        <v>1</v>
      </c>
      <c r="I173" s="82" t="s">
        <v>1</v>
      </c>
      <c r="J173" s="79" t="s">
        <v>1</v>
      </c>
      <c r="K173" s="79" t="s">
        <v>1</v>
      </c>
      <c r="L173" s="80" t="str">
        <f t="shared" si="152"/>
        <v>Transportes</v>
      </c>
      <c r="M173" s="28" t="str">
        <f t="shared" si="153"/>
        <v>Aéreos</v>
      </c>
      <c r="N173" s="28" t="str">
        <f t="shared" si="154"/>
        <v>Aviões</v>
      </c>
      <c r="O173" s="29" t="str">
        <f t="shared" si="155"/>
        <v>Jet.Executivo</v>
      </c>
      <c r="P173" s="44" t="s">
        <v>932</v>
      </c>
      <c r="Q173" s="80" t="s">
        <v>945</v>
      </c>
      <c r="R173" s="29" t="s">
        <v>1</v>
      </c>
      <c r="S173" s="29" t="str">
        <f t="shared" si="156"/>
        <v>Transportes</v>
      </c>
      <c r="T173" s="29" t="str">
        <f t="shared" si="157"/>
        <v>Aéreos</v>
      </c>
      <c r="U173" s="29" t="str">
        <f t="shared" si="158"/>
        <v>Aviões</v>
      </c>
      <c r="V173" s="29" t="s">
        <v>1476</v>
      </c>
      <c r="W173" s="66" t="str">
        <f t="shared" si="129"/>
        <v>Key-BRMG-173</v>
      </c>
      <c r="X173" s="29" t="s">
        <v>1358</v>
      </c>
      <c r="Y173" s="29" t="s">
        <v>1409</v>
      </c>
      <c r="Z173" s="41" t="s">
        <v>1</v>
      </c>
      <c r="AA173" s="29" t="str">
        <f t="shared" si="134"/>
        <v>Learjet type executive jet.</v>
      </c>
    </row>
    <row r="174" spans="1:27" ht="6.6" customHeight="1" x14ac:dyDescent="0.25">
      <c r="A174" s="73">
        <v>174</v>
      </c>
      <c r="B174" s="30" t="s">
        <v>1474</v>
      </c>
      <c r="C174" s="31" t="s">
        <v>924</v>
      </c>
      <c r="D174" s="30" t="s">
        <v>927</v>
      </c>
      <c r="E174" s="81" t="s">
        <v>928</v>
      </c>
      <c r="F174" s="69" t="s">
        <v>929</v>
      </c>
      <c r="G174" s="82" t="s">
        <v>1</v>
      </c>
      <c r="H174" s="82" t="s">
        <v>1</v>
      </c>
      <c r="I174" s="82" t="s">
        <v>1</v>
      </c>
      <c r="J174" s="79" t="s">
        <v>1</v>
      </c>
      <c r="K174" s="79" t="s">
        <v>1</v>
      </c>
      <c r="L174" s="80" t="str">
        <f t="shared" ref="L174:L178" si="159">_xlfn.CONCAT(C174)</f>
        <v>Transportes</v>
      </c>
      <c r="M174" s="28" t="str">
        <f t="shared" ref="M174:M178" si="160">CONCATENATE("", D174)</f>
        <v>Aéreos</v>
      </c>
      <c r="N174" s="28" t="str">
        <f t="shared" ref="N174:N178" si="161">(SUBSTITUTE(SUBSTITUTE(CONCATENATE("",E174),"."," ")," De "," de "))</f>
        <v>Aviões</v>
      </c>
      <c r="O174" s="29" t="str">
        <f t="shared" ref="O174:O178" si="162">F174</f>
        <v>Avioneta</v>
      </c>
      <c r="P174" s="44" t="s">
        <v>933</v>
      </c>
      <c r="Q174" s="80" t="s">
        <v>946</v>
      </c>
      <c r="R174" s="29" t="s">
        <v>1</v>
      </c>
      <c r="S174" s="29" t="str">
        <f t="shared" ref="S174:S178" si="163">SUBSTITUTE(C174, ".", " ")</f>
        <v>Transportes</v>
      </c>
      <c r="T174" s="29" t="str">
        <f t="shared" ref="T174:T178" si="164">SUBSTITUTE(D174, ".", " ")</f>
        <v>Aéreos</v>
      </c>
      <c r="U174" s="29" t="str">
        <f t="shared" ref="U174:U178" si="165">SUBSTITUTE(E174, ".", " ")</f>
        <v>Aviões</v>
      </c>
      <c r="V174" s="29" t="s">
        <v>1476</v>
      </c>
      <c r="W174" s="66" t="str">
        <f t="shared" si="129"/>
        <v>Key-BRMG-174</v>
      </c>
      <c r="X174" s="29" t="s">
        <v>1358</v>
      </c>
      <c r="Y174" s="29" t="s">
        <v>1409</v>
      </c>
      <c r="Z174" s="41" t="s">
        <v>1</v>
      </c>
      <c r="AA174" s="29" t="str">
        <f t="shared" si="134"/>
        <v>Small aircraft type Cessna turboprop aircraft.</v>
      </c>
    </row>
    <row r="175" spans="1:27" ht="6.6" customHeight="1" x14ac:dyDescent="0.25">
      <c r="A175" s="73">
        <v>175</v>
      </c>
      <c r="B175" s="30" t="s">
        <v>1474</v>
      </c>
      <c r="C175" s="31" t="s">
        <v>924</v>
      </c>
      <c r="D175" s="30" t="s">
        <v>927</v>
      </c>
      <c r="E175" s="81" t="s">
        <v>930</v>
      </c>
      <c r="F175" s="69" t="s">
        <v>937</v>
      </c>
      <c r="G175" s="82" t="s">
        <v>1</v>
      </c>
      <c r="H175" s="82" t="s">
        <v>1</v>
      </c>
      <c r="I175" s="82" t="s">
        <v>1</v>
      </c>
      <c r="J175" s="79" t="s">
        <v>1</v>
      </c>
      <c r="K175" s="79" t="s">
        <v>1</v>
      </c>
      <c r="L175" s="80" t="str">
        <f t="shared" si="159"/>
        <v>Transportes</v>
      </c>
      <c r="M175" s="28" t="str">
        <f t="shared" si="160"/>
        <v>Aéreos</v>
      </c>
      <c r="N175" s="28" t="str">
        <f t="shared" si="161"/>
        <v>Helicópteros</v>
      </c>
      <c r="O175" s="29" t="str">
        <f t="shared" si="162"/>
        <v>Helicoptero.Pistão</v>
      </c>
      <c r="P175" s="44" t="s">
        <v>936</v>
      </c>
      <c r="Q175" s="80" t="s">
        <v>947</v>
      </c>
      <c r="R175" s="29" t="s">
        <v>1</v>
      </c>
      <c r="S175" s="29" t="str">
        <f t="shared" si="163"/>
        <v>Transportes</v>
      </c>
      <c r="T175" s="29" t="str">
        <f t="shared" si="164"/>
        <v>Aéreos</v>
      </c>
      <c r="U175" s="29" t="str">
        <f t="shared" si="165"/>
        <v>Helicópteros</v>
      </c>
      <c r="V175" s="29" t="s">
        <v>1476</v>
      </c>
      <c r="W175" s="66" t="str">
        <f t="shared" si="129"/>
        <v>Key-BRMG-175</v>
      </c>
      <c r="X175" s="29" t="s">
        <v>1358</v>
      </c>
      <c r="Y175" s="29" t="s">
        <v>1409</v>
      </c>
      <c r="Z175" s="41" t="s">
        <v>1</v>
      </c>
      <c r="AA175" s="29" t="str">
        <f t="shared" si="134"/>
        <v>Small helicopter.</v>
      </c>
    </row>
    <row r="176" spans="1:27" ht="6.6" customHeight="1" x14ac:dyDescent="0.25">
      <c r="A176" s="73">
        <v>176</v>
      </c>
      <c r="B176" s="30" t="s">
        <v>1474</v>
      </c>
      <c r="C176" s="31" t="s">
        <v>924</v>
      </c>
      <c r="D176" s="30" t="s">
        <v>927</v>
      </c>
      <c r="E176" s="81" t="s">
        <v>930</v>
      </c>
      <c r="F176" s="69" t="s">
        <v>938</v>
      </c>
      <c r="G176" s="82" t="s">
        <v>1</v>
      </c>
      <c r="H176" s="82" t="s">
        <v>1</v>
      </c>
      <c r="I176" s="82" t="s">
        <v>1</v>
      </c>
      <c r="J176" s="79" t="s">
        <v>1</v>
      </c>
      <c r="K176" s="79" t="s">
        <v>1</v>
      </c>
      <c r="L176" s="80" t="str">
        <f t="shared" si="159"/>
        <v>Transportes</v>
      </c>
      <c r="M176" s="28" t="str">
        <f t="shared" si="160"/>
        <v>Aéreos</v>
      </c>
      <c r="N176" s="28" t="str">
        <f t="shared" si="161"/>
        <v>Helicópteros</v>
      </c>
      <c r="O176" s="29" t="str">
        <f t="shared" si="162"/>
        <v>Helicoptero.Turbina</v>
      </c>
      <c r="P176" s="44" t="s">
        <v>939</v>
      </c>
      <c r="Q176" s="80" t="s">
        <v>948</v>
      </c>
      <c r="R176" s="29" t="s">
        <v>1</v>
      </c>
      <c r="S176" s="29" t="str">
        <f t="shared" si="163"/>
        <v>Transportes</v>
      </c>
      <c r="T176" s="29" t="str">
        <f t="shared" si="164"/>
        <v>Aéreos</v>
      </c>
      <c r="U176" s="29" t="str">
        <f t="shared" si="165"/>
        <v>Helicópteros</v>
      </c>
      <c r="V176" s="29" t="s">
        <v>1476</v>
      </c>
      <c r="W176" s="66" t="str">
        <f t="shared" si="129"/>
        <v>Key-BRMG-176</v>
      </c>
      <c r="X176" s="29" t="s">
        <v>1358</v>
      </c>
      <c r="Y176" s="29" t="s">
        <v>1409</v>
      </c>
      <c r="Z176" s="41" t="s">
        <v>1</v>
      </c>
      <c r="AA176" s="29" t="str">
        <f t="shared" si="134"/>
        <v>Large helicopter.</v>
      </c>
    </row>
    <row r="177" spans="1:27" ht="6.6" customHeight="1" x14ac:dyDescent="0.25">
      <c r="A177" s="73">
        <v>177</v>
      </c>
      <c r="B177" s="30" t="s">
        <v>1474</v>
      </c>
      <c r="C177" s="31" t="s">
        <v>924</v>
      </c>
      <c r="D177" s="30" t="s">
        <v>927</v>
      </c>
      <c r="E177" s="81" t="s">
        <v>940</v>
      </c>
      <c r="F177" s="69" t="s">
        <v>941</v>
      </c>
      <c r="G177" s="82" t="s">
        <v>1</v>
      </c>
      <c r="H177" s="82" t="s">
        <v>1</v>
      </c>
      <c r="I177" s="82" t="s">
        <v>1</v>
      </c>
      <c r="J177" s="79" t="s">
        <v>1</v>
      </c>
      <c r="K177" s="79" t="s">
        <v>1</v>
      </c>
      <c r="L177" s="80" t="str">
        <f t="shared" si="159"/>
        <v>Transportes</v>
      </c>
      <c r="M177" s="28" t="str">
        <f t="shared" si="160"/>
        <v>Aéreos</v>
      </c>
      <c r="N177" s="28" t="str">
        <f t="shared" si="161"/>
        <v>Vants</v>
      </c>
      <c r="O177" s="29" t="str">
        <f t="shared" si="162"/>
        <v>Drone</v>
      </c>
      <c r="P177" s="44" t="s">
        <v>942</v>
      </c>
      <c r="Q177" s="80" t="s">
        <v>949</v>
      </c>
      <c r="R177" s="29" t="s">
        <v>1</v>
      </c>
      <c r="S177" s="29" t="str">
        <f t="shared" si="163"/>
        <v>Transportes</v>
      </c>
      <c r="T177" s="29" t="str">
        <f t="shared" si="164"/>
        <v>Aéreos</v>
      </c>
      <c r="U177" s="29" t="str">
        <f t="shared" si="165"/>
        <v>Vants</v>
      </c>
      <c r="V177" s="29" t="s">
        <v>1476</v>
      </c>
      <c r="W177" s="66" t="str">
        <f t="shared" si="129"/>
        <v>Key-BRMG-177</v>
      </c>
      <c r="X177" s="29" t="s">
        <v>1358</v>
      </c>
      <c r="Y177" s="29" t="s">
        <v>1409</v>
      </c>
      <c r="Z177" s="41" t="s">
        <v>1</v>
      </c>
      <c r="AA177" s="29" t="str">
        <f t="shared" si="134"/>
        <v>Drone or UAS unmanned aerial vehicle.</v>
      </c>
    </row>
    <row r="178" spans="1:27" ht="6.6" customHeight="1" x14ac:dyDescent="0.25">
      <c r="A178" s="73">
        <v>178</v>
      </c>
      <c r="B178" s="30" t="s">
        <v>1474</v>
      </c>
      <c r="C178" s="31" t="s">
        <v>924</v>
      </c>
      <c r="D178" s="30" t="s">
        <v>927</v>
      </c>
      <c r="E178" s="81" t="s">
        <v>940</v>
      </c>
      <c r="F178" s="69" t="s">
        <v>975</v>
      </c>
      <c r="G178" s="82" t="s">
        <v>1</v>
      </c>
      <c r="H178" s="82" t="s">
        <v>1</v>
      </c>
      <c r="I178" s="82" t="s">
        <v>1</v>
      </c>
      <c r="J178" s="79" t="s">
        <v>1</v>
      </c>
      <c r="K178" s="79" t="s">
        <v>1</v>
      </c>
      <c r="L178" s="80" t="str">
        <f t="shared" si="159"/>
        <v>Transportes</v>
      </c>
      <c r="M178" s="28" t="str">
        <f t="shared" si="160"/>
        <v>Aéreos</v>
      </c>
      <c r="N178" s="28" t="str">
        <f t="shared" si="161"/>
        <v>Vants</v>
      </c>
      <c r="O178" s="29" t="str">
        <f t="shared" si="162"/>
        <v>Vant</v>
      </c>
      <c r="P178" s="44" t="s">
        <v>942</v>
      </c>
      <c r="Q178" s="80" t="s">
        <v>949</v>
      </c>
      <c r="R178" s="29" t="s">
        <v>1</v>
      </c>
      <c r="S178" s="29" t="str">
        <f t="shared" si="163"/>
        <v>Transportes</v>
      </c>
      <c r="T178" s="29" t="str">
        <f t="shared" si="164"/>
        <v>Aéreos</v>
      </c>
      <c r="U178" s="29" t="str">
        <f t="shared" si="165"/>
        <v>Vants</v>
      </c>
      <c r="V178" s="29" t="s">
        <v>1476</v>
      </c>
      <c r="W178" s="66" t="str">
        <f t="shared" si="129"/>
        <v>Key-BRMG-178</v>
      </c>
      <c r="X178" s="29" t="s">
        <v>1358</v>
      </c>
      <c r="Y178" s="29" t="s">
        <v>1409</v>
      </c>
      <c r="Z178" s="41" t="s">
        <v>1</v>
      </c>
      <c r="AA178" s="29" t="str">
        <f t="shared" si="134"/>
        <v>Drone or UAS unmanned aerial vehicle.</v>
      </c>
    </row>
    <row r="179" spans="1:27" ht="6.6" customHeight="1" x14ac:dyDescent="0.25">
      <c r="A179" s="73">
        <v>179</v>
      </c>
      <c r="B179" s="30" t="s">
        <v>1474</v>
      </c>
      <c r="C179" s="31" t="s">
        <v>924</v>
      </c>
      <c r="D179" s="30" t="s">
        <v>927</v>
      </c>
      <c r="E179" s="81" t="s">
        <v>940</v>
      </c>
      <c r="F179" s="69" t="s">
        <v>976</v>
      </c>
      <c r="G179" s="82" t="s">
        <v>1</v>
      </c>
      <c r="H179" s="82" t="s">
        <v>1</v>
      </c>
      <c r="I179" s="82" t="s">
        <v>1</v>
      </c>
      <c r="J179" s="79" t="s">
        <v>1</v>
      </c>
      <c r="K179" s="79" t="s">
        <v>1</v>
      </c>
      <c r="L179" s="80" t="str">
        <f t="shared" si="152"/>
        <v>Transportes</v>
      </c>
      <c r="M179" s="28" t="str">
        <f t="shared" si="153"/>
        <v>Aéreos</v>
      </c>
      <c r="N179" s="28" t="str">
        <f t="shared" si="154"/>
        <v>Vants</v>
      </c>
      <c r="O179" s="29" t="str">
        <f t="shared" si="155"/>
        <v>UAS</v>
      </c>
      <c r="P179" s="44" t="s">
        <v>942</v>
      </c>
      <c r="Q179" s="80" t="s">
        <v>949</v>
      </c>
      <c r="R179" s="29" t="s">
        <v>1</v>
      </c>
      <c r="S179" s="29" t="str">
        <f t="shared" si="156"/>
        <v>Transportes</v>
      </c>
      <c r="T179" s="29" t="str">
        <f t="shared" si="157"/>
        <v>Aéreos</v>
      </c>
      <c r="U179" s="29" t="str">
        <f t="shared" si="158"/>
        <v>Vants</v>
      </c>
      <c r="V179" s="29" t="s">
        <v>1476</v>
      </c>
      <c r="W179" s="66" t="str">
        <f t="shared" si="129"/>
        <v>Key-BRMG-179</v>
      </c>
      <c r="X179" s="29" t="s">
        <v>1358</v>
      </c>
      <c r="Y179" s="29" t="s">
        <v>1395</v>
      </c>
      <c r="Z179" s="41" t="s">
        <v>1</v>
      </c>
      <c r="AA179" s="29" t="str">
        <f t="shared" si="134"/>
        <v>Drone or UAS unmanned aerial vehicle.</v>
      </c>
    </row>
    <row r="180" spans="1:27" ht="6.6" customHeight="1" x14ac:dyDescent="0.25">
      <c r="A180" s="73">
        <v>180</v>
      </c>
      <c r="B180" s="30" t="s">
        <v>1474</v>
      </c>
      <c r="C180" s="31" t="s">
        <v>884</v>
      </c>
      <c r="D180" s="45" t="s">
        <v>886</v>
      </c>
      <c r="E180" s="45" t="s">
        <v>885</v>
      </c>
      <c r="F180" s="45" t="s">
        <v>762</v>
      </c>
      <c r="G180" s="76" t="s">
        <v>1</v>
      </c>
      <c r="H180" s="76" t="s">
        <v>1</v>
      </c>
      <c r="I180" s="76" t="s">
        <v>1</v>
      </c>
      <c r="J180" s="76" t="s">
        <v>1</v>
      </c>
      <c r="K180" s="76" t="s">
        <v>1</v>
      </c>
      <c r="L180" s="44" t="str">
        <f t="shared" ref="L180:L189" si="166">_xlfn.CONCAT(SUBSTITUTE(C180,"1.",""))</f>
        <v>Infraestruturas</v>
      </c>
      <c r="M180" s="44" t="str">
        <f t="shared" ref="M180:M189" si="167">_xlfn.CONCAT(SUBSTITUTE(D180,"."," "))</f>
        <v>Urbanas</v>
      </c>
      <c r="N180" s="44" t="str">
        <f t="shared" ref="N180:N189" si="168">_xlfn.CONCAT(SUBSTITUTE(E180,"."," "))</f>
        <v>Paisagísticas</v>
      </c>
      <c r="O180" s="44" t="str">
        <f t="shared" ref="O180:O189" si="169">_xlfn.CONCAT(SUBSTITUTE(F180,"."," "))</f>
        <v>Lagoa</v>
      </c>
      <c r="P180" s="44" t="s">
        <v>1068</v>
      </c>
      <c r="Q180" s="44" t="s">
        <v>1214</v>
      </c>
      <c r="R180" s="29" t="s">
        <v>1</v>
      </c>
      <c r="S180" s="29" t="str">
        <f t="shared" si="149"/>
        <v>Infraestruturas</v>
      </c>
      <c r="T180" s="29" t="str">
        <f t="shared" si="150"/>
        <v>Urbanas</v>
      </c>
      <c r="U180" s="29" t="str">
        <f t="shared" si="151"/>
        <v>Paisagísticas</v>
      </c>
      <c r="V180" s="29" t="s">
        <v>1476</v>
      </c>
      <c r="W180" s="66" t="str">
        <f t="shared" si="129"/>
        <v>Key-BRMG-180</v>
      </c>
      <c r="X180" s="29" t="s">
        <v>1359</v>
      </c>
      <c r="Y180" s="29" t="s">
        <v>1395</v>
      </c>
      <c r="Z180" s="41" t="s">
        <v>1</v>
      </c>
      <c r="AA180" s="29" t="str">
        <f t="shared" si="134"/>
        <v>Element of urban parking: Lagoa.</v>
      </c>
    </row>
    <row r="181" spans="1:27" ht="6.6" customHeight="1" x14ac:dyDescent="0.25">
      <c r="A181" s="73">
        <v>181</v>
      </c>
      <c r="B181" s="30" t="s">
        <v>1474</v>
      </c>
      <c r="C181" s="31" t="s">
        <v>884</v>
      </c>
      <c r="D181" s="45" t="s">
        <v>886</v>
      </c>
      <c r="E181" s="45" t="s">
        <v>885</v>
      </c>
      <c r="F181" s="45" t="s">
        <v>765</v>
      </c>
      <c r="G181" s="76" t="s">
        <v>1</v>
      </c>
      <c r="H181" s="76" t="s">
        <v>1</v>
      </c>
      <c r="I181" s="76" t="s">
        <v>1</v>
      </c>
      <c r="J181" s="76" t="s">
        <v>1</v>
      </c>
      <c r="K181" s="76" t="s">
        <v>1</v>
      </c>
      <c r="L181" s="44" t="str">
        <f t="shared" si="166"/>
        <v>Infraestruturas</v>
      </c>
      <c r="M181" s="44" t="str">
        <f t="shared" si="167"/>
        <v>Urbanas</v>
      </c>
      <c r="N181" s="44" t="str">
        <f t="shared" si="168"/>
        <v>Paisagísticas</v>
      </c>
      <c r="O181" s="44" t="str">
        <f t="shared" si="169"/>
        <v>Árvore</v>
      </c>
      <c r="P181" s="44" t="s">
        <v>1071</v>
      </c>
      <c r="Q181" s="44" t="s">
        <v>1215</v>
      </c>
      <c r="R181" s="29" t="s">
        <v>1</v>
      </c>
      <c r="S181" s="29" t="str">
        <f t="shared" si="149"/>
        <v>Infraestruturas</v>
      </c>
      <c r="T181" s="29" t="str">
        <f t="shared" si="150"/>
        <v>Urbanas</v>
      </c>
      <c r="U181" s="29" t="str">
        <f t="shared" si="151"/>
        <v>Paisagísticas</v>
      </c>
      <c r="V181" s="29" t="s">
        <v>1476</v>
      </c>
      <c r="W181" s="66" t="str">
        <f t="shared" si="129"/>
        <v>Key-BRMG-181</v>
      </c>
      <c r="X181" s="29" t="s">
        <v>1360</v>
      </c>
      <c r="Y181" s="29" t="s">
        <v>1395</v>
      </c>
      <c r="Z181" s="41" t="s">
        <v>1</v>
      </c>
      <c r="AA181" s="29" t="str">
        <f t="shared" si="134"/>
        <v>Element of urban parking: Tree.</v>
      </c>
    </row>
    <row r="182" spans="1:27" ht="6.6" customHeight="1" x14ac:dyDescent="0.25">
      <c r="A182" s="73">
        <v>182</v>
      </c>
      <c r="B182" s="30" t="s">
        <v>1474</v>
      </c>
      <c r="C182" s="31" t="s">
        <v>884</v>
      </c>
      <c r="D182" s="45" t="s">
        <v>886</v>
      </c>
      <c r="E182" s="45" t="s">
        <v>885</v>
      </c>
      <c r="F182" s="45" t="s">
        <v>766</v>
      </c>
      <c r="G182" s="76" t="s">
        <v>1</v>
      </c>
      <c r="H182" s="76" t="s">
        <v>1</v>
      </c>
      <c r="I182" s="76" t="s">
        <v>1</v>
      </c>
      <c r="J182" s="76" t="s">
        <v>1</v>
      </c>
      <c r="K182" s="76" t="s">
        <v>1</v>
      </c>
      <c r="L182" s="44" t="str">
        <f t="shared" si="166"/>
        <v>Infraestruturas</v>
      </c>
      <c r="M182" s="44" t="str">
        <f t="shared" si="167"/>
        <v>Urbanas</v>
      </c>
      <c r="N182" s="44" t="str">
        <f t="shared" si="168"/>
        <v>Paisagísticas</v>
      </c>
      <c r="O182" s="44" t="str">
        <f t="shared" si="169"/>
        <v>Gramado</v>
      </c>
      <c r="P182" s="44" t="s">
        <v>1074</v>
      </c>
      <c r="Q182" s="44" t="s">
        <v>1216</v>
      </c>
      <c r="R182" s="29" t="s">
        <v>1</v>
      </c>
      <c r="S182" s="29" t="str">
        <f t="shared" si="149"/>
        <v>Infraestruturas</v>
      </c>
      <c r="T182" s="29" t="str">
        <f t="shared" si="150"/>
        <v>Urbanas</v>
      </c>
      <c r="U182" s="29" t="str">
        <f t="shared" si="151"/>
        <v>Paisagísticas</v>
      </c>
      <c r="V182" s="29" t="s">
        <v>1476</v>
      </c>
      <c r="W182" s="66" t="str">
        <f t="shared" si="129"/>
        <v>Key-BRMG-182</v>
      </c>
      <c r="X182" s="29" t="s">
        <v>1360</v>
      </c>
      <c r="Y182" s="29" t="s">
        <v>1395</v>
      </c>
      <c r="Z182" s="41" t="s">
        <v>1</v>
      </c>
      <c r="AA182" s="29" t="str">
        <f t="shared" si="134"/>
        <v>Urban parking element: Area covered by lawn.</v>
      </c>
    </row>
    <row r="183" spans="1:27" ht="6.6" customHeight="1" x14ac:dyDescent="0.25">
      <c r="A183" s="73">
        <v>183</v>
      </c>
      <c r="B183" s="30" t="s">
        <v>1474</v>
      </c>
      <c r="C183" s="31" t="s">
        <v>884</v>
      </c>
      <c r="D183" s="45" t="s">
        <v>886</v>
      </c>
      <c r="E183" s="45" t="s">
        <v>885</v>
      </c>
      <c r="F183" s="45" t="s">
        <v>767</v>
      </c>
      <c r="G183" s="76" t="s">
        <v>1</v>
      </c>
      <c r="H183" s="76" t="s">
        <v>1</v>
      </c>
      <c r="I183" s="76" t="s">
        <v>1</v>
      </c>
      <c r="J183" s="76" t="s">
        <v>1</v>
      </c>
      <c r="K183" s="76" t="s">
        <v>1</v>
      </c>
      <c r="L183" s="44" t="str">
        <f t="shared" si="166"/>
        <v>Infraestruturas</v>
      </c>
      <c r="M183" s="44" t="str">
        <f t="shared" si="167"/>
        <v>Urbanas</v>
      </c>
      <c r="N183" s="44" t="str">
        <f t="shared" si="168"/>
        <v>Paisagísticas</v>
      </c>
      <c r="O183" s="44" t="str">
        <f t="shared" si="169"/>
        <v>Monumento</v>
      </c>
      <c r="P183" s="44" t="s">
        <v>1072</v>
      </c>
      <c r="Q183" s="44" t="s">
        <v>1217</v>
      </c>
      <c r="R183" s="29" t="s">
        <v>1</v>
      </c>
      <c r="S183" s="29" t="str">
        <f t="shared" si="149"/>
        <v>Infraestruturas</v>
      </c>
      <c r="T183" s="29" t="str">
        <f t="shared" si="150"/>
        <v>Urbanas</v>
      </c>
      <c r="U183" s="29" t="str">
        <f t="shared" si="151"/>
        <v>Paisagísticas</v>
      </c>
      <c r="V183" s="29" t="s">
        <v>1476</v>
      </c>
      <c r="W183" s="66" t="str">
        <f t="shared" si="129"/>
        <v>Key-BRMG-183</v>
      </c>
      <c r="X183" s="29" t="s">
        <v>1358</v>
      </c>
      <c r="Y183" s="29" t="s">
        <v>1395</v>
      </c>
      <c r="Z183" s="41" t="s">
        <v>1</v>
      </c>
      <c r="AA183" s="29" t="str">
        <f t="shared" si="134"/>
        <v>Element of urban parking: Urban monument.</v>
      </c>
    </row>
    <row r="184" spans="1:27" ht="6.6" customHeight="1" x14ac:dyDescent="0.25">
      <c r="A184" s="73">
        <v>184</v>
      </c>
      <c r="B184" s="30" t="s">
        <v>1474</v>
      </c>
      <c r="C184" s="31" t="s">
        <v>884</v>
      </c>
      <c r="D184" s="45" t="s">
        <v>886</v>
      </c>
      <c r="E184" s="45" t="s">
        <v>885</v>
      </c>
      <c r="F184" s="45" t="s">
        <v>768</v>
      </c>
      <c r="G184" s="76" t="s">
        <v>1</v>
      </c>
      <c r="H184" s="76" t="s">
        <v>1</v>
      </c>
      <c r="I184" s="76" t="s">
        <v>1</v>
      </c>
      <c r="J184" s="76" t="s">
        <v>1</v>
      </c>
      <c r="K184" s="76" t="s">
        <v>1</v>
      </c>
      <c r="L184" s="44" t="str">
        <f t="shared" si="166"/>
        <v>Infraestruturas</v>
      </c>
      <c r="M184" s="44" t="str">
        <f t="shared" si="167"/>
        <v>Urbanas</v>
      </c>
      <c r="N184" s="44" t="str">
        <f t="shared" si="168"/>
        <v>Paisagísticas</v>
      </c>
      <c r="O184" s="44" t="str">
        <f t="shared" si="169"/>
        <v>Ornamento</v>
      </c>
      <c r="P184" s="44" t="s">
        <v>1070</v>
      </c>
      <c r="Q184" s="44" t="s">
        <v>1218</v>
      </c>
      <c r="R184" s="29" t="s">
        <v>1</v>
      </c>
      <c r="S184" s="29" t="str">
        <f t="shared" si="149"/>
        <v>Infraestruturas</v>
      </c>
      <c r="T184" s="29" t="str">
        <f t="shared" si="150"/>
        <v>Urbanas</v>
      </c>
      <c r="U184" s="29" t="str">
        <f t="shared" si="151"/>
        <v>Paisagísticas</v>
      </c>
      <c r="V184" s="29" t="s">
        <v>1476</v>
      </c>
      <c r="W184" s="66" t="str">
        <f t="shared" si="129"/>
        <v>Key-BRMG-184</v>
      </c>
      <c r="X184" s="29" t="s">
        <v>1358</v>
      </c>
      <c r="Y184" s="29" t="s">
        <v>1395</v>
      </c>
      <c r="Z184" s="41" t="s">
        <v>1</v>
      </c>
      <c r="AA184" s="29" t="str">
        <f t="shared" si="134"/>
        <v>Urban parking element: Urban ornament.</v>
      </c>
    </row>
    <row r="185" spans="1:27" ht="6.6" customHeight="1" x14ac:dyDescent="0.25">
      <c r="A185" s="73">
        <v>185</v>
      </c>
      <c r="B185" s="30" t="s">
        <v>1474</v>
      </c>
      <c r="C185" s="31" t="s">
        <v>884</v>
      </c>
      <c r="D185" s="45" t="s">
        <v>886</v>
      </c>
      <c r="E185" s="45" t="s">
        <v>885</v>
      </c>
      <c r="F185" s="45" t="s">
        <v>769</v>
      </c>
      <c r="G185" s="76" t="s">
        <v>1</v>
      </c>
      <c r="H185" s="76" t="s">
        <v>1</v>
      </c>
      <c r="I185" s="76" t="s">
        <v>1</v>
      </c>
      <c r="J185" s="76" t="s">
        <v>1</v>
      </c>
      <c r="K185" s="76" t="s">
        <v>1</v>
      </c>
      <c r="L185" s="44" t="str">
        <f t="shared" si="166"/>
        <v>Infraestruturas</v>
      </c>
      <c r="M185" s="44" t="str">
        <f t="shared" si="167"/>
        <v>Urbanas</v>
      </c>
      <c r="N185" s="44" t="str">
        <f t="shared" si="168"/>
        <v>Paisagísticas</v>
      </c>
      <c r="O185" s="44" t="str">
        <f t="shared" si="169"/>
        <v>Fonte Ornamental</v>
      </c>
      <c r="P185" s="44" t="s">
        <v>1073</v>
      </c>
      <c r="Q185" s="44" t="s">
        <v>1219</v>
      </c>
      <c r="R185" s="29" t="s">
        <v>1</v>
      </c>
      <c r="S185" s="29" t="str">
        <f t="shared" si="149"/>
        <v>Infraestruturas</v>
      </c>
      <c r="T185" s="29" t="str">
        <f t="shared" si="150"/>
        <v>Urbanas</v>
      </c>
      <c r="U185" s="29" t="str">
        <f t="shared" si="151"/>
        <v>Paisagísticas</v>
      </c>
      <c r="V185" s="29" t="s">
        <v>1476</v>
      </c>
      <c r="W185" s="66" t="str">
        <f t="shared" si="129"/>
        <v>Key-BRMG-185</v>
      </c>
      <c r="X185" s="29" t="s">
        <v>1358</v>
      </c>
      <c r="Y185" s="29" t="s">
        <v>1410</v>
      </c>
      <c r="Z185" s="41" t="s">
        <v>1</v>
      </c>
      <c r="AA185" s="29" t="str">
        <f t="shared" si="134"/>
        <v>Urban parking element: Ornamental fountain.</v>
      </c>
    </row>
    <row r="186" spans="1:27" ht="6.6" customHeight="1" x14ac:dyDescent="0.25">
      <c r="A186" s="73">
        <v>186</v>
      </c>
      <c r="B186" s="30" t="s">
        <v>1474</v>
      </c>
      <c r="C186" s="31" t="s">
        <v>884</v>
      </c>
      <c r="D186" s="45" t="s">
        <v>886</v>
      </c>
      <c r="E186" s="45" t="s">
        <v>887</v>
      </c>
      <c r="F186" s="45" t="s">
        <v>770</v>
      </c>
      <c r="G186" s="76" t="s">
        <v>1</v>
      </c>
      <c r="H186" s="76" t="s">
        <v>1</v>
      </c>
      <c r="I186" s="76" t="s">
        <v>1</v>
      </c>
      <c r="J186" s="76" t="s">
        <v>1</v>
      </c>
      <c r="K186" s="76" t="s">
        <v>1</v>
      </c>
      <c r="L186" s="44" t="str">
        <f t="shared" si="166"/>
        <v>Infraestruturas</v>
      </c>
      <c r="M186" s="44" t="str">
        <f t="shared" si="167"/>
        <v>Urbanas</v>
      </c>
      <c r="N186" s="44" t="str">
        <f t="shared" si="168"/>
        <v>Sinalizações</v>
      </c>
      <c r="O186" s="44" t="str">
        <f t="shared" si="169"/>
        <v>Poste Luz Pedestre</v>
      </c>
      <c r="P186" s="44" t="s">
        <v>1075</v>
      </c>
      <c r="Q186" s="44" t="s">
        <v>1220</v>
      </c>
      <c r="R186" s="29" t="s">
        <v>1</v>
      </c>
      <c r="S186" s="29" t="str">
        <f t="shared" si="149"/>
        <v>Infraestruturas</v>
      </c>
      <c r="T186" s="29" t="str">
        <f t="shared" si="150"/>
        <v>Urbanas</v>
      </c>
      <c r="U186" s="29" t="str">
        <f t="shared" si="151"/>
        <v>Sinalizações</v>
      </c>
      <c r="V186" s="29" t="s">
        <v>1476</v>
      </c>
      <c r="W186" s="66" t="str">
        <f t="shared" si="129"/>
        <v>Key-BRMG-186</v>
      </c>
      <c r="X186" s="29" t="s">
        <v>1361</v>
      </c>
      <c r="Y186" s="29" t="s">
        <v>1410</v>
      </c>
      <c r="Z186" s="41" t="s">
        <v>1</v>
      </c>
      <c r="AA186" s="29" t="str">
        <f t="shared" si="134"/>
        <v>Low height pedestrian light pole.</v>
      </c>
    </row>
    <row r="187" spans="1:27" ht="6.6" customHeight="1" x14ac:dyDescent="0.25">
      <c r="A187" s="73">
        <v>187</v>
      </c>
      <c r="B187" s="30" t="s">
        <v>1474</v>
      </c>
      <c r="C187" s="31" t="s">
        <v>884</v>
      </c>
      <c r="D187" s="45" t="s">
        <v>886</v>
      </c>
      <c r="E187" s="45" t="s">
        <v>887</v>
      </c>
      <c r="F187" s="45" t="s">
        <v>816</v>
      </c>
      <c r="G187" s="76" t="s">
        <v>1</v>
      </c>
      <c r="H187" s="76" t="s">
        <v>1</v>
      </c>
      <c r="I187" s="76" t="s">
        <v>1</v>
      </c>
      <c r="J187" s="76" t="s">
        <v>1</v>
      </c>
      <c r="K187" s="76" t="s">
        <v>1</v>
      </c>
      <c r="L187" s="44" t="str">
        <f t="shared" si="166"/>
        <v>Infraestruturas</v>
      </c>
      <c r="M187" s="44" t="str">
        <f t="shared" si="167"/>
        <v>Urbanas</v>
      </c>
      <c r="N187" s="44" t="str">
        <f t="shared" si="168"/>
        <v>Sinalizações</v>
      </c>
      <c r="O187" s="44" t="str">
        <f t="shared" si="169"/>
        <v>Poste Luz Viário</v>
      </c>
      <c r="P187" s="44" t="s">
        <v>1076</v>
      </c>
      <c r="Q187" s="44" t="s">
        <v>1221</v>
      </c>
      <c r="R187" s="29" t="s">
        <v>1</v>
      </c>
      <c r="S187" s="29" t="str">
        <f t="shared" si="149"/>
        <v>Infraestruturas</v>
      </c>
      <c r="T187" s="29" t="str">
        <f t="shared" si="150"/>
        <v>Urbanas</v>
      </c>
      <c r="U187" s="29" t="str">
        <f t="shared" si="151"/>
        <v>Sinalizações</v>
      </c>
      <c r="V187" s="29" t="s">
        <v>1476</v>
      </c>
      <c r="W187" s="66" t="str">
        <f t="shared" si="129"/>
        <v>Key-BRMG-187</v>
      </c>
      <c r="X187" s="29" t="s">
        <v>1361</v>
      </c>
      <c r="Y187" s="29" t="s">
        <v>1411</v>
      </c>
      <c r="Z187" s="41" t="s">
        <v>1</v>
      </c>
      <c r="AA187" s="29" t="str">
        <f t="shared" si="134"/>
        <v>Tall light poles for lighting avenues.</v>
      </c>
    </row>
    <row r="188" spans="1:27" ht="6.6" customHeight="1" x14ac:dyDescent="0.25">
      <c r="A188" s="73">
        <v>188</v>
      </c>
      <c r="B188" s="30" t="s">
        <v>1474</v>
      </c>
      <c r="C188" s="31" t="s">
        <v>884</v>
      </c>
      <c r="D188" s="45" t="s">
        <v>886</v>
      </c>
      <c r="E188" s="45" t="s">
        <v>887</v>
      </c>
      <c r="F188" s="45" t="s">
        <v>817</v>
      </c>
      <c r="G188" s="76" t="s">
        <v>1</v>
      </c>
      <c r="H188" s="76" t="s">
        <v>1</v>
      </c>
      <c r="I188" s="76" t="s">
        <v>1</v>
      </c>
      <c r="J188" s="76" t="s">
        <v>1</v>
      </c>
      <c r="K188" s="76" t="s">
        <v>1</v>
      </c>
      <c r="L188" s="44" t="str">
        <f t="shared" si="166"/>
        <v>Infraestruturas</v>
      </c>
      <c r="M188" s="44" t="str">
        <f t="shared" si="167"/>
        <v>Urbanas</v>
      </c>
      <c r="N188" s="44" t="str">
        <f t="shared" si="168"/>
        <v>Sinalizações</v>
      </c>
      <c r="O188" s="44" t="str">
        <f t="shared" si="169"/>
        <v>Semáforo</v>
      </c>
      <c r="P188" s="44" t="s">
        <v>818</v>
      </c>
      <c r="Q188" s="44" t="s">
        <v>819</v>
      </c>
      <c r="R188" s="29" t="s">
        <v>1</v>
      </c>
      <c r="S188" s="29" t="str">
        <f t="shared" si="149"/>
        <v>Infraestruturas</v>
      </c>
      <c r="T188" s="29" t="str">
        <f t="shared" si="150"/>
        <v>Urbanas</v>
      </c>
      <c r="U188" s="29" t="str">
        <f t="shared" si="151"/>
        <v>Sinalizações</v>
      </c>
      <c r="V188" s="29" t="s">
        <v>1476</v>
      </c>
      <c r="W188" s="66" t="str">
        <f t="shared" si="129"/>
        <v>Key-BRMG-188</v>
      </c>
      <c r="X188" s="29" t="s">
        <v>1362</v>
      </c>
      <c r="Y188" s="29" t="s">
        <v>1411</v>
      </c>
      <c r="Z188" s="41" t="s">
        <v>1</v>
      </c>
      <c r="AA188" s="29" t="str">
        <f t="shared" si="134"/>
        <v>Urban traffic sign.</v>
      </c>
    </row>
    <row r="189" spans="1:27" ht="6.6" customHeight="1" x14ac:dyDescent="0.25">
      <c r="A189" s="73">
        <v>189</v>
      </c>
      <c r="B189" s="30" t="s">
        <v>1474</v>
      </c>
      <c r="C189" s="31" t="s">
        <v>884</v>
      </c>
      <c r="D189" s="45" t="s">
        <v>886</v>
      </c>
      <c r="E189" s="45" t="s">
        <v>887</v>
      </c>
      <c r="F189" s="45" t="s">
        <v>888</v>
      </c>
      <c r="G189" s="76" t="s">
        <v>1</v>
      </c>
      <c r="H189" s="76" t="s">
        <v>1</v>
      </c>
      <c r="I189" s="76" t="s">
        <v>1</v>
      </c>
      <c r="J189" s="76" t="s">
        <v>1</v>
      </c>
      <c r="K189" s="76" t="s">
        <v>1</v>
      </c>
      <c r="L189" s="44" t="str">
        <f t="shared" si="166"/>
        <v>Infraestruturas</v>
      </c>
      <c r="M189" s="44" t="str">
        <f t="shared" si="167"/>
        <v>Urbanas</v>
      </c>
      <c r="N189" s="44" t="str">
        <f t="shared" si="168"/>
        <v>Sinalizações</v>
      </c>
      <c r="O189" s="44" t="str">
        <f t="shared" si="169"/>
        <v>Totem Informativo</v>
      </c>
      <c r="P189" s="44" t="s">
        <v>1069</v>
      </c>
      <c r="Q189" s="44" t="s">
        <v>1222</v>
      </c>
      <c r="R189" s="29" t="s">
        <v>1</v>
      </c>
      <c r="S189" s="29" t="str">
        <f t="shared" si="149"/>
        <v>Infraestruturas</v>
      </c>
      <c r="T189" s="29" t="str">
        <f t="shared" si="150"/>
        <v>Urbanas</v>
      </c>
      <c r="U189" s="29" t="str">
        <f t="shared" si="151"/>
        <v>Sinalizações</v>
      </c>
      <c r="V189" s="29" t="s">
        <v>1476</v>
      </c>
      <c r="W189" s="66" t="str">
        <f t="shared" si="129"/>
        <v>Key-BRMG-189</v>
      </c>
      <c r="X189" s="29" t="s">
        <v>1362</v>
      </c>
      <c r="Y189" s="29" t="s">
        <v>1401</v>
      </c>
      <c r="Z189" s="41" t="s">
        <v>1</v>
      </c>
      <c r="AA189" s="29" t="str">
        <f t="shared" si="134"/>
        <v>Urban information totem.</v>
      </c>
    </row>
    <row r="190" spans="1:27" ht="6.6" customHeight="1" x14ac:dyDescent="0.25">
      <c r="A190" s="73">
        <v>190</v>
      </c>
      <c r="B190" s="30" t="s">
        <v>1474</v>
      </c>
      <c r="C190" s="31" t="s">
        <v>884</v>
      </c>
      <c r="D190" s="30" t="s">
        <v>889</v>
      </c>
      <c r="E190" s="45" t="s">
        <v>954</v>
      </c>
      <c r="F190" s="45" t="s">
        <v>958</v>
      </c>
      <c r="G190" s="79" t="s">
        <v>1</v>
      </c>
      <c r="H190" s="79" t="s">
        <v>1</v>
      </c>
      <c r="I190" s="79" t="s">
        <v>1</v>
      </c>
      <c r="J190" s="79" t="s">
        <v>1</v>
      </c>
      <c r="K190" s="79" t="s">
        <v>1</v>
      </c>
      <c r="L190" s="80" t="str">
        <f t="shared" ref="L190:L191" si="170">_xlfn.CONCAT(C190)</f>
        <v>Infraestruturas</v>
      </c>
      <c r="M190" s="28" t="str">
        <f t="shared" ref="M190:M191" si="171">CONCATENATE("", D190)</f>
        <v>Rodoviárias</v>
      </c>
      <c r="N190" s="28" t="str">
        <f t="shared" ref="N190:N191" si="172">(SUBSTITUTE(SUBSTITUTE(CONCATENATE("",E190),"."," ")," De "," de "))</f>
        <v>Estações Rodoviárias</v>
      </c>
      <c r="O190" s="29" t="str">
        <f t="shared" ref="O190:O191" si="173">F190</f>
        <v>Central.Rodoviário</v>
      </c>
      <c r="P190" s="44" t="s">
        <v>959</v>
      </c>
      <c r="Q190" s="80" t="s">
        <v>963</v>
      </c>
      <c r="R190" s="29" t="s">
        <v>1</v>
      </c>
      <c r="S190" s="29" t="str">
        <f t="shared" ref="S190:S191" si="174">SUBSTITUTE(C190, ".", " ")</f>
        <v>Infraestruturas</v>
      </c>
      <c r="T190" s="29" t="str">
        <f t="shared" ref="T190:T191" si="175">SUBSTITUTE(D190, ".", " ")</f>
        <v>Rodoviárias</v>
      </c>
      <c r="U190" s="29" t="str">
        <f t="shared" ref="U190:U191" si="176">SUBSTITUTE(E190, ".", " ")</f>
        <v>Estações Rodoviárias</v>
      </c>
      <c r="V190" s="29" t="s">
        <v>1476</v>
      </c>
      <c r="W190" s="66" t="str">
        <f t="shared" si="129"/>
        <v>Key-BRMG-190</v>
      </c>
      <c r="X190" s="29" t="s">
        <v>1355</v>
      </c>
      <c r="Y190" s="29" t="s">
        <v>1401</v>
      </c>
      <c r="Z190" s="41" t="s">
        <v>1</v>
      </c>
      <c r="AA190" s="29" t="str">
        <f t="shared" si="134"/>
        <v>Intercity bus terminal station.</v>
      </c>
    </row>
    <row r="191" spans="1:27" ht="6.6" customHeight="1" x14ac:dyDescent="0.25">
      <c r="A191" s="73">
        <v>191</v>
      </c>
      <c r="B191" s="30" t="s">
        <v>1474</v>
      </c>
      <c r="C191" s="31" t="s">
        <v>884</v>
      </c>
      <c r="D191" s="30" t="s">
        <v>889</v>
      </c>
      <c r="E191" s="45" t="s">
        <v>954</v>
      </c>
      <c r="F191" s="45" t="s">
        <v>957</v>
      </c>
      <c r="G191" s="79" t="s">
        <v>1</v>
      </c>
      <c r="H191" s="79" t="s">
        <v>1</v>
      </c>
      <c r="I191" s="79" t="s">
        <v>1</v>
      </c>
      <c r="J191" s="79" t="s">
        <v>1</v>
      </c>
      <c r="K191" s="79" t="s">
        <v>1</v>
      </c>
      <c r="L191" s="80" t="str">
        <f t="shared" si="170"/>
        <v>Infraestruturas</v>
      </c>
      <c r="M191" s="28" t="str">
        <f t="shared" si="171"/>
        <v>Rodoviárias</v>
      </c>
      <c r="N191" s="28" t="str">
        <f t="shared" si="172"/>
        <v>Estações Rodoviárias</v>
      </c>
      <c r="O191" s="29" t="str">
        <f t="shared" si="173"/>
        <v>Terminal.Rodoviário</v>
      </c>
      <c r="P191" s="44" t="s">
        <v>959</v>
      </c>
      <c r="Q191" s="80" t="s">
        <v>963</v>
      </c>
      <c r="R191" s="29" t="s">
        <v>1</v>
      </c>
      <c r="S191" s="29" t="str">
        <f t="shared" si="174"/>
        <v>Infraestruturas</v>
      </c>
      <c r="T191" s="29" t="str">
        <f t="shared" si="175"/>
        <v>Rodoviárias</v>
      </c>
      <c r="U191" s="29" t="str">
        <f t="shared" si="176"/>
        <v>Estações Rodoviárias</v>
      </c>
      <c r="V191" s="29" t="s">
        <v>1476</v>
      </c>
      <c r="W191" s="66" t="str">
        <f t="shared" si="129"/>
        <v>Key-BRMG-191</v>
      </c>
      <c r="X191" s="29" t="s">
        <v>1355</v>
      </c>
      <c r="Y191" s="29" t="s">
        <v>1401</v>
      </c>
      <c r="Z191" s="41" t="s">
        <v>1</v>
      </c>
      <c r="AA191" s="29" t="str">
        <f t="shared" si="134"/>
        <v>Intercity bus terminal station.</v>
      </c>
    </row>
    <row r="192" spans="1:27" ht="6.6" customHeight="1" x14ac:dyDescent="0.25">
      <c r="A192" s="73">
        <v>192</v>
      </c>
      <c r="B192" s="30" t="s">
        <v>1474</v>
      </c>
      <c r="C192" s="31" t="s">
        <v>884</v>
      </c>
      <c r="D192" s="30" t="s">
        <v>889</v>
      </c>
      <c r="E192" s="45" t="s">
        <v>954</v>
      </c>
      <c r="F192" s="45" t="s">
        <v>953</v>
      </c>
      <c r="G192" s="79" t="s">
        <v>1</v>
      </c>
      <c r="H192" s="79" t="s">
        <v>1</v>
      </c>
      <c r="I192" s="79" t="s">
        <v>1</v>
      </c>
      <c r="J192" s="79" t="s">
        <v>1</v>
      </c>
      <c r="K192" s="79" t="s">
        <v>1</v>
      </c>
      <c r="L192" s="80" t="str">
        <f t="shared" ref="L192:L194" si="177">_xlfn.CONCAT(C192)</f>
        <v>Infraestruturas</v>
      </c>
      <c r="M192" s="28" t="str">
        <f t="shared" ref="M192:M194" si="178">CONCATENATE("", D192)</f>
        <v>Rodoviárias</v>
      </c>
      <c r="N192" s="28" t="str">
        <f t="shared" ref="N192:N194" si="179">(SUBSTITUTE(SUBSTITUTE(CONCATENATE("",E192),"."," ")," De "," de "))</f>
        <v>Estações Rodoviárias</v>
      </c>
      <c r="O192" s="29" t="str">
        <f t="shared" ref="O192:O194" si="180">F192</f>
        <v>Estação.Rodoviária</v>
      </c>
      <c r="P192" s="44" t="s">
        <v>960</v>
      </c>
      <c r="Q192" s="80" t="s">
        <v>964</v>
      </c>
      <c r="R192" s="29" t="s">
        <v>1</v>
      </c>
      <c r="S192" s="29" t="str">
        <f t="shared" si="149"/>
        <v>Infraestruturas</v>
      </c>
      <c r="T192" s="29" t="str">
        <f t="shared" si="150"/>
        <v>Rodoviárias</v>
      </c>
      <c r="U192" s="29" t="str">
        <f t="shared" si="151"/>
        <v>Estações Rodoviárias</v>
      </c>
      <c r="V192" s="29" t="s">
        <v>1476</v>
      </c>
      <c r="W192" s="66" t="str">
        <f t="shared" si="129"/>
        <v>Key-BRMG-192</v>
      </c>
      <c r="X192" s="29" t="s">
        <v>1355</v>
      </c>
      <c r="Y192" s="29" t="s">
        <v>1401</v>
      </c>
      <c r="Z192" s="41" t="s">
        <v>1</v>
      </c>
      <c r="AA192" s="29" t="str">
        <f t="shared" si="134"/>
        <v>Bus station.</v>
      </c>
    </row>
    <row r="193" spans="1:27" ht="6.6" customHeight="1" x14ac:dyDescent="0.25">
      <c r="A193" s="73">
        <v>193</v>
      </c>
      <c r="B193" s="30" t="s">
        <v>1474</v>
      </c>
      <c r="C193" s="31" t="s">
        <v>884</v>
      </c>
      <c r="D193" s="30" t="s">
        <v>889</v>
      </c>
      <c r="E193" s="45" t="s">
        <v>954</v>
      </c>
      <c r="F193" s="45" t="s">
        <v>956</v>
      </c>
      <c r="G193" s="79" t="s">
        <v>1</v>
      </c>
      <c r="H193" s="79" t="s">
        <v>1</v>
      </c>
      <c r="I193" s="79" t="s">
        <v>1</v>
      </c>
      <c r="J193" s="79" t="s">
        <v>1</v>
      </c>
      <c r="K193" s="79" t="s">
        <v>1</v>
      </c>
      <c r="L193" s="80" t="str">
        <f t="shared" si="177"/>
        <v>Infraestruturas</v>
      </c>
      <c r="M193" s="28" t="str">
        <f t="shared" si="178"/>
        <v>Rodoviárias</v>
      </c>
      <c r="N193" s="28" t="str">
        <f t="shared" si="179"/>
        <v>Estações Rodoviárias</v>
      </c>
      <c r="O193" s="29" t="str">
        <f t="shared" si="180"/>
        <v>Ponto.de.Ônibus</v>
      </c>
      <c r="P193" s="44" t="s">
        <v>961</v>
      </c>
      <c r="Q193" s="80" t="s">
        <v>965</v>
      </c>
      <c r="R193" s="29" t="s">
        <v>1</v>
      </c>
      <c r="S193" s="29" t="str">
        <f t="shared" si="149"/>
        <v>Infraestruturas</v>
      </c>
      <c r="T193" s="29" t="str">
        <f t="shared" si="150"/>
        <v>Rodoviárias</v>
      </c>
      <c r="U193" s="29" t="str">
        <f t="shared" si="151"/>
        <v>Estações Rodoviárias</v>
      </c>
      <c r="V193" s="29" t="s">
        <v>1476</v>
      </c>
      <c r="W193" s="66" t="str">
        <f t="shared" si="129"/>
        <v>Key-BRMG-193</v>
      </c>
      <c r="X193" s="29" t="s">
        <v>1355</v>
      </c>
      <c r="Y193" s="29" t="s">
        <v>1401</v>
      </c>
      <c r="Z193" s="41" t="s">
        <v>1</v>
      </c>
      <c r="AA193" s="29" t="str">
        <f t="shared" si="134"/>
        <v>Urban bus stop.</v>
      </c>
    </row>
    <row r="194" spans="1:27" ht="6.6" customHeight="1" x14ac:dyDescent="0.25">
      <c r="A194" s="73">
        <v>194</v>
      </c>
      <c r="B194" s="30" t="s">
        <v>1474</v>
      </c>
      <c r="C194" s="31" t="s">
        <v>884</v>
      </c>
      <c r="D194" s="30" t="s">
        <v>889</v>
      </c>
      <c r="E194" s="45" t="s">
        <v>954</v>
      </c>
      <c r="F194" s="45" t="s">
        <v>955</v>
      </c>
      <c r="G194" s="79" t="s">
        <v>1</v>
      </c>
      <c r="H194" s="79" t="s">
        <v>1</v>
      </c>
      <c r="I194" s="79" t="s">
        <v>1</v>
      </c>
      <c r="J194" s="79" t="s">
        <v>1</v>
      </c>
      <c r="K194" s="79" t="s">
        <v>1</v>
      </c>
      <c r="L194" s="80" t="str">
        <f t="shared" si="177"/>
        <v>Infraestruturas</v>
      </c>
      <c r="M194" s="28" t="str">
        <f t="shared" si="178"/>
        <v>Rodoviárias</v>
      </c>
      <c r="N194" s="28" t="str">
        <f t="shared" si="179"/>
        <v>Estações Rodoviárias</v>
      </c>
      <c r="O194" s="29" t="str">
        <f t="shared" si="180"/>
        <v>Parada.de.Ônibus</v>
      </c>
      <c r="P194" s="44" t="s">
        <v>962</v>
      </c>
      <c r="Q194" s="80" t="s">
        <v>965</v>
      </c>
      <c r="R194" s="29" t="s">
        <v>1</v>
      </c>
      <c r="S194" s="29" t="str">
        <f t="shared" si="149"/>
        <v>Infraestruturas</v>
      </c>
      <c r="T194" s="29" t="str">
        <f t="shared" si="150"/>
        <v>Rodoviárias</v>
      </c>
      <c r="U194" s="29" t="str">
        <f t="shared" si="151"/>
        <v>Estações Rodoviárias</v>
      </c>
      <c r="V194" s="29" t="s">
        <v>1476</v>
      </c>
      <c r="W194" s="66" t="str">
        <f t="shared" si="129"/>
        <v>Key-BRMG-194</v>
      </c>
      <c r="X194" s="29" t="s">
        <v>1355</v>
      </c>
      <c r="Y194" s="29" t="s">
        <v>1412</v>
      </c>
      <c r="Z194" s="41" t="s">
        <v>1</v>
      </c>
      <c r="AA194" s="29" t="str">
        <f t="shared" si="134"/>
        <v>City bus stop.</v>
      </c>
    </row>
    <row r="195" spans="1:27" ht="6.6" customHeight="1" x14ac:dyDescent="0.25">
      <c r="A195" s="73">
        <v>195</v>
      </c>
      <c r="B195" s="30" t="s">
        <v>1474</v>
      </c>
      <c r="C195" s="31" t="s">
        <v>884</v>
      </c>
      <c r="D195" s="30" t="s">
        <v>889</v>
      </c>
      <c r="E195" s="78" t="s">
        <v>878</v>
      </c>
      <c r="F195" s="45" t="s">
        <v>111</v>
      </c>
      <c r="G195" s="79" t="s">
        <v>1</v>
      </c>
      <c r="H195" s="79" t="s">
        <v>1</v>
      </c>
      <c r="I195" s="79" t="s">
        <v>1</v>
      </c>
      <c r="J195" s="79" t="s">
        <v>1</v>
      </c>
      <c r="K195" s="79" t="s">
        <v>1</v>
      </c>
      <c r="L195" s="80" t="str">
        <f t="shared" ref="L195" si="181">_xlfn.CONCAT(C195)</f>
        <v>Infraestruturas</v>
      </c>
      <c r="M195" s="28" t="str">
        <f t="shared" ref="M195" si="182">CONCATENATE("", D195)</f>
        <v>Rodoviárias</v>
      </c>
      <c r="N195" s="28" t="str">
        <f t="shared" ref="N195" si="183">(SUBSTITUTE(SUBSTITUTE(CONCATENATE("",E195),"."," ")," De "," de "))</f>
        <v>Vias</v>
      </c>
      <c r="O195" s="29" t="str">
        <f t="shared" ref="O195" si="184">F195</f>
        <v>Estrada.Vicinal</v>
      </c>
      <c r="P195" s="44" t="s">
        <v>85</v>
      </c>
      <c r="Q195" s="80" t="s">
        <v>214</v>
      </c>
      <c r="R195" s="29" t="s">
        <v>1</v>
      </c>
      <c r="S195" s="29" t="str">
        <f t="shared" si="81"/>
        <v>Infraestruturas</v>
      </c>
      <c r="T195" s="29" t="str">
        <f t="shared" si="82"/>
        <v>Rodoviárias</v>
      </c>
      <c r="U195" s="29" t="str">
        <f t="shared" si="82"/>
        <v>Vias</v>
      </c>
      <c r="V195" s="29" t="s">
        <v>1476</v>
      </c>
      <c r="W195" s="66" t="str">
        <f t="shared" ref="W195:W258" si="185">CONCATENATE("Key-BRMG-",A195)</f>
        <v>Key-BRMG-195</v>
      </c>
      <c r="X195" s="29" t="s">
        <v>1363</v>
      </c>
      <c r="Y195" s="41" t="s">
        <v>1412</v>
      </c>
      <c r="Z195" s="41" t="s">
        <v>1</v>
      </c>
      <c r="AA195" s="29" t="str">
        <f t="shared" si="134"/>
        <v>Local roads, generally municipal, unpaved with one lane and of modest technical standard.</v>
      </c>
    </row>
    <row r="196" spans="1:27" ht="6.6" customHeight="1" x14ac:dyDescent="0.25">
      <c r="A196" s="73">
        <v>196</v>
      </c>
      <c r="B196" s="30" t="s">
        <v>1474</v>
      </c>
      <c r="C196" s="31" t="s">
        <v>884</v>
      </c>
      <c r="D196" s="30" t="s">
        <v>889</v>
      </c>
      <c r="E196" s="78" t="s">
        <v>878</v>
      </c>
      <c r="F196" s="45" t="s">
        <v>112</v>
      </c>
      <c r="G196" s="79" t="s">
        <v>1</v>
      </c>
      <c r="H196" s="79" t="s">
        <v>1</v>
      </c>
      <c r="I196" s="79" t="s">
        <v>1</v>
      </c>
      <c r="J196" s="79" t="s">
        <v>1</v>
      </c>
      <c r="K196" s="79" t="s">
        <v>1</v>
      </c>
      <c r="L196" s="80" t="str">
        <f t="shared" ref="L196:L211" si="186">_xlfn.CONCAT(C196)</f>
        <v>Infraestruturas</v>
      </c>
      <c r="M196" s="28" t="str">
        <f t="shared" ref="M196:M211" si="187">CONCATENATE("", D196)</f>
        <v>Rodoviárias</v>
      </c>
      <c r="N196" s="28" t="str">
        <f t="shared" ref="N196:N211" si="188">(SUBSTITUTE(SUBSTITUTE(CONCATENATE("",E196),"."," ")," De "," de "))</f>
        <v>Vias</v>
      </c>
      <c r="O196" s="29" t="str">
        <f t="shared" ref="O196:O211" si="189">F196</f>
        <v>Rodovia.Vicinal</v>
      </c>
      <c r="P196" s="44" t="s">
        <v>86</v>
      </c>
      <c r="Q196" s="80" t="s">
        <v>215</v>
      </c>
      <c r="R196" s="29" t="s">
        <v>1</v>
      </c>
      <c r="S196" s="29" t="str">
        <f t="shared" si="81"/>
        <v>Infraestruturas</v>
      </c>
      <c r="T196" s="29" t="str">
        <f t="shared" si="82"/>
        <v>Rodoviárias</v>
      </c>
      <c r="U196" s="29" t="str">
        <f t="shared" si="82"/>
        <v>Vias</v>
      </c>
      <c r="V196" s="29" t="s">
        <v>1476</v>
      </c>
      <c r="W196" s="66" t="str">
        <f t="shared" si="185"/>
        <v>Key-BRMG-196</v>
      </c>
      <c r="X196" s="29" t="s">
        <v>1363</v>
      </c>
      <c r="Y196" s="41" t="s">
        <v>1412</v>
      </c>
      <c r="Z196" s="41" t="s">
        <v>1</v>
      </c>
      <c r="AA196" s="29" t="str">
        <f t="shared" si="134"/>
        <v>Local roads, generally municipal, paved with one lane and of modest technical standard.</v>
      </c>
    </row>
    <row r="197" spans="1:27" ht="6.6" customHeight="1" x14ac:dyDescent="0.25">
      <c r="A197" s="73">
        <v>197</v>
      </c>
      <c r="B197" s="30" t="s">
        <v>1474</v>
      </c>
      <c r="C197" s="31" t="s">
        <v>884</v>
      </c>
      <c r="D197" s="30" t="s">
        <v>889</v>
      </c>
      <c r="E197" s="78" t="s">
        <v>878</v>
      </c>
      <c r="F197" s="45" t="s">
        <v>119</v>
      </c>
      <c r="G197" s="79" t="s">
        <v>1</v>
      </c>
      <c r="H197" s="79" t="s">
        <v>1</v>
      </c>
      <c r="I197" s="79" t="s">
        <v>1</v>
      </c>
      <c r="J197" s="79" t="s">
        <v>1</v>
      </c>
      <c r="K197" s="79" t="s">
        <v>1</v>
      </c>
      <c r="L197" s="80" t="str">
        <f t="shared" si="186"/>
        <v>Infraestruturas</v>
      </c>
      <c r="M197" s="28" t="str">
        <f t="shared" si="187"/>
        <v>Rodoviárias</v>
      </c>
      <c r="N197" s="28" t="str">
        <f t="shared" si="188"/>
        <v>Vias</v>
      </c>
      <c r="O197" s="29" t="str">
        <f t="shared" si="189"/>
        <v>Viela.Urbana</v>
      </c>
      <c r="P197" s="44" t="s">
        <v>124</v>
      </c>
      <c r="Q197" s="80" t="s">
        <v>216</v>
      </c>
      <c r="R197" s="29" t="s">
        <v>1</v>
      </c>
      <c r="S197" s="29" t="str">
        <f t="shared" si="81"/>
        <v>Infraestruturas</v>
      </c>
      <c r="T197" s="29" t="str">
        <f t="shared" si="82"/>
        <v>Rodoviárias</v>
      </c>
      <c r="U197" s="29" t="str">
        <f t="shared" si="82"/>
        <v>Vias</v>
      </c>
      <c r="V197" s="29" t="s">
        <v>1476</v>
      </c>
      <c r="W197" s="66" t="str">
        <f t="shared" si="185"/>
        <v>Key-BRMG-197</v>
      </c>
      <c r="X197" s="29" t="s">
        <v>1363</v>
      </c>
      <c r="Y197" s="41" t="s">
        <v>1412</v>
      </c>
      <c r="Z197" s="41" t="s">
        <v>1</v>
      </c>
      <c r="AA197" s="29" t="str">
        <f t="shared" si="134"/>
        <v>Paved urban roads of one lane with a width of 6 to 9 meters.</v>
      </c>
    </row>
    <row r="198" spans="1:27" ht="6.6" customHeight="1" x14ac:dyDescent="0.25">
      <c r="A198" s="73">
        <v>198</v>
      </c>
      <c r="B198" s="30" t="s">
        <v>1474</v>
      </c>
      <c r="C198" s="31" t="s">
        <v>884</v>
      </c>
      <c r="D198" s="30" t="s">
        <v>889</v>
      </c>
      <c r="E198" s="78" t="s">
        <v>878</v>
      </c>
      <c r="F198" s="45" t="s">
        <v>121</v>
      </c>
      <c r="G198" s="79" t="s">
        <v>1</v>
      </c>
      <c r="H198" s="79" t="s">
        <v>1</v>
      </c>
      <c r="I198" s="79" t="s">
        <v>1</v>
      </c>
      <c r="J198" s="79" t="s">
        <v>1</v>
      </c>
      <c r="K198" s="79" t="s">
        <v>1</v>
      </c>
      <c r="L198" s="80" t="str">
        <f t="shared" ref="L198" si="190">_xlfn.CONCAT(C198)</f>
        <v>Infraestruturas</v>
      </c>
      <c r="M198" s="28" t="str">
        <f t="shared" ref="M198" si="191">CONCATENATE("", D198)</f>
        <v>Rodoviárias</v>
      </c>
      <c r="N198" s="28" t="str">
        <f t="shared" ref="N198" si="192">(SUBSTITUTE(SUBSTITUTE(CONCATENATE("",E198),"."," ")," De "," de "))</f>
        <v>Vias</v>
      </c>
      <c r="O198" s="29" t="str">
        <f t="shared" ref="O198" si="193">F198</f>
        <v>Rua.Local.Urbana</v>
      </c>
      <c r="P198" s="44" t="s">
        <v>128</v>
      </c>
      <c r="Q198" s="80" t="s">
        <v>217</v>
      </c>
      <c r="R198" s="29" t="s">
        <v>1</v>
      </c>
      <c r="S198" s="29" t="str">
        <f t="shared" si="81"/>
        <v>Infraestruturas</v>
      </c>
      <c r="T198" s="29" t="str">
        <f t="shared" si="82"/>
        <v>Rodoviárias</v>
      </c>
      <c r="U198" s="29" t="str">
        <f t="shared" si="82"/>
        <v>Vias</v>
      </c>
      <c r="V198" s="29" t="s">
        <v>1476</v>
      </c>
      <c r="W198" s="66" t="str">
        <f t="shared" si="185"/>
        <v>Key-BRMG-198</v>
      </c>
      <c r="X198" s="29" t="s">
        <v>1363</v>
      </c>
      <c r="Y198" s="41" t="s">
        <v>1412</v>
      </c>
      <c r="Z198" s="41" t="s">
        <v>1</v>
      </c>
      <c r="AA198" s="29" t="str">
        <f t="shared" si="134"/>
        <v>Paved urban roads of one lane with a width of 9 to 12 meters.</v>
      </c>
    </row>
    <row r="199" spans="1:27" ht="6.6" customHeight="1" x14ac:dyDescent="0.25">
      <c r="A199" s="73">
        <v>199</v>
      </c>
      <c r="B199" s="30" t="s">
        <v>1474</v>
      </c>
      <c r="C199" s="31" t="s">
        <v>884</v>
      </c>
      <c r="D199" s="30" t="s">
        <v>889</v>
      </c>
      <c r="E199" s="78" t="s">
        <v>878</v>
      </c>
      <c r="F199" s="45" t="s">
        <v>120</v>
      </c>
      <c r="G199" s="79" t="s">
        <v>1</v>
      </c>
      <c r="H199" s="79" t="s">
        <v>1</v>
      </c>
      <c r="I199" s="79" t="s">
        <v>1</v>
      </c>
      <c r="J199" s="79" t="s">
        <v>1</v>
      </c>
      <c r="K199" s="79" t="s">
        <v>1</v>
      </c>
      <c r="L199" s="80" t="str">
        <f t="shared" ref="L199" si="194">_xlfn.CONCAT(C199)</f>
        <v>Infraestruturas</v>
      </c>
      <c r="M199" s="28" t="str">
        <f t="shared" ref="M199" si="195">CONCATENATE("", D199)</f>
        <v>Rodoviárias</v>
      </c>
      <c r="N199" s="28" t="str">
        <f t="shared" ref="N199" si="196">(SUBSTITUTE(SUBSTITUTE(CONCATENATE("",E199),"."," ")," De "," de "))</f>
        <v>Vias</v>
      </c>
      <c r="O199" s="29" t="str">
        <f t="shared" ref="O199" si="197">F199</f>
        <v>Rua.Coletora.Urbana</v>
      </c>
      <c r="P199" s="44" t="s">
        <v>125</v>
      </c>
      <c r="Q199" s="80" t="s">
        <v>218</v>
      </c>
      <c r="R199" s="29" t="s">
        <v>1</v>
      </c>
      <c r="S199" s="29" t="str">
        <f t="shared" si="81"/>
        <v>Infraestruturas</v>
      </c>
      <c r="T199" s="29" t="str">
        <f t="shared" si="82"/>
        <v>Rodoviárias</v>
      </c>
      <c r="U199" s="29" t="str">
        <f t="shared" si="82"/>
        <v>Vias</v>
      </c>
      <c r="V199" s="29" t="s">
        <v>1476</v>
      </c>
      <c r="W199" s="66" t="str">
        <f t="shared" si="185"/>
        <v>Key-BRMG-199</v>
      </c>
      <c r="X199" s="29" t="s">
        <v>1363</v>
      </c>
      <c r="Y199" s="41" t="s">
        <v>1412</v>
      </c>
      <c r="Z199" s="41" t="s">
        <v>1</v>
      </c>
      <c r="AA199" s="29" t="str">
        <f t="shared" si="134"/>
        <v>Paved urban roads of one or two lanes with widths of 12 to 18 meters.</v>
      </c>
    </row>
    <row r="200" spans="1:27" ht="6.6" customHeight="1" x14ac:dyDescent="0.25">
      <c r="A200" s="73">
        <v>200</v>
      </c>
      <c r="B200" s="30" t="s">
        <v>1474</v>
      </c>
      <c r="C200" s="31" t="s">
        <v>884</v>
      </c>
      <c r="D200" s="30" t="s">
        <v>889</v>
      </c>
      <c r="E200" s="78" t="s">
        <v>878</v>
      </c>
      <c r="F200" s="45" t="s">
        <v>123</v>
      </c>
      <c r="G200" s="79" t="s">
        <v>1</v>
      </c>
      <c r="H200" s="79" t="s">
        <v>1</v>
      </c>
      <c r="I200" s="79" t="s">
        <v>1</v>
      </c>
      <c r="J200" s="79" t="s">
        <v>1</v>
      </c>
      <c r="K200" s="79" t="s">
        <v>1</v>
      </c>
      <c r="L200" s="80" t="str">
        <f t="shared" si="186"/>
        <v>Infraestruturas</v>
      </c>
      <c r="M200" s="28" t="str">
        <f t="shared" si="187"/>
        <v>Rodoviárias</v>
      </c>
      <c r="N200" s="28" t="str">
        <f t="shared" si="188"/>
        <v>Vias</v>
      </c>
      <c r="O200" s="29" t="str">
        <f t="shared" si="189"/>
        <v>Avenida.Arterial</v>
      </c>
      <c r="P200" s="44" t="s">
        <v>126</v>
      </c>
      <c r="Q200" s="80" t="s">
        <v>219</v>
      </c>
      <c r="R200" s="29" t="s">
        <v>1</v>
      </c>
      <c r="S200" s="29" t="str">
        <f t="shared" si="81"/>
        <v>Infraestruturas</v>
      </c>
      <c r="T200" s="29" t="str">
        <f t="shared" si="82"/>
        <v>Rodoviárias</v>
      </c>
      <c r="U200" s="29" t="str">
        <f t="shared" si="82"/>
        <v>Vias</v>
      </c>
      <c r="V200" s="29" t="s">
        <v>1476</v>
      </c>
      <c r="W200" s="66" t="str">
        <f t="shared" si="185"/>
        <v>Key-BRMG-200</v>
      </c>
      <c r="X200" s="29" t="s">
        <v>1363</v>
      </c>
      <c r="Y200" s="41" t="s">
        <v>1412</v>
      </c>
      <c r="Z200" s="41" t="s">
        <v>1</v>
      </c>
      <c r="AA200" s="29" t="str">
        <f t="shared" si="134"/>
        <v>Paved urban roads with a large flow of vehicles and public transport with a width of 20 to 30 meters.</v>
      </c>
    </row>
    <row r="201" spans="1:27" ht="6.6" customHeight="1" x14ac:dyDescent="0.25">
      <c r="A201" s="73">
        <v>201</v>
      </c>
      <c r="B201" s="30" t="s">
        <v>1474</v>
      </c>
      <c r="C201" s="31" t="s">
        <v>884</v>
      </c>
      <c r="D201" s="30" t="s">
        <v>889</v>
      </c>
      <c r="E201" s="78" t="s">
        <v>878</v>
      </c>
      <c r="F201" s="45" t="s">
        <v>122</v>
      </c>
      <c r="G201" s="79" t="s">
        <v>1</v>
      </c>
      <c r="H201" s="79" t="s">
        <v>1</v>
      </c>
      <c r="I201" s="79" t="s">
        <v>1</v>
      </c>
      <c r="J201" s="79" t="s">
        <v>1</v>
      </c>
      <c r="K201" s="79" t="s">
        <v>1</v>
      </c>
      <c r="L201" s="80" t="str">
        <f t="shared" si="186"/>
        <v>Infraestruturas</v>
      </c>
      <c r="M201" s="28" t="str">
        <f t="shared" si="187"/>
        <v>Rodoviárias</v>
      </c>
      <c r="N201" s="28" t="str">
        <f t="shared" si="188"/>
        <v>Vias</v>
      </c>
      <c r="O201" s="29" t="str">
        <f t="shared" si="189"/>
        <v>Avenida.Expressa</v>
      </c>
      <c r="P201" s="44" t="s">
        <v>127</v>
      </c>
      <c r="Q201" s="80" t="s">
        <v>220</v>
      </c>
      <c r="R201" s="29" t="s">
        <v>1</v>
      </c>
      <c r="S201" s="29" t="str">
        <f t="shared" ref="S201" si="198">SUBSTITUTE(C201, ".", " ")</f>
        <v>Infraestruturas</v>
      </c>
      <c r="T201" s="29" t="str">
        <f t="shared" ref="T201" si="199">SUBSTITUTE(D201, ".", " ")</f>
        <v>Rodoviárias</v>
      </c>
      <c r="U201" s="29" t="str">
        <f t="shared" si="82"/>
        <v>Vias</v>
      </c>
      <c r="V201" s="29" t="s">
        <v>1476</v>
      </c>
      <c r="W201" s="66" t="str">
        <f t="shared" si="185"/>
        <v>Key-BRMG-201</v>
      </c>
      <c r="X201" s="29" t="s">
        <v>1363</v>
      </c>
      <c r="Y201" s="41" t="s">
        <v>1412</v>
      </c>
      <c r="Z201" s="41" t="s">
        <v>1</v>
      </c>
      <c r="AA201" s="29" t="str">
        <f t="shared" ref="AA201:AA264" si="200">_xlfn.TRANSLATE(P201,"pt","en")</f>
        <v>High-speed urban roads with separation of lanes from 30 to 60 meters.</v>
      </c>
    </row>
    <row r="202" spans="1:27" ht="6.6" customHeight="1" x14ac:dyDescent="0.25">
      <c r="A202" s="73">
        <v>202</v>
      </c>
      <c r="B202" s="30" t="s">
        <v>1474</v>
      </c>
      <c r="C202" s="31" t="s">
        <v>884</v>
      </c>
      <c r="D202" s="30" t="s">
        <v>889</v>
      </c>
      <c r="E202" s="78" t="s">
        <v>878</v>
      </c>
      <c r="F202" s="45" t="s">
        <v>781</v>
      </c>
      <c r="G202" s="79" t="s">
        <v>1</v>
      </c>
      <c r="H202" s="79" t="s">
        <v>1</v>
      </c>
      <c r="I202" s="79" t="s">
        <v>1</v>
      </c>
      <c r="J202" s="79" t="s">
        <v>1</v>
      </c>
      <c r="K202" s="79" t="s">
        <v>1</v>
      </c>
      <c r="L202" s="80" t="str">
        <f t="shared" ref="L202" si="201">_xlfn.CONCAT(C202)</f>
        <v>Infraestruturas</v>
      </c>
      <c r="M202" s="28" t="str">
        <f t="shared" ref="M202" si="202">CONCATENATE("", D202)</f>
        <v>Rodoviárias</v>
      </c>
      <c r="N202" s="28" t="str">
        <f t="shared" ref="N202" si="203">(SUBSTITUTE(SUBSTITUTE(CONCATENATE("",E202),"."," ")," De "," de "))</f>
        <v>Vias</v>
      </c>
      <c r="O202" s="29" t="str">
        <f t="shared" ref="O202" si="204">F202</f>
        <v>Corredor.BRT</v>
      </c>
      <c r="P202" s="44" t="s">
        <v>782</v>
      </c>
      <c r="Q202" s="44" t="s">
        <v>783</v>
      </c>
      <c r="R202" s="29" t="s">
        <v>1</v>
      </c>
      <c r="S202" s="29" t="str">
        <f t="shared" si="81"/>
        <v>Infraestruturas</v>
      </c>
      <c r="T202" s="29" t="str">
        <f t="shared" si="82"/>
        <v>Rodoviárias</v>
      </c>
      <c r="U202" s="29" t="str">
        <f t="shared" si="82"/>
        <v>Vias</v>
      </c>
      <c r="V202" s="29" t="s">
        <v>1476</v>
      </c>
      <c r="W202" s="66" t="str">
        <f t="shared" si="185"/>
        <v>Key-BRMG-202</v>
      </c>
      <c r="X202" s="29" t="s">
        <v>1363</v>
      </c>
      <c r="Y202" s="41" t="s">
        <v>1412</v>
      </c>
      <c r="Z202" s="41" t="s">
        <v>1</v>
      </c>
      <c r="AA202" s="29" t="str">
        <f t="shared" si="200"/>
        <v>Exclusive urban road for BRT operation.</v>
      </c>
    </row>
    <row r="203" spans="1:27" ht="6.6" customHeight="1" x14ac:dyDescent="0.25">
      <c r="A203" s="73">
        <v>203</v>
      </c>
      <c r="B203" s="30" t="s">
        <v>1474</v>
      </c>
      <c r="C203" s="31" t="s">
        <v>884</v>
      </c>
      <c r="D203" s="30" t="s">
        <v>889</v>
      </c>
      <c r="E203" s="78" t="s">
        <v>879</v>
      </c>
      <c r="F203" s="45" t="s">
        <v>102</v>
      </c>
      <c r="G203" s="79" t="s">
        <v>1</v>
      </c>
      <c r="H203" s="79" t="s">
        <v>1</v>
      </c>
      <c r="I203" s="79" t="s">
        <v>1</v>
      </c>
      <c r="J203" s="79" t="s">
        <v>1</v>
      </c>
      <c r="K203" s="79" t="s">
        <v>1</v>
      </c>
      <c r="L203" s="80" t="str">
        <f t="shared" ref="L203:L205" si="205">_xlfn.CONCAT(C203)</f>
        <v>Infraestruturas</v>
      </c>
      <c r="M203" s="28" t="str">
        <f t="shared" ref="M203:M205" si="206">CONCATENATE("", D203)</f>
        <v>Rodoviárias</v>
      </c>
      <c r="N203" s="28" t="str">
        <f t="shared" ref="N203:N205" si="207">(SUBSTITUTE(SUBSTITUTE(CONCATENATE("",E203),"."," ")," De "," de "))</f>
        <v>Faixas</v>
      </c>
      <c r="O203" s="29" t="str">
        <f t="shared" ref="O203:O205" si="208">F203</f>
        <v>Faixa.de.Rolamento</v>
      </c>
      <c r="P203" s="44" t="s">
        <v>87</v>
      </c>
      <c r="Q203" s="80" t="s">
        <v>221</v>
      </c>
      <c r="R203" s="29" t="s">
        <v>1</v>
      </c>
      <c r="S203" s="29" t="str">
        <f t="shared" si="81"/>
        <v>Infraestruturas</v>
      </c>
      <c r="T203" s="29" t="str">
        <f t="shared" si="82"/>
        <v>Rodoviárias</v>
      </c>
      <c r="U203" s="29" t="str">
        <f t="shared" si="82"/>
        <v>Faixas</v>
      </c>
      <c r="V203" s="29" t="s">
        <v>1476</v>
      </c>
      <c r="W203" s="66" t="str">
        <f t="shared" si="185"/>
        <v>Key-BRMG-203</v>
      </c>
      <c r="X203" s="29" t="s">
        <v>1363</v>
      </c>
      <c r="Y203" s="41" t="s">
        <v>1412</v>
      </c>
      <c r="Z203" s="41" t="s">
        <v>1</v>
      </c>
      <c r="AA203" s="29" t="str">
        <f t="shared" si="200"/>
        <v>Lane used by vehicles.</v>
      </c>
    </row>
    <row r="204" spans="1:27" ht="6.6" customHeight="1" x14ac:dyDescent="0.25">
      <c r="A204" s="73">
        <v>204</v>
      </c>
      <c r="B204" s="30" t="s">
        <v>1474</v>
      </c>
      <c r="C204" s="31" t="s">
        <v>884</v>
      </c>
      <c r="D204" s="30" t="s">
        <v>889</v>
      </c>
      <c r="E204" s="78" t="s">
        <v>879</v>
      </c>
      <c r="F204" s="45" t="s">
        <v>113</v>
      </c>
      <c r="G204" s="79" t="s">
        <v>1</v>
      </c>
      <c r="H204" s="79" t="s">
        <v>1</v>
      </c>
      <c r="I204" s="79" t="s">
        <v>1</v>
      </c>
      <c r="J204" s="79" t="s">
        <v>1</v>
      </c>
      <c r="K204" s="79" t="s">
        <v>1</v>
      </c>
      <c r="L204" s="80" t="str">
        <f t="shared" si="205"/>
        <v>Infraestruturas</v>
      </c>
      <c r="M204" s="28" t="str">
        <f t="shared" si="206"/>
        <v>Rodoviárias</v>
      </c>
      <c r="N204" s="28" t="str">
        <f t="shared" si="207"/>
        <v>Faixas</v>
      </c>
      <c r="O204" s="29" t="str">
        <f t="shared" si="208"/>
        <v>Calçada</v>
      </c>
      <c r="P204" s="44" t="s">
        <v>114</v>
      </c>
      <c r="Q204" s="80" t="s">
        <v>223</v>
      </c>
      <c r="R204" s="29" t="s">
        <v>1</v>
      </c>
      <c r="S204" s="29" t="str">
        <f t="shared" si="81"/>
        <v>Infraestruturas</v>
      </c>
      <c r="T204" s="29" t="str">
        <f t="shared" si="82"/>
        <v>Rodoviárias</v>
      </c>
      <c r="U204" s="29" t="str">
        <f t="shared" si="82"/>
        <v>Faixas</v>
      </c>
      <c r="V204" s="29" t="s">
        <v>1476</v>
      </c>
      <c r="W204" s="66" t="str">
        <f t="shared" si="185"/>
        <v>Key-BRMG-204</v>
      </c>
      <c r="X204" s="29" t="s">
        <v>1363</v>
      </c>
      <c r="Y204" s="41" t="s">
        <v>1412</v>
      </c>
      <c r="Z204" s="41" t="s">
        <v>1</v>
      </c>
      <c r="AA204" s="29" t="str">
        <f t="shared" si="200"/>
        <v>Part of the public road intended for pedestrian traffic positioned next to the lanes. For the project, the Carioca Sidewalks Notebook and the NBR 9050 Standard, which deals with accessibility in urban spaces, can be consulted.</v>
      </c>
    </row>
    <row r="205" spans="1:27" ht="6.6" customHeight="1" x14ac:dyDescent="0.25">
      <c r="A205" s="73">
        <v>205</v>
      </c>
      <c r="B205" s="30" t="s">
        <v>1474</v>
      </c>
      <c r="C205" s="31" t="s">
        <v>884</v>
      </c>
      <c r="D205" s="30" t="s">
        <v>889</v>
      </c>
      <c r="E205" s="78" t="s">
        <v>879</v>
      </c>
      <c r="F205" s="45" t="s">
        <v>117</v>
      </c>
      <c r="G205" s="79" t="s">
        <v>1</v>
      </c>
      <c r="H205" s="79" t="s">
        <v>1</v>
      </c>
      <c r="I205" s="79" t="s">
        <v>1</v>
      </c>
      <c r="J205" s="79" t="s">
        <v>1</v>
      </c>
      <c r="K205" s="79" t="s">
        <v>1</v>
      </c>
      <c r="L205" s="80" t="str">
        <f t="shared" si="205"/>
        <v>Infraestruturas</v>
      </c>
      <c r="M205" s="28" t="str">
        <f t="shared" si="206"/>
        <v>Rodoviárias</v>
      </c>
      <c r="N205" s="28" t="str">
        <f t="shared" si="207"/>
        <v>Faixas</v>
      </c>
      <c r="O205" s="29" t="str">
        <f t="shared" si="208"/>
        <v>Ciclofaixa</v>
      </c>
      <c r="P205" s="44" t="s">
        <v>118</v>
      </c>
      <c r="Q205" s="80" t="s">
        <v>224</v>
      </c>
      <c r="R205" s="29" t="s">
        <v>1</v>
      </c>
      <c r="S205" s="29" t="str">
        <f t="shared" si="81"/>
        <v>Infraestruturas</v>
      </c>
      <c r="T205" s="29" t="str">
        <f t="shared" si="82"/>
        <v>Rodoviárias</v>
      </c>
      <c r="U205" s="29" t="str">
        <f t="shared" si="82"/>
        <v>Faixas</v>
      </c>
      <c r="V205" s="29" t="s">
        <v>1476</v>
      </c>
      <c r="W205" s="66" t="str">
        <f t="shared" si="185"/>
        <v>Key-BRMG-205</v>
      </c>
      <c r="X205" s="29" t="s">
        <v>1363</v>
      </c>
      <c r="Y205" s="41" t="s">
        <v>1412</v>
      </c>
      <c r="Z205" s="41" t="s">
        <v>1</v>
      </c>
      <c r="AA205" s="29" t="str">
        <f t="shared" si="200"/>
        <v>Lane for cyclists integrated into the lane and delimited by a lane painted on the asphalt. It is less safe than the cyclovia.</v>
      </c>
    </row>
    <row r="206" spans="1:27" ht="6.6" customHeight="1" x14ac:dyDescent="0.25">
      <c r="A206" s="73">
        <v>206</v>
      </c>
      <c r="B206" s="30" t="s">
        <v>1474</v>
      </c>
      <c r="C206" s="31" t="s">
        <v>884</v>
      </c>
      <c r="D206" s="30" t="s">
        <v>889</v>
      </c>
      <c r="E206" s="78" t="s">
        <v>879</v>
      </c>
      <c r="F206" s="45" t="s">
        <v>115</v>
      </c>
      <c r="G206" s="79" t="s">
        <v>1</v>
      </c>
      <c r="H206" s="79" t="s">
        <v>1</v>
      </c>
      <c r="I206" s="79" t="s">
        <v>1</v>
      </c>
      <c r="J206" s="79" t="s">
        <v>1</v>
      </c>
      <c r="K206" s="79" t="s">
        <v>1</v>
      </c>
      <c r="L206" s="80" t="str">
        <f t="shared" si="186"/>
        <v>Infraestruturas</v>
      </c>
      <c r="M206" s="28" t="str">
        <f t="shared" si="187"/>
        <v>Rodoviárias</v>
      </c>
      <c r="N206" s="28" t="str">
        <f t="shared" si="188"/>
        <v>Faixas</v>
      </c>
      <c r="O206" s="29" t="str">
        <f t="shared" si="189"/>
        <v>Ciclovia</v>
      </c>
      <c r="P206" s="44" t="s">
        <v>116</v>
      </c>
      <c r="Q206" s="80" t="s">
        <v>225</v>
      </c>
      <c r="R206" s="29" t="s">
        <v>1</v>
      </c>
      <c r="S206" s="29" t="str">
        <f t="shared" si="81"/>
        <v>Infraestruturas</v>
      </c>
      <c r="T206" s="29" t="str">
        <f t="shared" si="82"/>
        <v>Rodoviárias</v>
      </c>
      <c r="U206" s="29" t="str">
        <f t="shared" si="82"/>
        <v>Faixas</v>
      </c>
      <c r="V206" s="29" t="s">
        <v>1476</v>
      </c>
      <c r="W206" s="66" t="str">
        <f t="shared" si="185"/>
        <v>Key-BRMG-206</v>
      </c>
      <c r="X206" s="29" t="s">
        <v>1363</v>
      </c>
      <c r="Y206" s="41" t="s">
        <v>1398</v>
      </c>
      <c r="Z206" s="41" t="s">
        <v>1</v>
      </c>
      <c r="AA206" s="29" t="str">
        <f t="shared" si="200"/>
        <v>Exclusive lane for bicycle circulation, physically separated from the motor vehicle lanes.</v>
      </c>
    </row>
    <row r="207" spans="1:27" ht="6.6" customHeight="1" x14ac:dyDescent="0.25">
      <c r="A207" s="73">
        <v>207</v>
      </c>
      <c r="B207" s="30" t="s">
        <v>1474</v>
      </c>
      <c r="C207" s="31" t="s">
        <v>884</v>
      </c>
      <c r="D207" s="30" t="s">
        <v>889</v>
      </c>
      <c r="E207" s="78" t="s">
        <v>879</v>
      </c>
      <c r="F207" s="45" t="s">
        <v>104</v>
      </c>
      <c r="G207" s="79" t="s">
        <v>1</v>
      </c>
      <c r="H207" s="79" t="s">
        <v>1</v>
      </c>
      <c r="I207" s="79" t="s">
        <v>1</v>
      </c>
      <c r="J207" s="79" t="s">
        <v>1</v>
      </c>
      <c r="K207" s="79" t="s">
        <v>1</v>
      </c>
      <c r="L207" s="80" t="str">
        <f t="shared" si="186"/>
        <v>Infraestruturas</v>
      </c>
      <c r="M207" s="28" t="str">
        <f t="shared" si="187"/>
        <v>Rodoviárias</v>
      </c>
      <c r="N207" s="28" t="str">
        <f t="shared" si="188"/>
        <v>Faixas</v>
      </c>
      <c r="O207" s="29" t="str">
        <f t="shared" si="189"/>
        <v>Meio.Fio</v>
      </c>
      <c r="P207" s="44" t="s">
        <v>105</v>
      </c>
      <c r="Q207" s="80" t="s">
        <v>222</v>
      </c>
      <c r="R207" s="29" t="s">
        <v>1</v>
      </c>
      <c r="S207" s="29" t="str">
        <f t="shared" ref="S207" si="209">SUBSTITUTE(C207, ".", " ")</f>
        <v>Infraestruturas</v>
      </c>
      <c r="T207" s="29" t="str">
        <f t="shared" ref="T207" si="210">SUBSTITUTE(D207, ".", " ")</f>
        <v>Rodoviárias</v>
      </c>
      <c r="U207" s="29" t="str">
        <f t="shared" ref="U207" si="211">SUBSTITUTE(E207, ".", " ")</f>
        <v>Faixas</v>
      </c>
      <c r="V207" s="29" t="s">
        <v>1476</v>
      </c>
      <c r="W207" s="66" t="str">
        <f t="shared" si="185"/>
        <v>Key-BRMG-207</v>
      </c>
      <c r="X207" s="29" t="s">
        <v>1363</v>
      </c>
      <c r="Y207" s="41" t="s">
        <v>1413</v>
      </c>
      <c r="Z207" s="41" t="s">
        <v>1</v>
      </c>
      <c r="AA207" s="29" t="str">
        <f t="shared" si="200"/>
        <v>Element that separates the road from the pedestrian sidewalk vehicles with a height of less than 35 cm.</v>
      </c>
    </row>
    <row r="208" spans="1:27" ht="6.6" customHeight="1" x14ac:dyDescent="0.25">
      <c r="A208" s="73">
        <v>208</v>
      </c>
      <c r="B208" s="30" t="s">
        <v>1474</v>
      </c>
      <c r="C208" s="31" t="s">
        <v>884</v>
      </c>
      <c r="D208" s="30" t="s">
        <v>889</v>
      </c>
      <c r="E208" s="78" t="s">
        <v>880</v>
      </c>
      <c r="F208" s="45" t="s">
        <v>255</v>
      </c>
      <c r="G208" s="79" t="s">
        <v>1</v>
      </c>
      <c r="H208" s="79" t="s">
        <v>1</v>
      </c>
      <c r="I208" s="79" t="s">
        <v>1</v>
      </c>
      <c r="J208" s="79" t="s">
        <v>1</v>
      </c>
      <c r="K208" s="79" t="s">
        <v>1</v>
      </c>
      <c r="L208" s="80" t="str">
        <f t="shared" ref="L208:L210" si="212">_xlfn.CONCAT(C208)</f>
        <v>Infraestruturas</v>
      </c>
      <c r="M208" s="28" t="str">
        <f t="shared" ref="M208:M210" si="213">CONCATENATE("", D208)</f>
        <v>Rodoviárias</v>
      </c>
      <c r="N208" s="28" t="str">
        <f t="shared" ref="N208:N210" si="214">(SUBSTITUTE(SUBSTITUTE(CONCATENATE("",E208),"."," ")," De "," de "))</f>
        <v>Proteções</v>
      </c>
      <c r="O208" s="29" t="str">
        <f t="shared" ref="O208:O210" si="215">F208</f>
        <v>Contenção.Perfil</v>
      </c>
      <c r="P208" s="44" t="s">
        <v>83</v>
      </c>
      <c r="Q208" s="80" t="s">
        <v>226</v>
      </c>
      <c r="R208" s="29" t="s">
        <v>1</v>
      </c>
      <c r="S208" s="29" t="str">
        <f t="shared" si="81"/>
        <v>Infraestruturas</v>
      </c>
      <c r="T208" s="29" t="str">
        <f t="shared" si="82"/>
        <v>Rodoviárias</v>
      </c>
      <c r="U208" s="29" t="str">
        <f t="shared" si="82"/>
        <v>Proteções</v>
      </c>
      <c r="V208" s="29" t="s">
        <v>1476</v>
      </c>
      <c r="W208" s="66" t="str">
        <f t="shared" si="185"/>
        <v>Key-BRMG-208</v>
      </c>
      <c r="X208" s="29" t="s">
        <v>1364</v>
      </c>
      <c r="Y208" s="29" t="s">
        <v>1413</v>
      </c>
      <c r="Z208" s="41" t="s">
        <v>1</v>
      </c>
      <c r="AA208" s="29" t="str">
        <f t="shared" si="200"/>
        <v>ABNT standard profile, embedded in the structure, with the function of lateral protection of the road lane.</v>
      </c>
    </row>
    <row r="209" spans="1:27" ht="6.6" customHeight="1" x14ac:dyDescent="0.25">
      <c r="A209" s="73">
        <v>209</v>
      </c>
      <c r="B209" s="30" t="s">
        <v>1474</v>
      </c>
      <c r="C209" s="31" t="s">
        <v>884</v>
      </c>
      <c r="D209" s="30" t="s">
        <v>889</v>
      </c>
      <c r="E209" s="78" t="s">
        <v>880</v>
      </c>
      <c r="F209" s="45" t="s">
        <v>256</v>
      </c>
      <c r="G209" s="79" t="s">
        <v>1</v>
      </c>
      <c r="H209" s="79" t="s">
        <v>1</v>
      </c>
      <c r="I209" s="79" t="s">
        <v>1</v>
      </c>
      <c r="J209" s="79" t="s">
        <v>1</v>
      </c>
      <c r="K209" s="79" t="s">
        <v>1</v>
      </c>
      <c r="L209" s="80" t="str">
        <f t="shared" si="212"/>
        <v>Infraestruturas</v>
      </c>
      <c r="M209" s="28" t="str">
        <f t="shared" si="213"/>
        <v>Rodoviárias</v>
      </c>
      <c r="N209" s="28" t="str">
        <f t="shared" si="214"/>
        <v>Proteções</v>
      </c>
      <c r="O209" s="29" t="str">
        <f t="shared" si="215"/>
        <v>Contenção.Cortina</v>
      </c>
      <c r="P209" s="44" t="s">
        <v>103</v>
      </c>
      <c r="Q209" s="80" t="s">
        <v>260</v>
      </c>
      <c r="R209" s="29" t="s">
        <v>1</v>
      </c>
      <c r="S209" s="29" t="str">
        <f t="shared" si="81"/>
        <v>Infraestruturas</v>
      </c>
      <c r="T209" s="29" t="str">
        <f t="shared" si="82"/>
        <v>Rodoviárias</v>
      </c>
      <c r="U209" s="29" t="str">
        <f t="shared" si="82"/>
        <v>Proteções</v>
      </c>
      <c r="V209" s="29" t="s">
        <v>1476</v>
      </c>
      <c r="W209" s="66" t="str">
        <f t="shared" si="185"/>
        <v>Key-BRMG-209</v>
      </c>
      <c r="X209" s="29" t="s">
        <v>1364</v>
      </c>
      <c r="Y209" s="29" t="s">
        <v>1413</v>
      </c>
      <c r="Z209" s="41" t="s">
        <v>1</v>
      </c>
      <c r="AA209" s="29" t="str">
        <f t="shared" si="200"/>
        <v>Element with a height of more than 1.5 m, embedded in the superstructure that works to prevent the vehicle from falling from the bridge or viaduct over subway and railway tracks.</v>
      </c>
    </row>
    <row r="210" spans="1:27" ht="6.6" customHeight="1" x14ac:dyDescent="0.25">
      <c r="A210" s="73">
        <v>210</v>
      </c>
      <c r="B210" s="30" t="s">
        <v>1474</v>
      </c>
      <c r="C210" s="31" t="s">
        <v>884</v>
      </c>
      <c r="D210" s="30" t="s">
        <v>889</v>
      </c>
      <c r="E210" s="78" t="s">
        <v>880</v>
      </c>
      <c r="F210" s="45" t="s">
        <v>257</v>
      </c>
      <c r="G210" s="79" t="s">
        <v>1</v>
      </c>
      <c r="H210" s="79" t="s">
        <v>1</v>
      </c>
      <c r="I210" s="79" t="s">
        <v>1</v>
      </c>
      <c r="J210" s="79" t="s">
        <v>1</v>
      </c>
      <c r="K210" s="79" t="s">
        <v>1</v>
      </c>
      <c r="L210" s="80" t="str">
        <f t="shared" si="212"/>
        <v>Infraestruturas</v>
      </c>
      <c r="M210" s="28" t="str">
        <f t="shared" si="213"/>
        <v>Rodoviárias</v>
      </c>
      <c r="N210" s="28" t="str">
        <f t="shared" si="214"/>
        <v>Proteções</v>
      </c>
      <c r="O210" s="29" t="str">
        <f t="shared" si="215"/>
        <v>Contenção.Guardacorpo</v>
      </c>
      <c r="P210" s="44" t="s">
        <v>84</v>
      </c>
      <c r="Q210" s="80" t="s">
        <v>227</v>
      </c>
      <c r="R210" s="29" t="s">
        <v>1</v>
      </c>
      <c r="S210" s="29" t="str">
        <f t="shared" si="81"/>
        <v>Infraestruturas</v>
      </c>
      <c r="T210" s="29" t="str">
        <f t="shared" si="82"/>
        <v>Rodoviárias</v>
      </c>
      <c r="U210" s="29" t="str">
        <f t="shared" si="82"/>
        <v>Proteções</v>
      </c>
      <c r="V210" s="29" t="s">
        <v>1476</v>
      </c>
      <c r="W210" s="66" t="str">
        <f t="shared" si="185"/>
        <v>Key-BRMG-210</v>
      </c>
      <c r="X210" s="29" t="s">
        <v>1364</v>
      </c>
      <c r="Y210" s="29" t="s">
        <v>1413</v>
      </c>
      <c r="Z210" s="41" t="s">
        <v>1</v>
      </c>
      <c r="AA210" s="29" t="str">
        <f t="shared" si="200"/>
        <v>Continuous or hollow element of pedestrian protection on the edge of the sidewalk.</v>
      </c>
    </row>
    <row r="211" spans="1:27" ht="6.6" customHeight="1" x14ac:dyDescent="0.25">
      <c r="A211" s="73">
        <v>211</v>
      </c>
      <c r="B211" s="30" t="s">
        <v>1474</v>
      </c>
      <c r="C211" s="31" t="s">
        <v>884</v>
      </c>
      <c r="D211" s="30" t="s">
        <v>889</v>
      </c>
      <c r="E211" s="78" t="s">
        <v>880</v>
      </c>
      <c r="F211" s="45" t="s">
        <v>258</v>
      </c>
      <c r="G211" s="79" t="s">
        <v>1</v>
      </c>
      <c r="H211" s="79" t="s">
        <v>1</v>
      </c>
      <c r="I211" s="79" t="s">
        <v>1</v>
      </c>
      <c r="J211" s="79" t="s">
        <v>1</v>
      </c>
      <c r="K211" s="79" t="s">
        <v>1</v>
      </c>
      <c r="L211" s="80" t="str">
        <f t="shared" si="186"/>
        <v>Infraestruturas</v>
      </c>
      <c r="M211" s="28" t="str">
        <f t="shared" si="187"/>
        <v>Rodoviárias</v>
      </c>
      <c r="N211" s="28" t="str">
        <f t="shared" si="188"/>
        <v>Proteções</v>
      </c>
      <c r="O211" s="29" t="str">
        <f t="shared" si="189"/>
        <v>Contenção.GuardaRail</v>
      </c>
      <c r="P211" s="44" t="s">
        <v>259</v>
      </c>
      <c r="Q211" s="80" t="s">
        <v>326</v>
      </c>
      <c r="R211" s="29" t="s">
        <v>1</v>
      </c>
      <c r="S211" s="29" t="str">
        <f t="shared" si="81"/>
        <v>Infraestruturas</v>
      </c>
      <c r="T211" s="29" t="str">
        <f t="shared" si="82"/>
        <v>Rodoviárias</v>
      </c>
      <c r="U211" s="29" t="str">
        <f t="shared" si="82"/>
        <v>Proteções</v>
      </c>
      <c r="V211" s="29" t="s">
        <v>1476</v>
      </c>
      <c r="W211" s="66" t="str">
        <f t="shared" si="185"/>
        <v>Key-BRMG-211</v>
      </c>
      <c r="X211" s="29" t="s">
        <v>1364</v>
      </c>
      <c r="Y211" s="29" t="s">
        <v>1414</v>
      </c>
      <c r="Z211" s="41" t="s">
        <v>1</v>
      </c>
      <c r="AA211" s="29" t="str">
        <f t="shared" si="200"/>
        <v>Continuous side protection element at the edge of the high-speed road.</v>
      </c>
    </row>
    <row r="212" spans="1:27" ht="6.6" customHeight="1" x14ac:dyDescent="0.25">
      <c r="A212" s="73">
        <v>212</v>
      </c>
      <c r="B212" s="30" t="s">
        <v>1474</v>
      </c>
      <c r="C212" s="31" t="s">
        <v>884</v>
      </c>
      <c r="D212" s="30" t="s">
        <v>889</v>
      </c>
      <c r="E212" s="78" t="s">
        <v>881</v>
      </c>
      <c r="F212" s="45" t="s">
        <v>106</v>
      </c>
      <c r="G212" s="79" t="s">
        <v>1</v>
      </c>
      <c r="H212" s="79" t="s">
        <v>1</v>
      </c>
      <c r="I212" s="79" t="s">
        <v>1</v>
      </c>
      <c r="J212" s="79" t="s">
        <v>1</v>
      </c>
      <c r="K212" s="79" t="s">
        <v>1</v>
      </c>
      <c r="L212" s="80" t="str">
        <f t="shared" ref="L212:L217" si="216">_xlfn.CONCAT(C212)</f>
        <v>Infraestruturas</v>
      </c>
      <c r="M212" s="28" t="str">
        <f t="shared" ref="M212:M217" si="217">CONCATENATE("", D212)</f>
        <v>Rodoviárias</v>
      </c>
      <c r="N212" s="28" t="str">
        <f t="shared" ref="N212:N238" si="218">(SUBSTITUTE(SUBSTITUTE(CONCATENATE("",E212),"."," ")," De "," de "))</f>
        <v>Obras de Arte Especial</v>
      </c>
      <c r="O212" s="29" t="str">
        <f t="shared" ref="O212:O238" si="219">F212</f>
        <v>Ponte</v>
      </c>
      <c r="P212" s="44" t="s">
        <v>82</v>
      </c>
      <c r="Q212" s="80" t="s">
        <v>228</v>
      </c>
      <c r="R212" s="29" t="s">
        <v>1</v>
      </c>
      <c r="S212" s="29" t="str">
        <f t="shared" si="81"/>
        <v>Infraestruturas</v>
      </c>
      <c r="T212" s="29" t="str">
        <f t="shared" si="82"/>
        <v>Rodoviárias</v>
      </c>
      <c r="U212" s="29" t="str">
        <f t="shared" si="82"/>
        <v>Obras de Arte Especial</v>
      </c>
      <c r="V212" s="29" t="s">
        <v>1476</v>
      </c>
      <c r="W212" s="66" t="str">
        <f t="shared" si="185"/>
        <v>Key-BRMG-212</v>
      </c>
      <c r="X212" s="29" t="s">
        <v>1355</v>
      </c>
      <c r="Y212" s="29" t="s">
        <v>1414</v>
      </c>
      <c r="Z212" s="41" t="s">
        <v>1</v>
      </c>
      <c r="AA212" s="29" t="str">
        <f t="shared" si="200"/>
        <v>Structure subject to the action of load in motion, with variable positioning, here called mobile load, used to overcome a natural obstacle (river, stream, valley, etc.).</v>
      </c>
    </row>
    <row r="213" spans="1:27" ht="6.6" customHeight="1" x14ac:dyDescent="0.25">
      <c r="A213" s="73">
        <v>213</v>
      </c>
      <c r="B213" s="30" t="s">
        <v>1474</v>
      </c>
      <c r="C213" s="31" t="s">
        <v>884</v>
      </c>
      <c r="D213" s="30" t="s">
        <v>889</v>
      </c>
      <c r="E213" s="78" t="s">
        <v>881</v>
      </c>
      <c r="F213" s="45" t="s">
        <v>107</v>
      </c>
      <c r="G213" s="79" t="s">
        <v>1</v>
      </c>
      <c r="H213" s="79" t="s">
        <v>1</v>
      </c>
      <c r="I213" s="79" t="s">
        <v>1</v>
      </c>
      <c r="J213" s="79" t="s">
        <v>1</v>
      </c>
      <c r="K213" s="79" t="s">
        <v>1</v>
      </c>
      <c r="L213" s="80" t="str">
        <f t="shared" si="216"/>
        <v>Infraestruturas</v>
      </c>
      <c r="M213" s="28" t="str">
        <f t="shared" si="217"/>
        <v>Rodoviárias</v>
      </c>
      <c r="N213" s="28" t="str">
        <f t="shared" si="218"/>
        <v>Obras de Arte Especial</v>
      </c>
      <c r="O213" s="29" t="str">
        <f t="shared" si="219"/>
        <v>Viaduto</v>
      </c>
      <c r="P213" s="44" t="s">
        <v>108</v>
      </c>
      <c r="Q213" s="80" t="s">
        <v>229</v>
      </c>
      <c r="R213" s="29" t="s">
        <v>1</v>
      </c>
      <c r="S213" s="29" t="str">
        <f t="shared" si="81"/>
        <v>Infraestruturas</v>
      </c>
      <c r="T213" s="29" t="str">
        <f t="shared" si="82"/>
        <v>Rodoviárias</v>
      </c>
      <c r="U213" s="29" t="str">
        <f t="shared" si="82"/>
        <v>Obras de Arte Especial</v>
      </c>
      <c r="V213" s="29" t="s">
        <v>1476</v>
      </c>
      <c r="W213" s="66" t="str">
        <f t="shared" si="185"/>
        <v>Key-BRMG-213</v>
      </c>
      <c r="X213" s="29" t="s">
        <v>1355</v>
      </c>
      <c r="Y213" s="29" t="s">
        <v>1414</v>
      </c>
      <c r="Z213" s="41" t="s">
        <v>1</v>
      </c>
      <c r="AA213" s="29" t="str">
        <f t="shared" si="200"/>
        <v>Elevated structure so that vehicles can overcome an artificial obstacle such as an avenue, highway, etc.</v>
      </c>
    </row>
    <row r="214" spans="1:27" ht="6.6" customHeight="1" x14ac:dyDescent="0.25">
      <c r="A214" s="73">
        <v>214</v>
      </c>
      <c r="B214" s="30" t="s">
        <v>1474</v>
      </c>
      <c r="C214" s="31" t="s">
        <v>884</v>
      </c>
      <c r="D214" s="30" t="s">
        <v>889</v>
      </c>
      <c r="E214" s="78" t="s">
        <v>881</v>
      </c>
      <c r="F214" s="45" t="s">
        <v>821</v>
      </c>
      <c r="G214" s="79" t="s">
        <v>1</v>
      </c>
      <c r="H214" s="79" t="s">
        <v>1</v>
      </c>
      <c r="I214" s="79" t="s">
        <v>1</v>
      </c>
      <c r="J214" s="79" t="s">
        <v>1</v>
      </c>
      <c r="K214" s="79" t="s">
        <v>1</v>
      </c>
      <c r="L214" s="80" t="str">
        <f t="shared" si="216"/>
        <v>Infraestruturas</v>
      </c>
      <c r="M214" s="28" t="str">
        <f t="shared" si="217"/>
        <v>Rodoviárias</v>
      </c>
      <c r="N214" s="28" t="str">
        <f t="shared" si="218"/>
        <v>Obras de Arte Especial</v>
      </c>
      <c r="O214" s="29" t="str">
        <f t="shared" si="219"/>
        <v>Passarela.Urbana</v>
      </c>
      <c r="P214" s="44" t="s">
        <v>109</v>
      </c>
      <c r="Q214" s="80" t="s">
        <v>230</v>
      </c>
      <c r="R214" s="29" t="s">
        <v>1</v>
      </c>
      <c r="S214" s="29" t="str">
        <f t="shared" si="81"/>
        <v>Infraestruturas</v>
      </c>
      <c r="T214" s="29" t="str">
        <f t="shared" si="82"/>
        <v>Rodoviárias</v>
      </c>
      <c r="U214" s="29" t="str">
        <f t="shared" si="82"/>
        <v>Obras de Arte Especial</v>
      </c>
      <c r="V214" s="29" t="s">
        <v>1476</v>
      </c>
      <c r="W214" s="66" t="str">
        <f t="shared" si="185"/>
        <v>Key-BRMG-214</v>
      </c>
      <c r="X214" s="29" t="s">
        <v>1355</v>
      </c>
      <c r="Y214" s="29" t="s">
        <v>1401</v>
      </c>
      <c r="Z214" s="41" t="s">
        <v>1</v>
      </c>
      <c r="AA214" s="29" t="str">
        <f t="shared" si="200"/>
        <v>Elevated and elongated structure, intended for pedestrians to overcome natural and/or artificial obstacles. Exclusively for pedestrians and/or cyclists.</v>
      </c>
    </row>
    <row r="215" spans="1:27" ht="6.6" customHeight="1" x14ac:dyDescent="0.25">
      <c r="A215" s="73">
        <v>215</v>
      </c>
      <c r="B215" s="30" t="s">
        <v>1474</v>
      </c>
      <c r="C215" s="31" t="s">
        <v>884</v>
      </c>
      <c r="D215" s="30" t="s">
        <v>889</v>
      </c>
      <c r="E215" s="78" t="s">
        <v>881</v>
      </c>
      <c r="F215" s="45" t="s">
        <v>264</v>
      </c>
      <c r="G215" s="79" t="s">
        <v>1</v>
      </c>
      <c r="H215" s="79" t="s">
        <v>1</v>
      </c>
      <c r="I215" s="79" t="s">
        <v>1</v>
      </c>
      <c r="J215" s="79" t="s">
        <v>1</v>
      </c>
      <c r="K215" s="79" t="s">
        <v>1</v>
      </c>
      <c r="L215" s="80" t="str">
        <f t="shared" si="216"/>
        <v>Infraestruturas</v>
      </c>
      <c r="M215" s="28" t="str">
        <f t="shared" si="217"/>
        <v>Rodoviárias</v>
      </c>
      <c r="N215" s="28" t="str">
        <f t="shared" si="218"/>
        <v>Obras de Arte Especial</v>
      </c>
      <c r="O215" s="29" t="str">
        <f t="shared" si="219"/>
        <v>Túnel.Terrestre</v>
      </c>
      <c r="P215" s="44" t="s">
        <v>176</v>
      </c>
      <c r="Q215" s="80" t="s">
        <v>267</v>
      </c>
      <c r="R215" s="29" t="s">
        <v>1</v>
      </c>
      <c r="S215" s="29" t="str">
        <f t="shared" si="81"/>
        <v>Infraestruturas</v>
      </c>
      <c r="T215" s="29" t="str">
        <f t="shared" si="82"/>
        <v>Rodoviárias</v>
      </c>
      <c r="U215" s="29" t="str">
        <f t="shared" si="82"/>
        <v>Obras de Arte Especial</v>
      </c>
      <c r="V215" s="29" t="s">
        <v>1476</v>
      </c>
      <c r="W215" s="66" t="str">
        <f t="shared" si="185"/>
        <v>Key-BRMG-215</v>
      </c>
      <c r="X215" s="29" t="s">
        <v>1355</v>
      </c>
      <c r="Y215" s="29" t="s">
        <v>1401</v>
      </c>
      <c r="Z215" s="41" t="s">
        <v>1</v>
      </c>
      <c r="AA215" s="29" t="str">
        <f t="shared" si="200"/>
        <v>An underpass that allows people, vehicles, or trains to move through natural or urban obstacles.</v>
      </c>
    </row>
    <row r="216" spans="1:27" ht="6.6" customHeight="1" x14ac:dyDescent="0.25">
      <c r="A216" s="73">
        <v>216</v>
      </c>
      <c r="B216" s="30" t="s">
        <v>1474</v>
      </c>
      <c r="C216" s="31" t="s">
        <v>884</v>
      </c>
      <c r="D216" s="30" t="s">
        <v>889</v>
      </c>
      <c r="E216" s="78" t="s">
        <v>881</v>
      </c>
      <c r="F216" s="45" t="s">
        <v>265</v>
      </c>
      <c r="G216" s="79" t="s">
        <v>1</v>
      </c>
      <c r="H216" s="79" t="s">
        <v>1</v>
      </c>
      <c r="I216" s="79" t="s">
        <v>1</v>
      </c>
      <c r="J216" s="79" t="s">
        <v>1</v>
      </c>
      <c r="K216" s="79" t="s">
        <v>1</v>
      </c>
      <c r="L216" s="80" t="str">
        <f t="shared" ref="L216" si="220">_xlfn.CONCAT(C216)</f>
        <v>Infraestruturas</v>
      </c>
      <c r="M216" s="28" t="str">
        <f t="shared" ref="M216" si="221">CONCATENATE("", D216)</f>
        <v>Rodoviárias</v>
      </c>
      <c r="N216" s="28" t="str">
        <f t="shared" ref="N216" si="222">(SUBSTITUTE(SUBSTITUTE(CONCATENATE("",E216),"."," ")," De "," de "))</f>
        <v>Obras de Arte Especial</v>
      </c>
      <c r="O216" s="29" t="str">
        <f t="shared" ref="O216" si="223">F216</f>
        <v>Túnel.Acuático</v>
      </c>
      <c r="P216" s="44" t="s">
        <v>266</v>
      </c>
      <c r="Q216" s="80" t="s">
        <v>268</v>
      </c>
      <c r="R216" s="29" t="s">
        <v>1</v>
      </c>
      <c r="S216" s="29" t="str">
        <f t="shared" si="81"/>
        <v>Infraestruturas</v>
      </c>
      <c r="T216" s="29" t="str">
        <f t="shared" si="82"/>
        <v>Rodoviárias</v>
      </c>
      <c r="U216" s="29" t="str">
        <f t="shared" si="82"/>
        <v>Obras de Arte Especial</v>
      </c>
      <c r="V216" s="29" t="s">
        <v>1476</v>
      </c>
      <c r="W216" s="66" t="str">
        <f t="shared" si="185"/>
        <v>Key-BRMG-216</v>
      </c>
      <c r="X216" s="29" t="s">
        <v>1355</v>
      </c>
      <c r="Y216" s="29" t="s">
        <v>1401</v>
      </c>
      <c r="Z216" s="41" t="s">
        <v>1</v>
      </c>
      <c r="AA216" s="29" t="str">
        <f t="shared" si="200"/>
        <v>Subfluvial or maritime passage that allows the movement of people, vehicles or trains.</v>
      </c>
    </row>
    <row r="217" spans="1:27" ht="6.6" customHeight="1" x14ac:dyDescent="0.25">
      <c r="A217" s="73">
        <v>217</v>
      </c>
      <c r="B217" s="30" t="s">
        <v>1474</v>
      </c>
      <c r="C217" s="31" t="s">
        <v>884</v>
      </c>
      <c r="D217" s="30" t="s">
        <v>889</v>
      </c>
      <c r="E217" s="78" t="s">
        <v>881</v>
      </c>
      <c r="F217" s="45" t="s">
        <v>820</v>
      </c>
      <c r="G217" s="79" t="s">
        <v>1</v>
      </c>
      <c r="H217" s="79" t="s">
        <v>1</v>
      </c>
      <c r="I217" s="79" t="s">
        <v>1</v>
      </c>
      <c r="J217" s="79" t="s">
        <v>1</v>
      </c>
      <c r="K217" s="79" t="s">
        <v>1</v>
      </c>
      <c r="L217" s="80" t="str">
        <f t="shared" si="216"/>
        <v>Infraestruturas</v>
      </c>
      <c r="M217" s="28" t="str">
        <f t="shared" si="217"/>
        <v>Rodoviárias</v>
      </c>
      <c r="N217" s="28" t="str">
        <f t="shared" si="218"/>
        <v>Obras de Arte Especial</v>
      </c>
      <c r="O217" s="29" t="str">
        <f t="shared" si="219"/>
        <v>Edifício.Garagem</v>
      </c>
      <c r="P217" s="44" t="s">
        <v>110</v>
      </c>
      <c r="Q217" s="80" t="s">
        <v>231</v>
      </c>
      <c r="R217" s="29" t="s">
        <v>1</v>
      </c>
      <c r="S217" s="29" t="str">
        <f t="shared" si="81"/>
        <v>Infraestruturas</v>
      </c>
      <c r="T217" s="29" t="str">
        <f t="shared" si="82"/>
        <v>Rodoviárias</v>
      </c>
      <c r="U217" s="29" t="str">
        <f t="shared" si="82"/>
        <v>Obras de Arte Especial</v>
      </c>
      <c r="V217" s="29" t="s">
        <v>1476</v>
      </c>
      <c r="W217" s="66" t="str">
        <f t="shared" si="185"/>
        <v>Key-BRMG-217</v>
      </c>
      <c r="X217" s="29" t="s">
        <v>1355</v>
      </c>
      <c r="Y217" s="29" t="s">
        <v>1415</v>
      </c>
      <c r="Z217" s="41" t="s">
        <v>1</v>
      </c>
      <c r="AA217" s="29" t="str">
        <f t="shared" si="200"/>
        <v>Buildings with any floor, with several floors, with access ramps or elevators intended for the parking of light vehicles, for low-speed circulation.</v>
      </c>
    </row>
    <row r="218" spans="1:27" ht="6.6" customHeight="1" x14ac:dyDescent="0.25">
      <c r="A218" s="73">
        <v>218</v>
      </c>
      <c r="B218" s="30" t="s">
        <v>1474</v>
      </c>
      <c r="C218" s="31" t="s">
        <v>884</v>
      </c>
      <c r="D218" s="30" t="s">
        <v>889</v>
      </c>
      <c r="E218" s="78" t="s">
        <v>903</v>
      </c>
      <c r="F218" s="30" t="s">
        <v>131</v>
      </c>
      <c r="G218" s="75" t="s">
        <v>1</v>
      </c>
      <c r="H218" s="75" t="s">
        <v>1</v>
      </c>
      <c r="I218" s="75" t="s">
        <v>1</v>
      </c>
      <c r="J218" s="75" t="s">
        <v>1</v>
      </c>
      <c r="K218" s="75" t="s">
        <v>1</v>
      </c>
      <c r="L218" s="28" t="str">
        <f t="shared" ref="L218:M238" si="224">CONCATENATE("", C218)</f>
        <v>Infraestruturas</v>
      </c>
      <c r="M218" s="28" t="str">
        <f t="shared" si="224"/>
        <v>Rodoviárias</v>
      </c>
      <c r="N218" s="28" t="str">
        <f t="shared" si="218"/>
        <v>OAE Partes</v>
      </c>
      <c r="O218" s="29" t="str">
        <f t="shared" si="219"/>
        <v>OAE.Aparelho.Apóio</v>
      </c>
      <c r="P218" s="29" t="s">
        <v>154</v>
      </c>
      <c r="Q218" s="80" t="s">
        <v>232</v>
      </c>
      <c r="R218" s="29" t="s">
        <v>1</v>
      </c>
      <c r="S218" s="29" t="str">
        <f t="shared" si="81"/>
        <v>Infraestruturas</v>
      </c>
      <c r="T218" s="29" t="str">
        <f t="shared" si="82"/>
        <v>Rodoviárias</v>
      </c>
      <c r="U218" s="29" t="str">
        <f t="shared" si="82"/>
        <v>OAE Partes</v>
      </c>
      <c r="V218" s="29" t="s">
        <v>1476</v>
      </c>
      <c r="W218" s="66" t="str">
        <f t="shared" si="185"/>
        <v>Key-BRMG-218</v>
      </c>
      <c r="X218" s="29" t="s">
        <v>1365</v>
      </c>
      <c r="Y218" s="29" t="s">
        <v>1416</v>
      </c>
      <c r="Z218" s="41" t="s">
        <v>1</v>
      </c>
      <c r="AA218" s="29" t="str">
        <f t="shared" si="200"/>
        <v>Part of a Special Work of Art: A type of structural element generally used to transmit the loads from the deck to the pylon.</v>
      </c>
    </row>
    <row r="219" spans="1:27" ht="6.6" customHeight="1" x14ac:dyDescent="0.25">
      <c r="A219" s="73">
        <v>219</v>
      </c>
      <c r="B219" s="30" t="s">
        <v>1474</v>
      </c>
      <c r="C219" s="31" t="s">
        <v>884</v>
      </c>
      <c r="D219" s="30" t="s">
        <v>889</v>
      </c>
      <c r="E219" s="78" t="s">
        <v>903</v>
      </c>
      <c r="F219" s="30" t="s">
        <v>132</v>
      </c>
      <c r="G219" s="75" t="s">
        <v>1</v>
      </c>
      <c r="H219" s="75" t="s">
        <v>1</v>
      </c>
      <c r="I219" s="75" t="s">
        <v>1</v>
      </c>
      <c r="J219" s="75" t="s">
        <v>1</v>
      </c>
      <c r="K219" s="75" t="s">
        <v>1</v>
      </c>
      <c r="L219" s="28" t="str">
        <f t="shared" ref="L219" si="225">CONCATENATE("", C219)</f>
        <v>Infraestruturas</v>
      </c>
      <c r="M219" s="28" t="str">
        <f t="shared" ref="M219" si="226">CONCATENATE("", D219)</f>
        <v>Rodoviárias</v>
      </c>
      <c r="N219" s="28" t="str">
        <f t="shared" ref="N219" si="227">(SUBSTITUTE(SUBSTITUTE(CONCATENATE("",E219),"."," ")," De "," de "))</f>
        <v>OAE Partes</v>
      </c>
      <c r="O219" s="29" t="str">
        <f t="shared" ref="O219" si="228">F219</f>
        <v>OAE.Estaca</v>
      </c>
      <c r="P219" s="29" t="s">
        <v>155</v>
      </c>
      <c r="Q219" s="80" t="s">
        <v>233</v>
      </c>
      <c r="R219" s="29" t="s">
        <v>1</v>
      </c>
      <c r="S219" s="29" t="str">
        <f t="shared" si="81"/>
        <v>Infraestruturas</v>
      </c>
      <c r="T219" s="29" t="str">
        <f t="shared" si="82"/>
        <v>Rodoviárias</v>
      </c>
      <c r="U219" s="29" t="str">
        <f t="shared" si="82"/>
        <v>OAE Partes</v>
      </c>
      <c r="V219" s="29" t="s">
        <v>1476</v>
      </c>
      <c r="W219" s="66" t="str">
        <f t="shared" si="185"/>
        <v>Key-BRMG-219</v>
      </c>
      <c r="X219" s="29" t="s">
        <v>1366</v>
      </c>
      <c r="Y219" s="29" t="s">
        <v>1416</v>
      </c>
      <c r="Z219" s="41" t="s">
        <v>1</v>
      </c>
      <c r="AA219" s="29" t="str">
        <f t="shared" si="200"/>
        <v>Part of a Special Artwork: Bridge foundation piles.</v>
      </c>
    </row>
    <row r="220" spans="1:27" ht="6.6" customHeight="1" x14ac:dyDescent="0.25">
      <c r="A220" s="73">
        <v>220</v>
      </c>
      <c r="B220" s="30" t="s">
        <v>1474</v>
      </c>
      <c r="C220" s="31" t="s">
        <v>884</v>
      </c>
      <c r="D220" s="30" t="s">
        <v>889</v>
      </c>
      <c r="E220" s="78" t="s">
        <v>903</v>
      </c>
      <c r="F220" s="30" t="s">
        <v>133</v>
      </c>
      <c r="G220" s="75" t="s">
        <v>1</v>
      </c>
      <c r="H220" s="75" t="s">
        <v>1</v>
      </c>
      <c r="I220" s="75" t="s">
        <v>1</v>
      </c>
      <c r="J220" s="75" t="s">
        <v>1</v>
      </c>
      <c r="K220" s="75" t="s">
        <v>1</v>
      </c>
      <c r="L220" s="28" t="str">
        <f t="shared" si="224"/>
        <v>Infraestruturas</v>
      </c>
      <c r="M220" s="28" t="str">
        <f t="shared" si="224"/>
        <v>Rodoviárias</v>
      </c>
      <c r="N220" s="28" t="str">
        <f t="shared" si="218"/>
        <v>OAE Partes</v>
      </c>
      <c r="O220" s="29" t="str">
        <f t="shared" si="219"/>
        <v>OAE.Fundação</v>
      </c>
      <c r="P220" s="29" t="s">
        <v>156</v>
      </c>
      <c r="Q220" s="80" t="s">
        <v>234</v>
      </c>
      <c r="R220" s="29" t="s">
        <v>1</v>
      </c>
      <c r="S220" s="29" t="str">
        <f t="shared" si="81"/>
        <v>Infraestruturas</v>
      </c>
      <c r="T220" s="29" t="str">
        <f t="shared" si="82"/>
        <v>Rodoviárias</v>
      </c>
      <c r="U220" s="29" t="str">
        <f t="shared" si="82"/>
        <v>OAE Partes</v>
      </c>
      <c r="V220" s="29" t="s">
        <v>1476</v>
      </c>
      <c r="W220" s="66" t="str">
        <f t="shared" si="185"/>
        <v>Key-BRMG-220</v>
      </c>
      <c r="X220" s="29" t="s">
        <v>1367</v>
      </c>
      <c r="Y220" s="29" t="s">
        <v>1416</v>
      </c>
      <c r="Z220" s="41" t="s">
        <v>1</v>
      </c>
      <c r="AA220" s="29" t="str">
        <f t="shared" si="200"/>
        <v>Part of a Special Artwork: Bridge Foundation Blocks.</v>
      </c>
    </row>
    <row r="221" spans="1:27" ht="6.6" customHeight="1" x14ac:dyDescent="0.25">
      <c r="A221" s="73">
        <v>221</v>
      </c>
      <c r="B221" s="30" t="s">
        <v>1474</v>
      </c>
      <c r="C221" s="31" t="s">
        <v>884</v>
      </c>
      <c r="D221" s="30" t="s">
        <v>889</v>
      </c>
      <c r="E221" s="78" t="s">
        <v>903</v>
      </c>
      <c r="F221" s="30" t="s">
        <v>134</v>
      </c>
      <c r="G221" s="75" t="s">
        <v>1</v>
      </c>
      <c r="H221" s="75" t="s">
        <v>1</v>
      </c>
      <c r="I221" s="75" t="s">
        <v>1</v>
      </c>
      <c r="J221" s="75" t="s">
        <v>1</v>
      </c>
      <c r="K221" s="75" t="s">
        <v>1</v>
      </c>
      <c r="L221" s="28" t="str">
        <f t="shared" si="224"/>
        <v>Infraestruturas</v>
      </c>
      <c r="M221" s="28" t="str">
        <f t="shared" si="224"/>
        <v>Rodoviárias</v>
      </c>
      <c r="N221" s="28" t="str">
        <f t="shared" si="218"/>
        <v>OAE Partes</v>
      </c>
      <c r="O221" s="29" t="str">
        <f t="shared" si="219"/>
        <v>OAE.Encontro</v>
      </c>
      <c r="P221" s="29" t="s">
        <v>157</v>
      </c>
      <c r="Q221" s="80" t="s">
        <v>235</v>
      </c>
      <c r="R221" s="29" t="s">
        <v>1</v>
      </c>
      <c r="S221" s="29" t="str">
        <f t="shared" si="81"/>
        <v>Infraestruturas</v>
      </c>
      <c r="T221" s="29" t="str">
        <f t="shared" si="82"/>
        <v>Rodoviárias</v>
      </c>
      <c r="U221" s="29" t="str">
        <f t="shared" si="82"/>
        <v>OAE Partes</v>
      </c>
      <c r="V221" s="29" t="s">
        <v>1476</v>
      </c>
      <c r="W221" s="66" t="str">
        <f t="shared" si="185"/>
        <v>Key-BRMG-221</v>
      </c>
      <c r="X221" s="29" t="s">
        <v>1368</v>
      </c>
      <c r="Y221" s="29" t="s">
        <v>1416</v>
      </c>
      <c r="Z221" s="41" t="s">
        <v>1</v>
      </c>
      <c r="AA221" s="29" t="str">
        <f t="shared" si="200"/>
        <v>Part of a Special Work of Art: Structure where the road network meets the bridge heads.</v>
      </c>
    </row>
    <row r="222" spans="1:27" ht="6.6" customHeight="1" x14ac:dyDescent="0.25">
      <c r="A222" s="73">
        <v>222</v>
      </c>
      <c r="B222" s="30" t="s">
        <v>1474</v>
      </c>
      <c r="C222" s="31" t="s">
        <v>884</v>
      </c>
      <c r="D222" s="30" t="s">
        <v>889</v>
      </c>
      <c r="E222" s="78" t="s">
        <v>903</v>
      </c>
      <c r="F222" s="30" t="s">
        <v>135</v>
      </c>
      <c r="G222" s="75" t="s">
        <v>1</v>
      </c>
      <c r="H222" s="75" t="s">
        <v>1</v>
      </c>
      <c r="I222" s="75" t="s">
        <v>1</v>
      </c>
      <c r="J222" s="75" t="s">
        <v>1</v>
      </c>
      <c r="K222" s="75" t="s">
        <v>1</v>
      </c>
      <c r="L222" s="28" t="str">
        <f t="shared" ref="L222:L224" si="229">CONCATENATE("", C222)</f>
        <v>Infraestruturas</v>
      </c>
      <c r="M222" s="28" t="str">
        <f t="shared" ref="M222:M224" si="230">CONCATENATE("", D222)</f>
        <v>Rodoviárias</v>
      </c>
      <c r="N222" s="28" t="str">
        <f t="shared" ref="N222:N224" si="231">(SUBSTITUTE(SUBSTITUTE(CONCATENATE("",E222),"."," ")," De "," de "))</f>
        <v>OAE Partes</v>
      </c>
      <c r="O222" s="29" t="str">
        <f t="shared" ref="O222:O224" si="232">F222</f>
        <v>OAE.Pilone</v>
      </c>
      <c r="P222" s="29" t="s">
        <v>158</v>
      </c>
      <c r="Q222" s="80" t="s">
        <v>236</v>
      </c>
      <c r="R222" s="29" t="s">
        <v>1</v>
      </c>
      <c r="S222" s="29" t="str">
        <f t="shared" si="81"/>
        <v>Infraestruturas</v>
      </c>
      <c r="T222" s="29" t="str">
        <f t="shared" si="82"/>
        <v>Rodoviárias</v>
      </c>
      <c r="U222" s="29" t="str">
        <f t="shared" si="82"/>
        <v>OAE Partes</v>
      </c>
      <c r="V222" s="29" t="s">
        <v>1476</v>
      </c>
      <c r="W222" s="66" t="str">
        <f t="shared" si="185"/>
        <v>Key-BRMG-222</v>
      </c>
      <c r="X222" s="29" t="s">
        <v>1369</v>
      </c>
      <c r="Y222" s="29" t="s">
        <v>1416</v>
      </c>
      <c r="Z222" s="41" t="s">
        <v>1</v>
      </c>
      <c r="AA222" s="29" t="str">
        <f t="shared" si="200"/>
        <v>Part of a Special Work of Art: Pillars supporting the deck also called Pier.</v>
      </c>
    </row>
    <row r="223" spans="1:27" ht="6.6" customHeight="1" x14ac:dyDescent="0.25">
      <c r="A223" s="73">
        <v>223</v>
      </c>
      <c r="B223" s="30" t="s">
        <v>1474</v>
      </c>
      <c r="C223" s="31" t="s">
        <v>884</v>
      </c>
      <c r="D223" s="30" t="s">
        <v>889</v>
      </c>
      <c r="E223" s="78" t="s">
        <v>903</v>
      </c>
      <c r="F223" s="30" t="s">
        <v>136</v>
      </c>
      <c r="G223" s="75" t="s">
        <v>1</v>
      </c>
      <c r="H223" s="75" t="s">
        <v>1</v>
      </c>
      <c r="I223" s="75" t="s">
        <v>1</v>
      </c>
      <c r="J223" s="75" t="s">
        <v>1</v>
      </c>
      <c r="K223" s="75" t="s">
        <v>1</v>
      </c>
      <c r="L223" s="28" t="str">
        <f t="shared" ref="L223" si="233">CONCATENATE("", C223)</f>
        <v>Infraestruturas</v>
      </c>
      <c r="M223" s="28" t="str">
        <f t="shared" ref="M223" si="234">CONCATENATE("", D223)</f>
        <v>Rodoviárias</v>
      </c>
      <c r="N223" s="28" t="str">
        <f t="shared" ref="N223" si="235">(SUBSTITUTE(SUBSTITUTE(CONCATENATE("",E223),"."," ")," De "," de "))</f>
        <v>OAE Partes</v>
      </c>
      <c r="O223" s="29" t="str">
        <f t="shared" ref="O223" si="236">F223</f>
        <v>OAE.Arco</v>
      </c>
      <c r="P223" s="29" t="s">
        <v>159</v>
      </c>
      <c r="Q223" s="80" t="s">
        <v>237</v>
      </c>
      <c r="R223" s="29" t="s">
        <v>1</v>
      </c>
      <c r="S223" s="29" t="str">
        <f t="shared" si="81"/>
        <v>Infraestruturas</v>
      </c>
      <c r="T223" s="29" t="str">
        <f t="shared" si="82"/>
        <v>Rodoviárias</v>
      </c>
      <c r="U223" s="29" t="str">
        <f t="shared" si="82"/>
        <v>OAE Partes</v>
      </c>
      <c r="V223" s="29" t="s">
        <v>1476</v>
      </c>
      <c r="W223" s="66" t="str">
        <f t="shared" si="185"/>
        <v>Key-BRMG-223</v>
      </c>
      <c r="X223" s="29" t="s">
        <v>1370</v>
      </c>
      <c r="Y223" s="29" t="s">
        <v>1416</v>
      </c>
      <c r="Z223" s="41" t="s">
        <v>1</v>
      </c>
      <c r="AA223" s="29" t="str">
        <f t="shared" si="200"/>
        <v>Part of a Special Work of Art: Arched concrete structure to support the bridge.</v>
      </c>
    </row>
    <row r="224" spans="1:27" ht="6.6" customHeight="1" x14ac:dyDescent="0.25">
      <c r="A224" s="73">
        <v>224</v>
      </c>
      <c r="B224" s="30" t="s">
        <v>1474</v>
      </c>
      <c r="C224" s="31" t="s">
        <v>884</v>
      </c>
      <c r="D224" s="30" t="s">
        <v>889</v>
      </c>
      <c r="E224" s="78" t="s">
        <v>903</v>
      </c>
      <c r="F224" s="30" t="s">
        <v>137</v>
      </c>
      <c r="G224" s="75" t="s">
        <v>1</v>
      </c>
      <c r="H224" s="75" t="s">
        <v>1</v>
      </c>
      <c r="I224" s="75" t="s">
        <v>1</v>
      </c>
      <c r="J224" s="75" t="s">
        <v>1</v>
      </c>
      <c r="K224" s="75" t="s">
        <v>1</v>
      </c>
      <c r="L224" s="28" t="str">
        <f t="shared" si="229"/>
        <v>Infraestruturas</v>
      </c>
      <c r="M224" s="28" t="str">
        <f t="shared" si="230"/>
        <v>Rodoviárias</v>
      </c>
      <c r="N224" s="28" t="str">
        <f t="shared" si="231"/>
        <v>OAE Partes</v>
      </c>
      <c r="O224" s="29" t="str">
        <f t="shared" si="232"/>
        <v>OAE.Torre</v>
      </c>
      <c r="P224" s="29" t="s">
        <v>160</v>
      </c>
      <c r="Q224" s="80" t="s">
        <v>238</v>
      </c>
      <c r="R224" s="29" t="s">
        <v>1</v>
      </c>
      <c r="S224" s="29" t="str">
        <f t="shared" si="81"/>
        <v>Infraestruturas</v>
      </c>
      <c r="T224" s="29" t="str">
        <f t="shared" si="82"/>
        <v>Rodoviárias</v>
      </c>
      <c r="U224" s="29" t="str">
        <f t="shared" si="82"/>
        <v>OAE Partes</v>
      </c>
      <c r="V224" s="29" t="s">
        <v>1476</v>
      </c>
      <c r="W224" s="66" t="str">
        <f t="shared" si="185"/>
        <v>Key-BRMG-224</v>
      </c>
      <c r="X224" s="29" t="s">
        <v>1371</v>
      </c>
      <c r="Y224" s="29" t="s">
        <v>1416</v>
      </c>
      <c r="Z224" s="41" t="s">
        <v>1</v>
      </c>
      <c r="AA224" s="29" t="str">
        <f t="shared" si="200"/>
        <v>Part of a Special Work of Art: Vertical concrete structure above the deck to support the bridge cables.</v>
      </c>
    </row>
    <row r="225" spans="1:27" ht="6.6" customHeight="1" x14ac:dyDescent="0.25">
      <c r="A225" s="73">
        <v>225</v>
      </c>
      <c r="B225" s="30" t="s">
        <v>1474</v>
      </c>
      <c r="C225" s="31" t="s">
        <v>884</v>
      </c>
      <c r="D225" s="30" t="s">
        <v>889</v>
      </c>
      <c r="E225" s="78" t="s">
        <v>903</v>
      </c>
      <c r="F225" s="30" t="s">
        <v>138</v>
      </c>
      <c r="G225" s="75" t="s">
        <v>1</v>
      </c>
      <c r="H225" s="75" t="s">
        <v>1</v>
      </c>
      <c r="I225" s="75" t="s">
        <v>1</v>
      </c>
      <c r="J225" s="75" t="s">
        <v>1</v>
      </c>
      <c r="K225" s="75" t="s">
        <v>1</v>
      </c>
      <c r="L225" s="28" t="str">
        <f t="shared" si="224"/>
        <v>Infraestruturas</v>
      </c>
      <c r="M225" s="28" t="str">
        <f t="shared" si="224"/>
        <v>Rodoviárias</v>
      </c>
      <c r="N225" s="28" t="str">
        <f t="shared" si="218"/>
        <v>OAE Partes</v>
      </c>
      <c r="O225" s="29" t="str">
        <f t="shared" si="219"/>
        <v>OAE.Mastro</v>
      </c>
      <c r="P225" s="29" t="s">
        <v>161</v>
      </c>
      <c r="Q225" s="80" t="s">
        <v>239</v>
      </c>
      <c r="R225" s="29" t="s">
        <v>1</v>
      </c>
      <c r="S225" s="29" t="str">
        <f t="shared" si="81"/>
        <v>Infraestruturas</v>
      </c>
      <c r="T225" s="29" t="str">
        <f t="shared" si="82"/>
        <v>Rodoviárias</v>
      </c>
      <c r="U225" s="29" t="str">
        <f t="shared" si="82"/>
        <v>OAE Partes</v>
      </c>
      <c r="V225" s="29" t="s">
        <v>1476</v>
      </c>
      <c r="W225" s="66" t="str">
        <f t="shared" si="185"/>
        <v>Key-BRMG-225</v>
      </c>
      <c r="X225" s="29" t="s">
        <v>1371</v>
      </c>
      <c r="Y225" s="29" t="s">
        <v>1416</v>
      </c>
      <c r="Z225" s="41" t="s">
        <v>1</v>
      </c>
      <c r="AA225" s="29" t="str">
        <f t="shared" si="200"/>
        <v>Part of a Special Work of Art: Vertical metallic structure above the deck to support the bridge cables.</v>
      </c>
    </row>
    <row r="226" spans="1:27" ht="6.6" customHeight="1" x14ac:dyDescent="0.25">
      <c r="A226" s="73">
        <v>226</v>
      </c>
      <c r="B226" s="30" t="s">
        <v>1474</v>
      </c>
      <c r="C226" s="31" t="s">
        <v>884</v>
      </c>
      <c r="D226" s="30" t="s">
        <v>889</v>
      </c>
      <c r="E226" s="78" t="s">
        <v>903</v>
      </c>
      <c r="F226" s="30" t="s">
        <v>139</v>
      </c>
      <c r="G226" s="75" t="s">
        <v>1</v>
      </c>
      <c r="H226" s="75" t="s">
        <v>1</v>
      </c>
      <c r="I226" s="75" t="s">
        <v>1</v>
      </c>
      <c r="J226" s="75" t="s">
        <v>1</v>
      </c>
      <c r="K226" s="75" t="s">
        <v>1</v>
      </c>
      <c r="L226" s="28" t="str">
        <f t="shared" ref="L226" si="237">CONCATENATE("", C226)</f>
        <v>Infraestruturas</v>
      </c>
      <c r="M226" s="28" t="str">
        <f t="shared" ref="M226" si="238">CONCATENATE("", D226)</f>
        <v>Rodoviárias</v>
      </c>
      <c r="N226" s="28" t="str">
        <f t="shared" ref="N226" si="239">(SUBSTITUTE(SUBSTITUTE(CONCATENATE("",E226),"."," ")," De "," de "))</f>
        <v>OAE Partes</v>
      </c>
      <c r="O226" s="29" t="str">
        <f t="shared" ref="O226" si="240">F226</f>
        <v>OAE.Tabuleiro</v>
      </c>
      <c r="P226" s="29" t="s">
        <v>162</v>
      </c>
      <c r="Q226" s="80" t="s">
        <v>240</v>
      </c>
      <c r="R226" s="29" t="s">
        <v>1</v>
      </c>
      <c r="S226" s="29" t="str">
        <f t="shared" si="81"/>
        <v>Infraestruturas</v>
      </c>
      <c r="T226" s="29" t="str">
        <f t="shared" si="82"/>
        <v>Rodoviárias</v>
      </c>
      <c r="U226" s="29" t="str">
        <f t="shared" si="82"/>
        <v>OAE Partes</v>
      </c>
      <c r="V226" s="29" t="s">
        <v>1476</v>
      </c>
      <c r="W226" s="66" t="str">
        <f t="shared" si="185"/>
        <v>Key-BRMG-226</v>
      </c>
      <c r="X226" s="29" t="s">
        <v>1372</v>
      </c>
      <c r="Y226" s="29" t="s">
        <v>1416</v>
      </c>
      <c r="Z226" s="41" t="s">
        <v>1</v>
      </c>
      <c r="AA226" s="29" t="str">
        <f t="shared" si="200"/>
        <v>Part of a Special Artwork: Segments of the bridge deck. The segments can be separated by construction or expansion joints.</v>
      </c>
    </row>
    <row r="227" spans="1:27" ht="6.6" customHeight="1" x14ac:dyDescent="0.25">
      <c r="A227" s="73">
        <v>227</v>
      </c>
      <c r="B227" s="30" t="s">
        <v>1474</v>
      </c>
      <c r="C227" s="31" t="s">
        <v>884</v>
      </c>
      <c r="D227" s="30" t="s">
        <v>889</v>
      </c>
      <c r="E227" s="78" t="s">
        <v>903</v>
      </c>
      <c r="F227" s="30" t="s">
        <v>140</v>
      </c>
      <c r="G227" s="75" t="s">
        <v>1</v>
      </c>
      <c r="H227" s="75" t="s">
        <v>1</v>
      </c>
      <c r="I227" s="75" t="s">
        <v>1</v>
      </c>
      <c r="J227" s="75" t="s">
        <v>1</v>
      </c>
      <c r="K227" s="75" t="s">
        <v>1</v>
      </c>
      <c r="L227" s="28" t="str">
        <f t="shared" ref="L227:L230" si="241">CONCATENATE("", C227)</f>
        <v>Infraestruturas</v>
      </c>
      <c r="M227" s="28" t="str">
        <f t="shared" ref="M227:M230" si="242">CONCATENATE("", D227)</f>
        <v>Rodoviárias</v>
      </c>
      <c r="N227" s="28" t="str">
        <f t="shared" ref="N227:N230" si="243">(SUBSTITUTE(SUBSTITUTE(CONCATENATE("",E227),"."," ")," De "," de "))</f>
        <v>OAE Partes</v>
      </c>
      <c r="O227" s="29" t="str">
        <f t="shared" ref="O227:O230" si="244">F227</f>
        <v>OAE.Estai</v>
      </c>
      <c r="P227" s="29" t="s">
        <v>163</v>
      </c>
      <c r="Q227" s="80" t="s">
        <v>241</v>
      </c>
      <c r="R227" s="29" t="s">
        <v>1</v>
      </c>
      <c r="S227" s="29" t="str">
        <f t="shared" si="81"/>
        <v>Infraestruturas</v>
      </c>
      <c r="T227" s="29" t="str">
        <f t="shared" si="82"/>
        <v>Rodoviárias</v>
      </c>
      <c r="U227" s="29" t="str">
        <f t="shared" si="82"/>
        <v>OAE Partes</v>
      </c>
      <c r="V227" s="29" t="s">
        <v>1476</v>
      </c>
      <c r="W227" s="66" t="str">
        <f t="shared" si="185"/>
        <v>Key-BRMG-227</v>
      </c>
      <c r="X227" s="29" t="s">
        <v>1373</v>
      </c>
      <c r="Y227" s="29" t="s">
        <v>1416</v>
      </c>
      <c r="Z227" s="41" t="s">
        <v>1</v>
      </c>
      <c r="AA227" s="29" t="str">
        <f t="shared" si="200"/>
        <v>Part of a Special Work of Art: Support cables of a cable-stayed bridge.</v>
      </c>
    </row>
    <row r="228" spans="1:27" ht="6.6" customHeight="1" x14ac:dyDescent="0.25">
      <c r="A228" s="73">
        <v>228</v>
      </c>
      <c r="B228" s="30" t="s">
        <v>1474</v>
      </c>
      <c r="C228" s="31" t="s">
        <v>884</v>
      </c>
      <c r="D228" s="30" t="s">
        <v>889</v>
      </c>
      <c r="E228" s="78" t="s">
        <v>903</v>
      </c>
      <c r="F228" s="30" t="s">
        <v>141</v>
      </c>
      <c r="G228" s="75" t="s">
        <v>1</v>
      </c>
      <c r="H228" s="75" t="s">
        <v>1</v>
      </c>
      <c r="I228" s="75" t="s">
        <v>1</v>
      </c>
      <c r="J228" s="75" t="s">
        <v>1</v>
      </c>
      <c r="K228" s="75" t="s">
        <v>1</v>
      </c>
      <c r="L228" s="28" t="str">
        <f t="shared" ref="L228" si="245">CONCATENATE("", C228)</f>
        <v>Infraestruturas</v>
      </c>
      <c r="M228" s="28" t="str">
        <f t="shared" ref="M228" si="246">CONCATENATE("", D228)</f>
        <v>Rodoviárias</v>
      </c>
      <c r="N228" s="28" t="str">
        <f t="shared" ref="N228" si="247">(SUBSTITUTE(SUBSTITUTE(CONCATENATE("",E228),"."," ")," De "," de "))</f>
        <v>OAE Partes</v>
      </c>
      <c r="O228" s="29" t="str">
        <f t="shared" ref="O228" si="248">F228</f>
        <v>OAE.Longarina.de.Bordo</v>
      </c>
      <c r="P228" s="29" t="s">
        <v>164</v>
      </c>
      <c r="Q228" s="80" t="s">
        <v>242</v>
      </c>
      <c r="R228" s="29" t="s">
        <v>1</v>
      </c>
      <c r="S228" s="29" t="str">
        <f t="shared" si="81"/>
        <v>Infraestruturas</v>
      </c>
      <c r="T228" s="29" t="str">
        <f t="shared" si="82"/>
        <v>Rodoviárias</v>
      </c>
      <c r="U228" s="29" t="str">
        <f t="shared" si="82"/>
        <v>OAE Partes</v>
      </c>
      <c r="V228" s="29" t="s">
        <v>1476</v>
      </c>
      <c r="W228" s="66" t="str">
        <f t="shared" si="185"/>
        <v>Key-BRMG-228</v>
      </c>
      <c r="X228" s="29" t="s">
        <v>1374</v>
      </c>
      <c r="Y228" s="29" t="s">
        <v>1416</v>
      </c>
      <c r="Z228" s="41" t="s">
        <v>1</v>
      </c>
      <c r="AA228" s="29" t="str">
        <f t="shared" si="200"/>
        <v>Part of a Special Work of Art: Main beams in the longitudinal direction at the edge of the bridge.</v>
      </c>
    </row>
    <row r="229" spans="1:27" ht="6.6" customHeight="1" x14ac:dyDescent="0.25">
      <c r="A229" s="73">
        <v>229</v>
      </c>
      <c r="B229" s="30" t="s">
        <v>1474</v>
      </c>
      <c r="C229" s="31" t="s">
        <v>884</v>
      </c>
      <c r="D229" s="30" t="s">
        <v>889</v>
      </c>
      <c r="E229" s="78" t="s">
        <v>903</v>
      </c>
      <c r="F229" s="30" t="s">
        <v>142</v>
      </c>
      <c r="G229" s="75" t="s">
        <v>1</v>
      </c>
      <c r="H229" s="75" t="s">
        <v>1</v>
      </c>
      <c r="I229" s="75" t="s">
        <v>1</v>
      </c>
      <c r="J229" s="75" t="s">
        <v>1</v>
      </c>
      <c r="K229" s="75" t="s">
        <v>1</v>
      </c>
      <c r="L229" s="28" t="str">
        <f t="shared" si="241"/>
        <v>Infraestruturas</v>
      </c>
      <c r="M229" s="28" t="str">
        <f t="shared" si="242"/>
        <v>Rodoviárias</v>
      </c>
      <c r="N229" s="28" t="str">
        <f t="shared" si="243"/>
        <v>OAE Partes</v>
      </c>
      <c r="O229" s="29" t="str">
        <f t="shared" si="244"/>
        <v>OAE.Longarina.Interna</v>
      </c>
      <c r="P229" s="29" t="s">
        <v>165</v>
      </c>
      <c r="Q229" s="80" t="s">
        <v>243</v>
      </c>
      <c r="R229" s="29" t="s">
        <v>1</v>
      </c>
      <c r="S229" s="29" t="str">
        <f t="shared" si="81"/>
        <v>Infraestruturas</v>
      </c>
      <c r="T229" s="29" t="str">
        <f t="shared" si="82"/>
        <v>Rodoviárias</v>
      </c>
      <c r="U229" s="29" t="str">
        <f t="shared" si="82"/>
        <v>OAE Partes</v>
      </c>
      <c r="V229" s="29" t="s">
        <v>1476</v>
      </c>
      <c r="W229" s="66" t="str">
        <f t="shared" si="185"/>
        <v>Key-BRMG-229</v>
      </c>
      <c r="X229" s="29" t="s">
        <v>1374</v>
      </c>
      <c r="Y229" s="29" t="s">
        <v>1416</v>
      </c>
      <c r="Z229" s="41" t="s">
        <v>1</v>
      </c>
      <c r="AA229" s="29" t="str">
        <f t="shared" si="200"/>
        <v>Part of a Special Work of Art: Main beams in the longitudinal direction inside the bridge.</v>
      </c>
    </row>
    <row r="230" spans="1:27" ht="6.6" customHeight="1" x14ac:dyDescent="0.25">
      <c r="A230" s="73">
        <v>230</v>
      </c>
      <c r="B230" s="30" t="s">
        <v>1474</v>
      </c>
      <c r="C230" s="31" t="s">
        <v>884</v>
      </c>
      <c r="D230" s="30" t="s">
        <v>889</v>
      </c>
      <c r="E230" s="78" t="s">
        <v>903</v>
      </c>
      <c r="F230" s="30" t="s">
        <v>143</v>
      </c>
      <c r="G230" s="75" t="s">
        <v>1</v>
      </c>
      <c r="H230" s="75" t="s">
        <v>1</v>
      </c>
      <c r="I230" s="75" t="s">
        <v>1</v>
      </c>
      <c r="J230" s="75" t="s">
        <v>1</v>
      </c>
      <c r="K230" s="75" t="s">
        <v>1</v>
      </c>
      <c r="L230" s="28" t="str">
        <f t="shared" si="241"/>
        <v>Infraestruturas</v>
      </c>
      <c r="M230" s="28" t="str">
        <f t="shared" si="242"/>
        <v>Rodoviárias</v>
      </c>
      <c r="N230" s="28" t="str">
        <f t="shared" si="243"/>
        <v>OAE Partes</v>
      </c>
      <c r="O230" s="29" t="str">
        <f t="shared" si="244"/>
        <v>OAE.Transversina</v>
      </c>
      <c r="P230" s="29" t="s">
        <v>166</v>
      </c>
      <c r="Q230" s="80" t="s">
        <v>244</v>
      </c>
      <c r="R230" s="29" t="s">
        <v>1</v>
      </c>
      <c r="S230" s="29" t="str">
        <f t="shared" ref="S230:S296" si="249">SUBSTITUTE(C230, ".", " ")</f>
        <v>Infraestruturas</v>
      </c>
      <c r="T230" s="29" t="str">
        <f t="shared" ref="T230:U296" si="250">SUBSTITUTE(D230, ".", " ")</f>
        <v>Rodoviárias</v>
      </c>
      <c r="U230" s="29" t="str">
        <f t="shared" si="250"/>
        <v>OAE Partes</v>
      </c>
      <c r="V230" s="29" t="s">
        <v>1476</v>
      </c>
      <c r="W230" s="66" t="str">
        <f t="shared" si="185"/>
        <v>Key-BRMG-230</v>
      </c>
      <c r="X230" s="29" t="s">
        <v>1375</v>
      </c>
      <c r="Y230" s="29" t="s">
        <v>1416</v>
      </c>
      <c r="Z230" s="41" t="s">
        <v>1</v>
      </c>
      <c r="AA230" s="29" t="str">
        <f t="shared" si="200"/>
        <v>Part of a Special Work of Art: Beams in the transverse direction of the bridge.</v>
      </c>
    </row>
    <row r="231" spans="1:27" ht="6.6" customHeight="1" x14ac:dyDescent="0.25">
      <c r="A231" s="73">
        <v>231</v>
      </c>
      <c r="B231" s="30" t="s">
        <v>1474</v>
      </c>
      <c r="C231" s="31" t="s">
        <v>884</v>
      </c>
      <c r="D231" s="30" t="s">
        <v>889</v>
      </c>
      <c r="E231" s="78" t="s">
        <v>903</v>
      </c>
      <c r="F231" s="30" t="s">
        <v>144</v>
      </c>
      <c r="G231" s="75" t="s">
        <v>1</v>
      </c>
      <c r="H231" s="75" t="s">
        <v>1</v>
      </c>
      <c r="I231" s="75" t="s">
        <v>1</v>
      </c>
      <c r="J231" s="75" t="s">
        <v>1</v>
      </c>
      <c r="K231" s="75" t="s">
        <v>1</v>
      </c>
      <c r="L231" s="28" t="str">
        <f t="shared" si="224"/>
        <v>Infraestruturas</v>
      </c>
      <c r="M231" s="28" t="str">
        <f t="shared" si="224"/>
        <v>Rodoviárias</v>
      </c>
      <c r="N231" s="28" t="str">
        <f t="shared" si="218"/>
        <v>OAE Partes</v>
      </c>
      <c r="O231" s="29" t="str">
        <f t="shared" si="219"/>
        <v>OAE.Contraventamento</v>
      </c>
      <c r="P231" s="29" t="s">
        <v>167</v>
      </c>
      <c r="Q231" s="80" t="s">
        <v>245</v>
      </c>
      <c r="R231" s="29" t="s">
        <v>1</v>
      </c>
      <c r="S231" s="29" t="str">
        <f t="shared" si="249"/>
        <v>Infraestruturas</v>
      </c>
      <c r="T231" s="29" t="str">
        <f t="shared" si="250"/>
        <v>Rodoviárias</v>
      </c>
      <c r="U231" s="29" t="str">
        <f t="shared" si="250"/>
        <v>OAE Partes</v>
      </c>
      <c r="V231" s="29" t="s">
        <v>1476</v>
      </c>
      <c r="W231" s="66" t="str">
        <f t="shared" si="185"/>
        <v>Key-BRMG-231</v>
      </c>
      <c r="X231" s="29" t="s">
        <v>1376</v>
      </c>
      <c r="Y231" s="29" t="s">
        <v>1416</v>
      </c>
      <c r="Z231" s="41" t="s">
        <v>1</v>
      </c>
      <c r="AA231" s="29" t="str">
        <f t="shared" si="200"/>
        <v>Part of a Special Artwork: Bracing of the bridge.</v>
      </c>
    </row>
    <row r="232" spans="1:27" ht="6.6" customHeight="1" x14ac:dyDescent="0.25">
      <c r="A232" s="73">
        <v>232</v>
      </c>
      <c r="B232" s="30" t="s">
        <v>1474</v>
      </c>
      <c r="C232" s="31" t="s">
        <v>884</v>
      </c>
      <c r="D232" s="30" t="s">
        <v>889</v>
      </c>
      <c r="E232" s="78" t="s">
        <v>903</v>
      </c>
      <c r="F232" s="30" t="s">
        <v>145</v>
      </c>
      <c r="G232" s="75" t="s">
        <v>1</v>
      </c>
      <c r="H232" s="75" t="s">
        <v>1</v>
      </c>
      <c r="I232" s="75" t="s">
        <v>1</v>
      </c>
      <c r="J232" s="75" t="s">
        <v>1</v>
      </c>
      <c r="K232" s="75" t="s">
        <v>1</v>
      </c>
      <c r="L232" s="28" t="str">
        <f t="shared" si="224"/>
        <v>Infraestruturas</v>
      </c>
      <c r="M232" s="28" t="str">
        <f t="shared" si="224"/>
        <v>Rodoviárias</v>
      </c>
      <c r="N232" s="28" t="str">
        <f t="shared" si="218"/>
        <v>OAE Partes</v>
      </c>
      <c r="O232" s="29" t="str">
        <f t="shared" si="219"/>
        <v>OAE.Diafragma</v>
      </c>
      <c r="P232" s="29" t="s">
        <v>168</v>
      </c>
      <c r="Q232" s="80" t="s">
        <v>246</v>
      </c>
      <c r="R232" s="29" t="s">
        <v>1</v>
      </c>
      <c r="S232" s="29" t="str">
        <f t="shared" si="249"/>
        <v>Infraestruturas</v>
      </c>
      <c r="T232" s="29" t="str">
        <f t="shared" si="250"/>
        <v>Rodoviárias</v>
      </c>
      <c r="U232" s="29" t="str">
        <f t="shared" si="250"/>
        <v>OAE Partes</v>
      </c>
      <c r="V232" s="29" t="s">
        <v>1476</v>
      </c>
      <c r="W232" s="66" t="str">
        <f t="shared" si="185"/>
        <v>Key-BRMG-232</v>
      </c>
      <c r="X232" s="29" t="s">
        <v>1377</v>
      </c>
      <c r="Y232" s="29" t="s">
        <v>1416</v>
      </c>
      <c r="Z232" s="41" t="s">
        <v>1</v>
      </c>
      <c r="AA232" s="29" t="str">
        <f t="shared" si="200"/>
        <v>Part of a Special Work of Art: Walls in the transverse direction of the bridge.</v>
      </c>
    </row>
    <row r="233" spans="1:27" ht="6.6" customHeight="1" x14ac:dyDescent="0.25">
      <c r="A233" s="73">
        <v>233</v>
      </c>
      <c r="B233" s="30" t="s">
        <v>1474</v>
      </c>
      <c r="C233" s="31" t="s">
        <v>884</v>
      </c>
      <c r="D233" s="30" t="s">
        <v>889</v>
      </c>
      <c r="E233" s="78" t="s">
        <v>903</v>
      </c>
      <c r="F233" s="30" t="s">
        <v>146</v>
      </c>
      <c r="G233" s="75" t="s">
        <v>1</v>
      </c>
      <c r="H233" s="75" t="s">
        <v>1</v>
      </c>
      <c r="I233" s="75" t="s">
        <v>1</v>
      </c>
      <c r="J233" s="75" t="s">
        <v>1</v>
      </c>
      <c r="K233" s="75" t="s">
        <v>1</v>
      </c>
      <c r="L233" s="28" t="str">
        <f t="shared" si="224"/>
        <v>Infraestruturas</v>
      </c>
      <c r="M233" s="28" t="str">
        <f t="shared" si="224"/>
        <v>Rodoviárias</v>
      </c>
      <c r="N233" s="28" t="str">
        <f t="shared" si="218"/>
        <v>OAE Partes</v>
      </c>
      <c r="O233" s="29" t="str">
        <f t="shared" si="219"/>
        <v>OAE.Treliça</v>
      </c>
      <c r="P233" s="29" t="s">
        <v>1077</v>
      </c>
      <c r="Q233" s="80" t="s">
        <v>247</v>
      </c>
      <c r="R233" s="29" t="s">
        <v>1</v>
      </c>
      <c r="S233" s="29" t="str">
        <f t="shared" si="249"/>
        <v>Infraestruturas</v>
      </c>
      <c r="T233" s="29" t="str">
        <f t="shared" si="250"/>
        <v>Rodoviárias</v>
      </c>
      <c r="U233" s="29" t="str">
        <f t="shared" si="250"/>
        <v>OAE Partes</v>
      </c>
      <c r="V233" s="29" t="s">
        <v>1476</v>
      </c>
      <c r="W233" s="66" t="str">
        <f t="shared" si="185"/>
        <v>Key-BRMG-233</v>
      </c>
      <c r="X233" s="29" t="s">
        <v>1378</v>
      </c>
      <c r="Y233" s="29" t="s">
        <v>1416</v>
      </c>
      <c r="Z233" s="41" t="s">
        <v>1</v>
      </c>
      <c r="AA233" s="29" t="str">
        <f t="shared" si="200"/>
        <v>Part of a Special Artwork: Bridge trusses.</v>
      </c>
    </row>
    <row r="234" spans="1:27" ht="6.6" customHeight="1" x14ac:dyDescent="0.25">
      <c r="A234" s="73">
        <v>234</v>
      </c>
      <c r="B234" s="30" t="s">
        <v>1474</v>
      </c>
      <c r="C234" s="31" t="s">
        <v>884</v>
      </c>
      <c r="D234" s="30" t="s">
        <v>889</v>
      </c>
      <c r="E234" s="78" t="s">
        <v>903</v>
      </c>
      <c r="F234" s="30" t="s">
        <v>147</v>
      </c>
      <c r="G234" s="75" t="s">
        <v>1</v>
      </c>
      <c r="H234" s="75" t="s">
        <v>1</v>
      </c>
      <c r="I234" s="75" t="s">
        <v>1</v>
      </c>
      <c r="J234" s="75" t="s">
        <v>1</v>
      </c>
      <c r="K234" s="75" t="s">
        <v>1</v>
      </c>
      <c r="L234" s="28" t="str">
        <f t="shared" si="224"/>
        <v>Infraestruturas</v>
      </c>
      <c r="M234" s="28" t="str">
        <f t="shared" si="224"/>
        <v>Rodoviárias</v>
      </c>
      <c r="N234" s="28" t="str">
        <f t="shared" si="218"/>
        <v>OAE Partes</v>
      </c>
      <c r="O234" s="29" t="str">
        <f t="shared" si="219"/>
        <v>OAE.Defesa</v>
      </c>
      <c r="P234" s="29" t="s">
        <v>169</v>
      </c>
      <c r="Q234" s="80" t="s">
        <v>248</v>
      </c>
      <c r="R234" s="29" t="s">
        <v>1</v>
      </c>
      <c r="S234" s="29" t="str">
        <f t="shared" si="249"/>
        <v>Infraestruturas</v>
      </c>
      <c r="T234" s="29" t="str">
        <f t="shared" si="250"/>
        <v>Rodoviárias</v>
      </c>
      <c r="U234" s="29" t="str">
        <f t="shared" si="250"/>
        <v>OAE Partes</v>
      </c>
      <c r="V234" s="29" t="s">
        <v>1476</v>
      </c>
      <c r="W234" s="66" t="str">
        <f t="shared" si="185"/>
        <v>Key-BRMG-234</v>
      </c>
      <c r="X234" s="29" t="s">
        <v>1377</v>
      </c>
      <c r="Y234" s="29" t="s">
        <v>1412</v>
      </c>
      <c r="Z234" s="41" t="s">
        <v>1</v>
      </c>
      <c r="AA234" s="29" t="str">
        <f t="shared" si="200"/>
        <v>Part of a Special Work of Art: Element of structural defense of the work of Special Art.</v>
      </c>
    </row>
    <row r="235" spans="1:27" ht="6.6" customHeight="1" x14ac:dyDescent="0.25">
      <c r="A235" s="73">
        <v>235</v>
      </c>
      <c r="B235" s="30" t="s">
        <v>1474</v>
      </c>
      <c r="C235" s="31" t="s">
        <v>884</v>
      </c>
      <c r="D235" s="30" t="s">
        <v>889</v>
      </c>
      <c r="E235" s="78" t="s">
        <v>903</v>
      </c>
      <c r="F235" s="30" t="s">
        <v>148</v>
      </c>
      <c r="G235" s="75" t="s">
        <v>1</v>
      </c>
      <c r="H235" s="75" t="s">
        <v>1</v>
      </c>
      <c r="I235" s="75" t="s">
        <v>1</v>
      </c>
      <c r="J235" s="75" t="s">
        <v>1</v>
      </c>
      <c r="K235" s="75" t="s">
        <v>1</v>
      </c>
      <c r="L235" s="28" t="str">
        <f t="shared" si="224"/>
        <v>Infraestruturas</v>
      </c>
      <c r="M235" s="28" t="str">
        <f t="shared" si="224"/>
        <v>Rodoviárias</v>
      </c>
      <c r="N235" s="28" t="str">
        <f t="shared" si="218"/>
        <v>OAE Partes</v>
      </c>
      <c r="O235" s="29" t="str">
        <f t="shared" si="219"/>
        <v>OAE.Rolamento</v>
      </c>
      <c r="P235" s="29" t="s">
        <v>170</v>
      </c>
      <c r="Q235" s="80" t="s">
        <v>249</v>
      </c>
      <c r="R235" s="29" t="s">
        <v>1</v>
      </c>
      <c r="S235" s="29" t="str">
        <f t="shared" si="249"/>
        <v>Infraestruturas</v>
      </c>
      <c r="T235" s="29" t="str">
        <f t="shared" si="250"/>
        <v>Rodoviárias</v>
      </c>
      <c r="U235" s="29" t="str">
        <f t="shared" si="250"/>
        <v>OAE Partes</v>
      </c>
      <c r="V235" s="29" t="s">
        <v>1476</v>
      </c>
      <c r="W235" s="66" t="str">
        <f t="shared" si="185"/>
        <v>Key-BRMG-235</v>
      </c>
      <c r="X235" s="29" t="s">
        <v>1363</v>
      </c>
      <c r="Y235" s="41" t="s">
        <v>1412</v>
      </c>
      <c r="Z235" s="41" t="s">
        <v>1</v>
      </c>
      <c r="AA235" s="29" t="str">
        <f t="shared" si="200"/>
        <v>Part of a Special Work of Art: Asphalt layer of the road track of the deck.</v>
      </c>
    </row>
    <row r="236" spans="1:27" ht="6.6" customHeight="1" x14ac:dyDescent="0.25">
      <c r="A236" s="73">
        <v>236</v>
      </c>
      <c r="B236" s="30" t="s">
        <v>1474</v>
      </c>
      <c r="C236" s="31" t="s">
        <v>884</v>
      </c>
      <c r="D236" s="30" t="s">
        <v>889</v>
      </c>
      <c r="E236" s="78" t="s">
        <v>903</v>
      </c>
      <c r="F236" s="30" t="s">
        <v>149</v>
      </c>
      <c r="G236" s="75" t="s">
        <v>1</v>
      </c>
      <c r="H236" s="75" t="s">
        <v>1</v>
      </c>
      <c r="I236" s="75" t="s">
        <v>1</v>
      </c>
      <c r="J236" s="75" t="s">
        <v>1</v>
      </c>
      <c r="K236" s="75" t="s">
        <v>1</v>
      </c>
      <c r="L236" s="28" t="str">
        <f t="shared" si="224"/>
        <v>Infraestruturas</v>
      </c>
      <c r="M236" s="28" t="str">
        <f t="shared" si="224"/>
        <v>Rodoviárias</v>
      </c>
      <c r="N236" s="28" t="str">
        <f t="shared" si="218"/>
        <v>OAE Partes</v>
      </c>
      <c r="O236" s="29" t="str">
        <f t="shared" si="219"/>
        <v>OAE.Leito</v>
      </c>
      <c r="P236" s="29" t="s">
        <v>171</v>
      </c>
      <c r="Q236" s="80" t="s">
        <v>250</v>
      </c>
      <c r="R236" s="29" t="s">
        <v>1</v>
      </c>
      <c r="S236" s="29" t="str">
        <f t="shared" si="249"/>
        <v>Infraestruturas</v>
      </c>
      <c r="T236" s="29" t="str">
        <f t="shared" si="250"/>
        <v>Rodoviárias</v>
      </c>
      <c r="U236" s="29" t="str">
        <f t="shared" si="250"/>
        <v>OAE Partes</v>
      </c>
      <c r="V236" s="29" t="s">
        <v>1476</v>
      </c>
      <c r="W236" s="66" t="str">
        <f t="shared" si="185"/>
        <v>Key-BRMG-236</v>
      </c>
      <c r="X236" s="29" t="s">
        <v>1363</v>
      </c>
      <c r="Y236" s="41" t="s">
        <v>1417</v>
      </c>
      <c r="Z236" s="41" t="s">
        <v>1</v>
      </c>
      <c r="AA236" s="29" t="str">
        <f t="shared" si="200"/>
        <v>Part of a Special Work of Art: Subfloor layer of the deck carriageway.</v>
      </c>
    </row>
    <row r="237" spans="1:27" ht="6.6" customHeight="1" x14ac:dyDescent="0.25">
      <c r="A237" s="73">
        <v>237</v>
      </c>
      <c r="B237" s="30" t="s">
        <v>1474</v>
      </c>
      <c r="C237" s="31" t="s">
        <v>884</v>
      </c>
      <c r="D237" s="30" t="s">
        <v>889</v>
      </c>
      <c r="E237" s="78" t="s">
        <v>903</v>
      </c>
      <c r="F237" s="30" t="s">
        <v>150</v>
      </c>
      <c r="G237" s="75" t="s">
        <v>1</v>
      </c>
      <c r="H237" s="75" t="s">
        <v>1</v>
      </c>
      <c r="I237" s="75" t="s">
        <v>1</v>
      </c>
      <c r="J237" s="75" t="s">
        <v>1</v>
      </c>
      <c r="K237" s="75" t="s">
        <v>1</v>
      </c>
      <c r="L237" s="28" t="str">
        <f t="shared" ref="L237" si="251">CONCATENATE("", C237)</f>
        <v>Infraestruturas</v>
      </c>
      <c r="M237" s="28" t="str">
        <f t="shared" ref="M237" si="252">CONCATENATE("", D237)</f>
        <v>Rodoviárias</v>
      </c>
      <c r="N237" s="28" t="str">
        <f t="shared" ref="N237" si="253">(SUBSTITUTE(SUBSTITUTE(CONCATENATE("",E237),"."," ")," De "," de "))</f>
        <v>OAE Partes</v>
      </c>
      <c r="O237" s="29" t="str">
        <f t="shared" ref="O237" si="254">F237</f>
        <v>OAE.Junta</v>
      </c>
      <c r="P237" s="29" t="s">
        <v>172</v>
      </c>
      <c r="Q237" s="80" t="s">
        <v>251</v>
      </c>
      <c r="R237" s="29" t="s">
        <v>1</v>
      </c>
      <c r="S237" s="29" t="str">
        <f t="shared" si="249"/>
        <v>Infraestruturas</v>
      </c>
      <c r="T237" s="29" t="str">
        <f t="shared" si="250"/>
        <v>Rodoviárias</v>
      </c>
      <c r="U237" s="29" t="str">
        <f t="shared" si="250"/>
        <v>OAE Partes</v>
      </c>
      <c r="V237" s="29" t="s">
        <v>1476</v>
      </c>
      <c r="W237" s="66" t="str">
        <f t="shared" si="185"/>
        <v>Key-BRMG-237</v>
      </c>
      <c r="X237" s="29" t="s">
        <v>1363</v>
      </c>
      <c r="Y237" s="29" t="s">
        <v>1418</v>
      </c>
      <c r="Z237" s="41" t="s">
        <v>1</v>
      </c>
      <c r="AA237" s="29" t="str">
        <f t="shared" si="200"/>
        <v>Part of a Special Work of Art: Road expansion joint of the deck.</v>
      </c>
    </row>
    <row r="238" spans="1:27" ht="6.6" customHeight="1" x14ac:dyDescent="0.25">
      <c r="A238" s="73">
        <v>238</v>
      </c>
      <c r="B238" s="30" t="s">
        <v>1474</v>
      </c>
      <c r="C238" s="31" t="s">
        <v>884</v>
      </c>
      <c r="D238" s="30" t="s">
        <v>889</v>
      </c>
      <c r="E238" s="78" t="s">
        <v>903</v>
      </c>
      <c r="F238" s="30" t="s">
        <v>151</v>
      </c>
      <c r="G238" s="75" t="s">
        <v>1</v>
      </c>
      <c r="H238" s="75" t="s">
        <v>1</v>
      </c>
      <c r="I238" s="75" t="s">
        <v>1</v>
      </c>
      <c r="J238" s="75" t="s">
        <v>1</v>
      </c>
      <c r="K238" s="75" t="s">
        <v>1</v>
      </c>
      <c r="L238" s="28" t="str">
        <f t="shared" si="224"/>
        <v>Infraestruturas</v>
      </c>
      <c r="M238" s="28" t="str">
        <f t="shared" si="224"/>
        <v>Rodoviárias</v>
      </c>
      <c r="N238" s="28" t="str">
        <f t="shared" si="218"/>
        <v>OAE Partes</v>
      </c>
      <c r="O238" s="29" t="str">
        <f t="shared" si="219"/>
        <v>OAE.Drenagem</v>
      </c>
      <c r="P238" s="29" t="s">
        <v>173</v>
      </c>
      <c r="Q238" s="80" t="s">
        <v>252</v>
      </c>
      <c r="R238" s="29" t="s">
        <v>1</v>
      </c>
      <c r="S238" s="29" t="str">
        <f t="shared" si="249"/>
        <v>Infraestruturas</v>
      </c>
      <c r="T238" s="29" t="str">
        <f t="shared" si="250"/>
        <v>Rodoviárias</v>
      </c>
      <c r="U238" s="29" t="str">
        <f t="shared" si="250"/>
        <v>OAE Partes</v>
      </c>
      <c r="V238" s="29" t="s">
        <v>1476</v>
      </c>
      <c r="W238" s="66" t="str">
        <f t="shared" si="185"/>
        <v>Key-BRMG-238</v>
      </c>
      <c r="X238" s="42" t="s">
        <v>1379</v>
      </c>
      <c r="Y238" s="42" t="s">
        <v>1419</v>
      </c>
      <c r="Z238" s="41" t="s">
        <v>1</v>
      </c>
      <c r="AA238" s="29" t="str">
        <f t="shared" si="200"/>
        <v>Part of a Special Work of Art: Water drainage element on the bridge.</v>
      </c>
    </row>
    <row r="239" spans="1:27" ht="6.6" customHeight="1" x14ac:dyDescent="0.25">
      <c r="A239" s="73">
        <v>239</v>
      </c>
      <c r="B239" s="30" t="s">
        <v>1474</v>
      </c>
      <c r="C239" s="31" t="s">
        <v>884</v>
      </c>
      <c r="D239" s="30" t="s">
        <v>889</v>
      </c>
      <c r="E239" s="78" t="s">
        <v>903</v>
      </c>
      <c r="F239" s="30" t="s">
        <v>152</v>
      </c>
      <c r="G239" s="75" t="s">
        <v>1</v>
      </c>
      <c r="H239" s="75" t="s">
        <v>1</v>
      </c>
      <c r="I239" s="75" t="s">
        <v>1</v>
      </c>
      <c r="J239" s="75" t="s">
        <v>1</v>
      </c>
      <c r="K239" s="75" t="s">
        <v>1</v>
      </c>
      <c r="L239" s="28" t="str">
        <f t="shared" ref="L239" si="255">CONCATENATE("", C239)</f>
        <v>Infraestruturas</v>
      </c>
      <c r="M239" s="28" t="str">
        <f t="shared" ref="M239" si="256">CONCATENATE("", D239)</f>
        <v>Rodoviárias</v>
      </c>
      <c r="N239" s="28" t="str">
        <f t="shared" ref="N239" si="257">(SUBSTITUTE(SUBSTITUTE(CONCATENATE("",E239),"."," ")," De "," de "))</f>
        <v>OAE Partes</v>
      </c>
      <c r="O239" s="29" t="str">
        <f t="shared" ref="O239" si="258">F239</f>
        <v>OAE.Sinalização</v>
      </c>
      <c r="P239" s="29" t="s">
        <v>174</v>
      </c>
      <c r="Q239" s="80" t="s">
        <v>253</v>
      </c>
      <c r="R239" s="29" t="s">
        <v>1</v>
      </c>
      <c r="S239" s="29" t="str">
        <f t="shared" si="249"/>
        <v>Infraestruturas</v>
      </c>
      <c r="T239" s="29" t="str">
        <f t="shared" si="250"/>
        <v>Rodoviárias</v>
      </c>
      <c r="U239" s="29" t="str">
        <f t="shared" si="250"/>
        <v>OAE Partes</v>
      </c>
      <c r="V239" s="29" t="s">
        <v>1476</v>
      </c>
      <c r="W239" s="66" t="str">
        <f t="shared" si="185"/>
        <v>Key-BRMG-239</v>
      </c>
      <c r="X239" s="29" t="s">
        <v>1362</v>
      </c>
      <c r="Y239" s="29" t="s">
        <v>1410</v>
      </c>
      <c r="Z239" s="41" t="s">
        <v>1</v>
      </c>
      <c r="AA239" s="29" t="str">
        <f t="shared" si="200"/>
        <v>Part of a Special Work of Art: Signage element type information plates.</v>
      </c>
    </row>
    <row r="240" spans="1:27" ht="6.6" customHeight="1" x14ac:dyDescent="0.25">
      <c r="A240" s="73">
        <v>240</v>
      </c>
      <c r="B240" s="30" t="s">
        <v>1474</v>
      </c>
      <c r="C240" s="31" t="s">
        <v>884</v>
      </c>
      <c r="D240" s="30" t="s">
        <v>889</v>
      </c>
      <c r="E240" s="78" t="s">
        <v>903</v>
      </c>
      <c r="F240" s="30" t="s">
        <v>153</v>
      </c>
      <c r="G240" s="75" t="s">
        <v>1</v>
      </c>
      <c r="H240" s="75" t="s">
        <v>1</v>
      </c>
      <c r="I240" s="75" t="s">
        <v>1</v>
      </c>
      <c r="J240" s="75" t="s">
        <v>1</v>
      </c>
      <c r="K240" s="75" t="s">
        <v>1</v>
      </c>
      <c r="L240" s="28" t="str">
        <f t="shared" ref="L240:L245" si="259">CONCATENATE("", C240)</f>
        <v>Infraestruturas</v>
      </c>
      <c r="M240" s="28" t="str">
        <f t="shared" ref="M240:M245" si="260">CONCATENATE("", D240)</f>
        <v>Rodoviárias</v>
      </c>
      <c r="N240" s="28" t="str">
        <f t="shared" ref="N240:N241" si="261">(SUBSTITUTE(SUBSTITUTE(CONCATENATE("",E240),"."," ")," De "," de "))</f>
        <v>OAE Partes</v>
      </c>
      <c r="O240" s="29" t="str">
        <f t="shared" ref="O240:O278" si="262">F240</f>
        <v>OAE.Iluminação</v>
      </c>
      <c r="P240" s="29" t="s">
        <v>175</v>
      </c>
      <c r="Q240" s="80" t="s">
        <v>254</v>
      </c>
      <c r="R240" s="29" t="s">
        <v>1</v>
      </c>
      <c r="S240" s="29" t="str">
        <f t="shared" si="249"/>
        <v>Infraestruturas</v>
      </c>
      <c r="T240" s="29" t="str">
        <f t="shared" si="250"/>
        <v>Rodoviárias</v>
      </c>
      <c r="U240" s="29" t="str">
        <f t="shared" si="250"/>
        <v>OAE Partes</v>
      </c>
      <c r="V240" s="29" t="s">
        <v>1476</v>
      </c>
      <c r="W240" s="66" t="str">
        <f t="shared" si="185"/>
        <v>Key-BRMG-240</v>
      </c>
      <c r="X240" s="29" t="s">
        <v>1361</v>
      </c>
      <c r="Y240" s="29" t="s">
        <v>1420</v>
      </c>
      <c r="Z240" s="41" t="s">
        <v>1</v>
      </c>
      <c r="AA240" s="29" t="str">
        <f t="shared" si="200"/>
        <v>Part of a Special Artwork: Lamppost-like lighting element.</v>
      </c>
    </row>
    <row r="241" spans="1:27" ht="6.6" customHeight="1" x14ac:dyDescent="0.25">
      <c r="A241" s="73">
        <v>241</v>
      </c>
      <c r="B241" s="30" t="s">
        <v>1474</v>
      </c>
      <c r="C241" s="31" t="s">
        <v>884</v>
      </c>
      <c r="D241" s="30" t="s">
        <v>890</v>
      </c>
      <c r="E241" s="30" t="s">
        <v>883</v>
      </c>
      <c r="F241" s="45" t="s">
        <v>1301</v>
      </c>
      <c r="G241" s="75" t="s">
        <v>1</v>
      </c>
      <c r="H241" s="75" t="s">
        <v>1</v>
      </c>
      <c r="I241" s="75" t="s">
        <v>1</v>
      </c>
      <c r="J241" s="75" t="s">
        <v>1</v>
      </c>
      <c r="K241" s="75" t="s">
        <v>1</v>
      </c>
      <c r="L241" s="28" t="str">
        <f t="shared" ref="L241" si="263">CONCATENATE("", C241)</f>
        <v>Infraestruturas</v>
      </c>
      <c r="M241" s="28" t="str">
        <f t="shared" ref="M241" si="264">CONCATENATE("", D241)</f>
        <v>Ferroviárias</v>
      </c>
      <c r="N241" s="28" t="str">
        <f t="shared" si="261"/>
        <v>Ferrovias</v>
      </c>
      <c r="O241" s="29" t="str">
        <f t="shared" ref="O241" si="265">F241</f>
        <v>Ferrovia.AV</v>
      </c>
      <c r="P241" s="44" t="s">
        <v>1302</v>
      </c>
      <c r="Q241" s="29" t="s">
        <v>1303</v>
      </c>
      <c r="R241" s="29" t="s">
        <v>1</v>
      </c>
      <c r="S241" s="29" t="str">
        <f t="shared" ref="S241" si="266">SUBSTITUTE(C241, ".", " ")</f>
        <v>Infraestruturas</v>
      </c>
      <c r="T241" s="29" t="str">
        <f t="shared" ref="T241" si="267">SUBSTITUTE(D241, ".", " ")</f>
        <v>Ferroviárias</v>
      </c>
      <c r="U241" s="29" t="str">
        <f t="shared" ref="U241" si="268">SUBSTITUTE(E241, ".", " ")</f>
        <v>Ferrovias</v>
      </c>
      <c r="V241" s="29" t="s">
        <v>1476</v>
      </c>
      <c r="W241" s="66" t="str">
        <f t="shared" si="185"/>
        <v>Key-BRMG-241</v>
      </c>
      <c r="X241" s="29" t="s">
        <v>1364</v>
      </c>
      <c r="Y241" s="41" t="s">
        <v>1420</v>
      </c>
      <c r="Z241" s="41" t="s">
        <v>1</v>
      </c>
      <c r="AA241" s="29" t="str">
        <f t="shared" si="200"/>
        <v>Railway system designed to travel at high speed.</v>
      </c>
    </row>
    <row r="242" spans="1:27" ht="6.6" customHeight="1" x14ac:dyDescent="0.25">
      <c r="A242" s="73">
        <v>242</v>
      </c>
      <c r="B242" s="30" t="s">
        <v>1474</v>
      </c>
      <c r="C242" s="31" t="s">
        <v>884</v>
      </c>
      <c r="D242" s="30" t="s">
        <v>890</v>
      </c>
      <c r="E242" s="30" t="s">
        <v>883</v>
      </c>
      <c r="F242" s="45" t="s">
        <v>283</v>
      </c>
      <c r="G242" s="75" t="s">
        <v>1</v>
      </c>
      <c r="H242" s="75" t="s">
        <v>1</v>
      </c>
      <c r="I242" s="75" t="s">
        <v>1</v>
      </c>
      <c r="J242" s="75" t="s">
        <v>1</v>
      </c>
      <c r="K242" s="75" t="s">
        <v>1</v>
      </c>
      <c r="L242" s="28" t="str">
        <f t="shared" si="259"/>
        <v>Infraestruturas</v>
      </c>
      <c r="M242" s="28" t="str">
        <f t="shared" si="260"/>
        <v>Ferroviárias</v>
      </c>
      <c r="N242" s="28" t="str">
        <f t="shared" ref="N242:N263" si="269">(SUBSTITUTE(SUBSTITUTE(CONCATENATE("",E242),"."," ")," De "," de "))</f>
        <v>Ferrovias</v>
      </c>
      <c r="O242" s="29" t="str">
        <f t="shared" si="262"/>
        <v>Ferrovia.Radial</v>
      </c>
      <c r="P242" s="44" t="s">
        <v>373</v>
      </c>
      <c r="Q242" s="29" t="s">
        <v>374</v>
      </c>
      <c r="R242" s="29" t="s">
        <v>1</v>
      </c>
      <c r="S242" s="29" t="str">
        <f t="shared" si="249"/>
        <v>Infraestruturas</v>
      </c>
      <c r="T242" s="29" t="str">
        <f t="shared" si="250"/>
        <v>Ferroviárias</v>
      </c>
      <c r="U242" s="29" t="str">
        <f t="shared" si="250"/>
        <v>Ferrovias</v>
      </c>
      <c r="V242" s="29" t="s">
        <v>1476</v>
      </c>
      <c r="W242" s="66" t="str">
        <f t="shared" si="185"/>
        <v>Key-BRMG-242</v>
      </c>
      <c r="X242" s="29" t="s">
        <v>1364</v>
      </c>
      <c r="Y242" s="41" t="s">
        <v>1420</v>
      </c>
      <c r="Z242" s="41" t="s">
        <v>1</v>
      </c>
      <c r="AA242" s="29" t="str">
        <f t="shared" si="200"/>
        <v>A railway that starts from a capital city towards the extremes of the country.</v>
      </c>
    </row>
    <row r="243" spans="1:27" ht="6.6" customHeight="1" x14ac:dyDescent="0.25">
      <c r="A243" s="73">
        <v>243</v>
      </c>
      <c r="B243" s="30" t="s">
        <v>1474</v>
      </c>
      <c r="C243" s="31" t="s">
        <v>884</v>
      </c>
      <c r="D243" s="30" t="s">
        <v>890</v>
      </c>
      <c r="E243" s="30" t="s">
        <v>883</v>
      </c>
      <c r="F243" s="45" t="s">
        <v>284</v>
      </c>
      <c r="G243" s="75" t="s">
        <v>1</v>
      </c>
      <c r="H243" s="75" t="s">
        <v>1</v>
      </c>
      <c r="I243" s="75" t="s">
        <v>1</v>
      </c>
      <c r="J243" s="75" t="s">
        <v>1</v>
      </c>
      <c r="K243" s="75" t="s">
        <v>1</v>
      </c>
      <c r="L243" s="28" t="str">
        <f t="shared" si="259"/>
        <v>Infraestruturas</v>
      </c>
      <c r="M243" s="28" t="str">
        <f t="shared" si="260"/>
        <v>Ferroviárias</v>
      </c>
      <c r="N243" s="28" t="str">
        <f t="shared" si="269"/>
        <v>Ferrovias</v>
      </c>
      <c r="O243" s="29" t="str">
        <f t="shared" si="262"/>
        <v>Ferrovia.NS</v>
      </c>
      <c r="P243" s="44" t="s">
        <v>270</v>
      </c>
      <c r="Q243" s="29" t="s">
        <v>332</v>
      </c>
      <c r="R243" s="29" t="s">
        <v>1</v>
      </c>
      <c r="S243" s="29" t="str">
        <f t="shared" si="249"/>
        <v>Infraestruturas</v>
      </c>
      <c r="T243" s="29" t="str">
        <f t="shared" si="250"/>
        <v>Ferroviárias</v>
      </c>
      <c r="U243" s="29" t="str">
        <f t="shared" si="250"/>
        <v>Ferrovias</v>
      </c>
      <c r="V243" s="29" t="s">
        <v>1476</v>
      </c>
      <c r="W243" s="66" t="str">
        <f t="shared" si="185"/>
        <v>Key-BRMG-243</v>
      </c>
      <c r="X243" s="29" t="s">
        <v>1364</v>
      </c>
      <c r="Y243" s="41" t="s">
        <v>1420</v>
      </c>
      <c r="Z243" s="41" t="s">
        <v>1</v>
      </c>
      <c r="AA243" s="29" t="str">
        <f t="shared" si="200"/>
        <v>A railroad that crosses a country in a North-South direction.</v>
      </c>
    </row>
    <row r="244" spans="1:27" ht="6.6" customHeight="1" x14ac:dyDescent="0.25">
      <c r="A244" s="73">
        <v>244</v>
      </c>
      <c r="B244" s="30" t="s">
        <v>1474</v>
      </c>
      <c r="C244" s="31" t="s">
        <v>884</v>
      </c>
      <c r="D244" s="30" t="s">
        <v>890</v>
      </c>
      <c r="E244" s="30" t="s">
        <v>883</v>
      </c>
      <c r="F244" s="45" t="s">
        <v>285</v>
      </c>
      <c r="G244" s="75" t="s">
        <v>1</v>
      </c>
      <c r="H244" s="75" t="s">
        <v>1</v>
      </c>
      <c r="I244" s="75" t="s">
        <v>1</v>
      </c>
      <c r="J244" s="75" t="s">
        <v>1</v>
      </c>
      <c r="K244" s="75" t="s">
        <v>1</v>
      </c>
      <c r="L244" s="28" t="str">
        <f t="shared" si="259"/>
        <v>Infraestruturas</v>
      </c>
      <c r="M244" s="28" t="str">
        <f t="shared" si="260"/>
        <v>Ferroviárias</v>
      </c>
      <c r="N244" s="28" t="str">
        <f t="shared" si="269"/>
        <v>Ferrovias</v>
      </c>
      <c r="O244" s="29" t="str">
        <f t="shared" si="262"/>
        <v>Ferrovia.EW</v>
      </c>
      <c r="P244" s="44" t="s">
        <v>271</v>
      </c>
      <c r="Q244" s="29" t="s">
        <v>333</v>
      </c>
      <c r="R244" s="29" t="s">
        <v>1</v>
      </c>
      <c r="S244" s="29" t="str">
        <f t="shared" si="249"/>
        <v>Infraestruturas</v>
      </c>
      <c r="T244" s="29" t="str">
        <f t="shared" si="250"/>
        <v>Ferroviárias</v>
      </c>
      <c r="U244" s="29" t="str">
        <f t="shared" si="250"/>
        <v>Ferrovias</v>
      </c>
      <c r="V244" s="29" t="s">
        <v>1476</v>
      </c>
      <c r="W244" s="66" t="str">
        <f t="shared" si="185"/>
        <v>Key-BRMG-244</v>
      </c>
      <c r="X244" s="29" t="s">
        <v>1364</v>
      </c>
      <c r="Y244" s="41" t="s">
        <v>1420</v>
      </c>
      <c r="Z244" s="41" t="s">
        <v>1</v>
      </c>
      <c r="AA244" s="29" t="str">
        <f t="shared" si="200"/>
        <v>A railroad that crosses a country in an East-West direction.</v>
      </c>
    </row>
    <row r="245" spans="1:27" ht="6.6" customHeight="1" x14ac:dyDescent="0.25">
      <c r="A245" s="73">
        <v>245</v>
      </c>
      <c r="B245" s="30" t="s">
        <v>1474</v>
      </c>
      <c r="C245" s="31" t="s">
        <v>884</v>
      </c>
      <c r="D245" s="30" t="s">
        <v>890</v>
      </c>
      <c r="E245" s="30" t="s">
        <v>883</v>
      </c>
      <c r="F245" s="45" t="s">
        <v>286</v>
      </c>
      <c r="G245" s="75" t="s">
        <v>1</v>
      </c>
      <c r="H245" s="75" t="s">
        <v>1</v>
      </c>
      <c r="I245" s="75" t="s">
        <v>1</v>
      </c>
      <c r="J245" s="75" t="s">
        <v>1</v>
      </c>
      <c r="K245" s="75" t="s">
        <v>1</v>
      </c>
      <c r="L245" s="28" t="str">
        <f t="shared" si="259"/>
        <v>Infraestruturas</v>
      </c>
      <c r="M245" s="28" t="str">
        <f t="shared" si="260"/>
        <v>Ferroviárias</v>
      </c>
      <c r="N245" s="28" t="str">
        <f t="shared" si="269"/>
        <v>Ferrovias</v>
      </c>
      <c r="O245" s="29" t="str">
        <f t="shared" si="262"/>
        <v>Ferrovia.Diagonal</v>
      </c>
      <c r="P245" s="44" t="s">
        <v>272</v>
      </c>
      <c r="Q245" s="29" t="s">
        <v>334</v>
      </c>
      <c r="R245" s="29" t="s">
        <v>1</v>
      </c>
      <c r="S245" s="29" t="str">
        <f t="shared" si="249"/>
        <v>Infraestruturas</v>
      </c>
      <c r="T245" s="29" t="str">
        <f t="shared" si="250"/>
        <v>Ferroviárias</v>
      </c>
      <c r="U245" s="29" t="str">
        <f t="shared" si="250"/>
        <v>Ferrovias</v>
      </c>
      <c r="V245" s="29" t="s">
        <v>1476</v>
      </c>
      <c r="W245" s="66" t="str">
        <f t="shared" si="185"/>
        <v>Key-BRMG-245</v>
      </c>
      <c r="X245" s="29" t="s">
        <v>1364</v>
      </c>
      <c r="Y245" s="41" t="s">
        <v>1420</v>
      </c>
      <c r="Z245" s="41" t="s">
        <v>1</v>
      </c>
      <c r="AA245" s="29" t="str">
        <f t="shared" si="200"/>
        <v>A railroad that crosses a country with a northeast-southwest or northwest-southeast orientation.</v>
      </c>
    </row>
    <row r="246" spans="1:27" ht="6.6" customHeight="1" x14ac:dyDescent="0.25">
      <c r="A246" s="73">
        <v>246</v>
      </c>
      <c r="B246" s="30" t="s">
        <v>1474</v>
      </c>
      <c r="C246" s="31" t="s">
        <v>884</v>
      </c>
      <c r="D246" s="30" t="s">
        <v>890</v>
      </c>
      <c r="E246" s="30" t="s">
        <v>883</v>
      </c>
      <c r="F246" s="45" t="s">
        <v>287</v>
      </c>
      <c r="G246" s="75" t="s">
        <v>1</v>
      </c>
      <c r="H246" s="75" t="s">
        <v>1</v>
      </c>
      <c r="I246" s="75" t="s">
        <v>1</v>
      </c>
      <c r="J246" s="75" t="s">
        <v>1</v>
      </c>
      <c r="K246" s="75" t="s">
        <v>1</v>
      </c>
      <c r="L246" s="28" t="str">
        <f t="shared" ref="L246:L262" si="270">CONCATENATE("", C246)</f>
        <v>Infraestruturas</v>
      </c>
      <c r="M246" s="28" t="str">
        <f t="shared" ref="M246:M262" si="271">CONCATENATE("", D246)</f>
        <v>Ferroviárias</v>
      </c>
      <c r="N246" s="28" t="str">
        <f t="shared" si="269"/>
        <v>Ferrovias</v>
      </c>
      <c r="O246" s="29" t="str">
        <f t="shared" ref="O246:O262" si="272">F246</f>
        <v>Ferrovia.Ligação</v>
      </c>
      <c r="P246" s="44" t="s">
        <v>269</v>
      </c>
      <c r="Q246" s="29" t="s">
        <v>335</v>
      </c>
      <c r="R246" s="29" t="s">
        <v>1</v>
      </c>
      <c r="S246" s="29" t="str">
        <f t="shared" si="249"/>
        <v>Infraestruturas</v>
      </c>
      <c r="T246" s="29" t="str">
        <f t="shared" si="250"/>
        <v>Ferroviárias</v>
      </c>
      <c r="U246" s="29" t="str">
        <f t="shared" si="250"/>
        <v>Ferrovias</v>
      </c>
      <c r="V246" s="29" t="s">
        <v>1476</v>
      </c>
      <c r="W246" s="66" t="str">
        <f t="shared" si="185"/>
        <v>Key-BRMG-246</v>
      </c>
      <c r="X246" s="29" t="s">
        <v>1364</v>
      </c>
      <c r="Y246" s="41" t="s">
        <v>1420</v>
      </c>
      <c r="Z246" s="41" t="s">
        <v>1</v>
      </c>
      <c r="AA246" s="29" t="str">
        <f t="shared" si="200"/>
        <v>A railroad that connects railroads to each other or to specific localities.</v>
      </c>
    </row>
    <row r="247" spans="1:27" ht="6.6" customHeight="1" x14ac:dyDescent="0.25">
      <c r="A247" s="73">
        <v>247</v>
      </c>
      <c r="B247" s="30" t="s">
        <v>1474</v>
      </c>
      <c r="C247" s="31" t="s">
        <v>884</v>
      </c>
      <c r="D247" s="30" t="s">
        <v>890</v>
      </c>
      <c r="E247" s="30" t="s">
        <v>883</v>
      </c>
      <c r="F247" s="45" t="s">
        <v>764</v>
      </c>
      <c r="G247" s="75" t="s">
        <v>1</v>
      </c>
      <c r="H247" s="75" t="s">
        <v>1</v>
      </c>
      <c r="I247" s="75" t="s">
        <v>1</v>
      </c>
      <c r="J247" s="75" t="s">
        <v>1</v>
      </c>
      <c r="K247" s="75" t="s">
        <v>1</v>
      </c>
      <c r="L247" s="28" t="str">
        <f t="shared" si="270"/>
        <v>Infraestruturas</v>
      </c>
      <c r="M247" s="28" t="str">
        <f t="shared" si="271"/>
        <v>Ferroviárias</v>
      </c>
      <c r="N247" s="28" t="str">
        <f t="shared" si="269"/>
        <v>Ferrovias</v>
      </c>
      <c r="O247" s="29" t="str">
        <f t="shared" si="272"/>
        <v>Metrovia</v>
      </c>
      <c r="P247" s="44" t="s">
        <v>359</v>
      </c>
      <c r="Q247" s="29" t="s">
        <v>360</v>
      </c>
      <c r="R247" s="29" t="s">
        <v>1</v>
      </c>
      <c r="S247" s="29" t="str">
        <f t="shared" si="249"/>
        <v>Infraestruturas</v>
      </c>
      <c r="T247" s="29" t="str">
        <f t="shared" si="250"/>
        <v>Ferroviárias</v>
      </c>
      <c r="U247" s="29" t="str">
        <f t="shared" si="250"/>
        <v>Ferrovias</v>
      </c>
      <c r="V247" s="29" t="s">
        <v>1476</v>
      </c>
      <c r="W247" s="66" t="str">
        <f t="shared" si="185"/>
        <v>Key-BRMG-247</v>
      </c>
      <c r="X247" s="29" t="s">
        <v>1364</v>
      </c>
      <c r="Y247" s="41" t="s">
        <v>1420</v>
      </c>
      <c r="Z247" s="41" t="s">
        <v>1</v>
      </c>
      <c r="AA247" s="29" t="str">
        <f t="shared" si="200"/>
        <v>Urban railway. Usually underground, but may have stretches at the urban level.</v>
      </c>
    </row>
    <row r="248" spans="1:27" ht="6.6" customHeight="1" x14ac:dyDescent="0.25">
      <c r="A248" s="73">
        <v>248</v>
      </c>
      <c r="B248" s="30" t="s">
        <v>1474</v>
      </c>
      <c r="C248" s="31" t="s">
        <v>884</v>
      </c>
      <c r="D248" s="30" t="s">
        <v>890</v>
      </c>
      <c r="E248" s="30" t="s">
        <v>883</v>
      </c>
      <c r="F248" s="45" t="s">
        <v>784</v>
      </c>
      <c r="G248" s="75" t="s">
        <v>1</v>
      </c>
      <c r="H248" s="75" t="s">
        <v>1</v>
      </c>
      <c r="I248" s="75" t="s">
        <v>1</v>
      </c>
      <c r="J248" s="75" t="s">
        <v>1</v>
      </c>
      <c r="K248" s="75" t="s">
        <v>1</v>
      </c>
      <c r="L248" s="28" t="str">
        <f t="shared" si="270"/>
        <v>Infraestruturas</v>
      </c>
      <c r="M248" s="28" t="str">
        <f t="shared" si="271"/>
        <v>Ferroviárias</v>
      </c>
      <c r="N248" s="28" t="str">
        <f t="shared" ref="N248:N249" si="273">(SUBSTITUTE(SUBSTITUTE(CONCATENATE("",E248),"."," ")," De "," de "))</f>
        <v>Ferrovias</v>
      </c>
      <c r="O248" s="29" t="str">
        <f t="shared" si="272"/>
        <v>Metrovia.VLT</v>
      </c>
      <c r="P248" s="44" t="s">
        <v>785</v>
      </c>
      <c r="Q248" s="44" t="s">
        <v>786</v>
      </c>
      <c r="R248" s="29" t="s">
        <v>1</v>
      </c>
      <c r="S248" s="29" t="str">
        <f t="shared" ref="S248:S249" si="274">SUBSTITUTE(C248, ".", " ")</f>
        <v>Infraestruturas</v>
      </c>
      <c r="T248" s="29" t="str">
        <f t="shared" ref="T248:T249" si="275">SUBSTITUTE(D248, ".", " ")</f>
        <v>Ferroviárias</v>
      </c>
      <c r="U248" s="29" t="str">
        <f t="shared" si="250"/>
        <v>Ferrovias</v>
      </c>
      <c r="V248" s="29" t="s">
        <v>1476</v>
      </c>
      <c r="W248" s="66" t="str">
        <f t="shared" si="185"/>
        <v>Key-BRMG-248</v>
      </c>
      <c r="X248" s="29" t="s">
        <v>1364</v>
      </c>
      <c r="Y248" s="41" t="s">
        <v>1420</v>
      </c>
      <c r="Z248" s="41" t="s">
        <v>1</v>
      </c>
      <c r="AA248" s="29" t="str">
        <f t="shared" si="200"/>
        <v>Urban railway to VLT. It operates on the urban surface and meets accessibility requirements.</v>
      </c>
    </row>
    <row r="249" spans="1:27" ht="6.6" customHeight="1" x14ac:dyDescent="0.25">
      <c r="A249" s="73">
        <v>249</v>
      </c>
      <c r="B249" s="30" t="s">
        <v>1474</v>
      </c>
      <c r="C249" s="31" t="s">
        <v>884</v>
      </c>
      <c r="D249" s="30" t="s">
        <v>890</v>
      </c>
      <c r="E249" s="30" t="s">
        <v>883</v>
      </c>
      <c r="F249" s="45" t="s">
        <v>361</v>
      </c>
      <c r="G249" s="75" t="s">
        <v>1</v>
      </c>
      <c r="H249" s="75" t="s">
        <v>1</v>
      </c>
      <c r="I249" s="75" t="s">
        <v>1</v>
      </c>
      <c r="J249" s="75" t="s">
        <v>1</v>
      </c>
      <c r="K249" s="75" t="s">
        <v>1</v>
      </c>
      <c r="L249" s="28" t="str">
        <f t="shared" ref="L249" si="276">CONCATENATE("", C249)</f>
        <v>Infraestruturas</v>
      </c>
      <c r="M249" s="28" t="str">
        <f t="shared" ref="M249" si="277">CONCATENATE("", D249)</f>
        <v>Ferroviárias</v>
      </c>
      <c r="N249" s="28" t="str">
        <f t="shared" si="273"/>
        <v>Ferrovias</v>
      </c>
      <c r="O249" s="29" t="str">
        <f t="shared" ref="O249" si="278">F249</f>
        <v>Monotrilho</v>
      </c>
      <c r="P249" s="44" t="s">
        <v>362</v>
      </c>
      <c r="Q249" s="29" t="s">
        <v>363</v>
      </c>
      <c r="R249" s="29" t="s">
        <v>1</v>
      </c>
      <c r="S249" s="29" t="str">
        <f t="shared" si="274"/>
        <v>Infraestruturas</v>
      </c>
      <c r="T249" s="29" t="str">
        <f t="shared" si="275"/>
        <v>Ferroviárias</v>
      </c>
      <c r="U249" s="29" t="str">
        <f t="shared" ref="U249" si="279">SUBSTITUTE(E249, ".", " ")</f>
        <v>Ferrovias</v>
      </c>
      <c r="V249" s="29" t="s">
        <v>1476</v>
      </c>
      <c r="W249" s="66" t="str">
        <f t="shared" si="185"/>
        <v>Key-BRMG-249</v>
      </c>
      <c r="X249" s="29" t="s">
        <v>1364</v>
      </c>
      <c r="Y249" s="41" t="s">
        <v>1401</v>
      </c>
      <c r="Z249" s="41" t="s">
        <v>1</v>
      </c>
      <c r="AA249" s="29" t="str">
        <f t="shared" si="200"/>
        <v>A railway system in which vehicles run on a single elevated rail that serves as both a guide and a structural support.</v>
      </c>
    </row>
    <row r="250" spans="1:27" ht="6.6" customHeight="1" x14ac:dyDescent="0.25">
      <c r="A250" s="73">
        <v>250</v>
      </c>
      <c r="B250" s="30" t="s">
        <v>1474</v>
      </c>
      <c r="C250" s="31" t="s">
        <v>884</v>
      </c>
      <c r="D250" s="30" t="s">
        <v>890</v>
      </c>
      <c r="E250" s="30" t="s">
        <v>883</v>
      </c>
      <c r="F250" s="45" t="s">
        <v>1319</v>
      </c>
      <c r="G250" s="75" t="s">
        <v>1</v>
      </c>
      <c r="H250" s="75" t="s">
        <v>1</v>
      </c>
      <c r="I250" s="75" t="s">
        <v>1</v>
      </c>
      <c r="J250" s="75" t="s">
        <v>1</v>
      </c>
      <c r="K250" s="75" t="s">
        <v>1</v>
      </c>
      <c r="L250" s="28" t="str">
        <f t="shared" si="270"/>
        <v>Infraestruturas</v>
      </c>
      <c r="M250" s="28" t="str">
        <f t="shared" si="271"/>
        <v>Ferroviárias</v>
      </c>
      <c r="N250" s="28" t="str">
        <f t="shared" ref="N250:N262" si="280">(SUBSTITUTE(SUBSTITUTE(CONCATENATE("",E250),"."," ")," De "," de "))</f>
        <v>Ferrovias</v>
      </c>
      <c r="O250" s="29" t="str">
        <f t="shared" si="272"/>
        <v>Túnel.Ferroviário</v>
      </c>
      <c r="P250" s="44" t="s">
        <v>1317</v>
      </c>
      <c r="Q250" s="44" t="s">
        <v>1318</v>
      </c>
      <c r="R250" s="29" t="s">
        <v>1</v>
      </c>
      <c r="S250" s="29" t="str">
        <f t="shared" ref="S250:S262" si="281">SUBSTITUTE(C250, ".", " ")</f>
        <v>Infraestruturas</v>
      </c>
      <c r="T250" s="29" t="str">
        <f t="shared" ref="T250:T262" si="282">SUBSTITUTE(D250, ".", " ")</f>
        <v>Ferroviárias</v>
      </c>
      <c r="U250" s="29" t="str">
        <f t="shared" si="250"/>
        <v>Ferrovias</v>
      </c>
      <c r="V250" s="29" t="s">
        <v>1476</v>
      </c>
      <c r="W250" s="66" t="str">
        <f t="shared" si="185"/>
        <v>Key-BRMG-250</v>
      </c>
      <c r="X250" s="29" t="s">
        <v>1355</v>
      </c>
      <c r="Y250" s="41" t="s">
        <v>1401</v>
      </c>
      <c r="Z250" s="41" t="s">
        <v>1</v>
      </c>
      <c r="AA250" s="29" t="str">
        <f t="shared" si="200"/>
        <v>Tunnel for railroad passage.</v>
      </c>
    </row>
    <row r="251" spans="1:27" ht="6.6" customHeight="1" x14ac:dyDescent="0.25">
      <c r="A251" s="73">
        <v>251</v>
      </c>
      <c r="B251" s="30" t="s">
        <v>1474</v>
      </c>
      <c r="C251" s="31" t="s">
        <v>884</v>
      </c>
      <c r="D251" s="30" t="s">
        <v>890</v>
      </c>
      <c r="E251" s="30" t="s">
        <v>1304</v>
      </c>
      <c r="F251" s="45" t="s">
        <v>950</v>
      </c>
      <c r="G251" s="75" t="s">
        <v>1</v>
      </c>
      <c r="H251" s="75" t="s">
        <v>1</v>
      </c>
      <c r="I251" s="75" t="s">
        <v>1</v>
      </c>
      <c r="J251" s="75" t="s">
        <v>1</v>
      </c>
      <c r="K251" s="75" t="s">
        <v>1</v>
      </c>
      <c r="L251" s="28" t="str">
        <f t="shared" si="270"/>
        <v>Infraestruturas</v>
      </c>
      <c r="M251" s="28" t="str">
        <f t="shared" si="271"/>
        <v>Ferroviárias</v>
      </c>
      <c r="N251" s="28" t="str">
        <f t="shared" si="280"/>
        <v>Ferrovias Estações</v>
      </c>
      <c r="O251" s="29" t="str">
        <f t="shared" si="272"/>
        <v>Estação.Central</v>
      </c>
      <c r="P251" s="44" t="s">
        <v>951</v>
      </c>
      <c r="Q251" s="44" t="s">
        <v>952</v>
      </c>
      <c r="R251" s="29" t="s">
        <v>1</v>
      </c>
      <c r="S251" s="29" t="str">
        <f t="shared" si="281"/>
        <v>Infraestruturas</v>
      </c>
      <c r="T251" s="29" t="str">
        <f t="shared" si="282"/>
        <v>Ferroviárias</v>
      </c>
      <c r="U251" s="29" t="str">
        <f t="shared" ref="U251" si="283">SUBSTITUTE(E251, ".", " ")</f>
        <v>Ferrovias Estações</v>
      </c>
      <c r="V251" s="29" t="s">
        <v>1476</v>
      </c>
      <c r="W251" s="66" t="str">
        <f t="shared" si="185"/>
        <v>Key-BRMG-251</v>
      </c>
      <c r="X251" s="29" t="s">
        <v>1355</v>
      </c>
      <c r="Y251" s="41" t="s">
        <v>1401</v>
      </c>
      <c r="Z251" s="41" t="s">
        <v>1</v>
      </c>
      <c r="AA251" s="29" t="str">
        <f t="shared" si="200"/>
        <v>Central station of the line. Large stations such as Central do Brasil, Leopoldina or Retiro.</v>
      </c>
    </row>
    <row r="252" spans="1:27" ht="6.6" customHeight="1" x14ac:dyDescent="0.25">
      <c r="A252" s="73">
        <v>252</v>
      </c>
      <c r="B252" s="30" t="s">
        <v>1474</v>
      </c>
      <c r="C252" s="31" t="s">
        <v>884</v>
      </c>
      <c r="D252" s="30" t="s">
        <v>890</v>
      </c>
      <c r="E252" s="30" t="s">
        <v>1304</v>
      </c>
      <c r="F252" s="45" t="s">
        <v>804</v>
      </c>
      <c r="G252" s="75" t="s">
        <v>1</v>
      </c>
      <c r="H252" s="75" t="s">
        <v>1</v>
      </c>
      <c r="I252" s="75" t="s">
        <v>1</v>
      </c>
      <c r="J252" s="75" t="s">
        <v>1</v>
      </c>
      <c r="K252" s="75" t="s">
        <v>1</v>
      </c>
      <c r="L252" s="28" t="str">
        <f t="shared" ref="L252" si="284">CONCATENATE("", C252)</f>
        <v>Infraestruturas</v>
      </c>
      <c r="M252" s="28" t="str">
        <f t="shared" ref="M252" si="285">CONCATENATE("", D252)</f>
        <v>Ferroviárias</v>
      </c>
      <c r="N252" s="28" t="str">
        <f t="shared" ref="N252" si="286">(SUBSTITUTE(SUBSTITUTE(CONCATENATE("",E252),"."," ")," De "," de "))</f>
        <v>Ferrovias Estações</v>
      </c>
      <c r="O252" s="29" t="str">
        <f t="shared" ref="O252" si="287">F252</f>
        <v>Estação.Terminal</v>
      </c>
      <c r="P252" s="44" t="s">
        <v>805</v>
      </c>
      <c r="Q252" s="44" t="s">
        <v>806</v>
      </c>
      <c r="R252" s="29" t="s">
        <v>1</v>
      </c>
      <c r="S252" s="29" t="str">
        <f t="shared" ref="S252" si="288">SUBSTITUTE(C252, ".", " ")</f>
        <v>Infraestruturas</v>
      </c>
      <c r="T252" s="29" t="str">
        <f t="shared" ref="T252" si="289">SUBSTITUTE(D252, ".", " ")</f>
        <v>Ferroviárias</v>
      </c>
      <c r="U252" s="29" t="str">
        <f t="shared" si="250"/>
        <v>Ferrovias Estações</v>
      </c>
      <c r="V252" s="29" t="s">
        <v>1476</v>
      </c>
      <c r="W252" s="66" t="str">
        <f t="shared" si="185"/>
        <v>Key-BRMG-252</v>
      </c>
      <c r="X252" s="29" t="s">
        <v>1355</v>
      </c>
      <c r="Y252" s="41" t="s">
        <v>1401</v>
      </c>
      <c r="Z252" s="41" t="s">
        <v>1</v>
      </c>
      <c r="AA252" s="29" t="str">
        <f t="shared" si="200"/>
        <v>Line terminal station.</v>
      </c>
    </row>
    <row r="253" spans="1:27" ht="6.6" customHeight="1" x14ac:dyDescent="0.25">
      <c r="A253" s="73">
        <v>253</v>
      </c>
      <c r="B253" s="30" t="s">
        <v>1474</v>
      </c>
      <c r="C253" s="31" t="s">
        <v>884</v>
      </c>
      <c r="D253" s="30" t="s">
        <v>890</v>
      </c>
      <c r="E253" s="30" t="s">
        <v>1304</v>
      </c>
      <c r="F253" s="45" t="s">
        <v>799</v>
      </c>
      <c r="G253" s="75" t="s">
        <v>1</v>
      </c>
      <c r="H253" s="75" t="s">
        <v>1</v>
      </c>
      <c r="I253" s="75" t="s">
        <v>1</v>
      </c>
      <c r="J253" s="75" t="s">
        <v>1</v>
      </c>
      <c r="K253" s="75" t="s">
        <v>1</v>
      </c>
      <c r="L253" s="28" t="str">
        <f t="shared" si="270"/>
        <v>Infraestruturas</v>
      </c>
      <c r="M253" s="28" t="str">
        <f t="shared" si="271"/>
        <v>Ferroviárias</v>
      </c>
      <c r="N253" s="28" t="str">
        <f t="shared" si="280"/>
        <v>Ferrovias Estações</v>
      </c>
      <c r="O253" s="29" t="str">
        <f t="shared" si="272"/>
        <v>Estação.de.Transferência</v>
      </c>
      <c r="P253" s="44" t="s">
        <v>800</v>
      </c>
      <c r="Q253" s="44" t="s">
        <v>802</v>
      </c>
      <c r="R253" s="29" t="s">
        <v>1</v>
      </c>
      <c r="S253" s="29" t="str">
        <f t="shared" si="281"/>
        <v>Infraestruturas</v>
      </c>
      <c r="T253" s="29" t="str">
        <f t="shared" si="282"/>
        <v>Ferroviárias</v>
      </c>
      <c r="U253" s="29" t="str">
        <f t="shared" si="250"/>
        <v>Ferrovias Estações</v>
      </c>
      <c r="V253" s="29" t="s">
        <v>1476</v>
      </c>
      <c r="W253" s="66" t="str">
        <f t="shared" si="185"/>
        <v>Key-BRMG-253</v>
      </c>
      <c r="X253" s="29" t="s">
        <v>1355</v>
      </c>
      <c r="Y253" s="41" t="s">
        <v>1401</v>
      </c>
      <c r="Z253" s="41" t="s">
        <v>1</v>
      </c>
      <c r="AA253" s="29" t="str">
        <f t="shared" si="200"/>
        <v>Transfer station of the same modal.</v>
      </c>
    </row>
    <row r="254" spans="1:27" ht="6.6" customHeight="1" x14ac:dyDescent="0.25">
      <c r="A254" s="73">
        <v>254</v>
      </c>
      <c r="B254" s="30" t="s">
        <v>1474</v>
      </c>
      <c r="C254" s="31" t="s">
        <v>884</v>
      </c>
      <c r="D254" s="30" t="s">
        <v>890</v>
      </c>
      <c r="E254" s="30" t="s">
        <v>1304</v>
      </c>
      <c r="F254" s="45" t="s">
        <v>807</v>
      </c>
      <c r="G254" s="75" t="s">
        <v>1</v>
      </c>
      <c r="H254" s="75" t="s">
        <v>1</v>
      </c>
      <c r="I254" s="75" t="s">
        <v>1</v>
      </c>
      <c r="J254" s="75" t="s">
        <v>1</v>
      </c>
      <c r="K254" s="75" t="s">
        <v>1</v>
      </c>
      <c r="L254" s="28" t="str">
        <f t="shared" ref="L254" si="290">CONCATENATE("", C254)</f>
        <v>Infraestruturas</v>
      </c>
      <c r="M254" s="28" t="str">
        <f t="shared" ref="M254" si="291">CONCATENATE("", D254)</f>
        <v>Ferroviárias</v>
      </c>
      <c r="N254" s="28" t="str">
        <f t="shared" ref="N254" si="292">(SUBSTITUTE(SUBSTITUTE(CONCATENATE("",E254),"."," ")," De "," de "))</f>
        <v>Ferrovias Estações</v>
      </c>
      <c r="O254" s="29" t="str">
        <f t="shared" ref="O254" si="293">F254</f>
        <v>Estação.Intermodal</v>
      </c>
      <c r="P254" s="44" t="s">
        <v>801</v>
      </c>
      <c r="Q254" s="44" t="s">
        <v>803</v>
      </c>
      <c r="R254" s="29" t="s">
        <v>1</v>
      </c>
      <c r="S254" s="29" t="str">
        <f t="shared" ref="S254" si="294">SUBSTITUTE(C254, ".", " ")</f>
        <v>Infraestruturas</v>
      </c>
      <c r="T254" s="29" t="str">
        <f t="shared" ref="T254" si="295">SUBSTITUTE(D254, ".", " ")</f>
        <v>Ferroviárias</v>
      </c>
      <c r="U254" s="29" t="str">
        <f t="shared" si="250"/>
        <v>Ferrovias Estações</v>
      </c>
      <c r="V254" s="29" t="s">
        <v>1476</v>
      </c>
      <c r="W254" s="66" t="str">
        <f t="shared" si="185"/>
        <v>Key-BRMG-254</v>
      </c>
      <c r="X254" s="29" t="s">
        <v>1355</v>
      </c>
      <c r="Y254" s="41" t="s">
        <v>1401</v>
      </c>
      <c r="Z254" s="41" t="s">
        <v>1</v>
      </c>
      <c r="AA254" s="29" t="str">
        <f t="shared" si="200"/>
        <v>Multimodal transfer station.</v>
      </c>
    </row>
    <row r="255" spans="1:27" ht="6.6" customHeight="1" x14ac:dyDescent="0.25">
      <c r="A255" s="73">
        <v>255</v>
      </c>
      <c r="B255" s="30" t="s">
        <v>1474</v>
      </c>
      <c r="C255" s="31" t="s">
        <v>884</v>
      </c>
      <c r="D255" s="30" t="s">
        <v>890</v>
      </c>
      <c r="E255" s="30" t="s">
        <v>1304</v>
      </c>
      <c r="F255" s="45" t="s">
        <v>787</v>
      </c>
      <c r="G255" s="75" t="s">
        <v>1</v>
      </c>
      <c r="H255" s="75" t="s">
        <v>1</v>
      </c>
      <c r="I255" s="75" t="s">
        <v>1</v>
      </c>
      <c r="J255" s="75" t="s">
        <v>1</v>
      </c>
      <c r="K255" s="75" t="s">
        <v>1</v>
      </c>
      <c r="L255" s="28" t="str">
        <f t="shared" si="270"/>
        <v>Infraestruturas</v>
      </c>
      <c r="M255" s="28" t="str">
        <f t="shared" si="271"/>
        <v>Ferroviárias</v>
      </c>
      <c r="N255" s="28" t="str">
        <f t="shared" si="280"/>
        <v>Ferrovias Estações</v>
      </c>
      <c r="O255" s="29" t="str">
        <f t="shared" si="272"/>
        <v>Estação.de.Trem</v>
      </c>
      <c r="P255" s="44" t="s">
        <v>791</v>
      </c>
      <c r="Q255" s="44" t="s">
        <v>795</v>
      </c>
      <c r="R255" s="29" t="s">
        <v>1</v>
      </c>
      <c r="S255" s="29" t="str">
        <f t="shared" si="281"/>
        <v>Infraestruturas</v>
      </c>
      <c r="T255" s="29" t="str">
        <f t="shared" si="282"/>
        <v>Ferroviárias</v>
      </c>
      <c r="U255" s="29" t="str">
        <f t="shared" si="250"/>
        <v>Ferrovias Estações</v>
      </c>
      <c r="V255" s="29" t="s">
        <v>1476</v>
      </c>
      <c r="W255" s="66" t="str">
        <f t="shared" si="185"/>
        <v>Key-BRMG-255</v>
      </c>
      <c r="X255" s="29" t="s">
        <v>1355</v>
      </c>
      <c r="Y255" s="41" t="s">
        <v>1401</v>
      </c>
      <c r="Z255" s="41" t="s">
        <v>1</v>
      </c>
      <c r="AA255" s="29" t="str">
        <f t="shared" si="200"/>
        <v>Train station.</v>
      </c>
    </row>
    <row r="256" spans="1:27" ht="6.6" customHeight="1" x14ac:dyDescent="0.25">
      <c r="A256" s="73">
        <v>256</v>
      </c>
      <c r="B256" s="30" t="s">
        <v>1474</v>
      </c>
      <c r="C256" s="31" t="s">
        <v>884</v>
      </c>
      <c r="D256" s="30" t="s">
        <v>890</v>
      </c>
      <c r="E256" s="30" t="s">
        <v>1304</v>
      </c>
      <c r="F256" s="45" t="s">
        <v>788</v>
      </c>
      <c r="G256" s="75" t="s">
        <v>1</v>
      </c>
      <c r="H256" s="75" t="s">
        <v>1</v>
      </c>
      <c r="I256" s="75" t="s">
        <v>1</v>
      </c>
      <c r="J256" s="75" t="s">
        <v>1</v>
      </c>
      <c r="K256" s="75" t="s">
        <v>1</v>
      </c>
      <c r="L256" s="28" t="str">
        <f t="shared" si="270"/>
        <v>Infraestruturas</v>
      </c>
      <c r="M256" s="28" t="str">
        <f t="shared" si="271"/>
        <v>Ferroviárias</v>
      </c>
      <c r="N256" s="28" t="str">
        <f t="shared" si="280"/>
        <v>Ferrovias Estações</v>
      </c>
      <c r="O256" s="29" t="str">
        <f t="shared" si="272"/>
        <v>Estação.de.Metro</v>
      </c>
      <c r="P256" s="44" t="s">
        <v>792</v>
      </c>
      <c r="Q256" s="44" t="s">
        <v>796</v>
      </c>
      <c r="R256" s="29" t="s">
        <v>1</v>
      </c>
      <c r="S256" s="29" t="str">
        <f t="shared" si="281"/>
        <v>Infraestruturas</v>
      </c>
      <c r="T256" s="29" t="str">
        <f t="shared" si="282"/>
        <v>Ferroviárias</v>
      </c>
      <c r="U256" s="29" t="str">
        <f t="shared" si="250"/>
        <v>Ferrovias Estações</v>
      </c>
      <c r="V256" s="29" t="s">
        <v>1476</v>
      </c>
      <c r="W256" s="66" t="str">
        <f t="shared" si="185"/>
        <v>Key-BRMG-256</v>
      </c>
      <c r="X256" s="29" t="s">
        <v>1355</v>
      </c>
      <c r="Y256" s="41" t="s">
        <v>1401</v>
      </c>
      <c r="Z256" s="41" t="s">
        <v>1</v>
      </c>
      <c r="AA256" s="29" t="str">
        <f t="shared" si="200"/>
        <v>Metro station.</v>
      </c>
    </row>
    <row r="257" spans="1:27" ht="6.6" customHeight="1" x14ac:dyDescent="0.25">
      <c r="A257" s="73">
        <v>257</v>
      </c>
      <c r="B257" s="30" t="s">
        <v>1474</v>
      </c>
      <c r="C257" s="31" t="s">
        <v>884</v>
      </c>
      <c r="D257" s="30" t="s">
        <v>890</v>
      </c>
      <c r="E257" s="30" t="s">
        <v>1304</v>
      </c>
      <c r="F257" s="45" t="s">
        <v>789</v>
      </c>
      <c r="G257" s="75" t="s">
        <v>1</v>
      </c>
      <c r="H257" s="75" t="s">
        <v>1</v>
      </c>
      <c r="I257" s="75" t="s">
        <v>1</v>
      </c>
      <c r="J257" s="75" t="s">
        <v>1</v>
      </c>
      <c r="K257" s="75" t="s">
        <v>1</v>
      </c>
      <c r="L257" s="28" t="str">
        <f t="shared" si="270"/>
        <v>Infraestruturas</v>
      </c>
      <c r="M257" s="28" t="str">
        <f t="shared" si="271"/>
        <v>Ferroviárias</v>
      </c>
      <c r="N257" s="28" t="str">
        <f t="shared" si="280"/>
        <v>Ferrovias Estações</v>
      </c>
      <c r="O257" s="29" t="str">
        <f t="shared" si="272"/>
        <v>Estação.de.VLT</v>
      </c>
      <c r="P257" s="44" t="s">
        <v>793</v>
      </c>
      <c r="Q257" s="44" t="s">
        <v>797</v>
      </c>
      <c r="R257" s="29" t="s">
        <v>1</v>
      </c>
      <c r="S257" s="29" t="str">
        <f t="shared" si="281"/>
        <v>Infraestruturas</v>
      </c>
      <c r="T257" s="29" t="str">
        <f t="shared" si="282"/>
        <v>Ferroviárias</v>
      </c>
      <c r="U257" s="29" t="str">
        <f t="shared" si="250"/>
        <v>Ferrovias Estações</v>
      </c>
      <c r="V257" s="29" t="s">
        <v>1476</v>
      </c>
      <c r="W257" s="66" t="str">
        <f t="shared" si="185"/>
        <v>Key-BRMG-257</v>
      </c>
      <c r="X257" s="29" t="s">
        <v>1355</v>
      </c>
      <c r="Y257" s="41" t="s">
        <v>1401</v>
      </c>
      <c r="Z257" s="41" t="s">
        <v>1</v>
      </c>
      <c r="AA257" s="29" t="str">
        <f t="shared" si="200"/>
        <v>Light rail station.</v>
      </c>
    </row>
    <row r="258" spans="1:27" ht="6.6" customHeight="1" x14ac:dyDescent="0.25">
      <c r="A258" s="73">
        <v>258</v>
      </c>
      <c r="B258" s="30" t="s">
        <v>1474</v>
      </c>
      <c r="C258" s="31" t="s">
        <v>884</v>
      </c>
      <c r="D258" s="30" t="s">
        <v>890</v>
      </c>
      <c r="E258" s="30" t="s">
        <v>1304</v>
      </c>
      <c r="F258" s="45" t="s">
        <v>790</v>
      </c>
      <c r="G258" s="75" t="s">
        <v>1</v>
      </c>
      <c r="H258" s="75" t="s">
        <v>1</v>
      </c>
      <c r="I258" s="75" t="s">
        <v>1</v>
      </c>
      <c r="J258" s="75" t="s">
        <v>1</v>
      </c>
      <c r="K258" s="75" t="s">
        <v>1</v>
      </c>
      <c r="L258" s="28" t="str">
        <f t="shared" si="270"/>
        <v>Infraestruturas</v>
      </c>
      <c r="M258" s="28" t="str">
        <f t="shared" si="271"/>
        <v>Ferroviárias</v>
      </c>
      <c r="N258" s="28" t="str">
        <f t="shared" si="280"/>
        <v>Ferrovias Estações</v>
      </c>
      <c r="O258" s="29" t="str">
        <f t="shared" si="272"/>
        <v>Estação.de.Monotrilho</v>
      </c>
      <c r="P258" s="44" t="s">
        <v>794</v>
      </c>
      <c r="Q258" s="44" t="s">
        <v>798</v>
      </c>
      <c r="R258" s="29" t="s">
        <v>1</v>
      </c>
      <c r="S258" s="29" t="str">
        <f t="shared" si="281"/>
        <v>Infraestruturas</v>
      </c>
      <c r="T258" s="29" t="str">
        <f t="shared" si="282"/>
        <v>Ferroviárias</v>
      </c>
      <c r="U258" s="29" t="str">
        <f t="shared" si="250"/>
        <v>Ferrovias Estações</v>
      </c>
      <c r="V258" s="29" t="s">
        <v>1476</v>
      </c>
      <c r="W258" s="66" t="str">
        <f t="shared" si="185"/>
        <v>Key-BRMG-258</v>
      </c>
      <c r="X258" s="29" t="s">
        <v>1355</v>
      </c>
      <c r="Y258" s="41" t="s">
        <v>1420</v>
      </c>
      <c r="Z258" s="41" t="s">
        <v>1</v>
      </c>
      <c r="AA258" s="29" t="str">
        <f t="shared" si="200"/>
        <v>Monorail station.</v>
      </c>
    </row>
    <row r="259" spans="1:27" ht="6.6" customHeight="1" x14ac:dyDescent="0.25">
      <c r="A259" s="73">
        <v>259</v>
      </c>
      <c r="B259" s="30" t="s">
        <v>1474</v>
      </c>
      <c r="C259" s="31" t="s">
        <v>884</v>
      </c>
      <c r="D259" s="30" t="s">
        <v>890</v>
      </c>
      <c r="E259" s="30" t="s">
        <v>901</v>
      </c>
      <c r="F259" s="45" t="s">
        <v>1305</v>
      </c>
      <c r="G259" s="75" t="s">
        <v>1</v>
      </c>
      <c r="H259" s="75" t="s">
        <v>1</v>
      </c>
      <c r="I259" s="75" t="s">
        <v>1</v>
      </c>
      <c r="J259" s="75" t="s">
        <v>1</v>
      </c>
      <c r="K259" s="75" t="s">
        <v>1</v>
      </c>
      <c r="L259" s="28" t="str">
        <f t="shared" si="270"/>
        <v>Infraestruturas</v>
      </c>
      <c r="M259" s="28" t="str">
        <f t="shared" si="271"/>
        <v>Ferroviárias</v>
      </c>
      <c r="N259" s="28" t="str">
        <f t="shared" si="280"/>
        <v>Ferrovias Trilhos</v>
      </c>
      <c r="O259" s="29" t="str">
        <f t="shared" si="272"/>
        <v>Trilho.de.Bitola.Métrica</v>
      </c>
      <c r="P259" s="44" t="s">
        <v>1309</v>
      </c>
      <c r="Q259" s="29" t="s">
        <v>1314</v>
      </c>
      <c r="R259" s="29" t="s">
        <v>1</v>
      </c>
      <c r="S259" s="29" t="str">
        <f t="shared" si="281"/>
        <v>Infraestruturas</v>
      </c>
      <c r="T259" s="29" t="str">
        <f t="shared" si="282"/>
        <v>Ferroviárias</v>
      </c>
      <c r="U259" s="29" t="str">
        <f t="shared" si="250"/>
        <v>Ferrovias Trilhos</v>
      </c>
      <c r="V259" s="29" t="s">
        <v>1476</v>
      </c>
      <c r="W259" s="66" t="str">
        <f t="shared" ref="W259:W322" si="296">CONCATENATE("Key-BRMG-",A259)</f>
        <v>Key-BRMG-259</v>
      </c>
      <c r="X259" s="29" t="s">
        <v>1364</v>
      </c>
      <c r="Y259" s="41" t="s">
        <v>1420</v>
      </c>
      <c r="Z259" s="41" t="s">
        <v>1</v>
      </c>
      <c r="AA259" s="29" t="str">
        <f t="shared" si="200"/>
        <v>Rail designed with the internal distance between rails of 1000 mm.</v>
      </c>
    </row>
    <row r="260" spans="1:27" ht="6.6" customHeight="1" x14ac:dyDescent="0.25">
      <c r="A260" s="73">
        <v>260</v>
      </c>
      <c r="B260" s="30" t="s">
        <v>1474</v>
      </c>
      <c r="C260" s="31" t="s">
        <v>884</v>
      </c>
      <c r="D260" s="30" t="s">
        <v>890</v>
      </c>
      <c r="E260" s="30" t="s">
        <v>901</v>
      </c>
      <c r="F260" s="45" t="s">
        <v>1306</v>
      </c>
      <c r="G260" s="75" t="s">
        <v>1</v>
      </c>
      <c r="H260" s="75" t="s">
        <v>1</v>
      </c>
      <c r="I260" s="75" t="s">
        <v>1</v>
      </c>
      <c r="J260" s="75" t="s">
        <v>1</v>
      </c>
      <c r="K260" s="75" t="s">
        <v>1</v>
      </c>
      <c r="L260" s="28" t="str">
        <f t="shared" si="270"/>
        <v>Infraestruturas</v>
      </c>
      <c r="M260" s="28" t="str">
        <f t="shared" si="271"/>
        <v>Ferroviárias</v>
      </c>
      <c r="N260" s="28" t="str">
        <f t="shared" si="280"/>
        <v>Ferrovias Trilhos</v>
      </c>
      <c r="O260" s="29" t="str">
        <f t="shared" si="272"/>
        <v>Trilho.de.Bitola.Internacional</v>
      </c>
      <c r="P260" s="44" t="s">
        <v>1311</v>
      </c>
      <c r="Q260" s="29" t="s">
        <v>1315</v>
      </c>
      <c r="R260" s="29" t="s">
        <v>1</v>
      </c>
      <c r="S260" s="29" t="str">
        <f t="shared" si="281"/>
        <v>Infraestruturas</v>
      </c>
      <c r="T260" s="29" t="str">
        <f t="shared" si="282"/>
        <v>Ferroviárias</v>
      </c>
      <c r="U260" s="29" t="str">
        <f t="shared" ref="U260:U262" si="297">SUBSTITUTE(E260, ".", " ")</f>
        <v>Ferrovias Trilhos</v>
      </c>
      <c r="V260" s="29" t="s">
        <v>1476</v>
      </c>
      <c r="W260" s="66" t="str">
        <f t="shared" si="296"/>
        <v>Key-BRMG-260</v>
      </c>
      <c r="X260" s="29" t="s">
        <v>1364</v>
      </c>
      <c r="Y260" s="41" t="s">
        <v>1420</v>
      </c>
      <c r="Z260" s="41" t="s">
        <v>1</v>
      </c>
      <c r="AA260" s="29" t="str">
        <f t="shared" si="200"/>
        <v>Rail designed with the internal distance between rails of 1435 mm.</v>
      </c>
    </row>
    <row r="261" spans="1:27" ht="6.6" customHeight="1" x14ac:dyDescent="0.25">
      <c r="A261" s="73">
        <v>261</v>
      </c>
      <c r="B261" s="30" t="s">
        <v>1474</v>
      </c>
      <c r="C261" s="31" t="s">
        <v>884</v>
      </c>
      <c r="D261" s="30" t="s">
        <v>890</v>
      </c>
      <c r="E261" s="30" t="s">
        <v>901</v>
      </c>
      <c r="F261" s="45" t="s">
        <v>1307</v>
      </c>
      <c r="G261" s="75" t="s">
        <v>1</v>
      </c>
      <c r="H261" s="75" t="s">
        <v>1</v>
      </c>
      <c r="I261" s="75" t="s">
        <v>1</v>
      </c>
      <c r="J261" s="75" t="s">
        <v>1</v>
      </c>
      <c r="K261" s="75" t="s">
        <v>1</v>
      </c>
      <c r="L261" s="28" t="str">
        <f t="shared" si="270"/>
        <v>Infraestruturas</v>
      </c>
      <c r="M261" s="28" t="str">
        <f t="shared" si="271"/>
        <v>Ferroviárias</v>
      </c>
      <c r="N261" s="28" t="str">
        <f t="shared" si="280"/>
        <v>Ferrovias Trilhos</v>
      </c>
      <c r="O261" s="29" t="str">
        <f t="shared" si="272"/>
        <v>Trilho.de.Bitola.Irlandesa</v>
      </c>
      <c r="P261" s="44" t="s">
        <v>1310</v>
      </c>
      <c r="Q261" s="29" t="s">
        <v>1316</v>
      </c>
      <c r="R261" s="29" t="s">
        <v>1</v>
      </c>
      <c r="S261" s="29" t="str">
        <f t="shared" si="281"/>
        <v>Infraestruturas</v>
      </c>
      <c r="T261" s="29" t="str">
        <f t="shared" si="282"/>
        <v>Ferroviárias</v>
      </c>
      <c r="U261" s="29" t="str">
        <f t="shared" si="297"/>
        <v>Ferrovias Trilhos</v>
      </c>
      <c r="V261" s="29" t="s">
        <v>1476</v>
      </c>
      <c r="W261" s="66" t="str">
        <f t="shared" si="296"/>
        <v>Key-BRMG-261</v>
      </c>
      <c r="X261" s="29" t="s">
        <v>1364</v>
      </c>
      <c r="Y261" s="41" t="s">
        <v>1420</v>
      </c>
      <c r="Z261" s="41" t="s">
        <v>1</v>
      </c>
      <c r="AA261" s="29" t="str">
        <f t="shared" si="200"/>
        <v>Rail designed with the internal distance between rails of 1600 mm.</v>
      </c>
    </row>
    <row r="262" spans="1:27" ht="6.6" customHeight="1" x14ac:dyDescent="0.25">
      <c r="A262" s="73">
        <v>262</v>
      </c>
      <c r="B262" s="30" t="s">
        <v>1474</v>
      </c>
      <c r="C262" s="31" t="s">
        <v>884</v>
      </c>
      <c r="D262" s="30" t="s">
        <v>890</v>
      </c>
      <c r="E262" s="30" t="s">
        <v>901</v>
      </c>
      <c r="F262" s="45" t="s">
        <v>1308</v>
      </c>
      <c r="G262" s="75" t="s">
        <v>1</v>
      </c>
      <c r="H262" s="75" t="s">
        <v>1</v>
      </c>
      <c r="I262" s="75" t="s">
        <v>1</v>
      </c>
      <c r="J262" s="75" t="s">
        <v>1</v>
      </c>
      <c r="K262" s="75" t="s">
        <v>1</v>
      </c>
      <c r="L262" s="28" t="str">
        <f t="shared" si="270"/>
        <v>Infraestruturas</v>
      </c>
      <c r="M262" s="28" t="str">
        <f t="shared" si="271"/>
        <v>Ferroviárias</v>
      </c>
      <c r="N262" s="28" t="str">
        <f t="shared" si="280"/>
        <v>Ferrovias Trilhos</v>
      </c>
      <c r="O262" s="29" t="str">
        <f t="shared" si="272"/>
        <v>Trilho.de.Bitola.Mista</v>
      </c>
      <c r="P262" s="44" t="s">
        <v>1312</v>
      </c>
      <c r="Q262" s="29" t="s">
        <v>1313</v>
      </c>
      <c r="R262" s="29" t="s">
        <v>1</v>
      </c>
      <c r="S262" s="29" t="str">
        <f t="shared" si="281"/>
        <v>Infraestruturas</v>
      </c>
      <c r="T262" s="29" t="str">
        <f t="shared" si="282"/>
        <v>Ferroviárias</v>
      </c>
      <c r="U262" s="29" t="str">
        <f t="shared" si="297"/>
        <v>Ferrovias Trilhos</v>
      </c>
      <c r="V262" s="29" t="s">
        <v>1476</v>
      </c>
      <c r="W262" s="66" t="str">
        <f t="shared" si="296"/>
        <v>Key-BRMG-262</v>
      </c>
      <c r="X262" s="29" t="s">
        <v>1364</v>
      </c>
      <c r="Y262" s="41" t="s">
        <v>1421</v>
      </c>
      <c r="Z262" s="41" t="s">
        <v>1</v>
      </c>
      <c r="AA262" s="29" t="str">
        <f t="shared" si="200"/>
        <v>Railway track designed with International and Irish gauge.</v>
      </c>
    </row>
    <row r="263" spans="1:27" ht="6.6" customHeight="1" x14ac:dyDescent="0.25">
      <c r="A263" s="73">
        <v>263</v>
      </c>
      <c r="B263" s="30" t="s">
        <v>1474</v>
      </c>
      <c r="C263" s="31" t="s">
        <v>884</v>
      </c>
      <c r="D263" s="30" t="s">
        <v>890</v>
      </c>
      <c r="E263" s="30" t="s">
        <v>901</v>
      </c>
      <c r="F263" s="83" t="s">
        <v>277</v>
      </c>
      <c r="G263" s="75" t="s">
        <v>1</v>
      </c>
      <c r="H263" s="75" t="s">
        <v>1</v>
      </c>
      <c r="I263" s="75" t="s">
        <v>1</v>
      </c>
      <c r="J263" s="75" t="s">
        <v>1</v>
      </c>
      <c r="K263" s="75" t="s">
        <v>1</v>
      </c>
      <c r="L263" s="28" t="str">
        <f t="shared" ref="L263" si="298">CONCATENATE("", C263)</f>
        <v>Infraestruturas</v>
      </c>
      <c r="M263" s="28" t="str">
        <f t="shared" ref="M263" si="299">CONCATENATE("", D263)</f>
        <v>Ferroviárias</v>
      </c>
      <c r="N263" s="28" t="str">
        <f t="shared" si="269"/>
        <v>Ferrovias Trilhos</v>
      </c>
      <c r="O263" s="29" t="str">
        <f t="shared" si="262"/>
        <v>Trilho</v>
      </c>
      <c r="P263" s="84" t="s">
        <v>278</v>
      </c>
      <c r="Q263" s="29" t="s">
        <v>336</v>
      </c>
      <c r="R263" s="29" t="s">
        <v>1</v>
      </c>
      <c r="S263" s="29" t="str">
        <f t="shared" si="249"/>
        <v>Infraestruturas</v>
      </c>
      <c r="T263" s="29" t="str">
        <f t="shared" si="250"/>
        <v>Ferroviárias</v>
      </c>
      <c r="U263" s="29" t="str">
        <f t="shared" si="250"/>
        <v>Ferrovias Trilhos</v>
      </c>
      <c r="V263" s="29" t="s">
        <v>1476</v>
      </c>
      <c r="W263" s="66" t="str">
        <f t="shared" si="296"/>
        <v>Key-BRMG-263</v>
      </c>
      <c r="X263" s="29" t="s">
        <v>1364</v>
      </c>
      <c r="Y263" s="41" t="s">
        <v>1421</v>
      </c>
      <c r="Z263" s="41" t="s">
        <v>1</v>
      </c>
      <c r="AA263" s="29" t="str">
        <f t="shared" si="200"/>
        <v>The basic component of the railroad on which trains run.</v>
      </c>
    </row>
    <row r="264" spans="1:27" ht="6.6" customHeight="1" x14ac:dyDescent="0.25">
      <c r="A264" s="73">
        <v>264</v>
      </c>
      <c r="B264" s="30" t="s">
        <v>1474</v>
      </c>
      <c r="C264" s="31" t="s">
        <v>884</v>
      </c>
      <c r="D264" s="30" t="s">
        <v>890</v>
      </c>
      <c r="E264" s="30" t="s">
        <v>901</v>
      </c>
      <c r="F264" s="83" t="s">
        <v>282</v>
      </c>
      <c r="G264" s="75" t="s">
        <v>1</v>
      </c>
      <c r="H264" s="75" t="s">
        <v>1</v>
      </c>
      <c r="I264" s="75" t="s">
        <v>1</v>
      </c>
      <c r="J264" s="75" t="s">
        <v>1</v>
      </c>
      <c r="K264" s="75" t="s">
        <v>1</v>
      </c>
      <c r="L264" s="28" t="str">
        <f t="shared" ref="L264:L278" si="300">CONCATENATE("", C264)</f>
        <v>Infraestruturas</v>
      </c>
      <c r="M264" s="28" t="str">
        <f t="shared" ref="M264:M278" si="301">CONCATENATE("", D264)</f>
        <v>Ferroviárias</v>
      </c>
      <c r="N264" s="28" t="str">
        <f t="shared" ref="N264:N278" si="302">(SUBSTITUTE(SUBSTITUTE(CONCATENATE("",E264),"."," ")," De "," de "))</f>
        <v>Ferrovias Trilhos</v>
      </c>
      <c r="O264" s="29" t="str">
        <f t="shared" si="262"/>
        <v>Trilho.Lâmina</v>
      </c>
      <c r="P264" s="84" t="s">
        <v>273</v>
      </c>
      <c r="Q264" s="29" t="s">
        <v>337</v>
      </c>
      <c r="R264" s="29" t="s">
        <v>1</v>
      </c>
      <c r="S264" s="29" t="str">
        <f t="shared" si="249"/>
        <v>Infraestruturas</v>
      </c>
      <c r="T264" s="29" t="str">
        <f t="shared" si="250"/>
        <v>Ferroviárias</v>
      </c>
      <c r="U264" s="29" t="str">
        <f t="shared" si="250"/>
        <v>Ferrovias Trilhos</v>
      </c>
      <c r="V264" s="29" t="s">
        <v>1476</v>
      </c>
      <c r="W264" s="66" t="str">
        <f t="shared" si="296"/>
        <v>Key-BRMG-264</v>
      </c>
      <c r="X264" s="29" t="s">
        <v>1364</v>
      </c>
      <c r="Y264" s="41" t="s">
        <v>1421</v>
      </c>
      <c r="Z264" s="41" t="s">
        <v>1</v>
      </c>
      <c r="AA264" s="29" t="str">
        <f t="shared" si="200"/>
        <v>It can refer to the cutting edge or profile of the rail, used in technical contexts.</v>
      </c>
    </row>
    <row r="265" spans="1:27" ht="6.6" customHeight="1" x14ac:dyDescent="0.25">
      <c r="A265" s="73">
        <v>265</v>
      </c>
      <c r="B265" s="30" t="s">
        <v>1474</v>
      </c>
      <c r="C265" s="31" t="s">
        <v>884</v>
      </c>
      <c r="D265" s="30" t="s">
        <v>890</v>
      </c>
      <c r="E265" s="30" t="s">
        <v>901</v>
      </c>
      <c r="F265" s="83" t="s">
        <v>852</v>
      </c>
      <c r="G265" s="75" t="s">
        <v>1</v>
      </c>
      <c r="H265" s="75" t="s">
        <v>1</v>
      </c>
      <c r="I265" s="75" t="s">
        <v>1</v>
      </c>
      <c r="J265" s="75" t="s">
        <v>1</v>
      </c>
      <c r="K265" s="75" t="s">
        <v>1</v>
      </c>
      <c r="L265" s="28" t="str">
        <f t="shared" si="300"/>
        <v>Infraestruturas</v>
      </c>
      <c r="M265" s="28" t="str">
        <f t="shared" si="301"/>
        <v>Ferroviárias</v>
      </c>
      <c r="N265" s="28" t="str">
        <f t="shared" si="302"/>
        <v>Ferrovias Trilhos</v>
      </c>
      <c r="O265" s="29" t="str">
        <f t="shared" si="262"/>
        <v>Trilho.de.Contenção</v>
      </c>
      <c r="P265" s="84" t="s">
        <v>274</v>
      </c>
      <c r="Q265" s="29" t="s">
        <v>338</v>
      </c>
      <c r="R265" s="29" t="s">
        <v>1</v>
      </c>
      <c r="S265" s="29" t="str">
        <f t="shared" si="249"/>
        <v>Infraestruturas</v>
      </c>
      <c r="T265" s="29" t="str">
        <f t="shared" si="250"/>
        <v>Ferroviárias</v>
      </c>
      <c r="U265" s="29" t="str">
        <f t="shared" si="250"/>
        <v>Ferrovias Trilhos</v>
      </c>
      <c r="V265" s="29" t="s">
        <v>1476</v>
      </c>
      <c r="W265" s="66" t="str">
        <f t="shared" si="296"/>
        <v>Key-BRMG-265</v>
      </c>
      <c r="X265" s="29" t="s">
        <v>1364</v>
      </c>
      <c r="Y265" s="41" t="s">
        <v>1421</v>
      </c>
      <c r="Z265" s="41" t="s">
        <v>1</v>
      </c>
      <c r="AA265" s="29" t="str">
        <f t="shared" ref="AA265:AA328" si="303">_xlfn.TRANSLATE(P265,"pt","en")</f>
        <v>Additional rail placed next to the main rail on sharp turns to prevent derailment.</v>
      </c>
    </row>
    <row r="266" spans="1:27" ht="6.6" customHeight="1" x14ac:dyDescent="0.25">
      <c r="A266" s="73">
        <v>266</v>
      </c>
      <c r="B266" s="30" t="s">
        <v>1474</v>
      </c>
      <c r="C266" s="31" t="s">
        <v>884</v>
      </c>
      <c r="D266" s="30" t="s">
        <v>890</v>
      </c>
      <c r="E266" s="30" t="s">
        <v>901</v>
      </c>
      <c r="F266" s="83" t="s">
        <v>853</v>
      </c>
      <c r="G266" s="75" t="s">
        <v>1</v>
      </c>
      <c r="H266" s="75" t="s">
        <v>1</v>
      </c>
      <c r="I266" s="75" t="s">
        <v>1</v>
      </c>
      <c r="J266" s="75" t="s">
        <v>1</v>
      </c>
      <c r="K266" s="75" t="s">
        <v>1</v>
      </c>
      <c r="L266" s="28" t="str">
        <f t="shared" si="300"/>
        <v>Infraestruturas</v>
      </c>
      <c r="M266" s="28" t="str">
        <f t="shared" si="301"/>
        <v>Ferroviárias</v>
      </c>
      <c r="N266" s="28" t="str">
        <f t="shared" si="302"/>
        <v>Ferrovias Trilhos</v>
      </c>
      <c r="O266" s="29" t="str">
        <f t="shared" si="262"/>
        <v>Trilho.de.Segurança</v>
      </c>
      <c r="P266" s="84" t="s">
        <v>275</v>
      </c>
      <c r="Q266" s="29" t="s">
        <v>339</v>
      </c>
      <c r="R266" s="29" t="s">
        <v>1</v>
      </c>
      <c r="S266" s="29" t="str">
        <f t="shared" si="249"/>
        <v>Infraestruturas</v>
      </c>
      <c r="T266" s="29" t="str">
        <f t="shared" si="250"/>
        <v>Ferroviárias</v>
      </c>
      <c r="U266" s="29" t="str">
        <f t="shared" si="250"/>
        <v>Ferrovias Trilhos</v>
      </c>
      <c r="V266" s="29" t="s">
        <v>1476</v>
      </c>
      <c r="W266" s="66" t="str">
        <f t="shared" si="296"/>
        <v>Key-BRMG-266</v>
      </c>
      <c r="X266" s="29" t="s">
        <v>1364</v>
      </c>
      <c r="Y266" s="41" t="s">
        <v>1421</v>
      </c>
      <c r="Z266" s="41" t="s">
        <v>1</v>
      </c>
      <c r="AA266" s="29" t="str">
        <f t="shared" si="303"/>
        <v>Similar to checkrail, it protects against derailments, especially at bridges and crossings.</v>
      </c>
    </row>
    <row r="267" spans="1:27" ht="6.6" customHeight="1" x14ac:dyDescent="0.25">
      <c r="A267" s="73">
        <v>267</v>
      </c>
      <c r="B267" s="30" t="s">
        <v>1474</v>
      </c>
      <c r="C267" s="31" t="s">
        <v>884</v>
      </c>
      <c r="D267" s="30" t="s">
        <v>890</v>
      </c>
      <c r="E267" s="30" t="s">
        <v>901</v>
      </c>
      <c r="F267" s="83" t="s">
        <v>281</v>
      </c>
      <c r="G267" s="75" t="s">
        <v>1</v>
      </c>
      <c r="H267" s="75" t="s">
        <v>1</v>
      </c>
      <c r="I267" s="75" t="s">
        <v>1</v>
      </c>
      <c r="J267" s="75" t="s">
        <v>1</v>
      </c>
      <c r="K267" s="75" t="s">
        <v>1</v>
      </c>
      <c r="L267" s="28" t="str">
        <f t="shared" si="300"/>
        <v>Infraestruturas</v>
      </c>
      <c r="M267" s="28" t="str">
        <f t="shared" si="301"/>
        <v>Ferroviárias</v>
      </c>
      <c r="N267" s="28" t="str">
        <f t="shared" si="302"/>
        <v>Ferrovias Trilhos</v>
      </c>
      <c r="O267" s="29" t="str">
        <f t="shared" si="262"/>
        <v>Trilho.Dentado</v>
      </c>
      <c r="P267" s="84" t="s">
        <v>276</v>
      </c>
      <c r="Q267" s="29" t="s">
        <v>340</v>
      </c>
      <c r="R267" s="29" t="s">
        <v>1</v>
      </c>
      <c r="S267" s="29" t="str">
        <f t="shared" si="249"/>
        <v>Infraestruturas</v>
      </c>
      <c r="T267" s="29" t="str">
        <f t="shared" si="250"/>
        <v>Ferroviárias</v>
      </c>
      <c r="U267" s="29" t="str">
        <f t="shared" si="250"/>
        <v>Ferrovias Trilhos</v>
      </c>
      <c r="V267" s="29" t="s">
        <v>1476</v>
      </c>
      <c r="W267" s="66" t="str">
        <f t="shared" si="296"/>
        <v>Key-BRMG-267</v>
      </c>
      <c r="X267" s="29" t="s">
        <v>1364</v>
      </c>
      <c r="Y267" s="41" t="s">
        <v>1421</v>
      </c>
      <c r="Z267" s="41" t="s">
        <v>1</v>
      </c>
      <c r="AA267" s="29" t="str">
        <f t="shared" si="303"/>
        <v>Used on cogwheel railways, where locomotives climb steep inclines with gears.</v>
      </c>
    </row>
    <row r="268" spans="1:27" ht="6.6" customHeight="1" x14ac:dyDescent="0.25">
      <c r="A268" s="73">
        <v>268</v>
      </c>
      <c r="B268" s="30" t="s">
        <v>1474</v>
      </c>
      <c r="C268" s="31" t="s">
        <v>884</v>
      </c>
      <c r="D268" s="30" t="s">
        <v>890</v>
      </c>
      <c r="E268" s="30" t="s">
        <v>901</v>
      </c>
      <c r="F268" s="83" t="s">
        <v>280</v>
      </c>
      <c r="G268" s="75" t="s">
        <v>1</v>
      </c>
      <c r="H268" s="75" t="s">
        <v>1</v>
      </c>
      <c r="I268" s="75" t="s">
        <v>1</v>
      </c>
      <c r="J268" s="75" t="s">
        <v>1</v>
      </c>
      <c r="K268" s="75" t="s">
        <v>1</v>
      </c>
      <c r="L268" s="28" t="str">
        <f t="shared" si="300"/>
        <v>Infraestruturas</v>
      </c>
      <c r="M268" s="28" t="str">
        <f t="shared" si="301"/>
        <v>Ferroviárias</v>
      </c>
      <c r="N268" s="28" t="str">
        <f t="shared" si="302"/>
        <v>Ferrovias Trilhos</v>
      </c>
      <c r="O268" s="29" t="str">
        <f t="shared" si="262"/>
        <v>Trilho.Fixo</v>
      </c>
      <c r="P268" s="84" t="s">
        <v>279</v>
      </c>
      <c r="Q268" s="29" t="s">
        <v>341</v>
      </c>
      <c r="R268" s="29" t="s">
        <v>1</v>
      </c>
      <c r="S268" s="29" t="str">
        <f t="shared" si="249"/>
        <v>Infraestruturas</v>
      </c>
      <c r="T268" s="29" t="str">
        <f t="shared" si="250"/>
        <v>Ferroviárias</v>
      </c>
      <c r="U268" s="29" t="str">
        <f t="shared" si="250"/>
        <v>Ferrovias Trilhos</v>
      </c>
      <c r="V268" s="29" t="s">
        <v>1476</v>
      </c>
      <c r="W268" s="66" t="str">
        <f t="shared" si="296"/>
        <v>Key-BRMG-268</v>
      </c>
      <c r="X268" s="29" t="s">
        <v>1364</v>
      </c>
      <c r="Y268" s="41" t="s">
        <v>1422</v>
      </c>
      <c r="Z268" s="41" t="s">
        <v>1</v>
      </c>
      <c r="AA268" s="29" t="str">
        <f t="shared" si="303"/>
        <v>Part of the rail that remains fixed on turnouts, against which the moving rail rests.</v>
      </c>
    </row>
    <row r="269" spans="1:27" ht="6.6" customHeight="1" x14ac:dyDescent="0.25">
      <c r="A269" s="73">
        <v>269</v>
      </c>
      <c r="B269" s="30" t="s">
        <v>1474</v>
      </c>
      <c r="C269" s="31" t="s">
        <v>884</v>
      </c>
      <c r="D269" s="30" t="s">
        <v>890</v>
      </c>
      <c r="E269" s="30" t="s">
        <v>901</v>
      </c>
      <c r="F269" s="83" t="s">
        <v>303</v>
      </c>
      <c r="G269" s="75" t="s">
        <v>1</v>
      </c>
      <c r="H269" s="75" t="s">
        <v>1</v>
      </c>
      <c r="I269" s="75" t="s">
        <v>1</v>
      </c>
      <c r="J269" s="75" t="s">
        <v>1</v>
      </c>
      <c r="K269" s="75" t="s">
        <v>1</v>
      </c>
      <c r="L269" s="28" t="str">
        <f t="shared" si="300"/>
        <v>Infraestruturas</v>
      </c>
      <c r="M269" s="28" t="str">
        <f t="shared" si="301"/>
        <v>Ferroviárias</v>
      </c>
      <c r="N269" s="28" t="str">
        <f t="shared" si="302"/>
        <v>Ferrovias Trilhos</v>
      </c>
      <c r="O269" s="29" t="str">
        <f t="shared" si="262"/>
        <v>Trilho.AMV</v>
      </c>
      <c r="P269" s="84" t="s">
        <v>294</v>
      </c>
      <c r="Q269" s="29" t="s">
        <v>342</v>
      </c>
      <c r="R269" s="29" t="s">
        <v>1</v>
      </c>
      <c r="S269" s="29" t="str">
        <f t="shared" si="249"/>
        <v>Infraestruturas</v>
      </c>
      <c r="T269" s="29" t="str">
        <f t="shared" si="250"/>
        <v>Ferroviárias</v>
      </c>
      <c r="U269" s="29" t="str">
        <f t="shared" si="250"/>
        <v>Ferrovias Trilhos</v>
      </c>
      <c r="V269" s="29" t="s">
        <v>1476</v>
      </c>
      <c r="W269" s="66" t="str">
        <f t="shared" si="296"/>
        <v>Key-BRMG-269</v>
      </c>
      <c r="X269" s="29" t="s">
        <v>1364</v>
      </c>
      <c r="Y269" s="44" t="s">
        <v>1422</v>
      </c>
      <c r="Z269" s="41" t="s">
        <v>1</v>
      </c>
      <c r="AA269" s="29" t="str">
        <f t="shared" si="303"/>
        <v>A section that allows the train to change tracks, such as at crossings or detours.</v>
      </c>
    </row>
    <row r="270" spans="1:27" ht="6.6" customHeight="1" x14ac:dyDescent="0.25">
      <c r="A270" s="73">
        <v>270</v>
      </c>
      <c r="B270" s="30" t="s">
        <v>1474</v>
      </c>
      <c r="C270" s="31" t="s">
        <v>884</v>
      </c>
      <c r="D270" s="30" t="s">
        <v>890</v>
      </c>
      <c r="E270" s="30" t="s">
        <v>901</v>
      </c>
      <c r="F270" s="83" t="s">
        <v>307</v>
      </c>
      <c r="G270" s="75" t="s">
        <v>1</v>
      </c>
      <c r="H270" s="75" t="s">
        <v>1</v>
      </c>
      <c r="I270" s="75" t="s">
        <v>1</v>
      </c>
      <c r="J270" s="75" t="s">
        <v>1</v>
      </c>
      <c r="K270" s="75" t="s">
        <v>1</v>
      </c>
      <c r="L270" s="28" t="str">
        <f t="shared" si="300"/>
        <v>Infraestruturas</v>
      </c>
      <c r="M270" s="28" t="str">
        <f t="shared" si="301"/>
        <v>Ferroviárias</v>
      </c>
      <c r="N270" s="28" t="str">
        <f t="shared" si="302"/>
        <v>Ferrovias Trilhos</v>
      </c>
      <c r="O270" s="29" t="str">
        <f t="shared" si="262"/>
        <v>Trilho.Bloqueador</v>
      </c>
      <c r="P270" s="84" t="s">
        <v>295</v>
      </c>
      <c r="Q270" s="29" t="s">
        <v>343</v>
      </c>
      <c r="R270" s="29" t="s">
        <v>1</v>
      </c>
      <c r="S270" s="29" t="str">
        <f t="shared" si="249"/>
        <v>Infraestruturas</v>
      </c>
      <c r="T270" s="29" t="str">
        <f t="shared" si="250"/>
        <v>Ferroviárias</v>
      </c>
      <c r="U270" s="29" t="str">
        <f t="shared" si="250"/>
        <v>Ferrovias Trilhos</v>
      </c>
      <c r="V270" s="29" t="s">
        <v>1476</v>
      </c>
      <c r="W270" s="66" t="str">
        <f t="shared" si="296"/>
        <v>Key-BRMG-270</v>
      </c>
      <c r="X270" s="29" t="s">
        <v>1364</v>
      </c>
      <c r="Y270" s="44" t="s">
        <v>1422</v>
      </c>
      <c r="Z270" s="41" t="s">
        <v>1</v>
      </c>
      <c r="AA270" s="29" t="str">
        <f t="shared" si="303"/>
        <v>Equipment that prevents the movement of trains under certain conditions.</v>
      </c>
    </row>
    <row r="271" spans="1:27" ht="6.6" customHeight="1" x14ac:dyDescent="0.25">
      <c r="A271" s="73">
        <v>271</v>
      </c>
      <c r="B271" s="30" t="s">
        <v>1474</v>
      </c>
      <c r="C271" s="31" t="s">
        <v>884</v>
      </c>
      <c r="D271" s="30" t="s">
        <v>890</v>
      </c>
      <c r="E271" s="30" t="s">
        <v>901</v>
      </c>
      <c r="F271" s="83" t="s">
        <v>304</v>
      </c>
      <c r="G271" s="75" t="s">
        <v>1</v>
      </c>
      <c r="H271" s="75" t="s">
        <v>1</v>
      </c>
      <c r="I271" s="75" t="s">
        <v>1</v>
      </c>
      <c r="J271" s="75" t="s">
        <v>1</v>
      </c>
      <c r="K271" s="75" t="s">
        <v>1</v>
      </c>
      <c r="L271" s="28" t="str">
        <f t="shared" si="300"/>
        <v>Infraestruturas</v>
      </c>
      <c r="M271" s="28" t="str">
        <f t="shared" si="301"/>
        <v>Ferroviárias</v>
      </c>
      <c r="N271" s="28" t="str">
        <f t="shared" si="302"/>
        <v>Ferrovias Trilhos</v>
      </c>
      <c r="O271" s="29" t="str">
        <f t="shared" si="262"/>
        <v>Trilho.Descarrilador</v>
      </c>
      <c r="P271" s="84" t="s">
        <v>296</v>
      </c>
      <c r="Q271" s="29" t="s">
        <v>344</v>
      </c>
      <c r="R271" s="29" t="s">
        <v>1</v>
      </c>
      <c r="S271" s="29" t="str">
        <f t="shared" si="249"/>
        <v>Infraestruturas</v>
      </c>
      <c r="T271" s="29" t="str">
        <f t="shared" si="250"/>
        <v>Ferroviárias</v>
      </c>
      <c r="U271" s="29" t="str">
        <f t="shared" si="250"/>
        <v>Ferrovias Trilhos</v>
      </c>
      <c r="V271" s="29" t="s">
        <v>1476</v>
      </c>
      <c r="W271" s="66" t="str">
        <f t="shared" si="296"/>
        <v>Key-BRMG-271</v>
      </c>
      <c r="X271" s="29" t="s">
        <v>1364</v>
      </c>
      <c r="Y271" s="44" t="s">
        <v>1422</v>
      </c>
      <c r="Z271" s="41" t="s">
        <v>1</v>
      </c>
      <c r="AA271" s="29" t="str">
        <f t="shared" si="303"/>
        <v>Safety device that forces the train off the tracks in the event of an emergency.</v>
      </c>
    </row>
    <row r="272" spans="1:27" ht="6.6" customHeight="1" x14ac:dyDescent="0.25">
      <c r="A272" s="73">
        <v>272</v>
      </c>
      <c r="B272" s="30" t="s">
        <v>1474</v>
      </c>
      <c r="C272" s="31" t="s">
        <v>884</v>
      </c>
      <c r="D272" s="30" t="s">
        <v>890</v>
      </c>
      <c r="E272" s="30" t="s">
        <v>901</v>
      </c>
      <c r="F272" s="83" t="s">
        <v>306</v>
      </c>
      <c r="G272" s="75" t="s">
        <v>1</v>
      </c>
      <c r="H272" s="75" t="s">
        <v>1</v>
      </c>
      <c r="I272" s="75" t="s">
        <v>1</v>
      </c>
      <c r="J272" s="75" t="s">
        <v>1</v>
      </c>
      <c r="K272" s="75" t="s">
        <v>1</v>
      </c>
      <c r="L272" s="28" t="str">
        <f t="shared" si="300"/>
        <v>Infraestruturas</v>
      </c>
      <c r="M272" s="28" t="str">
        <f t="shared" si="301"/>
        <v>Ferroviárias</v>
      </c>
      <c r="N272" s="28" t="str">
        <f t="shared" si="302"/>
        <v>Ferrovias Trilhos</v>
      </c>
      <c r="O272" s="29" t="str">
        <f t="shared" si="262"/>
        <v>Trilho.Cruz</v>
      </c>
      <c r="P272" s="84" t="s">
        <v>297</v>
      </c>
      <c r="Q272" s="29" t="s">
        <v>345</v>
      </c>
      <c r="R272" s="29" t="s">
        <v>1</v>
      </c>
      <c r="S272" s="29" t="str">
        <f t="shared" si="249"/>
        <v>Infraestruturas</v>
      </c>
      <c r="T272" s="29" t="str">
        <f t="shared" si="250"/>
        <v>Ferroviárias</v>
      </c>
      <c r="U272" s="29" t="str">
        <f t="shared" si="250"/>
        <v>Ferrovias Trilhos</v>
      </c>
      <c r="V272" s="29" t="s">
        <v>1476</v>
      </c>
      <c r="W272" s="66" t="str">
        <f t="shared" si="296"/>
        <v>Key-BRMG-272</v>
      </c>
      <c r="X272" s="29" t="s">
        <v>1364</v>
      </c>
      <c r="Y272" s="44" t="s">
        <v>1422</v>
      </c>
      <c r="Z272" s="41" t="s">
        <v>1</v>
      </c>
      <c r="AA272" s="29" t="str">
        <f t="shared" si="303"/>
        <v>Metal piece where the rails intersect in turnouts.</v>
      </c>
    </row>
    <row r="273" spans="1:27" ht="6.6" customHeight="1" x14ac:dyDescent="0.25">
      <c r="A273" s="73">
        <v>273</v>
      </c>
      <c r="B273" s="30" t="s">
        <v>1474</v>
      </c>
      <c r="C273" s="31" t="s">
        <v>884</v>
      </c>
      <c r="D273" s="30" t="s">
        <v>890</v>
      </c>
      <c r="E273" s="30" t="s">
        <v>901</v>
      </c>
      <c r="F273" s="83" t="s">
        <v>308</v>
      </c>
      <c r="G273" s="75" t="s">
        <v>1</v>
      </c>
      <c r="H273" s="75" t="s">
        <v>1</v>
      </c>
      <c r="I273" s="75" t="s">
        <v>1</v>
      </c>
      <c r="J273" s="75" t="s">
        <v>1</v>
      </c>
      <c r="K273" s="75" t="s">
        <v>1</v>
      </c>
      <c r="L273" s="28" t="str">
        <f t="shared" si="300"/>
        <v>Infraestruturas</v>
      </c>
      <c r="M273" s="28" t="str">
        <f t="shared" si="301"/>
        <v>Ferroviárias</v>
      </c>
      <c r="N273" s="28" t="str">
        <f t="shared" si="302"/>
        <v>Ferrovias Trilhos</v>
      </c>
      <c r="O273" s="29" t="str">
        <f t="shared" si="262"/>
        <v>Trilho.Lâmina.Desviadora</v>
      </c>
      <c r="P273" s="84" t="s">
        <v>811</v>
      </c>
      <c r="Q273" s="29" t="s">
        <v>812</v>
      </c>
      <c r="R273" s="29" t="s">
        <v>1</v>
      </c>
      <c r="S273" s="29" t="str">
        <f t="shared" si="249"/>
        <v>Infraestruturas</v>
      </c>
      <c r="T273" s="29" t="str">
        <f t="shared" si="250"/>
        <v>Ferroviárias</v>
      </c>
      <c r="U273" s="29" t="str">
        <f t="shared" si="250"/>
        <v>Ferrovias Trilhos</v>
      </c>
      <c r="V273" s="29" t="s">
        <v>1476</v>
      </c>
      <c r="W273" s="66" t="str">
        <f t="shared" si="296"/>
        <v>Key-BRMG-273</v>
      </c>
      <c r="X273" s="29" t="s">
        <v>1364</v>
      </c>
      <c r="Y273" s="44" t="s">
        <v>1422</v>
      </c>
      <c r="Z273" s="41" t="s">
        <v>1</v>
      </c>
      <c r="AA273" s="29" t="str">
        <f t="shared" si="303"/>
        <v>Moving part of a Turnout Device (AMV) that directs the train to different tracks.</v>
      </c>
    </row>
    <row r="274" spans="1:27" ht="6.6" customHeight="1" x14ac:dyDescent="0.25">
      <c r="A274" s="73">
        <v>274</v>
      </c>
      <c r="B274" s="30" t="s">
        <v>1474</v>
      </c>
      <c r="C274" s="31" t="s">
        <v>884</v>
      </c>
      <c r="D274" s="30" t="s">
        <v>890</v>
      </c>
      <c r="E274" s="30" t="s">
        <v>901</v>
      </c>
      <c r="F274" s="83" t="s">
        <v>305</v>
      </c>
      <c r="G274" s="75" t="s">
        <v>1</v>
      </c>
      <c r="H274" s="75" t="s">
        <v>1</v>
      </c>
      <c r="I274" s="75" t="s">
        <v>1</v>
      </c>
      <c r="J274" s="75" t="s">
        <v>1</v>
      </c>
      <c r="K274" s="75" t="s">
        <v>1</v>
      </c>
      <c r="L274" s="28" t="str">
        <f t="shared" si="300"/>
        <v>Infraestruturas</v>
      </c>
      <c r="M274" s="28" t="str">
        <f t="shared" si="301"/>
        <v>Ferroviárias</v>
      </c>
      <c r="N274" s="28" t="str">
        <f t="shared" si="302"/>
        <v>Ferrovias Trilhos</v>
      </c>
      <c r="O274" s="29" t="str">
        <f t="shared" si="262"/>
        <v>Trilho.Dormente</v>
      </c>
      <c r="P274" s="84" t="s">
        <v>298</v>
      </c>
      <c r="Q274" s="29" t="s">
        <v>346</v>
      </c>
      <c r="R274" s="29" t="s">
        <v>1</v>
      </c>
      <c r="S274" s="29" t="str">
        <f t="shared" si="249"/>
        <v>Infraestruturas</v>
      </c>
      <c r="T274" s="29" t="str">
        <f t="shared" si="250"/>
        <v>Ferroviárias</v>
      </c>
      <c r="U274" s="29" t="str">
        <f t="shared" si="250"/>
        <v>Ferrovias Trilhos</v>
      </c>
      <c r="V274" s="29" t="s">
        <v>1476</v>
      </c>
      <c r="W274" s="66" t="str">
        <f t="shared" si="296"/>
        <v>Key-BRMG-274</v>
      </c>
      <c r="X274" s="29" t="s">
        <v>1364</v>
      </c>
      <c r="Y274" s="44" t="s">
        <v>1422</v>
      </c>
      <c r="Z274" s="41" t="s">
        <v>1</v>
      </c>
      <c r="AA274" s="29" t="str">
        <f t="shared" si="303"/>
        <v>Transverse piece that supports the rails and distributes the load to the ballast.</v>
      </c>
    </row>
    <row r="275" spans="1:27" s="85" customFormat="1" ht="6.6" customHeight="1" x14ac:dyDescent="0.15">
      <c r="A275" s="73">
        <v>275</v>
      </c>
      <c r="B275" s="30" t="s">
        <v>1474</v>
      </c>
      <c r="C275" s="31" t="s">
        <v>884</v>
      </c>
      <c r="D275" s="30" t="s">
        <v>890</v>
      </c>
      <c r="E275" s="30" t="s">
        <v>901</v>
      </c>
      <c r="F275" s="83" t="s">
        <v>854</v>
      </c>
      <c r="G275" s="75" t="s">
        <v>1</v>
      </c>
      <c r="H275" s="75" t="s">
        <v>1</v>
      </c>
      <c r="I275" s="75" t="s">
        <v>1</v>
      </c>
      <c r="J275" s="75" t="s">
        <v>1</v>
      </c>
      <c r="K275" s="75" t="s">
        <v>1</v>
      </c>
      <c r="L275" s="28" t="str">
        <f t="shared" si="300"/>
        <v>Infraestruturas</v>
      </c>
      <c r="M275" s="28" t="str">
        <f t="shared" si="301"/>
        <v>Ferroviárias</v>
      </c>
      <c r="N275" s="28" t="str">
        <f t="shared" si="302"/>
        <v>Ferrovias Trilhos</v>
      </c>
      <c r="O275" s="29" t="str">
        <f t="shared" si="262"/>
        <v>Trilho.Regulador.de.Velocidade</v>
      </c>
      <c r="P275" s="84" t="s">
        <v>299</v>
      </c>
      <c r="Q275" s="29" t="s">
        <v>347</v>
      </c>
      <c r="R275" s="29" t="s">
        <v>1</v>
      </c>
      <c r="S275" s="29" t="str">
        <f t="shared" si="249"/>
        <v>Infraestruturas</v>
      </c>
      <c r="T275" s="29" t="str">
        <f t="shared" si="250"/>
        <v>Ferroviárias</v>
      </c>
      <c r="U275" s="29" t="str">
        <f t="shared" si="250"/>
        <v>Ferrovias Trilhos</v>
      </c>
      <c r="V275" s="29" t="s">
        <v>1476</v>
      </c>
      <c r="W275" s="66" t="str">
        <f t="shared" si="296"/>
        <v>Key-BRMG-275</v>
      </c>
      <c r="X275" s="29" t="s">
        <v>1364</v>
      </c>
      <c r="Y275" s="44" t="s">
        <v>1422</v>
      </c>
      <c r="Z275" s="41" t="s">
        <v>1</v>
      </c>
      <c r="AA275" s="29" t="str">
        <f t="shared" si="303"/>
        <v>Equipment that controls the speed of trains, usually via signaling.</v>
      </c>
    </row>
    <row r="276" spans="1:27" s="85" customFormat="1" ht="6.6" customHeight="1" x14ac:dyDescent="0.15">
      <c r="A276" s="73">
        <v>276</v>
      </c>
      <c r="B276" s="30" t="s">
        <v>1474</v>
      </c>
      <c r="C276" s="31" t="s">
        <v>884</v>
      </c>
      <c r="D276" s="30" t="s">
        <v>890</v>
      </c>
      <c r="E276" s="30" t="s">
        <v>901</v>
      </c>
      <c r="F276" s="83" t="s">
        <v>358</v>
      </c>
      <c r="G276" s="75" t="s">
        <v>1</v>
      </c>
      <c r="H276" s="75" t="s">
        <v>1</v>
      </c>
      <c r="I276" s="75" t="s">
        <v>1</v>
      </c>
      <c r="J276" s="75" t="s">
        <v>1</v>
      </c>
      <c r="K276" s="75" t="s">
        <v>1</v>
      </c>
      <c r="L276" s="28" t="str">
        <f t="shared" si="300"/>
        <v>Infraestruturas</v>
      </c>
      <c r="M276" s="28" t="str">
        <f t="shared" si="301"/>
        <v>Ferroviárias</v>
      </c>
      <c r="N276" s="28" t="str">
        <f t="shared" si="302"/>
        <v>Ferrovias Trilhos</v>
      </c>
      <c r="O276" s="29" t="str">
        <f t="shared" si="262"/>
        <v>Trilho.Batente.Via</v>
      </c>
      <c r="P276" s="84" t="s">
        <v>300</v>
      </c>
      <c r="Q276" s="29" t="s">
        <v>348</v>
      </c>
      <c r="R276" s="29" t="s">
        <v>1</v>
      </c>
      <c r="S276" s="29" t="str">
        <f t="shared" si="249"/>
        <v>Infraestruturas</v>
      </c>
      <c r="T276" s="29" t="str">
        <f t="shared" si="250"/>
        <v>Ferroviárias</v>
      </c>
      <c r="U276" s="29" t="str">
        <f t="shared" si="250"/>
        <v>Ferrovias Trilhos</v>
      </c>
      <c r="V276" s="29" t="s">
        <v>1476</v>
      </c>
      <c r="W276" s="66" t="str">
        <f t="shared" si="296"/>
        <v>Key-BRMG-276</v>
      </c>
      <c r="X276" s="29" t="s">
        <v>1364</v>
      </c>
      <c r="Y276" s="44" t="s">
        <v>1422</v>
      </c>
      <c r="Z276" s="41" t="s">
        <v>1</v>
      </c>
      <c r="AA276" s="29" t="str">
        <f t="shared" si="303"/>
        <v>End point of a railway section, where the route ends.</v>
      </c>
    </row>
    <row r="277" spans="1:27" s="85" customFormat="1" ht="6.6" customHeight="1" x14ac:dyDescent="0.15">
      <c r="A277" s="73">
        <v>277</v>
      </c>
      <c r="B277" s="30" t="s">
        <v>1474</v>
      </c>
      <c r="C277" s="31" t="s">
        <v>884</v>
      </c>
      <c r="D277" s="30" t="s">
        <v>890</v>
      </c>
      <c r="E277" s="30" t="s">
        <v>901</v>
      </c>
      <c r="F277" s="83" t="s">
        <v>357</v>
      </c>
      <c r="G277" s="75" t="s">
        <v>1</v>
      </c>
      <c r="H277" s="75" t="s">
        <v>1</v>
      </c>
      <c r="I277" s="75" t="s">
        <v>1</v>
      </c>
      <c r="J277" s="75" t="s">
        <v>1</v>
      </c>
      <c r="K277" s="75" t="s">
        <v>1</v>
      </c>
      <c r="L277" s="28" t="str">
        <f t="shared" si="300"/>
        <v>Infraestruturas</v>
      </c>
      <c r="M277" s="28" t="str">
        <f t="shared" si="301"/>
        <v>Ferroviárias</v>
      </c>
      <c r="N277" s="28" t="str">
        <f t="shared" si="302"/>
        <v>Ferrovias Trilhos</v>
      </c>
      <c r="O277" s="29" t="str">
        <f t="shared" si="262"/>
        <v>Trilho.Batente.Veícular</v>
      </c>
      <c r="P277" s="84" t="s">
        <v>301</v>
      </c>
      <c r="Q277" s="29" t="s">
        <v>349</v>
      </c>
      <c r="R277" s="29" t="s">
        <v>1</v>
      </c>
      <c r="S277" s="29" t="str">
        <f t="shared" si="249"/>
        <v>Infraestruturas</v>
      </c>
      <c r="T277" s="29" t="str">
        <f t="shared" si="250"/>
        <v>Ferroviárias</v>
      </c>
      <c r="U277" s="29" t="str">
        <f t="shared" si="250"/>
        <v>Ferrovias Trilhos</v>
      </c>
      <c r="V277" s="29" t="s">
        <v>1476</v>
      </c>
      <c r="W277" s="66" t="str">
        <f t="shared" si="296"/>
        <v>Key-BRMG-277</v>
      </c>
      <c r="X277" s="29" t="s">
        <v>1364</v>
      </c>
      <c r="Y277" s="44" t="s">
        <v>1423</v>
      </c>
      <c r="Z277" s="41" t="s">
        <v>1</v>
      </c>
      <c r="AA277" s="29" t="str">
        <f t="shared" si="303"/>
        <v>A physical device that prevents movement beyond a safe point.</v>
      </c>
    </row>
    <row r="278" spans="1:27" ht="6.6" customHeight="1" x14ac:dyDescent="0.25">
      <c r="A278" s="73">
        <v>278</v>
      </c>
      <c r="B278" s="30" t="s">
        <v>1474</v>
      </c>
      <c r="C278" s="31" t="s">
        <v>884</v>
      </c>
      <c r="D278" s="30" t="s">
        <v>890</v>
      </c>
      <c r="E278" s="30" t="s">
        <v>902</v>
      </c>
      <c r="F278" s="83" t="s">
        <v>325</v>
      </c>
      <c r="G278" s="75" t="s">
        <v>1</v>
      </c>
      <c r="H278" s="75" t="s">
        <v>1</v>
      </c>
      <c r="I278" s="75" t="s">
        <v>1</v>
      </c>
      <c r="J278" s="75" t="s">
        <v>1</v>
      </c>
      <c r="K278" s="75" t="s">
        <v>1</v>
      </c>
      <c r="L278" s="28" t="str">
        <f t="shared" si="300"/>
        <v>Infraestruturas</v>
      </c>
      <c r="M278" s="28" t="str">
        <f t="shared" si="301"/>
        <v>Ferroviárias</v>
      </c>
      <c r="N278" s="28" t="str">
        <f t="shared" si="302"/>
        <v>Ferrovias Partes</v>
      </c>
      <c r="O278" s="29" t="str">
        <f t="shared" si="262"/>
        <v>Ferrovia.Componente</v>
      </c>
      <c r="P278" s="84" t="s">
        <v>293</v>
      </c>
      <c r="Q278" s="29" t="s">
        <v>355</v>
      </c>
      <c r="R278" s="29" t="s">
        <v>1</v>
      </c>
      <c r="S278" s="29" t="str">
        <f t="shared" ref="S278" si="304">SUBSTITUTE(C278, ".", " ")</f>
        <v>Infraestruturas</v>
      </c>
      <c r="T278" s="29" t="str">
        <f t="shared" ref="T278" si="305">SUBSTITUTE(D278, ".", " ")</f>
        <v>Ferroviárias</v>
      </c>
      <c r="U278" s="29" t="str">
        <f t="shared" si="250"/>
        <v>Ferrovias Partes</v>
      </c>
      <c r="V278" s="29" t="s">
        <v>1476</v>
      </c>
      <c r="W278" s="66" t="str">
        <f t="shared" si="296"/>
        <v>Key-BRMG-278</v>
      </c>
      <c r="X278" s="29" t="s">
        <v>1364</v>
      </c>
      <c r="Y278" s="44" t="s">
        <v>1423</v>
      </c>
      <c r="Z278" s="41" t="s">
        <v>1</v>
      </c>
      <c r="AA278" s="29" t="str">
        <f t="shared" si="303"/>
        <v>Individual elements that make up the railroad, such as rails and sleepers.</v>
      </c>
    </row>
    <row r="279" spans="1:27" ht="6.6" customHeight="1" x14ac:dyDescent="0.25">
      <c r="A279" s="73">
        <v>279</v>
      </c>
      <c r="B279" s="30" t="s">
        <v>1474</v>
      </c>
      <c r="C279" s="31" t="s">
        <v>884</v>
      </c>
      <c r="D279" s="30" t="s">
        <v>890</v>
      </c>
      <c r="E279" s="30" t="s">
        <v>902</v>
      </c>
      <c r="F279" s="83" t="s">
        <v>813</v>
      </c>
      <c r="G279" s="75" t="s">
        <v>1</v>
      </c>
      <c r="H279" s="75" t="s">
        <v>1</v>
      </c>
      <c r="I279" s="75" t="s">
        <v>1</v>
      </c>
      <c r="J279" s="75" t="s">
        <v>1</v>
      </c>
      <c r="K279" s="75" t="s">
        <v>1</v>
      </c>
      <c r="L279" s="28" t="str">
        <f t="shared" ref="L279" si="306">CONCATENATE("", C279)</f>
        <v>Infraestruturas</v>
      </c>
      <c r="M279" s="28" t="str">
        <f t="shared" ref="M279" si="307">CONCATENATE("", D279)</f>
        <v>Ferroviárias</v>
      </c>
      <c r="N279" s="28" t="str">
        <f t="shared" ref="N279" si="308">(SUBSTITUTE(SUBSTITUTE(CONCATENATE("",E279),"."," ")," De "," de "))</f>
        <v>Ferrovias Partes</v>
      </c>
      <c r="O279" s="29" t="str">
        <f t="shared" ref="O279" si="309">F279</f>
        <v>Ferrovia.Cancela</v>
      </c>
      <c r="P279" s="84" t="s">
        <v>814</v>
      </c>
      <c r="Q279" s="29" t="s">
        <v>815</v>
      </c>
      <c r="R279" s="29" t="s">
        <v>1</v>
      </c>
      <c r="S279" s="29" t="str">
        <f t="shared" si="249"/>
        <v>Infraestruturas</v>
      </c>
      <c r="T279" s="29" t="str">
        <f t="shared" si="250"/>
        <v>Ferroviárias</v>
      </c>
      <c r="U279" s="29" t="str">
        <f t="shared" si="250"/>
        <v>Ferrovias Partes</v>
      </c>
      <c r="V279" s="29" t="s">
        <v>1476</v>
      </c>
      <c r="W279" s="66" t="str">
        <f t="shared" si="296"/>
        <v>Key-BRMG-279</v>
      </c>
      <c r="X279" s="29" t="s">
        <v>1364</v>
      </c>
      <c r="Y279" s="44" t="s">
        <v>1423</v>
      </c>
      <c r="Z279" s="41" t="s">
        <v>1</v>
      </c>
      <c r="AA279" s="29" t="str">
        <f t="shared" si="303"/>
        <v>Railway barrier safety device installed at local level crossings where the railway line crosses urban or rural tracks.</v>
      </c>
    </row>
    <row r="280" spans="1:27" ht="6.6" customHeight="1" x14ac:dyDescent="0.25">
      <c r="A280" s="73">
        <v>280</v>
      </c>
      <c r="B280" s="30" t="s">
        <v>1474</v>
      </c>
      <c r="C280" s="31" t="s">
        <v>884</v>
      </c>
      <c r="D280" s="30" t="s">
        <v>890</v>
      </c>
      <c r="E280" s="30" t="s">
        <v>902</v>
      </c>
      <c r="F280" s="83" t="s">
        <v>808</v>
      </c>
      <c r="G280" s="75" t="s">
        <v>1</v>
      </c>
      <c r="H280" s="75" t="s">
        <v>1</v>
      </c>
      <c r="I280" s="75" t="s">
        <v>1</v>
      </c>
      <c r="J280" s="75" t="s">
        <v>1</v>
      </c>
      <c r="K280" s="75" t="s">
        <v>1</v>
      </c>
      <c r="L280" s="28" t="str">
        <f t="shared" ref="L280:L284" si="310">CONCATENATE("", C280)</f>
        <v>Infraestruturas</v>
      </c>
      <c r="M280" s="28" t="str">
        <f t="shared" ref="M280:M284" si="311">CONCATENATE("", D280)</f>
        <v>Ferroviárias</v>
      </c>
      <c r="N280" s="28" t="str">
        <f t="shared" ref="N280:N284" si="312">(SUBSTITUTE(SUBSTITUTE(CONCATENATE("",E280),"."," ")," De "," de "))</f>
        <v>Ferrovias Partes</v>
      </c>
      <c r="O280" s="29" t="str">
        <f t="shared" ref="O280:O284" si="313">F280</f>
        <v>Ferrovia.Berma</v>
      </c>
      <c r="P280" s="84" t="s">
        <v>809</v>
      </c>
      <c r="Q280" s="29" t="s">
        <v>810</v>
      </c>
      <c r="R280" s="29" t="s">
        <v>1</v>
      </c>
      <c r="S280" s="29" t="str">
        <f t="shared" si="249"/>
        <v>Infraestruturas</v>
      </c>
      <c r="T280" s="29" t="str">
        <f t="shared" si="250"/>
        <v>Ferroviárias</v>
      </c>
      <c r="U280" s="29" t="str">
        <f t="shared" si="250"/>
        <v>Ferrovias Partes</v>
      </c>
      <c r="V280" s="29" t="s">
        <v>1476</v>
      </c>
      <c r="W280" s="66" t="str">
        <f t="shared" si="296"/>
        <v>Key-BRMG-280</v>
      </c>
      <c r="X280" s="29" t="s">
        <v>1364</v>
      </c>
      <c r="Y280" s="44" t="s">
        <v>1423</v>
      </c>
      <c r="Z280" s="41" t="s">
        <v>1</v>
      </c>
      <c r="AA280" s="29" t="str">
        <f t="shared" si="303"/>
        <v>Area next to the railroad, where equipment, signaling and infrastructure are located. Service range.</v>
      </c>
    </row>
    <row r="281" spans="1:27" ht="6.6" customHeight="1" x14ac:dyDescent="0.25">
      <c r="A281" s="73">
        <v>281</v>
      </c>
      <c r="B281" s="30" t="s">
        <v>1474</v>
      </c>
      <c r="C281" s="31" t="s">
        <v>884</v>
      </c>
      <c r="D281" s="30" t="s">
        <v>890</v>
      </c>
      <c r="E281" s="30" t="s">
        <v>902</v>
      </c>
      <c r="F281" s="83" t="s">
        <v>313</v>
      </c>
      <c r="G281" s="75" t="s">
        <v>1</v>
      </c>
      <c r="H281" s="75" t="s">
        <v>1</v>
      </c>
      <c r="I281" s="75" t="s">
        <v>1</v>
      </c>
      <c r="J281" s="75" t="s">
        <v>1</v>
      </c>
      <c r="K281" s="75" t="s">
        <v>1</v>
      </c>
      <c r="L281" s="28" t="str">
        <f t="shared" ref="L281" si="314">CONCATENATE("", C281)</f>
        <v>Infraestruturas</v>
      </c>
      <c r="M281" s="28" t="str">
        <f t="shared" ref="M281" si="315">CONCATENATE("", D281)</f>
        <v>Ferroviárias</v>
      </c>
      <c r="N281" s="28" t="str">
        <f t="shared" ref="N281" si="316">(SUBSTITUTE(SUBSTITUTE(CONCATENATE("",E281),"."," ")," De "," de "))</f>
        <v>Ferrovias Partes</v>
      </c>
      <c r="O281" s="29" t="str">
        <f t="shared" ref="O281" si="317">F281</f>
        <v>Ferrovia.Aerea</v>
      </c>
      <c r="P281" s="84" t="s">
        <v>302</v>
      </c>
      <c r="Q281" s="29" t="s">
        <v>350</v>
      </c>
      <c r="R281" s="29" t="s">
        <v>1</v>
      </c>
      <c r="S281" s="29" t="str">
        <f t="shared" si="249"/>
        <v>Infraestruturas</v>
      </c>
      <c r="T281" s="29" t="str">
        <f t="shared" si="250"/>
        <v>Ferroviárias</v>
      </c>
      <c r="U281" s="29" t="str">
        <f t="shared" si="250"/>
        <v>Ferrovias Partes</v>
      </c>
      <c r="V281" s="29" t="s">
        <v>1476</v>
      </c>
      <c r="W281" s="66" t="str">
        <f t="shared" si="296"/>
        <v>Key-BRMG-281</v>
      </c>
      <c r="X281" s="29" t="s">
        <v>1364</v>
      </c>
      <c r="Y281" s="44" t="s">
        <v>1423</v>
      </c>
      <c r="Z281" s="41" t="s">
        <v>1</v>
      </c>
      <c r="AA281" s="29" t="str">
        <f t="shared" si="303"/>
        <v>Aerial parts of the railway, such as signallers, electrification of railway wires, etc.</v>
      </c>
    </row>
    <row r="282" spans="1:27" ht="6.6" customHeight="1" x14ac:dyDescent="0.25">
      <c r="A282" s="73">
        <v>282</v>
      </c>
      <c r="B282" s="30" t="s">
        <v>1474</v>
      </c>
      <c r="C282" s="31" t="s">
        <v>884</v>
      </c>
      <c r="D282" s="30" t="s">
        <v>890</v>
      </c>
      <c r="E282" s="30" t="s">
        <v>902</v>
      </c>
      <c r="F282" s="83" t="s">
        <v>312</v>
      </c>
      <c r="G282" s="75" t="s">
        <v>1</v>
      </c>
      <c r="H282" s="75" t="s">
        <v>1</v>
      </c>
      <c r="I282" s="75" t="s">
        <v>1</v>
      </c>
      <c r="J282" s="75" t="s">
        <v>1</v>
      </c>
      <c r="K282" s="75" t="s">
        <v>1</v>
      </c>
      <c r="L282" s="28" t="str">
        <f t="shared" si="310"/>
        <v>Infraestruturas</v>
      </c>
      <c r="M282" s="28" t="str">
        <f t="shared" si="311"/>
        <v>Ferroviárias</v>
      </c>
      <c r="N282" s="28" t="str">
        <f t="shared" si="312"/>
        <v>Ferrovias Partes</v>
      </c>
      <c r="O282" s="29" t="str">
        <f t="shared" si="313"/>
        <v>Ferrovia.Superestrutura</v>
      </c>
      <c r="P282" s="84" t="s">
        <v>289</v>
      </c>
      <c r="Q282" s="29" t="s">
        <v>351</v>
      </c>
      <c r="R282" s="29" t="s">
        <v>1</v>
      </c>
      <c r="S282" s="29" t="str">
        <f t="shared" si="249"/>
        <v>Infraestruturas</v>
      </c>
      <c r="T282" s="29" t="str">
        <f t="shared" si="250"/>
        <v>Ferroviárias</v>
      </c>
      <c r="U282" s="29" t="str">
        <f t="shared" si="250"/>
        <v>Ferrovias Partes</v>
      </c>
      <c r="V282" s="29" t="s">
        <v>1476</v>
      </c>
      <c r="W282" s="66" t="str">
        <f t="shared" si="296"/>
        <v>Key-BRMG-282</v>
      </c>
      <c r="X282" s="29" t="s">
        <v>1364</v>
      </c>
      <c r="Y282" s="44" t="s">
        <v>1423</v>
      </c>
      <c r="Z282" s="41" t="s">
        <v>1</v>
      </c>
      <c r="AA282" s="29" t="str">
        <f t="shared" si="303"/>
        <v>Elements such as poles, signs, control boxes next to the rails.</v>
      </c>
    </row>
    <row r="283" spans="1:27" ht="6.6" customHeight="1" x14ac:dyDescent="0.25">
      <c r="A283" s="73">
        <v>283</v>
      </c>
      <c r="B283" s="30" t="s">
        <v>1474</v>
      </c>
      <c r="C283" s="31" t="s">
        <v>884</v>
      </c>
      <c r="D283" s="30" t="s">
        <v>890</v>
      </c>
      <c r="E283" s="30" t="s">
        <v>902</v>
      </c>
      <c r="F283" s="83" t="s">
        <v>311</v>
      </c>
      <c r="G283" s="75" t="s">
        <v>1</v>
      </c>
      <c r="H283" s="75" t="s">
        <v>1</v>
      </c>
      <c r="I283" s="75" t="s">
        <v>1</v>
      </c>
      <c r="J283" s="75" t="s">
        <v>1</v>
      </c>
      <c r="K283" s="75" t="s">
        <v>1</v>
      </c>
      <c r="L283" s="28" t="str">
        <f t="shared" ref="L283" si="318">CONCATENATE("", C283)</f>
        <v>Infraestruturas</v>
      </c>
      <c r="M283" s="28" t="str">
        <f t="shared" ref="M283" si="319">CONCATENATE("", D283)</f>
        <v>Ferroviárias</v>
      </c>
      <c r="N283" s="28" t="str">
        <f t="shared" ref="N283" si="320">(SUBSTITUTE(SUBSTITUTE(CONCATENATE("",E283),"."," ")," De "," de "))</f>
        <v>Ferrovias Partes</v>
      </c>
      <c r="O283" s="29" t="str">
        <f t="shared" ref="O283" si="321">F283</f>
        <v>Ferrovia.Subestrutura</v>
      </c>
      <c r="P283" s="84" t="s">
        <v>291</v>
      </c>
      <c r="Q283" s="29" t="s">
        <v>352</v>
      </c>
      <c r="R283" s="29" t="s">
        <v>1</v>
      </c>
      <c r="S283" s="29" t="str">
        <f t="shared" si="249"/>
        <v>Infraestruturas</v>
      </c>
      <c r="T283" s="29" t="str">
        <f t="shared" si="250"/>
        <v>Ferroviárias</v>
      </c>
      <c r="U283" s="29" t="str">
        <f t="shared" si="250"/>
        <v>Ferrovias Partes</v>
      </c>
      <c r="V283" s="29" t="s">
        <v>1476</v>
      </c>
      <c r="W283" s="66" t="str">
        <f t="shared" si="296"/>
        <v>Key-BRMG-283</v>
      </c>
      <c r="X283" s="29" t="s">
        <v>1364</v>
      </c>
      <c r="Y283" s="44" t="s">
        <v>1423</v>
      </c>
      <c r="Z283" s="41" t="s">
        <v>1</v>
      </c>
      <c r="AA283" s="29" t="str">
        <f t="shared" si="303"/>
        <v>Railroad base: includes the bed, ballast, and foundations that support the tracks.</v>
      </c>
    </row>
    <row r="284" spans="1:27" ht="6.6" customHeight="1" x14ac:dyDescent="0.25">
      <c r="A284" s="73">
        <v>284</v>
      </c>
      <c r="B284" s="30" t="s">
        <v>1474</v>
      </c>
      <c r="C284" s="31" t="s">
        <v>884</v>
      </c>
      <c r="D284" s="30" t="s">
        <v>890</v>
      </c>
      <c r="E284" s="30" t="s">
        <v>902</v>
      </c>
      <c r="F284" s="83" t="s">
        <v>309</v>
      </c>
      <c r="G284" s="75" t="s">
        <v>1</v>
      </c>
      <c r="H284" s="75" t="s">
        <v>1</v>
      </c>
      <c r="I284" s="75" t="s">
        <v>1</v>
      </c>
      <c r="J284" s="75" t="s">
        <v>1</v>
      </c>
      <c r="K284" s="75" t="s">
        <v>1</v>
      </c>
      <c r="L284" s="28" t="str">
        <f t="shared" si="310"/>
        <v>Infraestruturas</v>
      </c>
      <c r="M284" s="28" t="str">
        <f t="shared" si="311"/>
        <v>Ferroviárias</v>
      </c>
      <c r="N284" s="28" t="str">
        <f t="shared" si="312"/>
        <v>Ferrovias Partes</v>
      </c>
      <c r="O284" s="29" t="str">
        <f t="shared" si="313"/>
        <v>Ferrovia.Simples</v>
      </c>
      <c r="P284" s="84" t="s">
        <v>290</v>
      </c>
      <c r="Q284" s="29" t="s">
        <v>353</v>
      </c>
      <c r="R284" s="29" t="s">
        <v>1</v>
      </c>
      <c r="S284" s="29" t="str">
        <f t="shared" si="249"/>
        <v>Infraestruturas</v>
      </c>
      <c r="T284" s="29" t="str">
        <f t="shared" si="250"/>
        <v>Ferroviárias</v>
      </c>
      <c r="U284" s="29" t="str">
        <f t="shared" si="250"/>
        <v>Ferrovias Partes</v>
      </c>
      <c r="V284" s="29" t="s">
        <v>1476</v>
      </c>
      <c r="W284" s="66" t="str">
        <f t="shared" si="296"/>
        <v>Key-BRMG-284</v>
      </c>
      <c r="X284" s="29" t="s">
        <v>1364</v>
      </c>
      <c r="Y284" s="44" t="s">
        <v>1423</v>
      </c>
      <c r="Z284" s="41" t="s">
        <v>1</v>
      </c>
      <c r="AA284" s="29" t="str">
        <f t="shared" si="303"/>
        <v>Straight and continuous stretch of the railroad, without switches and turnouts.</v>
      </c>
    </row>
    <row r="285" spans="1:27" ht="6.6" customHeight="1" x14ac:dyDescent="0.25">
      <c r="A285" s="73">
        <v>285</v>
      </c>
      <c r="B285" s="30" t="s">
        <v>1474</v>
      </c>
      <c r="C285" s="31" t="s">
        <v>884</v>
      </c>
      <c r="D285" s="30" t="s">
        <v>890</v>
      </c>
      <c r="E285" s="30" t="s">
        <v>902</v>
      </c>
      <c r="F285" s="83" t="s">
        <v>310</v>
      </c>
      <c r="G285" s="75" t="s">
        <v>1</v>
      </c>
      <c r="H285" s="75" t="s">
        <v>1</v>
      </c>
      <c r="I285" s="75" t="s">
        <v>1</v>
      </c>
      <c r="J285" s="75" t="s">
        <v>1</v>
      </c>
      <c r="K285" s="75" t="s">
        <v>1</v>
      </c>
      <c r="L285" s="28" t="str">
        <f t="shared" ref="L285:L286" si="322">CONCATENATE("", C285)</f>
        <v>Infraestruturas</v>
      </c>
      <c r="M285" s="28" t="str">
        <f t="shared" ref="M285:M323" si="323">CONCATENATE("", D285)</f>
        <v>Ferroviárias</v>
      </c>
      <c r="N285" s="28" t="str">
        <f t="shared" ref="N285:N323" si="324">(SUBSTITUTE(SUBSTITUTE(CONCATENATE("",E285),"."," ")," De "," de "))</f>
        <v>Ferrovias Partes</v>
      </c>
      <c r="O285" s="29" t="str">
        <f t="shared" ref="O285:O323" si="325">F285</f>
        <v>Ferrovia.Completa</v>
      </c>
      <c r="P285" s="84" t="s">
        <v>292</v>
      </c>
      <c r="Q285" s="29" t="s">
        <v>356</v>
      </c>
      <c r="R285" s="29" t="s">
        <v>1</v>
      </c>
      <c r="S285" s="29" t="str">
        <f t="shared" si="249"/>
        <v>Infraestruturas</v>
      </c>
      <c r="T285" s="29" t="str">
        <f t="shared" si="250"/>
        <v>Ferroviárias</v>
      </c>
      <c r="U285" s="29" t="str">
        <f t="shared" si="250"/>
        <v>Ferrovias Partes</v>
      </c>
      <c r="V285" s="29" t="s">
        <v>1476</v>
      </c>
      <c r="W285" s="66" t="str">
        <f t="shared" si="296"/>
        <v>Key-BRMG-285</v>
      </c>
      <c r="X285" s="29" t="s">
        <v>1364</v>
      </c>
      <c r="Y285" s="44" t="s">
        <v>1423</v>
      </c>
      <c r="Z285" s="41" t="s">
        <v>1</v>
      </c>
      <c r="AA285" s="29" t="str">
        <f t="shared" si="303"/>
        <v>Complete set of rails, sleepers, fixings and base.</v>
      </c>
    </row>
    <row r="286" spans="1:27" ht="6.6" customHeight="1" x14ac:dyDescent="0.25">
      <c r="A286" s="73">
        <v>286</v>
      </c>
      <c r="B286" s="30" t="s">
        <v>1474</v>
      </c>
      <c r="C286" s="31" t="s">
        <v>884</v>
      </c>
      <c r="D286" s="30" t="s">
        <v>890</v>
      </c>
      <c r="E286" s="30" t="s">
        <v>902</v>
      </c>
      <c r="F286" s="83" t="s">
        <v>314</v>
      </c>
      <c r="G286" s="75" t="s">
        <v>1</v>
      </c>
      <c r="H286" s="75" t="s">
        <v>1</v>
      </c>
      <c r="I286" s="75" t="s">
        <v>1</v>
      </c>
      <c r="J286" s="75" t="s">
        <v>1</v>
      </c>
      <c r="K286" s="75" t="s">
        <v>1</v>
      </c>
      <c r="L286" s="28" t="str">
        <f t="shared" si="322"/>
        <v>Infraestruturas</v>
      </c>
      <c r="M286" s="28" t="str">
        <f t="shared" si="323"/>
        <v>Ferroviárias</v>
      </c>
      <c r="N286" s="28" t="str">
        <f t="shared" si="324"/>
        <v>Ferrovias Partes</v>
      </c>
      <c r="O286" s="29" t="str">
        <f t="shared" si="325"/>
        <v>Ferrovia.Dilatação</v>
      </c>
      <c r="P286" s="84" t="s">
        <v>288</v>
      </c>
      <c r="Q286" s="29" t="s">
        <v>354</v>
      </c>
      <c r="R286" s="29" t="s">
        <v>1</v>
      </c>
      <c r="S286" s="29" t="str">
        <f t="shared" si="249"/>
        <v>Infraestruturas</v>
      </c>
      <c r="T286" s="29" t="str">
        <f t="shared" si="250"/>
        <v>Ferroviárias</v>
      </c>
      <c r="U286" s="29" t="str">
        <f t="shared" si="250"/>
        <v>Ferrovias Partes</v>
      </c>
      <c r="V286" s="29" t="s">
        <v>1476</v>
      </c>
      <c r="W286" s="66" t="str">
        <f t="shared" si="296"/>
        <v>Key-BRMG-286</v>
      </c>
      <c r="X286" s="29" t="s">
        <v>1364</v>
      </c>
      <c r="Y286" s="44" t="s">
        <v>1424</v>
      </c>
      <c r="Z286" s="41" t="s">
        <v>1</v>
      </c>
      <c r="AA286" s="29" t="str">
        <f t="shared" si="303"/>
        <v>Section with special joints to accommodate the thermal expansion of the rails.</v>
      </c>
    </row>
    <row r="287" spans="1:27" ht="6.6" customHeight="1" x14ac:dyDescent="0.25">
      <c r="A287" s="73">
        <v>287</v>
      </c>
      <c r="B287" s="30" t="s">
        <v>1474</v>
      </c>
      <c r="C287" s="31" t="s">
        <v>884</v>
      </c>
      <c r="D287" s="30" t="s">
        <v>891</v>
      </c>
      <c r="E287" s="34" t="s">
        <v>892</v>
      </c>
      <c r="F287" s="36" t="s">
        <v>480</v>
      </c>
      <c r="G287" s="86" t="s">
        <v>1</v>
      </c>
      <c r="H287" s="86" t="s">
        <v>1</v>
      </c>
      <c r="I287" s="86" t="s">
        <v>1</v>
      </c>
      <c r="J287" s="75" t="s">
        <v>1</v>
      </c>
      <c r="K287" s="75" t="s">
        <v>1</v>
      </c>
      <c r="L287" s="80" t="str">
        <f t="shared" ref="L287:L296" si="326">_xlfn.CONCAT(C287)</f>
        <v>Infraestruturas</v>
      </c>
      <c r="M287" s="28" t="str">
        <f t="shared" ref="M287:M296" si="327">CONCATENATE("", D287)</f>
        <v>Hidroviárias</v>
      </c>
      <c r="N287" s="28" t="str">
        <f t="shared" ref="N287:N296" si="328">(SUBSTITUTE(SUBSTITUTE(CONCATENATE("",E287),"."," ")," De "," de "))</f>
        <v>Vias de Navegação</v>
      </c>
      <c r="O287" s="29" t="str">
        <f t="shared" ref="O287:O296" si="329">F287</f>
        <v>Farol</v>
      </c>
      <c r="P287" s="29" t="s">
        <v>481</v>
      </c>
      <c r="Q287" s="80" t="s">
        <v>482</v>
      </c>
      <c r="R287" s="29" t="s">
        <v>1</v>
      </c>
      <c r="S287" s="29" t="str">
        <f t="shared" si="249"/>
        <v>Infraestruturas</v>
      </c>
      <c r="T287" s="29" t="str">
        <f t="shared" si="250"/>
        <v>Hidroviárias</v>
      </c>
      <c r="U287" s="29" t="str">
        <f t="shared" si="250"/>
        <v>Vias de Navegação</v>
      </c>
      <c r="V287" s="29" t="s">
        <v>1476</v>
      </c>
      <c r="W287" s="66" t="str">
        <f t="shared" si="296"/>
        <v>Key-BRMG-287</v>
      </c>
      <c r="X287" s="29" t="s">
        <v>1380</v>
      </c>
      <c r="Y287" s="29" t="s">
        <v>1424</v>
      </c>
      <c r="Z287" s="41" t="s">
        <v>1</v>
      </c>
      <c r="AA287" s="29" t="str">
        <f t="shared" si="303"/>
        <v>Fixed vertical structure that serves as a navigational mark, to show reefs or other hazards, or to provide.</v>
      </c>
    </row>
    <row r="288" spans="1:27" ht="6.6" customHeight="1" x14ac:dyDescent="0.25">
      <c r="A288" s="73">
        <v>288</v>
      </c>
      <c r="B288" s="30" t="s">
        <v>1474</v>
      </c>
      <c r="C288" s="31" t="s">
        <v>884</v>
      </c>
      <c r="D288" s="30" t="s">
        <v>891</v>
      </c>
      <c r="E288" s="34" t="s">
        <v>892</v>
      </c>
      <c r="F288" s="36" t="s">
        <v>483</v>
      </c>
      <c r="G288" s="86" t="s">
        <v>1</v>
      </c>
      <c r="H288" s="86" t="s">
        <v>1</v>
      </c>
      <c r="I288" s="86" t="s">
        <v>1</v>
      </c>
      <c r="J288" s="75" t="s">
        <v>1</v>
      </c>
      <c r="K288" s="75" t="s">
        <v>1</v>
      </c>
      <c r="L288" s="80" t="str">
        <f t="shared" si="326"/>
        <v>Infraestruturas</v>
      </c>
      <c r="M288" s="28" t="str">
        <f t="shared" si="327"/>
        <v>Hidroviárias</v>
      </c>
      <c r="N288" s="28" t="str">
        <f t="shared" si="328"/>
        <v>Vias de Navegação</v>
      </c>
      <c r="O288" s="29" t="str">
        <f t="shared" si="329"/>
        <v>Bóia</v>
      </c>
      <c r="P288" s="29" t="s">
        <v>484</v>
      </c>
      <c r="Q288" s="80" t="s">
        <v>485</v>
      </c>
      <c r="R288" s="29" t="s">
        <v>1</v>
      </c>
      <c r="S288" s="29" t="str">
        <f t="shared" si="249"/>
        <v>Infraestruturas</v>
      </c>
      <c r="T288" s="29" t="str">
        <f t="shared" si="250"/>
        <v>Hidroviárias</v>
      </c>
      <c r="U288" s="29" t="str">
        <f t="shared" si="250"/>
        <v>Vias de Navegação</v>
      </c>
      <c r="V288" s="29" t="s">
        <v>1476</v>
      </c>
      <c r="W288" s="66" t="str">
        <f t="shared" si="296"/>
        <v>Key-BRMG-288</v>
      </c>
      <c r="X288" s="29" t="s">
        <v>1380</v>
      </c>
      <c r="Y288" s="29" t="s">
        <v>1424</v>
      </c>
      <c r="Z288" s="41" t="s">
        <v>1</v>
      </c>
      <c r="AA288" s="29" t="str">
        <f t="shared" si="303"/>
        <v>Anchored floating structure that serves as a navigational mark, to show reefs or other hazards.</v>
      </c>
    </row>
    <row r="289" spans="1:27" ht="6.6" customHeight="1" x14ac:dyDescent="0.25">
      <c r="A289" s="73">
        <v>289</v>
      </c>
      <c r="B289" s="30" t="s">
        <v>1474</v>
      </c>
      <c r="C289" s="31" t="s">
        <v>884</v>
      </c>
      <c r="D289" s="30" t="s">
        <v>891</v>
      </c>
      <c r="E289" s="34" t="s">
        <v>892</v>
      </c>
      <c r="F289" s="87" t="s">
        <v>486</v>
      </c>
      <c r="G289" s="86" t="s">
        <v>1</v>
      </c>
      <c r="H289" s="86" t="s">
        <v>1</v>
      </c>
      <c r="I289" s="86" t="s">
        <v>1</v>
      </c>
      <c r="J289" s="75" t="s">
        <v>1</v>
      </c>
      <c r="K289" s="75" t="s">
        <v>1</v>
      </c>
      <c r="L289" s="80" t="str">
        <f t="shared" si="326"/>
        <v>Infraestruturas</v>
      </c>
      <c r="M289" s="28" t="str">
        <f t="shared" si="327"/>
        <v>Hidroviárias</v>
      </c>
      <c r="N289" s="28" t="str">
        <f t="shared" si="328"/>
        <v>Vias de Navegação</v>
      </c>
      <c r="O289" s="29" t="str">
        <f t="shared" si="329"/>
        <v>Bóia.de.Navegação</v>
      </c>
      <c r="P289" s="29" t="s">
        <v>487</v>
      </c>
      <c r="Q289" s="33" t="s">
        <v>488</v>
      </c>
      <c r="R289" s="29" t="s">
        <v>1</v>
      </c>
      <c r="S289" s="29" t="str">
        <f t="shared" si="249"/>
        <v>Infraestruturas</v>
      </c>
      <c r="T289" s="29" t="str">
        <f t="shared" si="250"/>
        <v>Hidroviárias</v>
      </c>
      <c r="U289" s="29" t="str">
        <f t="shared" si="250"/>
        <v>Vias de Navegação</v>
      </c>
      <c r="V289" s="29" t="s">
        <v>1476</v>
      </c>
      <c r="W289" s="66" t="str">
        <f t="shared" si="296"/>
        <v>Key-BRMG-289</v>
      </c>
      <c r="X289" s="29" t="s">
        <v>1380</v>
      </c>
      <c r="Y289" s="29" t="s">
        <v>1424</v>
      </c>
      <c r="Z289" s="41" t="s">
        <v>1</v>
      </c>
      <c r="AA289" s="29" t="str">
        <f t="shared" si="303"/>
        <v>Buoy that assists maritime navigation, used to guide vessels, delimit channels, indicate hazards or special areas. Standardized by the IALA (International Association of Marine Aids to Navigation and Lighthouse Authorities) system.</v>
      </c>
    </row>
    <row r="290" spans="1:27" ht="6.6" customHeight="1" x14ac:dyDescent="0.25">
      <c r="A290" s="73">
        <v>290</v>
      </c>
      <c r="B290" s="30" t="s">
        <v>1474</v>
      </c>
      <c r="C290" s="31" t="s">
        <v>884</v>
      </c>
      <c r="D290" s="30" t="s">
        <v>891</v>
      </c>
      <c r="E290" s="34" t="s">
        <v>892</v>
      </c>
      <c r="F290" s="87" t="s">
        <v>489</v>
      </c>
      <c r="G290" s="86" t="s">
        <v>1</v>
      </c>
      <c r="H290" s="86" t="s">
        <v>1</v>
      </c>
      <c r="I290" s="86" t="s">
        <v>1</v>
      </c>
      <c r="J290" s="75" t="s">
        <v>1</v>
      </c>
      <c r="K290" s="75" t="s">
        <v>1</v>
      </c>
      <c r="L290" s="80" t="str">
        <f t="shared" si="326"/>
        <v>Infraestruturas</v>
      </c>
      <c r="M290" s="28" t="str">
        <f t="shared" si="327"/>
        <v>Hidroviárias</v>
      </c>
      <c r="N290" s="28" t="str">
        <f t="shared" si="328"/>
        <v>Vias de Navegação</v>
      </c>
      <c r="O290" s="29" t="str">
        <f t="shared" si="329"/>
        <v>Fundeadouro</v>
      </c>
      <c r="P290" s="29" t="s">
        <v>490</v>
      </c>
      <c r="Q290" s="44" t="s">
        <v>491</v>
      </c>
      <c r="R290" s="29" t="s">
        <v>1</v>
      </c>
      <c r="S290" s="29" t="str">
        <f t="shared" si="249"/>
        <v>Infraestruturas</v>
      </c>
      <c r="T290" s="29" t="str">
        <f t="shared" si="250"/>
        <v>Hidroviárias</v>
      </c>
      <c r="U290" s="29" t="str">
        <f t="shared" si="250"/>
        <v>Vias de Navegação</v>
      </c>
      <c r="V290" s="29" t="s">
        <v>1476</v>
      </c>
      <c r="W290" s="66" t="str">
        <f t="shared" si="296"/>
        <v>Key-BRMG-290</v>
      </c>
      <c r="X290" s="29" t="s">
        <v>1356</v>
      </c>
      <c r="Y290" s="29" t="s">
        <v>1424</v>
      </c>
      <c r="Z290" s="41" t="s">
        <v>1</v>
      </c>
      <c r="AA290" s="29" t="str">
        <f t="shared" si="303"/>
        <v>Spatial part of the region that represents a managed area for the anchorage of vessels waiting for space in the port.</v>
      </c>
    </row>
    <row r="291" spans="1:27" ht="6.6" customHeight="1" x14ac:dyDescent="0.25">
      <c r="A291" s="73">
        <v>291</v>
      </c>
      <c r="B291" s="30" t="s">
        <v>1474</v>
      </c>
      <c r="C291" s="31" t="s">
        <v>884</v>
      </c>
      <c r="D291" s="30" t="s">
        <v>891</v>
      </c>
      <c r="E291" s="34" t="s">
        <v>892</v>
      </c>
      <c r="F291" s="87" t="s">
        <v>492</v>
      </c>
      <c r="G291" s="86" t="s">
        <v>1</v>
      </c>
      <c r="H291" s="86" t="s">
        <v>1</v>
      </c>
      <c r="I291" s="86" t="s">
        <v>1</v>
      </c>
      <c r="J291" s="75" t="s">
        <v>1</v>
      </c>
      <c r="K291" s="75" t="s">
        <v>1</v>
      </c>
      <c r="L291" s="80" t="str">
        <f t="shared" si="326"/>
        <v>Infraestruturas</v>
      </c>
      <c r="M291" s="28" t="str">
        <f t="shared" si="327"/>
        <v>Hidroviárias</v>
      </c>
      <c r="N291" s="28" t="str">
        <f t="shared" si="328"/>
        <v>Vias de Navegação</v>
      </c>
      <c r="O291" s="29" t="str">
        <f t="shared" si="329"/>
        <v>Atracadouro</v>
      </c>
      <c r="P291" s="29" t="s">
        <v>493</v>
      </c>
      <c r="Q291" s="44" t="s">
        <v>494</v>
      </c>
      <c r="R291" s="29" t="s">
        <v>1</v>
      </c>
      <c r="S291" s="29" t="str">
        <f t="shared" si="249"/>
        <v>Infraestruturas</v>
      </c>
      <c r="T291" s="29" t="str">
        <f t="shared" si="250"/>
        <v>Hidroviárias</v>
      </c>
      <c r="U291" s="29" t="str">
        <f t="shared" si="250"/>
        <v>Vias de Navegação</v>
      </c>
      <c r="V291" s="29" t="s">
        <v>1476</v>
      </c>
      <c r="W291" s="66" t="str">
        <f t="shared" si="296"/>
        <v>Key-BRMG-291</v>
      </c>
      <c r="X291" s="29" t="s">
        <v>1356</v>
      </c>
      <c r="Y291" s="29" t="s">
        <v>1424</v>
      </c>
      <c r="Z291" s="41" t="s">
        <v>1</v>
      </c>
      <c r="AA291" s="29" t="str">
        <f t="shared" si="303"/>
        <v>Longitudinal spatial part of a waterway or port facility that provides facilities for berthing.</v>
      </c>
    </row>
    <row r="292" spans="1:27" ht="6.6" customHeight="1" x14ac:dyDescent="0.25">
      <c r="A292" s="73">
        <v>292</v>
      </c>
      <c r="B292" s="30" t="s">
        <v>1474</v>
      </c>
      <c r="C292" s="31" t="s">
        <v>884</v>
      </c>
      <c r="D292" s="30" t="s">
        <v>891</v>
      </c>
      <c r="E292" s="34" t="s">
        <v>892</v>
      </c>
      <c r="F292" s="36" t="s">
        <v>495</v>
      </c>
      <c r="G292" s="86" t="s">
        <v>1</v>
      </c>
      <c r="H292" s="86" t="s">
        <v>1</v>
      </c>
      <c r="I292" s="86" t="s">
        <v>1</v>
      </c>
      <c r="J292" s="75" t="s">
        <v>1</v>
      </c>
      <c r="K292" s="75" t="s">
        <v>1</v>
      </c>
      <c r="L292" s="80" t="str">
        <f t="shared" si="326"/>
        <v>Infraestruturas</v>
      </c>
      <c r="M292" s="28" t="str">
        <f t="shared" si="327"/>
        <v>Hidroviárias</v>
      </c>
      <c r="N292" s="28" t="str">
        <f t="shared" si="328"/>
        <v>Vias de Navegação</v>
      </c>
      <c r="O292" s="29" t="str">
        <f t="shared" si="329"/>
        <v>Canal</v>
      </c>
      <c r="P292" s="29" t="s">
        <v>496</v>
      </c>
      <c r="Q292" s="44" t="s">
        <v>497</v>
      </c>
      <c r="R292" s="29" t="s">
        <v>1</v>
      </c>
      <c r="S292" s="29" t="str">
        <f t="shared" si="249"/>
        <v>Infraestruturas</v>
      </c>
      <c r="T292" s="29" t="str">
        <f t="shared" si="250"/>
        <v>Hidroviárias</v>
      </c>
      <c r="U292" s="29" t="str">
        <f t="shared" si="250"/>
        <v>Vias de Navegação</v>
      </c>
      <c r="V292" s="29" t="s">
        <v>1476</v>
      </c>
      <c r="W292" s="66" t="str">
        <f t="shared" si="296"/>
        <v>Key-BRMG-292</v>
      </c>
      <c r="X292" s="29" t="s">
        <v>1356</v>
      </c>
      <c r="Y292" s="29" t="s">
        <v>1424</v>
      </c>
      <c r="Z292" s="41" t="s">
        <v>1</v>
      </c>
      <c r="AA292" s="29" t="str">
        <f t="shared" si="303"/>
        <v>Artificial watercourse usually built to join rivers, lakes or seas and often of an appropriate size.</v>
      </c>
    </row>
    <row r="293" spans="1:27" ht="6.6" customHeight="1" x14ac:dyDescent="0.25">
      <c r="A293" s="73">
        <v>293</v>
      </c>
      <c r="B293" s="30" t="s">
        <v>1474</v>
      </c>
      <c r="C293" s="31" t="s">
        <v>884</v>
      </c>
      <c r="D293" s="30" t="s">
        <v>891</v>
      </c>
      <c r="E293" s="34" t="s">
        <v>892</v>
      </c>
      <c r="F293" s="87" t="s">
        <v>498</v>
      </c>
      <c r="G293" s="86" t="s">
        <v>1</v>
      </c>
      <c r="H293" s="86" t="s">
        <v>1</v>
      </c>
      <c r="I293" s="86" t="s">
        <v>1</v>
      </c>
      <c r="J293" s="75" t="s">
        <v>1</v>
      </c>
      <c r="K293" s="75" t="s">
        <v>1</v>
      </c>
      <c r="L293" s="80" t="str">
        <f t="shared" si="326"/>
        <v>Infraestruturas</v>
      </c>
      <c r="M293" s="28" t="str">
        <f t="shared" si="327"/>
        <v>Hidroviárias</v>
      </c>
      <c r="N293" s="28" t="str">
        <f t="shared" si="328"/>
        <v>Vias de Navegação</v>
      </c>
      <c r="O293" s="29" t="str">
        <f t="shared" si="329"/>
        <v>Canal.Acesso</v>
      </c>
      <c r="P293" s="29" t="s">
        <v>499</v>
      </c>
      <c r="Q293" s="44" t="s">
        <v>500</v>
      </c>
      <c r="R293" s="29" t="s">
        <v>1</v>
      </c>
      <c r="S293" s="29" t="str">
        <f t="shared" si="249"/>
        <v>Infraestruturas</v>
      </c>
      <c r="T293" s="29" t="str">
        <f t="shared" si="250"/>
        <v>Hidroviárias</v>
      </c>
      <c r="U293" s="29" t="str">
        <f t="shared" si="250"/>
        <v>Vias de Navegação</v>
      </c>
      <c r="V293" s="29" t="s">
        <v>1476</v>
      </c>
      <c r="W293" s="66" t="str">
        <f t="shared" si="296"/>
        <v>Key-BRMG-293</v>
      </c>
      <c r="X293" s="29" t="s">
        <v>1356</v>
      </c>
      <c r="Y293" s="29" t="s">
        <v>1424</v>
      </c>
      <c r="Z293" s="41" t="s">
        <v>1</v>
      </c>
      <c r="AA293" s="29" t="str">
        <f t="shared" si="303"/>
        <v>The longitudinal spatial part of a waterway or port facility covering the approach.</v>
      </c>
    </row>
    <row r="294" spans="1:27" ht="6.6" customHeight="1" x14ac:dyDescent="0.25">
      <c r="A294" s="73">
        <v>294</v>
      </c>
      <c r="B294" s="30" t="s">
        <v>1474</v>
      </c>
      <c r="C294" s="31" t="s">
        <v>884</v>
      </c>
      <c r="D294" s="30" t="s">
        <v>891</v>
      </c>
      <c r="E294" s="34" t="s">
        <v>892</v>
      </c>
      <c r="F294" s="36" t="s">
        <v>501</v>
      </c>
      <c r="G294" s="86" t="s">
        <v>1</v>
      </c>
      <c r="H294" s="86" t="s">
        <v>1</v>
      </c>
      <c r="I294" s="86" t="s">
        <v>1</v>
      </c>
      <c r="J294" s="75" t="s">
        <v>1</v>
      </c>
      <c r="K294" s="75" t="s">
        <v>1</v>
      </c>
      <c r="L294" s="80" t="str">
        <f t="shared" si="326"/>
        <v>Infraestruturas</v>
      </c>
      <c r="M294" s="28" t="str">
        <f t="shared" si="327"/>
        <v>Hidroviárias</v>
      </c>
      <c r="N294" s="28" t="str">
        <f t="shared" si="328"/>
        <v>Vias de Navegação</v>
      </c>
      <c r="O294" s="29" t="str">
        <f t="shared" si="329"/>
        <v>Canal.Navegável</v>
      </c>
      <c r="P294" s="29" t="s">
        <v>502</v>
      </c>
      <c r="Q294" s="44" t="s">
        <v>503</v>
      </c>
      <c r="R294" s="29" t="s">
        <v>1</v>
      </c>
      <c r="S294" s="29" t="str">
        <f t="shared" si="249"/>
        <v>Infraestruturas</v>
      </c>
      <c r="T294" s="29" t="str">
        <f t="shared" si="250"/>
        <v>Hidroviárias</v>
      </c>
      <c r="U294" s="29" t="str">
        <f t="shared" si="250"/>
        <v>Vias de Navegação</v>
      </c>
      <c r="V294" s="29" t="s">
        <v>1476</v>
      </c>
      <c r="W294" s="66" t="str">
        <f t="shared" si="296"/>
        <v>Key-BRMG-294</v>
      </c>
      <c r="X294" s="29" t="s">
        <v>1356</v>
      </c>
      <c r="Y294" s="29" t="s">
        <v>1424</v>
      </c>
      <c r="Z294" s="41" t="s">
        <v>1</v>
      </c>
      <c r="AA294" s="29" t="str">
        <f t="shared" si="303"/>
        <v>Natural navigable watercourse (such as a river) that needs to be managed or have improvements applied.</v>
      </c>
    </row>
    <row r="295" spans="1:27" ht="6.6" customHeight="1" x14ac:dyDescent="0.25">
      <c r="A295" s="73">
        <v>295</v>
      </c>
      <c r="B295" s="30" t="s">
        <v>1474</v>
      </c>
      <c r="C295" s="31" t="s">
        <v>884</v>
      </c>
      <c r="D295" s="30" t="s">
        <v>891</v>
      </c>
      <c r="E295" s="34" t="s">
        <v>892</v>
      </c>
      <c r="F295" s="36" t="s">
        <v>504</v>
      </c>
      <c r="G295" s="86" t="s">
        <v>1</v>
      </c>
      <c r="H295" s="86" t="s">
        <v>1</v>
      </c>
      <c r="I295" s="86" t="s">
        <v>1</v>
      </c>
      <c r="J295" s="75" t="s">
        <v>1</v>
      </c>
      <c r="K295" s="75" t="s">
        <v>1</v>
      </c>
      <c r="L295" s="80" t="str">
        <f t="shared" si="326"/>
        <v>Infraestruturas</v>
      </c>
      <c r="M295" s="28" t="str">
        <f t="shared" si="327"/>
        <v>Hidroviárias</v>
      </c>
      <c r="N295" s="28" t="str">
        <f t="shared" si="328"/>
        <v>Vias de Navegação</v>
      </c>
      <c r="O295" s="29" t="str">
        <f t="shared" si="329"/>
        <v>Via.Navegável</v>
      </c>
      <c r="P295" s="29" t="s">
        <v>505</v>
      </c>
      <c r="Q295" s="44" t="s">
        <v>506</v>
      </c>
      <c r="R295" s="29" t="s">
        <v>1</v>
      </c>
      <c r="S295" s="29" t="str">
        <f t="shared" si="249"/>
        <v>Infraestruturas</v>
      </c>
      <c r="T295" s="29" t="str">
        <f t="shared" si="250"/>
        <v>Hidroviárias</v>
      </c>
      <c r="U295" s="29" t="str">
        <f t="shared" si="250"/>
        <v>Vias de Navegação</v>
      </c>
      <c r="V295" s="29" t="s">
        <v>1476</v>
      </c>
      <c r="W295" s="66" t="str">
        <f t="shared" si="296"/>
        <v>Key-BRMG-295</v>
      </c>
      <c r="X295" s="29" t="s">
        <v>1356</v>
      </c>
      <c r="Y295" s="29" t="s">
        <v>1424</v>
      </c>
      <c r="Z295" s="41" t="s">
        <v>1</v>
      </c>
      <c r="AA295" s="29" t="str">
        <f t="shared" si="303"/>
        <v>Subset of facilities that have the primary function of providing a navigable area of water.</v>
      </c>
    </row>
    <row r="296" spans="1:27" ht="6.6" customHeight="1" x14ac:dyDescent="0.25">
      <c r="A296" s="73">
        <v>296</v>
      </c>
      <c r="B296" s="30" t="s">
        <v>1474</v>
      </c>
      <c r="C296" s="31" t="s">
        <v>884</v>
      </c>
      <c r="D296" s="30" t="s">
        <v>891</v>
      </c>
      <c r="E296" s="34" t="s">
        <v>892</v>
      </c>
      <c r="F296" s="36" t="s">
        <v>477</v>
      </c>
      <c r="G296" s="86" t="s">
        <v>1</v>
      </c>
      <c r="H296" s="86" t="s">
        <v>1</v>
      </c>
      <c r="I296" s="86" t="s">
        <v>1</v>
      </c>
      <c r="J296" s="75" t="s">
        <v>1</v>
      </c>
      <c r="K296" s="75" t="s">
        <v>1</v>
      </c>
      <c r="L296" s="80" t="str">
        <f t="shared" si="326"/>
        <v>Infraestruturas</v>
      </c>
      <c r="M296" s="28" t="str">
        <f t="shared" si="327"/>
        <v>Hidroviárias</v>
      </c>
      <c r="N296" s="28" t="str">
        <f t="shared" si="328"/>
        <v>Vias de Navegação</v>
      </c>
      <c r="O296" s="29" t="str">
        <f t="shared" si="329"/>
        <v>Elemento.de.Navegação</v>
      </c>
      <c r="P296" s="29" t="s">
        <v>478</v>
      </c>
      <c r="Q296" s="80" t="s">
        <v>479</v>
      </c>
      <c r="R296" s="29" t="s">
        <v>1</v>
      </c>
      <c r="S296" s="29" t="str">
        <f t="shared" si="249"/>
        <v>Infraestruturas</v>
      </c>
      <c r="T296" s="29" t="str">
        <f t="shared" si="250"/>
        <v>Hidroviárias</v>
      </c>
      <c r="U296" s="29" t="str">
        <f t="shared" si="250"/>
        <v>Vias de Navegação</v>
      </c>
      <c r="V296" s="29" t="s">
        <v>1476</v>
      </c>
      <c r="W296" s="66" t="str">
        <f t="shared" si="296"/>
        <v>Key-BRMG-296</v>
      </c>
      <c r="X296" s="29" t="s">
        <v>1356</v>
      </c>
      <c r="Y296" s="29" t="s">
        <v>1424</v>
      </c>
      <c r="Z296" s="41" t="s">
        <v>1</v>
      </c>
      <c r="AA296" s="29" t="str">
        <f t="shared" si="303"/>
        <v>A navigation element is an active or passive constructed element whose primary function is to provide navigation.</v>
      </c>
    </row>
    <row r="297" spans="1:27" ht="6.6" customHeight="1" x14ac:dyDescent="0.25">
      <c r="A297" s="73">
        <v>297</v>
      </c>
      <c r="B297" s="30" t="s">
        <v>1474</v>
      </c>
      <c r="C297" s="31" t="s">
        <v>884</v>
      </c>
      <c r="D297" s="30" t="s">
        <v>891</v>
      </c>
      <c r="E297" s="30" t="s">
        <v>895</v>
      </c>
      <c r="F297" s="46" t="s">
        <v>855</v>
      </c>
      <c r="G297" s="75" t="s">
        <v>1</v>
      </c>
      <c r="H297" s="75" t="s">
        <v>1</v>
      </c>
      <c r="I297" s="75" t="s">
        <v>1</v>
      </c>
      <c r="J297" s="75" t="s">
        <v>1</v>
      </c>
      <c r="K297" s="75" t="s">
        <v>1</v>
      </c>
      <c r="L297" s="44" t="str">
        <f t="shared" ref="L297:L324" si="330">_xlfn.CONCAT(C297)</f>
        <v>Infraestruturas</v>
      </c>
      <c r="M297" s="28" t="str">
        <f t="shared" si="323"/>
        <v>Hidroviárias</v>
      </c>
      <c r="N297" s="28" t="str">
        <f t="shared" si="324"/>
        <v>Amarrações</v>
      </c>
      <c r="O297" s="29" t="str">
        <f t="shared" si="325"/>
        <v>Dispositivo.de.Amarração</v>
      </c>
      <c r="P297" s="29" t="s">
        <v>455</v>
      </c>
      <c r="Q297" s="44" t="s">
        <v>456</v>
      </c>
      <c r="R297" s="29" t="s">
        <v>1</v>
      </c>
      <c r="S297" s="29" t="str">
        <f t="shared" ref="S297:S341" si="331">SUBSTITUTE(C297, ".", " ")</f>
        <v>Infraestruturas</v>
      </c>
      <c r="T297" s="29" t="str">
        <f t="shared" ref="T297:U341" si="332">SUBSTITUTE(D297, ".", " ")</f>
        <v>Hidroviárias</v>
      </c>
      <c r="U297" s="29" t="str">
        <f t="shared" si="332"/>
        <v>Amarrações</v>
      </c>
      <c r="V297" s="29" t="s">
        <v>1476</v>
      </c>
      <c r="W297" s="66" t="str">
        <f t="shared" si="296"/>
        <v>Key-BRMG-297</v>
      </c>
      <c r="X297" s="29" t="s">
        <v>1356</v>
      </c>
      <c r="Y297" s="29" t="s">
        <v>1424</v>
      </c>
      <c r="Z297" s="41" t="s">
        <v>1</v>
      </c>
      <c r="AA297" s="29" t="str">
        <f t="shared" si="303"/>
        <v>A lashing device is an active or passive constructed element whose primary function is to participate in the lashing.</v>
      </c>
    </row>
    <row r="298" spans="1:27" ht="6.6" customHeight="1" x14ac:dyDescent="0.25">
      <c r="A298" s="73">
        <v>298</v>
      </c>
      <c r="B298" s="30" t="s">
        <v>1474</v>
      </c>
      <c r="C298" s="31" t="s">
        <v>884</v>
      </c>
      <c r="D298" s="30" t="s">
        <v>891</v>
      </c>
      <c r="E298" s="30" t="s">
        <v>895</v>
      </c>
      <c r="F298" s="36" t="s">
        <v>856</v>
      </c>
      <c r="G298" s="86" t="s">
        <v>1</v>
      </c>
      <c r="H298" s="86" t="s">
        <v>1</v>
      </c>
      <c r="I298" s="86" t="s">
        <v>1</v>
      </c>
      <c r="J298" s="75" t="s">
        <v>1</v>
      </c>
      <c r="K298" s="75" t="s">
        <v>1</v>
      </c>
      <c r="L298" s="80" t="str">
        <f t="shared" si="330"/>
        <v>Infraestruturas</v>
      </c>
      <c r="M298" s="28" t="str">
        <f t="shared" si="323"/>
        <v>Hidroviárias</v>
      </c>
      <c r="N298" s="28" t="str">
        <f t="shared" si="324"/>
        <v>Amarrações</v>
      </c>
      <c r="O298" s="29" t="str">
        <f t="shared" si="325"/>
        <v>Guincho.de.Amarração</v>
      </c>
      <c r="P298" s="29" t="s">
        <v>457</v>
      </c>
      <c r="Q298" s="80" t="s">
        <v>458</v>
      </c>
      <c r="R298" s="29" t="s">
        <v>1</v>
      </c>
      <c r="S298" s="29" t="str">
        <f t="shared" si="331"/>
        <v>Infraestruturas</v>
      </c>
      <c r="T298" s="29" t="str">
        <f t="shared" si="332"/>
        <v>Hidroviárias</v>
      </c>
      <c r="U298" s="29" t="str">
        <f t="shared" si="332"/>
        <v>Amarrações</v>
      </c>
      <c r="V298" s="29" t="s">
        <v>1476</v>
      </c>
      <c r="W298" s="66" t="str">
        <f t="shared" si="296"/>
        <v>Key-BRMG-298</v>
      </c>
      <c r="X298" s="29" t="s">
        <v>1356</v>
      </c>
      <c r="Y298" s="29" t="s">
        <v>1424</v>
      </c>
      <c r="Z298" s="41" t="s">
        <v>1</v>
      </c>
      <c r="AA298" s="29" t="str">
        <f t="shared" si="303"/>
        <v>Quick release mooring hooks – an active device used to secure a vessel and provide automated release.</v>
      </c>
    </row>
    <row r="299" spans="1:27" ht="6.6" customHeight="1" x14ac:dyDescent="0.25">
      <c r="A299" s="73">
        <v>299</v>
      </c>
      <c r="B299" s="30" t="s">
        <v>1474</v>
      </c>
      <c r="C299" s="31" t="s">
        <v>884</v>
      </c>
      <c r="D299" s="30" t="s">
        <v>891</v>
      </c>
      <c r="E299" s="30" t="s">
        <v>895</v>
      </c>
      <c r="F299" s="36" t="s">
        <v>857</v>
      </c>
      <c r="G299" s="86" t="s">
        <v>1</v>
      </c>
      <c r="H299" s="86" t="s">
        <v>1</v>
      </c>
      <c r="I299" s="86" t="s">
        <v>1</v>
      </c>
      <c r="J299" s="75" t="s">
        <v>1</v>
      </c>
      <c r="K299" s="75" t="s">
        <v>1</v>
      </c>
      <c r="L299" s="80" t="str">
        <f t="shared" si="330"/>
        <v>Infraestruturas</v>
      </c>
      <c r="M299" s="28" t="str">
        <f t="shared" si="323"/>
        <v>Hidroviárias</v>
      </c>
      <c r="N299" s="28" t="str">
        <f t="shared" si="324"/>
        <v>Amarrações</v>
      </c>
      <c r="O299" s="29" t="str">
        <f t="shared" si="325"/>
        <v>Cabeço.de.Amarração</v>
      </c>
      <c r="P299" s="29" t="s">
        <v>459</v>
      </c>
      <c r="Q299" s="80" t="s">
        <v>460</v>
      </c>
      <c r="R299" s="29" t="s">
        <v>1</v>
      </c>
      <c r="S299" s="29" t="str">
        <f t="shared" si="331"/>
        <v>Infraestruturas</v>
      </c>
      <c r="T299" s="29" t="str">
        <f t="shared" si="332"/>
        <v>Hidroviárias</v>
      </c>
      <c r="U299" s="29" t="str">
        <f t="shared" si="332"/>
        <v>Amarrações</v>
      </c>
      <c r="V299" s="29" t="s">
        <v>1476</v>
      </c>
      <c r="W299" s="66" t="str">
        <f t="shared" si="296"/>
        <v>Key-BRMG-299</v>
      </c>
      <c r="X299" s="29" t="s">
        <v>1356</v>
      </c>
      <c r="Y299" s="29" t="s">
        <v>1424</v>
      </c>
      <c r="Z299" s="41" t="s">
        <v>1</v>
      </c>
      <c r="AA299" s="29" t="str">
        <f t="shared" si="303"/>
        <v>Short, thick post on a ship's deck or quayside, to which the ship's rope can be attached to keep the vessel safe and stable during berthing. The distance between them can vary from 5 to 10 meters.</v>
      </c>
    </row>
    <row r="300" spans="1:27" ht="6.6" customHeight="1" x14ac:dyDescent="0.25">
      <c r="A300" s="73">
        <v>300</v>
      </c>
      <c r="B300" s="30" t="s">
        <v>1474</v>
      </c>
      <c r="C300" s="31" t="s">
        <v>884</v>
      </c>
      <c r="D300" s="30" t="s">
        <v>891</v>
      </c>
      <c r="E300" s="30" t="s">
        <v>895</v>
      </c>
      <c r="F300" s="36" t="s">
        <v>461</v>
      </c>
      <c r="G300" s="86" t="s">
        <v>1</v>
      </c>
      <c r="H300" s="86" t="s">
        <v>1</v>
      </c>
      <c r="I300" s="86" t="s">
        <v>1</v>
      </c>
      <c r="J300" s="75" t="s">
        <v>1</v>
      </c>
      <c r="K300" s="75" t="s">
        <v>1</v>
      </c>
      <c r="L300" s="80" t="str">
        <f t="shared" si="330"/>
        <v>Infraestruturas</v>
      </c>
      <c r="M300" s="28" t="str">
        <f t="shared" si="323"/>
        <v>Hidroviárias</v>
      </c>
      <c r="N300" s="28" t="str">
        <f t="shared" si="324"/>
        <v>Amarrações</v>
      </c>
      <c r="O300" s="29" t="str">
        <f t="shared" si="325"/>
        <v>Cabrestante</v>
      </c>
      <c r="P300" s="33" t="s">
        <v>462</v>
      </c>
      <c r="Q300" s="80" t="s">
        <v>463</v>
      </c>
      <c r="R300" s="29" t="s">
        <v>1</v>
      </c>
      <c r="S300" s="29" t="str">
        <f t="shared" si="331"/>
        <v>Infraestruturas</v>
      </c>
      <c r="T300" s="29" t="str">
        <f t="shared" si="332"/>
        <v>Hidroviárias</v>
      </c>
      <c r="U300" s="29" t="str">
        <f t="shared" si="332"/>
        <v>Amarrações</v>
      </c>
      <c r="V300" s="29" t="s">
        <v>1476</v>
      </c>
      <c r="W300" s="66" t="str">
        <f t="shared" si="296"/>
        <v>Key-BRMG-300</v>
      </c>
      <c r="X300" s="29" t="s">
        <v>1356</v>
      </c>
      <c r="Y300" s="29" t="s">
        <v>1424</v>
      </c>
      <c r="Z300" s="41" t="s">
        <v>1</v>
      </c>
      <c r="AA300" s="29" t="str">
        <f t="shared" si="303"/>
        <v>A motorized mechanical device used to apply a tensioning load to mooring lines to improve the stability of the vessel.</v>
      </c>
    </row>
    <row r="301" spans="1:27" ht="6.6" customHeight="1" x14ac:dyDescent="0.25">
      <c r="A301" s="73">
        <v>301</v>
      </c>
      <c r="B301" s="30" t="s">
        <v>1474</v>
      </c>
      <c r="C301" s="31" t="s">
        <v>884</v>
      </c>
      <c r="D301" s="30" t="s">
        <v>891</v>
      </c>
      <c r="E301" s="30" t="s">
        <v>895</v>
      </c>
      <c r="F301" s="36" t="s">
        <v>464</v>
      </c>
      <c r="G301" s="86" t="s">
        <v>1</v>
      </c>
      <c r="H301" s="86" t="s">
        <v>1</v>
      </c>
      <c r="I301" s="86" t="s">
        <v>1</v>
      </c>
      <c r="J301" s="75" t="s">
        <v>1</v>
      </c>
      <c r="K301" s="75" t="s">
        <v>1</v>
      </c>
      <c r="L301" s="80" t="str">
        <f t="shared" si="330"/>
        <v>Infraestruturas</v>
      </c>
      <c r="M301" s="28" t="str">
        <f t="shared" si="323"/>
        <v>Hidroviárias</v>
      </c>
      <c r="N301" s="28" t="str">
        <f t="shared" si="324"/>
        <v>Amarrações</v>
      </c>
      <c r="O301" s="29" t="str">
        <f t="shared" si="325"/>
        <v>Esticador</v>
      </c>
      <c r="P301" s="33" t="s">
        <v>465</v>
      </c>
      <c r="Q301" s="80" t="s">
        <v>466</v>
      </c>
      <c r="R301" s="29" t="s">
        <v>1</v>
      </c>
      <c r="S301" s="29" t="str">
        <f t="shared" si="331"/>
        <v>Infraestruturas</v>
      </c>
      <c r="T301" s="29" t="str">
        <f t="shared" si="332"/>
        <v>Hidroviárias</v>
      </c>
      <c r="U301" s="29" t="str">
        <f t="shared" si="332"/>
        <v>Amarrações</v>
      </c>
      <c r="V301" s="29" t="s">
        <v>1476</v>
      </c>
      <c r="W301" s="66" t="str">
        <f t="shared" si="296"/>
        <v>Key-BRMG-301</v>
      </c>
      <c r="X301" s="29" t="s">
        <v>1356</v>
      </c>
      <c r="Y301" s="29" t="s">
        <v>1424</v>
      </c>
      <c r="Z301" s="41" t="s">
        <v>1</v>
      </c>
      <c r="AA301" s="29" t="str">
        <f t="shared" si="303"/>
        <v>A mechanical device used to apply a tensioning load to mooring lines to improve the stability of the vessel.</v>
      </c>
    </row>
    <row r="302" spans="1:27" ht="6.6" customHeight="1" x14ac:dyDescent="0.25">
      <c r="A302" s="73">
        <v>302</v>
      </c>
      <c r="B302" s="30" t="s">
        <v>1474</v>
      </c>
      <c r="C302" s="31" t="s">
        <v>884</v>
      </c>
      <c r="D302" s="30" t="s">
        <v>891</v>
      </c>
      <c r="E302" s="30" t="s">
        <v>895</v>
      </c>
      <c r="F302" s="36" t="s">
        <v>858</v>
      </c>
      <c r="G302" s="86" t="s">
        <v>1</v>
      </c>
      <c r="H302" s="86" t="s">
        <v>1</v>
      </c>
      <c r="I302" s="86" t="s">
        <v>1</v>
      </c>
      <c r="J302" s="75" t="s">
        <v>1</v>
      </c>
      <c r="K302" s="75" t="s">
        <v>1</v>
      </c>
      <c r="L302" s="80" t="str">
        <f t="shared" si="330"/>
        <v>Infraestruturas</v>
      </c>
      <c r="M302" s="28" t="str">
        <f t="shared" si="323"/>
        <v>Hidroviárias</v>
      </c>
      <c r="N302" s="28" t="str">
        <f t="shared" si="324"/>
        <v>Amarrações</v>
      </c>
      <c r="O302" s="29" t="str">
        <f t="shared" si="325"/>
        <v>Amarra.de.Vácuo</v>
      </c>
      <c r="P302" s="29" t="s">
        <v>467</v>
      </c>
      <c r="Q302" s="80" t="s">
        <v>468</v>
      </c>
      <c r="R302" s="29" t="s">
        <v>1</v>
      </c>
      <c r="S302" s="29" t="str">
        <f t="shared" si="331"/>
        <v>Infraestruturas</v>
      </c>
      <c r="T302" s="29" t="str">
        <f t="shared" si="332"/>
        <v>Hidroviárias</v>
      </c>
      <c r="U302" s="29" t="str">
        <f t="shared" si="332"/>
        <v>Amarrações</v>
      </c>
      <c r="V302" s="29" t="s">
        <v>1476</v>
      </c>
      <c r="W302" s="66" t="str">
        <f t="shared" si="296"/>
        <v>Key-BRMG-302</v>
      </c>
      <c r="X302" s="29" t="s">
        <v>1356</v>
      </c>
      <c r="Y302" s="29" t="s">
        <v>1424</v>
      </c>
      <c r="Z302" s="41" t="s">
        <v>1</v>
      </c>
      <c r="AA302" s="29" t="str">
        <f t="shared" si="303"/>
        <v>Mooring device that uses vacuum suction as the primary method of securing the vessel.</v>
      </c>
    </row>
    <row r="303" spans="1:27" ht="6.6" customHeight="1" x14ac:dyDescent="0.25">
      <c r="A303" s="73">
        <v>303</v>
      </c>
      <c r="B303" s="30" t="s">
        <v>1474</v>
      </c>
      <c r="C303" s="31" t="s">
        <v>884</v>
      </c>
      <c r="D303" s="30" t="s">
        <v>891</v>
      </c>
      <c r="E303" s="30" t="s">
        <v>895</v>
      </c>
      <c r="F303" s="36" t="s">
        <v>469</v>
      </c>
      <c r="G303" s="86" t="s">
        <v>1</v>
      </c>
      <c r="H303" s="86" t="s">
        <v>1</v>
      </c>
      <c r="I303" s="86" t="s">
        <v>1</v>
      </c>
      <c r="J303" s="75" t="s">
        <v>1</v>
      </c>
      <c r="K303" s="75" t="s">
        <v>1</v>
      </c>
      <c r="L303" s="80" t="str">
        <f t="shared" si="330"/>
        <v>Infraestruturas</v>
      </c>
      <c r="M303" s="28" t="str">
        <f t="shared" si="323"/>
        <v>Hidroviárias</v>
      </c>
      <c r="N303" s="28" t="str">
        <f t="shared" si="324"/>
        <v>Amarrações</v>
      </c>
      <c r="O303" s="29" t="str">
        <f t="shared" si="325"/>
        <v>Amarra.Magnética</v>
      </c>
      <c r="P303" s="33" t="s">
        <v>470</v>
      </c>
      <c r="Q303" s="80" t="s">
        <v>471</v>
      </c>
      <c r="R303" s="29" t="s">
        <v>1</v>
      </c>
      <c r="S303" s="29" t="str">
        <f t="shared" si="331"/>
        <v>Infraestruturas</v>
      </c>
      <c r="T303" s="29" t="str">
        <f t="shared" si="332"/>
        <v>Hidroviárias</v>
      </c>
      <c r="U303" s="29" t="str">
        <f t="shared" si="332"/>
        <v>Amarrações</v>
      </c>
      <c r="V303" s="29" t="s">
        <v>1476</v>
      </c>
      <c r="W303" s="66" t="str">
        <f t="shared" si="296"/>
        <v>Key-BRMG-303</v>
      </c>
      <c r="X303" s="29" t="s">
        <v>1356</v>
      </c>
      <c r="Y303" s="29" t="s">
        <v>1424</v>
      </c>
      <c r="Z303" s="41" t="s">
        <v>1</v>
      </c>
      <c r="AA303" s="29" t="str">
        <f t="shared" si="303"/>
        <v>A mooring device that uses magnets as the primary method of securing the vessel.</v>
      </c>
    </row>
    <row r="304" spans="1:27" ht="6.6" customHeight="1" x14ac:dyDescent="0.25">
      <c r="A304" s="73">
        <v>304</v>
      </c>
      <c r="B304" s="30" t="s">
        <v>1474</v>
      </c>
      <c r="C304" s="31" t="s">
        <v>884</v>
      </c>
      <c r="D304" s="30" t="s">
        <v>891</v>
      </c>
      <c r="E304" s="30" t="s">
        <v>895</v>
      </c>
      <c r="F304" s="36" t="s">
        <v>472</v>
      </c>
      <c r="G304" s="86" t="s">
        <v>1</v>
      </c>
      <c r="H304" s="86" t="s">
        <v>1</v>
      </c>
      <c r="I304" s="86" t="s">
        <v>1</v>
      </c>
      <c r="J304" s="75" t="s">
        <v>1</v>
      </c>
      <c r="K304" s="75" t="s">
        <v>1</v>
      </c>
      <c r="L304" s="80" t="str">
        <f t="shared" si="330"/>
        <v>Infraestruturas</v>
      </c>
      <c r="M304" s="28" t="str">
        <f t="shared" si="323"/>
        <v>Hidroviárias</v>
      </c>
      <c r="N304" s="28" t="str">
        <f t="shared" si="324"/>
        <v>Amarrações</v>
      </c>
      <c r="O304" s="29" t="str">
        <f t="shared" si="325"/>
        <v>Ligação.SafeCom</v>
      </c>
      <c r="P304" s="29" t="s">
        <v>473</v>
      </c>
      <c r="Q304" s="80" t="s">
        <v>474</v>
      </c>
      <c r="R304" s="29" t="s">
        <v>1</v>
      </c>
      <c r="S304" s="29" t="str">
        <f t="shared" si="331"/>
        <v>Infraestruturas</v>
      </c>
      <c r="T304" s="29" t="str">
        <f t="shared" si="332"/>
        <v>Hidroviárias</v>
      </c>
      <c r="U304" s="29" t="str">
        <f t="shared" si="332"/>
        <v>Amarrações</v>
      </c>
      <c r="V304" s="29" t="s">
        <v>1476</v>
      </c>
      <c r="W304" s="66" t="str">
        <f t="shared" si="296"/>
        <v>Key-BRMG-304</v>
      </c>
      <c r="X304" s="29" t="s">
        <v>1356</v>
      </c>
      <c r="Y304" s="29" t="s">
        <v>1425</v>
      </c>
      <c r="Z304" s="41" t="s">
        <v>1</v>
      </c>
      <c r="AA304" s="29" t="str">
        <f t="shared" si="303"/>
        <v>SafeCom Ship-to-Shore (SSL) Connection System is a security communication system used for the transfer of hazardous liquids and gases.</v>
      </c>
    </row>
    <row r="305" spans="1:27" ht="6.6" customHeight="1" x14ac:dyDescent="0.25">
      <c r="A305" s="73">
        <v>305</v>
      </c>
      <c r="B305" s="30" t="s">
        <v>1474</v>
      </c>
      <c r="C305" s="31" t="s">
        <v>884</v>
      </c>
      <c r="D305" s="30" t="s">
        <v>891</v>
      </c>
      <c r="E305" s="30" t="s">
        <v>1079</v>
      </c>
      <c r="F305" s="83" t="s">
        <v>507</v>
      </c>
      <c r="G305" s="75" t="s">
        <v>1</v>
      </c>
      <c r="H305" s="75" t="s">
        <v>1</v>
      </c>
      <c r="I305" s="75" t="s">
        <v>1</v>
      </c>
      <c r="J305" s="75" t="s">
        <v>1</v>
      </c>
      <c r="K305" s="75" t="s">
        <v>1</v>
      </c>
      <c r="L305" s="80" t="str">
        <f t="shared" si="330"/>
        <v>Infraestruturas</v>
      </c>
      <c r="M305" s="28" t="str">
        <f t="shared" si="323"/>
        <v>Hidroviárias</v>
      </c>
      <c r="N305" s="28" t="str">
        <f t="shared" si="324"/>
        <v>Níveis Portuários</v>
      </c>
      <c r="O305" s="29" t="str">
        <f t="shared" si="325"/>
        <v>Maré.Alta</v>
      </c>
      <c r="P305" s="29" t="s">
        <v>508</v>
      </c>
      <c r="Q305" s="80" t="s">
        <v>509</v>
      </c>
      <c r="R305" s="29" t="s">
        <v>1</v>
      </c>
      <c r="S305" s="29" t="str">
        <f t="shared" si="331"/>
        <v>Infraestruturas</v>
      </c>
      <c r="T305" s="29" t="str">
        <f t="shared" si="332"/>
        <v>Hidroviárias</v>
      </c>
      <c r="U305" s="29" t="str">
        <f t="shared" si="332"/>
        <v>Níveis Portuários</v>
      </c>
      <c r="V305" s="29" t="s">
        <v>1476</v>
      </c>
      <c r="W305" s="66" t="str">
        <f t="shared" si="296"/>
        <v>Key-BRMG-305</v>
      </c>
      <c r="X305" s="29" t="s">
        <v>1381</v>
      </c>
      <c r="Y305" s="29" t="s">
        <v>1425</v>
      </c>
      <c r="Z305" s="41" t="s">
        <v>1</v>
      </c>
      <c r="AA305" s="29" t="str">
        <f t="shared" si="303"/>
        <v>Level that represents the elevation of the waterline at high tide.</v>
      </c>
    </row>
    <row r="306" spans="1:27" ht="6.6" customHeight="1" x14ac:dyDescent="0.25">
      <c r="A306" s="73">
        <v>306</v>
      </c>
      <c r="B306" s="30" t="s">
        <v>1474</v>
      </c>
      <c r="C306" s="31" t="s">
        <v>884</v>
      </c>
      <c r="D306" s="30" t="s">
        <v>891</v>
      </c>
      <c r="E306" s="30" t="s">
        <v>1079</v>
      </c>
      <c r="F306" s="83" t="s">
        <v>510</v>
      </c>
      <c r="G306" s="75" t="s">
        <v>1</v>
      </c>
      <c r="H306" s="75" t="s">
        <v>1</v>
      </c>
      <c r="I306" s="75" t="s">
        <v>1</v>
      </c>
      <c r="J306" s="75" t="s">
        <v>1</v>
      </c>
      <c r="K306" s="75" t="s">
        <v>1</v>
      </c>
      <c r="L306" s="80" t="str">
        <f t="shared" si="330"/>
        <v>Infraestruturas</v>
      </c>
      <c r="M306" s="28" t="str">
        <f t="shared" si="323"/>
        <v>Hidroviárias</v>
      </c>
      <c r="N306" s="28" t="str">
        <f t="shared" si="324"/>
        <v>Níveis Portuários</v>
      </c>
      <c r="O306" s="29" t="str">
        <f t="shared" si="325"/>
        <v>Maré.Baixa</v>
      </c>
      <c r="P306" s="29" t="s">
        <v>511</v>
      </c>
      <c r="Q306" s="80" t="s">
        <v>512</v>
      </c>
      <c r="R306" s="29" t="s">
        <v>1</v>
      </c>
      <c r="S306" s="29" t="str">
        <f t="shared" si="331"/>
        <v>Infraestruturas</v>
      </c>
      <c r="T306" s="29" t="str">
        <f t="shared" si="332"/>
        <v>Hidroviárias</v>
      </c>
      <c r="U306" s="29" t="str">
        <f t="shared" si="332"/>
        <v>Níveis Portuários</v>
      </c>
      <c r="V306" s="29" t="s">
        <v>1476</v>
      </c>
      <c r="W306" s="66" t="str">
        <f t="shared" si="296"/>
        <v>Key-BRMG-306</v>
      </c>
      <c r="X306" s="29" t="s">
        <v>1381</v>
      </c>
      <c r="Y306" s="29" t="s">
        <v>1425</v>
      </c>
      <c r="Z306" s="41" t="s">
        <v>1</v>
      </c>
      <c r="AA306" s="29" t="str">
        <f t="shared" si="303"/>
        <v>Level that represents the elevation of the waterline at low tide.</v>
      </c>
    </row>
    <row r="307" spans="1:27" ht="6.6" customHeight="1" x14ac:dyDescent="0.25">
      <c r="A307" s="73">
        <v>307</v>
      </c>
      <c r="B307" s="30" t="s">
        <v>1474</v>
      </c>
      <c r="C307" s="31" t="s">
        <v>884</v>
      </c>
      <c r="D307" s="30" t="s">
        <v>891</v>
      </c>
      <c r="E307" s="30" t="s">
        <v>1079</v>
      </c>
      <c r="F307" s="83" t="s">
        <v>513</v>
      </c>
      <c r="G307" s="75" t="s">
        <v>1</v>
      </c>
      <c r="H307" s="75" t="s">
        <v>1</v>
      </c>
      <c r="I307" s="75" t="s">
        <v>1</v>
      </c>
      <c r="J307" s="75" t="s">
        <v>1</v>
      </c>
      <c r="K307" s="75" t="s">
        <v>1</v>
      </c>
      <c r="L307" s="80" t="str">
        <f t="shared" si="330"/>
        <v>Infraestruturas</v>
      </c>
      <c r="M307" s="28" t="str">
        <f t="shared" si="323"/>
        <v>Hidroviárias</v>
      </c>
      <c r="N307" s="28" t="str">
        <f t="shared" si="324"/>
        <v>Níveis Portuários</v>
      </c>
      <c r="O307" s="29" t="str">
        <f t="shared" si="325"/>
        <v>Flotação.Superior</v>
      </c>
      <c r="P307" s="29" t="s">
        <v>514</v>
      </c>
      <c r="Q307" s="80" t="s">
        <v>515</v>
      </c>
      <c r="R307" s="29" t="s">
        <v>1</v>
      </c>
      <c r="S307" s="29" t="str">
        <f t="shared" si="331"/>
        <v>Infraestruturas</v>
      </c>
      <c r="T307" s="29" t="str">
        <f t="shared" si="332"/>
        <v>Hidroviárias</v>
      </c>
      <c r="U307" s="29" t="str">
        <f t="shared" si="332"/>
        <v>Níveis Portuários</v>
      </c>
      <c r="V307" s="29" t="s">
        <v>1476</v>
      </c>
      <c r="W307" s="66" t="str">
        <f t="shared" si="296"/>
        <v>Key-BRMG-307</v>
      </c>
      <c r="X307" s="29" t="s">
        <v>1381</v>
      </c>
      <c r="Y307" s="29" t="s">
        <v>1425</v>
      </c>
      <c r="Z307" s="41" t="s">
        <v>1</v>
      </c>
      <c r="AA307" s="29" t="str">
        <f t="shared" si="303"/>
        <v>Level that represents the part above the average waterline defined within the site area.</v>
      </c>
    </row>
    <row r="308" spans="1:27" ht="6.6" customHeight="1" x14ac:dyDescent="0.25">
      <c r="A308" s="73">
        <v>308</v>
      </c>
      <c r="B308" s="30" t="s">
        <v>1474</v>
      </c>
      <c r="C308" s="31" t="s">
        <v>884</v>
      </c>
      <c r="D308" s="30" t="s">
        <v>891</v>
      </c>
      <c r="E308" s="30" t="s">
        <v>1079</v>
      </c>
      <c r="F308" s="83" t="s">
        <v>516</v>
      </c>
      <c r="G308" s="75" t="s">
        <v>1</v>
      </c>
      <c r="H308" s="75" t="s">
        <v>1</v>
      </c>
      <c r="I308" s="75" t="s">
        <v>1</v>
      </c>
      <c r="J308" s="75" t="s">
        <v>1</v>
      </c>
      <c r="K308" s="75" t="s">
        <v>1</v>
      </c>
      <c r="L308" s="80" t="str">
        <f t="shared" si="330"/>
        <v>Infraestruturas</v>
      </c>
      <c r="M308" s="28" t="str">
        <f t="shared" si="323"/>
        <v>Hidroviárias</v>
      </c>
      <c r="N308" s="28" t="str">
        <f t="shared" si="324"/>
        <v>Níveis Portuários</v>
      </c>
      <c r="O308" s="29" t="str">
        <f t="shared" si="325"/>
        <v>Flotação.Inferior</v>
      </c>
      <c r="P308" s="29" t="s">
        <v>517</v>
      </c>
      <c r="Q308" s="80" t="s">
        <v>518</v>
      </c>
      <c r="R308" s="29" t="s">
        <v>1</v>
      </c>
      <c r="S308" s="29" t="str">
        <f t="shared" si="331"/>
        <v>Infraestruturas</v>
      </c>
      <c r="T308" s="29" t="str">
        <f t="shared" si="332"/>
        <v>Hidroviárias</v>
      </c>
      <c r="U308" s="29" t="str">
        <f t="shared" si="332"/>
        <v>Níveis Portuários</v>
      </c>
      <c r="V308" s="29" t="s">
        <v>1476</v>
      </c>
      <c r="W308" s="66" t="str">
        <f t="shared" si="296"/>
        <v>Key-BRMG-308</v>
      </c>
      <c r="X308" s="29" t="s">
        <v>1381</v>
      </c>
      <c r="Y308" s="29" t="s">
        <v>1425</v>
      </c>
      <c r="Z308" s="41" t="s">
        <v>1</v>
      </c>
      <c r="AA308" s="29" t="str">
        <f t="shared" si="303"/>
        <v>Level that represents the part below the average waterline defined within the site area.</v>
      </c>
    </row>
    <row r="309" spans="1:27" ht="6.6" customHeight="1" x14ac:dyDescent="0.25">
      <c r="A309" s="73">
        <v>309</v>
      </c>
      <c r="B309" s="30" t="s">
        <v>1474</v>
      </c>
      <c r="C309" s="31" t="s">
        <v>884</v>
      </c>
      <c r="D309" s="30" t="s">
        <v>891</v>
      </c>
      <c r="E309" s="30" t="s">
        <v>1079</v>
      </c>
      <c r="F309" s="83" t="s">
        <v>519</v>
      </c>
      <c r="G309" s="75" t="s">
        <v>1</v>
      </c>
      <c r="H309" s="75" t="s">
        <v>1</v>
      </c>
      <c r="I309" s="75" t="s">
        <v>1</v>
      </c>
      <c r="J309" s="75" t="s">
        <v>1</v>
      </c>
      <c r="K309" s="75" t="s">
        <v>1</v>
      </c>
      <c r="L309" s="80" t="str">
        <f t="shared" si="330"/>
        <v>Infraestruturas</v>
      </c>
      <c r="M309" s="28" t="str">
        <f t="shared" si="323"/>
        <v>Hidroviárias</v>
      </c>
      <c r="N309" s="28" t="str">
        <f t="shared" si="324"/>
        <v>Níveis Portuários</v>
      </c>
      <c r="O309" s="29" t="str">
        <f t="shared" si="325"/>
        <v>Nível.Operacional</v>
      </c>
      <c r="P309" s="29" t="s">
        <v>520</v>
      </c>
      <c r="Q309" s="80" t="s">
        <v>521</v>
      </c>
      <c r="R309" s="29" t="s">
        <v>1</v>
      </c>
      <c r="S309" s="29" t="str">
        <f t="shared" si="331"/>
        <v>Infraestruturas</v>
      </c>
      <c r="T309" s="29" t="str">
        <f t="shared" si="332"/>
        <v>Hidroviárias</v>
      </c>
      <c r="U309" s="29" t="str">
        <f t="shared" si="332"/>
        <v>Níveis Portuários</v>
      </c>
      <c r="V309" s="29" t="s">
        <v>1476</v>
      </c>
      <c r="W309" s="66" t="str">
        <f t="shared" si="296"/>
        <v>Key-BRMG-309</v>
      </c>
      <c r="X309" s="29" t="s">
        <v>1381</v>
      </c>
      <c r="Y309" s="29" t="s">
        <v>1425</v>
      </c>
      <c r="Z309" s="41" t="s">
        <v>1</v>
      </c>
      <c r="AA309" s="29" t="str">
        <f t="shared" si="303"/>
        <v>Level that represents the minimum operating depth.</v>
      </c>
    </row>
    <row r="310" spans="1:27" ht="6.6" customHeight="1" x14ac:dyDescent="0.25">
      <c r="A310" s="73">
        <v>310</v>
      </c>
      <c r="B310" s="30" t="s">
        <v>1474</v>
      </c>
      <c r="C310" s="31" t="s">
        <v>884</v>
      </c>
      <c r="D310" s="30" t="s">
        <v>891</v>
      </c>
      <c r="E310" s="30" t="s">
        <v>1079</v>
      </c>
      <c r="F310" s="83" t="s">
        <v>1078</v>
      </c>
      <c r="G310" s="75" t="s">
        <v>1</v>
      </c>
      <c r="H310" s="75" t="s">
        <v>1</v>
      </c>
      <c r="I310" s="75" t="s">
        <v>1</v>
      </c>
      <c r="J310" s="75" t="s">
        <v>1</v>
      </c>
      <c r="K310" s="75" t="s">
        <v>1</v>
      </c>
      <c r="L310" s="80" t="str">
        <f t="shared" si="330"/>
        <v>Infraestruturas</v>
      </c>
      <c r="M310" s="28" t="str">
        <f t="shared" si="323"/>
        <v>Hidroviárias</v>
      </c>
      <c r="N310" s="28" t="str">
        <f t="shared" si="324"/>
        <v>Níveis Portuários</v>
      </c>
      <c r="O310" s="29" t="str">
        <f t="shared" si="325"/>
        <v>Nível.de.Piso</v>
      </c>
      <c r="P310" s="29" t="s">
        <v>522</v>
      </c>
      <c r="Q310" s="80" t="s">
        <v>1083</v>
      </c>
      <c r="R310" s="29" t="s">
        <v>1</v>
      </c>
      <c r="S310" s="29" t="str">
        <f t="shared" si="331"/>
        <v>Infraestruturas</v>
      </c>
      <c r="T310" s="29" t="str">
        <f t="shared" si="332"/>
        <v>Hidroviárias</v>
      </c>
      <c r="U310" s="29" t="str">
        <f t="shared" si="332"/>
        <v>Níveis Portuários</v>
      </c>
      <c r="V310" s="29" t="s">
        <v>1476</v>
      </c>
      <c r="W310" s="66" t="str">
        <f t="shared" si="296"/>
        <v>Key-BRMG-310</v>
      </c>
      <c r="X310" s="29" t="s">
        <v>1381</v>
      </c>
      <c r="Y310" s="29" t="s">
        <v>1425</v>
      </c>
      <c r="Z310" s="41" t="s">
        <v>1</v>
      </c>
      <c r="AA310" s="29" t="str">
        <f t="shared" si="303"/>
        <v>Level that represents the working floor of the pier, where the crane rails and the people working are located.</v>
      </c>
    </row>
    <row r="311" spans="1:27" ht="6.6" customHeight="1" x14ac:dyDescent="0.25">
      <c r="A311" s="73">
        <v>311</v>
      </c>
      <c r="B311" s="30" t="s">
        <v>1474</v>
      </c>
      <c r="C311" s="31" t="s">
        <v>884</v>
      </c>
      <c r="D311" s="30" t="s">
        <v>891</v>
      </c>
      <c r="E311" s="30" t="s">
        <v>1079</v>
      </c>
      <c r="F311" s="83" t="s">
        <v>523</v>
      </c>
      <c r="G311" s="75" t="s">
        <v>1</v>
      </c>
      <c r="H311" s="75" t="s">
        <v>1</v>
      </c>
      <c r="I311" s="75" t="s">
        <v>1</v>
      </c>
      <c r="J311" s="75" t="s">
        <v>1</v>
      </c>
      <c r="K311" s="75" t="s">
        <v>1</v>
      </c>
      <c r="L311" s="80" t="str">
        <f t="shared" si="330"/>
        <v>Infraestruturas</v>
      </c>
      <c r="M311" s="28" t="str">
        <f t="shared" si="323"/>
        <v>Hidroviárias</v>
      </c>
      <c r="N311" s="28" t="str">
        <f t="shared" si="324"/>
        <v>Níveis Portuários</v>
      </c>
      <c r="O311" s="29" t="str">
        <f t="shared" si="325"/>
        <v>Nível.Hidrográfico</v>
      </c>
      <c r="P311" s="29" t="s">
        <v>524</v>
      </c>
      <c r="Q311" s="29" t="s">
        <v>525</v>
      </c>
      <c r="R311" s="29" t="s">
        <v>1</v>
      </c>
      <c r="S311" s="29" t="str">
        <f t="shared" si="331"/>
        <v>Infraestruturas</v>
      </c>
      <c r="T311" s="29" t="str">
        <f t="shared" si="332"/>
        <v>Hidroviárias</v>
      </c>
      <c r="U311" s="29" t="str">
        <f t="shared" si="332"/>
        <v>Níveis Portuários</v>
      </c>
      <c r="V311" s="29" t="s">
        <v>1476</v>
      </c>
      <c r="W311" s="66" t="str">
        <f t="shared" si="296"/>
        <v>Key-BRMG-311</v>
      </c>
      <c r="X311" s="29" t="s">
        <v>1381</v>
      </c>
      <c r="Y311" s="29" t="s">
        <v>1401</v>
      </c>
      <c r="Z311" s="41" t="s">
        <v>1</v>
      </c>
      <c r="AA311" s="29" t="str">
        <f t="shared" si="303"/>
        <v>Reference level provided by hydrographic survey of the port.</v>
      </c>
    </row>
    <row r="312" spans="1:27" ht="6.6" customHeight="1" x14ac:dyDescent="0.25">
      <c r="A312" s="73">
        <v>312</v>
      </c>
      <c r="B312" s="30" t="s">
        <v>1474</v>
      </c>
      <c r="C312" s="31" t="s">
        <v>884</v>
      </c>
      <c r="D312" s="30" t="s">
        <v>891</v>
      </c>
      <c r="E312" s="30" t="s">
        <v>896</v>
      </c>
      <c r="F312" s="46" t="s">
        <v>1080</v>
      </c>
      <c r="G312" s="75" t="s">
        <v>1</v>
      </c>
      <c r="H312" s="75" t="s">
        <v>1</v>
      </c>
      <c r="I312" s="75" t="s">
        <v>1</v>
      </c>
      <c r="J312" s="75" t="s">
        <v>1</v>
      </c>
      <c r="K312" s="75" t="s">
        <v>1</v>
      </c>
      <c r="L312" s="80" t="str">
        <f t="shared" si="330"/>
        <v>Infraestruturas</v>
      </c>
      <c r="M312" s="28" t="str">
        <f t="shared" ref="M312:M313" si="333">CONCATENATE("", D312)</f>
        <v>Hidroviárias</v>
      </c>
      <c r="N312" s="28" t="str">
        <f t="shared" ref="N312:N313" si="334">(SUBSTITUTE(SUBSTITUTE(CONCATENATE("",E312),"."," ")," De "," de "))</f>
        <v>Portos</v>
      </c>
      <c r="O312" s="29" t="str">
        <f t="shared" ref="O312:O313" si="335">F312</f>
        <v>Porto.de.Aguas.Profundas</v>
      </c>
      <c r="P312" s="29" t="s">
        <v>1081</v>
      </c>
      <c r="Q312" s="80" t="s">
        <v>554</v>
      </c>
      <c r="R312" s="29" t="s">
        <v>1</v>
      </c>
      <c r="S312" s="29" t="str">
        <f t="shared" si="331"/>
        <v>Infraestruturas</v>
      </c>
      <c r="T312" s="29" t="str">
        <f t="shared" si="332"/>
        <v>Hidroviárias</v>
      </c>
      <c r="U312" s="29" t="str">
        <f t="shared" ref="U312:U313" si="336">SUBSTITUTE(E312, ".", " ")</f>
        <v>Portos</v>
      </c>
      <c r="V312" s="29" t="s">
        <v>1476</v>
      </c>
      <c r="W312" s="66" t="str">
        <f t="shared" si="296"/>
        <v>Key-BRMG-312</v>
      </c>
      <c r="X312" s="29" t="s">
        <v>1355</v>
      </c>
      <c r="Y312" s="41" t="s">
        <v>1401</v>
      </c>
      <c r="Z312" s="41" t="s">
        <v>1</v>
      </c>
      <c r="AA312" s="29" t="str">
        <f t="shared" si="303"/>
        <v>Complex/facility to receive ships with a large draft. Built in a coastal area with direct access to the ocean, without the need for artificial channels or frequent dredging.</v>
      </c>
    </row>
    <row r="313" spans="1:27" ht="6.6" customHeight="1" x14ac:dyDescent="0.25">
      <c r="A313" s="73">
        <v>313</v>
      </c>
      <c r="B313" s="30" t="s">
        <v>1474</v>
      </c>
      <c r="C313" s="31" t="s">
        <v>884</v>
      </c>
      <c r="D313" s="30" t="s">
        <v>891</v>
      </c>
      <c r="E313" s="30" t="s">
        <v>896</v>
      </c>
      <c r="F313" s="46" t="s">
        <v>553</v>
      </c>
      <c r="G313" s="75" t="s">
        <v>1</v>
      </c>
      <c r="H313" s="75" t="s">
        <v>1</v>
      </c>
      <c r="I313" s="75" t="s">
        <v>1</v>
      </c>
      <c r="J313" s="75" t="s">
        <v>1</v>
      </c>
      <c r="K313" s="75" t="s">
        <v>1</v>
      </c>
      <c r="L313" s="80" t="str">
        <f t="shared" si="330"/>
        <v>Infraestruturas</v>
      </c>
      <c r="M313" s="28" t="str">
        <f t="shared" si="333"/>
        <v>Hidroviárias</v>
      </c>
      <c r="N313" s="28" t="str">
        <f t="shared" si="334"/>
        <v>Portos</v>
      </c>
      <c r="O313" s="29" t="str">
        <f t="shared" si="335"/>
        <v>Porto.Marítimo</v>
      </c>
      <c r="P313" s="29" t="s">
        <v>1082</v>
      </c>
      <c r="Q313" s="80" t="s">
        <v>554</v>
      </c>
      <c r="R313" s="29" t="s">
        <v>1</v>
      </c>
      <c r="S313" s="29" t="str">
        <f t="shared" si="331"/>
        <v>Infraestruturas</v>
      </c>
      <c r="T313" s="29" t="str">
        <f t="shared" si="332"/>
        <v>Hidroviárias</v>
      </c>
      <c r="U313" s="29" t="str">
        <f t="shared" si="336"/>
        <v>Portos</v>
      </c>
      <c r="V313" s="29" t="s">
        <v>1476</v>
      </c>
      <c r="W313" s="66" t="str">
        <f t="shared" si="296"/>
        <v>Key-BRMG-313</v>
      </c>
      <c r="X313" s="29" t="s">
        <v>1355</v>
      </c>
      <c r="Y313" s="41" t="s">
        <v>1401</v>
      </c>
      <c r="Z313" s="41" t="s">
        <v>1</v>
      </c>
      <c r="AA313" s="29" t="str">
        <f t="shared" si="303"/>
        <v>Complex/facility for maritime activities, which includes cargo, people and storage.</v>
      </c>
    </row>
    <row r="314" spans="1:27" ht="6.6" customHeight="1" x14ac:dyDescent="0.25">
      <c r="A314" s="73">
        <v>314</v>
      </c>
      <c r="B314" s="30" t="s">
        <v>1474</v>
      </c>
      <c r="C314" s="31" t="s">
        <v>884</v>
      </c>
      <c r="D314" s="30" t="s">
        <v>891</v>
      </c>
      <c r="E314" s="30" t="s">
        <v>896</v>
      </c>
      <c r="F314" s="46" t="s">
        <v>1187</v>
      </c>
      <c r="G314" s="75" t="s">
        <v>1</v>
      </c>
      <c r="H314" s="75" t="s">
        <v>1</v>
      </c>
      <c r="I314" s="75" t="s">
        <v>1</v>
      </c>
      <c r="J314" s="75" t="s">
        <v>1</v>
      </c>
      <c r="K314" s="75" t="s">
        <v>1</v>
      </c>
      <c r="L314" s="80" t="str">
        <f t="shared" ref="L314:L315" si="337">_xlfn.CONCAT(C314)</f>
        <v>Infraestruturas</v>
      </c>
      <c r="M314" s="28" t="str">
        <f t="shared" si="323"/>
        <v>Hidroviárias</v>
      </c>
      <c r="N314" s="28" t="str">
        <f t="shared" si="324"/>
        <v>Portos</v>
      </c>
      <c r="O314" s="29" t="str">
        <f t="shared" si="325"/>
        <v>Base.Naval</v>
      </c>
      <c r="P314" s="29" t="s">
        <v>1082</v>
      </c>
      <c r="Q314" s="80" t="s">
        <v>1188</v>
      </c>
      <c r="R314" s="29" t="s">
        <v>1</v>
      </c>
      <c r="S314" s="29" t="str">
        <f t="shared" ref="S314:S315" si="338">SUBSTITUTE(C314, ".", " ")</f>
        <v>Infraestruturas</v>
      </c>
      <c r="T314" s="29" t="str">
        <f t="shared" ref="T314:T315" si="339">SUBSTITUTE(D314, ".", " ")</f>
        <v>Hidroviárias</v>
      </c>
      <c r="U314" s="29" t="str">
        <f t="shared" si="332"/>
        <v>Portos</v>
      </c>
      <c r="V314" s="29" t="s">
        <v>1476</v>
      </c>
      <c r="W314" s="66" t="str">
        <f t="shared" si="296"/>
        <v>Key-BRMG-314</v>
      </c>
      <c r="X314" s="29" t="s">
        <v>1355</v>
      </c>
      <c r="Y314" s="41" t="s">
        <v>1401</v>
      </c>
      <c r="Z314" s="41" t="s">
        <v>1</v>
      </c>
      <c r="AA314" s="29" t="str">
        <f t="shared" si="303"/>
        <v>Complex/facility for maritime activities, which includes cargo, people and storage.</v>
      </c>
    </row>
    <row r="315" spans="1:27" ht="6.6" customHeight="1" x14ac:dyDescent="0.25">
      <c r="A315" s="73">
        <v>315</v>
      </c>
      <c r="B315" s="30" t="s">
        <v>1474</v>
      </c>
      <c r="C315" s="31" t="s">
        <v>884</v>
      </c>
      <c r="D315" s="30" t="s">
        <v>891</v>
      </c>
      <c r="E315" s="30" t="s">
        <v>896</v>
      </c>
      <c r="F315" s="46" t="s">
        <v>555</v>
      </c>
      <c r="G315" s="75" t="s">
        <v>1</v>
      </c>
      <c r="H315" s="75" t="s">
        <v>1</v>
      </c>
      <c r="I315" s="75" t="s">
        <v>1</v>
      </c>
      <c r="J315" s="75" t="s">
        <v>1</v>
      </c>
      <c r="K315" s="75" t="s">
        <v>1</v>
      </c>
      <c r="L315" s="80" t="str">
        <f t="shared" si="337"/>
        <v>Infraestruturas</v>
      </c>
      <c r="M315" s="28" t="str">
        <f t="shared" si="323"/>
        <v>Hidroviárias</v>
      </c>
      <c r="N315" s="28" t="str">
        <f t="shared" si="324"/>
        <v>Portos</v>
      </c>
      <c r="O315" s="29" t="str">
        <f t="shared" si="325"/>
        <v>Porto.Fluvial</v>
      </c>
      <c r="P315" s="29" t="s">
        <v>556</v>
      </c>
      <c r="Q315" s="80" t="s">
        <v>557</v>
      </c>
      <c r="R315" s="29" t="s">
        <v>1</v>
      </c>
      <c r="S315" s="29" t="str">
        <f t="shared" si="338"/>
        <v>Infraestruturas</v>
      </c>
      <c r="T315" s="29" t="str">
        <f t="shared" si="339"/>
        <v>Hidroviárias</v>
      </c>
      <c r="U315" s="29" t="str">
        <f t="shared" si="332"/>
        <v>Portos</v>
      </c>
      <c r="V315" s="29" t="s">
        <v>1476</v>
      </c>
      <c r="W315" s="66" t="str">
        <f t="shared" si="296"/>
        <v>Key-BRMG-315</v>
      </c>
      <c r="X315" s="29" t="s">
        <v>1355</v>
      </c>
      <c r="Y315" s="41" t="s">
        <v>1424</v>
      </c>
      <c r="Z315" s="41" t="s">
        <v>1</v>
      </c>
      <c r="AA315" s="29" t="str">
        <f t="shared" si="303"/>
        <v>Complex/facility for river activities, which includes cargo, people and storage.</v>
      </c>
    </row>
    <row r="316" spans="1:27" ht="6.6" customHeight="1" x14ac:dyDescent="0.25">
      <c r="A316" s="73">
        <v>316</v>
      </c>
      <c r="B316" s="30" t="s">
        <v>1474</v>
      </c>
      <c r="C316" s="31" t="s">
        <v>884</v>
      </c>
      <c r="D316" s="30" t="s">
        <v>891</v>
      </c>
      <c r="E316" s="30" t="s">
        <v>897</v>
      </c>
      <c r="F316" s="46" t="s">
        <v>526</v>
      </c>
      <c r="G316" s="75" t="s">
        <v>1</v>
      </c>
      <c r="H316" s="75" t="s">
        <v>1</v>
      </c>
      <c r="I316" s="75" t="s">
        <v>1</v>
      </c>
      <c r="J316" s="75" t="s">
        <v>1</v>
      </c>
      <c r="K316" s="75" t="s">
        <v>1</v>
      </c>
      <c r="L316" s="80" t="str">
        <f t="shared" si="330"/>
        <v>Infraestruturas</v>
      </c>
      <c r="M316" s="28" t="str">
        <f t="shared" si="323"/>
        <v>Hidroviárias</v>
      </c>
      <c r="N316" s="28" t="str">
        <f t="shared" si="324"/>
        <v>Portos Defesas</v>
      </c>
      <c r="O316" s="29" t="str">
        <f t="shared" si="325"/>
        <v>Quebra.Ondas</v>
      </c>
      <c r="P316" s="29" t="s">
        <v>527</v>
      </c>
      <c r="Q316" s="80" t="s">
        <v>528</v>
      </c>
      <c r="R316" s="29" t="s">
        <v>1</v>
      </c>
      <c r="S316" s="29" t="str">
        <f t="shared" si="331"/>
        <v>Infraestruturas</v>
      </c>
      <c r="T316" s="29" t="str">
        <f t="shared" si="332"/>
        <v>Hidroviárias</v>
      </c>
      <c r="U316" s="29" t="str">
        <f t="shared" si="332"/>
        <v>Portos Defesas</v>
      </c>
      <c r="V316" s="29" t="s">
        <v>1476</v>
      </c>
      <c r="W316" s="66" t="str">
        <f t="shared" si="296"/>
        <v>Key-BRMG-316</v>
      </c>
      <c r="X316" s="29" t="s">
        <v>1356</v>
      </c>
      <c r="Y316" s="29" t="s">
        <v>1424</v>
      </c>
      <c r="Z316" s="41" t="s">
        <v>1</v>
      </c>
      <c r="AA316" s="29" t="str">
        <f t="shared" si="303"/>
        <v>Line where there is a decrease in the energy of the sea waves.</v>
      </c>
    </row>
    <row r="317" spans="1:27" ht="6.6" customHeight="1" x14ac:dyDescent="0.25">
      <c r="A317" s="73">
        <v>317</v>
      </c>
      <c r="B317" s="30" t="s">
        <v>1474</v>
      </c>
      <c r="C317" s="31" t="s">
        <v>884</v>
      </c>
      <c r="D317" s="30" t="s">
        <v>891</v>
      </c>
      <c r="E317" s="30" t="s">
        <v>897</v>
      </c>
      <c r="F317" s="46" t="s">
        <v>529</v>
      </c>
      <c r="G317" s="75" t="s">
        <v>1</v>
      </c>
      <c r="H317" s="75" t="s">
        <v>1</v>
      </c>
      <c r="I317" s="75" t="s">
        <v>1</v>
      </c>
      <c r="J317" s="75" t="s">
        <v>1</v>
      </c>
      <c r="K317" s="75" t="s">
        <v>1</v>
      </c>
      <c r="L317" s="80" t="str">
        <f t="shared" si="330"/>
        <v>Infraestruturas</v>
      </c>
      <c r="M317" s="28" t="str">
        <f t="shared" si="323"/>
        <v>Hidroviárias</v>
      </c>
      <c r="N317" s="28" t="str">
        <f t="shared" si="324"/>
        <v>Portos Defesas</v>
      </c>
      <c r="O317" s="29" t="str">
        <f t="shared" si="325"/>
        <v>Quebra.Mar</v>
      </c>
      <c r="P317" s="29" t="s">
        <v>530</v>
      </c>
      <c r="Q317" s="80" t="s">
        <v>531</v>
      </c>
      <c r="R317" s="29" t="s">
        <v>1</v>
      </c>
      <c r="S317" s="29" t="str">
        <f t="shared" si="331"/>
        <v>Infraestruturas</v>
      </c>
      <c r="T317" s="29" t="str">
        <f t="shared" si="332"/>
        <v>Hidroviárias</v>
      </c>
      <c r="U317" s="29" t="str">
        <f t="shared" si="332"/>
        <v>Portos Defesas</v>
      </c>
      <c r="V317" s="29" t="s">
        <v>1476</v>
      </c>
      <c r="W317" s="66" t="str">
        <f t="shared" si="296"/>
        <v>Key-BRMG-317</v>
      </c>
      <c r="X317" s="29" t="s">
        <v>1356</v>
      </c>
      <c r="Y317" s="29" t="s">
        <v>1424</v>
      </c>
      <c r="Z317" s="41" t="s">
        <v>1</v>
      </c>
      <c r="AA317" s="29" t="str">
        <f t="shared" si="303"/>
        <v>A structure built to protect the coast, ports or urban areas from the force of waves and sea currents, it can be parallel or perpendicular to the coast.</v>
      </c>
    </row>
    <row r="318" spans="1:27" ht="6.6" customHeight="1" x14ac:dyDescent="0.25">
      <c r="A318" s="73">
        <v>318</v>
      </c>
      <c r="B318" s="30" t="s">
        <v>1474</v>
      </c>
      <c r="C318" s="31" t="s">
        <v>884</v>
      </c>
      <c r="D318" s="30" t="s">
        <v>891</v>
      </c>
      <c r="E318" s="30" t="s">
        <v>897</v>
      </c>
      <c r="F318" s="46" t="s">
        <v>532</v>
      </c>
      <c r="G318" s="75" t="s">
        <v>1</v>
      </c>
      <c r="H318" s="75" t="s">
        <v>1</v>
      </c>
      <c r="I318" s="75" t="s">
        <v>1</v>
      </c>
      <c r="J318" s="75" t="s">
        <v>1</v>
      </c>
      <c r="K318" s="75" t="s">
        <v>1</v>
      </c>
      <c r="L318" s="80" t="str">
        <f t="shared" si="330"/>
        <v>Infraestruturas</v>
      </c>
      <c r="M318" s="28" t="str">
        <f t="shared" si="323"/>
        <v>Hidroviárias</v>
      </c>
      <c r="N318" s="28" t="str">
        <f t="shared" si="324"/>
        <v>Portos Defesas</v>
      </c>
      <c r="O318" s="29" t="str">
        <f t="shared" si="325"/>
        <v>Costa.Defesa</v>
      </c>
      <c r="P318" s="29" t="s">
        <v>533</v>
      </c>
      <c r="Q318" s="29" t="s">
        <v>534</v>
      </c>
      <c r="R318" s="29" t="s">
        <v>1</v>
      </c>
      <c r="S318" s="29" t="str">
        <f t="shared" si="331"/>
        <v>Infraestruturas</v>
      </c>
      <c r="T318" s="29" t="str">
        <f t="shared" si="332"/>
        <v>Hidroviárias</v>
      </c>
      <c r="U318" s="29" t="str">
        <f t="shared" si="332"/>
        <v>Portos Defesas</v>
      </c>
      <c r="V318" s="29" t="s">
        <v>1476</v>
      </c>
      <c r="W318" s="66" t="str">
        <f t="shared" si="296"/>
        <v>Key-BRMG-318</v>
      </c>
      <c r="X318" s="29" t="s">
        <v>1356</v>
      </c>
      <c r="Y318" s="29" t="s">
        <v>1424</v>
      </c>
      <c r="Z318" s="41" t="s">
        <v>1</v>
      </c>
      <c r="AA318" s="29" t="str">
        <f t="shared" si="303"/>
        <v>Protection device that absorbs the impact between the ship and the quay.</v>
      </c>
    </row>
    <row r="319" spans="1:27" ht="6.6" customHeight="1" x14ac:dyDescent="0.25">
      <c r="A319" s="73">
        <v>319</v>
      </c>
      <c r="B319" s="30" t="s">
        <v>1474</v>
      </c>
      <c r="C319" s="31" t="s">
        <v>884</v>
      </c>
      <c r="D319" s="30" t="s">
        <v>891</v>
      </c>
      <c r="E319" s="30" t="s">
        <v>897</v>
      </c>
      <c r="F319" s="46" t="s">
        <v>535</v>
      </c>
      <c r="G319" s="75" t="s">
        <v>1</v>
      </c>
      <c r="H319" s="75" t="s">
        <v>1</v>
      </c>
      <c r="I319" s="75" t="s">
        <v>1</v>
      </c>
      <c r="J319" s="75" t="s">
        <v>1</v>
      </c>
      <c r="K319" s="75" t="s">
        <v>1</v>
      </c>
      <c r="L319" s="80" t="str">
        <f t="shared" si="330"/>
        <v>Infraestruturas</v>
      </c>
      <c r="M319" s="28" t="str">
        <f t="shared" si="323"/>
        <v>Hidroviárias</v>
      </c>
      <c r="N319" s="28" t="str">
        <f t="shared" si="324"/>
        <v>Portos Defesas</v>
      </c>
      <c r="O319" s="29" t="str">
        <f t="shared" si="325"/>
        <v>Costa.Contenção</v>
      </c>
      <c r="P319" s="29" t="s">
        <v>536</v>
      </c>
      <c r="Q319" s="80" t="s">
        <v>537</v>
      </c>
      <c r="R319" s="29" t="s">
        <v>1</v>
      </c>
      <c r="S319" s="29" t="str">
        <f t="shared" si="331"/>
        <v>Infraestruturas</v>
      </c>
      <c r="T319" s="29" t="str">
        <f t="shared" si="332"/>
        <v>Hidroviárias</v>
      </c>
      <c r="U319" s="29" t="str">
        <f t="shared" si="332"/>
        <v>Portos Defesas</v>
      </c>
      <c r="V319" s="29" t="s">
        <v>1476</v>
      </c>
      <c r="W319" s="66" t="str">
        <f t="shared" si="296"/>
        <v>Key-BRMG-319</v>
      </c>
      <c r="X319" s="29" t="s">
        <v>1356</v>
      </c>
      <c r="Y319" s="29" t="s">
        <v>1424</v>
      </c>
      <c r="Z319" s="41" t="s">
        <v>1</v>
      </c>
      <c r="AA319" s="29" t="str">
        <f t="shared" si="303"/>
        <v>Marine defensive structure made of earthworks, masonry and rocks.</v>
      </c>
    </row>
    <row r="320" spans="1:27" ht="6.6" customHeight="1" x14ac:dyDescent="0.25">
      <c r="A320" s="73">
        <v>320</v>
      </c>
      <c r="B320" s="30" t="s">
        <v>1474</v>
      </c>
      <c r="C320" s="31" t="s">
        <v>884</v>
      </c>
      <c r="D320" s="30" t="s">
        <v>891</v>
      </c>
      <c r="E320" s="30" t="s">
        <v>898</v>
      </c>
      <c r="F320" s="46" t="s">
        <v>538</v>
      </c>
      <c r="G320" s="75" t="s">
        <v>1</v>
      </c>
      <c r="H320" s="75" t="s">
        <v>1</v>
      </c>
      <c r="I320" s="75" t="s">
        <v>1</v>
      </c>
      <c r="J320" s="75" t="s">
        <v>1</v>
      </c>
      <c r="K320" s="75" t="s">
        <v>1</v>
      </c>
      <c r="L320" s="80" t="str">
        <f t="shared" si="330"/>
        <v>Infraestruturas</v>
      </c>
      <c r="M320" s="28" t="str">
        <f t="shared" si="323"/>
        <v>Hidroviárias</v>
      </c>
      <c r="N320" s="28" t="str">
        <f t="shared" si="324"/>
        <v>Portos Docas</v>
      </c>
      <c r="O320" s="29" t="str">
        <f t="shared" si="325"/>
        <v>Dique.Seco</v>
      </c>
      <c r="P320" s="29" t="s">
        <v>539</v>
      </c>
      <c r="Q320" s="80" t="s">
        <v>540</v>
      </c>
      <c r="R320" s="29" t="s">
        <v>1</v>
      </c>
      <c r="S320" s="29" t="str">
        <f t="shared" si="331"/>
        <v>Infraestruturas</v>
      </c>
      <c r="T320" s="29" t="str">
        <f t="shared" si="332"/>
        <v>Hidroviárias</v>
      </c>
      <c r="U320" s="29" t="str">
        <f t="shared" si="332"/>
        <v>Portos Docas</v>
      </c>
      <c r="V320" s="29" t="s">
        <v>1476</v>
      </c>
      <c r="W320" s="66" t="str">
        <f t="shared" si="296"/>
        <v>Key-BRMG-320</v>
      </c>
      <c r="X320" s="29" t="s">
        <v>1356</v>
      </c>
      <c r="Y320" s="29" t="s">
        <v>1424</v>
      </c>
      <c r="Z320" s="41" t="s">
        <v>1</v>
      </c>
      <c r="AA320" s="29" t="str">
        <f t="shared" si="303"/>
        <v>The dry dock is a closed chamber (by gate) that allows the drainage of water into the building.</v>
      </c>
    </row>
    <row r="321" spans="1:27" ht="6.6" customHeight="1" x14ac:dyDescent="0.25">
      <c r="A321" s="73">
        <v>321</v>
      </c>
      <c r="B321" s="30" t="s">
        <v>1474</v>
      </c>
      <c r="C321" s="31" t="s">
        <v>884</v>
      </c>
      <c r="D321" s="30" t="s">
        <v>891</v>
      </c>
      <c r="E321" s="30" t="s">
        <v>898</v>
      </c>
      <c r="F321" s="46" t="s">
        <v>541</v>
      </c>
      <c r="G321" s="75" t="s">
        <v>1</v>
      </c>
      <c r="H321" s="75" t="s">
        <v>1</v>
      </c>
      <c r="I321" s="75" t="s">
        <v>1</v>
      </c>
      <c r="J321" s="75" t="s">
        <v>1</v>
      </c>
      <c r="K321" s="75" t="s">
        <v>1</v>
      </c>
      <c r="L321" s="80" t="str">
        <f t="shared" si="330"/>
        <v>Infraestruturas</v>
      </c>
      <c r="M321" s="28" t="str">
        <f t="shared" si="323"/>
        <v>Hidroviárias</v>
      </c>
      <c r="N321" s="28" t="str">
        <f t="shared" si="324"/>
        <v>Portos Docas</v>
      </c>
      <c r="O321" s="29" t="str">
        <f t="shared" si="325"/>
        <v>Doca.Flutuante</v>
      </c>
      <c r="P321" s="29" t="s">
        <v>542</v>
      </c>
      <c r="Q321" s="80" t="s">
        <v>543</v>
      </c>
      <c r="R321" s="29" t="s">
        <v>1</v>
      </c>
      <c r="S321" s="29" t="str">
        <f t="shared" si="331"/>
        <v>Infraestruturas</v>
      </c>
      <c r="T321" s="29" t="str">
        <f t="shared" si="332"/>
        <v>Hidroviárias</v>
      </c>
      <c r="U321" s="29" t="str">
        <f t="shared" si="332"/>
        <v>Portos Docas</v>
      </c>
      <c r="V321" s="29" t="s">
        <v>1476</v>
      </c>
      <c r="W321" s="66" t="str">
        <f t="shared" si="296"/>
        <v>Key-BRMG-321</v>
      </c>
      <c r="X321" s="29" t="s">
        <v>1356</v>
      </c>
      <c r="Y321" s="29" t="s">
        <v>1424</v>
      </c>
      <c r="Z321" s="41" t="s">
        <v>1</v>
      </c>
      <c r="AA321" s="29" t="str">
        <f t="shared" si="303"/>
        <v>Space element that encompasses a floating dry dock and lateral support quay auxiliaries.</v>
      </c>
    </row>
    <row r="322" spans="1:27" ht="6.6" customHeight="1" x14ac:dyDescent="0.25">
      <c r="A322" s="73">
        <v>322</v>
      </c>
      <c r="B322" s="30" t="s">
        <v>1474</v>
      </c>
      <c r="C322" s="31" t="s">
        <v>884</v>
      </c>
      <c r="D322" s="30" t="s">
        <v>891</v>
      </c>
      <c r="E322" s="30" t="s">
        <v>899</v>
      </c>
      <c r="F322" s="46" t="s">
        <v>544</v>
      </c>
      <c r="G322" s="75" t="s">
        <v>1</v>
      </c>
      <c r="H322" s="75" t="s">
        <v>1</v>
      </c>
      <c r="I322" s="75" t="s">
        <v>1</v>
      </c>
      <c r="J322" s="75" t="s">
        <v>1</v>
      </c>
      <c r="K322" s="75" t="s">
        <v>1</v>
      </c>
      <c r="L322" s="80" t="str">
        <f t="shared" si="330"/>
        <v>Infraestruturas</v>
      </c>
      <c r="M322" s="28" t="str">
        <f t="shared" si="323"/>
        <v>Hidroviárias</v>
      </c>
      <c r="N322" s="28" t="str">
        <f t="shared" si="324"/>
        <v>Portos Partes</v>
      </c>
      <c r="O322" s="29" t="str">
        <f t="shared" si="325"/>
        <v>Infra.Portuária</v>
      </c>
      <c r="P322" s="29" t="s">
        <v>545</v>
      </c>
      <c r="Q322" s="80" t="s">
        <v>546</v>
      </c>
      <c r="R322" s="29" t="s">
        <v>1</v>
      </c>
      <c r="S322" s="29" t="str">
        <f t="shared" si="331"/>
        <v>Infraestruturas</v>
      </c>
      <c r="T322" s="29" t="str">
        <f t="shared" si="332"/>
        <v>Hidroviárias</v>
      </c>
      <c r="U322" s="29" t="str">
        <f t="shared" si="332"/>
        <v>Portos Partes</v>
      </c>
      <c r="V322" s="29" t="s">
        <v>1476</v>
      </c>
      <c r="W322" s="66" t="str">
        <f t="shared" si="296"/>
        <v>Key-BRMG-322</v>
      </c>
      <c r="X322" s="29" t="s">
        <v>1356</v>
      </c>
      <c r="Y322" s="29" t="s">
        <v>1424</v>
      </c>
      <c r="Z322" s="41" t="s">
        <v>1</v>
      </c>
      <c r="AA322" s="29" t="str">
        <f t="shared" si="303"/>
        <v>Marine facility represents any major structure or entity that is specific to ports and waters.</v>
      </c>
    </row>
    <row r="323" spans="1:27" ht="6.6" customHeight="1" x14ac:dyDescent="0.25">
      <c r="A323" s="73">
        <v>323</v>
      </c>
      <c r="B323" s="30" t="s">
        <v>1474</v>
      </c>
      <c r="C323" s="31" t="s">
        <v>884</v>
      </c>
      <c r="D323" s="30" t="s">
        <v>891</v>
      </c>
      <c r="E323" s="30" t="s">
        <v>899</v>
      </c>
      <c r="F323" s="46" t="s">
        <v>547</v>
      </c>
      <c r="G323" s="75" t="s">
        <v>1</v>
      </c>
      <c r="H323" s="75" t="s">
        <v>1</v>
      </c>
      <c r="I323" s="75" t="s">
        <v>1</v>
      </c>
      <c r="J323" s="75" t="s">
        <v>1</v>
      </c>
      <c r="K323" s="75" t="s">
        <v>1</v>
      </c>
      <c r="L323" s="80" t="str">
        <f t="shared" si="330"/>
        <v>Infraestruturas</v>
      </c>
      <c r="M323" s="28" t="str">
        <f t="shared" si="323"/>
        <v>Hidroviárias</v>
      </c>
      <c r="N323" s="28" t="str">
        <f t="shared" si="324"/>
        <v>Portos Partes</v>
      </c>
      <c r="O323" s="29" t="str">
        <f t="shared" si="325"/>
        <v>Praia</v>
      </c>
      <c r="P323" s="29" t="s">
        <v>548</v>
      </c>
      <c r="Q323" s="80" t="s">
        <v>549</v>
      </c>
      <c r="R323" s="29" t="s">
        <v>1</v>
      </c>
      <c r="S323" s="29" t="str">
        <f t="shared" si="331"/>
        <v>Infraestruturas</v>
      </c>
      <c r="T323" s="29" t="str">
        <f t="shared" si="332"/>
        <v>Hidroviárias</v>
      </c>
      <c r="U323" s="29" t="str">
        <f t="shared" si="332"/>
        <v>Portos Partes</v>
      </c>
      <c r="V323" s="29" t="s">
        <v>1476</v>
      </c>
      <c r="W323" s="66" t="str">
        <f t="shared" ref="W323:W386" si="340">CONCATENATE("Key-BRMG-",A323)</f>
        <v>Key-BRMG-323</v>
      </c>
      <c r="X323" s="29" t="s">
        <v>1356</v>
      </c>
      <c r="Y323" s="29" t="s">
        <v>1424</v>
      </c>
      <c r="Z323" s="41" t="s">
        <v>1</v>
      </c>
      <c r="AA323" s="29" t="str">
        <f t="shared" si="303"/>
        <v>A mountain range of sand that rises slightly above the surface of the sea and runs roughly parallel to the coast.</v>
      </c>
    </row>
    <row r="324" spans="1:27" ht="6.6" customHeight="1" x14ac:dyDescent="0.25">
      <c r="A324" s="73">
        <v>324</v>
      </c>
      <c r="B324" s="30" t="s">
        <v>1474</v>
      </c>
      <c r="C324" s="31" t="s">
        <v>884</v>
      </c>
      <c r="D324" s="30" t="s">
        <v>891</v>
      </c>
      <c r="E324" s="30" t="s">
        <v>899</v>
      </c>
      <c r="F324" s="46" t="s">
        <v>550</v>
      </c>
      <c r="G324" s="75" t="s">
        <v>1</v>
      </c>
      <c r="H324" s="75" t="s">
        <v>1</v>
      </c>
      <c r="I324" s="75" t="s">
        <v>1</v>
      </c>
      <c r="J324" s="75" t="s">
        <v>1</v>
      </c>
      <c r="K324" s="75" t="s">
        <v>1</v>
      </c>
      <c r="L324" s="80" t="str">
        <f t="shared" si="330"/>
        <v>Infraestruturas</v>
      </c>
      <c r="M324" s="28" t="str">
        <f t="shared" ref="M324:M348" si="341">CONCATENATE("", D324)</f>
        <v>Hidroviárias</v>
      </c>
      <c r="N324" s="28" t="str">
        <f t="shared" ref="N324:N348" si="342">(SUBSTITUTE(SUBSTITUTE(CONCATENATE("",E324),"."," ")," De "," de "))</f>
        <v>Portos Partes</v>
      </c>
      <c r="O324" s="29" t="str">
        <f t="shared" ref="O324:O348" si="343">F324</f>
        <v>Hidroelevador</v>
      </c>
      <c r="P324" s="29" t="s">
        <v>551</v>
      </c>
      <c r="Q324" s="80" t="s">
        <v>552</v>
      </c>
      <c r="R324" s="29" t="s">
        <v>1</v>
      </c>
      <c r="S324" s="29" t="str">
        <f t="shared" si="331"/>
        <v>Infraestruturas</v>
      </c>
      <c r="T324" s="29" t="str">
        <f t="shared" si="332"/>
        <v>Hidroviárias</v>
      </c>
      <c r="U324" s="29" t="str">
        <f t="shared" si="332"/>
        <v>Portos Partes</v>
      </c>
      <c r="V324" s="29" t="s">
        <v>1476</v>
      </c>
      <c r="W324" s="66" t="str">
        <f t="shared" si="340"/>
        <v>Key-BRMG-324</v>
      </c>
      <c r="X324" s="29" t="s">
        <v>1356</v>
      </c>
      <c r="Y324" s="29" t="s">
        <v>1424</v>
      </c>
      <c r="Z324" s="41" t="s">
        <v>1</v>
      </c>
      <c r="AA324" s="29" t="str">
        <f t="shared" si="303"/>
        <v>A type of vessel launch recovery facility, also known as a hydraulic lifting dock, where ships are lifted.</v>
      </c>
    </row>
    <row r="325" spans="1:27" ht="6.6" customHeight="1" x14ac:dyDescent="0.25">
      <c r="A325" s="73">
        <v>325</v>
      </c>
      <c r="B325" s="30" t="s">
        <v>1474</v>
      </c>
      <c r="C325" s="31" t="s">
        <v>884</v>
      </c>
      <c r="D325" s="30" t="s">
        <v>891</v>
      </c>
      <c r="E325" s="30" t="s">
        <v>899</v>
      </c>
      <c r="F325" s="46" t="s">
        <v>558</v>
      </c>
      <c r="G325" s="75" t="s">
        <v>1</v>
      </c>
      <c r="H325" s="75" t="s">
        <v>1</v>
      </c>
      <c r="I325" s="75" t="s">
        <v>1</v>
      </c>
      <c r="J325" s="75" t="s">
        <v>1</v>
      </c>
      <c r="K325" s="75" t="s">
        <v>1</v>
      </c>
      <c r="L325" s="80" t="str">
        <f t="shared" ref="L325:L348" si="344">_xlfn.CONCAT(C325)</f>
        <v>Infraestruturas</v>
      </c>
      <c r="M325" s="28" t="str">
        <f t="shared" si="341"/>
        <v>Hidroviárias</v>
      </c>
      <c r="N325" s="28" t="str">
        <f t="shared" si="342"/>
        <v>Portos Partes</v>
      </c>
      <c r="O325" s="29" t="str">
        <f t="shared" si="343"/>
        <v>Dolfin</v>
      </c>
      <c r="P325" s="29" t="s">
        <v>559</v>
      </c>
      <c r="Q325" s="80" t="s">
        <v>560</v>
      </c>
      <c r="R325" s="29" t="s">
        <v>1</v>
      </c>
      <c r="S325" s="29" t="str">
        <f t="shared" si="331"/>
        <v>Infraestruturas</v>
      </c>
      <c r="T325" s="29" t="str">
        <f t="shared" si="332"/>
        <v>Hidroviárias</v>
      </c>
      <c r="U325" s="29" t="str">
        <f t="shared" si="332"/>
        <v>Portos Partes</v>
      </c>
      <c r="V325" s="29" t="s">
        <v>1476</v>
      </c>
      <c r="W325" s="66" t="str">
        <f t="shared" si="340"/>
        <v>Key-BRMG-325</v>
      </c>
      <c r="X325" s="29" t="s">
        <v>1356</v>
      </c>
      <c r="Y325" s="29" t="s">
        <v>1424</v>
      </c>
      <c r="Z325" s="41" t="s">
        <v>1</v>
      </c>
      <c r="AA325" s="29" t="str">
        <f t="shared" si="303"/>
        <v>Place for mooring vessels without contact with the shore of the coast.</v>
      </c>
    </row>
    <row r="326" spans="1:27" ht="6.6" customHeight="1" x14ac:dyDescent="0.25">
      <c r="A326" s="73">
        <v>326</v>
      </c>
      <c r="B326" s="30" t="s">
        <v>1474</v>
      </c>
      <c r="C326" s="31" t="s">
        <v>884</v>
      </c>
      <c r="D326" s="30" t="s">
        <v>891</v>
      </c>
      <c r="E326" s="30" t="s">
        <v>899</v>
      </c>
      <c r="F326" s="46" t="s">
        <v>561</v>
      </c>
      <c r="G326" s="75" t="s">
        <v>1</v>
      </c>
      <c r="H326" s="75" t="s">
        <v>1</v>
      </c>
      <c r="I326" s="75" t="s">
        <v>1</v>
      </c>
      <c r="J326" s="75" t="s">
        <v>1</v>
      </c>
      <c r="K326" s="75" t="s">
        <v>1</v>
      </c>
      <c r="L326" s="80" t="str">
        <f t="shared" si="344"/>
        <v>Infraestruturas</v>
      </c>
      <c r="M326" s="28" t="str">
        <f t="shared" si="341"/>
        <v>Hidroviárias</v>
      </c>
      <c r="N326" s="28" t="str">
        <f t="shared" si="342"/>
        <v>Portos Partes</v>
      </c>
      <c r="O326" s="29" t="str">
        <f t="shared" si="343"/>
        <v>Pier</v>
      </c>
      <c r="P326" s="29" t="s">
        <v>562</v>
      </c>
      <c r="Q326" s="80" t="s">
        <v>563</v>
      </c>
      <c r="R326" s="29" t="s">
        <v>1</v>
      </c>
      <c r="S326" s="29" t="str">
        <f t="shared" si="331"/>
        <v>Infraestruturas</v>
      </c>
      <c r="T326" s="29" t="str">
        <f t="shared" si="332"/>
        <v>Hidroviárias</v>
      </c>
      <c r="U326" s="29" t="str">
        <f t="shared" si="332"/>
        <v>Portos Partes</v>
      </c>
      <c r="V326" s="29" t="s">
        <v>1476</v>
      </c>
      <c r="W326" s="66" t="str">
        <f t="shared" si="340"/>
        <v>Key-BRMG-326</v>
      </c>
      <c r="X326" s="29" t="s">
        <v>1356</v>
      </c>
      <c r="Y326" s="29" t="s">
        <v>1424</v>
      </c>
      <c r="Z326" s="41" t="s">
        <v>1</v>
      </c>
      <c r="AA326" s="29" t="str">
        <f t="shared" si="303"/>
        <v>Place for the mooring of vessels accompanied by elements for loading and unloading products or people positioned perpendicular to the coast.</v>
      </c>
    </row>
    <row r="327" spans="1:27" ht="6.6" customHeight="1" x14ac:dyDescent="0.25">
      <c r="A327" s="73">
        <v>327</v>
      </c>
      <c r="B327" s="30" t="s">
        <v>1474</v>
      </c>
      <c r="C327" s="31" t="s">
        <v>884</v>
      </c>
      <c r="D327" s="30" t="s">
        <v>891</v>
      </c>
      <c r="E327" s="30" t="s">
        <v>899</v>
      </c>
      <c r="F327" s="46" t="s">
        <v>564</v>
      </c>
      <c r="G327" s="75" t="s">
        <v>1</v>
      </c>
      <c r="H327" s="75" t="s">
        <v>1</v>
      </c>
      <c r="I327" s="75" t="s">
        <v>1</v>
      </c>
      <c r="J327" s="75" t="s">
        <v>1</v>
      </c>
      <c r="K327" s="75" t="s">
        <v>1</v>
      </c>
      <c r="L327" s="80" t="str">
        <f t="shared" si="344"/>
        <v>Infraestruturas</v>
      </c>
      <c r="M327" s="28" t="str">
        <f t="shared" si="341"/>
        <v>Hidroviárias</v>
      </c>
      <c r="N327" s="28" t="str">
        <f t="shared" si="342"/>
        <v>Portos Partes</v>
      </c>
      <c r="O327" s="29" t="str">
        <f t="shared" si="343"/>
        <v>Cais</v>
      </c>
      <c r="P327" s="29" t="s">
        <v>565</v>
      </c>
      <c r="Q327" s="80" t="s">
        <v>566</v>
      </c>
      <c r="R327" s="29" t="s">
        <v>1</v>
      </c>
      <c r="S327" s="29" t="str">
        <f t="shared" si="331"/>
        <v>Infraestruturas</v>
      </c>
      <c r="T327" s="29" t="str">
        <f t="shared" si="332"/>
        <v>Hidroviárias</v>
      </c>
      <c r="U327" s="29" t="str">
        <f t="shared" si="332"/>
        <v>Portos Partes</v>
      </c>
      <c r="V327" s="29" t="s">
        <v>1476</v>
      </c>
      <c r="W327" s="66" t="str">
        <f t="shared" si="340"/>
        <v>Key-BRMG-327</v>
      </c>
      <c r="X327" s="29" t="s">
        <v>1356</v>
      </c>
      <c r="Y327" s="29" t="s">
        <v>1424</v>
      </c>
      <c r="Z327" s="41" t="s">
        <v>1</v>
      </c>
      <c r="AA327" s="29" t="str">
        <f t="shared" si="303"/>
        <v>Place for the mooring of vessels accompanied by elements for loading and unloading products or people positioned parallel to the coast.</v>
      </c>
    </row>
    <row r="328" spans="1:27" ht="6.6" customHeight="1" x14ac:dyDescent="0.25">
      <c r="A328" s="73">
        <v>328</v>
      </c>
      <c r="B328" s="30" t="s">
        <v>1474</v>
      </c>
      <c r="C328" s="31" t="s">
        <v>884</v>
      </c>
      <c r="D328" s="30" t="s">
        <v>891</v>
      </c>
      <c r="E328" s="30" t="s">
        <v>899</v>
      </c>
      <c r="F328" s="83" t="s">
        <v>567</v>
      </c>
      <c r="G328" s="75" t="s">
        <v>1</v>
      </c>
      <c r="H328" s="75" t="s">
        <v>1</v>
      </c>
      <c r="I328" s="75" t="s">
        <v>1</v>
      </c>
      <c r="J328" s="75" t="s">
        <v>1</v>
      </c>
      <c r="K328" s="75" t="s">
        <v>1</v>
      </c>
      <c r="L328" s="80" t="str">
        <f t="shared" si="344"/>
        <v>Infraestruturas</v>
      </c>
      <c r="M328" s="28" t="str">
        <f t="shared" si="341"/>
        <v>Hidroviárias</v>
      </c>
      <c r="N328" s="28" t="str">
        <f t="shared" si="342"/>
        <v>Portos Partes</v>
      </c>
      <c r="O328" s="29" t="str">
        <f t="shared" si="343"/>
        <v>Cais.Berço</v>
      </c>
      <c r="P328" s="29" t="s">
        <v>568</v>
      </c>
      <c r="Q328" s="80" t="s">
        <v>569</v>
      </c>
      <c r="R328" s="29" t="s">
        <v>1</v>
      </c>
      <c r="S328" s="29" t="str">
        <f t="shared" si="331"/>
        <v>Infraestruturas</v>
      </c>
      <c r="T328" s="29" t="str">
        <f t="shared" si="332"/>
        <v>Hidroviárias</v>
      </c>
      <c r="U328" s="29" t="str">
        <f t="shared" si="332"/>
        <v>Portos Partes</v>
      </c>
      <c r="V328" s="29" t="s">
        <v>1476</v>
      </c>
      <c r="W328" s="66" t="str">
        <f t="shared" si="340"/>
        <v>Key-BRMG-328</v>
      </c>
      <c r="X328" s="29" t="s">
        <v>1356</v>
      </c>
      <c r="Y328" s="29" t="s">
        <v>1424</v>
      </c>
      <c r="Z328" s="41" t="s">
        <v>1</v>
      </c>
      <c r="AA328" s="29" t="str">
        <f t="shared" si="303"/>
        <v>Water space that the ship occupies when it docks at the pier. The submerged wall and bed should be designed to minimize erosion and sedimentation processes.</v>
      </c>
    </row>
    <row r="329" spans="1:27" ht="6.6" customHeight="1" x14ac:dyDescent="0.25">
      <c r="A329" s="73">
        <v>329</v>
      </c>
      <c r="B329" s="30" t="s">
        <v>1474</v>
      </c>
      <c r="C329" s="31" t="s">
        <v>884</v>
      </c>
      <c r="D329" s="30" t="s">
        <v>891</v>
      </c>
      <c r="E329" s="30" t="s">
        <v>899</v>
      </c>
      <c r="F329" s="46" t="s">
        <v>570</v>
      </c>
      <c r="G329" s="75" t="s">
        <v>1</v>
      </c>
      <c r="H329" s="75" t="s">
        <v>1</v>
      </c>
      <c r="I329" s="75" t="s">
        <v>1</v>
      </c>
      <c r="J329" s="75" t="s">
        <v>1</v>
      </c>
      <c r="K329" s="75" t="s">
        <v>1</v>
      </c>
      <c r="L329" s="80" t="str">
        <f t="shared" si="344"/>
        <v>Infraestruturas</v>
      </c>
      <c r="M329" s="28" t="str">
        <f t="shared" si="341"/>
        <v>Hidroviárias</v>
      </c>
      <c r="N329" s="28" t="str">
        <f t="shared" si="342"/>
        <v>Portos Partes</v>
      </c>
      <c r="O329" s="29" t="str">
        <f t="shared" si="343"/>
        <v>Elevador.de.Navio</v>
      </c>
      <c r="P329" s="29" t="s">
        <v>571</v>
      </c>
      <c r="Q329" s="80" t="s">
        <v>572</v>
      </c>
      <c r="R329" s="29" t="s">
        <v>1</v>
      </c>
      <c r="S329" s="29" t="str">
        <f t="shared" si="331"/>
        <v>Infraestruturas</v>
      </c>
      <c r="T329" s="29" t="str">
        <f t="shared" si="332"/>
        <v>Hidroviárias</v>
      </c>
      <c r="U329" s="29" t="str">
        <f t="shared" si="332"/>
        <v>Portos Partes</v>
      </c>
      <c r="V329" s="29" t="s">
        <v>1476</v>
      </c>
      <c r="W329" s="66" t="str">
        <f t="shared" si="340"/>
        <v>Key-BRMG-329</v>
      </c>
      <c r="X329" s="29" t="s">
        <v>1356</v>
      </c>
      <c r="Y329" s="29" t="s">
        <v>1424</v>
      </c>
      <c r="Z329" s="41" t="s">
        <v>1</v>
      </c>
      <c r="AA329" s="29" t="str">
        <f t="shared" ref="AA329:AA392" si="345">_xlfn.TRANSLATE(P329,"pt","en")</f>
        <v>A type of vessel launch recovery facility, where ships are lifted vertically out of the water.</v>
      </c>
    </row>
    <row r="330" spans="1:27" ht="6.6" customHeight="1" x14ac:dyDescent="0.25">
      <c r="A330" s="73">
        <v>330</v>
      </c>
      <c r="B330" s="30" t="s">
        <v>1474</v>
      </c>
      <c r="C330" s="31" t="s">
        <v>884</v>
      </c>
      <c r="D330" s="30" t="s">
        <v>891</v>
      </c>
      <c r="E330" s="30" t="s">
        <v>899</v>
      </c>
      <c r="F330" s="46" t="s">
        <v>573</v>
      </c>
      <c r="G330" s="75" t="s">
        <v>1</v>
      </c>
      <c r="H330" s="75" t="s">
        <v>1</v>
      </c>
      <c r="I330" s="75" t="s">
        <v>1</v>
      </c>
      <c r="J330" s="75" t="s">
        <v>1</v>
      </c>
      <c r="K330" s="75" t="s">
        <v>1</v>
      </c>
      <c r="L330" s="80" t="str">
        <f t="shared" si="344"/>
        <v>Infraestruturas</v>
      </c>
      <c r="M330" s="28" t="str">
        <f t="shared" si="341"/>
        <v>Hidroviárias</v>
      </c>
      <c r="N330" s="28" t="str">
        <f t="shared" si="342"/>
        <v>Portos Partes</v>
      </c>
      <c r="O330" s="29" t="str">
        <f t="shared" si="343"/>
        <v>Eclusa.de.Navio</v>
      </c>
      <c r="P330" s="29" t="s">
        <v>475</v>
      </c>
      <c r="Q330" s="80" t="s">
        <v>476</v>
      </c>
      <c r="R330" s="29" t="s">
        <v>1</v>
      </c>
      <c r="S330" s="29" t="str">
        <f t="shared" si="331"/>
        <v>Infraestruturas</v>
      </c>
      <c r="T330" s="29" t="str">
        <f t="shared" si="332"/>
        <v>Hidroviárias</v>
      </c>
      <c r="U330" s="29" t="str">
        <f t="shared" si="332"/>
        <v>Portos Partes</v>
      </c>
      <c r="V330" s="29" t="s">
        <v>1476</v>
      </c>
      <c r="W330" s="66" t="str">
        <f t="shared" si="340"/>
        <v>Key-BRMG-330</v>
      </c>
      <c r="X330" s="29" t="s">
        <v>1356</v>
      </c>
      <c r="Y330" s="29" t="s">
        <v>1424</v>
      </c>
      <c r="Z330" s="41" t="s">
        <v>1</v>
      </c>
      <c r="AA330" s="29" t="str">
        <f t="shared" si="345"/>
        <v>Facility used to raise and lower boats, ships, and other vessels between stretches of water.</v>
      </c>
    </row>
    <row r="331" spans="1:27" ht="6.6" customHeight="1" x14ac:dyDescent="0.25">
      <c r="A331" s="73">
        <v>331</v>
      </c>
      <c r="B331" s="30" t="s">
        <v>1474</v>
      </c>
      <c r="C331" s="31" t="s">
        <v>884</v>
      </c>
      <c r="D331" s="30" t="s">
        <v>891</v>
      </c>
      <c r="E331" s="30" t="s">
        <v>899</v>
      </c>
      <c r="F331" s="46" t="s">
        <v>574</v>
      </c>
      <c r="G331" s="75" t="s">
        <v>1</v>
      </c>
      <c r="H331" s="75" t="s">
        <v>1</v>
      </c>
      <c r="I331" s="75" t="s">
        <v>1</v>
      </c>
      <c r="J331" s="75" t="s">
        <v>1</v>
      </c>
      <c r="K331" s="75" t="s">
        <v>1</v>
      </c>
      <c r="L331" s="80" t="str">
        <f t="shared" si="344"/>
        <v>Infraestruturas</v>
      </c>
      <c r="M331" s="28" t="str">
        <f t="shared" si="341"/>
        <v>Hidroviárias</v>
      </c>
      <c r="N331" s="28" t="str">
        <f t="shared" si="342"/>
        <v>Portos Partes</v>
      </c>
      <c r="O331" s="29" t="str">
        <f t="shared" si="343"/>
        <v>Estaleiro</v>
      </c>
      <c r="P331" s="29" t="s">
        <v>575</v>
      </c>
      <c r="Q331" s="80" t="s">
        <v>576</v>
      </c>
      <c r="R331" s="29" t="s">
        <v>1</v>
      </c>
      <c r="S331" s="29" t="str">
        <f t="shared" si="331"/>
        <v>Infraestruturas</v>
      </c>
      <c r="T331" s="29" t="str">
        <f t="shared" si="332"/>
        <v>Hidroviárias</v>
      </c>
      <c r="U331" s="29" t="str">
        <f t="shared" si="332"/>
        <v>Portos Partes</v>
      </c>
      <c r="V331" s="29" t="s">
        <v>1476</v>
      </c>
      <c r="W331" s="66" t="str">
        <f t="shared" si="340"/>
        <v>Key-BRMG-331</v>
      </c>
      <c r="X331" s="29" t="s">
        <v>1356</v>
      </c>
      <c r="Y331" s="29" t="s">
        <v>1424</v>
      </c>
      <c r="Z331" s="41" t="s">
        <v>1</v>
      </c>
      <c r="AA331" s="29" t="str">
        <f t="shared" si="345"/>
        <v>Coastal/waterfront facility where ships are built and repaired.</v>
      </c>
    </row>
    <row r="332" spans="1:27" ht="6.6" customHeight="1" x14ac:dyDescent="0.25">
      <c r="A332" s="73">
        <v>332</v>
      </c>
      <c r="B332" s="30" t="s">
        <v>1474</v>
      </c>
      <c r="C332" s="31" t="s">
        <v>884</v>
      </c>
      <c r="D332" s="30" t="s">
        <v>891</v>
      </c>
      <c r="E332" s="30" t="s">
        <v>899</v>
      </c>
      <c r="F332" s="46" t="s">
        <v>577</v>
      </c>
      <c r="G332" s="75" t="s">
        <v>1</v>
      </c>
      <c r="H332" s="75" t="s">
        <v>1</v>
      </c>
      <c r="I332" s="75" t="s">
        <v>1</v>
      </c>
      <c r="J332" s="75" t="s">
        <v>1</v>
      </c>
      <c r="K332" s="75" t="s">
        <v>1</v>
      </c>
      <c r="L332" s="80" t="str">
        <f t="shared" si="344"/>
        <v>Infraestruturas</v>
      </c>
      <c r="M332" s="28" t="str">
        <f t="shared" si="341"/>
        <v>Hidroviárias</v>
      </c>
      <c r="N332" s="28" t="str">
        <f t="shared" si="342"/>
        <v>Portos Partes</v>
      </c>
      <c r="O332" s="29" t="str">
        <f t="shared" si="343"/>
        <v>Lançamento.Rampa</v>
      </c>
      <c r="P332" s="29" t="s">
        <v>578</v>
      </c>
      <c r="Q332" s="44" t="s">
        <v>579</v>
      </c>
      <c r="R332" s="29" t="s">
        <v>1</v>
      </c>
      <c r="S332" s="29" t="str">
        <f t="shared" si="331"/>
        <v>Infraestruturas</v>
      </c>
      <c r="T332" s="29" t="str">
        <f t="shared" si="332"/>
        <v>Hidroviárias</v>
      </c>
      <c r="U332" s="29" t="str">
        <f t="shared" si="332"/>
        <v>Portos Partes</v>
      </c>
      <c r="V332" s="29" t="s">
        <v>1476</v>
      </c>
      <c r="W332" s="66" t="str">
        <f t="shared" si="340"/>
        <v>Key-BRMG-332</v>
      </c>
      <c r="X332" s="29" t="s">
        <v>1356</v>
      </c>
      <c r="Y332" s="29" t="s">
        <v>1424</v>
      </c>
      <c r="Z332" s="41" t="s">
        <v>1</v>
      </c>
      <c r="AA332" s="29" t="str">
        <f t="shared" si="345"/>
        <v>Installation for the dynamic launch or recovery of a vessel using an inclined ramp and gravitation.</v>
      </c>
    </row>
    <row r="333" spans="1:27" ht="6.6" customHeight="1" x14ac:dyDescent="0.25">
      <c r="A333" s="73">
        <v>333</v>
      </c>
      <c r="B333" s="30" t="s">
        <v>1474</v>
      </c>
      <c r="C333" s="31" t="s">
        <v>884</v>
      </c>
      <c r="D333" s="30" t="s">
        <v>891</v>
      </c>
      <c r="E333" s="30" t="s">
        <v>899</v>
      </c>
      <c r="F333" s="46" t="s">
        <v>580</v>
      </c>
      <c r="G333" s="75" t="s">
        <v>1</v>
      </c>
      <c r="H333" s="75" t="s">
        <v>1</v>
      </c>
      <c r="I333" s="75" t="s">
        <v>1</v>
      </c>
      <c r="J333" s="75" t="s">
        <v>1</v>
      </c>
      <c r="K333" s="75" t="s">
        <v>1</v>
      </c>
      <c r="L333" s="80" t="str">
        <f t="shared" si="344"/>
        <v>Infraestruturas</v>
      </c>
      <c r="M333" s="28" t="str">
        <f t="shared" si="341"/>
        <v>Hidroviárias</v>
      </c>
      <c r="N333" s="28" t="str">
        <f t="shared" si="342"/>
        <v>Portos Partes</v>
      </c>
      <c r="O333" s="29" t="str">
        <f t="shared" si="343"/>
        <v>Lançamento.Recuperação</v>
      </c>
      <c r="P333" s="29" t="s">
        <v>581</v>
      </c>
      <c r="Q333" s="80" t="s">
        <v>582</v>
      </c>
      <c r="R333" s="29" t="s">
        <v>1</v>
      </c>
      <c r="S333" s="29" t="str">
        <f t="shared" si="331"/>
        <v>Infraestruturas</v>
      </c>
      <c r="T333" s="29" t="str">
        <f t="shared" si="332"/>
        <v>Hidroviárias</v>
      </c>
      <c r="U333" s="29" t="str">
        <f t="shared" si="332"/>
        <v>Portos Partes</v>
      </c>
      <c r="V333" s="29" t="s">
        <v>1476</v>
      </c>
      <c r="W333" s="66" t="str">
        <f t="shared" si="340"/>
        <v>Key-BRMG-333</v>
      </c>
      <c r="X333" s="29" t="s">
        <v>1356</v>
      </c>
      <c r="Y333" s="29" t="s">
        <v>1424</v>
      </c>
      <c r="Z333" s="41" t="s">
        <v>1</v>
      </c>
      <c r="AA333" s="29" t="str">
        <f t="shared" si="345"/>
        <v>Subset of facilities for the ship launching or recovery function.</v>
      </c>
    </row>
    <row r="334" spans="1:27" ht="6.6" customHeight="1" x14ac:dyDescent="0.25">
      <c r="A334" s="73">
        <v>334</v>
      </c>
      <c r="B334" s="30" t="s">
        <v>1474</v>
      </c>
      <c r="C334" s="31" t="s">
        <v>884</v>
      </c>
      <c r="D334" s="30" t="s">
        <v>891</v>
      </c>
      <c r="E334" s="30" t="s">
        <v>899</v>
      </c>
      <c r="F334" s="83" t="s">
        <v>583</v>
      </c>
      <c r="G334" s="75" t="s">
        <v>1</v>
      </c>
      <c r="H334" s="75" t="s">
        <v>1</v>
      </c>
      <c r="I334" s="75" t="s">
        <v>1</v>
      </c>
      <c r="J334" s="75" t="s">
        <v>1</v>
      </c>
      <c r="K334" s="75" t="s">
        <v>1</v>
      </c>
      <c r="L334" s="80" t="str">
        <f t="shared" si="344"/>
        <v>Infraestruturas</v>
      </c>
      <c r="M334" s="28" t="str">
        <f t="shared" si="341"/>
        <v>Hidroviárias</v>
      </c>
      <c r="N334" s="28" t="str">
        <f t="shared" si="342"/>
        <v>Portos Partes</v>
      </c>
      <c r="O334" s="29" t="str">
        <f t="shared" si="343"/>
        <v>Câmara</v>
      </c>
      <c r="P334" s="29" t="s">
        <v>584</v>
      </c>
      <c r="Q334" s="80" t="s">
        <v>585</v>
      </c>
      <c r="R334" s="29" t="s">
        <v>1</v>
      </c>
      <c r="S334" s="29" t="str">
        <f t="shared" si="331"/>
        <v>Infraestruturas</v>
      </c>
      <c r="T334" s="29" t="str">
        <f t="shared" si="332"/>
        <v>Hidroviárias</v>
      </c>
      <c r="U334" s="29" t="str">
        <f t="shared" si="332"/>
        <v>Portos Partes</v>
      </c>
      <c r="V334" s="29" t="s">
        <v>1476</v>
      </c>
      <c r="W334" s="66" t="str">
        <f t="shared" si="340"/>
        <v>Key-BRMG-334</v>
      </c>
      <c r="X334" s="29" t="s">
        <v>1356</v>
      </c>
      <c r="Y334" s="29" t="s">
        <v>1424</v>
      </c>
      <c r="Z334" s="41" t="s">
        <v>1</v>
      </c>
      <c r="AA334" s="29" t="str">
        <f t="shared" si="345"/>
        <v>The longitudinal spatial part of a waterway or port facility that forms the dammed chamber.</v>
      </c>
    </row>
    <row r="335" spans="1:27" ht="6.6" customHeight="1" x14ac:dyDescent="0.25">
      <c r="A335" s="73">
        <v>335</v>
      </c>
      <c r="B335" s="30" t="s">
        <v>1474</v>
      </c>
      <c r="C335" s="31" t="s">
        <v>884</v>
      </c>
      <c r="D335" s="30" t="s">
        <v>891</v>
      </c>
      <c r="E335" s="30" t="s">
        <v>899</v>
      </c>
      <c r="F335" s="83" t="s">
        <v>586</v>
      </c>
      <c r="G335" s="75" t="s">
        <v>1</v>
      </c>
      <c r="H335" s="75" t="s">
        <v>1</v>
      </c>
      <c r="I335" s="75" t="s">
        <v>1</v>
      </c>
      <c r="J335" s="75" t="s">
        <v>1</v>
      </c>
      <c r="K335" s="75" t="s">
        <v>1</v>
      </c>
      <c r="L335" s="80" t="str">
        <f t="shared" si="344"/>
        <v>Infraestruturas</v>
      </c>
      <c r="M335" s="28" t="str">
        <f t="shared" si="341"/>
        <v>Hidroviárias</v>
      </c>
      <c r="N335" s="28" t="str">
        <f t="shared" si="342"/>
        <v>Portos Partes</v>
      </c>
      <c r="O335" s="29" t="str">
        <f t="shared" si="343"/>
        <v>Núcleo</v>
      </c>
      <c r="P335" s="29" t="s">
        <v>587</v>
      </c>
      <c r="Q335" s="80" t="s">
        <v>588</v>
      </c>
      <c r="R335" s="29" t="s">
        <v>1</v>
      </c>
      <c r="S335" s="29" t="str">
        <f t="shared" si="331"/>
        <v>Infraestruturas</v>
      </c>
      <c r="T335" s="29" t="str">
        <f t="shared" si="332"/>
        <v>Hidroviárias</v>
      </c>
      <c r="U335" s="29" t="str">
        <f t="shared" si="332"/>
        <v>Portos Partes</v>
      </c>
      <c r="V335" s="29" t="s">
        <v>1476</v>
      </c>
      <c r="W335" s="66" t="str">
        <f t="shared" si="340"/>
        <v>Key-BRMG-335</v>
      </c>
      <c r="X335" s="29" t="s">
        <v>1356</v>
      </c>
      <c r="Y335" s="29" t="s">
        <v>1424</v>
      </c>
      <c r="Z335" s="41" t="s">
        <v>1</v>
      </c>
      <c r="AA335" s="29" t="str">
        <f t="shared" si="345"/>
        <v>A lateral spatial part that subdivides the central structure of a facility, such as a breakwater.</v>
      </c>
    </row>
    <row r="336" spans="1:27" ht="6.6" customHeight="1" x14ac:dyDescent="0.25">
      <c r="A336" s="73">
        <v>336</v>
      </c>
      <c r="B336" s="30" t="s">
        <v>1474</v>
      </c>
      <c r="C336" s="31" t="s">
        <v>884</v>
      </c>
      <c r="D336" s="30" t="s">
        <v>891</v>
      </c>
      <c r="E336" s="30" t="s">
        <v>899</v>
      </c>
      <c r="F336" s="83" t="s">
        <v>589</v>
      </c>
      <c r="G336" s="75" t="s">
        <v>1</v>
      </c>
      <c r="H336" s="75" t="s">
        <v>1</v>
      </c>
      <c r="I336" s="75" t="s">
        <v>1</v>
      </c>
      <c r="J336" s="75" t="s">
        <v>1</v>
      </c>
      <c r="K336" s="75" t="s">
        <v>1</v>
      </c>
      <c r="L336" s="80" t="str">
        <f t="shared" si="344"/>
        <v>Infraestruturas</v>
      </c>
      <c r="M336" s="28" t="str">
        <f t="shared" si="341"/>
        <v>Hidroviárias</v>
      </c>
      <c r="N336" s="28" t="str">
        <f t="shared" si="342"/>
        <v>Portos Partes</v>
      </c>
      <c r="O336" s="29" t="str">
        <f t="shared" si="343"/>
        <v>Crista</v>
      </c>
      <c r="P336" s="29" t="s">
        <v>590</v>
      </c>
      <c r="Q336" s="80" t="s">
        <v>591</v>
      </c>
      <c r="R336" s="29" t="s">
        <v>1</v>
      </c>
      <c r="S336" s="29" t="str">
        <f t="shared" si="331"/>
        <v>Infraestruturas</v>
      </c>
      <c r="T336" s="29" t="str">
        <f t="shared" si="332"/>
        <v>Hidroviárias</v>
      </c>
      <c r="U336" s="29" t="str">
        <f t="shared" si="332"/>
        <v>Portos Partes</v>
      </c>
      <c r="V336" s="29" t="s">
        <v>1476</v>
      </c>
      <c r="W336" s="66" t="str">
        <f t="shared" si="340"/>
        <v>Key-BRMG-336</v>
      </c>
      <c r="X336" s="29" t="s">
        <v>1356</v>
      </c>
      <c r="Y336" s="29" t="s">
        <v>1424</v>
      </c>
      <c r="Z336" s="41" t="s">
        <v>1</v>
      </c>
      <c r="AA336" s="29" t="str">
        <f t="shared" si="345"/>
        <v>Lateral spatial part that forms the area of the ridge of the breakwater or embankment where additional structures.</v>
      </c>
    </row>
    <row r="337" spans="1:27" ht="6.6" customHeight="1" x14ac:dyDescent="0.25">
      <c r="A337" s="73">
        <v>337</v>
      </c>
      <c r="B337" s="30" t="s">
        <v>1474</v>
      </c>
      <c r="C337" s="31" t="s">
        <v>884</v>
      </c>
      <c r="D337" s="30" t="s">
        <v>891</v>
      </c>
      <c r="E337" s="30" t="s">
        <v>899</v>
      </c>
      <c r="F337" s="83" t="s">
        <v>592</v>
      </c>
      <c r="G337" s="75" t="s">
        <v>1</v>
      </c>
      <c r="H337" s="75" t="s">
        <v>1</v>
      </c>
      <c r="I337" s="75" t="s">
        <v>1</v>
      </c>
      <c r="J337" s="75" t="s">
        <v>1</v>
      </c>
      <c r="K337" s="75" t="s">
        <v>1</v>
      </c>
      <c r="L337" s="80" t="str">
        <f t="shared" si="344"/>
        <v>Infraestruturas</v>
      </c>
      <c r="M337" s="28" t="str">
        <f t="shared" si="341"/>
        <v>Hidroviárias</v>
      </c>
      <c r="N337" s="28" t="str">
        <f t="shared" si="342"/>
        <v>Portos Partes</v>
      </c>
      <c r="O337" s="29" t="str">
        <f t="shared" si="343"/>
        <v>Comporta</v>
      </c>
      <c r="P337" s="29" t="s">
        <v>593</v>
      </c>
      <c r="Q337" s="80" t="s">
        <v>594</v>
      </c>
      <c r="R337" s="29" t="s">
        <v>1</v>
      </c>
      <c r="S337" s="29" t="str">
        <f t="shared" si="331"/>
        <v>Infraestruturas</v>
      </c>
      <c r="T337" s="29" t="str">
        <f t="shared" si="332"/>
        <v>Hidroviárias</v>
      </c>
      <c r="U337" s="29" t="str">
        <f t="shared" si="332"/>
        <v>Portos Partes</v>
      </c>
      <c r="V337" s="29" t="s">
        <v>1476</v>
      </c>
      <c r="W337" s="66" t="str">
        <f t="shared" si="340"/>
        <v>Key-BRMG-337</v>
      </c>
      <c r="X337" s="29" t="s">
        <v>1356</v>
      </c>
      <c r="Y337" s="29" t="s">
        <v>1424</v>
      </c>
      <c r="Z337" s="41" t="s">
        <v>1</v>
      </c>
      <c r="AA337" s="29" t="str">
        <f t="shared" si="345"/>
        <v>The longitudinal spatial part of a waterway or port facility that forms the gate, the supporting structure.</v>
      </c>
    </row>
    <row r="338" spans="1:27" ht="6.6" customHeight="1" x14ac:dyDescent="0.25">
      <c r="A338" s="73">
        <v>338</v>
      </c>
      <c r="B338" s="30" t="s">
        <v>1474</v>
      </c>
      <c r="C338" s="31" t="s">
        <v>884</v>
      </c>
      <c r="D338" s="30" t="s">
        <v>891</v>
      </c>
      <c r="E338" s="30" t="s">
        <v>899</v>
      </c>
      <c r="F338" s="69" t="s">
        <v>1093</v>
      </c>
      <c r="G338" s="82" t="s">
        <v>1</v>
      </c>
      <c r="H338" s="82" t="s">
        <v>1</v>
      </c>
      <c r="I338" s="82" t="s">
        <v>1</v>
      </c>
      <c r="J338" s="79" t="s">
        <v>1</v>
      </c>
      <c r="K338" s="79" t="s">
        <v>1</v>
      </c>
      <c r="L338" s="80" t="str">
        <f t="shared" ref="L338" si="346">_xlfn.CONCAT(C338)</f>
        <v>Infraestruturas</v>
      </c>
      <c r="M338" s="28" t="str">
        <f t="shared" ref="M338" si="347">CONCATENATE("", D338)</f>
        <v>Hidroviárias</v>
      </c>
      <c r="N338" s="28" t="str">
        <f t="shared" ref="N338" si="348">(SUBSTITUTE(SUBSTITUTE(CONCATENATE("",E338),"."," ")," De "," de "))</f>
        <v>Portos Partes</v>
      </c>
      <c r="O338" s="29" t="str">
        <f t="shared" ref="O338" si="349">F338</f>
        <v>Contenedor.de.Carga</v>
      </c>
      <c r="P338" s="44" t="s">
        <v>453</v>
      </c>
      <c r="Q338" s="80" t="s">
        <v>454</v>
      </c>
      <c r="R338" s="29" t="s">
        <v>1</v>
      </c>
      <c r="S338" s="29" t="str">
        <f t="shared" si="331"/>
        <v>Infraestruturas</v>
      </c>
      <c r="T338" s="29" t="str">
        <f t="shared" si="332"/>
        <v>Hidroviárias</v>
      </c>
      <c r="U338" s="29" t="str">
        <f t="shared" si="332"/>
        <v>Portos Partes</v>
      </c>
      <c r="V338" s="29" t="s">
        <v>1476</v>
      </c>
      <c r="W338" s="66" t="str">
        <f t="shared" si="340"/>
        <v>Key-BRMG-338</v>
      </c>
      <c r="X338" s="29" t="s">
        <v>1356</v>
      </c>
      <c r="Y338" s="29" t="s">
        <v>1424</v>
      </c>
      <c r="Z338" s="41" t="s">
        <v>1</v>
      </c>
      <c r="AA338" s="29" t="str">
        <f t="shared" si="345"/>
        <v>Standardized metal rectangular structure mainly used for the transportation of goods.</v>
      </c>
    </row>
    <row r="339" spans="1:27" ht="6.6" customHeight="1" x14ac:dyDescent="0.25">
      <c r="A339" s="73">
        <v>339</v>
      </c>
      <c r="B339" s="30" t="s">
        <v>1474</v>
      </c>
      <c r="C339" s="31" t="s">
        <v>884</v>
      </c>
      <c r="D339" s="30" t="s">
        <v>891</v>
      </c>
      <c r="E339" s="30" t="s">
        <v>900</v>
      </c>
      <c r="F339" s="83" t="s">
        <v>595</v>
      </c>
      <c r="G339" s="75" t="s">
        <v>1</v>
      </c>
      <c r="H339" s="75" t="s">
        <v>1</v>
      </c>
      <c r="I339" s="75" t="s">
        <v>1</v>
      </c>
      <c r="J339" s="75" t="s">
        <v>1</v>
      </c>
      <c r="K339" s="75" t="s">
        <v>1</v>
      </c>
      <c r="L339" s="80" t="str">
        <f t="shared" si="344"/>
        <v>Infraestruturas</v>
      </c>
      <c r="M339" s="28" t="str">
        <f t="shared" si="341"/>
        <v>Hidroviárias</v>
      </c>
      <c r="N339" s="28" t="str">
        <f t="shared" si="342"/>
        <v>Portos Zonas</v>
      </c>
      <c r="O339" s="29" t="str">
        <f t="shared" si="343"/>
        <v>Barlavento</v>
      </c>
      <c r="P339" s="29" t="s">
        <v>596</v>
      </c>
      <c r="Q339" s="33" t="s">
        <v>597</v>
      </c>
      <c r="R339" s="29" t="s">
        <v>1</v>
      </c>
      <c r="S339" s="29" t="str">
        <f t="shared" si="331"/>
        <v>Infraestruturas</v>
      </c>
      <c r="T339" s="29" t="str">
        <f t="shared" si="332"/>
        <v>Hidroviárias</v>
      </c>
      <c r="U339" s="29" t="str">
        <f t="shared" si="332"/>
        <v>Portos Zonas</v>
      </c>
      <c r="V339" s="29" t="s">
        <v>1476</v>
      </c>
      <c r="W339" s="66" t="str">
        <f t="shared" si="340"/>
        <v>Key-BRMG-339</v>
      </c>
      <c r="X339" s="29" t="s">
        <v>1356</v>
      </c>
      <c r="Y339" s="29" t="s">
        <v>1424</v>
      </c>
      <c r="Z339" s="41" t="s">
        <v>1</v>
      </c>
      <c r="AA339" s="29" t="str">
        <f t="shared" si="345"/>
        <v>Spatial part of the structure that is on the side exposed to the prevailing wind.</v>
      </c>
    </row>
    <row r="340" spans="1:27" ht="6.6" customHeight="1" x14ac:dyDescent="0.25">
      <c r="A340" s="73">
        <v>340</v>
      </c>
      <c r="B340" s="30" t="s">
        <v>1474</v>
      </c>
      <c r="C340" s="31" t="s">
        <v>884</v>
      </c>
      <c r="D340" s="30" t="s">
        <v>891</v>
      </c>
      <c r="E340" s="30" t="s">
        <v>900</v>
      </c>
      <c r="F340" s="83" t="s">
        <v>598</v>
      </c>
      <c r="G340" s="75" t="s">
        <v>1</v>
      </c>
      <c r="H340" s="75" t="s">
        <v>1</v>
      </c>
      <c r="I340" s="75" t="s">
        <v>1</v>
      </c>
      <c r="J340" s="75" t="s">
        <v>1</v>
      </c>
      <c r="K340" s="75" t="s">
        <v>1</v>
      </c>
      <c r="L340" s="80" t="str">
        <f t="shared" si="344"/>
        <v>Infraestruturas</v>
      </c>
      <c r="M340" s="28" t="str">
        <f t="shared" si="341"/>
        <v>Hidroviárias</v>
      </c>
      <c r="N340" s="28" t="str">
        <f t="shared" si="342"/>
        <v>Portos Zonas</v>
      </c>
      <c r="O340" s="29" t="str">
        <f t="shared" si="343"/>
        <v>Sotavento</v>
      </c>
      <c r="P340" s="29" t="s">
        <v>599</v>
      </c>
      <c r="Q340" s="80" t="s">
        <v>600</v>
      </c>
      <c r="R340" s="29" t="s">
        <v>1</v>
      </c>
      <c r="S340" s="29" t="str">
        <f t="shared" si="331"/>
        <v>Infraestruturas</v>
      </c>
      <c r="T340" s="29" t="str">
        <f t="shared" si="332"/>
        <v>Hidroviárias</v>
      </c>
      <c r="U340" s="29" t="str">
        <f t="shared" si="332"/>
        <v>Portos Zonas</v>
      </c>
      <c r="V340" s="29" t="s">
        <v>1476</v>
      </c>
      <c r="W340" s="66" t="str">
        <f t="shared" si="340"/>
        <v>Key-BRMG-340</v>
      </c>
      <c r="X340" s="29" t="s">
        <v>1356</v>
      </c>
      <c r="Y340" s="29" t="s">
        <v>1426</v>
      </c>
      <c r="Z340" s="41" t="s">
        <v>1</v>
      </c>
      <c r="AA340" s="29" t="str">
        <f t="shared" si="345"/>
        <v>Spatial part of the structure that is protected from the prevailing wind.</v>
      </c>
    </row>
    <row r="341" spans="1:27" ht="6.6" customHeight="1" x14ac:dyDescent="0.25">
      <c r="A341" s="73">
        <v>341</v>
      </c>
      <c r="B341" s="30" t="s">
        <v>1474</v>
      </c>
      <c r="C341" s="31" t="s">
        <v>884</v>
      </c>
      <c r="D341" s="30" t="s">
        <v>891</v>
      </c>
      <c r="E341" s="30" t="s">
        <v>900</v>
      </c>
      <c r="F341" s="83" t="s">
        <v>601</v>
      </c>
      <c r="G341" s="75" t="s">
        <v>1</v>
      </c>
      <c r="H341" s="75" t="s">
        <v>1</v>
      </c>
      <c r="I341" s="75" t="s">
        <v>1</v>
      </c>
      <c r="J341" s="75" t="s">
        <v>1</v>
      </c>
      <c r="K341" s="75" t="s">
        <v>1</v>
      </c>
      <c r="L341" s="80" t="str">
        <f t="shared" si="344"/>
        <v>Infraestruturas</v>
      </c>
      <c r="M341" s="28" t="str">
        <f t="shared" si="341"/>
        <v>Hidroviárias</v>
      </c>
      <c r="N341" s="28" t="str">
        <f t="shared" si="342"/>
        <v>Portos Zonas</v>
      </c>
      <c r="O341" s="29" t="str">
        <f t="shared" si="343"/>
        <v>Zona.Aquática</v>
      </c>
      <c r="P341" s="29" t="s">
        <v>602</v>
      </c>
      <c r="Q341" s="80" t="s">
        <v>603</v>
      </c>
      <c r="R341" s="29" t="s">
        <v>1</v>
      </c>
      <c r="S341" s="29" t="str">
        <f t="shared" si="331"/>
        <v>Infraestruturas</v>
      </c>
      <c r="T341" s="29" t="str">
        <f t="shared" si="332"/>
        <v>Hidroviárias</v>
      </c>
      <c r="U341" s="29" t="str">
        <f t="shared" si="332"/>
        <v>Portos Zonas</v>
      </c>
      <c r="V341" s="29" t="s">
        <v>1476</v>
      </c>
      <c r="W341" s="66" t="str">
        <f t="shared" si="340"/>
        <v>Key-BRMG-341</v>
      </c>
      <c r="X341" s="29" t="s">
        <v>1382</v>
      </c>
      <c r="Y341" s="29" t="s">
        <v>1426</v>
      </c>
      <c r="Z341" s="41" t="s">
        <v>1</v>
      </c>
      <c r="AA341" s="29" t="str">
        <f t="shared" si="345"/>
        <v>Region that covers the water field of a port. It includes navigable and non-navigable canals.</v>
      </c>
    </row>
    <row r="342" spans="1:27" ht="6.6" customHeight="1" x14ac:dyDescent="0.25">
      <c r="A342" s="73">
        <v>342</v>
      </c>
      <c r="B342" s="30" t="s">
        <v>1474</v>
      </c>
      <c r="C342" s="31" t="s">
        <v>884</v>
      </c>
      <c r="D342" s="30" t="s">
        <v>891</v>
      </c>
      <c r="E342" s="30" t="s">
        <v>900</v>
      </c>
      <c r="F342" s="83" t="s">
        <v>604</v>
      </c>
      <c r="G342" s="75" t="s">
        <v>1</v>
      </c>
      <c r="H342" s="75" t="s">
        <v>1</v>
      </c>
      <c r="I342" s="75" t="s">
        <v>1</v>
      </c>
      <c r="J342" s="75" t="s">
        <v>1</v>
      </c>
      <c r="K342" s="75" t="s">
        <v>1</v>
      </c>
      <c r="L342" s="80" t="str">
        <f t="shared" si="344"/>
        <v>Infraestruturas</v>
      </c>
      <c r="M342" s="28" t="str">
        <f t="shared" si="341"/>
        <v>Hidroviárias</v>
      </c>
      <c r="N342" s="28" t="str">
        <f t="shared" si="342"/>
        <v>Portos Zonas</v>
      </c>
      <c r="O342" s="29" t="str">
        <f t="shared" si="343"/>
        <v>Zona.Terrestre</v>
      </c>
      <c r="P342" s="29" t="s">
        <v>605</v>
      </c>
      <c r="Q342" s="44" t="s">
        <v>606</v>
      </c>
      <c r="R342" s="29" t="s">
        <v>1</v>
      </c>
      <c r="S342" s="29" t="str">
        <f t="shared" ref="S342:S348" si="350">SUBSTITUTE(C342, ".", " ")</f>
        <v>Infraestruturas</v>
      </c>
      <c r="T342" s="29" t="str">
        <f t="shared" ref="T342:U348" si="351">SUBSTITUTE(D342, ".", " ")</f>
        <v>Hidroviárias</v>
      </c>
      <c r="U342" s="29" t="str">
        <f t="shared" si="351"/>
        <v>Portos Zonas</v>
      </c>
      <c r="V342" s="29" t="s">
        <v>1476</v>
      </c>
      <c r="W342" s="66" t="str">
        <f t="shared" si="340"/>
        <v>Key-BRMG-342</v>
      </c>
      <c r="X342" s="29" t="s">
        <v>1382</v>
      </c>
      <c r="Y342" s="29" t="s">
        <v>1426</v>
      </c>
      <c r="Z342" s="41" t="s">
        <v>1</v>
      </c>
      <c r="AA342" s="29" t="str">
        <f t="shared" si="345"/>
        <v>Region or side part of the facility that covers the onshore field of seaside installation, such as a wharf.</v>
      </c>
    </row>
    <row r="343" spans="1:27" ht="6.6" customHeight="1" x14ac:dyDescent="0.25">
      <c r="A343" s="73">
        <v>343</v>
      </c>
      <c r="B343" s="30" t="s">
        <v>1474</v>
      </c>
      <c r="C343" s="31" t="s">
        <v>884</v>
      </c>
      <c r="D343" s="30" t="s">
        <v>891</v>
      </c>
      <c r="E343" s="30" t="s">
        <v>900</v>
      </c>
      <c r="F343" s="83" t="s">
        <v>607</v>
      </c>
      <c r="G343" s="75" t="s">
        <v>1</v>
      </c>
      <c r="H343" s="75" t="s">
        <v>1</v>
      </c>
      <c r="I343" s="75" t="s">
        <v>1</v>
      </c>
      <c r="J343" s="75" t="s">
        <v>1</v>
      </c>
      <c r="K343" s="75" t="s">
        <v>1</v>
      </c>
      <c r="L343" s="80" t="str">
        <f t="shared" si="344"/>
        <v>Infraestruturas</v>
      </c>
      <c r="M343" s="28" t="str">
        <f t="shared" si="341"/>
        <v>Hidroviárias</v>
      </c>
      <c r="N343" s="28" t="str">
        <f t="shared" si="342"/>
        <v>Portos Zonas</v>
      </c>
      <c r="O343" s="29" t="str">
        <f t="shared" si="343"/>
        <v>Zona.Navegável</v>
      </c>
      <c r="P343" s="29" t="s">
        <v>608</v>
      </c>
      <c r="Q343" s="80" t="s">
        <v>609</v>
      </c>
      <c r="R343" s="29" t="s">
        <v>1</v>
      </c>
      <c r="S343" s="29" t="str">
        <f t="shared" si="350"/>
        <v>Infraestruturas</v>
      </c>
      <c r="T343" s="29" t="str">
        <f t="shared" si="351"/>
        <v>Hidroviárias</v>
      </c>
      <c r="U343" s="29" t="str">
        <f t="shared" si="351"/>
        <v>Portos Zonas</v>
      </c>
      <c r="V343" s="29" t="s">
        <v>1476</v>
      </c>
      <c r="W343" s="66" t="str">
        <f t="shared" si="340"/>
        <v>Key-BRMG-343</v>
      </c>
      <c r="X343" s="29" t="s">
        <v>1382</v>
      </c>
      <c r="Y343" s="29" t="s">
        <v>1426</v>
      </c>
      <c r="Z343" s="41" t="s">
        <v>1</v>
      </c>
      <c r="AA343" s="29" t="str">
        <f t="shared" si="345"/>
        <v>Region that covers the water field of the harbor's navigable canals.</v>
      </c>
    </row>
    <row r="344" spans="1:27" ht="6.6" customHeight="1" x14ac:dyDescent="0.25">
      <c r="A344" s="73">
        <v>344</v>
      </c>
      <c r="B344" s="30" t="s">
        <v>1474</v>
      </c>
      <c r="C344" s="31" t="s">
        <v>884</v>
      </c>
      <c r="D344" s="30" t="s">
        <v>891</v>
      </c>
      <c r="E344" s="30" t="s">
        <v>900</v>
      </c>
      <c r="F344" s="83" t="s">
        <v>974</v>
      </c>
      <c r="G344" s="75" t="s">
        <v>1</v>
      </c>
      <c r="H344" s="75" t="s">
        <v>1</v>
      </c>
      <c r="I344" s="75" t="s">
        <v>1</v>
      </c>
      <c r="J344" s="75" t="s">
        <v>1</v>
      </c>
      <c r="K344" s="75" t="s">
        <v>1</v>
      </c>
      <c r="L344" s="80" t="str">
        <f t="shared" si="344"/>
        <v>Infraestruturas</v>
      </c>
      <c r="M344" s="28" t="str">
        <f t="shared" si="341"/>
        <v>Hidroviárias</v>
      </c>
      <c r="N344" s="28" t="str">
        <f t="shared" si="342"/>
        <v>Portos Zonas</v>
      </c>
      <c r="O344" s="29" t="str">
        <f t="shared" si="343"/>
        <v>Zona.de.Estocagem</v>
      </c>
      <c r="P344" s="29" t="s">
        <v>610</v>
      </c>
      <c r="Q344" s="29" t="s">
        <v>611</v>
      </c>
      <c r="R344" s="29" t="s">
        <v>1</v>
      </c>
      <c r="S344" s="29" t="str">
        <f t="shared" si="350"/>
        <v>Infraestruturas</v>
      </c>
      <c r="T344" s="29" t="str">
        <f t="shared" si="351"/>
        <v>Hidroviárias</v>
      </c>
      <c r="U344" s="29" t="str">
        <f t="shared" si="351"/>
        <v>Portos Zonas</v>
      </c>
      <c r="V344" s="29" t="s">
        <v>1476</v>
      </c>
      <c r="W344" s="66" t="str">
        <f t="shared" si="340"/>
        <v>Key-BRMG-344</v>
      </c>
      <c r="X344" s="29" t="s">
        <v>1382</v>
      </c>
      <c r="Y344" s="29" t="s">
        <v>1426</v>
      </c>
      <c r="Z344" s="41" t="s">
        <v>1</v>
      </c>
      <c r="AA344" s="29" t="str">
        <f t="shared" si="345"/>
        <v>Covered space such as shed or storage for cargo storage.</v>
      </c>
    </row>
    <row r="345" spans="1:27" ht="6.6" customHeight="1" x14ac:dyDescent="0.25">
      <c r="A345" s="73">
        <v>345</v>
      </c>
      <c r="B345" s="30" t="s">
        <v>1474</v>
      </c>
      <c r="C345" s="31" t="s">
        <v>884</v>
      </c>
      <c r="D345" s="30" t="s">
        <v>891</v>
      </c>
      <c r="E345" s="30" t="s">
        <v>900</v>
      </c>
      <c r="F345" s="83" t="s">
        <v>970</v>
      </c>
      <c r="G345" s="75" t="s">
        <v>1</v>
      </c>
      <c r="H345" s="75" t="s">
        <v>1</v>
      </c>
      <c r="I345" s="75" t="s">
        <v>1</v>
      </c>
      <c r="J345" s="75" t="s">
        <v>1</v>
      </c>
      <c r="K345" s="75" t="s">
        <v>1</v>
      </c>
      <c r="L345" s="80" t="str">
        <f t="shared" si="344"/>
        <v>Infraestruturas</v>
      </c>
      <c r="M345" s="28" t="str">
        <f t="shared" si="341"/>
        <v>Hidroviárias</v>
      </c>
      <c r="N345" s="28" t="str">
        <f t="shared" si="342"/>
        <v>Portos Zonas</v>
      </c>
      <c r="O345" s="29" t="str">
        <f t="shared" si="343"/>
        <v>Zona.de.Pátio</v>
      </c>
      <c r="P345" s="29" t="s">
        <v>612</v>
      </c>
      <c r="Q345" s="29" t="s">
        <v>613</v>
      </c>
      <c r="R345" s="29" t="s">
        <v>1</v>
      </c>
      <c r="S345" s="29" t="str">
        <f t="shared" si="350"/>
        <v>Infraestruturas</v>
      </c>
      <c r="T345" s="29" t="str">
        <f t="shared" si="351"/>
        <v>Hidroviárias</v>
      </c>
      <c r="U345" s="29" t="str">
        <f t="shared" si="351"/>
        <v>Portos Zonas</v>
      </c>
      <c r="V345" s="29" t="s">
        <v>1476</v>
      </c>
      <c r="W345" s="66" t="str">
        <f t="shared" si="340"/>
        <v>Key-BRMG-345</v>
      </c>
      <c r="X345" s="29" t="s">
        <v>1382</v>
      </c>
      <c r="Y345" s="29" t="s">
        <v>1426</v>
      </c>
      <c r="Z345" s="41" t="s">
        <v>1</v>
      </c>
      <c r="AA345" s="29" t="str">
        <f t="shared" si="345"/>
        <v>External cargo storage space.</v>
      </c>
    </row>
    <row r="346" spans="1:27" ht="6.6" customHeight="1" x14ac:dyDescent="0.25">
      <c r="A346" s="73">
        <v>346</v>
      </c>
      <c r="B346" s="30" t="s">
        <v>1474</v>
      </c>
      <c r="C346" s="31" t="s">
        <v>884</v>
      </c>
      <c r="D346" s="30" t="s">
        <v>891</v>
      </c>
      <c r="E346" s="30" t="s">
        <v>900</v>
      </c>
      <c r="F346" s="83" t="s">
        <v>971</v>
      </c>
      <c r="G346" s="75" t="s">
        <v>1</v>
      </c>
      <c r="H346" s="75" t="s">
        <v>1</v>
      </c>
      <c r="I346" s="75" t="s">
        <v>1</v>
      </c>
      <c r="J346" s="75" t="s">
        <v>1</v>
      </c>
      <c r="K346" s="75" t="s">
        <v>1</v>
      </c>
      <c r="L346" s="80" t="str">
        <f t="shared" si="344"/>
        <v>Infraestruturas</v>
      </c>
      <c r="M346" s="28" t="str">
        <f t="shared" si="341"/>
        <v>Hidroviárias</v>
      </c>
      <c r="N346" s="28" t="str">
        <f t="shared" si="342"/>
        <v>Portos Zonas</v>
      </c>
      <c r="O346" s="29" t="str">
        <f t="shared" si="343"/>
        <v>Zona.de.Operação</v>
      </c>
      <c r="P346" s="29" t="s">
        <v>614</v>
      </c>
      <c r="Q346" s="80" t="s">
        <v>615</v>
      </c>
      <c r="R346" s="29" t="s">
        <v>1</v>
      </c>
      <c r="S346" s="29" t="str">
        <f t="shared" si="350"/>
        <v>Infraestruturas</v>
      </c>
      <c r="T346" s="29" t="str">
        <f t="shared" si="351"/>
        <v>Hidroviárias</v>
      </c>
      <c r="U346" s="29" t="str">
        <f t="shared" si="351"/>
        <v>Portos Zonas</v>
      </c>
      <c r="V346" s="29" t="s">
        <v>1476</v>
      </c>
      <c r="W346" s="66" t="str">
        <f t="shared" si="340"/>
        <v>Key-BRMG-346</v>
      </c>
      <c r="X346" s="29" t="s">
        <v>1382</v>
      </c>
      <c r="Y346" s="29" t="s">
        <v>1426</v>
      </c>
      <c r="Z346" s="41" t="s">
        <v>1</v>
      </c>
      <c r="AA346" s="29" t="str">
        <f t="shared" si="345"/>
        <v>Spatial part of the region that represents a functional division designed for operation.</v>
      </c>
    </row>
    <row r="347" spans="1:27" ht="6.6" customHeight="1" x14ac:dyDescent="0.25">
      <c r="A347" s="73">
        <v>347</v>
      </c>
      <c r="B347" s="30" t="s">
        <v>1474</v>
      </c>
      <c r="C347" s="31" t="s">
        <v>884</v>
      </c>
      <c r="D347" s="30" t="s">
        <v>891</v>
      </c>
      <c r="E347" s="30" t="s">
        <v>900</v>
      </c>
      <c r="F347" s="83" t="s">
        <v>972</v>
      </c>
      <c r="G347" s="75" t="s">
        <v>1</v>
      </c>
      <c r="H347" s="75" t="s">
        <v>1</v>
      </c>
      <c r="I347" s="75" t="s">
        <v>1</v>
      </c>
      <c r="J347" s="75" t="s">
        <v>1</v>
      </c>
      <c r="K347" s="75" t="s">
        <v>1</v>
      </c>
      <c r="L347" s="80" t="str">
        <f t="shared" si="344"/>
        <v>Infraestruturas</v>
      </c>
      <c r="M347" s="28" t="str">
        <f t="shared" si="341"/>
        <v>Hidroviárias</v>
      </c>
      <c r="N347" s="28" t="str">
        <f t="shared" si="342"/>
        <v>Portos Zonas</v>
      </c>
      <c r="O347" s="29" t="str">
        <f t="shared" si="343"/>
        <v>Zona.de.Fabricação</v>
      </c>
      <c r="P347" s="29" t="s">
        <v>616</v>
      </c>
      <c r="Q347" s="80" t="s">
        <v>617</v>
      </c>
      <c r="R347" s="29" t="s">
        <v>1</v>
      </c>
      <c r="S347" s="29" t="str">
        <f t="shared" si="350"/>
        <v>Infraestruturas</v>
      </c>
      <c r="T347" s="29" t="str">
        <f t="shared" si="351"/>
        <v>Hidroviárias</v>
      </c>
      <c r="U347" s="29" t="str">
        <f t="shared" si="351"/>
        <v>Portos Zonas</v>
      </c>
      <c r="V347" s="29" t="s">
        <v>1476</v>
      </c>
      <c r="W347" s="66" t="str">
        <f t="shared" si="340"/>
        <v>Key-BRMG-347</v>
      </c>
      <c r="X347" s="29" t="s">
        <v>1382</v>
      </c>
      <c r="Y347" s="29" t="s">
        <v>1426</v>
      </c>
      <c r="Z347" s="41" t="s">
        <v>1</v>
      </c>
      <c r="AA347" s="29" t="str">
        <f t="shared" si="345"/>
        <v>Spatial part of the region that forms a subdivision of facility for manufacturing purposes.</v>
      </c>
    </row>
    <row r="348" spans="1:27" ht="6.6" customHeight="1" x14ac:dyDescent="0.25">
      <c r="A348" s="73">
        <v>348</v>
      </c>
      <c r="B348" s="30" t="s">
        <v>1474</v>
      </c>
      <c r="C348" s="31" t="s">
        <v>884</v>
      </c>
      <c r="D348" s="30" t="s">
        <v>891</v>
      </c>
      <c r="E348" s="30" t="s">
        <v>900</v>
      </c>
      <c r="F348" s="83" t="s">
        <v>973</v>
      </c>
      <c r="G348" s="75" t="s">
        <v>1</v>
      </c>
      <c r="H348" s="75" t="s">
        <v>1</v>
      </c>
      <c r="I348" s="75" t="s">
        <v>1</v>
      </c>
      <c r="J348" s="75" t="s">
        <v>1</v>
      </c>
      <c r="K348" s="75" t="s">
        <v>1</v>
      </c>
      <c r="L348" s="80" t="str">
        <f t="shared" si="344"/>
        <v>Infraestruturas</v>
      </c>
      <c r="M348" s="28" t="str">
        <f t="shared" si="341"/>
        <v>Hidroviárias</v>
      </c>
      <c r="N348" s="28" t="str">
        <f t="shared" si="342"/>
        <v>Portos Zonas</v>
      </c>
      <c r="O348" s="29" t="str">
        <f t="shared" si="343"/>
        <v>Zona.de.Transbordo</v>
      </c>
      <c r="P348" s="29" t="s">
        <v>618</v>
      </c>
      <c r="Q348" s="80" t="s">
        <v>619</v>
      </c>
      <c r="R348" s="29" t="s">
        <v>1</v>
      </c>
      <c r="S348" s="29" t="str">
        <f t="shared" si="350"/>
        <v>Infraestruturas</v>
      </c>
      <c r="T348" s="29" t="str">
        <f t="shared" si="351"/>
        <v>Hidroviárias</v>
      </c>
      <c r="U348" s="29" t="str">
        <f t="shared" si="351"/>
        <v>Portos Zonas</v>
      </c>
      <c r="V348" s="29" t="s">
        <v>1476</v>
      </c>
      <c r="W348" s="66" t="str">
        <f t="shared" si="340"/>
        <v>Key-BRMG-348</v>
      </c>
      <c r="X348" s="29" t="s">
        <v>1382</v>
      </c>
      <c r="Y348" s="29" t="s">
        <v>1401</v>
      </c>
      <c r="Z348" s="41" t="s">
        <v>1</v>
      </c>
      <c r="AA348" s="29" t="str">
        <f t="shared" si="345"/>
        <v>Spatial part of the region that represents a free area used for the transfer and movement of vessels.</v>
      </c>
    </row>
    <row r="349" spans="1:27" ht="6.6" customHeight="1" x14ac:dyDescent="0.25">
      <c r="A349" s="73">
        <v>349</v>
      </c>
      <c r="B349" s="30" t="s">
        <v>1474</v>
      </c>
      <c r="C349" s="31" t="s">
        <v>884</v>
      </c>
      <c r="D349" s="30" t="s">
        <v>1178</v>
      </c>
      <c r="E349" s="30" t="s">
        <v>1235</v>
      </c>
      <c r="F349" s="83" t="s">
        <v>1179</v>
      </c>
      <c r="G349" s="75" t="s">
        <v>1</v>
      </c>
      <c r="H349" s="75" t="s">
        <v>1</v>
      </c>
      <c r="I349" s="75" t="s">
        <v>1</v>
      </c>
      <c r="J349" s="75" t="s">
        <v>1</v>
      </c>
      <c r="K349" s="75" t="s">
        <v>1</v>
      </c>
      <c r="L349" s="80" t="str">
        <f t="shared" ref="L349:L357" si="352">_xlfn.CONCAT(C349)</f>
        <v>Infraestruturas</v>
      </c>
      <c r="M349" s="28" t="str">
        <f t="shared" ref="M349:M357" si="353">CONCATENATE("", D349)</f>
        <v>Aeroportuárias</v>
      </c>
      <c r="N349" s="28" t="str">
        <f t="shared" ref="N349:N357" si="354">(SUBSTITUTE(SUBSTITUTE(CONCATENATE("",E349),"."," ")," De "," de "))</f>
        <v>Aeródromos</v>
      </c>
      <c r="O349" s="29" t="str">
        <f t="shared" ref="O349:O357" si="355">F349</f>
        <v>Aeroporto.Internacional</v>
      </c>
      <c r="P349" s="41" t="s">
        <v>1184</v>
      </c>
      <c r="Q349" s="29" t="s">
        <v>1278</v>
      </c>
      <c r="R349" s="29" t="s">
        <v>1</v>
      </c>
      <c r="S349" s="29" t="str">
        <f t="shared" ref="S349:S357" si="356">SUBSTITUTE(C349, ".", " ")</f>
        <v>Infraestruturas</v>
      </c>
      <c r="T349" s="29" t="str">
        <f t="shared" ref="T349:T357" si="357">SUBSTITUTE(D349, ".", " ")</f>
        <v>Aeroportuárias</v>
      </c>
      <c r="U349" s="29" t="str">
        <f t="shared" ref="U349:U357" si="358">SUBSTITUTE(E349, ".", " ")</f>
        <v>Aeródromos</v>
      </c>
      <c r="V349" s="29" t="s">
        <v>1476</v>
      </c>
      <c r="W349" s="66" t="str">
        <f t="shared" si="340"/>
        <v>Key-BRMG-349</v>
      </c>
      <c r="X349" s="29" t="s">
        <v>1355</v>
      </c>
      <c r="Y349" s="41" t="s">
        <v>1401</v>
      </c>
      <c r="Z349" s="41" t="s">
        <v>1</v>
      </c>
      <c r="AA349" s="29" t="str">
        <f t="shared" si="345"/>
        <v>International Airport must have infrastructure for international flights, with customs, immigration and sanitary control.</v>
      </c>
    </row>
    <row r="350" spans="1:27" ht="6.6" customHeight="1" x14ac:dyDescent="0.25">
      <c r="A350" s="73">
        <v>350</v>
      </c>
      <c r="B350" s="30" t="s">
        <v>1474</v>
      </c>
      <c r="C350" s="31" t="s">
        <v>884</v>
      </c>
      <c r="D350" s="30" t="s">
        <v>1178</v>
      </c>
      <c r="E350" s="30" t="s">
        <v>1235</v>
      </c>
      <c r="F350" s="83" t="s">
        <v>1183</v>
      </c>
      <c r="G350" s="75" t="s">
        <v>1</v>
      </c>
      <c r="H350" s="75" t="s">
        <v>1</v>
      </c>
      <c r="I350" s="75" t="s">
        <v>1</v>
      </c>
      <c r="J350" s="75" t="s">
        <v>1</v>
      </c>
      <c r="K350" s="75" t="s">
        <v>1</v>
      </c>
      <c r="L350" s="80" t="str">
        <f t="shared" ref="L350:L351" si="359">_xlfn.CONCAT(C350)</f>
        <v>Infraestruturas</v>
      </c>
      <c r="M350" s="28" t="str">
        <f t="shared" ref="M350:M351" si="360">CONCATENATE("", D350)</f>
        <v>Aeroportuárias</v>
      </c>
      <c r="N350" s="28" t="str">
        <f t="shared" ref="N350:N351" si="361">(SUBSTITUTE(SUBSTITUTE(CONCATENATE("",E350),"."," ")," De "," de "))</f>
        <v>Aeródromos</v>
      </c>
      <c r="O350" s="29" t="str">
        <f t="shared" ref="O350:O351" si="362">F350</f>
        <v>Aeroporto.Regional</v>
      </c>
      <c r="P350" s="41" t="s">
        <v>1185</v>
      </c>
      <c r="Q350" s="29" t="s">
        <v>1279</v>
      </c>
      <c r="R350" s="29" t="s">
        <v>1</v>
      </c>
      <c r="S350" s="29" t="str">
        <f t="shared" ref="S350:S351" si="363">SUBSTITUTE(C350, ".", " ")</f>
        <v>Infraestruturas</v>
      </c>
      <c r="T350" s="29" t="str">
        <f t="shared" ref="T350:T351" si="364">SUBSTITUTE(D350, ".", " ")</f>
        <v>Aeroportuárias</v>
      </c>
      <c r="U350" s="29" t="str">
        <f t="shared" ref="U350:U351" si="365">SUBSTITUTE(E350, ".", " ")</f>
        <v>Aeródromos</v>
      </c>
      <c r="V350" s="29" t="s">
        <v>1476</v>
      </c>
      <c r="W350" s="66" t="str">
        <f t="shared" si="340"/>
        <v>Key-BRMG-350</v>
      </c>
      <c r="X350" s="29" t="s">
        <v>1355</v>
      </c>
      <c r="Y350" s="41" t="s">
        <v>1401</v>
      </c>
      <c r="Z350" s="41" t="s">
        <v>1</v>
      </c>
      <c r="AA350" s="29" t="str">
        <f t="shared" si="345"/>
        <v>Regional airports serve smaller areas of the territory, connecting medium and small cities to large centers.</v>
      </c>
    </row>
    <row r="351" spans="1:27" ht="6.6" customHeight="1" x14ac:dyDescent="0.25">
      <c r="A351" s="73">
        <v>351</v>
      </c>
      <c r="B351" s="30" t="s">
        <v>1474</v>
      </c>
      <c r="C351" s="31" t="s">
        <v>884</v>
      </c>
      <c r="D351" s="30" t="s">
        <v>1178</v>
      </c>
      <c r="E351" s="30" t="s">
        <v>1235</v>
      </c>
      <c r="F351" s="83" t="s">
        <v>1182</v>
      </c>
      <c r="G351" s="75" t="s">
        <v>1</v>
      </c>
      <c r="H351" s="75" t="s">
        <v>1</v>
      </c>
      <c r="I351" s="75" t="s">
        <v>1</v>
      </c>
      <c r="J351" s="75" t="s">
        <v>1</v>
      </c>
      <c r="K351" s="75" t="s">
        <v>1</v>
      </c>
      <c r="L351" s="80" t="str">
        <f t="shared" si="359"/>
        <v>Infraestruturas</v>
      </c>
      <c r="M351" s="28" t="str">
        <f t="shared" si="360"/>
        <v>Aeroportuárias</v>
      </c>
      <c r="N351" s="28" t="str">
        <f t="shared" si="361"/>
        <v>Aeródromos</v>
      </c>
      <c r="O351" s="29" t="str">
        <f t="shared" si="362"/>
        <v>Aeroporto.Doméstico</v>
      </c>
      <c r="P351" s="41" t="s">
        <v>1330</v>
      </c>
      <c r="Q351" s="29" t="s">
        <v>1328</v>
      </c>
      <c r="R351" s="29" t="s">
        <v>1</v>
      </c>
      <c r="S351" s="29" t="str">
        <f t="shared" si="363"/>
        <v>Infraestruturas</v>
      </c>
      <c r="T351" s="29" t="str">
        <f t="shared" si="364"/>
        <v>Aeroportuárias</v>
      </c>
      <c r="U351" s="29" t="str">
        <f t="shared" si="365"/>
        <v>Aeródromos</v>
      </c>
      <c r="V351" s="29" t="s">
        <v>1476</v>
      </c>
      <c r="W351" s="66" t="str">
        <f t="shared" si="340"/>
        <v>Key-BRMG-351</v>
      </c>
      <c r="X351" s="29" t="s">
        <v>1355</v>
      </c>
      <c r="Y351" s="41" t="s">
        <v>1401</v>
      </c>
      <c r="Z351" s="41" t="s">
        <v>1</v>
      </c>
      <c r="AA351" s="29" t="str">
        <f>_xlfn.TRANSLATE(P351,"pt","en")</f>
        <v>Domestic Airport only serves flights within the national territory.</v>
      </c>
    </row>
    <row r="352" spans="1:27" ht="6.6" customHeight="1" x14ac:dyDescent="0.25">
      <c r="A352" s="73">
        <v>352</v>
      </c>
      <c r="B352" s="30" t="s">
        <v>1474</v>
      </c>
      <c r="C352" s="31" t="s">
        <v>884</v>
      </c>
      <c r="D352" s="30" t="s">
        <v>1178</v>
      </c>
      <c r="E352" s="30" t="s">
        <v>1235</v>
      </c>
      <c r="F352" s="83" t="s">
        <v>1186</v>
      </c>
      <c r="G352" s="75" t="s">
        <v>1</v>
      </c>
      <c r="H352" s="75" t="s">
        <v>1</v>
      </c>
      <c r="I352" s="75" t="s">
        <v>1</v>
      </c>
      <c r="J352" s="75" t="s">
        <v>1</v>
      </c>
      <c r="K352" s="75" t="s">
        <v>1</v>
      </c>
      <c r="L352" s="80" t="str">
        <f t="shared" si="352"/>
        <v>Infraestruturas</v>
      </c>
      <c r="M352" s="28" t="str">
        <f t="shared" si="353"/>
        <v>Aeroportuárias</v>
      </c>
      <c r="N352" s="28" t="str">
        <f t="shared" si="354"/>
        <v>Aeródromos</v>
      </c>
      <c r="O352" s="29" t="str">
        <f t="shared" si="355"/>
        <v>Aeroporto.Militar</v>
      </c>
      <c r="P352" s="41" t="s">
        <v>1331</v>
      </c>
      <c r="Q352" s="29" t="s">
        <v>1329</v>
      </c>
      <c r="R352" s="29" t="s">
        <v>1</v>
      </c>
      <c r="S352" s="29" t="str">
        <f t="shared" si="356"/>
        <v>Infraestruturas</v>
      </c>
      <c r="T352" s="29" t="str">
        <f t="shared" si="357"/>
        <v>Aeroportuárias</v>
      </c>
      <c r="U352" s="29" t="str">
        <f t="shared" si="358"/>
        <v>Aeródromos</v>
      </c>
      <c r="V352" s="29" t="s">
        <v>1476</v>
      </c>
      <c r="W352" s="66" t="str">
        <f t="shared" si="340"/>
        <v>Key-BRMG-352</v>
      </c>
      <c r="X352" s="29" t="s">
        <v>1355</v>
      </c>
      <c r="Y352" s="41" t="s">
        <v>1401</v>
      </c>
      <c r="Z352" s="41" t="s">
        <v>1</v>
      </c>
      <c r="AA352" s="29" t="str">
        <f t="shared" si="345"/>
        <v>Military Airport. used exclusively by the Armed Forces for strategic purposes, training, troop transport, and equipment.</v>
      </c>
    </row>
    <row r="353" spans="1:27" ht="6.6" customHeight="1" x14ac:dyDescent="0.25">
      <c r="A353" s="73">
        <v>353</v>
      </c>
      <c r="B353" s="30" t="s">
        <v>1474</v>
      </c>
      <c r="C353" s="31" t="s">
        <v>884</v>
      </c>
      <c r="D353" s="30" t="s">
        <v>1178</v>
      </c>
      <c r="E353" s="30" t="s">
        <v>1235</v>
      </c>
      <c r="F353" s="83" t="s">
        <v>1234</v>
      </c>
      <c r="G353" s="75" t="s">
        <v>1</v>
      </c>
      <c r="H353" s="75" t="s">
        <v>1</v>
      </c>
      <c r="I353" s="75" t="s">
        <v>1</v>
      </c>
      <c r="J353" s="75" t="s">
        <v>1</v>
      </c>
      <c r="K353" s="75" t="s">
        <v>1</v>
      </c>
      <c r="L353" s="80" t="str">
        <f t="shared" si="352"/>
        <v>Infraestruturas</v>
      </c>
      <c r="M353" s="28" t="str">
        <f t="shared" si="353"/>
        <v>Aeroportuárias</v>
      </c>
      <c r="N353" s="28" t="str">
        <f t="shared" si="354"/>
        <v>Aeródromos</v>
      </c>
      <c r="O353" s="29" t="str">
        <f t="shared" si="355"/>
        <v>Aeroclub</v>
      </c>
      <c r="P353" s="41" t="s">
        <v>1236</v>
      </c>
      <c r="Q353" s="29" t="s">
        <v>1280</v>
      </c>
      <c r="R353" s="29" t="s">
        <v>1</v>
      </c>
      <c r="S353" s="29" t="str">
        <f t="shared" si="356"/>
        <v>Infraestruturas</v>
      </c>
      <c r="T353" s="29" t="str">
        <f t="shared" si="357"/>
        <v>Aeroportuárias</v>
      </c>
      <c r="U353" s="29" t="str">
        <f t="shared" si="358"/>
        <v>Aeródromos</v>
      </c>
      <c r="V353" s="29" t="s">
        <v>1476</v>
      </c>
      <c r="W353" s="66" t="str">
        <f t="shared" si="340"/>
        <v>Key-BRMG-353</v>
      </c>
      <c r="X353" s="29" t="s">
        <v>1355</v>
      </c>
      <c r="Y353" s="41" t="s">
        <v>1401</v>
      </c>
      <c r="Z353" s="41" t="s">
        <v>1</v>
      </c>
      <c r="AA353" s="29" t="str">
        <f t="shared" si="345"/>
        <v>A center for the education and training of civilian pilots, for practical or recreational purposes. It needs to be authorized by the National Civil Aviation Agency (ANAC) to operate legally.</v>
      </c>
    </row>
    <row r="354" spans="1:27" ht="6.6" customHeight="1" x14ac:dyDescent="0.25">
      <c r="A354" s="73">
        <v>354</v>
      </c>
      <c r="B354" s="30" t="s">
        <v>1474</v>
      </c>
      <c r="C354" s="31" t="s">
        <v>884</v>
      </c>
      <c r="D354" s="30" t="s">
        <v>1178</v>
      </c>
      <c r="E354" s="30" t="s">
        <v>1235</v>
      </c>
      <c r="F354" s="83" t="s">
        <v>1238</v>
      </c>
      <c r="G354" s="75" t="s">
        <v>1</v>
      </c>
      <c r="H354" s="75" t="s">
        <v>1</v>
      </c>
      <c r="I354" s="75" t="s">
        <v>1</v>
      </c>
      <c r="J354" s="75" t="s">
        <v>1</v>
      </c>
      <c r="K354" s="75" t="s">
        <v>1</v>
      </c>
      <c r="L354" s="80" t="str">
        <f t="shared" ref="L354" si="366">_xlfn.CONCAT(C354)</f>
        <v>Infraestruturas</v>
      </c>
      <c r="M354" s="28" t="str">
        <f t="shared" ref="M354" si="367">CONCATENATE("", D354)</f>
        <v>Aeroportuárias</v>
      </c>
      <c r="N354" s="28" t="str">
        <f t="shared" ref="N354" si="368">(SUBSTITUTE(SUBSTITUTE(CONCATENATE("",E354),"."," ")," De "," de "))</f>
        <v>Aeródromos</v>
      </c>
      <c r="O354" s="29" t="str">
        <f t="shared" ref="O354" si="369">F354</f>
        <v>Pista.de.Pouso.e.Decolagem</v>
      </c>
      <c r="P354" s="41" t="s">
        <v>1237</v>
      </c>
      <c r="Q354" s="29" t="s">
        <v>1281</v>
      </c>
      <c r="R354" s="29" t="s">
        <v>1</v>
      </c>
      <c r="S354" s="29" t="str">
        <f t="shared" ref="S354" si="370">SUBSTITUTE(C354, ".", " ")</f>
        <v>Infraestruturas</v>
      </c>
      <c r="T354" s="29" t="str">
        <f t="shared" ref="T354" si="371">SUBSTITUTE(D354, ".", " ")</f>
        <v>Aeroportuárias</v>
      </c>
      <c r="U354" s="29" t="str">
        <f t="shared" ref="U354" si="372">SUBSTITUTE(E354, ".", " ")</f>
        <v>Aeródromos</v>
      </c>
      <c r="V354" s="29" t="s">
        <v>1476</v>
      </c>
      <c r="W354" s="66" t="str">
        <f t="shared" si="340"/>
        <v>Key-BRMG-354</v>
      </c>
      <c r="X354" s="29" t="s">
        <v>1355</v>
      </c>
      <c r="Y354" s="41" t="s">
        <v>1401</v>
      </c>
      <c r="Z354" s="41" t="s">
        <v>1</v>
      </c>
      <c r="AA354" s="29" t="str">
        <f t="shared" si="345"/>
        <v>The landing and takeoff runway comprises the rectangular area, defined on land, prepared for aircraft landings and takeoffs. Brazilian Civil Aviation Regulation (RBAC).</v>
      </c>
    </row>
    <row r="355" spans="1:27" ht="6.6" customHeight="1" x14ac:dyDescent="0.25">
      <c r="A355" s="73">
        <v>355</v>
      </c>
      <c r="B355" s="30" t="s">
        <v>1474</v>
      </c>
      <c r="C355" s="31" t="s">
        <v>884</v>
      </c>
      <c r="D355" s="30" t="s">
        <v>1178</v>
      </c>
      <c r="E355" s="30" t="s">
        <v>1235</v>
      </c>
      <c r="F355" s="83" t="s">
        <v>1239</v>
      </c>
      <c r="G355" s="75" t="s">
        <v>1</v>
      </c>
      <c r="H355" s="75" t="s">
        <v>1</v>
      </c>
      <c r="I355" s="75" t="s">
        <v>1</v>
      </c>
      <c r="J355" s="75" t="s">
        <v>1</v>
      </c>
      <c r="K355" s="75" t="s">
        <v>1</v>
      </c>
      <c r="L355" s="80" t="str">
        <f t="shared" si="352"/>
        <v>Infraestruturas</v>
      </c>
      <c r="M355" s="28" t="str">
        <f t="shared" si="353"/>
        <v>Aeroportuárias</v>
      </c>
      <c r="N355" s="28" t="str">
        <f t="shared" si="354"/>
        <v>Aeródromos</v>
      </c>
      <c r="O355" s="29" t="str">
        <f t="shared" si="355"/>
        <v>Pista.Auxiliar</v>
      </c>
      <c r="P355" s="41" t="s">
        <v>1240</v>
      </c>
      <c r="Q355" s="29" t="s">
        <v>1282</v>
      </c>
      <c r="R355" s="29" t="s">
        <v>1</v>
      </c>
      <c r="S355" s="29" t="str">
        <f t="shared" si="356"/>
        <v>Infraestruturas</v>
      </c>
      <c r="T355" s="29" t="str">
        <f t="shared" si="357"/>
        <v>Aeroportuárias</v>
      </c>
      <c r="U355" s="29" t="str">
        <f t="shared" si="358"/>
        <v>Aeródromos</v>
      </c>
      <c r="V355" s="29" t="s">
        <v>1476</v>
      </c>
      <c r="W355" s="66" t="str">
        <f t="shared" si="340"/>
        <v>Key-BRMG-355</v>
      </c>
      <c r="X355" s="29" t="s">
        <v>1355</v>
      </c>
      <c r="Y355" s="41" t="s">
        <v>1401</v>
      </c>
      <c r="Z355" s="41" t="s">
        <v>1</v>
      </c>
      <c r="AA355" s="29" t="str">
        <f t="shared" si="345"/>
        <v>Auxiliary runways allow aircraft to move before taking off or after landing and speed up their traffic on the ground.</v>
      </c>
    </row>
    <row r="356" spans="1:27" ht="6.6" customHeight="1" x14ac:dyDescent="0.25">
      <c r="A356" s="73">
        <v>356</v>
      </c>
      <c r="B356" s="30" t="s">
        <v>1474</v>
      </c>
      <c r="C356" s="31" t="s">
        <v>884</v>
      </c>
      <c r="D356" s="30" t="s">
        <v>1178</v>
      </c>
      <c r="E356" s="30" t="s">
        <v>1235</v>
      </c>
      <c r="F356" s="83" t="s">
        <v>1180</v>
      </c>
      <c r="G356" s="75" t="s">
        <v>1</v>
      </c>
      <c r="H356" s="75" t="s">
        <v>1</v>
      </c>
      <c r="I356" s="75" t="s">
        <v>1</v>
      </c>
      <c r="J356" s="75" t="s">
        <v>1</v>
      </c>
      <c r="K356" s="75" t="s">
        <v>1</v>
      </c>
      <c r="L356" s="80" t="str">
        <f t="shared" si="352"/>
        <v>Infraestruturas</v>
      </c>
      <c r="M356" s="28" t="str">
        <f t="shared" si="353"/>
        <v>Aeroportuárias</v>
      </c>
      <c r="N356" s="28" t="str">
        <f t="shared" si="354"/>
        <v>Aeródromos</v>
      </c>
      <c r="O356" s="29" t="str">
        <f t="shared" si="355"/>
        <v>Heliporto</v>
      </c>
      <c r="P356" s="29" t="s">
        <v>1232</v>
      </c>
      <c r="Q356" s="29" t="s">
        <v>1283</v>
      </c>
      <c r="R356" s="29" t="s">
        <v>1</v>
      </c>
      <c r="S356" s="29" t="str">
        <f t="shared" si="356"/>
        <v>Infraestruturas</v>
      </c>
      <c r="T356" s="29" t="str">
        <f t="shared" si="357"/>
        <v>Aeroportuárias</v>
      </c>
      <c r="U356" s="29" t="str">
        <f t="shared" si="358"/>
        <v>Aeródromos</v>
      </c>
      <c r="V356" s="29" t="s">
        <v>1476</v>
      </c>
      <c r="W356" s="66" t="str">
        <f t="shared" si="340"/>
        <v>Key-BRMG-356</v>
      </c>
      <c r="X356" s="29" t="s">
        <v>1355</v>
      </c>
      <c r="Y356" s="41" t="s">
        <v>1401</v>
      </c>
      <c r="Z356" s="41" t="s">
        <v>1</v>
      </c>
      <c r="AA356" s="29" t="str">
        <f t="shared" si="345"/>
        <v>A Heliport must be prepared to operate helicopters with airstrip infrastructure, hangars, fueling, departure lounge, air traffic control, maintenance, security and logistics.</v>
      </c>
    </row>
    <row r="357" spans="1:27" ht="6.6" customHeight="1" x14ac:dyDescent="0.25">
      <c r="A357" s="73">
        <v>357</v>
      </c>
      <c r="B357" s="30" t="s">
        <v>1474</v>
      </c>
      <c r="C357" s="31" t="s">
        <v>884</v>
      </c>
      <c r="D357" s="30" t="s">
        <v>1178</v>
      </c>
      <c r="E357" s="30" t="s">
        <v>1235</v>
      </c>
      <c r="F357" s="83" t="s">
        <v>1181</v>
      </c>
      <c r="G357" s="75" t="s">
        <v>1</v>
      </c>
      <c r="H357" s="75" t="s">
        <v>1</v>
      </c>
      <c r="I357" s="75" t="s">
        <v>1</v>
      </c>
      <c r="J357" s="75" t="s">
        <v>1</v>
      </c>
      <c r="K357" s="75" t="s">
        <v>1</v>
      </c>
      <c r="L357" s="80" t="str">
        <f t="shared" si="352"/>
        <v>Infraestruturas</v>
      </c>
      <c r="M357" s="28" t="str">
        <f t="shared" si="353"/>
        <v>Aeroportuárias</v>
      </c>
      <c r="N357" s="28" t="str">
        <f t="shared" si="354"/>
        <v>Aeródromos</v>
      </c>
      <c r="O357" s="29" t="str">
        <f t="shared" si="355"/>
        <v>Heliponto</v>
      </c>
      <c r="P357" s="29" t="s">
        <v>1231</v>
      </c>
      <c r="Q357" s="29" t="s">
        <v>1233</v>
      </c>
      <c r="R357" s="29" t="s">
        <v>1</v>
      </c>
      <c r="S357" s="29" t="str">
        <f t="shared" si="356"/>
        <v>Infraestruturas</v>
      </c>
      <c r="T357" s="29" t="str">
        <f t="shared" si="357"/>
        <v>Aeroportuárias</v>
      </c>
      <c r="U357" s="29" t="str">
        <f t="shared" si="358"/>
        <v>Aeródromos</v>
      </c>
      <c r="V357" s="29" t="s">
        <v>1476</v>
      </c>
      <c r="W357" s="66" t="str">
        <f t="shared" si="340"/>
        <v>Key-BRMG-357</v>
      </c>
      <c r="X357" s="29" t="s">
        <v>1355</v>
      </c>
      <c r="Y357" s="41" t="s">
        <v>1427</v>
      </c>
      <c r="Z357" s="41" t="s">
        <v>1</v>
      </c>
      <c r="AA357" s="29" t="str">
        <f t="shared" si="345"/>
        <v>Area intended exclusively for helicopter landing and takeoff.</v>
      </c>
    </row>
    <row r="358" spans="1:27" ht="6.6" customHeight="1" x14ac:dyDescent="0.25">
      <c r="A358" s="73">
        <v>358</v>
      </c>
      <c r="B358" s="30" t="s">
        <v>1474</v>
      </c>
      <c r="C358" s="31" t="s">
        <v>1143</v>
      </c>
      <c r="D358" s="30" t="s">
        <v>1163</v>
      </c>
      <c r="E358" s="30" t="s">
        <v>1094</v>
      </c>
      <c r="F358" s="46" t="s">
        <v>1095</v>
      </c>
      <c r="G358" s="75" t="s">
        <v>1</v>
      </c>
      <c r="H358" s="75" t="s">
        <v>1</v>
      </c>
      <c r="I358" s="75" t="s">
        <v>1</v>
      </c>
      <c r="J358" s="75" t="s">
        <v>1</v>
      </c>
      <c r="K358" s="75" t="s">
        <v>1</v>
      </c>
      <c r="L358" s="28" t="str">
        <f t="shared" ref="L358:O384" si="373">SUBSTITUTE(CONCATENATE("", C358), ".", " ")</f>
        <v>Redes</v>
      </c>
      <c r="M358" s="28" t="str">
        <f t="shared" si="373"/>
        <v>Redes de Fluídos</v>
      </c>
      <c r="N358" s="28" t="str">
        <f t="shared" si="373"/>
        <v>Redes Fornecedoras</v>
      </c>
      <c r="O358" s="28" t="str">
        <f t="shared" si="373"/>
        <v>Rede de Agua</v>
      </c>
      <c r="P358" s="29" t="s">
        <v>1275</v>
      </c>
      <c r="Q358" s="29" t="s">
        <v>1276</v>
      </c>
      <c r="R358" s="29" t="s">
        <v>1</v>
      </c>
      <c r="S358" s="29" t="str">
        <f t="shared" ref="S358:S384" si="374">SUBSTITUTE(C358, ".", " ")</f>
        <v>Redes</v>
      </c>
      <c r="T358" s="29" t="str">
        <f t="shared" ref="T358:T384" si="375">SUBSTITUTE(D358, ".", " ")</f>
        <v>Redes de Fluídos</v>
      </c>
      <c r="U358" s="29" t="str">
        <f t="shared" ref="U358:U384" si="376">SUBSTITUTE(E358, ".", " ")</f>
        <v>Redes Fornecedoras</v>
      </c>
      <c r="V358" s="29" t="s">
        <v>1476</v>
      </c>
      <c r="W358" s="66" t="str">
        <f t="shared" si="340"/>
        <v>Key-BRMG-358</v>
      </c>
      <c r="X358" s="29" t="s">
        <v>1383</v>
      </c>
      <c r="Y358" s="41" t="s">
        <v>1428</v>
      </c>
      <c r="Z358" s="41" t="s">
        <v>1</v>
      </c>
      <c r="AA358" s="29" t="str">
        <f t="shared" si="345"/>
        <v>Drinking water supply network system.</v>
      </c>
    </row>
    <row r="359" spans="1:27" ht="6.6" customHeight="1" x14ac:dyDescent="0.25">
      <c r="A359" s="73">
        <v>359</v>
      </c>
      <c r="B359" s="30" t="s">
        <v>1474</v>
      </c>
      <c r="C359" s="31" t="s">
        <v>1143</v>
      </c>
      <c r="D359" s="30" t="s">
        <v>1163</v>
      </c>
      <c r="E359" s="30" t="s">
        <v>1094</v>
      </c>
      <c r="F359" s="46" t="s">
        <v>1096</v>
      </c>
      <c r="G359" s="75" t="s">
        <v>1</v>
      </c>
      <c r="H359" s="75" t="s">
        <v>1</v>
      </c>
      <c r="I359" s="75" t="s">
        <v>1</v>
      </c>
      <c r="J359" s="75" t="s">
        <v>1</v>
      </c>
      <c r="K359" s="75" t="s">
        <v>1</v>
      </c>
      <c r="L359" s="28" t="str">
        <f t="shared" si="373"/>
        <v>Redes</v>
      </c>
      <c r="M359" s="28" t="str">
        <f t="shared" si="373"/>
        <v>Redes de Fluídos</v>
      </c>
      <c r="N359" s="28" t="str">
        <f t="shared" si="373"/>
        <v>Redes Fornecedoras</v>
      </c>
      <c r="O359" s="28" t="str">
        <f t="shared" si="373"/>
        <v>Rede de Substâncias</v>
      </c>
      <c r="P359" s="29" t="s">
        <v>1097</v>
      </c>
      <c r="Q359" s="29" t="s">
        <v>1098</v>
      </c>
      <c r="R359" s="29" t="s">
        <v>1</v>
      </c>
      <c r="S359" s="29" t="str">
        <f t="shared" si="374"/>
        <v>Redes</v>
      </c>
      <c r="T359" s="29" t="str">
        <f t="shared" si="375"/>
        <v>Redes de Fluídos</v>
      </c>
      <c r="U359" s="29" t="str">
        <f t="shared" si="376"/>
        <v>Redes Fornecedoras</v>
      </c>
      <c r="V359" s="29" t="s">
        <v>1476</v>
      </c>
      <c r="W359" s="66" t="str">
        <f t="shared" si="340"/>
        <v>Key-BRMG-359</v>
      </c>
      <c r="X359" s="29" t="s">
        <v>1383</v>
      </c>
      <c r="Y359" s="41" t="s">
        <v>1429</v>
      </c>
      <c r="Z359" s="41" t="s">
        <v>1</v>
      </c>
      <c r="AA359" s="29" t="str">
        <f t="shared" si="345"/>
        <v>A network system for the supply of substances (e.g. fuels).</v>
      </c>
    </row>
    <row r="360" spans="1:27" ht="6.6" customHeight="1" x14ac:dyDescent="0.25">
      <c r="A360" s="73">
        <v>360</v>
      </c>
      <c r="B360" s="30" t="s">
        <v>1474</v>
      </c>
      <c r="C360" s="31" t="s">
        <v>1143</v>
      </c>
      <c r="D360" s="30" t="s">
        <v>1163</v>
      </c>
      <c r="E360" s="30" t="s">
        <v>1094</v>
      </c>
      <c r="F360" s="30" t="s">
        <v>1099</v>
      </c>
      <c r="G360" s="75" t="s">
        <v>1</v>
      </c>
      <c r="H360" s="75" t="s">
        <v>1</v>
      </c>
      <c r="I360" s="75" t="s">
        <v>1</v>
      </c>
      <c r="J360" s="75" t="s">
        <v>1</v>
      </c>
      <c r="K360" s="75" t="s">
        <v>1</v>
      </c>
      <c r="L360" s="28" t="str">
        <f t="shared" ref="L360" si="377">SUBSTITUTE(CONCATENATE("", C360), ".", " ")</f>
        <v>Redes</v>
      </c>
      <c r="M360" s="28" t="str">
        <f t="shared" ref="M360" si="378">SUBSTITUTE(CONCATENATE("", D360), ".", " ")</f>
        <v>Redes de Fluídos</v>
      </c>
      <c r="N360" s="28" t="str">
        <f t="shared" ref="N360" si="379">SUBSTITUTE(CONCATENATE("", E360), ".", " ")</f>
        <v>Redes Fornecedoras</v>
      </c>
      <c r="O360" s="28" t="str">
        <f t="shared" ref="O360" si="380">SUBSTITUTE(CONCATENATE("", F360), ".", " ")</f>
        <v>Rede de Combustíveis</v>
      </c>
      <c r="P360" s="29" t="s">
        <v>1274</v>
      </c>
      <c r="Q360" s="29" t="s">
        <v>1100</v>
      </c>
      <c r="R360" s="29" t="s">
        <v>1</v>
      </c>
      <c r="S360" s="29" t="str">
        <f t="shared" ref="S360" si="381">SUBSTITUTE(C360, ".", " ")</f>
        <v>Redes</v>
      </c>
      <c r="T360" s="29" t="str">
        <f t="shared" ref="T360" si="382">SUBSTITUTE(D360, ".", " ")</f>
        <v>Redes de Fluídos</v>
      </c>
      <c r="U360" s="29" t="str">
        <f t="shared" ref="U360" si="383">SUBSTITUTE(E360, ".", " ")</f>
        <v>Redes Fornecedoras</v>
      </c>
      <c r="V360" s="29" t="s">
        <v>1476</v>
      </c>
      <c r="W360" s="66" t="str">
        <f t="shared" si="340"/>
        <v>Key-BRMG-360</v>
      </c>
      <c r="X360" s="29" t="s">
        <v>1383</v>
      </c>
      <c r="Y360" s="41" t="s">
        <v>1430</v>
      </c>
      <c r="Z360" s="41" t="s">
        <v>1</v>
      </c>
      <c r="AA360" s="29" t="str">
        <f t="shared" si="345"/>
        <v>Fuel supply network system.</v>
      </c>
    </row>
    <row r="361" spans="1:27" ht="6.6" customHeight="1" x14ac:dyDescent="0.25">
      <c r="A361" s="73">
        <v>361</v>
      </c>
      <c r="B361" s="30" t="s">
        <v>1474</v>
      </c>
      <c r="C361" s="31" t="s">
        <v>1143</v>
      </c>
      <c r="D361" s="30" t="s">
        <v>1163</v>
      </c>
      <c r="E361" s="30" t="s">
        <v>1094</v>
      </c>
      <c r="F361" s="30" t="s">
        <v>1272</v>
      </c>
      <c r="G361" s="75" t="s">
        <v>1</v>
      </c>
      <c r="H361" s="75" t="s">
        <v>1</v>
      </c>
      <c r="I361" s="75" t="s">
        <v>1</v>
      </c>
      <c r="J361" s="75" t="s">
        <v>1</v>
      </c>
      <c r="K361" s="75" t="s">
        <v>1</v>
      </c>
      <c r="L361" s="28" t="str">
        <f t="shared" si="373"/>
        <v>Redes</v>
      </c>
      <c r="M361" s="28" t="str">
        <f t="shared" si="373"/>
        <v>Redes de Fluídos</v>
      </c>
      <c r="N361" s="28" t="str">
        <f t="shared" si="373"/>
        <v>Redes Fornecedoras</v>
      </c>
      <c r="O361" s="28" t="str">
        <f t="shared" si="373"/>
        <v>Rede de Gás</v>
      </c>
      <c r="P361" s="29" t="s">
        <v>1273</v>
      </c>
      <c r="Q361" s="29" t="s">
        <v>1277</v>
      </c>
      <c r="R361" s="29" t="s">
        <v>1</v>
      </c>
      <c r="S361" s="29" t="str">
        <f t="shared" si="374"/>
        <v>Redes</v>
      </c>
      <c r="T361" s="29" t="str">
        <f t="shared" si="375"/>
        <v>Redes de Fluídos</v>
      </c>
      <c r="U361" s="29" t="str">
        <f t="shared" si="376"/>
        <v>Redes Fornecedoras</v>
      </c>
      <c r="V361" s="29" t="s">
        <v>1476</v>
      </c>
      <c r="W361" s="66" t="str">
        <f t="shared" si="340"/>
        <v>Key-BRMG-361</v>
      </c>
      <c r="X361" s="29" t="s">
        <v>1383</v>
      </c>
      <c r="Y361" s="41" t="s">
        <v>1431</v>
      </c>
      <c r="Z361" s="41" t="s">
        <v>1</v>
      </c>
      <c r="AA361" s="29" t="str">
        <f t="shared" si="345"/>
        <v>Gas supply network system.</v>
      </c>
    </row>
    <row r="362" spans="1:27" ht="6.6" customHeight="1" x14ac:dyDescent="0.25">
      <c r="A362" s="73">
        <v>362</v>
      </c>
      <c r="B362" s="30" t="s">
        <v>1474</v>
      </c>
      <c r="C362" s="31" t="s">
        <v>1143</v>
      </c>
      <c r="D362" s="30" t="s">
        <v>1163</v>
      </c>
      <c r="E362" s="30" t="s">
        <v>1094</v>
      </c>
      <c r="F362" s="46" t="s">
        <v>1101</v>
      </c>
      <c r="G362" s="75" t="s">
        <v>1</v>
      </c>
      <c r="H362" s="75" t="s">
        <v>1</v>
      </c>
      <c r="I362" s="75" t="s">
        <v>1</v>
      </c>
      <c r="J362" s="75" t="s">
        <v>1</v>
      </c>
      <c r="K362" s="75" t="s">
        <v>1</v>
      </c>
      <c r="L362" s="28" t="str">
        <f t="shared" si="373"/>
        <v>Redes</v>
      </c>
      <c r="M362" s="28" t="str">
        <f t="shared" si="373"/>
        <v>Redes de Fluídos</v>
      </c>
      <c r="N362" s="28" t="str">
        <f t="shared" si="373"/>
        <v>Redes Fornecedoras</v>
      </c>
      <c r="O362" s="28" t="str">
        <f t="shared" si="373"/>
        <v>Rede de Operacionalização</v>
      </c>
      <c r="P362" s="29" t="s">
        <v>1102</v>
      </c>
      <c r="Q362" s="29" t="s">
        <v>1103</v>
      </c>
      <c r="R362" s="29" t="s">
        <v>1</v>
      </c>
      <c r="S362" s="29" t="str">
        <f t="shared" si="374"/>
        <v>Redes</v>
      </c>
      <c r="T362" s="29" t="str">
        <f t="shared" si="375"/>
        <v>Redes de Fluídos</v>
      </c>
      <c r="U362" s="29" t="str">
        <f t="shared" si="376"/>
        <v>Redes Fornecedoras</v>
      </c>
      <c r="V362" s="29" t="s">
        <v>1476</v>
      </c>
      <c r="W362" s="66" t="str">
        <f t="shared" si="340"/>
        <v>Key-BRMG-362</v>
      </c>
      <c r="X362" s="29" t="s">
        <v>1383</v>
      </c>
      <c r="Y362" s="41" t="s">
        <v>1432</v>
      </c>
      <c r="Z362" s="41" t="s">
        <v>1</v>
      </c>
      <c r="AA362" s="29" t="str">
        <f t="shared" si="345"/>
        <v>System of operational substances (fuels, hospital fluids, etc.).</v>
      </c>
    </row>
    <row r="363" spans="1:27" ht="6.6" customHeight="1" x14ac:dyDescent="0.25">
      <c r="A363" s="73">
        <v>363</v>
      </c>
      <c r="B363" s="30" t="s">
        <v>1474</v>
      </c>
      <c r="C363" s="31" t="s">
        <v>1143</v>
      </c>
      <c r="D363" s="30" t="s">
        <v>1163</v>
      </c>
      <c r="E363" s="30" t="s">
        <v>1104</v>
      </c>
      <c r="F363" s="46" t="s">
        <v>1105</v>
      </c>
      <c r="G363" s="75" t="s">
        <v>1</v>
      </c>
      <c r="H363" s="75" t="s">
        <v>1</v>
      </c>
      <c r="I363" s="75" t="s">
        <v>1</v>
      </c>
      <c r="J363" s="75" t="s">
        <v>1</v>
      </c>
      <c r="K363" s="75" t="s">
        <v>1</v>
      </c>
      <c r="L363" s="28" t="str">
        <f t="shared" si="373"/>
        <v>Redes</v>
      </c>
      <c r="M363" s="28" t="str">
        <f t="shared" si="373"/>
        <v>Redes de Fluídos</v>
      </c>
      <c r="N363" s="28" t="str">
        <f t="shared" si="373"/>
        <v>Redes Coletoras</v>
      </c>
      <c r="O363" s="28" t="str">
        <f t="shared" si="373"/>
        <v>Rede de Tormenta</v>
      </c>
      <c r="P363" s="29" t="s">
        <v>1106</v>
      </c>
      <c r="Q363" s="29" t="s">
        <v>1107</v>
      </c>
      <c r="R363" s="29" t="s">
        <v>1</v>
      </c>
      <c r="S363" s="29" t="str">
        <f t="shared" si="374"/>
        <v>Redes</v>
      </c>
      <c r="T363" s="29" t="str">
        <f t="shared" si="375"/>
        <v>Redes de Fluídos</v>
      </c>
      <c r="U363" s="29" t="str">
        <f t="shared" si="376"/>
        <v>Redes Coletoras</v>
      </c>
      <c r="V363" s="29" t="s">
        <v>1476</v>
      </c>
      <c r="W363" s="66" t="str">
        <f t="shared" si="340"/>
        <v>Key-BRMG-363</v>
      </c>
      <c r="X363" s="29" t="s">
        <v>1383</v>
      </c>
      <c r="Y363" s="41" t="s">
        <v>1433</v>
      </c>
      <c r="Z363" s="41" t="s">
        <v>1</v>
      </c>
      <c r="AA363" s="29" t="str">
        <f t="shared" si="345"/>
        <v>Urban rainwater system (storm water that runs across the urban surface).</v>
      </c>
    </row>
    <row r="364" spans="1:27" ht="6.6" customHeight="1" x14ac:dyDescent="0.25">
      <c r="A364" s="73">
        <v>364</v>
      </c>
      <c r="B364" s="30" t="s">
        <v>1474</v>
      </c>
      <c r="C364" s="31" t="s">
        <v>1143</v>
      </c>
      <c r="D364" s="30" t="s">
        <v>1163</v>
      </c>
      <c r="E364" s="30" t="s">
        <v>1104</v>
      </c>
      <c r="F364" s="46" t="s">
        <v>1108</v>
      </c>
      <c r="G364" s="75" t="s">
        <v>1</v>
      </c>
      <c r="H364" s="75" t="s">
        <v>1</v>
      </c>
      <c r="I364" s="75" t="s">
        <v>1</v>
      </c>
      <c r="J364" s="75" t="s">
        <v>1</v>
      </c>
      <c r="K364" s="75" t="s">
        <v>1</v>
      </c>
      <c r="L364" s="28" t="str">
        <f t="shared" si="373"/>
        <v>Redes</v>
      </c>
      <c r="M364" s="28" t="str">
        <f t="shared" si="373"/>
        <v>Redes de Fluídos</v>
      </c>
      <c r="N364" s="28" t="str">
        <f t="shared" si="373"/>
        <v>Redes Coletoras</v>
      </c>
      <c r="O364" s="28" t="str">
        <f t="shared" si="373"/>
        <v>Rede de Agua Residual</v>
      </c>
      <c r="P364" s="29" t="s">
        <v>1109</v>
      </c>
      <c r="Q364" s="29" t="s">
        <v>1110</v>
      </c>
      <c r="R364" s="29" t="s">
        <v>1</v>
      </c>
      <c r="S364" s="29" t="str">
        <f t="shared" si="374"/>
        <v>Redes</v>
      </c>
      <c r="T364" s="29" t="str">
        <f t="shared" si="375"/>
        <v>Redes de Fluídos</v>
      </c>
      <c r="U364" s="29" t="str">
        <f t="shared" si="376"/>
        <v>Redes Coletoras</v>
      </c>
      <c r="V364" s="29" t="s">
        <v>1476</v>
      </c>
      <c r="W364" s="66" t="str">
        <f t="shared" si="340"/>
        <v>Key-BRMG-364</v>
      </c>
      <c r="X364" s="29" t="s">
        <v>1383</v>
      </c>
      <c r="Y364" s="41" t="s">
        <v>1434</v>
      </c>
      <c r="Z364" s="41" t="s">
        <v>1</v>
      </c>
      <c r="AA364" s="29" t="str">
        <f t="shared" si="345"/>
        <v>Recycling water system (water that has been negatively affected by anthropogenic influence).</v>
      </c>
    </row>
    <row r="365" spans="1:27" ht="6.6" customHeight="1" x14ac:dyDescent="0.25">
      <c r="A365" s="73">
        <v>365</v>
      </c>
      <c r="B365" s="30" t="s">
        <v>1474</v>
      </c>
      <c r="C365" s="31" t="s">
        <v>1143</v>
      </c>
      <c r="D365" s="30" t="s">
        <v>1163</v>
      </c>
      <c r="E365" s="30" t="s">
        <v>1104</v>
      </c>
      <c r="F365" s="46" t="s">
        <v>1111</v>
      </c>
      <c r="G365" s="75" t="s">
        <v>1</v>
      </c>
      <c r="H365" s="75" t="s">
        <v>1</v>
      </c>
      <c r="I365" s="75" t="s">
        <v>1</v>
      </c>
      <c r="J365" s="75" t="s">
        <v>1</v>
      </c>
      <c r="K365" s="75" t="s">
        <v>1</v>
      </c>
      <c r="L365" s="28" t="str">
        <f t="shared" si="373"/>
        <v>Redes</v>
      </c>
      <c r="M365" s="28" t="str">
        <f t="shared" si="373"/>
        <v>Redes de Fluídos</v>
      </c>
      <c r="N365" s="28" t="str">
        <f t="shared" si="373"/>
        <v>Redes Coletoras</v>
      </c>
      <c r="O365" s="28" t="str">
        <f t="shared" si="373"/>
        <v>Rede de Esgoto</v>
      </c>
      <c r="P365" s="29" t="s">
        <v>1112</v>
      </c>
      <c r="Q365" s="29" t="s">
        <v>1113</v>
      </c>
      <c r="R365" s="29" t="s">
        <v>1</v>
      </c>
      <c r="S365" s="29" t="str">
        <f t="shared" si="374"/>
        <v>Redes</v>
      </c>
      <c r="T365" s="29" t="str">
        <f t="shared" si="375"/>
        <v>Redes de Fluídos</v>
      </c>
      <c r="U365" s="29" t="str">
        <f t="shared" si="376"/>
        <v>Redes Coletoras</v>
      </c>
      <c r="V365" s="29" t="s">
        <v>1476</v>
      </c>
      <c r="W365" s="66" t="str">
        <f t="shared" si="340"/>
        <v>Key-BRMG-365</v>
      </c>
      <c r="X365" s="29" t="s">
        <v>1383</v>
      </c>
      <c r="Y365" s="41" t="s">
        <v>1435</v>
      </c>
      <c r="Z365" s="41" t="s">
        <v>1</v>
      </c>
      <c r="AA365" s="29" t="str">
        <f t="shared" si="345"/>
        <v>Urban sewage collection system.</v>
      </c>
    </row>
    <row r="366" spans="1:27" ht="6.6" customHeight="1" x14ac:dyDescent="0.25">
      <c r="A366" s="73">
        <v>366</v>
      </c>
      <c r="B366" s="30" t="s">
        <v>1474</v>
      </c>
      <c r="C366" s="31" t="s">
        <v>1143</v>
      </c>
      <c r="D366" s="30" t="s">
        <v>1163</v>
      </c>
      <c r="E366" s="30" t="s">
        <v>1104</v>
      </c>
      <c r="F366" s="30" t="s">
        <v>1114</v>
      </c>
      <c r="G366" s="75" t="s">
        <v>1</v>
      </c>
      <c r="H366" s="75" t="s">
        <v>1</v>
      </c>
      <c r="I366" s="75" t="s">
        <v>1</v>
      </c>
      <c r="J366" s="75" t="s">
        <v>1</v>
      </c>
      <c r="K366" s="75" t="s">
        <v>1</v>
      </c>
      <c r="L366" s="28" t="str">
        <f t="shared" si="373"/>
        <v>Redes</v>
      </c>
      <c r="M366" s="28" t="str">
        <f t="shared" si="373"/>
        <v>Redes de Fluídos</v>
      </c>
      <c r="N366" s="28" t="str">
        <f t="shared" si="373"/>
        <v>Redes Coletoras</v>
      </c>
      <c r="O366" s="28" t="str">
        <f t="shared" si="373"/>
        <v>Rede de Descartes</v>
      </c>
      <c r="P366" s="29" t="s">
        <v>1115</v>
      </c>
      <c r="Q366" s="29" t="s">
        <v>1116</v>
      </c>
      <c r="R366" s="29" t="s">
        <v>1</v>
      </c>
      <c r="S366" s="29" t="str">
        <f t="shared" si="374"/>
        <v>Redes</v>
      </c>
      <c r="T366" s="29" t="str">
        <f t="shared" si="375"/>
        <v>Redes de Fluídos</v>
      </c>
      <c r="U366" s="29" t="str">
        <f t="shared" si="376"/>
        <v>Redes Coletoras</v>
      </c>
      <c r="V366" s="29" t="s">
        <v>1476</v>
      </c>
      <c r="W366" s="66" t="str">
        <f t="shared" si="340"/>
        <v>Key-BRMG-366</v>
      </c>
      <c r="X366" s="29" t="s">
        <v>1383</v>
      </c>
      <c r="Y366" s="41" t="s">
        <v>1436</v>
      </c>
      <c r="Z366" s="41" t="s">
        <v>1</v>
      </c>
      <c r="AA366" s="29" t="str">
        <f t="shared" si="345"/>
        <v>Sewage system for substances (special substances, for example).</v>
      </c>
    </row>
    <row r="367" spans="1:27" ht="6.6" customHeight="1" x14ac:dyDescent="0.25">
      <c r="A367" s="73">
        <v>367</v>
      </c>
      <c r="B367" s="30" t="s">
        <v>1474</v>
      </c>
      <c r="C367" s="31" t="s">
        <v>1143</v>
      </c>
      <c r="D367" s="30" t="s">
        <v>1163</v>
      </c>
      <c r="E367" s="30" t="s">
        <v>1104</v>
      </c>
      <c r="F367" s="30" t="s">
        <v>1117</v>
      </c>
      <c r="G367" s="75" t="s">
        <v>1</v>
      </c>
      <c r="H367" s="75" t="s">
        <v>1</v>
      </c>
      <c r="I367" s="75" t="s">
        <v>1</v>
      </c>
      <c r="J367" s="75" t="s">
        <v>1</v>
      </c>
      <c r="K367" s="75" t="s">
        <v>1</v>
      </c>
      <c r="L367" s="28" t="str">
        <f t="shared" si="373"/>
        <v>Redes</v>
      </c>
      <c r="M367" s="28" t="str">
        <f t="shared" si="373"/>
        <v>Redes de Fluídos</v>
      </c>
      <c r="N367" s="28" t="str">
        <f t="shared" si="373"/>
        <v>Redes Coletoras</v>
      </c>
      <c r="O367" s="28" t="str">
        <f t="shared" si="373"/>
        <v>Rede de Hospitalares</v>
      </c>
      <c r="P367" s="29" t="s">
        <v>1118</v>
      </c>
      <c r="Q367" s="29" t="s">
        <v>1119</v>
      </c>
      <c r="R367" s="29" t="s">
        <v>1</v>
      </c>
      <c r="S367" s="29" t="str">
        <f t="shared" si="374"/>
        <v>Redes</v>
      </c>
      <c r="T367" s="29" t="str">
        <f t="shared" si="375"/>
        <v>Redes de Fluídos</v>
      </c>
      <c r="U367" s="29" t="str">
        <f t="shared" si="376"/>
        <v>Redes Coletoras</v>
      </c>
      <c r="V367" s="29" t="s">
        <v>1476</v>
      </c>
      <c r="W367" s="66" t="str">
        <f t="shared" si="340"/>
        <v>Key-BRMG-367</v>
      </c>
      <c r="X367" s="29" t="s">
        <v>1383</v>
      </c>
      <c r="Y367" s="41" t="s">
        <v>1437</v>
      </c>
      <c r="Z367" s="41" t="s">
        <v>1</v>
      </c>
      <c r="AA367" s="29" t="str">
        <f t="shared" si="345"/>
        <v>Hospital gas or liquid network system.</v>
      </c>
    </row>
    <row r="368" spans="1:27" ht="6.6" customHeight="1" x14ac:dyDescent="0.25">
      <c r="A368" s="73">
        <v>368</v>
      </c>
      <c r="B368" s="30" t="s">
        <v>1474</v>
      </c>
      <c r="C368" s="31" t="s">
        <v>1143</v>
      </c>
      <c r="D368" s="30" t="s">
        <v>1120</v>
      </c>
      <c r="E368" s="30" t="s">
        <v>1121</v>
      </c>
      <c r="F368" s="30" t="s">
        <v>1122</v>
      </c>
      <c r="G368" s="75" t="s">
        <v>1</v>
      </c>
      <c r="H368" s="75" t="s">
        <v>1</v>
      </c>
      <c r="I368" s="75" t="s">
        <v>1</v>
      </c>
      <c r="J368" s="75" t="s">
        <v>1</v>
      </c>
      <c r="K368" s="75" t="s">
        <v>1</v>
      </c>
      <c r="L368" s="28" t="str">
        <f t="shared" ref="L368" si="384">SUBSTITUTE(CONCATENATE("", C368), ".", " ")</f>
        <v>Redes</v>
      </c>
      <c r="M368" s="28" t="str">
        <f t="shared" ref="M368" si="385">SUBSTITUTE(CONCATENATE("", D368), ".", " ")</f>
        <v>Redes Elétricas</v>
      </c>
      <c r="N368" s="28" t="str">
        <f t="shared" ref="N368" si="386">SUBSTITUTE(CONCATENATE("", E368), ".", " ")</f>
        <v>Redes de Transmissão</v>
      </c>
      <c r="O368" s="28" t="str">
        <f t="shared" ref="O368" si="387">SUBSTITUTE(CONCATENATE("", F368), ".", " ")</f>
        <v>Rede de Alta Tensão</v>
      </c>
      <c r="P368" s="29" t="s">
        <v>1123</v>
      </c>
      <c r="Q368" s="29" t="s">
        <v>1284</v>
      </c>
      <c r="R368" s="29" t="s">
        <v>1</v>
      </c>
      <c r="S368" s="29" t="str">
        <f t="shared" ref="S368" si="388">SUBSTITUTE(C368, ".", " ")</f>
        <v>Redes</v>
      </c>
      <c r="T368" s="29" t="str">
        <f t="shared" ref="T368" si="389">SUBSTITUTE(D368, ".", " ")</f>
        <v>Redes Elétricas</v>
      </c>
      <c r="U368" s="29" t="str">
        <f t="shared" ref="U368" si="390">SUBSTITUTE(E368, ".", " ")</f>
        <v>Redes de Transmissão</v>
      </c>
      <c r="V368" s="29" t="s">
        <v>1476</v>
      </c>
      <c r="W368" s="66" t="str">
        <f t="shared" si="340"/>
        <v>Key-BRMG-368</v>
      </c>
      <c r="X368" s="29" t="s">
        <v>1384</v>
      </c>
      <c r="Y368" s="41" t="s">
        <v>1437</v>
      </c>
      <c r="Z368" s="41" t="s">
        <v>1</v>
      </c>
      <c r="AA368" s="29" t="str">
        <f t="shared" si="345"/>
        <v>High Voltage transmission power line with more than 69 kV.</v>
      </c>
    </row>
    <row r="369" spans="1:27" ht="6.6" customHeight="1" x14ac:dyDescent="0.25">
      <c r="A369" s="73">
        <v>369</v>
      </c>
      <c r="B369" s="30" t="s">
        <v>1474</v>
      </c>
      <c r="C369" s="31" t="s">
        <v>1143</v>
      </c>
      <c r="D369" s="30" t="s">
        <v>1120</v>
      </c>
      <c r="E369" s="30" t="s">
        <v>1121</v>
      </c>
      <c r="F369" s="30" t="s">
        <v>1249</v>
      </c>
      <c r="G369" s="75" t="s">
        <v>1</v>
      </c>
      <c r="H369" s="75" t="s">
        <v>1</v>
      </c>
      <c r="I369" s="75" t="s">
        <v>1</v>
      </c>
      <c r="J369" s="75" t="s">
        <v>1</v>
      </c>
      <c r="K369" s="75" t="s">
        <v>1</v>
      </c>
      <c r="L369" s="28" t="str">
        <f t="shared" si="373"/>
        <v>Redes</v>
      </c>
      <c r="M369" s="28" t="str">
        <f t="shared" si="373"/>
        <v>Redes Elétricas</v>
      </c>
      <c r="N369" s="28" t="str">
        <f t="shared" si="373"/>
        <v>Redes de Transmissão</v>
      </c>
      <c r="O369" s="28" t="str">
        <f t="shared" si="373"/>
        <v>Torre de Transmissão</v>
      </c>
      <c r="P369" s="29" t="s">
        <v>1250</v>
      </c>
      <c r="Q369" s="29" t="s">
        <v>1285</v>
      </c>
      <c r="R369" s="29" t="s">
        <v>1</v>
      </c>
      <c r="S369" s="29" t="str">
        <f t="shared" si="374"/>
        <v>Redes</v>
      </c>
      <c r="T369" s="29" t="str">
        <f t="shared" si="375"/>
        <v>Redes Elétricas</v>
      </c>
      <c r="U369" s="29" t="str">
        <f t="shared" si="376"/>
        <v>Redes de Transmissão</v>
      </c>
      <c r="V369" s="29" t="s">
        <v>1476</v>
      </c>
      <c r="W369" s="66" t="str">
        <f t="shared" si="340"/>
        <v>Key-BRMG-369</v>
      </c>
      <c r="X369" s="29" t="s">
        <v>1384</v>
      </c>
      <c r="Y369" s="41" t="s">
        <v>1437</v>
      </c>
      <c r="Z369" s="41" t="s">
        <v>1</v>
      </c>
      <c r="AA369" s="29" t="str">
        <f t="shared" si="345"/>
        <v>Metal support structure of the High Voltage transmission power line with more than 69 kV.</v>
      </c>
    </row>
    <row r="370" spans="1:27" ht="6.6" customHeight="1" x14ac:dyDescent="0.25">
      <c r="A370" s="73">
        <v>370</v>
      </c>
      <c r="B370" s="30" t="s">
        <v>1474</v>
      </c>
      <c r="C370" s="31" t="s">
        <v>1143</v>
      </c>
      <c r="D370" s="30" t="s">
        <v>1120</v>
      </c>
      <c r="E370" s="30" t="s">
        <v>1124</v>
      </c>
      <c r="F370" s="30" t="s">
        <v>1251</v>
      </c>
      <c r="G370" s="75" t="s">
        <v>1</v>
      </c>
      <c r="H370" s="75" t="s">
        <v>1</v>
      </c>
      <c r="I370" s="75" t="s">
        <v>1</v>
      </c>
      <c r="J370" s="75" t="s">
        <v>1</v>
      </c>
      <c r="K370" s="75" t="s">
        <v>1</v>
      </c>
      <c r="L370" s="28" t="str">
        <f t="shared" si="373"/>
        <v>Redes</v>
      </c>
      <c r="M370" s="28" t="str">
        <f t="shared" si="373"/>
        <v>Redes Elétricas</v>
      </c>
      <c r="N370" s="28" t="str">
        <f t="shared" si="373"/>
        <v>Redes de Distribuição</v>
      </c>
      <c r="O370" s="28" t="str">
        <f t="shared" si="373"/>
        <v>Rede de MT Nua</v>
      </c>
      <c r="P370" s="29" t="s">
        <v>1256</v>
      </c>
      <c r="Q370" s="29" t="s">
        <v>1286</v>
      </c>
      <c r="R370" s="29" t="s">
        <v>1</v>
      </c>
      <c r="S370" s="29" t="str">
        <f t="shared" si="374"/>
        <v>Redes</v>
      </c>
      <c r="T370" s="29" t="str">
        <f t="shared" si="375"/>
        <v>Redes Elétricas</v>
      </c>
      <c r="U370" s="29" t="str">
        <f t="shared" si="376"/>
        <v>Redes de Distribuição</v>
      </c>
      <c r="V370" s="29" t="s">
        <v>1476</v>
      </c>
      <c r="W370" s="66" t="str">
        <f t="shared" si="340"/>
        <v>Key-BRMG-370</v>
      </c>
      <c r="X370" s="29" t="s">
        <v>1384</v>
      </c>
      <c r="Y370" s="41" t="s">
        <v>1437</v>
      </c>
      <c r="Z370" s="41" t="s">
        <v>1</v>
      </c>
      <c r="AA370" s="29" t="str">
        <f t="shared" si="345"/>
        <v>Physical structure of EE distribution circuits. Posts, supports with insulators and bare conductors of aluminum or copper on pin or rod insulators on concrete crossarms.</v>
      </c>
    </row>
    <row r="371" spans="1:27" ht="6.6" customHeight="1" x14ac:dyDescent="0.25">
      <c r="A371" s="73">
        <v>371</v>
      </c>
      <c r="B371" s="30" t="s">
        <v>1474</v>
      </c>
      <c r="C371" s="31" t="s">
        <v>1143</v>
      </c>
      <c r="D371" s="30" t="s">
        <v>1120</v>
      </c>
      <c r="E371" s="30" t="s">
        <v>1124</v>
      </c>
      <c r="F371" s="30" t="s">
        <v>1252</v>
      </c>
      <c r="G371" s="75" t="s">
        <v>1</v>
      </c>
      <c r="H371" s="75" t="s">
        <v>1</v>
      </c>
      <c r="I371" s="75" t="s">
        <v>1</v>
      </c>
      <c r="J371" s="75" t="s">
        <v>1</v>
      </c>
      <c r="K371" s="75" t="s">
        <v>1</v>
      </c>
      <c r="L371" s="28" t="str">
        <f t="shared" si="373"/>
        <v>Redes</v>
      </c>
      <c r="M371" s="28" t="str">
        <f t="shared" si="373"/>
        <v>Redes Elétricas</v>
      </c>
      <c r="N371" s="28" t="str">
        <f t="shared" si="373"/>
        <v>Redes de Distribuição</v>
      </c>
      <c r="O371" s="28" t="str">
        <f t="shared" si="373"/>
        <v>Rede de MT Multiplex</v>
      </c>
      <c r="P371" s="29" t="s">
        <v>1257</v>
      </c>
      <c r="Q371" s="29" t="s">
        <v>1287</v>
      </c>
      <c r="R371" s="29" t="s">
        <v>1</v>
      </c>
      <c r="S371" s="29" t="str">
        <f t="shared" si="374"/>
        <v>Redes</v>
      </c>
      <c r="T371" s="29" t="str">
        <f t="shared" si="375"/>
        <v>Redes Elétricas</v>
      </c>
      <c r="U371" s="29" t="str">
        <f t="shared" si="376"/>
        <v>Redes de Distribuição</v>
      </c>
      <c r="V371" s="29" t="s">
        <v>1476</v>
      </c>
      <c r="W371" s="66" t="str">
        <f t="shared" si="340"/>
        <v>Key-BRMG-371</v>
      </c>
      <c r="X371" s="29" t="s">
        <v>1384</v>
      </c>
      <c r="Y371" s="41" t="s">
        <v>1437</v>
      </c>
      <c r="Z371" s="41" t="s">
        <v>1</v>
      </c>
      <c r="AA371" s="29" t="str">
        <f t="shared" si="345"/>
        <v>Physical structure of EE distribution circuits. Poles, supports with insulators and aluminium conductors covered by a layer of insulation, grouped in bundles.</v>
      </c>
    </row>
    <row r="372" spans="1:27" ht="6.6" customHeight="1" x14ac:dyDescent="0.25">
      <c r="A372" s="73">
        <v>372</v>
      </c>
      <c r="B372" s="30" t="s">
        <v>1474</v>
      </c>
      <c r="C372" s="31" t="s">
        <v>1143</v>
      </c>
      <c r="D372" s="30" t="s">
        <v>1120</v>
      </c>
      <c r="E372" s="30" t="s">
        <v>1124</v>
      </c>
      <c r="F372" s="30" t="s">
        <v>1253</v>
      </c>
      <c r="G372" s="75" t="s">
        <v>1</v>
      </c>
      <c r="H372" s="75" t="s">
        <v>1</v>
      </c>
      <c r="I372" s="75" t="s">
        <v>1</v>
      </c>
      <c r="J372" s="75" t="s">
        <v>1</v>
      </c>
      <c r="K372" s="75" t="s">
        <v>1</v>
      </c>
      <c r="L372" s="28" t="str">
        <f t="shared" ref="L372:L373" si="391">SUBSTITUTE(CONCATENATE("", C372), ".", " ")</f>
        <v>Redes</v>
      </c>
      <c r="M372" s="28" t="str">
        <f t="shared" ref="M372:M373" si="392">SUBSTITUTE(CONCATENATE("", D372), ".", " ")</f>
        <v>Redes Elétricas</v>
      </c>
      <c r="N372" s="28" t="str">
        <f t="shared" ref="N372:N373" si="393">SUBSTITUTE(CONCATENATE("", E372), ".", " ")</f>
        <v>Redes de Distribuição</v>
      </c>
      <c r="O372" s="28" t="str">
        <f t="shared" ref="O372:O373" si="394">SUBSTITUTE(CONCATENATE("", F372), ".", " ")</f>
        <v>Rede de MT Compacta</v>
      </c>
      <c r="P372" s="29" t="s">
        <v>1269</v>
      </c>
      <c r="Q372" s="29" t="s">
        <v>1288</v>
      </c>
      <c r="R372" s="29" t="s">
        <v>1</v>
      </c>
      <c r="S372" s="29" t="str">
        <f t="shared" ref="S372:S373" si="395">SUBSTITUTE(C372, ".", " ")</f>
        <v>Redes</v>
      </c>
      <c r="T372" s="29" t="str">
        <f t="shared" ref="T372:T373" si="396">SUBSTITUTE(D372, ".", " ")</f>
        <v>Redes Elétricas</v>
      </c>
      <c r="U372" s="29" t="str">
        <f t="shared" ref="U372:U373" si="397">SUBSTITUTE(E372, ".", " ")</f>
        <v>Redes de Distribuição</v>
      </c>
      <c r="V372" s="29" t="s">
        <v>1476</v>
      </c>
      <c r="W372" s="66" t="str">
        <f t="shared" si="340"/>
        <v>Key-BRMG-372</v>
      </c>
      <c r="X372" s="29" t="s">
        <v>1384</v>
      </c>
      <c r="Y372" s="41" t="s">
        <v>1437</v>
      </c>
      <c r="Z372" s="41" t="s">
        <v>1</v>
      </c>
      <c r="AA372" s="29" t="str">
        <f t="shared" si="345"/>
        <v>Physical structure of compact EE distribution circuits. Poles, supports with insulators and aluminium conductors covered by a layer of insulation, grouped in bundles.</v>
      </c>
    </row>
    <row r="373" spans="1:27" ht="6.6" customHeight="1" x14ac:dyDescent="0.25">
      <c r="A373" s="73">
        <v>373</v>
      </c>
      <c r="B373" s="30" t="s">
        <v>1474</v>
      </c>
      <c r="C373" s="31" t="s">
        <v>1143</v>
      </c>
      <c r="D373" s="30" t="s">
        <v>1120</v>
      </c>
      <c r="E373" s="30" t="s">
        <v>1124</v>
      </c>
      <c r="F373" s="30" t="s">
        <v>1255</v>
      </c>
      <c r="G373" s="75" t="s">
        <v>1</v>
      </c>
      <c r="H373" s="75" t="s">
        <v>1</v>
      </c>
      <c r="I373" s="75" t="s">
        <v>1</v>
      </c>
      <c r="J373" s="75" t="s">
        <v>1</v>
      </c>
      <c r="K373" s="75" t="s">
        <v>1</v>
      </c>
      <c r="L373" s="28" t="str">
        <f t="shared" si="391"/>
        <v>Redes</v>
      </c>
      <c r="M373" s="28" t="str">
        <f t="shared" si="392"/>
        <v>Redes Elétricas</v>
      </c>
      <c r="N373" s="28" t="str">
        <f t="shared" si="393"/>
        <v>Redes de Distribuição</v>
      </c>
      <c r="O373" s="28" t="str">
        <f t="shared" si="394"/>
        <v>Poste de Concreto Circular</v>
      </c>
      <c r="P373" s="29" t="s">
        <v>1270</v>
      </c>
      <c r="Q373" s="29" t="s">
        <v>1289</v>
      </c>
      <c r="R373" s="29" t="s">
        <v>1</v>
      </c>
      <c r="S373" s="29" t="str">
        <f t="shared" si="395"/>
        <v>Redes</v>
      </c>
      <c r="T373" s="29" t="str">
        <f t="shared" si="396"/>
        <v>Redes Elétricas</v>
      </c>
      <c r="U373" s="29" t="str">
        <f t="shared" si="397"/>
        <v>Redes de Distribuição</v>
      </c>
      <c r="V373" s="29" t="s">
        <v>1476</v>
      </c>
      <c r="W373" s="66" t="str">
        <f t="shared" si="340"/>
        <v>Key-BRMG-373</v>
      </c>
      <c r="X373" s="29" t="s">
        <v>1384</v>
      </c>
      <c r="Y373" s="41" t="s">
        <v>1437</v>
      </c>
      <c r="Z373" s="41" t="s">
        <v>1</v>
      </c>
      <c r="AA373" s="29" t="str">
        <f t="shared" si="345"/>
        <v>See NBR 8451. Circular section concrete pole to conduct Medium Voltage overhead power grid.</v>
      </c>
    </row>
    <row r="374" spans="1:27" ht="6.6" customHeight="1" x14ac:dyDescent="0.25">
      <c r="A374" s="73">
        <v>374</v>
      </c>
      <c r="B374" s="30" t="s">
        <v>1474</v>
      </c>
      <c r="C374" s="31" t="s">
        <v>1143</v>
      </c>
      <c r="D374" s="30" t="s">
        <v>1120</v>
      </c>
      <c r="E374" s="30" t="s">
        <v>1124</v>
      </c>
      <c r="F374" s="30" t="s">
        <v>1254</v>
      </c>
      <c r="G374" s="75" t="s">
        <v>1</v>
      </c>
      <c r="H374" s="75" t="s">
        <v>1</v>
      </c>
      <c r="I374" s="75" t="s">
        <v>1</v>
      </c>
      <c r="J374" s="75" t="s">
        <v>1</v>
      </c>
      <c r="K374" s="75" t="s">
        <v>1</v>
      </c>
      <c r="L374" s="28" t="str">
        <f t="shared" si="373"/>
        <v>Redes</v>
      </c>
      <c r="M374" s="28" t="str">
        <f t="shared" si="373"/>
        <v>Redes Elétricas</v>
      </c>
      <c r="N374" s="28" t="str">
        <f t="shared" si="373"/>
        <v>Redes de Distribuição</v>
      </c>
      <c r="O374" s="28" t="str">
        <f t="shared" si="373"/>
        <v>Poste de Concreto DT</v>
      </c>
      <c r="P374" s="29" t="s">
        <v>1271</v>
      </c>
      <c r="Q374" s="29" t="s">
        <v>1290</v>
      </c>
      <c r="R374" s="29" t="s">
        <v>1</v>
      </c>
      <c r="S374" s="29" t="str">
        <f t="shared" si="374"/>
        <v>Redes</v>
      </c>
      <c r="T374" s="29" t="str">
        <f t="shared" si="375"/>
        <v>Redes Elétricas</v>
      </c>
      <c r="U374" s="29" t="str">
        <f t="shared" si="376"/>
        <v>Redes de Distribuição</v>
      </c>
      <c r="V374" s="29" t="s">
        <v>1476</v>
      </c>
      <c r="W374" s="66" t="str">
        <f t="shared" si="340"/>
        <v>Key-BRMG-374</v>
      </c>
      <c r="X374" s="29" t="s">
        <v>1384</v>
      </c>
      <c r="Y374" s="41" t="s">
        <v>1437</v>
      </c>
      <c r="Z374" s="41" t="s">
        <v>1</v>
      </c>
      <c r="AA374" s="29" t="str">
        <f t="shared" si="345"/>
        <v>See NBR 8451. Double Tee (DT) section concrete pole to conduct Medium Voltage overhead power grid.</v>
      </c>
    </row>
    <row r="375" spans="1:27" ht="6.6" customHeight="1" x14ac:dyDescent="0.25">
      <c r="A375" s="73">
        <v>375</v>
      </c>
      <c r="B375" s="30" t="s">
        <v>1474</v>
      </c>
      <c r="C375" s="31" t="s">
        <v>1143</v>
      </c>
      <c r="D375" s="30" t="s">
        <v>1120</v>
      </c>
      <c r="E375" s="30" t="s">
        <v>1124</v>
      </c>
      <c r="F375" s="30" t="s">
        <v>1125</v>
      </c>
      <c r="G375" s="75" t="s">
        <v>1</v>
      </c>
      <c r="H375" s="75" t="s">
        <v>1</v>
      </c>
      <c r="I375" s="75" t="s">
        <v>1</v>
      </c>
      <c r="J375" s="75" t="s">
        <v>1</v>
      </c>
      <c r="K375" s="75" t="s">
        <v>1</v>
      </c>
      <c r="L375" s="28" t="str">
        <f t="shared" si="373"/>
        <v>Redes</v>
      </c>
      <c r="M375" s="28" t="str">
        <f t="shared" si="373"/>
        <v>Redes Elétricas</v>
      </c>
      <c r="N375" s="28" t="str">
        <f t="shared" si="373"/>
        <v>Redes de Distribuição</v>
      </c>
      <c r="O375" s="28" t="str">
        <f t="shared" si="373"/>
        <v>Rede de MT Subterrânea</v>
      </c>
      <c r="P375" s="29" t="s">
        <v>1126</v>
      </c>
      <c r="Q375" s="29" t="s">
        <v>1291</v>
      </c>
      <c r="R375" s="29" t="s">
        <v>1</v>
      </c>
      <c r="S375" s="29" t="str">
        <f t="shared" si="374"/>
        <v>Redes</v>
      </c>
      <c r="T375" s="29" t="str">
        <f t="shared" si="375"/>
        <v>Redes Elétricas</v>
      </c>
      <c r="U375" s="29" t="str">
        <f t="shared" si="376"/>
        <v>Redes de Distribuição</v>
      </c>
      <c r="V375" s="29" t="s">
        <v>1476</v>
      </c>
      <c r="W375" s="66" t="str">
        <f t="shared" si="340"/>
        <v>Key-BRMG-375</v>
      </c>
      <c r="X375" s="29" t="s">
        <v>1384</v>
      </c>
      <c r="Y375" s="41" t="s">
        <v>1437</v>
      </c>
      <c r="Z375" s="41" t="s">
        <v>1</v>
      </c>
      <c r="AA375" s="29" t="str">
        <f t="shared" si="345"/>
        <v>Medium Voltage underground electrical network between 1 kV and 69 kV.</v>
      </c>
    </row>
    <row r="376" spans="1:27" ht="6.6" customHeight="1" x14ac:dyDescent="0.25">
      <c r="A376" s="73">
        <v>376</v>
      </c>
      <c r="B376" s="30" t="s">
        <v>1474</v>
      </c>
      <c r="C376" s="31" t="s">
        <v>1143</v>
      </c>
      <c r="D376" s="30" t="s">
        <v>1120</v>
      </c>
      <c r="E376" s="30" t="s">
        <v>1124</v>
      </c>
      <c r="F376" s="30" t="s">
        <v>1127</v>
      </c>
      <c r="G376" s="75" t="s">
        <v>1</v>
      </c>
      <c r="H376" s="75" t="s">
        <v>1</v>
      </c>
      <c r="I376" s="75" t="s">
        <v>1</v>
      </c>
      <c r="J376" s="75" t="s">
        <v>1</v>
      </c>
      <c r="K376" s="75" t="s">
        <v>1</v>
      </c>
      <c r="L376" s="28" t="str">
        <f t="shared" si="373"/>
        <v>Redes</v>
      </c>
      <c r="M376" s="28" t="str">
        <f t="shared" si="373"/>
        <v>Redes Elétricas</v>
      </c>
      <c r="N376" s="28" t="str">
        <f t="shared" si="373"/>
        <v>Redes de Distribuição</v>
      </c>
      <c r="O376" s="28" t="str">
        <f t="shared" si="373"/>
        <v>Rede de BT Aérea</v>
      </c>
      <c r="P376" s="29" t="s">
        <v>1128</v>
      </c>
      <c r="Q376" s="29" t="s">
        <v>1292</v>
      </c>
      <c r="R376" s="29" t="s">
        <v>1</v>
      </c>
      <c r="S376" s="29" t="str">
        <f t="shared" si="374"/>
        <v>Redes</v>
      </c>
      <c r="T376" s="29" t="str">
        <f t="shared" si="375"/>
        <v>Redes Elétricas</v>
      </c>
      <c r="U376" s="29" t="str">
        <f t="shared" si="376"/>
        <v>Redes de Distribuição</v>
      </c>
      <c r="V376" s="29" t="s">
        <v>1476</v>
      </c>
      <c r="W376" s="66" t="str">
        <f t="shared" si="340"/>
        <v>Key-BRMG-376</v>
      </c>
      <c r="X376" s="29" t="s">
        <v>1384</v>
      </c>
      <c r="Y376" s="41" t="s">
        <v>1437</v>
      </c>
      <c r="Z376" s="41" t="s">
        <v>1</v>
      </c>
      <c r="AA376" s="29" t="str">
        <f t="shared" si="345"/>
        <v>Low Voltage overhead power grid up to 1,000 volts (1Kv).</v>
      </c>
    </row>
    <row r="377" spans="1:27" ht="6.6" customHeight="1" x14ac:dyDescent="0.25">
      <c r="A377" s="73">
        <v>377</v>
      </c>
      <c r="B377" s="30" t="s">
        <v>1474</v>
      </c>
      <c r="C377" s="31" t="s">
        <v>1143</v>
      </c>
      <c r="D377" s="30" t="s">
        <v>1120</v>
      </c>
      <c r="E377" s="30" t="s">
        <v>1124</v>
      </c>
      <c r="F377" s="30" t="s">
        <v>1129</v>
      </c>
      <c r="G377" s="75" t="s">
        <v>1</v>
      </c>
      <c r="H377" s="75" t="s">
        <v>1</v>
      </c>
      <c r="I377" s="75" t="s">
        <v>1</v>
      </c>
      <c r="J377" s="75" t="s">
        <v>1</v>
      </c>
      <c r="K377" s="75" t="s">
        <v>1</v>
      </c>
      <c r="L377" s="28" t="str">
        <f t="shared" ref="L377:L381" si="398">SUBSTITUTE(CONCATENATE("", C377), ".", " ")</f>
        <v>Redes</v>
      </c>
      <c r="M377" s="28" t="str">
        <f t="shared" ref="M377:M381" si="399">SUBSTITUTE(CONCATENATE("", D377), ".", " ")</f>
        <v>Redes Elétricas</v>
      </c>
      <c r="N377" s="28" t="str">
        <f t="shared" ref="N377:N381" si="400">SUBSTITUTE(CONCATENATE("", E377), ".", " ")</f>
        <v>Redes de Distribuição</v>
      </c>
      <c r="O377" s="28" t="str">
        <f t="shared" ref="O377:O381" si="401">SUBSTITUTE(CONCATENATE("", F377), ".", " ")</f>
        <v>Rede de BT Subterrânea</v>
      </c>
      <c r="P377" s="29" t="s">
        <v>1130</v>
      </c>
      <c r="Q377" s="29" t="s">
        <v>1293</v>
      </c>
      <c r="R377" s="29" t="s">
        <v>1</v>
      </c>
      <c r="S377" s="29" t="str">
        <f t="shared" ref="S377:S381" si="402">SUBSTITUTE(C377, ".", " ")</f>
        <v>Redes</v>
      </c>
      <c r="T377" s="29" t="str">
        <f t="shared" ref="T377:T381" si="403">SUBSTITUTE(D377, ".", " ")</f>
        <v>Redes Elétricas</v>
      </c>
      <c r="U377" s="29" t="str">
        <f t="shared" ref="U377:U381" si="404">SUBSTITUTE(E377, ".", " ")</f>
        <v>Redes de Distribuição</v>
      </c>
      <c r="V377" s="29" t="s">
        <v>1476</v>
      </c>
      <c r="W377" s="66" t="str">
        <f t="shared" si="340"/>
        <v>Key-BRMG-377</v>
      </c>
      <c r="X377" s="29" t="s">
        <v>1384</v>
      </c>
      <c r="Y377" s="41" t="s">
        <v>1437</v>
      </c>
      <c r="Z377" s="41" t="s">
        <v>1</v>
      </c>
      <c r="AA377" s="29" t="str">
        <f t="shared" si="345"/>
        <v>Low Voltage underground electrical network up to 1,000 volts (1Kv).</v>
      </c>
    </row>
    <row r="378" spans="1:27" ht="6.6" customHeight="1" x14ac:dyDescent="0.25">
      <c r="A378" s="73">
        <v>378</v>
      </c>
      <c r="B378" s="30" t="s">
        <v>1474</v>
      </c>
      <c r="C378" s="31" t="s">
        <v>1143</v>
      </c>
      <c r="D378" s="30" t="s">
        <v>1120</v>
      </c>
      <c r="E378" s="30" t="s">
        <v>1268</v>
      </c>
      <c r="F378" s="30" t="s">
        <v>1258</v>
      </c>
      <c r="G378" s="75" t="s">
        <v>1</v>
      </c>
      <c r="H378" s="75" t="s">
        <v>1</v>
      </c>
      <c r="I378" s="75" t="s">
        <v>1</v>
      </c>
      <c r="J378" s="75" t="s">
        <v>1</v>
      </c>
      <c r="K378" s="75" t="s">
        <v>1</v>
      </c>
      <c r="L378" s="28" t="str">
        <f t="shared" si="398"/>
        <v>Redes</v>
      </c>
      <c r="M378" s="28" t="str">
        <f t="shared" si="399"/>
        <v>Redes Elétricas</v>
      </c>
      <c r="N378" s="28" t="str">
        <f t="shared" si="400"/>
        <v>Conexões de EE</v>
      </c>
      <c r="O378" s="28" t="str">
        <f t="shared" si="401"/>
        <v>Ponto de Entrega</v>
      </c>
      <c r="P378" s="29" t="s">
        <v>1266</v>
      </c>
      <c r="Q378" s="29" t="s">
        <v>1294</v>
      </c>
      <c r="R378" s="29" t="s">
        <v>1</v>
      </c>
      <c r="S378" s="29" t="str">
        <f t="shared" si="402"/>
        <v>Redes</v>
      </c>
      <c r="T378" s="29" t="str">
        <f t="shared" si="403"/>
        <v>Redes Elétricas</v>
      </c>
      <c r="U378" s="29" t="str">
        <f t="shared" si="404"/>
        <v>Conexões de EE</v>
      </c>
      <c r="V378" s="29" t="s">
        <v>1476</v>
      </c>
      <c r="W378" s="66" t="str">
        <f t="shared" si="340"/>
        <v>Key-BRMG-378</v>
      </c>
      <c r="X378" s="29" t="s">
        <v>1384</v>
      </c>
      <c r="Y378" s="41" t="s">
        <v>1437</v>
      </c>
      <c r="Z378" s="41" t="s">
        <v>1</v>
      </c>
      <c r="AA378" s="29" t="str">
        <f t="shared" si="345"/>
        <v>Consult NBR 5410 Standard. Point of connection of the electrical system of the electricity distribution company with the electrical installation of the consumer unit(s) and which delimits the responsibilities of the distributor, defined by the regulatory authority.</v>
      </c>
    </row>
    <row r="379" spans="1:27" ht="6.6" customHeight="1" x14ac:dyDescent="0.25">
      <c r="A379" s="73">
        <v>379</v>
      </c>
      <c r="B379" s="30" t="s">
        <v>1474</v>
      </c>
      <c r="C379" s="31" t="s">
        <v>1143</v>
      </c>
      <c r="D379" s="30" t="s">
        <v>1120</v>
      </c>
      <c r="E379" s="30" t="s">
        <v>1268</v>
      </c>
      <c r="F379" s="30" t="s">
        <v>1259</v>
      </c>
      <c r="G379" s="75" t="s">
        <v>1</v>
      </c>
      <c r="H379" s="75" t="s">
        <v>1</v>
      </c>
      <c r="I379" s="75" t="s">
        <v>1</v>
      </c>
      <c r="J379" s="75" t="s">
        <v>1</v>
      </c>
      <c r="K379" s="75" t="s">
        <v>1</v>
      </c>
      <c r="L379" s="28" t="str">
        <f t="shared" si="398"/>
        <v>Redes</v>
      </c>
      <c r="M379" s="28" t="str">
        <f t="shared" si="399"/>
        <v>Redes Elétricas</v>
      </c>
      <c r="N379" s="28" t="str">
        <f t="shared" si="400"/>
        <v>Conexões de EE</v>
      </c>
      <c r="O379" s="28" t="str">
        <f t="shared" si="401"/>
        <v>Ponto de Entrada</v>
      </c>
      <c r="P379" s="29" t="s">
        <v>1267</v>
      </c>
      <c r="Q379" s="29" t="s">
        <v>1295</v>
      </c>
      <c r="R379" s="29" t="s">
        <v>1</v>
      </c>
      <c r="S379" s="29" t="str">
        <f t="shared" si="402"/>
        <v>Redes</v>
      </c>
      <c r="T379" s="29" t="str">
        <f t="shared" si="403"/>
        <v>Redes Elétricas</v>
      </c>
      <c r="U379" s="29" t="str">
        <f t="shared" si="404"/>
        <v>Conexões de EE</v>
      </c>
      <c r="V379" s="29" t="s">
        <v>1476</v>
      </c>
      <c r="W379" s="66" t="str">
        <f t="shared" si="340"/>
        <v>Key-BRMG-379</v>
      </c>
      <c r="X379" s="29" t="s">
        <v>1384</v>
      </c>
      <c r="Y379" s="41" t="s">
        <v>1437</v>
      </c>
      <c r="Z379" s="41" t="s">
        <v>1</v>
      </c>
      <c r="AA379" s="29" t="str">
        <f t="shared" si="345"/>
        <v>Consult NBR 5410 Standard. Point at which an external line penetrates the building.</v>
      </c>
    </row>
    <row r="380" spans="1:27" ht="6.6" customHeight="1" x14ac:dyDescent="0.25">
      <c r="A380" s="73">
        <v>380</v>
      </c>
      <c r="B380" s="30" t="s">
        <v>1474</v>
      </c>
      <c r="C380" s="31" t="s">
        <v>1143</v>
      </c>
      <c r="D380" s="30" t="s">
        <v>1120</v>
      </c>
      <c r="E380" s="30" t="s">
        <v>1268</v>
      </c>
      <c r="F380" s="30" t="s">
        <v>1260</v>
      </c>
      <c r="G380" s="75" t="s">
        <v>1</v>
      </c>
      <c r="H380" s="75" t="s">
        <v>1</v>
      </c>
      <c r="I380" s="75" t="s">
        <v>1</v>
      </c>
      <c r="J380" s="75" t="s">
        <v>1</v>
      </c>
      <c r="K380" s="75" t="s">
        <v>1</v>
      </c>
      <c r="L380" s="28" t="str">
        <f t="shared" si="398"/>
        <v>Redes</v>
      </c>
      <c r="M380" s="28" t="str">
        <f t="shared" si="399"/>
        <v>Redes Elétricas</v>
      </c>
      <c r="N380" s="28" t="str">
        <f t="shared" si="400"/>
        <v>Conexões de EE</v>
      </c>
      <c r="O380" s="28" t="str">
        <f t="shared" si="401"/>
        <v>Esquema TN</v>
      </c>
      <c r="P380" s="29" t="s">
        <v>1263</v>
      </c>
      <c r="Q380" s="29" t="s">
        <v>1296</v>
      </c>
      <c r="R380" s="29" t="s">
        <v>1</v>
      </c>
      <c r="S380" s="29" t="str">
        <f t="shared" si="402"/>
        <v>Redes</v>
      </c>
      <c r="T380" s="29" t="str">
        <f t="shared" si="403"/>
        <v>Redes Elétricas</v>
      </c>
      <c r="U380" s="29" t="str">
        <f t="shared" si="404"/>
        <v>Conexões de EE</v>
      </c>
      <c r="V380" s="29" t="s">
        <v>1476</v>
      </c>
      <c r="W380" s="66" t="str">
        <f t="shared" si="340"/>
        <v>Key-BRMG-380</v>
      </c>
      <c r="X380" s="29" t="s">
        <v>1384</v>
      </c>
      <c r="Y380" s="41" t="s">
        <v>1437</v>
      </c>
      <c r="Z380" s="41" t="s">
        <v>1</v>
      </c>
      <c r="AA380" s="29" t="str">
        <f t="shared" si="345"/>
        <v>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v>
      </c>
    </row>
    <row r="381" spans="1:27" ht="6.6" customHeight="1" x14ac:dyDescent="0.25">
      <c r="A381" s="73">
        <v>381</v>
      </c>
      <c r="B381" s="30" t="s">
        <v>1474</v>
      </c>
      <c r="C381" s="31" t="s">
        <v>1143</v>
      </c>
      <c r="D381" s="30" t="s">
        <v>1120</v>
      </c>
      <c r="E381" s="30" t="s">
        <v>1268</v>
      </c>
      <c r="F381" s="30" t="s">
        <v>1261</v>
      </c>
      <c r="G381" s="75" t="s">
        <v>1</v>
      </c>
      <c r="H381" s="75" t="s">
        <v>1</v>
      </c>
      <c r="I381" s="75" t="s">
        <v>1</v>
      </c>
      <c r="J381" s="75" t="s">
        <v>1</v>
      </c>
      <c r="K381" s="75" t="s">
        <v>1</v>
      </c>
      <c r="L381" s="28" t="str">
        <f t="shared" si="398"/>
        <v>Redes</v>
      </c>
      <c r="M381" s="28" t="str">
        <f t="shared" si="399"/>
        <v>Redes Elétricas</v>
      </c>
      <c r="N381" s="28" t="str">
        <f t="shared" si="400"/>
        <v>Conexões de EE</v>
      </c>
      <c r="O381" s="28" t="str">
        <f t="shared" si="401"/>
        <v>Esquema TT</v>
      </c>
      <c r="P381" s="29" t="s">
        <v>1264</v>
      </c>
      <c r="Q381" s="29" t="s">
        <v>1297</v>
      </c>
      <c r="R381" s="29" t="s">
        <v>1</v>
      </c>
      <c r="S381" s="29" t="str">
        <f t="shared" si="402"/>
        <v>Redes</v>
      </c>
      <c r="T381" s="29" t="str">
        <f t="shared" si="403"/>
        <v>Redes Elétricas</v>
      </c>
      <c r="U381" s="29" t="str">
        <f t="shared" si="404"/>
        <v>Conexões de EE</v>
      </c>
      <c r="V381" s="29" t="s">
        <v>1476</v>
      </c>
      <c r="W381" s="66" t="str">
        <f t="shared" si="340"/>
        <v>Key-BRMG-381</v>
      </c>
      <c r="X381" s="29" t="s">
        <v>1384</v>
      </c>
      <c r="Y381" s="41" t="s">
        <v>1437</v>
      </c>
      <c r="Z381" s="41" t="s">
        <v>1</v>
      </c>
      <c r="AA381" s="29" t="str">
        <f t="shared" si="345"/>
        <v>Consult NBR 5410 Standard. Directly grounded supply point, with the installation grounds connected to grounding electrode(s) electrically distinct from the grounding electrode of the supply</v>
      </c>
    </row>
    <row r="382" spans="1:27" ht="6.6" customHeight="1" x14ac:dyDescent="0.25">
      <c r="A382" s="73">
        <v>382</v>
      </c>
      <c r="B382" s="30" t="s">
        <v>1474</v>
      </c>
      <c r="C382" s="31" t="s">
        <v>1143</v>
      </c>
      <c r="D382" s="30" t="s">
        <v>1120</v>
      </c>
      <c r="E382" s="30" t="s">
        <v>1268</v>
      </c>
      <c r="F382" s="30" t="s">
        <v>1262</v>
      </c>
      <c r="G382" s="75" t="s">
        <v>1</v>
      </c>
      <c r="H382" s="75" t="s">
        <v>1</v>
      </c>
      <c r="I382" s="75" t="s">
        <v>1</v>
      </c>
      <c r="J382" s="75" t="s">
        <v>1</v>
      </c>
      <c r="K382" s="75" t="s">
        <v>1</v>
      </c>
      <c r="L382" s="28" t="str">
        <f t="shared" si="373"/>
        <v>Redes</v>
      </c>
      <c r="M382" s="28" t="str">
        <f t="shared" si="373"/>
        <v>Redes Elétricas</v>
      </c>
      <c r="N382" s="28" t="str">
        <f t="shared" si="373"/>
        <v>Conexões de EE</v>
      </c>
      <c r="O382" s="28" t="str">
        <f t="shared" si="373"/>
        <v>Esquema TI</v>
      </c>
      <c r="P382" s="29" t="s">
        <v>1265</v>
      </c>
      <c r="Q382" s="29" t="s">
        <v>1298</v>
      </c>
      <c r="R382" s="29" t="s">
        <v>1</v>
      </c>
      <c r="S382" s="29" t="str">
        <f t="shared" si="374"/>
        <v>Redes</v>
      </c>
      <c r="T382" s="29" t="str">
        <f t="shared" si="375"/>
        <v>Redes Elétricas</v>
      </c>
      <c r="U382" s="29" t="str">
        <f t="shared" si="376"/>
        <v>Conexões de EE</v>
      </c>
      <c r="V382" s="29" t="s">
        <v>1476</v>
      </c>
      <c r="W382" s="66" t="str">
        <f t="shared" si="340"/>
        <v>Key-BRMG-382</v>
      </c>
      <c r="X382" s="29" t="s">
        <v>1384</v>
      </c>
      <c r="Y382" s="41" t="s">
        <v>1438</v>
      </c>
      <c r="Z382" s="41" t="s">
        <v>1</v>
      </c>
      <c r="AA382" s="29" t="str">
        <f t="shared" si="345"/>
        <v>Consult NBR 5410 Standard. All living parts are isolated from the earth or a feed point is grounded via impedance. The masses of the installation are grounded.</v>
      </c>
    </row>
    <row r="383" spans="1:27" ht="6.6" customHeight="1" x14ac:dyDescent="0.25">
      <c r="A383" s="73">
        <v>383</v>
      </c>
      <c r="B383" s="30" t="s">
        <v>1474</v>
      </c>
      <c r="C383" s="31" t="s">
        <v>1143</v>
      </c>
      <c r="D383" s="30" t="s">
        <v>1300</v>
      </c>
      <c r="E383" s="30" t="s">
        <v>1131</v>
      </c>
      <c r="F383" s="30" t="s">
        <v>1176</v>
      </c>
      <c r="G383" s="75" t="s">
        <v>1</v>
      </c>
      <c r="H383" s="75" t="s">
        <v>1</v>
      </c>
      <c r="I383" s="75" t="s">
        <v>1</v>
      </c>
      <c r="J383" s="75" t="s">
        <v>1</v>
      </c>
      <c r="K383" s="75" t="s">
        <v>1</v>
      </c>
      <c r="L383" s="28" t="str">
        <f t="shared" si="373"/>
        <v>Redes</v>
      </c>
      <c r="M383" s="28" t="str">
        <f t="shared" si="373"/>
        <v>Redes Iluminação</v>
      </c>
      <c r="N383" s="28" t="str">
        <f t="shared" si="373"/>
        <v>Redes de Iluminação</v>
      </c>
      <c r="O383" s="28" t="str">
        <f t="shared" si="373"/>
        <v>Rede Pública de Iluminação</v>
      </c>
      <c r="P383" s="29" t="s">
        <v>1132</v>
      </c>
      <c r="Q383" s="29" t="s">
        <v>1299</v>
      </c>
      <c r="R383" s="29" t="s">
        <v>1</v>
      </c>
      <c r="S383" s="29" t="str">
        <f t="shared" si="374"/>
        <v>Redes</v>
      </c>
      <c r="T383" s="29" t="str">
        <f t="shared" si="375"/>
        <v>Redes Iluminação</v>
      </c>
      <c r="U383" s="29" t="str">
        <f t="shared" si="376"/>
        <v>Redes de Iluminação</v>
      </c>
      <c r="V383" s="29" t="s">
        <v>1476</v>
      </c>
      <c r="W383" s="66" t="str">
        <f t="shared" si="340"/>
        <v>Key-BRMG-383</v>
      </c>
      <c r="X383" s="29" t="s">
        <v>1384</v>
      </c>
      <c r="Y383" s="41" t="s">
        <v>1439</v>
      </c>
      <c r="Z383" s="41" t="s">
        <v>1</v>
      </c>
      <c r="AA383" s="29" t="str">
        <f t="shared" si="345"/>
        <v>Urban public lighting electrical network.</v>
      </c>
    </row>
    <row r="384" spans="1:27" ht="6.6" customHeight="1" x14ac:dyDescent="0.25">
      <c r="A384" s="73">
        <v>384</v>
      </c>
      <c r="B384" s="30" t="s">
        <v>1474</v>
      </c>
      <c r="C384" s="31" t="s">
        <v>1143</v>
      </c>
      <c r="D384" s="30" t="s">
        <v>1300</v>
      </c>
      <c r="E384" s="30" t="s">
        <v>1131</v>
      </c>
      <c r="F384" s="30" t="s">
        <v>1177</v>
      </c>
      <c r="G384" s="75" t="s">
        <v>1</v>
      </c>
      <c r="H384" s="75" t="s">
        <v>1</v>
      </c>
      <c r="I384" s="75" t="s">
        <v>1</v>
      </c>
      <c r="J384" s="75" t="s">
        <v>1</v>
      </c>
      <c r="K384" s="75" t="s">
        <v>1</v>
      </c>
      <c r="L384" s="28" t="str">
        <f t="shared" si="373"/>
        <v>Redes</v>
      </c>
      <c r="M384" s="28" t="str">
        <f t="shared" si="373"/>
        <v>Redes Iluminação</v>
      </c>
      <c r="N384" s="28" t="str">
        <f t="shared" si="373"/>
        <v>Redes de Iluminação</v>
      </c>
      <c r="O384" s="28" t="str">
        <f t="shared" si="373"/>
        <v>Rede Pública de Sinalização</v>
      </c>
      <c r="P384" s="29" t="s">
        <v>1133</v>
      </c>
      <c r="Q384" s="29" t="s">
        <v>1134</v>
      </c>
      <c r="R384" s="29" t="s">
        <v>1</v>
      </c>
      <c r="S384" s="29" t="str">
        <f t="shared" si="374"/>
        <v>Redes</v>
      </c>
      <c r="T384" s="29" t="str">
        <f t="shared" si="375"/>
        <v>Redes Iluminação</v>
      </c>
      <c r="U384" s="29" t="str">
        <f t="shared" si="376"/>
        <v>Redes de Iluminação</v>
      </c>
      <c r="V384" s="29" t="s">
        <v>1476</v>
      </c>
      <c r="W384" s="66" t="str">
        <f t="shared" si="340"/>
        <v>Key-BRMG-384</v>
      </c>
      <c r="X384" s="29" t="s">
        <v>1384</v>
      </c>
      <c r="Y384" s="41" t="s">
        <v>1440</v>
      </c>
      <c r="Z384" s="41" t="s">
        <v>1</v>
      </c>
      <c r="AA384" s="29" t="str">
        <f t="shared" si="345"/>
        <v>Urban public signaling electrical network (traffic signals and totems).</v>
      </c>
    </row>
    <row r="385" spans="1:27" ht="6.6" customHeight="1" x14ac:dyDescent="0.25">
      <c r="A385" s="73">
        <v>385</v>
      </c>
      <c r="B385" s="30" t="s">
        <v>1474</v>
      </c>
      <c r="C385" s="31" t="s">
        <v>1143</v>
      </c>
      <c r="D385" s="30" t="s">
        <v>1164</v>
      </c>
      <c r="E385" s="30" t="s">
        <v>1173</v>
      </c>
      <c r="F385" s="30" t="s">
        <v>1165</v>
      </c>
      <c r="G385" s="75" t="s">
        <v>1</v>
      </c>
      <c r="H385" s="75" t="s">
        <v>1</v>
      </c>
      <c r="I385" s="75" t="s">
        <v>1</v>
      </c>
      <c r="J385" s="75" t="s">
        <v>1</v>
      </c>
      <c r="K385" s="75" t="s">
        <v>1</v>
      </c>
      <c r="L385" s="28" t="str">
        <f t="shared" ref="L385:L391" si="405">SUBSTITUTE(CONCATENATE("", C385), ".", " ")</f>
        <v>Redes</v>
      </c>
      <c r="M385" s="28" t="str">
        <f t="shared" ref="M385:M391" si="406">SUBSTITUTE(CONCATENATE("", D385), ".", " ")</f>
        <v>Redes de Telecom</v>
      </c>
      <c r="N385" s="28" t="str">
        <f t="shared" ref="N385:N391" si="407">SUBSTITUTE(CONCATENATE("", E385), ".", " ")</f>
        <v>Redes de Fibra Ótica</v>
      </c>
      <c r="O385" s="28" t="str">
        <f t="shared" ref="O385:O391" si="408">SUBSTITUTE(CONCATENATE("", F385), ".", " ")</f>
        <v>Rede Fibra Ótica Aérea</v>
      </c>
      <c r="P385" s="29" t="s">
        <v>1135</v>
      </c>
      <c r="Q385" s="29" t="s">
        <v>1223</v>
      </c>
      <c r="R385" s="29" t="s">
        <v>1</v>
      </c>
      <c r="S385" s="29" t="str">
        <f t="shared" ref="S385:S391" si="409">SUBSTITUTE(C385, ".", " ")</f>
        <v>Redes</v>
      </c>
      <c r="T385" s="29" t="str">
        <f t="shared" ref="T385:T391" si="410">SUBSTITUTE(D385, ".", " ")</f>
        <v>Redes de Telecom</v>
      </c>
      <c r="U385" s="29" t="str">
        <f t="shared" ref="U385:U391" si="411">SUBSTITUTE(E385, ".", " ")</f>
        <v>Redes de Fibra Ótica</v>
      </c>
      <c r="V385" s="29" t="s">
        <v>1476</v>
      </c>
      <c r="W385" s="66" t="str">
        <f t="shared" si="340"/>
        <v>Key-BRMG-385</v>
      </c>
      <c r="X385" s="29" t="s">
        <v>1384</v>
      </c>
      <c r="Y385" s="41" t="s">
        <v>1440</v>
      </c>
      <c r="Z385" s="41" t="s">
        <v>1</v>
      </c>
      <c r="AA385" s="29" t="str">
        <f t="shared" si="345"/>
        <v>Aerial Fiber Optic Network.</v>
      </c>
    </row>
    <row r="386" spans="1:27" ht="6.6" customHeight="1" x14ac:dyDescent="0.25">
      <c r="A386" s="73">
        <v>386</v>
      </c>
      <c r="B386" s="30" t="s">
        <v>1474</v>
      </c>
      <c r="C386" s="31" t="s">
        <v>1143</v>
      </c>
      <c r="D386" s="30" t="s">
        <v>1164</v>
      </c>
      <c r="E386" s="30" t="s">
        <v>1173</v>
      </c>
      <c r="F386" s="30" t="s">
        <v>1166</v>
      </c>
      <c r="G386" s="75" t="s">
        <v>1</v>
      </c>
      <c r="H386" s="75" t="s">
        <v>1</v>
      </c>
      <c r="I386" s="75" t="s">
        <v>1</v>
      </c>
      <c r="J386" s="75" t="s">
        <v>1</v>
      </c>
      <c r="K386" s="75" t="s">
        <v>1</v>
      </c>
      <c r="L386" s="28" t="str">
        <f t="shared" ref="L386" si="412">SUBSTITUTE(CONCATENATE("", C386), ".", " ")</f>
        <v>Redes</v>
      </c>
      <c r="M386" s="28" t="str">
        <f t="shared" ref="M386" si="413">SUBSTITUTE(CONCATENATE("", D386), ".", " ")</f>
        <v>Redes de Telecom</v>
      </c>
      <c r="N386" s="28" t="str">
        <f t="shared" ref="N386" si="414">SUBSTITUTE(CONCATENATE("", E386), ".", " ")</f>
        <v>Redes de Fibra Ótica</v>
      </c>
      <c r="O386" s="28" t="str">
        <f t="shared" ref="O386" si="415">SUBSTITUTE(CONCATENATE("", F386), ".", " ")</f>
        <v>Rede Fibra Ótica Subterrânea</v>
      </c>
      <c r="P386" s="29" t="s">
        <v>1140</v>
      </c>
      <c r="Q386" s="29" t="s">
        <v>1224</v>
      </c>
      <c r="R386" s="29" t="s">
        <v>1</v>
      </c>
      <c r="S386" s="29" t="str">
        <f t="shared" ref="S386" si="416">SUBSTITUTE(C386, ".", " ")</f>
        <v>Redes</v>
      </c>
      <c r="T386" s="29" t="str">
        <f t="shared" ref="T386" si="417">SUBSTITUTE(D386, ".", " ")</f>
        <v>Redes de Telecom</v>
      </c>
      <c r="U386" s="29" t="str">
        <f t="shared" ref="U386" si="418">SUBSTITUTE(E386, ".", " ")</f>
        <v>Redes de Fibra Ótica</v>
      </c>
      <c r="V386" s="29" t="s">
        <v>1476</v>
      </c>
      <c r="W386" s="66" t="str">
        <f t="shared" si="340"/>
        <v>Key-BRMG-386</v>
      </c>
      <c r="X386" s="29" t="s">
        <v>1384</v>
      </c>
      <c r="Y386" s="41" t="s">
        <v>1441</v>
      </c>
      <c r="Z386" s="41" t="s">
        <v>1</v>
      </c>
      <c r="AA386" s="29" t="str">
        <f t="shared" si="345"/>
        <v>Underground telephone network.</v>
      </c>
    </row>
    <row r="387" spans="1:27" ht="6.6" customHeight="1" x14ac:dyDescent="0.25">
      <c r="A387" s="73">
        <v>387</v>
      </c>
      <c r="B387" s="30" t="s">
        <v>1474</v>
      </c>
      <c r="C387" s="31" t="s">
        <v>1143</v>
      </c>
      <c r="D387" s="30" t="s">
        <v>1164</v>
      </c>
      <c r="E387" s="30" t="s">
        <v>1174</v>
      </c>
      <c r="F387" s="30" t="s">
        <v>1167</v>
      </c>
      <c r="G387" s="75" t="s">
        <v>1</v>
      </c>
      <c r="H387" s="75" t="s">
        <v>1</v>
      </c>
      <c r="I387" s="75" t="s">
        <v>1</v>
      </c>
      <c r="J387" s="75" t="s">
        <v>1</v>
      </c>
      <c r="K387" s="75" t="s">
        <v>1</v>
      </c>
      <c r="L387" s="28" t="str">
        <f t="shared" si="405"/>
        <v>Redes</v>
      </c>
      <c r="M387" s="28" t="str">
        <f t="shared" si="406"/>
        <v>Redes de Telecom</v>
      </c>
      <c r="N387" s="28" t="str">
        <f t="shared" si="407"/>
        <v>Redes de Dados</v>
      </c>
      <c r="O387" s="28" t="str">
        <f t="shared" si="408"/>
        <v>Rede de Dados Aérea</v>
      </c>
      <c r="P387" s="29" t="s">
        <v>1137</v>
      </c>
      <c r="Q387" s="29" t="s">
        <v>1225</v>
      </c>
      <c r="R387" s="29" t="s">
        <v>1</v>
      </c>
      <c r="S387" s="29" t="str">
        <f t="shared" si="409"/>
        <v>Redes</v>
      </c>
      <c r="T387" s="29" t="str">
        <f t="shared" si="410"/>
        <v>Redes de Telecom</v>
      </c>
      <c r="U387" s="29" t="str">
        <f t="shared" si="411"/>
        <v>Redes de Dados</v>
      </c>
      <c r="V387" s="29" t="s">
        <v>1476</v>
      </c>
      <c r="W387" s="66" t="str">
        <f t="shared" ref="W387:W393" si="419">CONCATENATE("Key-BRMG-",A387)</f>
        <v>Key-BRMG-387</v>
      </c>
      <c r="X387" s="29" t="s">
        <v>1384</v>
      </c>
      <c r="Y387" s="41" t="s">
        <v>1441</v>
      </c>
      <c r="Z387" s="41" t="s">
        <v>1</v>
      </c>
      <c r="AA387" s="29" t="str">
        <f t="shared" si="345"/>
        <v>Network data overhead logic.</v>
      </c>
    </row>
    <row r="388" spans="1:27" ht="6.6" customHeight="1" x14ac:dyDescent="0.25">
      <c r="A388" s="73">
        <v>388</v>
      </c>
      <c r="B388" s="30" t="s">
        <v>1474</v>
      </c>
      <c r="C388" s="31" t="s">
        <v>1143</v>
      </c>
      <c r="D388" s="30" t="s">
        <v>1164</v>
      </c>
      <c r="E388" s="30" t="s">
        <v>1174</v>
      </c>
      <c r="F388" s="30" t="s">
        <v>1168</v>
      </c>
      <c r="G388" s="75" t="s">
        <v>1</v>
      </c>
      <c r="H388" s="75" t="s">
        <v>1</v>
      </c>
      <c r="I388" s="75" t="s">
        <v>1</v>
      </c>
      <c r="J388" s="75" t="s">
        <v>1</v>
      </c>
      <c r="K388" s="75" t="s">
        <v>1</v>
      </c>
      <c r="L388" s="28" t="str">
        <f t="shared" ref="L388:L389" si="420">SUBSTITUTE(CONCATENATE("", C388), ".", " ")</f>
        <v>Redes</v>
      </c>
      <c r="M388" s="28" t="str">
        <f t="shared" ref="M388:M389" si="421">SUBSTITUTE(CONCATENATE("", D388), ".", " ")</f>
        <v>Redes de Telecom</v>
      </c>
      <c r="N388" s="28" t="str">
        <f t="shared" ref="N388:N389" si="422">SUBSTITUTE(CONCATENATE("", E388), ".", " ")</f>
        <v>Redes de Dados</v>
      </c>
      <c r="O388" s="28" t="str">
        <f t="shared" ref="O388:O389" si="423">SUBSTITUTE(CONCATENATE("", F388), ".", " ")</f>
        <v>Rede de Dados Subterrânea</v>
      </c>
      <c r="P388" s="29" t="s">
        <v>1141</v>
      </c>
      <c r="Q388" s="29" t="s">
        <v>1226</v>
      </c>
      <c r="R388" s="29" t="s">
        <v>1</v>
      </c>
      <c r="S388" s="29" t="str">
        <f t="shared" ref="S388:S389" si="424">SUBSTITUTE(C388, ".", " ")</f>
        <v>Redes</v>
      </c>
      <c r="T388" s="29" t="str">
        <f t="shared" ref="T388:T389" si="425">SUBSTITUTE(D388, ".", " ")</f>
        <v>Redes de Telecom</v>
      </c>
      <c r="U388" s="29" t="str">
        <f t="shared" ref="U388:U389" si="426">SUBSTITUTE(E388, ".", " ")</f>
        <v>Redes de Dados</v>
      </c>
      <c r="V388" s="29" t="s">
        <v>1476</v>
      </c>
      <c r="W388" s="66" t="str">
        <f t="shared" si="419"/>
        <v>Key-BRMG-388</v>
      </c>
      <c r="X388" s="29" t="s">
        <v>1384</v>
      </c>
      <c r="Y388" s="41" t="s">
        <v>1442</v>
      </c>
      <c r="Z388" s="41" t="s">
        <v>1</v>
      </c>
      <c r="AA388" s="29" t="str">
        <f t="shared" si="345"/>
        <v>Network data underground logic.</v>
      </c>
    </row>
    <row r="389" spans="1:27" ht="6.6" customHeight="1" x14ac:dyDescent="0.25">
      <c r="A389" s="73">
        <v>389</v>
      </c>
      <c r="B389" s="30" t="s">
        <v>1474</v>
      </c>
      <c r="C389" s="31" t="s">
        <v>1143</v>
      </c>
      <c r="D389" s="30" t="s">
        <v>1164</v>
      </c>
      <c r="E389" s="30" t="s">
        <v>1174</v>
      </c>
      <c r="F389" s="30" t="s">
        <v>1242</v>
      </c>
      <c r="G389" s="75" t="s">
        <v>1</v>
      </c>
      <c r="H389" s="75" t="s">
        <v>1</v>
      </c>
      <c r="I389" s="75" t="s">
        <v>1</v>
      </c>
      <c r="J389" s="75" t="s">
        <v>1</v>
      </c>
      <c r="K389" s="75" t="s">
        <v>1</v>
      </c>
      <c r="L389" s="28" t="str">
        <f t="shared" si="420"/>
        <v>Redes</v>
      </c>
      <c r="M389" s="28" t="str">
        <f t="shared" si="421"/>
        <v>Redes de Telecom</v>
      </c>
      <c r="N389" s="28" t="str">
        <f t="shared" si="422"/>
        <v>Redes de Dados</v>
      </c>
      <c r="O389" s="28" t="str">
        <f t="shared" si="423"/>
        <v>Rede de Dados Ponto de Acesso</v>
      </c>
      <c r="P389" s="29" t="s">
        <v>1139</v>
      </c>
      <c r="Q389" s="29" t="s">
        <v>1229</v>
      </c>
      <c r="R389" s="29" t="s">
        <v>1</v>
      </c>
      <c r="S389" s="29" t="str">
        <f t="shared" si="424"/>
        <v>Redes</v>
      </c>
      <c r="T389" s="29" t="str">
        <f t="shared" si="425"/>
        <v>Redes de Telecom</v>
      </c>
      <c r="U389" s="29" t="str">
        <f t="shared" si="426"/>
        <v>Redes de Dados</v>
      </c>
      <c r="V389" s="29" t="s">
        <v>1476</v>
      </c>
      <c r="W389" s="66" t="str">
        <f t="shared" si="419"/>
        <v>Key-BRMG-389</v>
      </c>
      <c r="X389" s="29" t="s">
        <v>1384</v>
      </c>
      <c r="Y389" s="41" t="s">
        <v>1443</v>
      </c>
      <c r="Z389" s="41" t="s">
        <v>1</v>
      </c>
      <c r="AA389" s="29" t="str">
        <f t="shared" si="345"/>
        <v>Aerial Mobile Internet Network.</v>
      </c>
    </row>
    <row r="390" spans="1:27" ht="6.6" customHeight="1" x14ac:dyDescent="0.25">
      <c r="A390" s="73">
        <v>390</v>
      </c>
      <c r="B390" s="30" t="s">
        <v>1474</v>
      </c>
      <c r="C390" s="31" t="s">
        <v>1143</v>
      </c>
      <c r="D390" s="30" t="s">
        <v>1164</v>
      </c>
      <c r="E390" s="30" t="s">
        <v>1241</v>
      </c>
      <c r="F390" s="30" t="s">
        <v>1169</v>
      </c>
      <c r="G390" s="75" t="s">
        <v>1</v>
      </c>
      <c r="H390" s="75" t="s">
        <v>1</v>
      </c>
      <c r="I390" s="75" t="s">
        <v>1</v>
      </c>
      <c r="J390" s="75" t="s">
        <v>1</v>
      </c>
      <c r="K390" s="75" t="s">
        <v>1</v>
      </c>
      <c r="L390" s="28" t="str">
        <f t="shared" si="405"/>
        <v>Redes</v>
      </c>
      <c r="M390" s="28" t="str">
        <f t="shared" si="406"/>
        <v>Redes de Telecom</v>
      </c>
      <c r="N390" s="28" t="str">
        <f t="shared" si="407"/>
        <v>Redes de Net</v>
      </c>
      <c r="O390" s="28" t="str">
        <f t="shared" si="408"/>
        <v>Rede Net Fixa Aerea</v>
      </c>
      <c r="P390" s="29" t="s">
        <v>1138</v>
      </c>
      <c r="Q390" s="29" t="s">
        <v>1227</v>
      </c>
      <c r="R390" s="29" t="s">
        <v>1</v>
      </c>
      <c r="S390" s="29" t="str">
        <f t="shared" si="409"/>
        <v>Redes</v>
      </c>
      <c r="T390" s="29" t="str">
        <f t="shared" si="410"/>
        <v>Redes de Telecom</v>
      </c>
      <c r="U390" s="29" t="str">
        <f t="shared" si="411"/>
        <v>Redes de Net</v>
      </c>
      <c r="V390" s="29" t="s">
        <v>1476</v>
      </c>
      <c r="W390" s="66" t="str">
        <f t="shared" si="419"/>
        <v>Key-BRMG-390</v>
      </c>
      <c r="X390" s="29" t="s">
        <v>1384</v>
      </c>
      <c r="Y390" s="41" t="s">
        <v>1443</v>
      </c>
      <c r="Z390" s="41" t="s">
        <v>1</v>
      </c>
      <c r="AA390" s="29" t="str">
        <f t="shared" si="345"/>
        <v>Aerial Fixed Internet Network.</v>
      </c>
    </row>
    <row r="391" spans="1:27" ht="6.6" customHeight="1" x14ac:dyDescent="0.25">
      <c r="A391" s="73">
        <v>391</v>
      </c>
      <c r="B391" s="30" t="s">
        <v>1474</v>
      </c>
      <c r="C391" s="31" t="s">
        <v>1143</v>
      </c>
      <c r="D391" s="30" t="s">
        <v>1164</v>
      </c>
      <c r="E391" s="30" t="s">
        <v>1241</v>
      </c>
      <c r="F391" s="30" t="s">
        <v>1170</v>
      </c>
      <c r="G391" s="75" t="s">
        <v>1</v>
      </c>
      <c r="H391" s="75" t="s">
        <v>1</v>
      </c>
      <c r="I391" s="75" t="s">
        <v>1</v>
      </c>
      <c r="J391" s="75" t="s">
        <v>1</v>
      </c>
      <c r="K391" s="75" t="s">
        <v>1</v>
      </c>
      <c r="L391" s="28" t="str">
        <f t="shared" si="405"/>
        <v>Redes</v>
      </c>
      <c r="M391" s="28" t="str">
        <f t="shared" si="406"/>
        <v>Redes de Telecom</v>
      </c>
      <c r="N391" s="28" t="str">
        <f t="shared" si="407"/>
        <v>Redes de Net</v>
      </c>
      <c r="O391" s="28" t="str">
        <f t="shared" si="408"/>
        <v>Rede Net Fixa Subterrânea</v>
      </c>
      <c r="P391" s="29" t="s">
        <v>1142</v>
      </c>
      <c r="Q391" s="29" t="s">
        <v>1228</v>
      </c>
      <c r="R391" s="29" t="s">
        <v>1</v>
      </c>
      <c r="S391" s="29" t="str">
        <f t="shared" si="409"/>
        <v>Redes</v>
      </c>
      <c r="T391" s="29" t="str">
        <f t="shared" si="410"/>
        <v>Redes de Telecom</v>
      </c>
      <c r="U391" s="29" t="str">
        <f t="shared" si="411"/>
        <v>Redes de Net</v>
      </c>
      <c r="V391" s="29" t="s">
        <v>1476</v>
      </c>
      <c r="W391" s="66" t="str">
        <f t="shared" si="419"/>
        <v>Key-BRMG-391</v>
      </c>
      <c r="X391" s="29" t="s">
        <v>1384</v>
      </c>
      <c r="Y391" s="41" t="s">
        <v>1440</v>
      </c>
      <c r="Z391" s="41" t="s">
        <v>1</v>
      </c>
      <c r="AA391" s="29" t="str">
        <f t="shared" si="345"/>
        <v>Underground Fixed Internet Network.</v>
      </c>
    </row>
    <row r="392" spans="1:27" ht="6.6" customHeight="1" x14ac:dyDescent="0.25">
      <c r="A392" s="73">
        <v>392</v>
      </c>
      <c r="B392" s="30" t="s">
        <v>1474</v>
      </c>
      <c r="C392" s="31" t="s">
        <v>1143</v>
      </c>
      <c r="D392" s="30" t="s">
        <v>1164</v>
      </c>
      <c r="E392" s="30" t="s">
        <v>1175</v>
      </c>
      <c r="F392" s="30" t="s">
        <v>1171</v>
      </c>
      <c r="G392" s="75" t="s">
        <v>1</v>
      </c>
      <c r="H392" s="75" t="s">
        <v>1</v>
      </c>
      <c r="I392" s="75" t="s">
        <v>1</v>
      </c>
      <c r="J392" s="75" t="s">
        <v>1</v>
      </c>
      <c r="K392" s="75" t="s">
        <v>1</v>
      </c>
      <c r="L392" s="28" t="str">
        <f t="shared" ref="L392" si="427">SUBSTITUTE(CONCATENATE("", C392), ".", " ")</f>
        <v>Redes</v>
      </c>
      <c r="M392" s="28" t="str">
        <f t="shared" ref="M392" si="428">SUBSTITUTE(CONCATENATE("", D392), ".", " ")</f>
        <v>Redes de Telecom</v>
      </c>
      <c r="N392" s="28" t="str">
        <f t="shared" ref="N392" si="429">SUBSTITUTE(CONCATENATE("", E392), ".", " ")</f>
        <v>Redes de Telefonia</v>
      </c>
      <c r="O392" s="28" t="str">
        <f t="shared" ref="O392" si="430">SUBSTITUTE(CONCATENATE("", F392), ".", " ")</f>
        <v>Rede Telefonia Aerea</v>
      </c>
      <c r="P392" s="29" t="s">
        <v>1136</v>
      </c>
      <c r="Q392" s="29" t="s">
        <v>1230</v>
      </c>
      <c r="R392" s="29" t="s">
        <v>1</v>
      </c>
      <c r="S392" s="29" t="str">
        <f t="shared" ref="S392" si="431">SUBSTITUTE(C392, ".", " ")</f>
        <v>Redes</v>
      </c>
      <c r="T392" s="29" t="str">
        <f t="shared" ref="T392" si="432">SUBSTITUTE(D392, ".", " ")</f>
        <v>Redes de Telecom</v>
      </c>
      <c r="U392" s="29" t="str">
        <f t="shared" ref="U392" si="433">SUBSTITUTE(E392, ".", " ")</f>
        <v>Redes de Telefonia</v>
      </c>
      <c r="V392" s="29" t="s">
        <v>1476</v>
      </c>
      <c r="W392" s="66" t="str">
        <f t="shared" si="419"/>
        <v>Key-BRMG-392</v>
      </c>
      <c r="X392" s="29" t="s">
        <v>1384</v>
      </c>
      <c r="Y392" s="41" t="s">
        <v>1440</v>
      </c>
      <c r="Z392" s="41" t="s">
        <v>1</v>
      </c>
      <c r="AA392" s="29" t="str">
        <f t="shared" si="345"/>
        <v>Air telephone network.</v>
      </c>
    </row>
    <row r="393" spans="1:27" ht="6.6" customHeight="1" x14ac:dyDescent="0.25">
      <c r="A393" s="73">
        <v>393</v>
      </c>
      <c r="B393" s="30" t="s">
        <v>1474</v>
      </c>
      <c r="C393" s="31" t="s">
        <v>1143</v>
      </c>
      <c r="D393" s="30" t="s">
        <v>1164</v>
      </c>
      <c r="E393" s="30" t="s">
        <v>1175</v>
      </c>
      <c r="F393" s="30" t="s">
        <v>1172</v>
      </c>
      <c r="G393" s="75" t="s">
        <v>1</v>
      </c>
      <c r="H393" s="75" t="s">
        <v>1</v>
      </c>
      <c r="I393" s="75" t="s">
        <v>1</v>
      </c>
      <c r="J393" s="75" t="s">
        <v>1</v>
      </c>
      <c r="K393" s="75" t="s">
        <v>1</v>
      </c>
      <c r="L393" s="28" t="str">
        <f t="shared" ref="L393" si="434">SUBSTITUTE(CONCATENATE("", C393), ".", " ")</f>
        <v>Redes</v>
      </c>
      <c r="M393" s="28" t="str">
        <f t="shared" ref="M393" si="435">SUBSTITUTE(CONCATENATE("", D393), ".", " ")</f>
        <v>Redes de Telecom</v>
      </c>
      <c r="N393" s="28" t="str">
        <f t="shared" ref="N393" si="436">SUBSTITUTE(CONCATENATE("", E393), ".", " ")</f>
        <v>Redes de Telefonia</v>
      </c>
      <c r="O393" s="28" t="str">
        <f t="shared" ref="O393" si="437">SUBSTITUTE(CONCATENATE("", F393), ".", " ")</f>
        <v>Rede Telefonia Subterrânea</v>
      </c>
      <c r="P393" s="29" t="s">
        <v>1140</v>
      </c>
      <c r="Q393" s="29" t="s">
        <v>1224</v>
      </c>
      <c r="R393" s="29" t="s">
        <v>1</v>
      </c>
      <c r="S393" s="29" t="str">
        <f t="shared" ref="S393" si="438">SUBSTITUTE(C393, ".", " ")</f>
        <v>Redes</v>
      </c>
      <c r="T393" s="29" t="str">
        <f t="shared" ref="T393" si="439">SUBSTITUTE(D393, ".", " ")</f>
        <v>Redes de Telecom</v>
      </c>
      <c r="U393" s="29" t="str">
        <f t="shared" ref="U393" si="440">SUBSTITUTE(E393, ".", " ")</f>
        <v>Redes de Telefonia</v>
      </c>
      <c r="V393" s="29" t="s">
        <v>1476</v>
      </c>
      <c r="W393" s="66" t="str">
        <f t="shared" si="419"/>
        <v>Key-BRMG-393</v>
      </c>
      <c r="X393" s="29" t="s">
        <v>1384</v>
      </c>
      <c r="Y393" s="41" t="s">
        <v>1444</v>
      </c>
      <c r="Z393" s="41" t="s">
        <v>1</v>
      </c>
      <c r="AA393" s="29" t="str">
        <f t="shared" ref="AA393" si="441">_xlfn.TRANSLATE(P393,"pt","en")</f>
        <v>Underground telephone network.</v>
      </c>
    </row>
  </sheetData>
  <phoneticPr fontId="1" type="noConversion"/>
  <conditionalFormatting sqref="F1 F14:F31 F349:F357 F394:F1048576 A1:D1 L1:Q1 S1:W1 AB1:XFD1 L14:Q18 S14:U30 AB14:XFD31 L19:O21 Q19:Q21 L22:Q31 C14:D42 S31:T31 U31:U42 O32:O42 L349:P357 C358:C393 A394:D1048576 L394:Q1048576 S394:W1048576 AA394:XFD1048576">
    <cfRule type="cellIs" dxfId="74" priority="385" operator="equal">
      <formula>"null"</formula>
    </cfRule>
  </conditionalFormatting>
  <conditionalFormatting sqref="F1">
    <cfRule type="duplicateValues" dxfId="73" priority="1423"/>
  </conditionalFormatting>
  <conditionalFormatting sqref="F7:F13">
    <cfRule type="duplicateValues" dxfId="68" priority="26"/>
    <cfRule type="duplicateValues" dxfId="67" priority="27"/>
  </conditionalFormatting>
  <conditionalFormatting sqref="F32:F33">
    <cfRule type="duplicateValues" dxfId="66" priority="95"/>
    <cfRule type="duplicateValues" dxfId="65" priority="96"/>
  </conditionalFormatting>
  <conditionalFormatting sqref="F32:F42">
    <cfRule type="duplicateValues" dxfId="64" priority="962"/>
  </conditionalFormatting>
  <conditionalFormatting sqref="F34:F42">
    <cfRule type="duplicateValues" dxfId="63" priority="964"/>
    <cfRule type="duplicateValues" dxfId="62" priority="965"/>
    <cfRule type="duplicateValues" dxfId="61" priority="966"/>
    <cfRule type="duplicateValues" dxfId="60" priority="967"/>
  </conditionalFormatting>
  <conditionalFormatting sqref="F43:F100 F14:F31">
    <cfRule type="duplicateValues" dxfId="59" priority="1315"/>
  </conditionalFormatting>
  <conditionalFormatting sqref="F43:F348 L43:Q348 C43:D357 AB43:XFD357 S43:U393">
    <cfRule type="cellIs" dxfId="58" priority="28" operator="equal">
      <formula>"null"</formula>
    </cfRule>
  </conditionalFormatting>
  <conditionalFormatting sqref="F101:F110">
    <cfRule type="duplicateValues" dxfId="57" priority="47"/>
    <cfRule type="duplicateValues" dxfId="56" priority="48"/>
  </conditionalFormatting>
  <conditionalFormatting sqref="F118:F121">
    <cfRule type="duplicateValues" dxfId="55" priority="34"/>
    <cfRule type="duplicateValues" dxfId="54" priority="35"/>
  </conditionalFormatting>
  <conditionalFormatting sqref="F145:F163">
    <cfRule type="duplicateValues" dxfId="53" priority="50"/>
  </conditionalFormatting>
  <conditionalFormatting sqref="F145:F179">
    <cfRule type="duplicateValues" dxfId="52" priority="51"/>
  </conditionalFormatting>
  <conditionalFormatting sqref="F164:F179">
    <cfRule type="duplicateValues" dxfId="51" priority="49"/>
  </conditionalFormatting>
  <conditionalFormatting sqref="F180:F189">
    <cfRule type="duplicateValues" dxfId="50" priority="63"/>
  </conditionalFormatting>
  <conditionalFormatting sqref="F190:F211 F111:F117 F122:F144">
    <cfRule type="duplicateValues" dxfId="49" priority="1251"/>
  </conditionalFormatting>
  <conditionalFormatting sqref="F212:F217">
    <cfRule type="duplicateValues" dxfId="48" priority="579"/>
  </conditionalFormatting>
  <conditionalFormatting sqref="F287:F295">
    <cfRule type="duplicateValues" dxfId="47" priority="777"/>
  </conditionalFormatting>
  <conditionalFormatting sqref="F287:F357">
    <cfRule type="duplicateValues" dxfId="46" priority="1629"/>
  </conditionalFormatting>
  <conditionalFormatting sqref="F296">
    <cfRule type="duplicateValues" dxfId="45" priority="360"/>
  </conditionalFormatting>
  <conditionalFormatting sqref="F297">
    <cfRule type="duplicateValues" dxfId="44" priority="454"/>
    <cfRule type="duplicateValues" dxfId="43" priority="455"/>
    <cfRule type="duplicateValues" dxfId="42" priority="456"/>
    <cfRule type="duplicateValues" dxfId="41" priority="457"/>
    <cfRule type="duplicateValues" dxfId="40" priority="458"/>
    <cfRule type="duplicateValues" dxfId="39" priority="459"/>
    <cfRule type="duplicateValues" dxfId="38" priority="460"/>
  </conditionalFormatting>
  <conditionalFormatting sqref="F298:F304">
    <cfRule type="duplicateValues" dxfId="37" priority="748"/>
  </conditionalFormatting>
  <conditionalFormatting sqref="F320:F324 F305:F311 F316:F317">
    <cfRule type="duplicateValues" dxfId="36" priority="462"/>
  </conditionalFormatting>
  <conditionalFormatting sqref="F338">
    <cfRule type="duplicateValues" dxfId="35" priority="32"/>
  </conditionalFormatting>
  <conditionalFormatting sqref="F358:F384">
    <cfRule type="duplicateValues" dxfId="34" priority="1588"/>
    <cfRule type="duplicateValues" dxfId="33" priority="1589"/>
  </conditionalFormatting>
  <conditionalFormatting sqref="F385:F393">
    <cfRule type="duplicateValues" dxfId="32" priority="1663"/>
    <cfRule type="duplicateValues" dxfId="31" priority="1664"/>
  </conditionalFormatting>
  <conditionalFormatting sqref="F394:F1048576 F1 F14:F357">
    <cfRule type="duplicateValues" dxfId="30" priority="88"/>
    <cfRule type="duplicateValues" dxfId="29" priority="89"/>
  </conditionalFormatting>
  <conditionalFormatting sqref="F394:F1048576 F1 F43:F357 F14:F31">
    <cfRule type="duplicateValues" dxfId="28" priority="902"/>
    <cfRule type="duplicateValues" dxfId="27" priority="921"/>
  </conditionalFormatting>
  <conditionalFormatting sqref="F394:F1048576 F1 F101:F117 F122:F144 F190:F286">
    <cfRule type="duplicateValues" dxfId="26" priority="917"/>
  </conditionalFormatting>
  <conditionalFormatting sqref="F394:F1048576 F1 F101:F179 F190:F357">
    <cfRule type="duplicateValues" dxfId="25" priority="905"/>
  </conditionalFormatting>
  <conditionalFormatting sqref="F394:F1048576 F1 F190:F217 F111:F117 F122:F144">
    <cfRule type="duplicateValues" dxfId="24" priority="909"/>
  </conditionalFormatting>
  <conditionalFormatting sqref="F394:F1048576 F1 F190:F240 F101:F117 F122:F144">
    <cfRule type="duplicateValues" dxfId="23" priority="913"/>
  </conditionalFormatting>
  <conditionalFormatting sqref="AA1 AA7:AA393">
    <cfRule type="cellIs" dxfId="22" priority="13" operator="equal">
      <formula>"null"</formula>
    </cfRule>
  </conditionalFormatting>
  <conditionalFormatting sqref="A2:B393">
    <cfRule type="cellIs" dxfId="21" priority="6" operator="equal">
      <formula>"null"</formula>
    </cfRule>
  </conditionalFormatting>
  <conditionalFormatting sqref="F3:F6">
    <cfRule type="duplicateValues" dxfId="20" priority="1"/>
    <cfRule type="duplicateValues" dxfId="19" priority="2"/>
    <cfRule type="duplicateValues" dxfId="18" priority="3"/>
    <cfRule type="duplicateValues" dxfId="17" priority="4"/>
  </conditionalFormatting>
  <conditionalFormatting sqref="V2:V393">
    <cfRule type="cellIs" dxfId="16" priority="7" operator="equal">
      <formula>"null"</formula>
    </cfRule>
  </conditionalFormatting>
  <conditionalFormatting sqref="AA2:AA6">
    <cfRule type="cellIs" dxfId="15" priority="5" operator="equal">
      <formula>"null"</formula>
    </cfRule>
  </conditionalFormatting>
  <pageMargins left="0.511811024" right="0.511811024" top="0.78740157499999996" bottom="0.78740157499999996" header="0.31496062000000002" footer="0.31496062000000002"/>
  <ignoredErrors>
    <ignoredError sqref="K25"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40625" defaultRowHeight="7.9" customHeight="1" x14ac:dyDescent="0.15"/>
  <cols>
    <col min="1" max="1" width="2.5703125" style="1" bestFit="1" customWidth="1"/>
    <col min="2" max="10" width="6" style="2" bestFit="1" customWidth="1"/>
    <col min="11" max="21" width="6" style="5" bestFit="1" customWidth="1"/>
    <col min="22" max="16384" width="11.140625" style="5"/>
  </cols>
  <sheetData>
    <row r="1" spans="1:21" s="3" customFormat="1" ht="49.5" customHeight="1" x14ac:dyDescent="0.15">
      <c r="A1" s="23" t="s">
        <v>22</v>
      </c>
      <c r="B1" s="24" t="s">
        <v>2</v>
      </c>
      <c r="C1" s="24" t="s">
        <v>3</v>
      </c>
      <c r="D1" s="24" t="s">
        <v>4</v>
      </c>
      <c r="E1" s="24" t="s">
        <v>5</v>
      </c>
      <c r="F1" s="24" t="s">
        <v>6</v>
      </c>
      <c r="G1" s="24" t="s">
        <v>7</v>
      </c>
      <c r="H1" s="24" t="s">
        <v>8</v>
      </c>
      <c r="I1" s="24" t="s">
        <v>9</v>
      </c>
      <c r="J1" s="24" t="s">
        <v>10</v>
      </c>
      <c r="K1" s="24" t="s">
        <v>11</v>
      </c>
      <c r="L1" s="24" t="s">
        <v>12</v>
      </c>
      <c r="M1" s="24" t="s">
        <v>13</v>
      </c>
      <c r="N1" s="24" t="s">
        <v>14</v>
      </c>
      <c r="O1" s="24" t="s">
        <v>15</v>
      </c>
      <c r="P1" s="24" t="s">
        <v>16</v>
      </c>
      <c r="Q1" s="24" t="s">
        <v>17</v>
      </c>
      <c r="R1" s="24" t="s">
        <v>18</v>
      </c>
      <c r="S1" s="24" t="s">
        <v>19</v>
      </c>
      <c r="T1" s="24" t="s">
        <v>20</v>
      </c>
      <c r="U1" s="24" t="s">
        <v>21</v>
      </c>
    </row>
    <row r="2" spans="1:21" ht="9" customHeight="1" x14ac:dyDescent="0.15">
      <c r="A2" s="23">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15">
      <c r="A3" s="23">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14"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13"/>
  <sheetViews>
    <sheetView zoomScale="295" zoomScaleNormal="295" workbookViewId="0">
      <pane ySplit="1" topLeftCell="A2" activePane="bottomLeft" state="frozen"/>
      <selection activeCell="C18" sqref="C18"/>
      <selection pane="bottomLeft" activeCell="D15" sqref="D15"/>
    </sheetView>
  </sheetViews>
  <sheetFormatPr defaultColWidth="9.140625" defaultRowHeight="6" customHeight="1" x14ac:dyDescent="0.25"/>
  <cols>
    <col min="1" max="1" width="2.7109375" bestFit="1" customWidth="1"/>
    <col min="2" max="2" width="10.5703125" bestFit="1" customWidth="1"/>
    <col min="3" max="3" width="7.85546875" bestFit="1" customWidth="1"/>
  </cols>
  <sheetData>
    <row r="1" spans="1:4" ht="12.6" customHeight="1" x14ac:dyDescent="0.25">
      <c r="A1" s="21">
        <v>1</v>
      </c>
      <c r="B1" s="22" t="s">
        <v>76</v>
      </c>
      <c r="C1" s="22" t="s">
        <v>77</v>
      </c>
      <c r="D1" s="22" t="s">
        <v>77</v>
      </c>
    </row>
    <row r="2" spans="1:4" s="43" customFormat="1" ht="6" customHeight="1" x14ac:dyDescent="0.15">
      <c r="A2" s="13">
        <v>2</v>
      </c>
      <c r="B2" s="58" t="s">
        <v>670</v>
      </c>
      <c r="C2" s="59" t="s">
        <v>668</v>
      </c>
      <c r="D2" s="59" t="s">
        <v>1</v>
      </c>
    </row>
    <row r="3" spans="1:4" s="43" customFormat="1" ht="6" customHeight="1" x14ac:dyDescent="0.15">
      <c r="A3" s="13">
        <v>3</v>
      </c>
      <c r="B3" s="58" t="s">
        <v>624</v>
      </c>
      <c r="C3" s="59" t="s">
        <v>625</v>
      </c>
      <c r="D3" s="59" t="s">
        <v>1</v>
      </c>
    </row>
    <row r="4" spans="1:4" s="43" customFormat="1" ht="6" customHeight="1" x14ac:dyDescent="0.15">
      <c r="A4" s="13">
        <v>4</v>
      </c>
      <c r="B4" s="58" t="s">
        <v>629</v>
      </c>
      <c r="C4" s="59" t="s">
        <v>630</v>
      </c>
      <c r="D4" s="59" t="s">
        <v>632</v>
      </c>
    </row>
    <row r="5" spans="1:4" s="43" customFormat="1" ht="6" customHeight="1" x14ac:dyDescent="0.15">
      <c r="A5" s="13">
        <v>5</v>
      </c>
      <c r="B5" s="58" t="s">
        <v>58</v>
      </c>
      <c r="C5" s="35" t="s">
        <v>636</v>
      </c>
      <c r="D5" s="35" t="s">
        <v>637</v>
      </c>
    </row>
    <row r="6" spans="1:4" s="43" customFormat="1" ht="6" customHeight="1" x14ac:dyDescent="0.15">
      <c r="A6" s="13">
        <v>6</v>
      </c>
      <c r="B6" s="58" t="s">
        <v>639</v>
      </c>
      <c r="C6" s="35" t="s">
        <v>641</v>
      </c>
      <c r="D6" s="59" t="s">
        <v>1</v>
      </c>
    </row>
    <row r="7" spans="1:4" ht="6" customHeight="1" x14ac:dyDescent="0.25">
      <c r="A7" s="13">
        <v>7</v>
      </c>
      <c r="B7" s="58" t="s">
        <v>541</v>
      </c>
      <c r="C7" s="59" t="s">
        <v>558</v>
      </c>
      <c r="D7" s="59" t="s">
        <v>1</v>
      </c>
    </row>
    <row r="8" spans="1:4" ht="6" customHeight="1" x14ac:dyDescent="0.25">
      <c r="A8" s="13">
        <v>8</v>
      </c>
      <c r="B8" s="60" t="s">
        <v>816</v>
      </c>
      <c r="C8" s="30" t="s">
        <v>153</v>
      </c>
      <c r="D8" s="59" t="s">
        <v>1</v>
      </c>
    </row>
    <row r="9" spans="1:4" ht="6" customHeight="1" x14ac:dyDescent="0.25">
      <c r="A9" s="13">
        <v>9</v>
      </c>
      <c r="B9" s="60" t="s">
        <v>950</v>
      </c>
      <c r="C9" s="30" t="s">
        <v>804</v>
      </c>
      <c r="D9" s="59" t="s">
        <v>1</v>
      </c>
    </row>
    <row r="10" spans="1:4" ht="6" customHeight="1" x14ac:dyDescent="0.25">
      <c r="A10" s="13">
        <v>10</v>
      </c>
      <c r="B10" s="60" t="s">
        <v>958</v>
      </c>
      <c r="C10" s="30" t="s">
        <v>957</v>
      </c>
      <c r="D10" s="59" t="s">
        <v>1</v>
      </c>
    </row>
    <row r="11" spans="1:4" ht="6" customHeight="1" x14ac:dyDescent="0.25">
      <c r="A11" s="13">
        <v>11</v>
      </c>
      <c r="B11" s="60" t="s">
        <v>956</v>
      </c>
      <c r="C11" s="30" t="s">
        <v>955</v>
      </c>
      <c r="D11" s="59" t="s">
        <v>1</v>
      </c>
    </row>
    <row r="12" spans="1:4" ht="6" customHeight="1" x14ac:dyDescent="0.25">
      <c r="A12" s="13">
        <v>12</v>
      </c>
      <c r="B12" s="60" t="s">
        <v>941</v>
      </c>
      <c r="C12" s="30" t="s">
        <v>975</v>
      </c>
      <c r="D12" s="59" t="s">
        <v>976</v>
      </c>
    </row>
    <row r="13" spans="1:4" ht="6" customHeight="1" x14ac:dyDescent="0.25">
      <c r="A13" s="13">
        <v>13</v>
      </c>
      <c r="B13" s="60" t="s">
        <v>979</v>
      </c>
      <c r="C13" s="30" t="s">
        <v>984</v>
      </c>
      <c r="D13" s="59" t="s">
        <v>1</v>
      </c>
    </row>
  </sheetData>
  <conditionalFormatting sqref="A1:A13">
    <cfRule type="cellIs" dxfId="13" priority="32" operator="equal">
      <formula>"null"</formula>
    </cfRule>
  </conditionalFormatting>
  <conditionalFormatting sqref="B8:B10">
    <cfRule type="duplicateValues" dxfId="12" priority="30"/>
  </conditionalFormatting>
  <conditionalFormatting sqref="B11:B13">
    <cfRule type="duplicateValues" dxfId="11" priority="13"/>
  </conditionalFormatting>
  <conditionalFormatting sqref="B8:C13">
    <cfRule type="cellIs" dxfId="10" priority="9" operator="equal">
      <formula>"null"</formula>
    </cfRule>
  </conditionalFormatting>
  <conditionalFormatting sqref="C8:C10">
    <cfRule type="duplicateValues" dxfId="9" priority="26"/>
    <cfRule type="duplicateValues" dxfId="8" priority="27"/>
    <cfRule type="duplicateValues" dxfId="7" priority="28"/>
  </conditionalFormatting>
  <conditionalFormatting sqref="C11:C13">
    <cfRule type="duplicateValues" dxfId="6" priority="10"/>
    <cfRule type="duplicateValues" dxfId="5" priority="11"/>
    <cfRule type="duplicateValues" dxfId="4" priority="12"/>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BE10"/>
  <sheetViews>
    <sheetView tabSelected="1" zoomScale="175" zoomScaleNormal="175" workbookViewId="0">
      <pane ySplit="1" topLeftCell="A2" activePane="bottomLeft" state="frozen"/>
      <selection pane="bottomLeft" activeCell="BC3" sqref="BC3:BC10"/>
    </sheetView>
  </sheetViews>
  <sheetFormatPr defaultColWidth="9.140625" defaultRowHeight="7.5" customHeight="1" x14ac:dyDescent="0.25"/>
  <cols>
    <col min="1" max="1" width="2.5703125" style="67" bestFit="1" customWidth="1"/>
    <col min="2" max="2" width="8.7109375" style="25" bestFit="1" customWidth="1"/>
    <col min="3" max="3" width="8.5703125" style="25" bestFit="1" customWidth="1"/>
    <col min="4" max="4" width="6.85546875" style="25" bestFit="1" customWidth="1"/>
    <col min="5" max="5" width="8.7109375" style="25" bestFit="1" customWidth="1"/>
    <col min="6" max="6" width="8.85546875" style="25" bestFit="1" customWidth="1"/>
    <col min="7" max="7" width="7.7109375" style="25" bestFit="1" customWidth="1"/>
    <col min="8" max="8" width="9.28515625" style="25" bestFit="1" customWidth="1"/>
    <col min="9" max="9" width="7.7109375" style="25" bestFit="1" customWidth="1"/>
    <col min="10" max="10" width="9.28515625" style="25" bestFit="1" customWidth="1"/>
    <col min="11" max="11" width="8.5703125" style="25" bestFit="1" customWidth="1"/>
    <col min="12" max="12" width="4.28515625" style="25" bestFit="1" customWidth="1"/>
    <col min="13" max="13" width="3.85546875" style="25" bestFit="1" customWidth="1"/>
    <col min="14" max="14" width="6" style="25" bestFit="1" customWidth="1"/>
    <col min="15" max="15" width="34.28515625" style="25" bestFit="1" customWidth="1"/>
    <col min="16" max="17" width="3.85546875" style="25" bestFit="1" customWidth="1"/>
    <col min="18" max="18" width="4.28515625" style="25" bestFit="1" customWidth="1"/>
    <col min="19" max="19" width="13.85546875" style="25" bestFit="1" customWidth="1"/>
    <col min="20" max="20" width="4.28515625" style="25" bestFit="1" customWidth="1"/>
    <col min="21" max="21" width="3.85546875" style="25" bestFit="1" customWidth="1"/>
    <col min="22" max="22" width="4.5703125" style="25" bestFit="1" customWidth="1"/>
    <col min="23" max="23" width="8.85546875" style="25" bestFit="1" customWidth="1"/>
    <col min="24" max="24" width="4.28515625" style="25" bestFit="1" customWidth="1"/>
    <col min="25" max="25" width="3.85546875" style="57" bestFit="1" customWidth="1"/>
    <col min="26" max="26" width="4.28515625" style="25" bestFit="1" customWidth="1"/>
    <col min="27" max="27" width="3.85546875" style="57" bestFit="1" customWidth="1"/>
    <col min="28" max="28" width="4.28515625" style="25" bestFit="1" customWidth="1"/>
    <col min="29" max="29" width="3.85546875" style="57" bestFit="1" customWidth="1"/>
    <col min="30" max="30" width="4.28515625" style="25" bestFit="1" customWidth="1"/>
    <col min="31" max="31" width="3.85546875" style="68" bestFit="1" customWidth="1"/>
    <col min="32" max="32" width="4.28515625" style="25" bestFit="1" customWidth="1"/>
    <col min="33" max="33" width="3.85546875" style="68" bestFit="1" customWidth="1"/>
    <col min="34" max="34" width="4.28515625" style="25" bestFit="1" customWidth="1"/>
    <col min="35" max="35" width="3.85546875" style="68" bestFit="1" customWidth="1"/>
    <col min="36" max="36" width="4.28515625" style="25" bestFit="1" customWidth="1"/>
    <col min="37" max="37" width="3.85546875" style="68" bestFit="1" customWidth="1"/>
    <col min="38" max="38" width="4.28515625" style="25" bestFit="1" customWidth="1"/>
    <col min="39" max="39" width="3.85546875" style="25" bestFit="1" customWidth="1"/>
    <col min="40" max="40" width="4.28515625" style="25" bestFit="1" customWidth="1"/>
    <col min="41" max="41" width="3.85546875" style="25" bestFit="1" customWidth="1"/>
    <col min="42" max="42" width="4.28515625" style="25" bestFit="1" customWidth="1"/>
    <col min="43" max="43" width="3.85546875" style="68" bestFit="1" customWidth="1"/>
    <col min="44" max="44" width="4.28515625" style="25" bestFit="1" customWidth="1"/>
    <col min="45" max="45" width="3.85546875" style="57" bestFit="1" customWidth="1"/>
    <col min="46" max="46" width="4.28515625" style="25" bestFit="1" customWidth="1"/>
    <col min="47" max="47" width="3.85546875" style="57" bestFit="1" customWidth="1"/>
    <col min="48" max="48" width="7.28515625" style="25" bestFit="1" customWidth="1"/>
    <col min="49" max="49" width="10.28515625" style="57" bestFit="1" customWidth="1"/>
    <col min="50" max="50" width="8.42578125" style="25" bestFit="1" customWidth="1"/>
    <col min="51" max="51" width="9.85546875" style="57" bestFit="1" customWidth="1"/>
    <col min="52" max="52" width="5.7109375" style="25" bestFit="1" customWidth="1"/>
    <col min="53" max="53" width="16.28515625" style="57" bestFit="1" customWidth="1"/>
    <col min="54" max="54" width="4.28515625" style="25" bestFit="1" customWidth="1"/>
    <col min="55" max="55" width="8.85546875" style="57" bestFit="1" customWidth="1"/>
    <col min="56" max="56" width="5.28515625" style="25" bestFit="1" customWidth="1"/>
    <col min="57" max="57" width="9.7109375" style="57" bestFit="1" customWidth="1"/>
    <col min="58" max="16384" width="9.140625" style="25"/>
  </cols>
  <sheetData>
    <row r="1" spans="1:57" ht="21" customHeight="1" x14ac:dyDescent="0.25">
      <c r="A1" s="27" t="s">
        <v>74</v>
      </c>
      <c r="B1" s="19" t="s">
        <v>34</v>
      </c>
      <c r="C1" s="19" t="s">
        <v>1460</v>
      </c>
      <c r="D1" s="19" t="s">
        <v>33</v>
      </c>
      <c r="E1" s="19" t="s">
        <v>75</v>
      </c>
      <c r="F1" s="19" t="s">
        <v>33</v>
      </c>
      <c r="G1" s="19" t="s">
        <v>75</v>
      </c>
      <c r="H1" s="19" t="s">
        <v>33</v>
      </c>
      <c r="I1" s="19" t="s">
        <v>75</v>
      </c>
      <c r="J1" s="19" t="s">
        <v>33</v>
      </c>
      <c r="K1" s="19" t="s">
        <v>75</v>
      </c>
      <c r="L1" s="19" t="s">
        <v>33</v>
      </c>
      <c r="M1" s="19" t="s">
        <v>75</v>
      </c>
      <c r="N1" s="19" t="s">
        <v>33</v>
      </c>
      <c r="O1" s="19" t="s">
        <v>75</v>
      </c>
      <c r="P1" s="19"/>
      <c r="Q1" s="19"/>
      <c r="R1" s="19" t="s">
        <v>33</v>
      </c>
      <c r="S1" s="19" t="s">
        <v>75</v>
      </c>
      <c r="T1" s="19" t="s">
        <v>33</v>
      </c>
      <c r="U1" s="19" t="s">
        <v>75</v>
      </c>
      <c r="V1" s="19" t="s">
        <v>33</v>
      </c>
      <c r="W1" s="19" t="s">
        <v>75</v>
      </c>
      <c r="X1" s="19" t="s">
        <v>33</v>
      </c>
      <c r="Y1" s="40" t="s">
        <v>75</v>
      </c>
      <c r="Z1" s="19" t="s">
        <v>33</v>
      </c>
      <c r="AA1" s="40" t="s">
        <v>75</v>
      </c>
      <c r="AB1" s="19" t="s">
        <v>33</v>
      </c>
      <c r="AC1" s="40" t="s">
        <v>75</v>
      </c>
      <c r="AD1" s="19" t="s">
        <v>33</v>
      </c>
      <c r="AE1" s="39" t="s">
        <v>75</v>
      </c>
      <c r="AF1" s="19" t="s">
        <v>33</v>
      </c>
      <c r="AG1" s="39" t="s">
        <v>75</v>
      </c>
      <c r="AH1" s="19" t="s">
        <v>33</v>
      </c>
      <c r="AI1" s="39" t="s">
        <v>75</v>
      </c>
      <c r="AJ1" s="19" t="s">
        <v>33</v>
      </c>
      <c r="AK1" s="39" t="s">
        <v>75</v>
      </c>
      <c r="AL1" s="19" t="s">
        <v>33</v>
      </c>
      <c r="AM1" s="19" t="s">
        <v>75</v>
      </c>
      <c r="AN1" s="19" t="s">
        <v>33</v>
      </c>
      <c r="AO1" s="19" t="s">
        <v>75</v>
      </c>
      <c r="AP1" s="19" t="s">
        <v>33</v>
      </c>
      <c r="AQ1" s="39" t="s">
        <v>75</v>
      </c>
      <c r="AR1" s="19" t="s">
        <v>33</v>
      </c>
      <c r="AS1" s="40" t="s">
        <v>75</v>
      </c>
      <c r="AT1" s="19" t="s">
        <v>33</v>
      </c>
      <c r="AU1" s="40" t="s">
        <v>75</v>
      </c>
      <c r="AV1" s="19" t="s">
        <v>33</v>
      </c>
      <c r="AW1" s="40" t="s">
        <v>75</v>
      </c>
      <c r="AX1" s="19" t="s">
        <v>33</v>
      </c>
      <c r="AY1" s="40" t="s">
        <v>75</v>
      </c>
      <c r="AZ1" s="19" t="s">
        <v>33</v>
      </c>
      <c r="BA1" s="40" t="s">
        <v>75</v>
      </c>
      <c r="BB1" s="19" t="s">
        <v>33</v>
      </c>
      <c r="BC1" s="40" t="s">
        <v>75</v>
      </c>
      <c r="BD1" s="19" t="s">
        <v>33</v>
      </c>
      <c r="BE1" s="40" t="s">
        <v>75</v>
      </c>
    </row>
    <row r="2" spans="1:57" ht="7.5" customHeight="1" x14ac:dyDescent="0.25">
      <c r="A2" s="47">
        <v>2</v>
      </c>
      <c r="B2" s="70" t="s">
        <v>733</v>
      </c>
      <c r="C2" s="69" t="s">
        <v>79</v>
      </c>
      <c r="D2" s="18" t="s">
        <v>1</v>
      </c>
      <c r="E2" s="20" t="s">
        <v>1</v>
      </c>
      <c r="F2" s="18" t="s">
        <v>1</v>
      </c>
      <c r="G2" s="20" t="s">
        <v>1</v>
      </c>
      <c r="H2" s="18" t="s">
        <v>1</v>
      </c>
      <c r="I2" s="20" t="s">
        <v>1</v>
      </c>
      <c r="J2" s="18" t="s">
        <v>1</v>
      </c>
      <c r="K2" s="20" t="s">
        <v>1</v>
      </c>
      <c r="L2" s="18" t="s">
        <v>1</v>
      </c>
      <c r="M2" s="20" t="s">
        <v>1</v>
      </c>
      <c r="N2" s="48" t="s">
        <v>81</v>
      </c>
      <c r="O2" s="32" t="s">
        <v>734</v>
      </c>
      <c r="P2" s="48" t="s">
        <v>1</v>
      </c>
      <c r="Q2" s="26" t="s">
        <v>1</v>
      </c>
      <c r="R2" s="48" t="s">
        <v>1</v>
      </c>
      <c r="S2" s="53" t="s">
        <v>1</v>
      </c>
      <c r="T2" s="48" t="s">
        <v>1</v>
      </c>
      <c r="U2" s="32" t="s">
        <v>1</v>
      </c>
      <c r="V2" s="48" t="s">
        <v>1</v>
      </c>
      <c r="W2" s="32" t="s">
        <v>1</v>
      </c>
      <c r="X2" s="48" t="s">
        <v>1</v>
      </c>
      <c r="Y2" s="32" t="s">
        <v>1</v>
      </c>
      <c r="Z2" s="48" t="s">
        <v>1</v>
      </c>
      <c r="AA2" s="32" t="s">
        <v>1</v>
      </c>
      <c r="AB2" s="48" t="s">
        <v>1</v>
      </c>
      <c r="AC2" s="49" t="s">
        <v>1</v>
      </c>
      <c r="AD2" s="37" t="s">
        <v>1</v>
      </c>
      <c r="AE2" s="52" t="s">
        <v>1</v>
      </c>
      <c r="AF2" s="37" t="s">
        <v>1</v>
      </c>
      <c r="AG2" s="52" t="s">
        <v>1</v>
      </c>
      <c r="AH2" s="37" t="s">
        <v>1</v>
      </c>
      <c r="AI2" s="52" t="s">
        <v>1</v>
      </c>
      <c r="AJ2" s="37" t="s">
        <v>1</v>
      </c>
      <c r="AK2" s="52" t="s">
        <v>1</v>
      </c>
      <c r="AL2" s="37" t="s">
        <v>1</v>
      </c>
      <c r="AM2" s="32" t="s">
        <v>1</v>
      </c>
      <c r="AN2" s="37" t="s">
        <v>1</v>
      </c>
      <c r="AO2" s="32" t="s">
        <v>1</v>
      </c>
      <c r="AP2" s="37" t="s">
        <v>1</v>
      </c>
      <c r="AQ2" s="52" t="s">
        <v>1</v>
      </c>
      <c r="AR2" s="37" t="s">
        <v>1</v>
      </c>
      <c r="AS2" s="49" t="s">
        <v>1</v>
      </c>
      <c r="AT2" s="37" t="s">
        <v>1</v>
      </c>
      <c r="AU2" s="49" t="s">
        <v>1</v>
      </c>
      <c r="AV2" s="37" t="s">
        <v>1</v>
      </c>
      <c r="AW2" s="49" t="s">
        <v>1</v>
      </c>
      <c r="AX2" s="37" t="s">
        <v>1332</v>
      </c>
      <c r="AY2" s="49" t="s">
        <v>1458</v>
      </c>
      <c r="AZ2" s="37" t="s">
        <v>763</v>
      </c>
      <c r="BA2" s="49" t="s">
        <v>1458</v>
      </c>
      <c r="BB2" s="37" t="s">
        <v>1455</v>
      </c>
      <c r="BC2" s="49" t="s">
        <v>1457</v>
      </c>
      <c r="BD2" s="37" t="s">
        <v>1</v>
      </c>
      <c r="BE2" s="49" t="s">
        <v>1</v>
      </c>
    </row>
    <row r="3" spans="1:57" ht="7.5" customHeight="1" x14ac:dyDescent="0.25">
      <c r="A3" s="47">
        <v>3</v>
      </c>
      <c r="B3" s="70" t="s">
        <v>735</v>
      </c>
      <c r="C3" s="45" t="s">
        <v>621</v>
      </c>
      <c r="D3" s="18" t="s">
        <v>736</v>
      </c>
      <c r="E3" s="20" t="s">
        <v>733</v>
      </c>
      <c r="F3" s="18" t="s">
        <v>737</v>
      </c>
      <c r="G3" s="20" t="s">
        <v>733</v>
      </c>
      <c r="H3" s="18" t="s">
        <v>1</v>
      </c>
      <c r="I3" s="20" t="s">
        <v>1</v>
      </c>
      <c r="J3" s="18" t="s">
        <v>1</v>
      </c>
      <c r="K3" s="20" t="s">
        <v>1</v>
      </c>
      <c r="L3" s="18" t="s">
        <v>1</v>
      </c>
      <c r="M3" s="20" t="s">
        <v>1</v>
      </c>
      <c r="N3" s="48" t="s">
        <v>81</v>
      </c>
      <c r="O3" s="32" t="s">
        <v>738</v>
      </c>
      <c r="P3" s="48" t="s">
        <v>1</v>
      </c>
      <c r="Q3" s="26" t="s">
        <v>1</v>
      </c>
      <c r="R3" s="48" t="s">
        <v>1</v>
      </c>
      <c r="S3" s="53" t="s">
        <v>1</v>
      </c>
      <c r="T3" s="48" t="s">
        <v>1</v>
      </c>
      <c r="U3" s="32" t="s">
        <v>1</v>
      </c>
      <c r="V3" s="48" t="s">
        <v>1</v>
      </c>
      <c r="W3" s="32" t="s">
        <v>1</v>
      </c>
      <c r="X3" s="48" t="s">
        <v>1</v>
      </c>
      <c r="Y3" s="32" t="s">
        <v>1</v>
      </c>
      <c r="Z3" s="48" t="s">
        <v>1</v>
      </c>
      <c r="AA3" s="32" t="s">
        <v>1</v>
      </c>
      <c r="AB3" s="48" t="s">
        <v>1</v>
      </c>
      <c r="AC3" s="49" t="s">
        <v>1</v>
      </c>
      <c r="AD3" s="37" t="s">
        <v>1</v>
      </c>
      <c r="AE3" s="52" t="s">
        <v>1</v>
      </c>
      <c r="AF3" s="37" t="s">
        <v>1</v>
      </c>
      <c r="AG3" s="52" t="s">
        <v>1</v>
      </c>
      <c r="AH3" s="37" t="s">
        <v>1</v>
      </c>
      <c r="AI3" s="52" t="s">
        <v>1</v>
      </c>
      <c r="AJ3" s="37" t="s">
        <v>1</v>
      </c>
      <c r="AK3" s="52" t="s">
        <v>1</v>
      </c>
      <c r="AL3" s="37" t="s">
        <v>1</v>
      </c>
      <c r="AM3" s="32" t="s">
        <v>1</v>
      </c>
      <c r="AN3" s="37" t="s">
        <v>1</v>
      </c>
      <c r="AO3" s="32" t="s">
        <v>1</v>
      </c>
      <c r="AP3" s="37" t="s">
        <v>1</v>
      </c>
      <c r="AQ3" s="52" t="s">
        <v>1</v>
      </c>
      <c r="AR3" s="37" t="s">
        <v>1</v>
      </c>
      <c r="AS3" s="49" t="s">
        <v>1</v>
      </c>
      <c r="AT3" s="37" t="s">
        <v>1</v>
      </c>
      <c r="AU3" s="49" t="s">
        <v>1</v>
      </c>
      <c r="AV3" s="37" t="s">
        <v>1</v>
      </c>
      <c r="AW3" s="49" t="s">
        <v>1</v>
      </c>
      <c r="AX3" s="37" t="s">
        <v>1332</v>
      </c>
      <c r="AY3" s="49" t="s">
        <v>1458</v>
      </c>
      <c r="AZ3" s="37" t="s">
        <v>763</v>
      </c>
      <c r="BA3" s="49" t="s">
        <v>1458</v>
      </c>
      <c r="BB3" s="37" t="s">
        <v>1455</v>
      </c>
      <c r="BC3" s="49" t="s">
        <v>760</v>
      </c>
      <c r="BD3" s="37" t="s">
        <v>1456</v>
      </c>
      <c r="BE3" s="49" t="str">
        <f t="shared" ref="BE3:BE10" si="0">_xlfn.CONCAT("""",C3,"""")</f>
        <v>"SubContinente"</v>
      </c>
    </row>
    <row r="4" spans="1:57" ht="7.5" customHeight="1" x14ac:dyDescent="0.25">
      <c r="A4" s="47">
        <v>4</v>
      </c>
      <c r="B4" s="71" t="s">
        <v>739</v>
      </c>
      <c r="C4" s="45" t="s">
        <v>624</v>
      </c>
      <c r="D4" s="18" t="s">
        <v>736</v>
      </c>
      <c r="E4" s="20" t="s">
        <v>735</v>
      </c>
      <c r="F4" s="18" t="s">
        <v>1</v>
      </c>
      <c r="G4" s="20" t="s">
        <v>1</v>
      </c>
      <c r="H4" s="18" t="s">
        <v>1</v>
      </c>
      <c r="I4" s="20" t="s">
        <v>1</v>
      </c>
      <c r="J4" s="18" t="s">
        <v>1</v>
      </c>
      <c r="K4" s="20" t="s">
        <v>1</v>
      </c>
      <c r="L4" s="18" t="s">
        <v>1</v>
      </c>
      <c r="M4" s="20" t="s">
        <v>1</v>
      </c>
      <c r="N4" s="48" t="s">
        <v>81</v>
      </c>
      <c r="O4" s="32" t="s">
        <v>740</v>
      </c>
      <c r="P4" s="48" t="s">
        <v>1</v>
      </c>
      <c r="Q4" s="26" t="s">
        <v>1</v>
      </c>
      <c r="R4" s="48" t="s">
        <v>1</v>
      </c>
      <c r="S4" s="53" t="s">
        <v>1</v>
      </c>
      <c r="T4" s="48" t="s">
        <v>1</v>
      </c>
      <c r="U4" s="32" t="s">
        <v>1</v>
      </c>
      <c r="V4" s="48" t="s">
        <v>1</v>
      </c>
      <c r="W4" s="32" t="s">
        <v>1</v>
      </c>
      <c r="X4" s="48" t="s">
        <v>1</v>
      </c>
      <c r="Y4" s="32" t="s">
        <v>1</v>
      </c>
      <c r="Z4" s="48" t="s">
        <v>1</v>
      </c>
      <c r="AA4" s="32" t="s">
        <v>1</v>
      </c>
      <c r="AB4" s="48" t="s">
        <v>1</v>
      </c>
      <c r="AC4" s="49" t="s">
        <v>1</v>
      </c>
      <c r="AD4" s="37" t="s">
        <v>1</v>
      </c>
      <c r="AE4" s="52" t="s">
        <v>1</v>
      </c>
      <c r="AF4" s="37" t="s">
        <v>1</v>
      </c>
      <c r="AG4" s="52" t="s">
        <v>1</v>
      </c>
      <c r="AH4" s="37" t="s">
        <v>1</v>
      </c>
      <c r="AI4" s="52" t="s">
        <v>1</v>
      </c>
      <c r="AJ4" s="37" t="s">
        <v>1</v>
      </c>
      <c r="AK4" s="52" t="s">
        <v>1</v>
      </c>
      <c r="AL4" s="37" t="s">
        <v>1</v>
      </c>
      <c r="AM4" s="32" t="s">
        <v>1</v>
      </c>
      <c r="AN4" s="37" t="s">
        <v>1</v>
      </c>
      <c r="AO4" s="32" t="s">
        <v>1</v>
      </c>
      <c r="AP4" s="37" t="s">
        <v>1</v>
      </c>
      <c r="AQ4" s="52" t="s">
        <v>1</v>
      </c>
      <c r="AR4" s="37" t="s">
        <v>1</v>
      </c>
      <c r="AS4" s="49" t="s">
        <v>1</v>
      </c>
      <c r="AT4" s="37" t="s">
        <v>1</v>
      </c>
      <c r="AU4" s="49" t="s">
        <v>1</v>
      </c>
      <c r="AV4" s="37" t="s">
        <v>1</v>
      </c>
      <c r="AW4" s="49" t="s">
        <v>1</v>
      </c>
      <c r="AX4" s="37" t="s">
        <v>1332</v>
      </c>
      <c r="AY4" s="49" t="s">
        <v>1458</v>
      </c>
      <c r="AZ4" s="37" t="s">
        <v>763</v>
      </c>
      <c r="BA4" s="49" t="s">
        <v>1458</v>
      </c>
      <c r="BB4" s="37" t="s">
        <v>1455</v>
      </c>
      <c r="BC4" s="49" t="s">
        <v>760</v>
      </c>
      <c r="BD4" s="37" t="s">
        <v>1456</v>
      </c>
      <c r="BE4" s="49" t="str">
        <f t="shared" si="0"/>
        <v>"País"</v>
      </c>
    </row>
    <row r="5" spans="1:57" ht="7.5" customHeight="1" x14ac:dyDescent="0.25">
      <c r="A5" s="47">
        <v>5</v>
      </c>
      <c r="B5" s="72" t="s">
        <v>747</v>
      </c>
      <c r="C5" s="45" t="s">
        <v>627</v>
      </c>
      <c r="D5" s="54" t="s">
        <v>736</v>
      </c>
      <c r="E5" s="55" t="s">
        <v>739</v>
      </c>
      <c r="F5" s="18" t="s">
        <v>1</v>
      </c>
      <c r="G5" s="20" t="s">
        <v>1</v>
      </c>
      <c r="H5" s="18" t="s">
        <v>1</v>
      </c>
      <c r="I5" s="20" t="s">
        <v>1</v>
      </c>
      <c r="J5" s="18" t="s">
        <v>1</v>
      </c>
      <c r="K5" s="20" t="s">
        <v>1</v>
      </c>
      <c r="L5" s="18" t="s">
        <v>1</v>
      </c>
      <c r="M5" s="50" t="s">
        <v>1</v>
      </c>
      <c r="N5" s="48" t="s">
        <v>81</v>
      </c>
      <c r="O5" s="26" t="s">
        <v>750</v>
      </c>
      <c r="P5" s="48" t="s">
        <v>1</v>
      </c>
      <c r="Q5" s="26" t="s">
        <v>1</v>
      </c>
      <c r="R5" s="48" t="s">
        <v>748</v>
      </c>
      <c r="S5" s="26" t="s">
        <v>749</v>
      </c>
      <c r="T5" s="48" t="s">
        <v>1</v>
      </c>
      <c r="U5" s="32" t="s">
        <v>1</v>
      </c>
      <c r="V5" s="48" t="s">
        <v>1</v>
      </c>
      <c r="W5" s="32" t="s">
        <v>1</v>
      </c>
      <c r="X5" s="48" t="s">
        <v>1</v>
      </c>
      <c r="Y5" s="32" t="s">
        <v>1</v>
      </c>
      <c r="Z5" s="48" t="s">
        <v>1</v>
      </c>
      <c r="AA5" s="32" t="s">
        <v>1</v>
      </c>
      <c r="AB5" s="48" t="s">
        <v>1</v>
      </c>
      <c r="AC5" s="49" t="s">
        <v>1</v>
      </c>
      <c r="AD5" s="37" t="s">
        <v>1</v>
      </c>
      <c r="AE5" s="52" t="s">
        <v>1</v>
      </c>
      <c r="AF5" s="37" t="s">
        <v>1</v>
      </c>
      <c r="AG5" s="52" t="s">
        <v>1</v>
      </c>
      <c r="AH5" s="37" t="s">
        <v>1</v>
      </c>
      <c r="AI5" s="52" t="s">
        <v>1</v>
      </c>
      <c r="AJ5" s="37" t="s">
        <v>1</v>
      </c>
      <c r="AK5" s="52" t="s">
        <v>1</v>
      </c>
      <c r="AL5" s="37" t="s">
        <v>1</v>
      </c>
      <c r="AM5" s="32" t="s">
        <v>1</v>
      </c>
      <c r="AN5" s="37" t="s">
        <v>1</v>
      </c>
      <c r="AO5" s="32" t="s">
        <v>1</v>
      </c>
      <c r="AP5" s="37" t="s">
        <v>1</v>
      </c>
      <c r="AQ5" s="52" t="s">
        <v>1</v>
      </c>
      <c r="AR5" s="37" t="s">
        <v>1</v>
      </c>
      <c r="AS5" s="49" t="s">
        <v>1</v>
      </c>
      <c r="AT5" s="37" t="s">
        <v>1</v>
      </c>
      <c r="AU5" s="49" t="s">
        <v>1</v>
      </c>
      <c r="AV5" s="37" t="s">
        <v>1</v>
      </c>
      <c r="AW5" s="49" t="s">
        <v>1</v>
      </c>
      <c r="AX5" s="37" t="s">
        <v>1332</v>
      </c>
      <c r="AY5" s="49" t="s">
        <v>1458</v>
      </c>
      <c r="AZ5" s="37" t="s">
        <v>763</v>
      </c>
      <c r="BA5" s="49" t="s">
        <v>1458</v>
      </c>
      <c r="BB5" s="37" t="s">
        <v>1455</v>
      </c>
      <c r="BC5" s="49" t="s">
        <v>760</v>
      </c>
      <c r="BD5" s="37" t="s">
        <v>1456</v>
      </c>
      <c r="BE5" s="49" t="str">
        <f t="shared" si="0"/>
        <v>"Região"</v>
      </c>
    </row>
    <row r="6" spans="1:57" ht="7.5" customHeight="1" x14ac:dyDescent="0.25">
      <c r="A6" s="47">
        <v>6</v>
      </c>
      <c r="B6" s="72" t="s">
        <v>746</v>
      </c>
      <c r="C6" s="45" t="s">
        <v>627</v>
      </c>
      <c r="D6" s="54" t="s">
        <v>736</v>
      </c>
      <c r="E6" s="55" t="s">
        <v>739</v>
      </c>
      <c r="F6" s="18" t="s">
        <v>751</v>
      </c>
      <c r="G6" s="55" t="s">
        <v>747</v>
      </c>
      <c r="H6" s="54" t="s">
        <v>752</v>
      </c>
      <c r="I6" s="55" t="s">
        <v>747</v>
      </c>
      <c r="J6" s="18" t="s">
        <v>1</v>
      </c>
      <c r="K6" s="20" t="s">
        <v>1</v>
      </c>
      <c r="L6" s="18" t="s">
        <v>1</v>
      </c>
      <c r="M6" s="50" t="s">
        <v>1</v>
      </c>
      <c r="N6" s="48" t="s">
        <v>81</v>
      </c>
      <c r="O6" s="26" t="s">
        <v>753</v>
      </c>
      <c r="P6" s="48" t="s">
        <v>1</v>
      </c>
      <c r="Q6" s="26" t="s">
        <v>1</v>
      </c>
      <c r="R6" s="48" t="s">
        <v>1</v>
      </c>
      <c r="S6" s="53" t="s">
        <v>1</v>
      </c>
      <c r="T6" s="48" t="s">
        <v>1</v>
      </c>
      <c r="U6" s="32" t="s">
        <v>1</v>
      </c>
      <c r="V6" s="48" t="s">
        <v>1</v>
      </c>
      <c r="W6" s="32" t="s">
        <v>1</v>
      </c>
      <c r="X6" s="48" t="s">
        <v>1</v>
      </c>
      <c r="Y6" s="32" t="s">
        <v>1</v>
      </c>
      <c r="Z6" s="48" t="s">
        <v>1</v>
      </c>
      <c r="AA6" s="32" t="s">
        <v>1</v>
      </c>
      <c r="AB6" s="48" t="s">
        <v>1</v>
      </c>
      <c r="AC6" s="49" t="s">
        <v>1</v>
      </c>
      <c r="AD6" s="37" t="s">
        <v>1</v>
      </c>
      <c r="AE6" s="52" t="s">
        <v>1</v>
      </c>
      <c r="AF6" s="37" t="s">
        <v>1</v>
      </c>
      <c r="AG6" s="52" t="s">
        <v>1</v>
      </c>
      <c r="AH6" s="37" t="s">
        <v>1</v>
      </c>
      <c r="AI6" s="52" t="s">
        <v>1</v>
      </c>
      <c r="AJ6" s="37" t="s">
        <v>1</v>
      </c>
      <c r="AK6" s="52" t="s">
        <v>1</v>
      </c>
      <c r="AL6" s="37" t="s">
        <v>1</v>
      </c>
      <c r="AM6" s="32" t="s">
        <v>1</v>
      </c>
      <c r="AN6" s="37" t="s">
        <v>1</v>
      </c>
      <c r="AO6" s="32" t="s">
        <v>1</v>
      </c>
      <c r="AP6" s="37" t="s">
        <v>1</v>
      </c>
      <c r="AQ6" s="52" t="s">
        <v>1</v>
      </c>
      <c r="AR6" s="37" t="s">
        <v>1</v>
      </c>
      <c r="AS6" s="49" t="s">
        <v>1</v>
      </c>
      <c r="AT6" s="37" t="s">
        <v>1</v>
      </c>
      <c r="AU6" s="49" t="s">
        <v>1</v>
      </c>
      <c r="AV6" s="37" t="s">
        <v>1</v>
      </c>
      <c r="AW6" s="49" t="s">
        <v>1</v>
      </c>
      <c r="AX6" s="37" t="s">
        <v>1332</v>
      </c>
      <c r="AY6" s="49" t="s">
        <v>1458</v>
      </c>
      <c r="AZ6" s="37" t="s">
        <v>763</v>
      </c>
      <c r="BA6" s="49" t="s">
        <v>1458</v>
      </c>
      <c r="BB6" s="37" t="s">
        <v>1455</v>
      </c>
      <c r="BC6" s="49" t="s">
        <v>760</v>
      </c>
      <c r="BD6" s="37" t="s">
        <v>1456</v>
      </c>
      <c r="BE6" s="49" t="str">
        <f t="shared" si="0"/>
        <v>"Região"</v>
      </c>
    </row>
    <row r="7" spans="1:57" ht="7.5" customHeight="1" x14ac:dyDescent="0.25">
      <c r="A7" s="47">
        <v>7</v>
      </c>
      <c r="B7" s="71" t="s">
        <v>741</v>
      </c>
      <c r="C7" s="45" t="s">
        <v>629</v>
      </c>
      <c r="D7" s="18" t="s">
        <v>736</v>
      </c>
      <c r="E7" s="50" t="s">
        <v>739</v>
      </c>
      <c r="F7" s="54" t="s">
        <v>761</v>
      </c>
      <c r="G7" s="55" t="s">
        <v>757</v>
      </c>
      <c r="H7" s="18" t="s">
        <v>1</v>
      </c>
      <c r="I7" s="20" t="s">
        <v>1</v>
      </c>
      <c r="J7" s="54" t="s">
        <v>742</v>
      </c>
      <c r="K7" s="55" t="s">
        <v>747</v>
      </c>
      <c r="L7" s="18" t="s">
        <v>1</v>
      </c>
      <c r="M7" s="20" t="s">
        <v>1</v>
      </c>
      <c r="N7" s="48" t="s">
        <v>81</v>
      </c>
      <c r="O7" s="32" t="s">
        <v>1471</v>
      </c>
      <c r="P7" s="48" t="s">
        <v>1</v>
      </c>
      <c r="Q7" s="26" t="s">
        <v>1</v>
      </c>
      <c r="R7" s="48" t="s">
        <v>754</v>
      </c>
      <c r="S7" s="56" t="s">
        <v>758</v>
      </c>
      <c r="T7" s="48" t="s">
        <v>755</v>
      </c>
      <c r="U7" s="51" t="s">
        <v>759</v>
      </c>
      <c r="V7" s="48" t="s">
        <v>756</v>
      </c>
      <c r="W7" s="26" t="s">
        <v>760</v>
      </c>
      <c r="X7" s="48" t="s">
        <v>1</v>
      </c>
      <c r="Y7" s="32" t="s">
        <v>1</v>
      </c>
      <c r="Z7" s="48" t="s">
        <v>1</v>
      </c>
      <c r="AA7" s="32" t="s">
        <v>1</v>
      </c>
      <c r="AB7" s="48" t="s">
        <v>1</v>
      </c>
      <c r="AC7" s="49" t="s">
        <v>1</v>
      </c>
      <c r="AD7" s="37" t="s">
        <v>1</v>
      </c>
      <c r="AE7" s="52" t="s">
        <v>1</v>
      </c>
      <c r="AF7" s="37" t="s">
        <v>1</v>
      </c>
      <c r="AG7" s="52" t="s">
        <v>1</v>
      </c>
      <c r="AH7" s="37" t="s">
        <v>1</v>
      </c>
      <c r="AI7" s="52" t="s">
        <v>1</v>
      </c>
      <c r="AJ7" s="37" t="s">
        <v>1</v>
      </c>
      <c r="AK7" s="52" t="s">
        <v>1</v>
      </c>
      <c r="AL7" s="37" t="s">
        <v>1</v>
      </c>
      <c r="AM7" s="32" t="s">
        <v>1</v>
      </c>
      <c r="AN7" s="37" t="s">
        <v>1</v>
      </c>
      <c r="AO7" s="32" t="s">
        <v>1</v>
      </c>
      <c r="AP7" s="37" t="s">
        <v>1</v>
      </c>
      <c r="AQ7" s="52" t="s">
        <v>1</v>
      </c>
      <c r="AR7" s="37" t="s">
        <v>1</v>
      </c>
      <c r="AS7" s="49" t="s">
        <v>1</v>
      </c>
      <c r="AT7" s="37" t="s">
        <v>1</v>
      </c>
      <c r="AU7" s="49" t="s">
        <v>1</v>
      </c>
      <c r="AV7" s="37" t="s">
        <v>1</v>
      </c>
      <c r="AW7" s="49" t="s">
        <v>1</v>
      </c>
      <c r="AX7" s="37" t="s">
        <v>1332</v>
      </c>
      <c r="AY7" s="49" t="s">
        <v>1458</v>
      </c>
      <c r="AZ7" s="37" t="s">
        <v>763</v>
      </c>
      <c r="BA7" s="49" t="s">
        <v>1458</v>
      </c>
      <c r="BB7" s="37" t="s">
        <v>1455</v>
      </c>
      <c r="BC7" s="49" t="s">
        <v>760</v>
      </c>
      <c r="BD7" s="37" t="s">
        <v>1456</v>
      </c>
      <c r="BE7" s="49" t="str">
        <f t="shared" si="0"/>
        <v>"Estado"</v>
      </c>
    </row>
    <row r="8" spans="1:57" ht="7.5" customHeight="1" x14ac:dyDescent="0.25">
      <c r="A8" s="47">
        <v>8</v>
      </c>
      <c r="B8" s="72" t="s">
        <v>744</v>
      </c>
      <c r="C8" s="45" t="s">
        <v>634</v>
      </c>
      <c r="D8" s="54" t="s">
        <v>736</v>
      </c>
      <c r="E8" s="55" t="s">
        <v>745</v>
      </c>
      <c r="F8" s="54" t="s">
        <v>736</v>
      </c>
      <c r="G8" s="55" t="s">
        <v>746</v>
      </c>
      <c r="H8" s="54" t="s">
        <v>742</v>
      </c>
      <c r="I8" s="55" t="s">
        <v>747</v>
      </c>
      <c r="J8" s="18" t="s">
        <v>743</v>
      </c>
      <c r="K8" s="50" t="s">
        <v>741</v>
      </c>
      <c r="L8" s="18" t="s">
        <v>1</v>
      </c>
      <c r="M8" s="20" t="s">
        <v>1</v>
      </c>
      <c r="N8" s="48" t="s">
        <v>81</v>
      </c>
      <c r="O8" s="26" t="str">
        <f>_xlfn.CONCAT("""É a cidade capital do Estado de ",K8," do Brasil """)</f>
        <v>"É a cidade capital do Estado de Minas.Gerais do Brasil "</v>
      </c>
      <c r="P8" s="48" t="s">
        <v>1</v>
      </c>
      <c r="Q8" s="26" t="s">
        <v>1</v>
      </c>
      <c r="R8" s="48" t="s">
        <v>1</v>
      </c>
      <c r="S8" s="53" t="s">
        <v>1</v>
      </c>
      <c r="T8" s="48" t="s">
        <v>1</v>
      </c>
      <c r="U8" s="32" t="s">
        <v>1</v>
      </c>
      <c r="V8" s="48" t="s">
        <v>1</v>
      </c>
      <c r="W8" s="32" t="s">
        <v>1</v>
      </c>
      <c r="X8" s="48" t="s">
        <v>1</v>
      </c>
      <c r="Y8" s="32" t="s">
        <v>1</v>
      </c>
      <c r="Z8" s="48" t="s">
        <v>1</v>
      </c>
      <c r="AA8" s="32" t="s">
        <v>1</v>
      </c>
      <c r="AB8" s="48" t="s">
        <v>1</v>
      </c>
      <c r="AC8" s="49" t="s">
        <v>1</v>
      </c>
      <c r="AD8" s="37" t="s">
        <v>1</v>
      </c>
      <c r="AE8" s="52" t="s">
        <v>1</v>
      </c>
      <c r="AF8" s="37" t="s">
        <v>1</v>
      </c>
      <c r="AG8" s="52" t="s">
        <v>1</v>
      </c>
      <c r="AH8" s="37" t="s">
        <v>1</v>
      </c>
      <c r="AI8" s="52" t="s">
        <v>1</v>
      </c>
      <c r="AJ8" s="37" t="s">
        <v>1</v>
      </c>
      <c r="AK8" s="52" t="s">
        <v>1</v>
      </c>
      <c r="AL8" s="37" t="s">
        <v>1</v>
      </c>
      <c r="AM8" s="32" t="s">
        <v>1</v>
      </c>
      <c r="AN8" s="37" t="s">
        <v>1</v>
      </c>
      <c r="AO8" s="32" t="s">
        <v>1</v>
      </c>
      <c r="AP8" s="37" t="s">
        <v>1</v>
      </c>
      <c r="AQ8" s="52" t="s">
        <v>1</v>
      </c>
      <c r="AR8" s="37" t="s">
        <v>1</v>
      </c>
      <c r="AS8" s="49" t="s">
        <v>1</v>
      </c>
      <c r="AT8" s="37" t="s">
        <v>1</v>
      </c>
      <c r="AU8" s="49" t="s">
        <v>1</v>
      </c>
      <c r="AV8" s="37" t="s">
        <v>1467</v>
      </c>
      <c r="AW8" s="49" t="s">
        <v>1468</v>
      </c>
      <c r="AX8" s="37" t="s">
        <v>1332</v>
      </c>
      <c r="AY8" s="49" t="s">
        <v>1469</v>
      </c>
      <c r="AZ8" s="37" t="s">
        <v>763</v>
      </c>
      <c r="BA8" s="49" t="s">
        <v>1470</v>
      </c>
      <c r="BB8" s="37" t="s">
        <v>1455</v>
      </c>
      <c r="BC8" s="49" t="s">
        <v>760</v>
      </c>
      <c r="BD8" s="37" t="s">
        <v>1456</v>
      </c>
      <c r="BE8" s="49" t="str">
        <f t="shared" ref="BE8" si="1">_xlfn.CONCAT("""",C8,"""")</f>
        <v>"Capital"</v>
      </c>
    </row>
    <row r="9" spans="1:57" ht="7.5" customHeight="1" x14ac:dyDescent="0.25">
      <c r="A9" s="47">
        <v>9</v>
      </c>
      <c r="B9" s="72" t="s">
        <v>757</v>
      </c>
      <c r="C9" s="45" t="s">
        <v>630</v>
      </c>
      <c r="D9" s="18" t="s">
        <v>736</v>
      </c>
      <c r="E9" s="50" t="s">
        <v>739</v>
      </c>
      <c r="F9" s="18" t="s">
        <v>1</v>
      </c>
      <c r="G9" s="20" t="s">
        <v>1</v>
      </c>
      <c r="H9" s="18" t="s">
        <v>1</v>
      </c>
      <c r="I9" s="20" t="s">
        <v>1</v>
      </c>
      <c r="J9" s="18" t="s">
        <v>1</v>
      </c>
      <c r="K9" s="20" t="s">
        <v>1</v>
      </c>
      <c r="L9" s="18" t="s">
        <v>1</v>
      </c>
      <c r="M9" s="20" t="s">
        <v>1</v>
      </c>
      <c r="N9" s="48" t="s">
        <v>81</v>
      </c>
      <c r="O9" s="32" t="s">
        <v>1471</v>
      </c>
      <c r="P9" s="48" t="s">
        <v>1</v>
      </c>
      <c r="Q9" s="26" t="s">
        <v>1</v>
      </c>
      <c r="R9" s="48" t="s">
        <v>754</v>
      </c>
      <c r="S9" s="56" t="s">
        <v>758</v>
      </c>
      <c r="T9" s="48" t="s">
        <v>755</v>
      </c>
      <c r="U9" s="51" t="s">
        <v>759</v>
      </c>
      <c r="V9" s="48" t="s">
        <v>756</v>
      </c>
      <c r="W9" s="26" t="s">
        <v>760</v>
      </c>
      <c r="X9" s="48" t="s">
        <v>1</v>
      </c>
      <c r="Y9" s="32" t="s">
        <v>1</v>
      </c>
      <c r="Z9" s="48" t="s">
        <v>1</v>
      </c>
      <c r="AA9" s="32" t="s">
        <v>1</v>
      </c>
      <c r="AB9" s="48" t="s">
        <v>1</v>
      </c>
      <c r="AC9" s="49" t="s">
        <v>1</v>
      </c>
      <c r="AD9" s="37" t="s">
        <v>1</v>
      </c>
      <c r="AE9" s="52" t="s">
        <v>1</v>
      </c>
      <c r="AF9" s="37" t="s">
        <v>1</v>
      </c>
      <c r="AG9" s="52" t="s">
        <v>1</v>
      </c>
      <c r="AH9" s="37" t="s">
        <v>1</v>
      </c>
      <c r="AI9" s="52" t="s">
        <v>1</v>
      </c>
      <c r="AJ9" s="37" t="s">
        <v>1</v>
      </c>
      <c r="AK9" s="52" t="s">
        <v>1</v>
      </c>
      <c r="AL9" s="37" t="s">
        <v>1</v>
      </c>
      <c r="AM9" s="32" t="s">
        <v>1</v>
      </c>
      <c r="AN9" s="37" t="s">
        <v>1</v>
      </c>
      <c r="AO9" s="32" t="s">
        <v>1</v>
      </c>
      <c r="AP9" s="37" t="s">
        <v>1</v>
      </c>
      <c r="AQ9" s="52" t="s">
        <v>1</v>
      </c>
      <c r="AR9" s="37" t="s">
        <v>1</v>
      </c>
      <c r="AS9" s="49" t="s">
        <v>1</v>
      </c>
      <c r="AT9" s="37" t="s">
        <v>1</v>
      </c>
      <c r="AU9" s="49" t="s">
        <v>1</v>
      </c>
      <c r="AV9" s="37" t="s">
        <v>1</v>
      </c>
      <c r="AW9" s="49" t="s">
        <v>1</v>
      </c>
      <c r="AX9" s="37" t="s">
        <v>1332</v>
      </c>
      <c r="AY9" s="49" t="s">
        <v>1458</v>
      </c>
      <c r="AZ9" s="37" t="s">
        <v>763</v>
      </c>
      <c r="BA9" s="49" t="s">
        <v>1458</v>
      </c>
      <c r="BB9" s="37" t="s">
        <v>1455</v>
      </c>
      <c r="BC9" s="49" t="s">
        <v>760</v>
      </c>
      <c r="BD9" s="37" t="s">
        <v>1456</v>
      </c>
      <c r="BE9" s="49" t="str">
        <f t="shared" si="0"/>
        <v>"UF"</v>
      </c>
    </row>
    <row r="10" spans="1:57" ht="7.5" customHeight="1" x14ac:dyDescent="0.25">
      <c r="A10" s="47">
        <v>10</v>
      </c>
      <c r="B10" s="71" t="s">
        <v>745</v>
      </c>
      <c r="C10" s="45" t="s">
        <v>630</v>
      </c>
      <c r="D10" s="18" t="s">
        <v>736</v>
      </c>
      <c r="E10" s="50" t="s">
        <v>739</v>
      </c>
      <c r="F10" s="54" t="s">
        <v>761</v>
      </c>
      <c r="G10" s="55" t="s">
        <v>757</v>
      </c>
      <c r="H10" s="54" t="s">
        <v>761</v>
      </c>
      <c r="I10" s="50" t="s">
        <v>741</v>
      </c>
      <c r="J10" s="54" t="s">
        <v>742</v>
      </c>
      <c r="K10" s="55" t="s">
        <v>747</v>
      </c>
      <c r="L10" s="18" t="s">
        <v>1</v>
      </c>
      <c r="M10" s="20" t="s">
        <v>1</v>
      </c>
      <c r="N10" s="48" t="s">
        <v>81</v>
      </c>
      <c r="O10" s="32" t="s">
        <v>1471</v>
      </c>
      <c r="P10" s="48" t="s">
        <v>1</v>
      </c>
      <c r="Q10" s="26" t="s">
        <v>1</v>
      </c>
      <c r="R10" s="48" t="s">
        <v>754</v>
      </c>
      <c r="S10" s="56" t="s">
        <v>758</v>
      </c>
      <c r="T10" s="48" t="s">
        <v>755</v>
      </c>
      <c r="U10" s="51" t="s">
        <v>759</v>
      </c>
      <c r="V10" s="48" t="s">
        <v>756</v>
      </c>
      <c r="W10" s="26" t="s">
        <v>760</v>
      </c>
      <c r="X10" s="48" t="s">
        <v>1</v>
      </c>
      <c r="Y10" s="32" t="s">
        <v>1</v>
      </c>
      <c r="Z10" s="48" t="s">
        <v>1</v>
      </c>
      <c r="AA10" s="32" t="s">
        <v>1</v>
      </c>
      <c r="AB10" s="48" t="s">
        <v>1</v>
      </c>
      <c r="AC10" s="49" t="s">
        <v>1</v>
      </c>
      <c r="AD10" s="37" t="s">
        <v>1</v>
      </c>
      <c r="AE10" s="52" t="s">
        <v>1</v>
      </c>
      <c r="AF10" s="37" t="s">
        <v>1</v>
      </c>
      <c r="AG10" s="52" t="s">
        <v>1</v>
      </c>
      <c r="AH10" s="37" t="s">
        <v>1</v>
      </c>
      <c r="AI10" s="52" t="s">
        <v>1</v>
      </c>
      <c r="AJ10" s="37" t="s">
        <v>1</v>
      </c>
      <c r="AK10" s="52" t="s">
        <v>1</v>
      </c>
      <c r="AL10" s="37" t="s">
        <v>1</v>
      </c>
      <c r="AM10" s="32" t="s">
        <v>1</v>
      </c>
      <c r="AN10" s="37" t="s">
        <v>1</v>
      </c>
      <c r="AO10" s="32" t="s">
        <v>1</v>
      </c>
      <c r="AP10" s="37" t="s">
        <v>1</v>
      </c>
      <c r="AQ10" s="52" t="s">
        <v>1</v>
      </c>
      <c r="AR10" s="37" t="s">
        <v>1</v>
      </c>
      <c r="AS10" s="49" t="s">
        <v>1</v>
      </c>
      <c r="AT10" s="37" t="s">
        <v>1</v>
      </c>
      <c r="AU10" s="49" t="s">
        <v>1</v>
      </c>
      <c r="AV10" s="37" t="s">
        <v>1</v>
      </c>
      <c r="AW10" s="49" t="s">
        <v>1</v>
      </c>
      <c r="AX10" s="37" t="s">
        <v>1332</v>
      </c>
      <c r="AY10" s="49" t="s">
        <v>1458</v>
      </c>
      <c r="AZ10" s="37" t="s">
        <v>763</v>
      </c>
      <c r="BA10" s="49" t="s">
        <v>1458</v>
      </c>
      <c r="BB10" s="37" t="s">
        <v>1455</v>
      </c>
      <c r="BC10" s="49" t="s">
        <v>760</v>
      </c>
      <c r="BD10" s="37" t="s">
        <v>1456</v>
      </c>
      <c r="BE10" s="49" t="str">
        <f t="shared" si="0"/>
        <v>"UF"</v>
      </c>
    </row>
  </sheetData>
  <autoFilter ref="F1:F6" xr:uid="{CEF52033-0BF0-4BCC-B911-A6BC1CA10036}"/>
  <phoneticPr fontId="1" type="noConversion"/>
  <conditionalFormatting sqref="A1:A1048576 G2 G4:G5 D10:F1048576 H11:XFD1048576 H10:BB10 BD10:XFD10">
    <cfRule type="cellIs" dxfId="3" priority="52" operator="equal">
      <formula>"null"</formula>
    </cfRule>
  </conditionalFormatting>
  <conditionalFormatting sqref="B1:B1048576">
    <cfRule type="duplicateValues" dxfId="2" priority="1"/>
  </conditionalFormatting>
  <conditionalFormatting sqref="D1:F8 H1:XFD3 H4:BB8 BD4:XFD8 BC4:BC10">
    <cfRule type="cellIs" dxfId="1" priority="3" operator="equal">
      <formula>"null"</formula>
    </cfRule>
  </conditionalFormatting>
  <conditionalFormatting sqref="D9:BB9 BD9:XFD9">
    <cfRule type="cellIs" dxfId="0" priority="15"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2026-07-13T11:46:00Z</dcterms:modified>
</cp:coreProperties>
</file>