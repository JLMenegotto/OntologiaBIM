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B079B7A8-8435-4601-AFBD-4B9A181DE0CB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4" l="1"/>
  <c r="X26" i="4"/>
  <c r="X25" i="4"/>
  <c r="X24" i="4"/>
  <c r="X23" i="4"/>
  <c r="P174" i="1" l="1"/>
  <c r="P173" i="1"/>
  <c r="P172" i="1"/>
  <c r="P171" i="1"/>
  <c r="P170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V15" i="4" l="1"/>
  <c r="V16" i="4"/>
  <c r="V17" i="4"/>
  <c r="V18" i="4"/>
  <c r="V19" i="4"/>
  <c r="V20" i="4"/>
  <c r="V21" i="4"/>
  <c r="V22" i="4"/>
  <c r="U15" i="4"/>
  <c r="U16" i="4"/>
  <c r="U17" i="4"/>
  <c r="U18" i="4"/>
  <c r="U19" i="4"/>
  <c r="U20" i="4"/>
  <c r="U21" i="4"/>
  <c r="U22" i="4"/>
  <c r="T15" i="4"/>
  <c r="T16" i="4"/>
  <c r="T17" i="4"/>
  <c r="T18" i="4"/>
  <c r="T19" i="4"/>
  <c r="T20" i="4"/>
  <c r="T21" i="4"/>
  <c r="T22" i="4"/>
  <c r="O22" i="4" l="1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B20" i="8"/>
  <c r="B21" i="8"/>
  <c r="B18" i="8" l="1"/>
  <c r="B6" i="8"/>
  <c r="B5" i="8"/>
</calcChain>
</file>

<file path=xl/sharedStrings.xml><?xml version="1.0" encoding="utf-8"?>
<sst xmlns="http://schemas.openxmlformats.org/spreadsheetml/2006/main" count="5984" uniqueCount="665">
  <si>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</si>
  <si>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</si>
  <si>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</si>
  <si>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</si>
  <si>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</si>
  <si>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</si>
  <si>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</si>
  <si>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</si>
  <si>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</si>
  <si>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</si>
  <si>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</si>
  <si>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</si>
  <si>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</si>
  <si>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</si>
  <si>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"Fase de criação"</t>
  </si>
  <si>
    <t>"Fase de demolição"</t>
  </si>
  <si>
    <t>"Parte 3 - Publicada em 2014"</t>
  </si>
  <si>
    <t>"Fase de identificação de necessidades"</t>
  </si>
  <si>
    <t>"Fase de descrição do projeto"</t>
  </si>
  <si>
    <t>"Fase de incepção"</t>
  </si>
  <si>
    <t>"Fase de conceituação"</t>
  </si>
  <si>
    <t>"Fase de análise de mercado"</t>
  </si>
  <si>
    <t>"Fase de pesquisa"</t>
  </si>
  <si>
    <t>"Fase de estudo de viabilidade de projeto"</t>
  </si>
  <si>
    <t>"Fase de programação de projeto"</t>
  </si>
  <si>
    <t>"Fase de planejamento de projeto"</t>
  </si>
  <si>
    <t>"Fase de estimativa de orçamento"</t>
  </si>
  <si>
    <t>"Fase de definição"</t>
  </si>
  <si>
    <t>"Fase de estudos conceituais"</t>
  </si>
  <si>
    <t>"Fase de coletas de dados"</t>
  </si>
  <si>
    <t>"Fase de levantamento topográfico"</t>
  </si>
  <si>
    <t>"Fase de investigação geotécnica"</t>
  </si>
  <si>
    <t>"Fase de definição de produto"</t>
  </si>
  <si>
    <t>"Fase de aquisição de propriedade"</t>
  </si>
  <si>
    <t>"Fase de estudo preliminar"</t>
  </si>
  <si>
    <t>"Fase de projeto esquemático"</t>
  </si>
  <si>
    <t>"Fase de desenvolvimento de projeto"</t>
  </si>
  <si>
    <t>"Fase de estimativa preliminar de custos"</t>
  </si>
  <si>
    <t>"Fase de estudos técnicos"</t>
  </si>
  <si>
    <t>"Fase de consulta pública"</t>
  </si>
  <si>
    <t>"Fase de análise"</t>
  </si>
  <si>
    <t>"Fase de viabilidade"</t>
  </si>
  <si>
    <t>"Fase de estudos ambientais"</t>
  </si>
  <si>
    <t>"Fase de investigação e averiguação de riscos de negócio"</t>
  </si>
  <si>
    <t>"Fase de seleção de terreno"</t>
  </si>
  <si>
    <t>"Fase de planejamento"</t>
  </si>
  <si>
    <t>"Fase de programação"</t>
  </si>
  <si>
    <t>"Fase de orçamentação"</t>
  </si>
  <si>
    <t>"Estágio de definição de entrega de projetos"</t>
  </si>
  <si>
    <t>"Fase de avaliação do método de entrega dos projetos"</t>
  </si>
  <si>
    <t>"Fase de montagem de equipe"</t>
  </si>
  <si>
    <t>"Fase de seleção de equipe de projeto"</t>
  </si>
  <si>
    <t>"Fase de seleção de equipe de planejamento"</t>
  </si>
  <si>
    <t>"Engenharia de instalações hidráulicas"</t>
  </si>
  <si>
    <t>"Fase de seleção de gerente da construção"</t>
  </si>
  <si>
    <t>"Fase de requisição para qualificação (RFQ)"</t>
  </si>
  <si>
    <t>"Fase de avaliação de requisição para qualificação (RFQ)"</t>
  </si>
  <si>
    <t>"Fase de Requisição de Proposta (RFP)"</t>
  </si>
  <si>
    <t>"Fase de Avaliação de Requisição de Proposta (RFP)"</t>
  </si>
  <si>
    <t>"Fase de Entrevista"</t>
  </si>
  <si>
    <t>"Fase de contratação de equipe"</t>
  </si>
  <si>
    <t>"Estágio de projeto"</t>
  </si>
  <si>
    <t>"Fase de descrição preliminar do projeto"</t>
  </si>
  <si>
    <t>"Fase de engenharia preliminar"</t>
  </si>
  <si>
    <t>"Fase de projeto conceituai"</t>
  </si>
  <si>
    <t>"Fase de detalhamento de projeto"</t>
  </si>
  <si>
    <t>"Fase de projeto executivo"</t>
  </si>
  <si>
    <t>"Fase de protótipo e testes"</t>
  </si>
  <si>
    <t>"Fase de análise de engenharia"</t>
  </si>
  <si>
    <t>"Fase de seleção de produto"</t>
  </si>
  <si>
    <t>"Fase de seleção de materiais"</t>
  </si>
  <si>
    <t>"Fase de estimativa de valores"</t>
  </si>
  <si>
    <t>"Fase de análise de valor"</t>
  </si>
  <si>
    <t>"Estágio de documentação de construção"</t>
  </si>
  <si>
    <t>"Fase de preparação da documentação de construção"</t>
  </si>
  <si>
    <t>"Fase de preparação de dados de construção"</t>
  </si>
  <si>
    <t>"Fase de preparação de desenhos"</t>
  </si>
  <si>
    <t>"Fase de preparação de detalhes"</t>
  </si>
  <si>
    <t>"Fase de preparação de desenhos de fabricação"</t>
  </si>
  <si>
    <t>"Fase de preparação de desenhos de coordenação"</t>
  </si>
  <si>
    <t>"Fase de preparação de especificações"</t>
  </si>
  <si>
    <t>"Fase de preparação de manual de projeto"</t>
  </si>
  <si>
    <t>"Fase de produção de documentos de construção"</t>
  </si>
  <si>
    <t>"Fase de estimativas de custos de construção"</t>
  </si>
  <si>
    <t>"Estágios de compras e contratações"</t>
  </si>
  <si>
    <t>"Fase de solicitações"</t>
  </si>
  <si>
    <t>"Fase de publicidade"</t>
  </si>
  <si>
    <t>"Fase de pré-qualificação"</t>
  </si>
  <si>
    <t>"Fase de edital de licitação"</t>
  </si>
  <si>
    <t>"Fase de escopo de edital de licitação"</t>
  </si>
  <si>
    <t>"Fase de precificação"</t>
  </si>
  <si>
    <t>"Fase de preparação da licitação"</t>
  </si>
  <si>
    <t>"Fase de preparação de propostas"</t>
  </si>
  <si>
    <t>"Fase de seleção"</t>
  </si>
  <si>
    <t>"Fase de seleção de construtor"</t>
  </si>
  <si>
    <t>"Fase de avaliação de proposta"</t>
  </si>
  <si>
    <t>"Fase de avaliação da licitação"</t>
  </si>
  <si>
    <t>"Fase de contratação"</t>
  </si>
  <si>
    <t>"Fase de negociação"</t>
  </si>
  <si>
    <t>"Fase de adjudicação da proposta vencedora"</t>
  </si>
  <si>
    <t>"Fase de execução de contrato"</t>
  </si>
  <si>
    <t>"Estágio de execução"</t>
  </si>
  <si>
    <t>"Fase de administração do contrato de construção"</t>
  </si>
  <si>
    <t>"Fase de preparação de construção"</t>
  </si>
  <si>
    <t>"Fase de mobilização"</t>
  </si>
  <si>
    <t>"Fase de subcontratação"</t>
  </si>
  <si>
    <t>"Fase de licenciamentos"</t>
  </si>
  <si>
    <t>"Fase de revisão de regulamentação"</t>
  </si>
  <si>
    <t>"Fase de aprovação de regulamentação"</t>
  </si>
  <si>
    <t>"Fase de solicitação de licenças e aprovações"</t>
  </si>
  <si>
    <t>"Fase de coordenação"</t>
  </si>
  <si>
    <t>"Fase de transmissão de controle e responsabilidade"</t>
  </si>
  <si>
    <t>"Fase de desenvolvimento de produto"</t>
  </si>
  <si>
    <t>"Fase de prototipação de produto"</t>
  </si>
  <si>
    <t>"Fase de ensaios de produto"</t>
  </si>
  <si>
    <t>"Fase de avaliação de produto"</t>
  </si>
  <si>
    <t>"Fase de aquisição de produtos"</t>
  </si>
  <si>
    <t>"Fase de pedidos de produtos"</t>
  </si>
  <si>
    <t>"Fase de entrega de produtos"</t>
  </si>
  <si>
    <t>"Fase de construção"</t>
  </si>
  <si>
    <t>"Fase de inicializaçâo da construção"</t>
  </si>
  <si>
    <t>"Fase de validação de processos de construção"</t>
  </si>
  <si>
    <t>"Fase de instalação"</t>
  </si>
  <si>
    <t>"Fase de aplicação"</t>
  </si>
  <si>
    <t>"Fase de produção"</t>
  </si>
  <si>
    <t>"Fase de equipamentos e ferramentas"</t>
  </si>
  <si>
    <t>"Fase de execução de projetos"</t>
  </si>
  <si>
    <t>"Fase de ereção-elevação"</t>
  </si>
  <si>
    <t>"Fase de montagem"</t>
  </si>
  <si>
    <t>"Fase de manufatura"</t>
  </si>
  <si>
    <t>"Fase de fabricação externa"</t>
  </si>
  <si>
    <t>"Fase de fabricação"</t>
  </si>
  <si>
    <t>"Fase de desmobilização"</t>
  </si>
  <si>
    <t>"Fase de encerramento da construção"</t>
  </si>
  <si>
    <t>"Fase de testes de edificações-instalações"</t>
  </si>
  <si>
    <t>"Fase de ajustes e balanceamentos"</t>
  </si>
  <si>
    <t>"Fase de avaliação"</t>
  </si>
  <si>
    <t>"Fase de limpeza"</t>
  </si>
  <si>
    <t>"Fase de encerramento de contrato"</t>
  </si>
  <si>
    <t>"Fase de equipação"</t>
  </si>
  <si>
    <t>"Fase de entrega"</t>
  </si>
  <si>
    <t>"Fase de comissionamento"</t>
  </si>
  <si>
    <t>"Fase de inicialização do comissionamento"</t>
  </si>
  <si>
    <t>"Fase de monitoração do comissionamento"</t>
  </si>
  <si>
    <t>"Fase de certificação do comissionamento"</t>
  </si>
  <si>
    <t>"Fase de demonstração de equipamentos das edificações-instalações"</t>
  </si>
  <si>
    <t>"Fase de treinamento nos equipamentos das edificações-instalações"</t>
  </si>
  <si>
    <t>"Estágio de utilização"</t>
  </si>
  <si>
    <t>"Fase de ocupação"</t>
  </si>
  <si>
    <t>"Fase de pré-inauguração"</t>
  </si>
  <si>
    <t>"Fase de inauguração"</t>
  </si>
  <si>
    <t>"Fase de utilização"</t>
  </si>
  <si>
    <t>"Fase de implantação"</t>
  </si>
  <si>
    <t>"Fase de gerenciamento da edificação-instalação"</t>
  </si>
  <si>
    <t>"Fase de operação da edificação-instalação"</t>
  </si>
  <si>
    <t>"Fase de inspeção da edificação-instalação"</t>
  </si>
  <si>
    <t>"Fase de manutenção da edificação-instalação"</t>
  </si>
  <si>
    <t>"Fase de reutilização da edificação-instalação"</t>
  </si>
  <si>
    <t>"Fase de reforma da edificação-instalação"</t>
  </si>
  <si>
    <t>"Fase de remodelagem da edificação-instalação"</t>
  </si>
  <si>
    <t>"Fase de expansão da edificação-instalação"</t>
  </si>
  <si>
    <t>"Fase de restauração da edificação-instalação"</t>
  </si>
  <si>
    <t>"Fase de reparação da edificação-instalação"</t>
  </si>
  <si>
    <t>"Fase de fechamento da edificação-instalação"</t>
  </si>
  <si>
    <t>"Fase de adaptação"</t>
  </si>
  <si>
    <t>"Fase de reequipação"</t>
  </si>
  <si>
    <t>"Fase de recomissionamento"</t>
  </si>
  <si>
    <t>"Fase de redesenvolvimento"</t>
  </si>
  <si>
    <t>"Fase de realocação"</t>
  </si>
  <si>
    <t>"Fase de desmontagem-desconstrução"</t>
  </si>
  <si>
    <t>"Fase de reciclagem"</t>
  </si>
  <si>
    <t>"Fase de descomissionamento"</t>
  </si>
  <si>
    <t>NBR.15965-3:2014</t>
  </si>
  <si>
    <t>978-85-07-05317-0</t>
  </si>
  <si>
    <t>Parte 3 - 1F:  Processos da Construção - Fases</t>
  </si>
  <si>
    <t>Parte_3_1F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</si>
  <si>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</si>
  <si>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</si>
  <si>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</si>
  <si>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</si>
  <si>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</si>
  <si>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</si>
  <si>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</si>
  <si>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</si>
  <si>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</si>
  <si>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</si>
  <si>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</si>
  <si>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</si>
  <si>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</si>
  <si>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</si>
  <si>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</si>
  <si>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</si>
  <si>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"Fase de pré-projeto. Estudo de massa"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</si>
  <si>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</si>
  <si>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</si>
  <si>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</si>
  <si>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</si>
  <si>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</si>
  <si>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</si>
  <si>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1F.10.11</t>
  </si>
  <si>
    <t>1F.10.11.14</t>
  </si>
  <si>
    <t>1F.10.11.17</t>
  </si>
  <si>
    <t>1F.10.11.21</t>
  </si>
  <si>
    <t>1F.10.14</t>
  </si>
  <si>
    <t>1F.10.14.14</t>
  </si>
  <si>
    <t>1F.10.14.15</t>
  </si>
  <si>
    <t>1F.10.14.17</t>
  </si>
  <si>
    <t>1F.10.14.21</t>
  </si>
  <si>
    <t>1F.10.27.00.x</t>
  </si>
  <si>
    <t>1F.10.27</t>
  </si>
  <si>
    <t>1F.10.31</t>
  </si>
  <si>
    <t>1F.10.37.00.x</t>
  </si>
  <si>
    <t>1F.10.37.00</t>
  </si>
  <si>
    <t>1F.10.37.11</t>
  </si>
  <si>
    <t>1F.10.37.14</t>
  </si>
  <si>
    <t>1F.10.37.21</t>
  </si>
  <si>
    <t>1F.10.37.25</t>
  </si>
  <si>
    <t>1F.10.39</t>
  </si>
  <si>
    <t>1F.10.41</t>
  </si>
  <si>
    <t>1F.10.41.11</t>
  </si>
  <si>
    <t>1F.10.41.21</t>
  </si>
  <si>
    <t>1F.10.41.31</t>
  </si>
  <si>
    <t>1F.10.41.34</t>
  </si>
  <si>
    <t>1F.10.41.37</t>
  </si>
  <si>
    <t>1F.10.41.41</t>
  </si>
  <si>
    <t>1F.10.41.x</t>
  </si>
  <si>
    <t>1F.10.41.47</t>
  </si>
  <si>
    <t>1F.10.41.51</t>
  </si>
  <si>
    <t>1F.10.41.54</t>
  </si>
  <si>
    <t>1F.10.41.61.x</t>
  </si>
  <si>
    <t>1F.10.41.61</t>
  </si>
  <si>
    <t>1F.10.43</t>
  </si>
  <si>
    <t>1F.10.45</t>
  </si>
  <si>
    <t>1F.15</t>
  </si>
  <si>
    <t>1F.15.10</t>
  </si>
  <si>
    <t>1F.15.20</t>
  </si>
  <si>
    <t>1F.15.20.11</t>
  </si>
  <si>
    <t>1F.15.20.14</t>
  </si>
  <si>
    <t>1F.15.20.17</t>
  </si>
  <si>
    <t>1F.15.20.21</t>
  </si>
  <si>
    <t>1F.15.20.24</t>
  </si>
  <si>
    <t>1F.15.20.27</t>
  </si>
  <si>
    <t>1F.15.20.31</t>
  </si>
  <si>
    <t>1F.15.20.34</t>
  </si>
  <si>
    <t>1F.15.20.37</t>
  </si>
  <si>
    <t>1F.15.20.39</t>
  </si>
  <si>
    <t>1F.20</t>
  </si>
  <si>
    <t>1F.20.10</t>
  </si>
  <si>
    <t>1F.20.10.11</t>
  </si>
  <si>
    <t>1F.20.10.14</t>
  </si>
  <si>
    <t>1F.20.10.17</t>
  </si>
  <si>
    <t>1F.20.10.21</t>
  </si>
  <si>
    <t>1F.20.20</t>
  </si>
  <si>
    <t>1F.20.20.11</t>
  </si>
  <si>
    <t>1F.20.20.14</t>
  </si>
  <si>
    <t>1F.20.20.17</t>
  </si>
  <si>
    <t>1F.20.20.21</t>
  </si>
  <si>
    <t>1F.20.20.24</t>
  </si>
  <si>
    <t>1F.20.20.27</t>
  </si>
  <si>
    <t>1F.20.20.31</t>
  </si>
  <si>
    <t>1F.20.20.34</t>
  </si>
  <si>
    <t>1F.20.20.37</t>
  </si>
  <si>
    <t>1F.25</t>
  </si>
  <si>
    <t>1F.25.10</t>
  </si>
  <si>
    <t>1F.25.10.11</t>
  </si>
  <si>
    <t>1F.25.10.14</t>
  </si>
  <si>
    <t>1F.25.10.17</t>
  </si>
  <si>
    <t>1F.25.10.21</t>
  </si>
  <si>
    <t>1F.25.10.24</t>
  </si>
  <si>
    <t>1F.25.10.27</t>
  </si>
  <si>
    <t>1F.25.10.31</t>
  </si>
  <si>
    <t>1F.25.20</t>
  </si>
  <si>
    <t>1F.25.30</t>
  </si>
  <si>
    <t>1F.30</t>
  </si>
  <si>
    <t>1F.30.10</t>
  </si>
  <si>
    <t>1F.30.x</t>
  </si>
  <si>
    <t>1F.30.20</t>
  </si>
  <si>
    <t>1F.30.30</t>
  </si>
  <si>
    <t>1F.30.30.11</t>
  </si>
  <si>
    <t>1F.30.30.14</t>
  </si>
  <si>
    <t>1F.30.30.17</t>
  </si>
  <si>
    <t>1F.30.30.21</t>
  </si>
  <si>
    <t>1F.30.40</t>
  </si>
  <si>
    <t>1F.30.40.11</t>
  </si>
  <si>
    <t>1F.30.40.14</t>
  </si>
  <si>
    <t>1F.30.40.17</t>
  </si>
  <si>
    <t>1F.30.50</t>
  </si>
  <si>
    <t>1F.30.50.11</t>
  </si>
  <si>
    <t>1F.30.50.14</t>
  </si>
  <si>
    <t>1F.30.50.17</t>
  </si>
  <si>
    <t>1F.40</t>
  </si>
  <si>
    <t>1F.40.10</t>
  </si>
  <si>
    <t>1F.40.20</t>
  </si>
  <si>
    <t>1F.40.20.11</t>
  </si>
  <si>
    <t>1F.40.20.14</t>
  </si>
  <si>
    <t>1F.40.20.17</t>
  </si>
  <si>
    <t>1F.40.20.21</t>
  </si>
  <si>
    <t>1F.40.20.24</t>
  </si>
  <si>
    <t>1F.40.20.27</t>
  </si>
  <si>
    <t>1F.40.20.31</t>
  </si>
  <si>
    <t>1F.40.20.34</t>
  </si>
  <si>
    <t>1F.40.20.37</t>
  </si>
  <si>
    <t>1F.40.30</t>
  </si>
  <si>
    <t>1F.40.30.11</t>
  </si>
  <si>
    <t>1F.40.30.14</t>
  </si>
  <si>
    <t>1F.40.30.17</t>
  </si>
  <si>
    <t>1F.40.30.21</t>
  </si>
  <si>
    <t>1F.40.30.24</t>
  </si>
  <si>
    <t>1F.40.30.27</t>
  </si>
  <si>
    <t>1F.40.40</t>
  </si>
  <si>
    <t>1F.40.40.11</t>
  </si>
  <si>
    <t>1F.40.40.11.11</t>
  </si>
  <si>
    <t>1F.40.40.11.14</t>
  </si>
  <si>
    <t>1F.40.40.11.17</t>
  </si>
  <si>
    <t>1F.40.40.11.21</t>
  </si>
  <si>
    <t>1F.40.40.11.24</t>
  </si>
  <si>
    <t>1F.40.40.11.27</t>
  </si>
  <si>
    <t>1F.40.40.14</t>
  </si>
  <si>
    <t>1F.40.40.14.11</t>
  </si>
  <si>
    <t>1F.40.40.14.14</t>
  </si>
  <si>
    <t>1F.40.40.14.17</t>
  </si>
  <si>
    <t>1F.40.40.14.21</t>
  </si>
  <si>
    <t>1F.40.40.14.24</t>
  </si>
  <si>
    <t>1F.40.40.14.27</t>
  </si>
  <si>
    <t>1F.40.40.91</t>
  </si>
  <si>
    <t>1F.40.40.91.11</t>
  </si>
  <si>
    <t>1F.40.40.91.14</t>
  </si>
  <si>
    <t>1F.40.40.91.17</t>
  </si>
  <si>
    <t>1F.40.40.91.21</t>
  </si>
  <si>
    <t>1F.40.40.91.24</t>
  </si>
  <si>
    <t>1F.40.40.91.27</t>
  </si>
  <si>
    <t>1F.40.40.91.31</t>
  </si>
  <si>
    <t>1F.40.50</t>
  </si>
  <si>
    <t>1F.40.50.11</t>
  </si>
  <si>
    <t>1F.40.50.21</t>
  </si>
  <si>
    <t>1F.40.50.31</t>
  </si>
  <si>
    <t>1F.40.50.41</t>
  </si>
  <si>
    <t>1F.40.50.51</t>
  </si>
  <si>
    <t>1F.50</t>
  </si>
  <si>
    <t>1F.50.10</t>
  </si>
  <si>
    <t>1F.50.10.11</t>
  </si>
  <si>
    <t>1F.50.10.14</t>
  </si>
  <si>
    <t>1F.50.10.17</t>
  </si>
  <si>
    <t>1F.50.10.19</t>
  </si>
  <si>
    <t>1F.50.20</t>
  </si>
  <si>
    <t>1F.50.20.11</t>
  </si>
  <si>
    <t>1F.50.20.21</t>
  </si>
  <si>
    <t>1F.50.20.31</t>
  </si>
  <si>
    <t>1F.50.30</t>
  </si>
  <si>
    <t>1F.50.30.11</t>
  </si>
  <si>
    <t>1F.50.30.14</t>
  </si>
  <si>
    <t>1F.50.30.17</t>
  </si>
  <si>
    <t>1F.50.30.21</t>
  </si>
  <si>
    <t>1F.50.70</t>
  </si>
  <si>
    <t>1F.60</t>
  </si>
  <si>
    <t>1F.60.10</t>
  </si>
  <si>
    <t>1F.60.10.11</t>
  </si>
  <si>
    <t>1F.60.10.14</t>
  </si>
  <si>
    <t>1F.60.20</t>
  </si>
  <si>
    <t>1F.60.25</t>
  </si>
  <si>
    <t>1F.60.30</t>
  </si>
  <si>
    <t>1F.60.35</t>
  </si>
  <si>
    <t>1F.60.40</t>
  </si>
  <si>
    <t>1F.80</t>
  </si>
  <si>
    <t>parte</t>
  </si>
  <si>
    <t>"Parte 3"</t>
  </si>
  <si>
    <t>tema</t>
  </si>
  <si>
    <t>NBR15965</t>
  </si>
  <si>
    <t>"Tema 1F - Fases - Derivada da Tabela 31 de Omniclass"</t>
  </si>
  <si>
    <t>1F</t>
  </si>
  <si>
    <t>norma</t>
  </si>
  <si>
    <t>1F.Parte3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</si>
  <si>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</si>
  <si>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</si>
  <si>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</si>
  <si>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</si>
  <si>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</si>
  <si>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</si>
  <si>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</si>
  <si>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</si>
  <si>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</si>
  <si>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</si>
  <si>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</si>
  <si>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</si>
  <si>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</si>
  <si>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</si>
  <si>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</si>
  <si>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</si>
  <si>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</si>
  <si>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</si>
  <si>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</si>
  <si>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</si>
  <si>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</si>
  <si>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</si>
  <si>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</si>
  <si>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</si>
  <si>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</si>
  <si>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</si>
  <si>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</si>
  <si>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</si>
  <si>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</si>
  <si>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</si>
  <si>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</si>
  <si>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</si>
  <si>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</si>
  <si>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</si>
  <si>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</si>
  <si>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</si>
  <si>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</si>
  <si>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</si>
  <si>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</si>
  <si>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</si>
  <si>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</si>
  <si>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</si>
  <si>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</si>
  <si>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</si>
  <si>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</si>
  <si>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</si>
  <si>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</si>
  <si>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</si>
  <si>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</si>
  <si>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"Fases"</t>
  </si>
  <si>
    <t>subtema</t>
  </si>
  <si>
    <t>"Projeto"</t>
  </si>
  <si>
    <t>"Fase de seleção de equipamentos"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</si>
  <si>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</si>
  <si>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</si>
  <si>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</si>
  <si>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</si>
  <si>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</si>
  <si>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</si>
  <si>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</si>
  <si>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</si>
  <si>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</si>
  <si>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</si>
  <si>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</si>
  <si>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</si>
  <si>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"-"</t>
  </si>
  <si>
    <t>"Norma Brasileira para a classificação de objetos da construção"</t>
  </si>
  <si>
    <t>categoria.revit</t>
  </si>
  <si>
    <t>classe.ifc</t>
  </si>
  <si>
    <t>"OST_Phases"</t>
  </si>
  <si>
    <t>"IfcTask"</t>
  </si>
  <si>
    <t>Advertência</t>
  </si>
  <si>
    <t>Alert</t>
  </si>
  <si>
    <t>Interdisciplinar</t>
  </si>
  <si>
    <t>0M</t>
  </si>
  <si>
    <t>0P</t>
  </si>
  <si>
    <t>1D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</si>
  <si>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</si>
  <si>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</si>
  <si>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</si>
  <si>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</si>
  <si>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</si>
  <si>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</si>
  <si>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</si>
  <si>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</si>
  <si>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</si>
  <si>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"Operação"</t>
  </si>
  <si>
    <t>"Fechamento e Demolição"</t>
  </si>
  <si>
    <t>"Comissionamento"</t>
  </si>
  <si>
    <t>"Construtiva"</t>
  </si>
  <si>
    <t>"Programação de empreendimento"</t>
  </si>
  <si>
    <t>"Estudos Preliminares"</t>
  </si>
  <si>
    <t>"Licitação obra"</t>
  </si>
  <si>
    <t>"Normas"</t>
  </si>
  <si>
    <t>"Classificação de Projeto e Construção"</t>
  </si>
  <si>
    <t>é.pertencente.a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</si>
  <si>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</si>
  <si>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</si>
  <si>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</si>
  <si>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</si>
  <si>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</si>
  <si>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</si>
  <si>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</si>
  <si>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</si>
  <si>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</si>
  <si>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</si>
  <si>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</si>
  <si>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</si>
  <si>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</si>
  <si>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</si>
  <si>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NBR.F.Programação</t>
  </si>
  <si>
    <t>NBR.F.Estudo.Preliminar</t>
  </si>
  <si>
    <t>NBR.F.Construtiva</t>
  </si>
  <si>
    <t>NBR.F.Comissionamento</t>
  </si>
  <si>
    <t>NBR.F.Fechamento.Demolição</t>
  </si>
  <si>
    <t>NBR.Fases</t>
  </si>
  <si>
    <t>Fase de Programação</t>
  </si>
  <si>
    <t>Fase de Projetos</t>
  </si>
  <si>
    <t>Fase de Comissionamento</t>
  </si>
  <si>
    <t>Fase de Operação</t>
  </si>
  <si>
    <t>Fase de Fechamento e Demolição</t>
  </si>
  <si>
    <t>Fase de Construção</t>
  </si>
  <si>
    <t>Fase de Licitação de Obra</t>
  </si>
  <si>
    <t>Fase de Estudos Preliminares</t>
  </si>
  <si>
    <t>[ 1F.10 ]</t>
  </si>
  <si>
    <t>[ 1F.10.41 ]</t>
  </si>
  <si>
    <t>[ 1F.20 ]</t>
  </si>
  <si>
    <t>[ 1F.30 ]</t>
  </si>
  <si>
    <t>[ 1F.40.50 ]</t>
  </si>
  <si>
    <t>[ 1F.50 ]</t>
  </si>
  <si>
    <t>[ 1F.60 ]</t>
  </si>
  <si>
    <t>[ 1F.40 ]</t>
  </si>
  <si>
    <t>NBR.F.Projetual</t>
  </si>
  <si>
    <t>NBR.F.Licitação</t>
  </si>
  <si>
    <t>NBR.F.Operacional</t>
  </si>
  <si>
    <t>"Parte 3 da NBR 15.965"</t>
  </si>
  <si>
    <t>"Fases do ciclo de vida da edificação"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</si>
  <si>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</si>
  <si>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</si>
  <si>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</si>
  <si>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</si>
  <si>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</si>
  <si>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</si>
  <si>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</si>
  <si>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</si>
  <si>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</si>
  <si>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</si>
  <si>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</si>
  <si>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</si>
  <si>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</si>
  <si>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</si>
  <si>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</si>
  <si>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</si>
  <si>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</si>
  <si>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</si>
  <si>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</si>
  <si>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</si>
  <si>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</si>
  <si>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</si>
  <si>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</si>
  <si>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</si>
  <si>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</si>
  <si>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</si>
  <si>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</si>
  <si>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</si>
  <si>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</si>
  <si>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</si>
  <si>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</si>
  <si>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</si>
  <si>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</si>
  <si>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</si>
  <si>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</si>
  <si>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</si>
  <si>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</si>
  <si>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</si>
  <si>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</si>
  <si>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</si>
  <si>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</si>
  <si>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</si>
  <si>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</si>
  <si>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</si>
  <si>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</si>
  <si>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</si>
  <si>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</si>
  <si>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</si>
  <si>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</si>
  <si>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</si>
  <si>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</si>
  <si>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</si>
  <si>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</si>
  <si>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</si>
  <si>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</si>
  <si>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</si>
  <si>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</si>
  <si>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</si>
  <si>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</si>
  <si>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</si>
  <si>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</si>
  <si>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</si>
  <si>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</si>
  <si>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</si>
  <si>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</si>
  <si>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</si>
  <si>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</si>
  <si>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</si>
  <si>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</si>
  <si>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</si>
  <si>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</si>
  <si>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</si>
  <si>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</si>
  <si>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</si>
  <si>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</si>
  <si>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</si>
  <si>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</si>
  <si>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</si>
  <si>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</si>
  <si>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Programming Phase</t>
  </si>
  <si>
    <t>Preliminary Studies Phase</t>
  </si>
  <si>
    <t>Project Phase</t>
  </si>
  <si>
    <t>Bidding Phase</t>
  </si>
  <si>
    <t>Construction Phase</t>
  </si>
  <si>
    <t>Commissioning Phase</t>
  </si>
  <si>
    <t>Operation Phase</t>
  </si>
  <si>
    <t>Closure and Demolition Phase</t>
  </si>
  <si>
    <t>Fase de programación</t>
  </si>
  <si>
    <t>Fase de Estudios Preliminares</t>
  </si>
  <si>
    <t>Fase del proyecto</t>
  </si>
  <si>
    <t>Fase de subasta</t>
  </si>
  <si>
    <t>Fase de construcción</t>
  </si>
  <si>
    <t>Fase de puesta en servicio</t>
  </si>
  <si>
    <t>Fase de Operación</t>
  </si>
  <si>
    <t>Fase de cierre y demolición</t>
  </si>
  <si>
    <t>Parâmetro Rvt</t>
  </si>
  <si>
    <t>Atributo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</si>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</sst>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87">
    <xf numFmtId="0" fontId="0" fillId="0" borderId="0" xfId="0"/>
    <xf numFmtId="0" fontId="3" fillId="6" borderId="1" xfId="0" applyFont="1" applyFill="1" applyBorder="1" applyAlignment="1">
      <alignment vertical="center"/>
    </xf>
    <xf numFmtId="0" fontId="4" fillId="0" borderId="0" xfId="0" applyFont="1"/>
    <xf numFmtId="0" fontId="5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8" fillId="11" borderId="5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vertical="center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1" fillId="15" borderId="4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12" borderId="1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1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3" fillId="15" borderId="5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6" fillId="0" borderId="1" xfId="0" applyFont="1" applyBorder="1"/>
    <xf numFmtId="0" fontId="16" fillId="0" borderId="0" xfId="0" applyFont="1" applyAlignment="1">
      <alignment vertical="center"/>
    </xf>
    <xf numFmtId="0" fontId="8" fillId="27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6" fillId="0" borderId="0" xfId="0" applyFont="1"/>
    <xf numFmtId="0" fontId="8" fillId="20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8" fillId="28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vertical="center"/>
    </xf>
    <xf numFmtId="0" fontId="5" fillId="12" borderId="5" xfId="0" applyFont="1" applyFill="1" applyBorder="1" applyAlignment="1">
      <alignment vertical="center"/>
    </xf>
    <xf numFmtId="0" fontId="5" fillId="12" borderId="5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5" fillId="29" borderId="5" xfId="0" applyFont="1" applyFill="1" applyBorder="1" applyAlignment="1">
      <alignment horizontal="left" vertical="center"/>
    </xf>
    <xf numFmtId="0" fontId="8" fillId="30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9B49B867-F029-4368-B154-870C7BE57F68}"/>
  </cellStyles>
  <dxfs count="119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theme="0"/>
          <bgColor rgb="FFFF99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AE174" headerRowCount="0" totalsRowShown="0" headerRowDxfId="118" dataDxfId="116" headerRowBorderDxfId="117" tableBorderDxfId="115" totalsRowBorderDxfId="114">
  <tableColumns count="31">
    <tableColumn id="1" xr3:uid="{D841A366-4823-4EF9-B009-219AA94AF50A}" name="1" headerRowDxfId="113" dataDxfId="112"/>
    <tableColumn id="2" xr3:uid="{41E717E1-E3DE-44C1-91C4-719DAB59A464}" name="Indivíduo" headerRowDxfId="111" dataDxfId="110"/>
    <tableColumn id="26" xr3:uid="{C91353D4-2D80-49C8-8738-A06C8033990C}" name="Coluna21" headerRowDxfId="109" dataDxfId="108"/>
    <tableColumn id="5" xr3:uid="{AAB64158-D6DA-4E9F-AC47-A0274997AD5C}" name="Coluna8" headerRowDxfId="107" dataDxfId="106"/>
    <tableColumn id="4" xr3:uid="{9F1772E8-67AD-410D-A17F-F21B8080770D}" name="Coluna7" headerRowDxfId="105" dataDxfId="104"/>
    <tableColumn id="9" xr3:uid="{9B194C8C-85D6-4BE2-B1AE-E11E335186F0}" name="Coluna6" headerRowDxfId="103" dataDxfId="102"/>
    <tableColumn id="8" xr3:uid="{6F1A2D13-ED4B-47DE-AFA9-D11431CAA734}" name="Coluna5" headerRowDxfId="101" dataDxfId="100"/>
    <tableColumn id="15" xr3:uid="{0C0DAD0A-A76E-4555-A1F1-F78A8F1BE2C2}" name="Coluna4" headerRowDxfId="99" dataDxfId="98"/>
    <tableColumn id="14" xr3:uid="{C073F03F-8B8F-474F-AF29-E26DD9C1B19A}" name="Coluna3" headerRowDxfId="97" dataDxfId="96"/>
    <tableColumn id="11" xr3:uid="{AE04A63A-3540-4CF3-9D9A-59CD3577B22C}" name="Coluna2" headerRowDxfId="95" dataDxfId="94"/>
    <tableColumn id="10" xr3:uid="{F50D06F5-DC15-417E-BE0C-A36478AC8A38}" name="Coluna1" headerRowDxfId="93" dataDxfId="92"/>
    <tableColumn id="25" xr3:uid="{FF2B42B8-007D-4B78-A1E6-70321A25B422}" name="Coluna20" headerRowDxfId="91" dataDxfId="90"/>
    <tableColumn id="24" xr3:uid="{B0850B61-1B8F-418B-98C0-04AB09902DE3}" name="Coluna19" headerRowDxfId="89" dataDxfId="88"/>
    <tableColumn id="12" xr3:uid="{72731FBF-D3F4-42FD-AF7E-09CD79716DE3}" name="Fato (11)" headerRowDxfId="87" dataDxfId="86"/>
    <tableColumn id="13" xr3:uid="{40ED8FBD-39D6-4C0F-867B-9AA8C9C09316}" name="Valor8" headerRowDxfId="85" dataDxfId="84"/>
    <tableColumn id="6" xr3:uid="{8E7C1DDF-1846-4221-9B0E-C7E4CC7EA057}" name="Coluna9" headerRowDxfId="83" dataDxfId="82"/>
    <tableColumn id="7" xr3:uid="{3D7A485C-E68B-4D3B-888E-DCFC8EAEE60D}" name="Coluna10" headerRowDxfId="81" dataDxfId="80"/>
    <tableColumn id="16" xr3:uid="{FECF52FB-CC27-4CA6-B622-AF9F7DB3B554}" name="Coluna11" headerRowDxfId="79" dataDxfId="78"/>
    <tableColumn id="17" xr3:uid="{D79F8B63-2EF5-45DD-9134-450A005B41F4}" name="Coluna12" headerRowDxfId="77" dataDxfId="76"/>
    <tableColumn id="18" xr3:uid="{DAFF39A1-0FA6-4AF0-A3B6-380882A29861}" name="Coluna13" headerRowDxfId="75" dataDxfId="74"/>
    <tableColumn id="19" xr3:uid="{87AE1228-C62F-45E2-A7B1-A0914F89FBE3}" name="Coluna14" headerRowDxfId="73" dataDxfId="72"/>
    <tableColumn id="22" xr3:uid="{5C11667F-4365-4FD8-A625-69FCEAC4D24C}" name="Coluna17" headerRowDxfId="71" dataDxfId="70"/>
    <tableColumn id="23" xr3:uid="{38F8B48D-5280-437C-BB95-24A464DAF74A}" name="Coluna18" headerRowDxfId="69" dataDxfId="68"/>
    <tableColumn id="3" xr3:uid="{67BF49D0-5BD9-4C65-9F7F-321F877F93D3}" name="Coluna22" headerRowDxfId="67" dataDxfId="66"/>
    <tableColumn id="27" xr3:uid="{7A57466B-85C9-4F19-B457-DD53AF8B8B43}" name="Coluna23" headerRowDxfId="65" dataDxfId="64"/>
    <tableColumn id="28" xr3:uid="{6D0F7AE3-FE22-4AE0-AE3D-EA7C26DBB834}" name="Coluna24" headerRowDxfId="63" dataDxfId="62"/>
    <tableColumn id="29" xr3:uid="{B5303D9A-769C-4D11-ADE2-1AAE03620B1A}" name="Coluna25" headerRowDxfId="61" dataDxfId="60"/>
    <tableColumn id="30" xr3:uid="{4F8D4348-881E-4EAD-A52A-10BC46F48D0D}" name="Coluna26" headerRowDxfId="59" dataDxfId="58"/>
    <tableColumn id="31" xr3:uid="{C0E47BB3-37C7-4FBB-B9CB-C678EBFDA4CA}" name="Coluna27" headerRowDxfId="57" dataDxfId="56"/>
    <tableColumn id="32" xr3:uid="{6015C5FC-5AAA-4A27-A4C7-2E5CBBCB9787}" name="Coluna28" headerRowDxfId="55" dataDxfId="54"/>
    <tableColumn id="33" xr3:uid="{ECDE8196-C351-4A04-9C91-30718C7DA362}" name="Coluna29" headerRowDxfId="53" dataDxfId="5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0FC7-022F-4B0D-BBFB-289DF5E27855}">
  <sheetPr codeName="Planilha1"/>
  <dimension ref="A1:C39"/>
  <sheetViews>
    <sheetView zoomScale="205" zoomScaleNormal="205" workbookViewId="0">
      <pane ySplit="1" topLeftCell="A16" activePane="bottomLeft" state="frozen"/>
      <selection pane="bottomLeft" activeCell="A27" sqref="A27:XFD39"/>
    </sheetView>
  </sheetViews>
  <sheetFormatPr defaultRowHeight="8.25" customHeight="1" x14ac:dyDescent="0.2"/>
  <cols>
    <col min="1" max="1" width="9.6640625" bestFit="1" customWidth="1"/>
    <col min="2" max="2" width="65.6640625" bestFit="1" customWidth="1"/>
    <col min="3" max="3" width="4.5" bestFit="1" customWidth="1"/>
  </cols>
  <sheetData>
    <row r="1" spans="1:3" ht="15.6" customHeight="1" x14ac:dyDescent="0.2">
      <c r="A1" s="1" t="s">
        <v>4</v>
      </c>
      <c r="B1" s="1" t="s">
        <v>3</v>
      </c>
      <c r="C1" s="45" t="s">
        <v>431</v>
      </c>
    </row>
    <row r="2" spans="1:3" s="47" customFormat="1" ht="6.95" customHeight="1" x14ac:dyDescent="0.2">
      <c r="A2" s="3" t="s">
        <v>177</v>
      </c>
      <c r="B2" s="3" t="s">
        <v>420</v>
      </c>
      <c r="C2" s="46" t="s">
        <v>432</v>
      </c>
    </row>
    <row r="3" spans="1:3" s="47" customFormat="1" ht="6.95" customHeight="1" x14ac:dyDescent="0.2">
      <c r="A3" s="3" t="s">
        <v>178</v>
      </c>
      <c r="B3" s="3" t="s">
        <v>175</v>
      </c>
      <c r="C3" s="46" t="s">
        <v>432</v>
      </c>
    </row>
    <row r="4" spans="1:3" s="47" customFormat="1" ht="6.95" customHeight="1" x14ac:dyDescent="0.2">
      <c r="A4" s="4" t="s">
        <v>5</v>
      </c>
      <c r="B4" s="4" t="s">
        <v>373</v>
      </c>
      <c r="C4" s="46" t="s">
        <v>432</v>
      </c>
    </row>
    <row r="5" spans="1:3" s="47" customFormat="1" ht="6.95" customHeight="1" x14ac:dyDescent="0.2">
      <c r="A5" s="4" t="s">
        <v>6</v>
      </c>
      <c r="B5" s="4" t="str">
        <f>_xlfn.CONCAT(B4,"Prop")</f>
        <v>BIMProp</v>
      </c>
      <c r="C5" s="46" t="s">
        <v>432</v>
      </c>
    </row>
    <row r="6" spans="1:3" s="47" customFormat="1" ht="6.95" customHeight="1" x14ac:dyDescent="0.2">
      <c r="A6" s="4" t="s">
        <v>7</v>
      </c>
      <c r="B6" s="4" t="str">
        <f>_xlfn.CONCAT(B4,"Data")</f>
        <v>BIMData</v>
      </c>
      <c r="C6" s="46" t="s">
        <v>432</v>
      </c>
    </row>
    <row r="7" spans="1:3" s="47" customFormat="1" ht="6.95" customHeight="1" x14ac:dyDescent="0.2">
      <c r="A7" s="4" t="s">
        <v>8</v>
      </c>
      <c r="B7" s="4" t="s">
        <v>194</v>
      </c>
      <c r="C7" s="46" t="s">
        <v>432</v>
      </c>
    </row>
    <row r="8" spans="1:3" s="47" customFormat="1" ht="6.95" customHeight="1" x14ac:dyDescent="0.2">
      <c r="A8" s="43" t="s">
        <v>9</v>
      </c>
      <c r="B8" s="43" t="s">
        <v>430</v>
      </c>
      <c r="C8" s="46" t="s">
        <v>432</v>
      </c>
    </row>
    <row r="9" spans="1:3" s="47" customFormat="1" ht="6.95" customHeight="1" x14ac:dyDescent="0.2">
      <c r="A9" s="4" t="s">
        <v>179</v>
      </c>
      <c r="B9" s="4" t="s">
        <v>180</v>
      </c>
      <c r="C9" s="46" t="s">
        <v>432</v>
      </c>
    </row>
    <row r="10" spans="1:3" s="47" customFormat="1" ht="6.95" customHeight="1" x14ac:dyDescent="0.2">
      <c r="A10" s="4" t="s">
        <v>181</v>
      </c>
      <c r="B10" s="4" t="s">
        <v>172</v>
      </c>
      <c r="C10" s="46" t="s">
        <v>432</v>
      </c>
    </row>
    <row r="11" spans="1:3" s="47" customFormat="1" ht="6.95" customHeight="1" x14ac:dyDescent="0.2">
      <c r="A11" s="4" t="s">
        <v>182</v>
      </c>
      <c r="B11" s="4" t="s">
        <v>193</v>
      </c>
      <c r="C11" s="46" t="s">
        <v>432</v>
      </c>
    </row>
    <row r="12" spans="1:3" s="47" customFormat="1" ht="6.95" customHeight="1" x14ac:dyDescent="0.2">
      <c r="A12" s="4" t="s">
        <v>10</v>
      </c>
      <c r="B12" s="4" t="s">
        <v>173</v>
      </c>
      <c r="C12" s="46" t="s">
        <v>432</v>
      </c>
    </row>
    <row r="13" spans="1:3" s="47" customFormat="1" ht="6.95" customHeight="1" x14ac:dyDescent="0.2">
      <c r="A13" s="4" t="s">
        <v>183</v>
      </c>
      <c r="B13" s="4" t="s">
        <v>174</v>
      </c>
      <c r="C13" s="46" t="s">
        <v>432</v>
      </c>
    </row>
    <row r="14" spans="1:3" s="47" customFormat="1" ht="6.95" customHeight="1" x14ac:dyDescent="0.2">
      <c r="A14" s="4" t="s">
        <v>184</v>
      </c>
      <c r="B14" s="4" t="s">
        <v>11</v>
      </c>
      <c r="C14" s="46" t="s">
        <v>432</v>
      </c>
    </row>
    <row r="15" spans="1:3" s="47" customFormat="1" ht="6.95" customHeight="1" x14ac:dyDescent="0.2">
      <c r="A15" s="4" t="s">
        <v>185</v>
      </c>
      <c r="B15" s="4" t="s">
        <v>11</v>
      </c>
      <c r="C15" s="46" t="s">
        <v>432</v>
      </c>
    </row>
    <row r="16" spans="1:3" s="47" customFormat="1" ht="6.95" customHeight="1" x14ac:dyDescent="0.2">
      <c r="A16" s="4" t="s">
        <v>186</v>
      </c>
      <c r="B16" s="4" t="s">
        <v>11</v>
      </c>
      <c r="C16" s="46" t="s">
        <v>432</v>
      </c>
    </row>
    <row r="17" spans="1:3" s="47" customFormat="1" ht="6.95" customHeight="1" x14ac:dyDescent="0.2">
      <c r="A17" s="4" t="s">
        <v>12</v>
      </c>
      <c r="B17" s="4" t="s">
        <v>13</v>
      </c>
      <c r="C17" s="46" t="s">
        <v>432</v>
      </c>
    </row>
    <row r="18" spans="1:3" s="47" customFormat="1" ht="6.95" customHeight="1" x14ac:dyDescent="0.2">
      <c r="A18" s="4" t="s">
        <v>187</v>
      </c>
      <c r="B18" s="5">
        <f ca="1">NOW()</f>
        <v>46273.465192476855</v>
      </c>
      <c r="C18" s="46" t="s">
        <v>432</v>
      </c>
    </row>
    <row r="19" spans="1:3" s="47" customFormat="1" ht="6.95" customHeight="1" x14ac:dyDescent="0.2">
      <c r="A19" s="4" t="s">
        <v>443</v>
      </c>
      <c r="B19" s="5" t="s">
        <v>435</v>
      </c>
      <c r="C19" s="46" t="s">
        <v>432</v>
      </c>
    </row>
    <row r="20" spans="1:3" s="47" customFormat="1" ht="6.95" customHeight="1" x14ac:dyDescent="0.2">
      <c r="A20" s="43" t="s">
        <v>436</v>
      </c>
      <c r="B20" s="5" t="str">
        <f>_xlfn.TRANSLATE(B19,"pt","es")</f>
        <v>El Estándar fue preparado por el Comité Especial de Estudio sobre Modelado de Información de Edificación (BIM) ABNT/CEE-134</v>
      </c>
      <c r="C20" s="46" t="s">
        <v>433</v>
      </c>
    </row>
    <row r="21" spans="1:3" s="47" customFormat="1" ht="6.95" customHeight="1" x14ac:dyDescent="0.2">
      <c r="A21" s="43" t="s">
        <v>444</v>
      </c>
      <c r="B21" s="5" t="str">
        <f>_xlfn.TRANSLATE(B20,"pt","en")</f>
        <v>The Standard was prepared by the Special Committee of Studies on Building Information Modeling (BIM) ABNT/CEE-134</v>
      </c>
      <c r="C21" s="46" t="s">
        <v>434</v>
      </c>
    </row>
    <row r="22" spans="1:3" s="47" customFormat="1" ht="6.95" customHeight="1" x14ac:dyDescent="0.2">
      <c r="A22" s="4" t="s">
        <v>176</v>
      </c>
      <c r="B22" s="4" t="s">
        <v>11</v>
      </c>
      <c r="C22" s="46" t="s">
        <v>432</v>
      </c>
    </row>
    <row r="23" spans="1:3" s="47" customFormat="1" ht="6.95" customHeight="1" x14ac:dyDescent="0.2">
      <c r="A23" s="4" t="s">
        <v>188</v>
      </c>
      <c r="B23" s="5" t="s">
        <v>11</v>
      </c>
      <c r="C23" s="46" t="s">
        <v>432</v>
      </c>
    </row>
    <row r="24" spans="1:3" s="47" customFormat="1" ht="6.95" customHeight="1" x14ac:dyDescent="0.2">
      <c r="A24" s="4" t="s">
        <v>195</v>
      </c>
      <c r="B24" s="4" t="s">
        <v>196</v>
      </c>
      <c r="C24" s="46" t="s">
        <v>432</v>
      </c>
    </row>
    <row r="25" spans="1:3" s="47" customFormat="1" ht="6.95" customHeight="1" x14ac:dyDescent="0.2">
      <c r="A25" s="4" t="s">
        <v>197</v>
      </c>
      <c r="B25" s="4" t="s">
        <v>198</v>
      </c>
      <c r="C25" s="46" t="s">
        <v>433</v>
      </c>
    </row>
    <row r="26" spans="1:3" s="47" customFormat="1" ht="6.95" customHeight="1" x14ac:dyDescent="0.2">
      <c r="A26" s="43" t="s">
        <v>428</v>
      </c>
      <c r="B26" s="44" t="s">
        <v>429</v>
      </c>
      <c r="C26" s="46" t="s">
        <v>434</v>
      </c>
    </row>
    <row r="27" spans="1:3" ht="8.25" customHeight="1" x14ac:dyDescent="0.2">
      <c r="A27" s="43" t="s">
        <v>548</v>
      </c>
      <c r="B27" s="65" t="s">
        <v>549</v>
      </c>
      <c r="C27" s="46" t="s">
        <v>432</v>
      </c>
    </row>
    <row r="28" spans="1:3" ht="8.25" customHeight="1" x14ac:dyDescent="0.2">
      <c r="A28" s="43" t="s">
        <v>550</v>
      </c>
      <c r="B28" s="66" t="s">
        <v>551</v>
      </c>
      <c r="C28" s="46" t="s">
        <v>432</v>
      </c>
    </row>
    <row r="29" spans="1:3" ht="8.25" customHeight="1" x14ac:dyDescent="0.2">
      <c r="A29" s="43" t="s">
        <v>552</v>
      </c>
      <c r="B29" s="66" t="s">
        <v>553</v>
      </c>
      <c r="C29" s="46" t="s">
        <v>432</v>
      </c>
    </row>
    <row r="30" spans="1:3" s="68" customFormat="1" ht="8.25" customHeight="1" x14ac:dyDescent="0.15">
      <c r="A30" s="43" t="s">
        <v>554</v>
      </c>
      <c r="B30" s="67" t="s">
        <v>555</v>
      </c>
      <c r="C30" s="46" t="s">
        <v>432</v>
      </c>
    </row>
    <row r="31" spans="1:3" s="68" customFormat="1" ht="8.25" customHeight="1" x14ac:dyDescent="0.15">
      <c r="A31" s="43" t="s">
        <v>556</v>
      </c>
      <c r="B31" s="67" t="s">
        <v>557</v>
      </c>
      <c r="C31" s="46" t="s">
        <v>432</v>
      </c>
    </row>
    <row r="32" spans="1:3" s="68" customFormat="1" ht="8.25" customHeight="1" x14ac:dyDescent="0.15">
      <c r="A32" s="43" t="s">
        <v>558</v>
      </c>
      <c r="B32" s="67" t="s">
        <v>559</v>
      </c>
      <c r="C32" s="46" t="s">
        <v>432</v>
      </c>
    </row>
    <row r="33" spans="1:3" s="68" customFormat="1" ht="8.25" customHeight="1" x14ac:dyDescent="0.15">
      <c r="A33" s="43" t="s">
        <v>560</v>
      </c>
      <c r="B33" s="69" t="s">
        <v>561</v>
      </c>
      <c r="C33" s="46" t="s">
        <v>432</v>
      </c>
    </row>
    <row r="34" spans="1:3" s="68" customFormat="1" ht="8.25" customHeight="1" x14ac:dyDescent="0.15">
      <c r="A34" s="43" t="s">
        <v>562</v>
      </c>
      <c r="B34" s="69" t="s">
        <v>563</v>
      </c>
      <c r="C34" s="46" t="s">
        <v>432</v>
      </c>
    </row>
    <row r="35" spans="1:3" s="68" customFormat="1" ht="8.25" customHeight="1" x14ac:dyDescent="0.15">
      <c r="A35" s="43" t="s">
        <v>564</v>
      </c>
      <c r="B35" s="67" t="s">
        <v>565</v>
      </c>
      <c r="C35" s="46" t="s">
        <v>432</v>
      </c>
    </row>
    <row r="36" spans="1:3" s="68" customFormat="1" ht="8.25" customHeight="1" x14ac:dyDescent="0.15">
      <c r="A36" s="43" t="s">
        <v>566</v>
      </c>
      <c r="B36" s="69" t="s">
        <v>567</v>
      </c>
      <c r="C36" s="46" t="s">
        <v>432</v>
      </c>
    </row>
    <row r="37" spans="1:3" s="68" customFormat="1" ht="8.25" customHeight="1" x14ac:dyDescent="0.15">
      <c r="A37" s="43" t="s">
        <v>568</v>
      </c>
      <c r="B37" s="67" t="s">
        <v>569</v>
      </c>
      <c r="C37" s="46" t="s">
        <v>432</v>
      </c>
    </row>
    <row r="38" spans="1:3" ht="9.9499999999999993" customHeight="1" x14ac:dyDescent="0.2">
      <c r="A38" s="4" t="s">
        <v>570</v>
      </c>
      <c r="B38" s="70" t="s">
        <v>571</v>
      </c>
      <c r="C38" s="46" t="s">
        <v>432</v>
      </c>
    </row>
    <row r="39" spans="1:3" s="72" customFormat="1" ht="9.6" customHeight="1" x14ac:dyDescent="0.15">
      <c r="A39" s="43" t="s">
        <v>572</v>
      </c>
      <c r="B39" s="71" t="s">
        <v>573</v>
      </c>
      <c r="C39" s="46" t="s">
        <v>432</v>
      </c>
    </row>
  </sheetData>
  <hyperlinks>
    <hyperlink ref="B27" r:id="rId1" xr:uid="{94E2545C-B95D-4E22-98A1-AA30974B36CE}"/>
    <hyperlink ref="B29" r:id="rId2" xr:uid="{E8B4456F-BD7E-4A63-9D52-731D742146F0}"/>
    <hyperlink ref="B28" r:id="rId3" xr:uid="{9A6614D6-89C0-4316-9281-E6CC91269BA8}"/>
    <hyperlink ref="B38" r:id="rId4" xr:uid="{B22D1ABD-43E9-47D5-970B-5555FF497D5B}"/>
    <hyperlink ref="B39" r:id="rId5" location="categoria_888" xr:uid="{9BF7F46A-BE7E-405F-A116-32647CBD6CC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33AB-3BC5-4EED-85BC-780B8F4A6EA8}">
  <sheetPr codeName="Planilha2"/>
  <dimension ref="A1:AD27"/>
  <sheetViews>
    <sheetView tabSelected="1" topLeftCell="R1" zoomScale="205" zoomScaleNormal="205" workbookViewId="0">
      <pane ySplit="1" topLeftCell="A17" activePane="bottomLeft" state="frozen"/>
      <selection activeCell="C1" sqref="C1"/>
      <selection pane="bottomLeft" activeCell="S1" sqref="S1"/>
    </sheetView>
  </sheetViews>
  <sheetFormatPr defaultRowHeight="6.75" customHeight="1" x14ac:dyDescent="0.2"/>
  <cols>
    <col min="1" max="1" width="2.83203125" bestFit="1" customWidth="1"/>
    <col min="2" max="2" width="7.33203125" style="33" bestFit="1" customWidth="1"/>
    <col min="3" max="3" width="8.1640625" style="33" bestFit="1" customWidth="1"/>
    <col min="4" max="4" width="10.5" style="33" bestFit="1" customWidth="1"/>
    <col min="5" max="5" width="8" style="33" bestFit="1" customWidth="1"/>
    <col min="6" max="6" width="19.83203125" style="33" bestFit="1" customWidth="1"/>
    <col min="7" max="11" width="8.5" style="33" bestFit="1" customWidth="1"/>
    <col min="12" max="12" width="8.1640625" bestFit="1" customWidth="1"/>
    <col min="13" max="13" width="10.5" bestFit="1" customWidth="1"/>
    <col min="14" max="14" width="8" bestFit="1" customWidth="1"/>
    <col min="15" max="15" width="19.83203125" bestFit="1" customWidth="1"/>
    <col min="16" max="16" width="60" customWidth="1"/>
    <col min="17" max="17" width="63.5" customWidth="1"/>
    <col min="18" max="18" width="53.5" customWidth="1"/>
    <col min="19" max="19" width="5" style="86" bestFit="1" customWidth="1"/>
    <col min="20" max="20" width="8.1640625" bestFit="1" customWidth="1"/>
    <col min="21" max="21" width="10.5" bestFit="1" customWidth="1"/>
    <col min="22" max="22" width="8" bestFit="1" customWidth="1"/>
    <col min="23" max="23" width="10" bestFit="1" customWidth="1"/>
    <col min="24" max="24" width="9.83203125" style="33" bestFit="1" customWidth="1"/>
    <col min="25" max="25" width="42.33203125" bestFit="1" customWidth="1"/>
    <col min="26" max="26" width="9" bestFit="1" customWidth="1"/>
    <col min="27" max="27" width="44.83203125" bestFit="1" customWidth="1"/>
    <col min="28" max="30" width="8" bestFit="1" customWidth="1"/>
  </cols>
  <sheetData>
    <row r="1" spans="1:30" ht="57.75" x14ac:dyDescent="0.2">
      <c r="A1" s="21" t="s">
        <v>374</v>
      </c>
      <c r="B1" s="22" t="s">
        <v>379</v>
      </c>
      <c r="C1" s="22" t="s">
        <v>380</v>
      </c>
      <c r="D1" s="22" t="s">
        <v>381</v>
      </c>
      <c r="E1" s="22" t="s">
        <v>382</v>
      </c>
      <c r="F1" s="22" t="s">
        <v>383</v>
      </c>
      <c r="G1" s="34" t="s">
        <v>384</v>
      </c>
      <c r="H1" s="34" t="s">
        <v>385</v>
      </c>
      <c r="I1" s="34" t="s">
        <v>386</v>
      </c>
      <c r="J1" s="34" t="s">
        <v>387</v>
      </c>
      <c r="K1" s="34" t="s">
        <v>388</v>
      </c>
      <c r="L1" s="23" t="s">
        <v>389</v>
      </c>
      <c r="M1" s="24" t="s">
        <v>390</v>
      </c>
      <c r="N1" s="24" t="s">
        <v>391</v>
      </c>
      <c r="O1" s="23" t="s">
        <v>392</v>
      </c>
      <c r="P1" s="23" t="s">
        <v>393</v>
      </c>
      <c r="Q1" s="23" t="s">
        <v>394</v>
      </c>
      <c r="R1" s="41" t="s">
        <v>427</v>
      </c>
      <c r="S1" s="24" t="s">
        <v>418</v>
      </c>
      <c r="T1" s="23" t="s">
        <v>376</v>
      </c>
      <c r="U1" s="23" t="s">
        <v>395</v>
      </c>
      <c r="V1" s="23" t="s">
        <v>378</v>
      </c>
      <c r="W1" s="23" t="s">
        <v>377</v>
      </c>
      <c r="X1" s="64" t="s">
        <v>396</v>
      </c>
      <c r="Y1" s="23" t="s">
        <v>425</v>
      </c>
      <c r="Z1" s="23" t="s">
        <v>604</v>
      </c>
      <c r="AA1" s="23" t="s">
        <v>426</v>
      </c>
      <c r="AB1" s="23" t="s">
        <v>605</v>
      </c>
      <c r="AC1" s="23" t="s">
        <v>397</v>
      </c>
      <c r="AD1" s="23" t="s">
        <v>648</v>
      </c>
    </row>
    <row r="2" spans="1:30" ht="6.75" customHeight="1" x14ac:dyDescent="0.2">
      <c r="A2" s="55">
        <v>2</v>
      </c>
      <c r="B2" s="56" t="s">
        <v>574</v>
      </c>
      <c r="C2" s="32" t="s">
        <v>575</v>
      </c>
      <c r="D2" s="32" t="s">
        <v>397</v>
      </c>
      <c r="E2" s="32" t="s">
        <v>468</v>
      </c>
      <c r="F2" s="25" t="s">
        <v>469</v>
      </c>
      <c r="G2" s="35" t="s">
        <v>191</v>
      </c>
      <c r="H2" s="35" t="s">
        <v>191</v>
      </c>
      <c r="I2" s="35" t="s">
        <v>191</v>
      </c>
      <c r="J2" s="35" t="s">
        <v>191</v>
      </c>
      <c r="K2" s="35" t="s">
        <v>191</v>
      </c>
      <c r="L2" s="58" t="str">
        <f t="shared" ref="L2:N14" si="0">CONCATENATE("", C2)</f>
        <v>Normativos</v>
      </c>
      <c r="M2" s="58" t="str">
        <f t="shared" si="0"/>
        <v>ABNT</v>
      </c>
      <c r="N2" s="58" t="str">
        <f t="shared" si="0"/>
        <v>NBR.Parte</v>
      </c>
      <c r="O2" s="58" t="str">
        <f t="shared" ref="O2:O14" si="1">F2</f>
        <v>NBR.0M</v>
      </c>
      <c r="P2" s="58" t="s">
        <v>509</v>
      </c>
      <c r="Q2" s="58" t="s">
        <v>510</v>
      </c>
      <c r="R2" s="60" t="s">
        <v>511</v>
      </c>
      <c r="S2" s="84" t="s">
        <v>191</v>
      </c>
      <c r="T2" s="59" t="str">
        <f t="shared" ref="T2:V14" si="2">SUBSTITUTE(C2, "_", " ")</f>
        <v>Normativos</v>
      </c>
      <c r="U2" s="59" t="str">
        <f t="shared" si="2"/>
        <v>ABNT</v>
      </c>
      <c r="V2" s="58" t="str">
        <f t="shared" si="2"/>
        <v>NBR.Parte</v>
      </c>
      <c r="W2" s="42" t="s">
        <v>445</v>
      </c>
      <c r="X2" s="63" t="str">
        <f t="shared" ref="X2:X14" si="3">CONCATENATE("Key-ABNT-",A2)</f>
        <v>Key-ABNT-2</v>
      </c>
      <c r="Y2" s="42" t="s">
        <v>583</v>
      </c>
      <c r="Z2" s="75" t="s">
        <v>191</v>
      </c>
      <c r="AA2" s="42" t="s">
        <v>584</v>
      </c>
      <c r="AB2" s="75" t="s">
        <v>191</v>
      </c>
      <c r="AC2" s="42" t="s">
        <v>446</v>
      </c>
      <c r="AD2" s="75" t="s">
        <v>191</v>
      </c>
    </row>
    <row r="3" spans="1:30" ht="6.75" customHeight="1" x14ac:dyDescent="0.2">
      <c r="A3" s="55">
        <v>3</v>
      </c>
      <c r="B3" s="56" t="s">
        <v>574</v>
      </c>
      <c r="C3" s="32" t="s">
        <v>575</v>
      </c>
      <c r="D3" s="32" t="s">
        <v>397</v>
      </c>
      <c r="E3" s="32" t="s">
        <v>468</v>
      </c>
      <c r="F3" s="25" t="s">
        <v>470</v>
      </c>
      <c r="G3" s="35" t="s">
        <v>191</v>
      </c>
      <c r="H3" s="35" t="s">
        <v>191</v>
      </c>
      <c r="I3" s="35" t="s">
        <v>191</v>
      </c>
      <c r="J3" s="35" t="s">
        <v>191</v>
      </c>
      <c r="K3" s="35" t="s">
        <v>191</v>
      </c>
      <c r="L3" s="58" t="str">
        <f t="shared" si="0"/>
        <v>Normativos</v>
      </c>
      <c r="M3" s="58" t="str">
        <f t="shared" si="0"/>
        <v>ABNT</v>
      </c>
      <c r="N3" s="58" t="str">
        <f t="shared" si="0"/>
        <v>NBR.Parte</v>
      </c>
      <c r="O3" s="58" t="str">
        <f t="shared" si="1"/>
        <v>NBR.0P</v>
      </c>
      <c r="P3" s="58" t="s">
        <v>512</v>
      </c>
      <c r="Q3" s="58" t="s">
        <v>513</v>
      </c>
      <c r="R3" s="60" t="s">
        <v>514</v>
      </c>
      <c r="S3" s="84" t="s">
        <v>191</v>
      </c>
      <c r="T3" s="59" t="str">
        <f t="shared" si="2"/>
        <v>Normativos</v>
      </c>
      <c r="U3" s="59" t="str">
        <f t="shared" si="2"/>
        <v>ABNT</v>
      </c>
      <c r="V3" s="58" t="str">
        <f t="shared" si="2"/>
        <v>NBR.Parte</v>
      </c>
      <c r="W3" s="42" t="s">
        <v>445</v>
      </c>
      <c r="X3" s="63" t="str">
        <f t="shared" si="3"/>
        <v>Key-ABNT-3</v>
      </c>
      <c r="Y3" s="42" t="s">
        <v>585</v>
      </c>
      <c r="Z3" s="75" t="s">
        <v>191</v>
      </c>
      <c r="AA3" s="42" t="s">
        <v>586</v>
      </c>
      <c r="AB3" s="75" t="s">
        <v>191</v>
      </c>
      <c r="AC3" s="42" t="s">
        <v>447</v>
      </c>
      <c r="AD3" s="75" t="s">
        <v>191</v>
      </c>
    </row>
    <row r="4" spans="1:30" ht="6.75" customHeight="1" x14ac:dyDescent="0.2">
      <c r="A4" s="55">
        <v>4</v>
      </c>
      <c r="B4" s="56" t="s">
        <v>574</v>
      </c>
      <c r="C4" s="32" t="s">
        <v>575</v>
      </c>
      <c r="D4" s="32" t="s">
        <v>397</v>
      </c>
      <c r="E4" s="32" t="s">
        <v>468</v>
      </c>
      <c r="F4" s="25" t="s">
        <v>471</v>
      </c>
      <c r="G4" s="35" t="s">
        <v>191</v>
      </c>
      <c r="H4" s="35" t="s">
        <v>191</v>
      </c>
      <c r="I4" s="35" t="s">
        <v>191</v>
      </c>
      <c r="J4" s="35" t="s">
        <v>191</v>
      </c>
      <c r="K4" s="35" t="s">
        <v>191</v>
      </c>
      <c r="L4" s="58" t="str">
        <f t="shared" si="0"/>
        <v>Normativos</v>
      </c>
      <c r="M4" s="58" t="str">
        <f t="shared" si="0"/>
        <v>ABNT</v>
      </c>
      <c r="N4" s="58" t="str">
        <f t="shared" si="0"/>
        <v>NBR.Parte</v>
      </c>
      <c r="O4" s="58" t="str">
        <f t="shared" si="1"/>
        <v>NBR.1D</v>
      </c>
      <c r="P4" s="58" t="s">
        <v>515</v>
      </c>
      <c r="Q4" s="58" t="s">
        <v>516</v>
      </c>
      <c r="R4" s="60" t="s">
        <v>517</v>
      </c>
      <c r="S4" s="84" t="s">
        <v>191</v>
      </c>
      <c r="T4" s="59" t="str">
        <f t="shared" si="2"/>
        <v>Normativos</v>
      </c>
      <c r="U4" s="59" t="str">
        <f t="shared" si="2"/>
        <v>ABNT</v>
      </c>
      <c r="V4" s="58" t="str">
        <f t="shared" si="2"/>
        <v>NBR.Parte</v>
      </c>
      <c r="W4" s="42" t="s">
        <v>445</v>
      </c>
      <c r="X4" s="63" t="str">
        <f t="shared" si="3"/>
        <v>Key-ABNT-4</v>
      </c>
      <c r="Y4" s="75" t="s">
        <v>191</v>
      </c>
      <c r="Z4" s="75" t="s">
        <v>191</v>
      </c>
      <c r="AA4" s="42" t="s">
        <v>577</v>
      </c>
      <c r="AB4" s="75" t="s">
        <v>191</v>
      </c>
      <c r="AC4" s="42" t="s">
        <v>448</v>
      </c>
      <c r="AD4" s="75" t="s">
        <v>191</v>
      </c>
    </row>
    <row r="5" spans="1:30" ht="6.75" customHeight="1" x14ac:dyDescent="0.2">
      <c r="A5" s="55">
        <v>5</v>
      </c>
      <c r="B5" s="56" t="s">
        <v>574</v>
      </c>
      <c r="C5" s="32" t="s">
        <v>575</v>
      </c>
      <c r="D5" s="32" t="s">
        <v>397</v>
      </c>
      <c r="E5" s="32" t="s">
        <v>468</v>
      </c>
      <c r="F5" s="25" t="s">
        <v>472</v>
      </c>
      <c r="G5" s="35" t="s">
        <v>191</v>
      </c>
      <c r="H5" s="35" t="s">
        <v>191</v>
      </c>
      <c r="I5" s="35" t="s">
        <v>191</v>
      </c>
      <c r="J5" s="35" t="s">
        <v>191</v>
      </c>
      <c r="K5" s="35" t="s">
        <v>191</v>
      </c>
      <c r="L5" s="58" t="str">
        <f t="shared" si="0"/>
        <v>Normativos</v>
      </c>
      <c r="M5" s="58" t="str">
        <f t="shared" si="0"/>
        <v>ABNT</v>
      </c>
      <c r="N5" s="58" t="str">
        <f t="shared" si="0"/>
        <v>NBR.Parte</v>
      </c>
      <c r="O5" s="58" t="str">
        <f t="shared" si="1"/>
        <v>NBR.1F</v>
      </c>
      <c r="P5" s="58" t="s">
        <v>518</v>
      </c>
      <c r="Q5" s="58" t="s">
        <v>519</v>
      </c>
      <c r="R5" s="60" t="s">
        <v>520</v>
      </c>
      <c r="S5" s="84" t="s">
        <v>191</v>
      </c>
      <c r="T5" s="59" t="str">
        <f t="shared" si="2"/>
        <v>Normativos</v>
      </c>
      <c r="U5" s="59" t="str">
        <f t="shared" si="2"/>
        <v>ABNT</v>
      </c>
      <c r="V5" s="58" t="str">
        <f t="shared" si="2"/>
        <v>NBR.Parte</v>
      </c>
      <c r="W5" s="42" t="s">
        <v>445</v>
      </c>
      <c r="X5" s="63" t="str">
        <f t="shared" si="3"/>
        <v>Key-ABNT-5</v>
      </c>
      <c r="Y5" s="42" t="s">
        <v>578</v>
      </c>
      <c r="Z5" s="75" t="s">
        <v>191</v>
      </c>
      <c r="AA5" s="42" t="s">
        <v>579</v>
      </c>
      <c r="AB5" s="75" t="s">
        <v>191</v>
      </c>
      <c r="AC5" s="42" t="s">
        <v>369</v>
      </c>
      <c r="AD5" s="75" t="s">
        <v>191</v>
      </c>
    </row>
    <row r="6" spans="1:30" ht="6.75" customHeight="1" x14ac:dyDescent="0.2">
      <c r="A6" s="55">
        <v>6</v>
      </c>
      <c r="B6" s="56" t="s">
        <v>574</v>
      </c>
      <c r="C6" s="32" t="s">
        <v>575</v>
      </c>
      <c r="D6" s="32" t="s">
        <v>397</v>
      </c>
      <c r="E6" s="32" t="s">
        <v>468</v>
      </c>
      <c r="F6" s="25" t="s">
        <v>473</v>
      </c>
      <c r="G6" s="35" t="s">
        <v>191</v>
      </c>
      <c r="H6" s="35" t="s">
        <v>191</v>
      </c>
      <c r="I6" s="35" t="s">
        <v>191</v>
      </c>
      <c r="J6" s="35" t="s">
        <v>191</v>
      </c>
      <c r="K6" s="35" t="s">
        <v>191</v>
      </c>
      <c r="L6" s="58" t="str">
        <f t="shared" si="0"/>
        <v>Normativos</v>
      </c>
      <c r="M6" s="58" t="str">
        <f t="shared" si="0"/>
        <v>ABNT</v>
      </c>
      <c r="N6" s="58" t="str">
        <f t="shared" si="0"/>
        <v>NBR.Parte</v>
      </c>
      <c r="O6" s="58" t="str">
        <f t="shared" si="1"/>
        <v>NBR.1S</v>
      </c>
      <c r="P6" s="58" t="s">
        <v>521</v>
      </c>
      <c r="Q6" s="58" t="s">
        <v>522</v>
      </c>
      <c r="R6" s="60" t="s">
        <v>523</v>
      </c>
      <c r="S6" s="84" t="s">
        <v>191</v>
      </c>
      <c r="T6" s="59" t="str">
        <f t="shared" si="2"/>
        <v>Normativos</v>
      </c>
      <c r="U6" s="59" t="str">
        <f t="shared" si="2"/>
        <v>ABNT</v>
      </c>
      <c r="V6" s="58" t="str">
        <f t="shared" si="2"/>
        <v>NBR.Parte</v>
      </c>
      <c r="W6" s="42" t="s">
        <v>445</v>
      </c>
      <c r="X6" s="63" t="str">
        <f t="shared" si="3"/>
        <v>Key-ABNT-6</v>
      </c>
      <c r="Y6" s="75" t="s">
        <v>191</v>
      </c>
      <c r="Z6" s="75" t="s">
        <v>191</v>
      </c>
      <c r="AA6" s="42" t="s">
        <v>577</v>
      </c>
      <c r="AB6" s="75" t="s">
        <v>191</v>
      </c>
      <c r="AC6" s="42" t="s">
        <v>449</v>
      </c>
      <c r="AD6" s="75" t="s">
        <v>191</v>
      </c>
    </row>
    <row r="7" spans="1:30" ht="6.75" customHeight="1" x14ac:dyDescent="0.2">
      <c r="A7" s="55">
        <v>7</v>
      </c>
      <c r="B7" s="56" t="s">
        <v>574</v>
      </c>
      <c r="C7" s="32" t="s">
        <v>575</v>
      </c>
      <c r="D7" s="32" t="s">
        <v>397</v>
      </c>
      <c r="E7" s="32" t="s">
        <v>468</v>
      </c>
      <c r="F7" s="25" t="s">
        <v>474</v>
      </c>
      <c r="G7" s="35" t="s">
        <v>191</v>
      </c>
      <c r="H7" s="35" t="s">
        <v>191</v>
      </c>
      <c r="I7" s="35" t="s">
        <v>191</v>
      </c>
      <c r="J7" s="35" t="s">
        <v>191</v>
      </c>
      <c r="K7" s="35" t="s">
        <v>191</v>
      </c>
      <c r="L7" s="58" t="str">
        <f t="shared" si="0"/>
        <v>Normativos</v>
      </c>
      <c r="M7" s="58" t="str">
        <f t="shared" si="0"/>
        <v>ABNT</v>
      </c>
      <c r="N7" s="58" t="str">
        <f t="shared" si="0"/>
        <v>NBR.Parte</v>
      </c>
      <c r="O7" s="58" t="str">
        <f t="shared" si="1"/>
        <v>NBR.2C</v>
      </c>
      <c r="P7" s="58" t="s">
        <v>524</v>
      </c>
      <c r="Q7" s="58" t="s">
        <v>525</v>
      </c>
      <c r="R7" s="60" t="s">
        <v>526</v>
      </c>
      <c r="S7" s="84" t="s">
        <v>191</v>
      </c>
      <c r="T7" s="59" t="str">
        <f t="shared" si="2"/>
        <v>Normativos</v>
      </c>
      <c r="U7" s="59" t="str">
        <f t="shared" si="2"/>
        <v>ABNT</v>
      </c>
      <c r="V7" s="58" t="str">
        <f t="shared" si="2"/>
        <v>NBR.Parte</v>
      </c>
      <c r="W7" s="42" t="s">
        <v>445</v>
      </c>
      <c r="X7" s="63" t="str">
        <f t="shared" si="3"/>
        <v>Key-ABNT-7</v>
      </c>
      <c r="Y7" s="75" t="s">
        <v>191</v>
      </c>
      <c r="Z7" s="75" t="s">
        <v>191</v>
      </c>
      <c r="AA7" s="75" t="s">
        <v>191</v>
      </c>
      <c r="AB7" s="75" t="s">
        <v>191</v>
      </c>
      <c r="AC7" s="42" t="s">
        <v>450</v>
      </c>
      <c r="AD7" s="75" t="s">
        <v>191</v>
      </c>
    </row>
    <row r="8" spans="1:30" ht="6.75" customHeight="1" x14ac:dyDescent="0.2">
      <c r="A8" s="55">
        <v>8</v>
      </c>
      <c r="B8" s="56" t="s">
        <v>574</v>
      </c>
      <c r="C8" s="32" t="s">
        <v>575</v>
      </c>
      <c r="D8" s="32" t="s">
        <v>397</v>
      </c>
      <c r="E8" s="32" t="s">
        <v>468</v>
      </c>
      <c r="F8" s="25" t="s">
        <v>475</v>
      </c>
      <c r="G8" s="35" t="s">
        <v>191</v>
      </c>
      <c r="H8" s="35" t="s">
        <v>191</v>
      </c>
      <c r="I8" s="35" t="s">
        <v>191</v>
      </c>
      <c r="J8" s="35" t="s">
        <v>191</v>
      </c>
      <c r="K8" s="35" t="s">
        <v>191</v>
      </c>
      <c r="L8" s="58" t="str">
        <f t="shared" si="0"/>
        <v>Normativos</v>
      </c>
      <c r="M8" s="58" t="str">
        <f t="shared" si="0"/>
        <v>ABNT</v>
      </c>
      <c r="N8" s="58" t="str">
        <f t="shared" si="0"/>
        <v>NBR.Parte</v>
      </c>
      <c r="O8" s="58" t="str">
        <f t="shared" si="1"/>
        <v>NBR.2N</v>
      </c>
      <c r="P8" s="58" t="s">
        <v>527</v>
      </c>
      <c r="Q8" s="58" t="s">
        <v>528</v>
      </c>
      <c r="R8" s="60" t="s">
        <v>529</v>
      </c>
      <c r="S8" s="84" t="s">
        <v>191</v>
      </c>
      <c r="T8" s="59" t="str">
        <f t="shared" si="2"/>
        <v>Normativos</v>
      </c>
      <c r="U8" s="59" t="str">
        <f t="shared" si="2"/>
        <v>ABNT</v>
      </c>
      <c r="V8" s="58" t="str">
        <f t="shared" si="2"/>
        <v>NBR.Parte</v>
      </c>
      <c r="W8" s="42" t="s">
        <v>445</v>
      </c>
      <c r="X8" s="63" t="str">
        <f t="shared" si="3"/>
        <v>Key-ABNT-8</v>
      </c>
      <c r="Y8" s="75" t="s">
        <v>191</v>
      </c>
      <c r="Z8" s="75" t="s">
        <v>191</v>
      </c>
      <c r="AA8" s="75" t="s">
        <v>191</v>
      </c>
      <c r="AB8" s="75" t="s">
        <v>191</v>
      </c>
      <c r="AC8" s="42" t="s">
        <v>451</v>
      </c>
      <c r="AD8" s="75" t="s">
        <v>191</v>
      </c>
    </row>
    <row r="9" spans="1:30" ht="6.75" customHeight="1" x14ac:dyDescent="0.2">
      <c r="A9" s="55">
        <v>9</v>
      </c>
      <c r="B9" s="56" t="s">
        <v>574</v>
      </c>
      <c r="C9" s="32" t="s">
        <v>575</v>
      </c>
      <c r="D9" s="32" t="s">
        <v>397</v>
      </c>
      <c r="E9" s="32" t="s">
        <v>468</v>
      </c>
      <c r="F9" s="25" t="s">
        <v>476</v>
      </c>
      <c r="G9" s="35" t="s">
        <v>191</v>
      </c>
      <c r="H9" s="35" t="s">
        <v>191</v>
      </c>
      <c r="I9" s="35" t="s">
        <v>191</v>
      </c>
      <c r="J9" s="35" t="s">
        <v>191</v>
      </c>
      <c r="K9" s="35" t="s">
        <v>191</v>
      </c>
      <c r="L9" s="58" t="str">
        <f t="shared" si="0"/>
        <v>Normativos</v>
      </c>
      <c r="M9" s="58" t="str">
        <f t="shared" si="0"/>
        <v>ABNT</v>
      </c>
      <c r="N9" s="58" t="str">
        <f t="shared" si="0"/>
        <v>NBR.Parte</v>
      </c>
      <c r="O9" s="58" t="str">
        <f t="shared" si="1"/>
        <v>NBR.2Q</v>
      </c>
      <c r="P9" s="58" t="s">
        <v>530</v>
      </c>
      <c r="Q9" s="58" t="s">
        <v>531</v>
      </c>
      <c r="R9" s="60" t="s">
        <v>532</v>
      </c>
      <c r="S9" s="84" t="s">
        <v>191</v>
      </c>
      <c r="T9" s="59" t="str">
        <f t="shared" si="2"/>
        <v>Normativos</v>
      </c>
      <c r="U9" s="59" t="str">
        <f t="shared" si="2"/>
        <v>ABNT</v>
      </c>
      <c r="V9" s="58" t="str">
        <f t="shared" si="2"/>
        <v>NBR.Parte</v>
      </c>
      <c r="W9" s="42" t="s">
        <v>445</v>
      </c>
      <c r="X9" s="63" t="str">
        <f t="shared" si="3"/>
        <v>Key-ABNT-9</v>
      </c>
      <c r="Y9" s="75" t="s">
        <v>191</v>
      </c>
      <c r="Z9" s="75" t="s">
        <v>191</v>
      </c>
      <c r="AA9" s="75" t="s">
        <v>191</v>
      </c>
      <c r="AB9" s="75" t="s">
        <v>191</v>
      </c>
      <c r="AC9" s="42" t="s">
        <v>452</v>
      </c>
      <c r="AD9" s="75" t="s">
        <v>191</v>
      </c>
    </row>
    <row r="10" spans="1:30" ht="6.75" customHeight="1" x14ac:dyDescent="0.2">
      <c r="A10" s="55">
        <v>10</v>
      </c>
      <c r="B10" s="56" t="s">
        <v>574</v>
      </c>
      <c r="C10" s="32" t="s">
        <v>575</v>
      </c>
      <c r="D10" s="32" t="s">
        <v>397</v>
      </c>
      <c r="E10" s="32" t="s">
        <v>468</v>
      </c>
      <c r="F10" s="25" t="s">
        <v>477</v>
      </c>
      <c r="G10" s="35" t="s">
        <v>191</v>
      </c>
      <c r="H10" s="35" t="s">
        <v>191</v>
      </c>
      <c r="I10" s="35" t="s">
        <v>191</v>
      </c>
      <c r="J10" s="35" t="s">
        <v>191</v>
      </c>
      <c r="K10" s="35" t="s">
        <v>191</v>
      </c>
      <c r="L10" s="58" t="str">
        <f t="shared" si="0"/>
        <v>Normativos</v>
      </c>
      <c r="M10" s="58" t="str">
        <f t="shared" si="0"/>
        <v>ABNT</v>
      </c>
      <c r="N10" s="58" t="str">
        <f t="shared" si="0"/>
        <v>NBR.Parte</v>
      </c>
      <c r="O10" s="58" t="str">
        <f t="shared" si="1"/>
        <v>NBR.3E</v>
      </c>
      <c r="P10" s="58" t="s">
        <v>533</v>
      </c>
      <c r="Q10" s="58" t="s">
        <v>534</v>
      </c>
      <c r="R10" s="60" t="s">
        <v>535</v>
      </c>
      <c r="S10" s="84" t="s">
        <v>191</v>
      </c>
      <c r="T10" s="59" t="str">
        <f t="shared" si="2"/>
        <v>Normativos</v>
      </c>
      <c r="U10" s="59" t="str">
        <f t="shared" si="2"/>
        <v>ABNT</v>
      </c>
      <c r="V10" s="58" t="str">
        <f t="shared" si="2"/>
        <v>NBR.Parte</v>
      </c>
      <c r="W10" s="42" t="s">
        <v>445</v>
      </c>
      <c r="X10" s="63" t="str">
        <f t="shared" si="3"/>
        <v>Key-ABNT-10</v>
      </c>
      <c r="Y10" s="75" t="s">
        <v>191</v>
      </c>
      <c r="Z10" s="75" t="s">
        <v>191</v>
      </c>
      <c r="AA10" s="75" t="s">
        <v>191</v>
      </c>
      <c r="AB10" s="75" t="s">
        <v>191</v>
      </c>
      <c r="AC10" s="42" t="s">
        <v>453</v>
      </c>
      <c r="AD10" s="75" t="s">
        <v>191</v>
      </c>
    </row>
    <row r="11" spans="1:30" ht="6.75" customHeight="1" x14ac:dyDescent="0.2">
      <c r="A11" s="55">
        <v>11</v>
      </c>
      <c r="B11" s="56" t="s">
        <v>574</v>
      </c>
      <c r="C11" s="32" t="s">
        <v>575</v>
      </c>
      <c r="D11" s="32" t="s">
        <v>397</v>
      </c>
      <c r="E11" s="32" t="s">
        <v>468</v>
      </c>
      <c r="F11" s="25" t="s">
        <v>478</v>
      </c>
      <c r="G11" s="35" t="s">
        <v>191</v>
      </c>
      <c r="H11" s="35" t="s">
        <v>191</v>
      </c>
      <c r="I11" s="35" t="s">
        <v>191</v>
      </c>
      <c r="J11" s="35" t="s">
        <v>191</v>
      </c>
      <c r="K11" s="35" t="s">
        <v>191</v>
      </c>
      <c r="L11" s="58" t="str">
        <f t="shared" si="0"/>
        <v>Normativos</v>
      </c>
      <c r="M11" s="58" t="str">
        <f t="shared" si="0"/>
        <v>ABNT</v>
      </c>
      <c r="N11" s="58" t="str">
        <f t="shared" si="0"/>
        <v>NBR.Parte</v>
      </c>
      <c r="O11" s="58" t="str">
        <f t="shared" si="1"/>
        <v>NBR.3R</v>
      </c>
      <c r="P11" s="58" t="s">
        <v>536</v>
      </c>
      <c r="Q11" s="58" t="s">
        <v>537</v>
      </c>
      <c r="R11" s="60" t="s">
        <v>538</v>
      </c>
      <c r="S11" s="84" t="s">
        <v>191</v>
      </c>
      <c r="T11" s="59" t="str">
        <f t="shared" si="2"/>
        <v>Normativos</v>
      </c>
      <c r="U11" s="59" t="str">
        <f t="shared" si="2"/>
        <v>ABNT</v>
      </c>
      <c r="V11" s="58" t="str">
        <f t="shared" si="2"/>
        <v>NBR.Parte</v>
      </c>
      <c r="W11" s="42" t="s">
        <v>445</v>
      </c>
      <c r="X11" s="63" t="str">
        <f t="shared" si="3"/>
        <v>Key-ABNT-11</v>
      </c>
      <c r="Y11" s="75" t="s">
        <v>191</v>
      </c>
      <c r="Z11" s="75" t="s">
        <v>191</v>
      </c>
      <c r="AA11" s="75" t="s">
        <v>191</v>
      </c>
      <c r="AB11" s="75" t="s">
        <v>191</v>
      </c>
      <c r="AC11" s="42" t="s">
        <v>454</v>
      </c>
      <c r="AD11" s="75" t="s">
        <v>191</v>
      </c>
    </row>
    <row r="12" spans="1:30" ht="6.75" customHeight="1" x14ac:dyDescent="0.2">
      <c r="A12" s="55">
        <v>12</v>
      </c>
      <c r="B12" s="56" t="s">
        <v>574</v>
      </c>
      <c r="C12" s="32" t="s">
        <v>575</v>
      </c>
      <c r="D12" s="32" t="s">
        <v>397</v>
      </c>
      <c r="E12" s="32" t="s">
        <v>468</v>
      </c>
      <c r="F12" s="25" t="s">
        <v>479</v>
      </c>
      <c r="G12" s="35" t="s">
        <v>191</v>
      </c>
      <c r="H12" s="35" t="s">
        <v>191</v>
      </c>
      <c r="I12" s="35" t="s">
        <v>191</v>
      </c>
      <c r="J12" s="35" t="s">
        <v>191</v>
      </c>
      <c r="K12" s="35" t="s">
        <v>191</v>
      </c>
      <c r="L12" s="58" t="str">
        <f t="shared" si="0"/>
        <v>Normativos</v>
      </c>
      <c r="M12" s="58" t="str">
        <f t="shared" si="0"/>
        <v>ABNT</v>
      </c>
      <c r="N12" s="58" t="str">
        <f t="shared" si="0"/>
        <v>NBR.Parte</v>
      </c>
      <c r="O12" s="58" t="str">
        <f t="shared" si="1"/>
        <v>NBR.4A</v>
      </c>
      <c r="P12" s="58" t="s">
        <v>539</v>
      </c>
      <c r="Q12" s="58" t="s">
        <v>540</v>
      </c>
      <c r="R12" s="60" t="s">
        <v>541</v>
      </c>
      <c r="S12" s="84" t="s">
        <v>191</v>
      </c>
      <c r="T12" s="59" t="str">
        <f t="shared" si="2"/>
        <v>Normativos</v>
      </c>
      <c r="U12" s="59" t="str">
        <f t="shared" si="2"/>
        <v>ABNT</v>
      </c>
      <c r="V12" s="58" t="str">
        <f t="shared" si="2"/>
        <v>NBR.Parte</v>
      </c>
      <c r="W12" s="42" t="s">
        <v>445</v>
      </c>
      <c r="X12" s="63" t="str">
        <f t="shared" si="3"/>
        <v>Key-ABNT-12</v>
      </c>
      <c r="Y12" s="42" t="s">
        <v>580</v>
      </c>
      <c r="Z12" s="75" t="s">
        <v>191</v>
      </c>
      <c r="AA12" s="42" t="s">
        <v>587</v>
      </c>
      <c r="AB12" s="75" t="s">
        <v>191</v>
      </c>
      <c r="AC12" s="42" t="s">
        <v>455</v>
      </c>
      <c r="AD12" s="75" t="s">
        <v>191</v>
      </c>
    </row>
    <row r="13" spans="1:30" ht="6.75" customHeight="1" x14ac:dyDescent="0.2">
      <c r="A13" s="55">
        <v>13</v>
      </c>
      <c r="B13" s="56" t="s">
        <v>574</v>
      </c>
      <c r="C13" s="32" t="s">
        <v>575</v>
      </c>
      <c r="D13" s="32" t="s">
        <v>397</v>
      </c>
      <c r="E13" s="32" t="s">
        <v>468</v>
      </c>
      <c r="F13" s="25" t="s">
        <v>480</v>
      </c>
      <c r="G13" s="35" t="s">
        <v>191</v>
      </c>
      <c r="H13" s="35" t="s">
        <v>191</v>
      </c>
      <c r="I13" s="35" t="s">
        <v>191</v>
      </c>
      <c r="J13" s="35" t="s">
        <v>191</v>
      </c>
      <c r="K13" s="35" t="s">
        <v>191</v>
      </c>
      <c r="L13" s="58" t="str">
        <f t="shared" si="0"/>
        <v>Normativos</v>
      </c>
      <c r="M13" s="58" t="str">
        <f t="shared" si="0"/>
        <v>ABNT</v>
      </c>
      <c r="N13" s="58" t="str">
        <f t="shared" si="0"/>
        <v>NBR.Parte</v>
      </c>
      <c r="O13" s="58" t="str">
        <f t="shared" si="1"/>
        <v>NBR.4U</v>
      </c>
      <c r="P13" s="58" t="s">
        <v>542</v>
      </c>
      <c r="Q13" s="58" t="s">
        <v>543</v>
      </c>
      <c r="R13" s="60" t="s">
        <v>544</v>
      </c>
      <c r="S13" s="84" t="s">
        <v>191</v>
      </c>
      <c r="T13" s="59" t="str">
        <f t="shared" si="2"/>
        <v>Normativos</v>
      </c>
      <c r="U13" s="59" t="str">
        <f t="shared" si="2"/>
        <v>ABNT</v>
      </c>
      <c r="V13" s="58" t="str">
        <f t="shared" si="2"/>
        <v>NBR.Parte</v>
      </c>
      <c r="W13" s="42" t="s">
        <v>445</v>
      </c>
      <c r="X13" s="63" t="str">
        <f t="shared" si="3"/>
        <v>Key-ABNT-13</v>
      </c>
      <c r="Y13" s="42" t="s">
        <v>580</v>
      </c>
      <c r="Z13" s="75" t="s">
        <v>191</v>
      </c>
      <c r="AA13" s="42" t="s">
        <v>587</v>
      </c>
      <c r="AB13" s="75" t="s">
        <v>191</v>
      </c>
      <c r="AC13" s="42" t="s">
        <v>456</v>
      </c>
      <c r="AD13" s="75" t="s">
        <v>191</v>
      </c>
    </row>
    <row r="14" spans="1:30" ht="6.75" customHeight="1" x14ac:dyDescent="0.2">
      <c r="A14" s="55">
        <v>14</v>
      </c>
      <c r="B14" s="56" t="s">
        <v>574</v>
      </c>
      <c r="C14" s="32" t="s">
        <v>575</v>
      </c>
      <c r="D14" s="32" t="s">
        <v>397</v>
      </c>
      <c r="E14" s="32" t="s">
        <v>468</v>
      </c>
      <c r="F14" s="25" t="s">
        <v>481</v>
      </c>
      <c r="G14" s="35" t="s">
        <v>191</v>
      </c>
      <c r="H14" s="35" t="s">
        <v>191</v>
      </c>
      <c r="I14" s="35" t="s">
        <v>191</v>
      </c>
      <c r="J14" s="35" t="s">
        <v>191</v>
      </c>
      <c r="K14" s="35" t="s">
        <v>191</v>
      </c>
      <c r="L14" s="58" t="str">
        <f t="shared" si="0"/>
        <v>Normativos</v>
      </c>
      <c r="M14" s="58" t="str">
        <f t="shared" si="0"/>
        <v>ABNT</v>
      </c>
      <c r="N14" s="58" t="str">
        <f t="shared" si="0"/>
        <v>NBR.Parte</v>
      </c>
      <c r="O14" s="58" t="str">
        <f t="shared" si="1"/>
        <v>NBR.5I</v>
      </c>
      <c r="P14" s="58" t="s">
        <v>545</v>
      </c>
      <c r="Q14" s="58" t="s">
        <v>546</v>
      </c>
      <c r="R14" s="60" t="s">
        <v>547</v>
      </c>
      <c r="S14" s="84" t="s">
        <v>191</v>
      </c>
      <c r="T14" s="59" t="str">
        <f t="shared" si="2"/>
        <v>Normativos</v>
      </c>
      <c r="U14" s="59" t="str">
        <f t="shared" si="2"/>
        <v>ABNT</v>
      </c>
      <c r="V14" s="58" t="str">
        <f t="shared" si="2"/>
        <v>NBR.Parte</v>
      </c>
      <c r="W14" s="42" t="s">
        <v>445</v>
      </c>
      <c r="X14" s="63" t="str">
        <f t="shared" si="3"/>
        <v>Key-ABNT-14</v>
      </c>
      <c r="Y14" s="73" t="s">
        <v>581</v>
      </c>
      <c r="Z14" s="75" t="s">
        <v>191</v>
      </c>
      <c r="AA14" s="74" t="s">
        <v>582</v>
      </c>
      <c r="AB14" s="75" t="s">
        <v>191</v>
      </c>
      <c r="AC14" s="42" t="s">
        <v>457</v>
      </c>
      <c r="AD14" s="75" t="s">
        <v>191</v>
      </c>
    </row>
    <row r="15" spans="1:30" ht="6.75" customHeight="1" x14ac:dyDescent="0.2">
      <c r="A15" s="55">
        <v>15</v>
      </c>
      <c r="B15" s="56" t="s">
        <v>574</v>
      </c>
      <c r="C15" s="32" t="s">
        <v>575</v>
      </c>
      <c r="D15" s="32" t="s">
        <v>576</v>
      </c>
      <c r="E15" s="32" t="s">
        <v>487</v>
      </c>
      <c r="F15" s="12" t="s">
        <v>482</v>
      </c>
      <c r="G15" s="57" t="s">
        <v>191</v>
      </c>
      <c r="H15" s="57" t="s">
        <v>191</v>
      </c>
      <c r="I15" s="57" t="s">
        <v>191</v>
      </c>
      <c r="J15" s="57" t="s">
        <v>191</v>
      </c>
      <c r="K15" s="57" t="s">
        <v>191</v>
      </c>
      <c r="L15" s="58" t="str">
        <f t="shared" ref="L15:N27" si="4">CONCATENATE("", C15)</f>
        <v>Normativos</v>
      </c>
      <c r="M15" s="58" t="str">
        <f t="shared" si="4"/>
        <v>NBR.Temáticas</v>
      </c>
      <c r="N15" s="58" t="str">
        <f t="shared" si="4"/>
        <v>NBR.Fases</v>
      </c>
      <c r="O15" s="58" t="str">
        <f t="shared" ref="O15:O22" si="5">F15</f>
        <v>NBR.F.Programação</v>
      </c>
      <c r="P15" s="42" t="s">
        <v>488</v>
      </c>
      <c r="Q15" s="42" t="s">
        <v>596</v>
      </c>
      <c r="R15" s="42" t="s">
        <v>588</v>
      </c>
      <c r="S15" s="84" t="s">
        <v>191</v>
      </c>
      <c r="T15" s="59" t="str">
        <f t="shared" ref="T15:V17" si="6">SUBSTITUTE(C15, "_", " ")</f>
        <v>Normativos</v>
      </c>
      <c r="U15" s="59" t="str">
        <f t="shared" si="6"/>
        <v>NBR.Temáticas</v>
      </c>
      <c r="V15" s="58" t="str">
        <f t="shared" si="6"/>
        <v>NBR.Fases</v>
      </c>
      <c r="W15" s="42" t="s">
        <v>445</v>
      </c>
      <c r="X15" s="63" t="str">
        <f t="shared" ref="X15:X27" si="7">CONCATENATE("Key-ABNT-",A15)</f>
        <v>Key-ABNT-15</v>
      </c>
      <c r="Y15" s="42" t="s">
        <v>578</v>
      </c>
      <c r="Z15" s="75" t="s">
        <v>191</v>
      </c>
      <c r="AA15" s="42" t="s">
        <v>579</v>
      </c>
      <c r="AB15" s="75" t="s">
        <v>191</v>
      </c>
      <c r="AC15" s="59" t="s">
        <v>496</v>
      </c>
      <c r="AD15" s="75" t="s">
        <v>191</v>
      </c>
    </row>
    <row r="16" spans="1:30" ht="6.75" customHeight="1" x14ac:dyDescent="0.2">
      <c r="A16" s="55">
        <v>16</v>
      </c>
      <c r="B16" s="56" t="s">
        <v>574</v>
      </c>
      <c r="C16" s="32" t="s">
        <v>575</v>
      </c>
      <c r="D16" s="32" t="s">
        <v>576</v>
      </c>
      <c r="E16" s="32" t="s">
        <v>487</v>
      </c>
      <c r="F16" s="12" t="s">
        <v>483</v>
      </c>
      <c r="G16" s="35" t="s">
        <v>191</v>
      </c>
      <c r="H16" s="35" t="s">
        <v>191</v>
      </c>
      <c r="I16" s="35" t="s">
        <v>191</v>
      </c>
      <c r="J16" s="35" t="s">
        <v>191</v>
      </c>
      <c r="K16" s="35" t="s">
        <v>191</v>
      </c>
      <c r="L16" s="58" t="str">
        <f t="shared" si="4"/>
        <v>Normativos</v>
      </c>
      <c r="M16" s="58" t="str">
        <f t="shared" si="4"/>
        <v>NBR.Temáticas</v>
      </c>
      <c r="N16" s="58" t="str">
        <f t="shared" si="4"/>
        <v>NBR.Fases</v>
      </c>
      <c r="O16" s="58" t="str">
        <f t="shared" si="5"/>
        <v>NBR.F.Estudo.Preliminar</v>
      </c>
      <c r="P16" s="58" t="s">
        <v>495</v>
      </c>
      <c r="Q16" s="42" t="s">
        <v>597</v>
      </c>
      <c r="R16" s="42" t="s">
        <v>589</v>
      </c>
      <c r="S16" s="84" t="s">
        <v>191</v>
      </c>
      <c r="T16" s="59" t="str">
        <f t="shared" si="6"/>
        <v>Normativos</v>
      </c>
      <c r="U16" s="59" t="str">
        <f t="shared" si="6"/>
        <v>NBR.Temáticas</v>
      </c>
      <c r="V16" s="58" t="str">
        <f t="shared" si="6"/>
        <v>NBR.Fases</v>
      </c>
      <c r="W16" s="42" t="s">
        <v>445</v>
      </c>
      <c r="X16" s="63" t="str">
        <f t="shared" si="7"/>
        <v>Key-ABNT-16</v>
      </c>
      <c r="Y16" s="42" t="s">
        <v>578</v>
      </c>
      <c r="Z16" s="75" t="s">
        <v>191</v>
      </c>
      <c r="AA16" s="42" t="s">
        <v>579</v>
      </c>
      <c r="AB16" s="75" t="s">
        <v>191</v>
      </c>
      <c r="AC16" s="59" t="s">
        <v>497</v>
      </c>
      <c r="AD16" s="75" t="s">
        <v>191</v>
      </c>
    </row>
    <row r="17" spans="1:30" ht="6.75" customHeight="1" x14ac:dyDescent="0.2">
      <c r="A17" s="55">
        <v>17</v>
      </c>
      <c r="B17" s="56" t="s">
        <v>574</v>
      </c>
      <c r="C17" s="32" t="s">
        <v>575</v>
      </c>
      <c r="D17" s="32" t="s">
        <v>576</v>
      </c>
      <c r="E17" s="32" t="s">
        <v>487</v>
      </c>
      <c r="F17" s="12" t="s">
        <v>504</v>
      </c>
      <c r="G17" s="35" t="s">
        <v>191</v>
      </c>
      <c r="H17" s="35" t="s">
        <v>191</v>
      </c>
      <c r="I17" s="35" t="s">
        <v>191</v>
      </c>
      <c r="J17" s="35" t="s">
        <v>191</v>
      </c>
      <c r="K17" s="35" t="s">
        <v>191</v>
      </c>
      <c r="L17" s="58" t="str">
        <f t="shared" si="4"/>
        <v>Normativos</v>
      </c>
      <c r="M17" s="58" t="str">
        <f t="shared" si="4"/>
        <v>NBR.Temáticas</v>
      </c>
      <c r="N17" s="58" t="str">
        <f t="shared" si="4"/>
        <v>NBR.Fases</v>
      </c>
      <c r="O17" s="58" t="str">
        <f t="shared" si="5"/>
        <v>NBR.F.Projetual</v>
      </c>
      <c r="P17" s="58" t="s">
        <v>489</v>
      </c>
      <c r="Q17" s="42" t="s">
        <v>598</v>
      </c>
      <c r="R17" s="42" t="s">
        <v>590</v>
      </c>
      <c r="S17" s="84" t="s">
        <v>191</v>
      </c>
      <c r="T17" s="59" t="str">
        <f t="shared" si="6"/>
        <v>Normativos</v>
      </c>
      <c r="U17" s="59" t="str">
        <f t="shared" si="6"/>
        <v>NBR.Temáticas</v>
      </c>
      <c r="V17" s="58" t="str">
        <f t="shared" si="6"/>
        <v>NBR.Fases</v>
      </c>
      <c r="W17" s="42" t="s">
        <v>445</v>
      </c>
      <c r="X17" s="63" t="str">
        <f t="shared" si="7"/>
        <v>Key-ABNT-17</v>
      </c>
      <c r="Y17" s="42" t="s">
        <v>578</v>
      </c>
      <c r="Z17" s="75" t="s">
        <v>191</v>
      </c>
      <c r="AA17" s="42" t="s">
        <v>579</v>
      </c>
      <c r="AB17" s="75" t="s">
        <v>191</v>
      </c>
      <c r="AC17" s="59" t="s">
        <v>498</v>
      </c>
      <c r="AD17" s="75" t="s">
        <v>191</v>
      </c>
    </row>
    <row r="18" spans="1:30" ht="6.75" customHeight="1" x14ac:dyDescent="0.2">
      <c r="A18" s="55">
        <v>18</v>
      </c>
      <c r="B18" s="56" t="s">
        <v>574</v>
      </c>
      <c r="C18" s="32" t="s">
        <v>575</v>
      </c>
      <c r="D18" s="32" t="s">
        <v>576</v>
      </c>
      <c r="E18" s="32" t="s">
        <v>487</v>
      </c>
      <c r="F18" s="12" t="s">
        <v>505</v>
      </c>
      <c r="G18" s="35" t="s">
        <v>191</v>
      </c>
      <c r="H18" s="35" t="s">
        <v>191</v>
      </c>
      <c r="I18" s="35" t="s">
        <v>191</v>
      </c>
      <c r="J18" s="35" t="s">
        <v>191</v>
      </c>
      <c r="K18" s="35" t="s">
        <v>191</v>
      </c>
      <c r="L18" s="58" t="str">
        <f t="shared" si="4"/>
        <v>Normativos</v>
      </c>
      <c r="M18" s="58" t="str">
        <f t="shared" si="4"/>
        <v>NBR.Temáticas</v>
      </c>
      <c r="N18" s="58" t="str">
        <f t="shared" si="4"/>
        <v>NBR.Fases</v>
      </c>
      <c r="O18" s="58" t="str">
        <f t="shared" si="5"/>
        <v>NBR.F.Licitação</v>
      </c>
      <c r="P18" s="58" t="s">
        <v>494</v>
      </c>
      <c r="Q18" s="42" t="s">
        <v>599</v>
      </c>
      <c r="R18" s="42" t="s">
        <v>591</v>
      </c>
      <c r="S18" s="84" t="s">
        <v>191</v>
      </c>
      <c r="T18" s="59" t="str">
        <f t="shared" ref="T18:V22" si="8">SUBSTITUTE(C18, "_", " ")</f>
        <v>Normativos</v>
      </c>
      <c r="U18" s="59" t="str">
        <f t="shared" si="8"/>
        <v>NBR.Temáticas</v>
      </c>
      <c r="V18" s="58" t="str">
        <f t="shared" si="8"/>
        <v>NBR.Fases</v>
      </c>
      <c r="W18" s="42" t="s">
        <v>445</v>
      </c>
      <c r="X18" s="63" t="str">
        <f t="shared" si="7"/>
        <v>Key-ABNT-18</v>
      </c>
      <c r="Y18" s="42" t="s">
        <v>578</v>
      </c>
      <c r="Z18" s="75" t="s">
        <v>191</v>
      </c>
      <c r="AA18" s="42" t="s">
        <v>579</v>
      </c>
      <c r="AB18" s="75" t="s">
        <v>191</v>
      </c>
      <c r="AC18" s="59" t="s">
        <v>499</v>
      </c>
      <c r="AD18" s="75" t="s">
        <v>191</v>
      </c>
    </row>
    <row r="19" spans="1:30" ht="6.75" customHeight="1" x14ac:dyDescent="0.2">
      <c r="A19" s="55">
        <v>19</v>
      </c>
      <c r="B19" s="56" t="s">
        <v>574</v>
      </c>
      <c r="C19" s="32" t="s">
        <v>575</v>
      </c>
      <c r="D19" s="32" t="s">
        <v>576</v>
      </c>
      <c r="E19" s="32" t="s">
        <v>487</v>
      </c>
      <c r="F19" s="12" t="s">
        <v>484</v>
      </c>
      <c r="G19" s="35" t="s">
        <v>191</v>
      </c>
      <c r="H19" s="35" t="s">
        <v>191</v>
      </c>
      <c r="I19" s="35" t="s">
        <v>191</v>
      </c>
      <c r="J19" s="35" t="s">
        <v>191</v>
      </c>
      <c r="K19" s="35" t="s">
        <v>191</v>
      </c>
      <c r="L19" s="58" t="str">
        <f t="shared" si="4"/>
        <v>Normativos</v>
      </c>
      <c r="M19" s="58" t="str">
        <f t="shared" si="4"/>
        <v>NBR.Temáticas</v>
      </c>
      <c r="N19" s="58" t="str">
        <f t="shared" si="4"/>
        <v>NBR.Fases</v>
      </c>
      <c r="O19" s="58" t="str">
        <f t="shared" si="5"/>
        <v>NBR.F.Construtiva</v>
      </c>
      <c r="P19" s="58" t="s">
        <v>493</v>
      </c>
      <c r="Q19" s="42" t="s">
        <v>600</v>
      </c>
      <c r="R19" s="42" t="s">
        <v>592</v>
      </c>
      <c r="S19" s="84" t="s">
        <v>191</v>
      </c>
      <c r="T19" s="59" t="str">
        <f t="shared" si="8"/>
        <v>Normativos</v>
      </c>
      <c r="U19" s="59" t="str">
        <f t="shared" si="8"/>
        <v>NBR.Temáticas</v>
      </c>
      <c r="V19" s="58" t="str">
        <f t="shared" si="8"/>
        <v>NBR.Fases</v>
      </c>
      <c r="W19" s="42" t="s">
        <v>445</v>
      </c>
      <c r="X19" s="63" t="str">
        <f t="shared" si="7"/>
        <v>Key-ABNT-19</v>
      </c>
      <c r="Y19" s="42" t="s">
        <v>578</v>
      </c>
      <c r="Z19" s="75" t="s">
        <v>191</v>
      </c>
      <c r="AA19" s="42" t="s">
        <v>579</v>
      </c>
      <c r="AB19" s="75" t="s">
        <v>191</v>
      </c>
      <c r="AC19" s="59" t="s">
        <v>503</v>
      </c>
      <c r="AD19" s="75" t="s">
        <v>191</v>
      </c>
    </row>
    <row r="20" spans="1:30" ht="6.75" customHeight="1" x14ac:dyDescent="0.2">
      <c r="A20" s="55">
        <v>20</v>
      </c>
      <c r="B20" s="56" t="s">
        <v>574</v>
      </c>
      <c r="C20" s="32" t="s">
        <v>575</v>
      </c>
      <c r="D20" s="32" t="s">
        <v>576</v>
      </c>
      <c r="E20" s="32" t="s">
        <v>487</v>
      </c>
      <c r="F20" s="12" t="s">
        <v>485</v>
      </c>
      <c r="G20" s="35" t="s">
        <v>191</v>
      </c>
      <c r="H20" s="35" t="s">
        <v>191</v>
      </c>
      <c r="I20" s="35" t="s">
        <v>191</v>
      </c>
      <c r="J20" s="35" t="s">
        <v>191</v>
      </c>
      <c r="K20" s="35" t="s">
        <v>191</v>
      </c>
      <c r="L20" s="58" t="str">
        <f t="shared" si="4"/>
        <v>Normativos</v>
      </c>
      <c r="M20" s="58" t="str">
        <f t="shared" si="4"/>
        <v>NBR.Temáticas</v>
      </c>
      <c r="N20" s="58" t="str">
        <f t="shared" si="4"/>
        <v>NBR.Fases</v>
      </c>
      <c r="O20" s="58" t="str">
        <f t="shared" si="5"/>
        <v>NBR.F.Comissionamento</v>
      </c>
      <c r="P20" s="58" t="s">
        <v>490</v>
      </c>
      <c r="Q20" s="42" t="s">
        <v>601</v>
      </c>
      <c r="R20" s="42" t="s">
        <v>593</v>
      </c>
      <c r="S20" s="84" t="s">
        <v>191</v>
      </c>
      <c r="T20" s="59" t="str">
        <f t="shared" si="8"/>
        <v>Normativos</v>
      </c>
      <c r="U20" s="59" t="str">
        <f t="shared" si="8"/>
        <v>NBR.Temáticas</v>
      </c>
      <c r="V20" s="58" t="str">
        <f t="shared" si="8"/>
        <v>NBR.Fases</v>
      </c>
      <c r="W20" s="42" t="s">
        <v>445</v>
      </c>
      <c r="X20" s="63" t="str">
        <f t="shared" si="7"/>
        <v>Key-ABNT-20</v>
      </c>
      <c r="Y20" s="42" t="s">
        <v>578</v>
      </c>
      <c r="Z20" s="75" t="s">
        <v>191</v>
      </c>
      <c r="AA20" s="42" t="s">
        <v>579</v>
      </c>
      <c r="AB20" s="75" t="s">
        <v>191</v>
      </c>
      <c r="AC20" s="59" t="s">
        <v>500</v>
      </c>
      <c r="AD20" s="75" t="s">
        <v>191</v>
      </c>
    </row>
    <row r="21" spans="1:30" ht="6.75" customHeight="1" x14ac:dyDescent="0.2">
      <c r="A21" s="55">
        <v>21</v>
      </c>
      <c r="B21" s="56" t="s">
        <v>574</v>
      </c>
      <c r="C21" s="32" t="s">
        <v>575</v>
      </c>
      <c r="D21" s="32" t="s">
        <v>576</v>
      </c>
      <c r="E21" s="32" t="s">
        <v>487</v>
      </c>
      <c r="F21" s="12" t="s">
        <v>506</v>
      </c>
      <c r="G21" s="35" t="s">
        <v>191</v>
      </c>
      <c r="H21" s="35" t="s">
        <v>191</v>
      </c>
      <c r="I21" s="35" t="s">
        <v>191</v>
      </c>
      <c r="J21" s="35" t="s">
        <v>191</v>
      </c>
      <c r="K21" s="35" t="s">
        <v>191</v>
      </c>
      <c r="L21" s="58" t="str">
        <f t="shared" si="4"/>
        <v>Normativos</v>
      </c>
      <c r="M21" s="58" t="str">
        <f t="shared" si="4"/>
        <v>NBR.Temáticas</v>
      </c>
      <c r="N21" s="58" t="str">
        <f t="shared" si="4"/>
        <v>NBR.Fases</v>
      </c>
      <c r="O21" s="58" t="str">
        <f t="shared" si="5"/>
        <v>NBR.F.Operacional</v>
      </c>
      <c r="P21" s="58" t="s">
        <v>491</v>
      </c>
      <c r="Q21" s="42" t="s">
        <v>602</v>
      </c>
      <c r="R21" s="42" t="s">
        <v>594</v>
      </c>
      <c r="S21" s="84" t="s">
        <v>191</v>
      </c>
      <c r="T21" s="59" t="str">
        <f t="shared" si="8"/>
        <v>Normativos</v>
      </c>
      <c r="U21" s="59" t="str">
        <f t="shared" si="8"/>
        <v>NBR.Temáticas</v>
      </c>
      <c r="V21" s="58" t="str">
        <f t="shared" si="8"/>
        <v>NBR.Fases</v>
      </c>
      <c r="W21" s="42" t="s">
        <v>445</v>
      </c>
      <c r="X21" s="63" t="str">
        <f t="shared" si="7"/>
        <v>Key-ABNT-21</v>
      </c>
      <c r="Y21" s="42" t="s">
        <v>578</v>
      </c>
      <c r="Z21" s="75" t="s">
        <v>191</v>
      </c>
      <c r="AA21" s="42" t="s">
        <v>579</v>
      </c>
      <c r="AB21" s="75" t="s">
        <v>191</v>
      </c>
      <c r="AC21" s="59" t="s">
        <v>501</v>
      </c>
      <c r="AD21" s="75" t="s">
        <v>191</v>
      </c>
    </row>
    <row r="22" spans="1:30" ht="6.75" customHeight="1" x14ac:dyDescent="0.2">
      <c r="A22" s="55">
        <v>22</v>
      </c>
      <c r="B22" s="56" t="s">
        <v>574</v>
      </c>
      <c r="C22" s="32" t="s">
        <v>575</v>
      </c>
      <c r="D22" s="32" t="s">
        <v>576</v>
      </c>
      <c r="E22" s="32" t="s">
        <v>487</v>
      </c>
      <c r="F22" s="12" t="s">
        <v>486</v>
      </c>
      <c r="G22" s="35" t="s">
        <v>191</v>
      </c>
      <c r="H22" s="35" t="s">
        <v>191</v>
      </c>
      <c r="I22" s="35" t="s">
        <v>191</v>
      </c>
      <c r="J22" s="35" t="s">
        <v>191</v>
      </c>
      <c r="K22" s="35" t="s">
        <v>191</v>
      </c>
      <c r="L22" s="58" t="str">
        <f t="shared" si="4"/>
        <v>Normativos</v>
      </c>
      <c r="M22" s="58" t="str">
        <f t="shared" si="4"/>
        <v>NBR.Temáticas</v>
      </c>
      <c r="N22" s="58" t="str">
        <f t="shared" si="4"/>
        <v>NBR.Fases</v>
      </c>
      <c r="O22" s="58" t="str">
        <f t="shared" si="5"/>
        <v>NBR.F.Fechamento.Demolição</v>
      </c>
      <c r="P22" s="58" t="s">
        <v>492</v>
      </c>
      <c r="Q22" s="42" t="s">
        <v>603</v>
      </c>
      <c r="R22" s="42" t="s">
        <v>595</v>
      </c>
      <c r="S22" s="84" t="s">
        <v>191</v>
      </c>
      <c r="T22" s="59" t="str">
        <f t="shared" si="8"/>
        <v>Normativos</v>
      </c>
      <c r="U22" s="59" t="str">
        <f t="shared" si="8"/>
        <v>NBR.Temáticas</v>
      </c>
      <c r="V22" s="58" t="str">
        <f t="shared" si="8"/>
        <v>NBR.Fases</v>
      </c>
      <c r="W22" s="42" t="s">
        <v>445</v>
      </c>
      <c r="X22" s="63" t="str">
        <f t="shared" si="7"/>
        <v>Key-ABNT-22</v>
      </c>
      <c r="Y22" s="42" t="s">
        <v>578</v>
      </c>
      <c r="Z22" s="75" t="s">
        <v>191</v>
      </c>
      <c r="AA22" s="42" t="s">
        <v>579</v>
      </c>
      <c r="AB22" s="75" t="s">
        <v>191</v>
      </c>
      <c r="AC22" s="59" t="s">
        <v>502</v>
      </c>
      <c r="AD22" s="75" t="s">
        <v>191</v>
      </c>
    </row>
    <row r="23" spans="1:30" s="85" customFormat="1" ht="6.75" customHeight="1" x14ac:dyDescent="0.2">
      <c r="A23" s="55">
        <v>23</v>
      </c>
      <c r="B23" s="56" t="s">
        <v>649</v>
      </c>
      <c r="C23" s="32" t="s">
        <v>650</v>
      </c>
      <c r="D23" s="32" t="s">
        <v>651</v>
      </c>
      <c r="E23" s="32" t="s">
        <v>652</v>
      </c>
      <c r="F23" s="32" t="s">
        <v>628</v>
      </c>
      <c r="G23" s="35" t="s">
        <v>191</v>
      </c>
      <c r="H23" s="35" t="s">
        <v>191</v>
      </c>
      <c r="I23" s="35" t="s">
        <v>191</v>
      </c>
      <c r="J23" s="35" t="s">
        <v>191</v>
      </c>
      <c r="K23" s="35" t="s">
        <v>191</v>
      </c>
      <c r="L23" s="58" t="s">
        <v>650</v>
      </c>
      <c r="M23" s="58" t="s">
        <v>651</v>
      </c>
      <c r="N23" s="58" t="s">
        <v>655</v>
      </c>
      <c r="O23" s="58" t="s">
        <v>656</v>
      </c>
      <c r="P23" s="42" t="s">
        <v>629</v>
      </c>
      <c r="Q23" s="42" t="s">
        <v>630</v>
      </c>
      <c r="R23" s="42" t="s">
        <v>631</v>
      </c>
      <c r="S23" s="84" t="s">
        <v>191</v>
      </c>
      <c r="T23" s="42" t="s">
        <v>657</v>
      </c>
      <c r="U23" s="42" t="s">
        <v>658</v>
      </c>
      <c r="V23" s="59" t="s">
        <v>655</v>
      </c>
      <c r="W23" s="42" t="s">
        <v>445</v>
      </c>
      <c r="X23" s="63" t="str">
        <f t="shared" si="7"/>
        <v>Key-ABNT-23</v>
      </c>
      <c r="Y23" s="75" t="s">
        <v>191</v>
      </c>
      <c r="Z23" s="75" t="s">
        <v>191</v>
      </c>
      <c r="AA23" s="75" t="s">
        <v>191</v>
      </c>
      <c r="AB23" s="75" t="s">
        <v>191</v>
      </c>
      <c r="AC23" s="75" t="s">
        <v>191</v>
      </c>
      <c r="AD23" s="75" t="s">
        <v>191</v>
      </c>
    </row>
    <row r="24" spans="1:30" s="85" customFormat="1" ht="6.75" customHeight="1" x14ac:dyDescent="0.2">
      <c r="A24" s="55">
        <v>24</v>
      </c>
      <c r="B24" s="56" t="s">
        <v>649</v>
      </c>
      <c r="C24" s="32" t="s">
        <v>650</v>
      </c>
      <c r="D24" s="32" t="s">
        <v>651</v>
      </c>
      <c r="E24" s="32" t="s">
        <v>652</v>
      </c>
      <c r="F24" s="32" t="s">
        <v>632</v>
      </c>
      <c r="G24" s="35" t="s">
        <v>191</v>
      </c>
      <c r="H24" s="35" t="s">
        <v>191</v>
      </c>
      <c r="I24" s="35" t="s">
        <v>191</v>
      </c>
      <c r="J24" s="35" t="s">
        <v>191</v>
      </c>
      <c r="K24" s="35" t="s">
        <v>191</v>
      </c>
      <c r="L24" s="58" t="s">
        <v>650</v>
      </c>
      <c r="M24" s="58" t="s">
        <v>651</v>
      </c>
      <c r="N24" s="58" t="s">
        <v>655</v>
      </c>
      <c r="O24" s="58" t="s">
        <v>659</v>
      </c>
      <c r="P24" s="42" t="s">
        <v>633</v>
      </c>
      <c r="Q24" s="42" t="s">
        <v>634</v>
      </c>
      <c r="R24" s="42" t="s">
        <v>635</v>
      </c>
      <c r="S24" s="84" t="s">
        <v>191</v>
      </c>
      <c r="T24" s="42" t="s">
        <v>657</v>
      </c>
      <c r="U24" s="42" t="s">
        <v>658</v>
      </c>
      <c r="V24" s="59" t="s">
        <v>655</v>
      </c>
      <c r="W24" s="42" t="s">
        <v>445</v>
      </c>
      <c r="X24" s="63" t="str">
        <f t="shared" si="7"/>
        <v>Key-ABNT-24</v>
      </c>
      <c r="Y24" s="75" t="s">
        <v>191</v>
      </c>
      <c r="Z24" s="75" t="s">
        <v>191</v>
      </c>
      <c r="AA24" s="75" t="s">
        <v>191</v>
      </c>
      <c r="AB24" s="75" t="s">
        <v>191</v>
      </c>
      <c r="AC24" s="75" t="s">
        <v>191</v>
      </c>
      <c r="AD24" s="75" t="s">
        <v>191</v>
      </c>
    </row>
    <row r="25" spans="1:30" s="85" customFormat="1" ht="6.75" customHeight="1" x14ac:dyDescent="0.2">
      <c r="A25" s="55">
        <v>25</v>
      </c>
      <c r="B25" s="56" t="s">
        <v>649</v>
      </c>
      <c r="C25" s="32" t="s">
        <v>650</v>
      </c>
      <c r="D25" s="32" t="s">
        <v>651</v>
      </c>
      <c r="E25" s="32" t="s">
        <v>652</v>
      </c>
      <c r="F25" s="32" t="s">
        <v>636</v>
      </c>
      <c r="G25" s="35" t="s">
        <v>191</v>
      </c>
      <c r="H25" s="35" t="s">
        <v>191</v>
      </c>
      <c r="I25" s="35" t="s">
        <v>191</v>
      </c>
      <c r="J25" s="35" t="s">
        <v>191</v>
      </c>
      <c r="K25" s="35" t="s">
        <v>191</v>
      </c>
      <c r="L25" s="58" t="s">
        <v>650</v>
      </c>
      <c r="M25" s="58" t="s">
        <v>651</v>
      </c>
      <c r="N25" s="58" t="s">
        <v>655</v>
      </c>
      <c r="O25" s="58" t="s">
        <v>660</v>
      </c>
      <c r="P25" s="42" t="s">
        <v>637</v>
      </c>
      <c r="Q25" s="42" t="s">
        <v>638</v>
      </c>
      <c r="R25" s="42" t="s">
        <v>639</v>
      </c>
      <c r="S25" s="84" t="s">
        <v>191</v>
      </c>
      <c r="T25" s="42" t="s">
        <v>657</v>
      </c>
      <c r="U25" s="42" t="s">
        <v>658</v>
      </c>
      <c r="V25" s="59" t="s">
        <v>655</v>
      </c>
      <c r="W25" s="42" t="s">
        <v>445</v>
      </c>
      <c r="X25" s="63" t="str">
        <f t="shared" si="7"/>
        <v>Key-ABNT-25</v>
      </c>
      <c r="Y25" s="75" t="s">
        <v>191</v>
      </c>
      <c r="Z25" s="75" t="s">
        <v>191</v>
      </c>
      <c r="AA25" s="75" t="s">
        <v>191</v>
      </c>
      <c r="AB25" s="75" t="s">
        <v>191</v>
      </c>
      <c r="AC25" s="75" t="s">
        <v>191</v>
      </c>
      <c r="AD25" s="75" t="s">
        <v>191</v>
      </c>
    </row>
    <row r="26" spans="1:30" s="85" customFormat="1" ht="6.75" customHeight="1" x14ac:dyDescent="0.2">
      <c r="A26" s="55">
        <v>26</v>
      </c>
      <c r="B26" s="56" t="s">
        <v>649</v>
      </c>
      <c r="C26" s="32" t="s">
        <v>650</v>
      </c>
      <c r="D26" s="32" t="s">
        <v>651</v>
      </c>
      <c r="E26" s="32" t="s">
        <v>652</v>
      </c>
      <c r="F26" s="32" t="s">
        <v>640</v>
      </c>
      <c r="G26" s="35" t="s">
        <v>191</v>
      </c>
      <c r="H26" s="35" t="s">
        <v>191</v>
      </c>
      <c r="I26" s="35" t="s">
        <v>191</v>
      </c>
      <c r="J26" s="35" t="s">
        <v>191</v>
      </c>
      <c r="K26" s="35" t="s">
        <v>191</v>
      </c>
      <c r="L26" s="58" t="s">
        <v>650</v>
      </c>
      <c r="M26" s="58" t="s">
        <v>651</v>
      </c>
      <c r="N26" s="58" t="s">
        <v>655</v>
      </c>
      <c r="O26" s="58" t="s">
        <v>661</v>
      </c>
      <c r="P26" s="42" t="s">
        <v>641</v>
      </c>
      <c r="Q26" s="42" t="s">
        <v>642</v>
      </c>
      <c r="R26" s="42" t="s">
        <v>643</v>
      </c>
      <c r="S26" s="84" t="s">
        <v>191</v>
      </c>
      <c r="T26" s="42" t="s">
        <v>657</v>
      </c>
      <c r="U26" s="42" t="s">
        <v>658</v>
      </c>
      <c r="V26" s="59" t="s">
        <v>655</v>
      </c>
      <c r="W26" s="42" t="s">
        <v>445</v>
      </c>
      <c r="X26" s="63" t="str">
        <f t="shared" si="7"/>
        <v>Key-ABNT-26</v>
      </c>
      <c r="Y26" s="75" t="s">
        <v>191</v>
      </c>
      <c r="Z26" s="75" t="s">
        <v>191</v>
      </c>
      <c r="AA26" s="75" t="s">
        <v>191</v>
      </c>
      <c r="AB26" s="75" t="s">
        <v>191</v>
      </c>
      <c r="AC26" s="75" t="s">
        <v>191</v>
      </c>
      <c r="AD26" s="75" t="s">
        <v>191</v>
      </c>
    </row>
    <row r="27" spans="1:30" s="85" customFormat="1" ht="6.75" customHeight="1" x14ac:dyDescent="0.2">
      <c r="A27" s="55">
        <v>27</v>
      </c>
      <c r="B27" s="56" t="s">
        <v>649</v>
      </c>
      <c r="C27" s="32" t="s">
        <v>650</v>
      </c>
      <c r="D27" s="32" t="s">
        <v>653</v>
      </c>
      <c r="E27" s="32" t="s">
        <v>654</v>
      </c>
      <c r="F27" s="32" t="s">
        <v>644</v>
      </c>
      <c r="G27" s="35" t="s">
        <v>191</v>
      </c>
      <c r="H27" s="35" t="s">
        <v>191</v>
      </c>
      <c r="I27" s="35" t="s">
        <v>191</v>
      </c>
      <c r="J27" s="35" t="s">
        <v>191</v>
      </c>
      <c r="K27" s="35" t="s">
        <v>191</v>
      </c>
      <c r="L27" s="58" t="s">
        <v>650</v>
      </c>
      <c r="M27" s="58" t="s">
        <v>653</v>
      </c>
      <c r="N27" s="58" t="s">
        <v>662</v>
      </c>
      <c r="O27" s="58" t="s">
        <v>663</v>
      </c>
      <c r="P27" s="42" t="s">
        <v>645</v>
      </c>
      <c r="Q27" s="42" t="s">
        <v>646</v>
      </c>
      <c r="R27" s="42" t="s">
        <v>647</v>
      </c>
      <c r="S27" s="84" t="s">
        <v>191</v>
      </c>
      <c r="T27" s="42" t="s">
        <v>657</v>
      </c>
      <c r="U27" s="42" t="s">
        <v>664</v>
      </c>
      <c r="V27" s="59" t="s">
        <v>662</v>
      </c>
      <c r="W27" s="42" t="s">
        <v>445</v>
      </c>
      <c r="X27" s="63" t="str">
        <f t="shared" si="7"/>
        <v>Key-ABNT-27</v>
      </c>
      <c r="Y27" s="75" t="s">
        <v>191</v>
      </c>
      <c r="Z27" s="75" t="s">
        <v>191</v>
      </c>
      <c r="AA27" s="75" t="s">
        <v>191</v>
      </c>
      <c r="AB27" s="75" t="s">
        <v>191</v>
      </c>
      <c r="AC27" s="75" t="s">
        <v>191</v>
      </c>
      <c r="AD27" s="75" t="s">
        <v>191</v>
      </c>
    </row>
  </sheetData>
  <conditionalFormatting sqref="A2:B22 A23:A27">
    <cfRule type="cellIs" dxfId="0" priority="7" operator="equal">
      <formula>"null"</formula>
    </cfRule>
  </conditionalFormatting>
  <conditionalFormatting sqref="F2:F14">
    <cfRule type="duplicateValues" dxfId="50" priority="26"/>
  </conditionalFormatting>
  <conditionalFormatting sqref="F15">
    <cfRule type="duplicateValues" dxfId="49" priority="54"/>
    <cfRule type="duplicateValues" dxfId="48" priority="55"/>
    <cfRule type="duplicateValues" dxfId="47" priority="56"/>
    <cfRule type="duplicateValues" dxfId="46" priority="57"/>
  </conditionalFormatting>
  <conditionalFormatting sqref="R1:R22">
    <cfRule type="cellIs" dxfId="44" priority="14" operator="equal">
      <formula>"null"</formula>
    </cfRule>
  </conditionalFormatting>
  <conditionalFormatting sqref="Y2 AA2">
    <cfRule type="cellIs" dxfId="43" priority="23" operator="equal">
      <formula>"null"</formula>
    </cfRule>
  </conditionalFormatting>
  <conditionalFormatting sqref="F23:F27">
    <cfRule type="duplicateValues" dxfId="2" priority="1"/>
  </conditionalFormatting>
  <conditionalFormatting sqref="F23:F27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D5B2-E607-43E1-969D-E9BC12588F0D}">
  <sheetPr codeName="Planilha3"/>
  <dimension ref="A1:U2"/>
  <sheetViews>
    <sheetView zoomScale="190" zoomScaleNormal="190" workbookViewId="0"/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6" t="s">
        <v>375</v>
      </c>
      <c r="B1" s="27" t="s">
        <v>398</v>
      </c>
      <c r="C1" s="27" t="s">
        <v>399</v>
      </c>
      <c r="D1" s="27" t="s">
        <v>400</v>
      </c>
      <c r="E1" s="27" t="s">
        <v>401</v>
      </c>
      <c r="F1" s="27" t="s">
        <v>402</v>
      </c>
      <c r="G1" s="27" t="s">
        <v>403</v>
      </c>
      <c r="H1" s="27" t="s">
        <v>404</v>
      </c>
      <c r="I1" s="27" t="s">
        <v>405</v>
      </c>
      <c r="J1" s="27" t="s">
        <v>406</v>
      </c>
      <c r="K1" s="27" t="s">
        <v>407</v>
      </c>
      <c r="L1" s="27" t="s">
        <v>408</v>
      </c>
      <c r="M1" s="27" t="s">
        <v>409</v>
      </c>
      <c r="N1" s="27" t="s">
        <v>410</v>
      </c>
      <c r="O1" s="27" t="s">
        <v>411</v>
      </c>
      <c r="P1" s="27" t="s">
        <v>412</v>
      </c>
      <c r="Q1" s="27" t="s">
        <v>413</v>
      </c>
      <c r="R1" s="27" t="s">
        <v>414</v>
      </c>
      <c r="S1" s="27" t="s">
        <v>415</v>
      </c>
      <c r="T1" s="27" t="s">
        <v>416</v>
      </c>
      <c r="U1" s="27" t="s">
        <v>417</v>
      </c>
    </row>
    <row r="2" spans="1:21" x14ac:dyDescent="0.2">
      <c r="A2" s="26">
        <v>2</v>
      </c>
      <c r="B2" s="28" t="s">
        <v>191</v>
      </c>
      <c r="C2" s="28" t="s">
        <v>191</v>
      </c>
      <c r="D2" s="28" t="s">
        <v>191</v>
      </c>
      <c r="E2" s="28" t="s">
        <v>191</v>
      </c>
      <c r="F2" s="28" t="s">
        <v>191</v>
      </c>
      <c r="G2" s="28" t="s">
        <v>191</v>
      </c>
      <c r="H2" s="28" t="s">
        <v>191</v>
      </c>
      <c r="I2" s="28" t="s">
        <v>191</v>
      </c>
      <c r="J2" s="28" t="s">
        <v>191</v>
      </c>
      <c r="K2" s="28" t="s">
        <v>191</v>
      </c>
      <c r="L2" s="28" t="s">
        <v>191</v>
      </c>
      <c r="M2" s="28" t="s">
        <v>191</v>
      </c>
      <c r="N2" s="28" t="s">
        <v>191</v>
      </c>
      <c r="O2" s="28" t="s">
        <v>191</v>
      </c>
      <c r="P2" s="28" t="s">
        <v>191</v>
      </c>
      <c r="Q2" s="28" t="s">
        <v>191</v>
      </c>
      <c r="R2" s="28" t="s">
        <v>191</v>
      </c>
      <c r="S2" s="28" t="s">
        <v>191</v>
      </c>
      <c r="T2" s="28" t="s">
        <v>191</v>
      </c>
      <c r="U2" s="28" t="s">
        <v>191</v>
      </c>
    </row>
  </sheetData>
  <conditionalFormatting sqref="A1:U2">
    <cfRule type="cellIs" dxfId="42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4DF8-DB25-47BD-BFAE-132A16409236}">
  <sheetPr codeName="Planilha4"/>
  <dimension ref="A1:C2"/>
  <sheetViews>
    <sheetView zoomScale="220" zoomScaleNormal="220" workbookViewId="0">
      <pane ySplit="1" topLeftCell="A2" activePane="bottomLeft" state="frozen"/>
      <selection pane="bottomLeft" sqref="A1:C2"/>
    </sheetView>
  </sheetViews>
  <sheetFormatPr defaultRowHeight="11.25" x14ac:dyDescent="0.2"/>
  <cols>
    <col min="1" max="1" width="3.5" bestFit="1" customWidth="1"/>
    <col min="2" max="3" width="13.83203125" customWidth="1"/>
  </cols>
  <sheetData>
    <row r="1" spans="1:3" x14ac:dyDescent="0.2">
      <c r="A1" s="29">
        <v>1</v>
      </c>
      <c r="B1" s="30" t="s">
        <v>190</v>
      </c>
      <c r="C1" s="30" t="s">
        <v>419</v>
      </c>
    </row>
    <row r="2" spans="1:3" x14ac:dyDescent="0.2">
      <c r="A2" s="20">
        <v>2</v>
      </c>
      <c r="B2" s="31" t="s">
        <v>191</v>
      </c>
      <c r="C2" s="31" t="s">
        <v>191</v>
      </c>
    </row>
  </sheetData>
  <conditionalFormatting sqref="A1:A2">
    <cfRule type="cellIs" dxfId="41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E174"/>
  <sheetViews>
    <sheetView zoomScale="205" zoomScaleNormal="205" workbookViewId="0">
      <pane ySplit="1" topLeftCell="A157" activePane="bottomLeft" state="frozen"/>
      <selection pane="bottomLeft" activeCell="C157" sqref="C157"/>
    </sheetView>
  </sheetViews>
  <sheetFormatPr defaultColWidth="11.5" defaultRowHeight="6.6" customHeight="1" x14ac:dyDescent="0.2"/>
  <cols>
    <col min="1" max="1" width="2.5" style="2" bestFit="1" customWidth="1"/>
    <col min="2" max="2" width="8.1640625" style="2" bestFit="1" customWidth="1"/>
    <col min="3" max="3" width="15.6640625" style="2" bestFit="1" customWidth="1"/>
    <col min="4" max="4" width="8.1640625" style="2" bestFit="1" customWidth="1"/>
    <col min="5" max="5" width="6" style="2" bestFit="1" customWidth="1"/>
    <col min="6" max="6" width="3.6640625" style="38" bestFit="1" customWidth="1"/>
    <col min="7" max="7" width="7.6640625" style="38" bestFit="1" customWidth="1"/>
    <col min="8" max="8" width="3.1640625" style="38" bestFit="1" customWidth="1"/>
    <col min="9" max="9" width="5.1640625" style="38" bestFit="1" customWidth="1"/>
    <col min="10" max="10" width="3.1640625" style="38" bestFit="1" customWidth="1"/>
    <col min="11" max="11" width="5.33203125" style="38" bestFit="1" customWidth="1"/>
    <col min="12" max="12" width="4.6640625" style="38" bestFit="1" customWidth="1"/>
    <col min="13" max="13" width="20.33203125" style="38" bestFit="1" customWidth="1"/>
    <col min="14" max="14" width="5.33203125" style="38" bestFit="1" customWidth="1"/>
    <col min="15" max="15" width="54.33203125" style="2" bestFit="1" customWidth="1"/>
    <col min="16" max="16" width="7.33203125" style="38" bestFit="1" customWidth="1"/>
    <col min="17" max="17" width="11" style="38" bestFit="1" customWidth="1"/>
    <col min="18" max="18" width="5" style="38" bestFit="1" customWidth="1"/>
    <col min="19" max="19" width="4.83203125" style="38" bestFit="1" customWidth="1"/>
    <col min="20" max="20" width="3.1640625" style="2" bestFit="1" customWidth="1"/>
    <col min="21" max="21" width="3.6640625" style="2" bestFit="1" customWidth="1"/>
    <col min="22" max="22" width="11" style="2" customWidth="1"/>
    <col min="23" max="23" width="7.6640625" style="2" bestFit="1" customWidth="1"/>
    <col min="24" max="24" width="11" style="2" customWidth="1"/>
    <col min="25" max="25" width="6" style="2" bestFit="1" customWidth="1"/>
    <col min="26" max="26" width="11" style="2" customWidth="1"/>
    <col min="27" max="27" width="7.33203125" style="2" bestFit="1" customWidth="1"/>
    <col min="28" max="28" width="11" style="2" customWidth="1"/>
    <col min="29" max="29" width="7.1640625" style="2" bestFit="1" customWidth="1"/>
    <col min="30" max="30" width="11" style="2" customWidth="1"/>
    <col min="31" max="31" width="7" style="2" bestFit="1" customWidth="1"/>
    <col min="32" max="16384" width="11.5" style="2"/>
  </cols>
  <sheetData>
    <row r="1" spans="1:31" ht="16.899999999999999" customHeight="1" x14ac:dyDescent="0.2">
      <c r="A1" s="6" t="s">
        <v>189</v>
      </c>
      <c r="B1" s="7" t="s">
        <v>0</v>
      </c>
      <c r="C1" s="7" t="s">
        <v>190</v>
      </c>
      <c r="D1" s="7" t="s">
        <v>2</v>
      </c>
      <c r="E1" s="7" t="s">
        <v>3</v>
      </c>
      <c r="F1" s="7" t="s">
        <v>2</v>
      </c>
      <c r="G1" s="7" t="s">
        <v>3</v>
      </c>
      <c r="H1" s="7" t="s">
        <v>2</v>
      </c>
      <c r="I1" s="7" t="s">
        <v>3</v>
      </c>
      <c r="J1" s="7" t="s">
        <v>2</v>
      </c>
      <c r="K1" s="7" t="s">
        <v>3</v>
      </c>
      <c r="L1" s="7" t="s">
        <v>2</v>
      </c>
      <c r="M1" s="7" t="s">
        <v>3</v>
      </c>
      <c r="N1" s="7" t="s">
        <v>2</v>
      </c>
      <c r="O1" s="7" t="s">
        <v>3</v>
      </c>
      <c r="P1" s="7" t="s">
        <v>2</v>
      </c>
      <c r="Q1" s="7" t="s">
        <v>3</v>
      </c>
      <c r="R1" s="7" t="s">
        <v>2</v>
      </c>
      <c r="S1" s="7" t="s">
        <v>3</v>
      </c>
      <c r="T1" s="52" t="s">
        <v>2</v>
      </c>
      <c r="U1" s="52" t="s">
        <v>3</v>
      </c>
      <c r="V1" s="52" t="s">
        <v>2</v>
      </c>
      <c r="W1" s="52" t="s">
        <v>3</v>
      </c>
      <c r="X1" s="52" t="s">
        <v>2</v>
      </c>
      <c r="Y1" s="52" t="s">
        <v>3</v>
      </c>
      <c r="Z1" s="52" t="s">
        <v>2</v>
      </c>
      <c r="AA1" s="52" t="s">
        <v>3</v>
      </c>
      <c r="AB1" s="52" t="s">
        <v>2</v>
      </c>
      <c r="AC1" s="52" t="s">
        <v>3</v>
      </c>
      <c r="AD1" s="52" t="s">
        <v>2</v>
      </c>
      <c r="AE1" s="52" t="s">
        <v>3</v>
      </c>
    </row>
    <row r="2" spans="1:31" ht="6.6" customHeight="1" x14ac:dyDescent="0.2">
      <c r="A2" s="8">
        <v>2</v>
      </c>
      <c r="B2" s="48" t="s">
        <v>367</v>
      </c>
      <c r="C2" s="10" t="s">
        <v>575</v>
      </c>
      <c r="D2" s="61" t="s">
        <v>191</v>
      </c>
      <c r="E2" s="62" t="s">
        <v>191</v>
      </c>
      <c r="F2" s="49" t="s">
        <v>370</v>
      </c>
      <c r="G2" s="50" t="s">
        <v>372</v>
      </c>
      <c r="H2" s="49" t="s">
        <v>191</v>
      </c>
      <c r="I2" s="50" t="s">
        <v>191</v>
      </c>
      <c r="J2" s="49" t="s">
        <v>366</v>
      </c>
      <c r="K2" s="50" t="s">
        <v>465</v>
      </c>
      <c r="L2" s="49" t="s">
        <v>422</v>
      </c>
      <c r="M2" s="50" t="s">
        <v>466</v>
      </c>
      <c r="N2" s="36" t="s">
        <v>1</v>
      </c>
      <c r="O2" s="51" t="s">
        <v>438</v>
      </c>
      <c r="P2" s="49" t="s">
        <v>439</v>
      </c>
      <c r="Q2" s="50" t="s">
        <v>437</v>
      </c>
      <c r="R2" s="49" t="s">
        <v>440</v>
      </c>
      <c r="S2" s="50" t="s">
        <v>437</v>
      </c>
      <c r="T2" s="53" t="s">
        <v>191</v>
      </c>
      <c r="U2" s="54" t="s">
        <v>191</v>
      </c>
      <c r="V2" s="61" t="s">
        <v>191</v>
      </c>
      <c r="W2" s="62" t="s">
        <v>191</v>
      </c>
      <c r="X2" s="61" t="s">
        <v>191</v>
      </c>
      <c r="Y2" s="62" t="s">
        <v>191</v>
      </c>
      <c r="Z2" s="61" t="s">
        <v>191</v>
      </c>
      <c r="AA2" s="62" t="s">
        <v>191</v>
      </c>
      <c r="AB2" s="61" t="s">
        <v>191</v>
      </c>
      <c r="AC2" s="62" t="s">
        <v>191</v>
      </c>
      <c r="AD2" s="61" t="s">
        <v>191</v>
      </c>
      <c r="AE2" s="62" t="s">
        <v>191</v>
      </c>
    </row>
    <row r="3" spans="1:31" ht="6.6" customHeight="1" x14ac:dyDescent="0.2">
      <c r="A3" s="8">
        <v>3</v>
      </c>
      <c r="B3" s="9" t="s">
        <v>371</v>
      </c>
      <c r="C3" s="10" t="s">
        <v>468</v>
      </c>
      <c r="D3" s="61" t="s">
        <v>467</v>
      </c>
      <c r="E3" s="62" t="s">
        <v>367</v>
      </c>
      <c r="F3" s="36" t="s">
        <v>370</v>
      </c>
      <c r="G3" s="39" t="s">
        <v>372</v>
      </c>
      <c r="H3" s="36" t="s">
        <v>364</v>
      </c>
      <c r="I3" s="39" t="s">
        <v>365</v>
      </c>
      <c r="J3" s="49" t="s">
        <v>366</v>
      </c>
      <c r="K3" s="50" t="s">
        <v>465</v>
      </c>
      <c r="L3" s="49" t="s">
        <v>422</v>
      </c>
      <c r="M3" s="50" t="s">
        <v>507</v>
      </c>
      <c r="N3" s="36" t="s">
        <v>1</v>
      </c>
      <c r="O3" s="11" t="s">
        <v>16</v>
      </c>
      <c r="P3" s="49" t="s">
        <v>439</v>
      </c>
      <c r="Q3" s="50" t="s">
        <v>441</v>
      </c>
      <c r="R3" s="49" t="s">
        <v>440</v>
      </c>
      <c r="S3" s="50" t="s">
        <v>442</v>
      </c>
      <c r="T3" s="53" t="s">
        <v>191</v>
      </c>
      <c r="U3" s="54" t="s">
        <v>191</v>
      </c>
      <c r="V3" s="61" t="s">
        <v>191</v>
      </c>
      <c r="W3" s="62" t="s">
        <v>191</v>
      </c>
      <c r="X3" s="61" t="s">
        <v>191</v>
      </c>
      <c r="Y3" s="62" t="s">
        <v>191</v>
      </c>
      <c r="Z3" s="61" t="s">
        <v>191</v>
      </c>
      <c r="AA3" s="62" t="s">
        <v>191</v>
      </c>
      <c r="AB3" s="61" t="s">
        <v>191</v>
      </c>
      <c r="AC3" s="62" t="s">
        <v>191</v>
      </c>
      <c r="AD3" s="61" t="s">
        <v>191</v>
      </c>
      <c r="AE3" s="62" t="s">
        <v>191</v>
      </c>
    </row>
    <row r="4" spans="1:31" ht="6.6" customHeight="1" x14ac:dyDescent="0.2">
      <c r="A4" s="8">
        <v>4</v>
      </c>
      <c r="B4" s="9" t="s">
        <v>369</v>
      </c>
      <c r="C4" s="12" t="s">
        <v>472</v>
      </c>
      <c r="D4" s="61" t="s">
        <v>467</v>
      </c>
      <c r="E4" s="62" t="s">
        <v>371</v>
      </c>
      <c r="F4" s="36" t="s">
        <v>370</v>
      </c>
      <c r="G4" s="39" t="s">
        <v>372</v>
      </c>
      <c r="H4" s="36" t="s">
        <v>364</v>
      </c>
      <c r="I4" s="39" t="s">
        <v>365</v>
      </c>
      <c r="J4" s="49" t="s">
        <v>366</v>
      </c>
      <c r="K4" s="50" t="s">
        <v>465</v>
      </c>
      <c r="L4" s="49" t="s">
        <v>422</v>
      </c>
      <c r="M4" s="50" t="s">
        <v>508</v>
      </c>
      <c r="N4" s="36" t="s">
        <v>1</v>
      </c>
      <c r="O4" s="11" t="s">
        <v>368</v>
      </c>
      <c r="P4" s="49" t="s">
        <v>439</v>
      </c>
      <c r="Q4" s="50" t="s">
        <v>441</v>
      </c>
      <c r="R4" s="49" t="s">
        <v>440</v>
      </c>
      <c r="S4" s="50" t="s">
        <v>442</v>
      </c>
      <c r="T4" s="53" t="s">
        <v>191</v>
      </c>
      <c r="U4" s="54" t="s">
        <v>191</v>
      </c>
      <c r="V4" s="61" t="s">
        <v>622</v>
      </c>
      <c r="W4" s="62" t="s">
        <v>606</v>
      </c>
      <c r="X4" s="61" t="s">
        <v>622</v>
      </c>
      <c r="Y4" s="62" t="s">
        <v>610</v>
      </c>
      <c r="Z4" s="61" t="s">
        <v>622</v>
      </c>
      <c r="AA4" s="62" t="s">
        <v>613</v>
      </c>
      <c r="AB4" s="61" t="s">
        <v>622</v>
      </c>
      <c r="AC4" s="62" t="s">
        <v>616</v>
      </c>
      <c r="AD4" s="61" t="s">
        <v>622</v>
      </c>
      <c r="AE4" s="62" t="s">
        <v>619</v>
      </c>
    </row>
    <row r="5" spans="1:31" ht="6.6" customHeight="1" x14ac:dyDescent="0.2">
      <c r="A5" s="8">
        <v>5</v>
      </c>
      <c r="B5" s="14" t="s">
        <v>199</v>
      </c>
      <c r="C5" s="12" t="s">
        <v>482</v>
      </c>
      <c r="D5" s="61" t="s">
        <v>467</v>
      </c>
      <c r="E5" s="62" t="s">
        <v>371</v>
      </c>
      <c r="F5" s="36" t="s">
        <v>370</v>
      </c>
      <c r="G5" s="39" t="s">
        <v>372</v>
      </c>
      <c r="H5" s="36" t="s">
        <v>364</v>
      </c>
      <c r="I5" s="39" t="s">
        <v>365</v>
      </c>
      <c r="J5" s="36" t="s">
        <v>366</v>
      </c>
      <c r="K5" s="39" t="s">
        <v>421</v>
      </c>
      <c r="L5" s="36" t="s">
        <v>422</v>
      </c>
      <c r="M5" s="37" t="s">
        <v>462</v>
      </c>
      <c r="N5" s="36" t="s">
        <v>1</v>
      </c>
      <c r="O5" s="13" t="s">
        <v>17</v>
      </c>
      <c r="P5" s="49" t="s">
        <v>439</v>
      </c>
      <c r="Q5" s="50" t="s">
        <v>441</v>
      </c>
      <c r="R5" s="49" t="s">
        <v>440</v>
      </c>
      <c r="S5" s="50" t="s">
        <v>442</v>
      </c>
      <c r="T5" s="53" t="s">
        <v>191</v>
      </c>
      <c r="U5" s="54" t="s">
        <v>191</v>
      </c>
      <c r="V5" s="61" t="s">
        <v>622</v>
      </c>
      <c r="W5" s="62" t="s">
        <v>606</v>
      </c>
      <c r="X5" s="61" t="s">
        <v>622</v>
      </c>
      <c r="Y5" s="62" t="s">
        <v>610</v>
      </c>
      <c r="Z5" s="61" t="s">
        <v>622</v>
      </c>
      <c r="AA5" s="62" t="s">
        <v>613</v>
      </c>
      <c r="AB5" s="61" t="s">
        <v>622</v>
      </c>
      <c r="AC5" s="62" t="s">
        <v>616</v>
      </c>
      <c r="AD5" s="61" t="s">
        <v>622</v>
      </c>
      <c r="AE5" s="62" t="s">
        <v>619</v>
      </c>
    </row>
    <row r="6" spans="1:31" ht="6.6" customHeight="1" x14ac:dyDescent="0.2">
      <c r="A6" s="8">
        <v>6</v>
      </c>
      <c r="B6" s="14" t="s">
        <v>200</v>
      </c>
      <c r="C6" s="12" t="s">
        <v>482</v>
      </c>
      <c r="D6" s="61" t="s">
        <v>467</v>
      </c>
      <c r="E6" s="62" t="s">
        <v>371</v>
      </c>
      <c r="F6" s="36" t="s">
        <v>370</v>
      </c>
      <c r="G6" s="39" t="s">
        <v>372</v>
      </c>
      <c r="H6" s="36" t="s">
        <v>364</v>
      </c>
      <c r="I6" s="39" t="s">
        <v>365</v>
      </c>
      <c r="J6" s="36" t="s">
        <v>366</v>
      </c>
      <c r="K6" s="39" t="s">
        <v>421</v>
      </c>
      <c r="L6" s="36" t="s">
        <v>422</v>
      </c>
      <c r="M6" s="37" t="s">
        <v>462</v>
      </c>
      <c r="N6" s="36" t="s">
        <v>1</v>
      </c>
      <c r="O6" s="13" t="s">
        <v>18</v>
      </c>
      <c r="P6" s="49" t="s">
        <v>439</v>
      </c>
      <c r="Q6" s="50" t="s">
        <v>441</v>
      </c>
      <c r="R6" s="49" t="s">
        <v>440</v>
      </c>
      <c r="S6" s="50" t="s">
        <v>442</v>
      </c>
      <c r="T6" s="53" t="s">
        <v>191</v>
      </c>
      <c r="U6" s="54" t="s">
        <v>191</v>
      </c>
      <c r="V6" s="61" t="s">
        <v>622</v>
      </c>
      <c r="W6" s="62" t="s">
        <v>606</v>
      </c>
      <c r="X6" s="61" t="s">
        <v>622</v>
      </c>
      <c r="Y6" s="62" t="s">
        <v>610</v>
      </c>
      <c r="Z6" s="61" t="s">
        <v>622</v>
      </c>
      <c r="AA6" s="62" t="s">
        <v>613</v>
      </c>
      <c r="AB6" s="61" t="s">
        <v>622</v>
      </c>
      <c r="AC6" s="62" t="s">
        <v>616</v>
      </c>
      <c r="AD6" s="61" t="s">
        <v>622</v>
      </c>
      <c r="AE6" s="62" t="s">
        <v>619</v>
      </c>
    </row>
    <row r="7" spans="1:31" ht="6.6" customHeight="1" x14ac:dyDescent="0.2">
      <c r="A7" s="8">
        <v>7</v>
      </c>
      <c r="B7" s="14" t="s">
        <v>201</v>
      </c>
      <c r="C7" s="12" t="s">
        <v>482</v>
      </c>
      <c r="D7" s="61" t="s">
        <v>467</v>
      </c>
      <c r="E7" s="62" t="s">
        <v>371</v>
      </c>
      <c r="F7" s="36" t="s">
        <v>370</v>
      </c>
      <c r="G7" s="39" t="s">
        <v>372</v>
      </c>
      <c r="H7" s="36" t="s">
        <v>364</v>
      </c>
      <c r="I7" s="39" t="s">
        <v>365</v>
      </c>
      <c r="J7" s="36" t="s">
        <v>366</v>
      </c>
      <c r="K7" s="39" t="s">
        <v>421</v>
      </c>
      <c r="L7" s="36" t="s">
        <v>422</v>
      </c>
      <c r="M7" s="37" t="s">
        <v>462</v>
      </c>
      <c r="N7" s="36" t="s">
        <v>1</v>
      </c>
      <c r="O7" s="13" t="s">
        <v>14</v>
      </c>
      <c r="P7" s="49" t="s">
        <v>439</v>
      </c>
      <c r="Q7" s="50" t="s">
        <v>441</v>
      </c>
      <c r="R7" s="49" t="s">
        <v>440</v>
      </c>
      <c r="S7" s="50" t="s">
        <v>442</v>
      </c>
      <c r="T7" s="53" t="s">
        <v>191</v>
      </c>
      <c r="U7" s="54" t="s">
        <v>191</v>
      </c>
      <c r="V7" s="61" t="s">
        <v>622</v>
      </c>
      <c r="W7" s="62" t="s">
        <v>606</v>
      </c>
      <c r="X7" s="61" t="s">
        <v>622</v>
      </c>
      <c r="Y7" s="62" t="s">
        <v>610</v>
      </c>
      <c r="Z7" s="61" t="s">
        <v>622</v>
      </c>
      <c r="AA7" s="62" t="s">
        <v>613</v>
      </c>
      <c r="AB7" s="61" t="s">
        <v>622</v>
      </c>
      <c r="AC7" s="62" t="s">
        <v>616</v>
      </c>
      <c r="AD7" s="61" t="s">
        <v>622</v>
      </c>
      <c r="AE7" s="62" t="s">
        <v>619</v>
      </c>
    </row>
    <row r="8" spans="1:31" ht="6.6" customHeight="1" x14ac:dyDescent="0.2">
      <c r="A8" s="8">
        <v>8</v>
      </c>
      <c r="B8" s="14" t="s">
        <v>202</v>
      </c>
      <c r="C8" s="12" t="s">
        <v>482</v>
      </c>
      <c r="D8" s="61" t="s">
        <v>467</v>
      </c>
      <c r="E8" s="62" t="s">
        <v>371</v>
      </c>
      <c r="F8" s="36" t="s">
        <v>370</v>
      </c>
      <c r="G8" s="39" t="s">
        <v>372</v>
      </c>
      <c r="H8" s="36" t="s">
        <v>364</v>
      </c>
      <c r="I8" s="39" t="s">
        <v>365</v>
      </c>
      <c r="J8" s="36" t="s">
        <v>366</v>
      </c>
      <c r="K8" s="39" t="s">
        <v>421</v>
      </c>
      <c r="L8" s="36" t="s">
        <v>422</v>
      </c>
      <c r="M8" s="37" t="s">
        <v>462</v>
      </c>
      <c r="N8" s="36" t="s">
        <v>1</v>
      </c>
      <c r="O8" s="13" t="s">
        <v>19</v>
      </c>
      <c r="P8" s="49" t="s">
        <v>439</v>
      </c>
      <c r="Q8" s="50" t="s">
        <v>441</v>
      </c>
      <c r="R8" s="49" t="s">
        <v>440</v>
      </c>
      <c r="S8" s="50" t="s">
        <v>442</v>
      </c>
      <c r="T8" s="53" t="s">
        <v>191</v>
      </c>
      <c r="U8" s="54" t="s">
        <v>191</v>
      </c>
      <c r="V8" s="61" t="s">
        <v>622</v>
      </c>
      <c r="W8" s="62" t="s">
        <v>606</v>
      </c>
      <c r="X8" s="61" t="s">
        <v>622</v>
      </c>
      <c r="Y8" s="62" t="s">
        <v>610</v>
      </c>
      <c r="Z8" s="61" t="s">
        <v>622</v>
      </c>
      <c r="AA8" s="62" t="s">
        <v>613</v>
      </c>
      <c r="AB8" s="61" t="s">
        <v>622</v>
      </c>
      <c r="AC8" s="62" t="s">
        <v>616</v>
      </c>
      <c r="AD8" s="61" t="s">
        <v>622</v>
      </c>
      <c r="AE8" s="62" t="s">
        <v>619</v>
      </c>
    </row>
    <row r="9" spans="1:31" ht="6.6" customHeight="1" x14ac:dyDescent="0.2">
      <c r="A9" s="8">
        <v>9</v>
      </c>
      <c r="B9" s="14" t="s">
        <v>203</v>
      </c>
      <c r="C9" s="12" t="s">
        <v>482</v>
      </c>
      <c r="D9" s="61" t="s">
        <v>467</v>
      </c>
      <c r="E9" s="62" t="s">
        <v>371</v>
      </c>
      <c r="F9" s="36" t="s">
        <v>370</v>
      </c>
      <c r="G9" s="39" t="s">
        <v>372</v>
      </c>
      <c r="H9" s="36" t="s">
        <v>364</v>
      </c>
      <c r="I9" s="39" t="s">
        <v>365</v>
      </c>
      <c r="J9" s="36" t="s">
        <v>366</v>
      </c>
      <c r="K9" s="39" t="s">
        <v>421</v>
      </c>
      <c r="L9" s="36" t="s">
        <v>422</v>
      </c>
      <c r="M9" s="37" t="s">
        <v>462</v>
      </c>
      <c r="N9" s="36" t="s">
        <v>1</v>
      </c>
      <c r="O9" s="13" t="s">
        <v>20</v>
      </c>
      <c r="P9" s="49" t="s">
        <v>439</v>
      </c>
      <c r="Q9" s="50" t="s">
        <v>441</v>
      </c>
      <c r="R9" s="49" t="s">
        <v>440</v>
      </c>
      <c r="S9" s="50" t="s">
        <v>442</v>
      </c>
      <c r="T9" s="53" t="s">
        <v>191</v>
      </c>
      <c r="U9" s="54" t="s">
        <v>191</v>
      </c>
      <c r="V9" s="61" t="s">
        <v>622</v>
      </c>
      <c r="W9" s="62" t="s">
        <v>606</v>
      </c>
      <c r="X9" s="61" t="s">
        <v>622</v>
      </c>
      <c r="Y9" s="62" t="s">
        <v>610</v>
      </c>
      <c r="Z9" s="61" t="s">
        <v>622</v>
      </c>
      <c r="AA9" s="62" t="s">
        <v>613</v>
      </c>
      <c r="AB9" s="61" t="s">
        <v>622</v>
      </c>
      <c r="AC9" s="62" t="s">
        <v>616</v>
      </c>
      <c r="AD9" s="61" t="s">
        <v>622</v>
      </c>
      <c r="AE9" s="62" t="s">
        <v>619</v>
      </c>
    </row>
    <row r="10" spans="1:31" ht="6.6" customHeight="1" x14ac:dyDescent="0.2">
      <c r="A10" s="8">
        <v>10</v>
      </c>
      <c r="B10" s="14" t="s">
        <v>204</v>
      </c>
      <c r="C10" s="12" t="s">
        <v>482</v>
      </c>
      <c r="D10" s="61" t="s">
        <v>467</v>
      </c>
      <c r="E10" s="62" t="s">
        <v>371</v>
      </c>
      <c r="F10" s="36" t="s">
        <v>370</v>
      </c>
      <c r="G10" s="39" t="s">
        <v>372</v>
      </c>
      <c r="H10" s="36" t="s">
        <v>364</v>
      </c>
      <c r="I10" s="39" t="s">
        <v>365</v>
      </c>
      <c r="J10" s="36" t="s">
        <v>366</v>
      </c>
      <c r="K10" s="39" t="s">
        <v>421</v>
      </c>
      <c r="L10" s="36" t="s">
        <v>422</v>
      </c>
      <c r="M10" s="37" t="s">
        <v>462</v>
      </c>
      <c r="N10" s="36" t="s">
        <v>1</v>
      </c>
      <c r="O10" s="13" t="s">
        <v>21</v>
      </c>
      <c r="P10" s="49" t="s">
        <v>439</v>
      </c>
      <c r="Q10" s="50" t="s">
        <v>441</v>
      </c>
      <c r="R10" s="49" t="s">
        <v>440</v>
      </c>
      <c r="S10" s="50" t="s">
        <v>442</v>
      </c>
      <c r="T10" s="53" t="s">
        <v>191</v>
      </c>
      <c r="U10" s="54" t="s">
        <v>191</v>
      </c>
      <c r="V10" s="61" t="s">
        <v>622</v>
      </c>
      <c r="W10" s="62" t="s">
        <v>606</v>
      </c>
      <c r="X10" s="61" t="s">
        <v>622</v>
      </c>
      <c r="Y10" s="62" t="s">
        <v>610</v>
      </c>
      <c r="Z10" s="61" t="s">
        <v>622</v>
      </c>
      <c r="AA10" s="62" t="s">
        <v>613</v>
      </c>
      <c r="AB10" s="61" t="s">
        <v>622</v>
      </c>
      <c r="AC10" s="62" t="s">
        <v>616</v>
      </c>
      <c r="AD10" s="61" t="s">
        <v>622</v>
      </c>
      <c r="AE10" s="62" t="s">
        <v>619</v>
      </c>
    </row>
    <row r="11" spans="1:31" ht="6.6" customHeight="1" x14ac:dyDescent="0.2">
      <c r="A11" s="8">
        <v>11</v>
      </c>
      <c r="B11" s="14" t="s">
        <v>205</v>
      </c>
      <c r="C11" s="12" t="s">
        <v>482</v>
      </c>
      <c r="D11" s="61" t="s">
        <v>467</v>
      </c>
      <c r="E11" s="62" t="s">
        <v>371</v>
      </c>
      <c r="F11" s="36" t="s">
        <v>370</v>
      </c>
      <c r="G11" s="39" t="s">
        <v>372</v>
      </c>
      <c r="H11" s="36" t="s">
        <v>364</v>
      </c>
      <c r="I11" s="39" t="s">
        <v>365</v>
      </c>
      <c r="J11" s="36" t="s">
        <v>366</v>
      </c>
      <c r="K11" s="39" t="s">
        <v>421</v>
      </c>
      <c r="L11" s="36" t="s">
        <v>422</v>
      </c>
      <c r="M11" s="37" t="s">
        <v>462</v>
      </c>
      <c r="N11" s="36" t="s">
        <v>1</v>
      </c>
      <c r="O11" s="13" t="s">
        <v>22</v>
      </c>
      <c r="P11" s="49" t="s">
        <v>439</v>
      </c>
      <c r="Q11" s="50" t="s">
        <v>441</v>
      </c>
      <c r="R11" s="49" t="s">
        <v>440</v>
      </c>
      <c r="S11" s="50" t="s">
        <v>442</v>
      </c>
      <c r="T11" s="53" t="s">
        <v>191</v>
      </c>
      <c r="U11" s="54" t="s">
        <v>191</v>
      </c>
      <c r="V11" s="61" t="s">
        <v>622</v>
      </c>
      <c r="W11" s="62" t="s">
        <v>606</v>
      </c>
      <c r="X11" s="61" t="s">
        <v>622</v>
      </c>
      <c r="Y11" s="62" t="s">
        <v>610</v>
      </c>
      <c r="Z11" s="61" t="s">
        <v>622</v>
      </c>
      <c r="AA11" s="62" t="s">
        <v>613</v>
      </c>
      <c r="AB11" s="61" t="s">
        <v>622</v>
      </c>
      <c r="AC11" s="62" t="s">
        <v>616</v>
      </c>
      <c r="AD11" s="61" t="s">
        <v>622</v>
      </c>
      <c r="AE11" s="62" t="s">
        <v>619</v>
      </c>
    </row>
    <row r="12" spans="1:31" ht="6.6" customHeight="1" x14ac:dyDescent="0.2">
      <c r="A12" s="8">
        <v>12</v>
      </c>
      <c r="B12" s="14" t="s">
        <v>206</v>
      </c>
      <c r="C12" s="12" t="s">
        <v>482</v>
      </c>
      <c r="D12" s="61" t="s">
        <v>467</v>
      </c>
      <c r="E12" s="62" t="s">
        <v>371</v>
      </c>
      <c r="F12" s="36" t="s">
        <v>370</v>
      </c>
      <c r="G12" s="39" t="s">
        <v>372</v>
      </c>
      <c r="H12" s="36" t="s">
        <v>364</v>
      </c>
      <c r="I12" s="39" t="s">
        <v>365</v>
      </c>
      <c r="J12" s="36" t="s">
        <v>366</v>
      </c>
      <c r="K12" s="39" t="s">
        <v>421</v>
      </c>
      <c r="L12" s="36" t="s">
        <v>422</v>
      </c>
      <c r="M12" s="37" t="s">
        <v>462</v>
      </c>
      <c r="N12" s="36" t="s">
        <v>1</v>
      </c>
      <c r="O12" s="13" t="s">
        <v>23</v>
      </c>
      <c r="P12" s="49" t="s">
        <v>439</v>
      </c>
      <c r="Q12" s="50" t="s">
        <v>441</v>
      </c>
      <c r="R12" s="49" t="s">
        <v>440</v>
      </c>
      <c r="S12" s="50" t="s">
        <v>442</v>
      </c>
      <c r="T12" s="53" t="s">
        <v>191</v>
      </c>
      <c r="U12" s="54" t="s">
        <v>191</v>
      </c>
      <c r="V12" s="61" t="s">
        <v>622</v>
      </c>
      <c r="W12" s="62" t="s">
        <v>606</v>
      </c>
      <c r="X12" s="61" t="s">
        <v>622</v>
      </c>
      <c r="Y12" s="62" t="s">
        <v>610</v>
      </c>
      <c r="Z12" s="61" t="s">
        <v>622</v>
      </c>
      <c r="AA12" s="62" t="s">
        <v>613</v>
      </c>
      <c r="AB12" s="61" t="s">
        <v>622</v>
      </c>
      <c r="AC12" s="62" t="s">
        <v>616</v>
      </c>
      <c r="AD12" s="61" t="s">
        <v>622</v>
      </c>
      <c r="AE12" s="62" t="s">
        <v>619</v>
      </c>
    </row>
    <row r="13" spans="1:31" ht="6.6" customHeight="1" x14ac:dyDescent="0.2">
      <c r="A13" s="8">
        <v>13</v>
      </c>
      <c r="B13" s="14" t="s">
        <v>207</v>
      </c>
      <c r="C13" s="12" t="s">
        <v>482</v>
      </c>
      <c r="D13" s="61" t="s">
        <v>467</v>
      </c>
      <c r="E13" s="62" t="s">
        <v>371</v>
      </c>
      <c r="F13" s="36" t="s">
        <v>370</v>
      </c>
      <c r="G13" s="39" t="s">
        <v>372</v>
      </c>
      <c r="H13" s="36" t="s">
        <v>364</v>
      </c>
      <c r="I13" s="39" t="s">
        <v>365</v>
      </c>
      <c r="J13" s="36" t="s">
        <v>366</v>
      </c>
      <c r="K13" s="39" t="s">
        <v>421</v>
      </c>
      <c r="L13" s="36" t="s">
        <v>422</v>
      </c>
      <c r="M13" s="37" t="s">
        <v>462</v>
      </c>
      <c r="N13" s="36" t="s">
        <v>1</v>
      </c>
      <c r="O13" s="13" t="s">
        <v>24</v>
      </c>
      <c r="P13" s="49" t="s">
        <v>439</v>
      </c>
      <c r="Q13" s="50" t="s">
        <v>441</v>
      </c>
      <c r="R13" s="49" t="s">
        <v>440</v>
      </c>
      <c r="S13" s="50" t="s">
        <v>442</v>
      </c>
      <c r="T13" s="53" t="s">
        <v>191</v>
      </c>
      <c r="U13" s="54" t="s">
        <v>191</v>
      </c>
      <c r="V13" s="61" t="s">
        <v>622</v>
      </c>
      <c r="W13" s="62" t="s">
        <v>606</v>
      </c>
      <c r="X13" s="61" t="s">
        <v>622</v>
      </c>
      <c r="Y13" s="62" t="s">
        <v>610</v>
      </c>
      <c r="Z13" s="61" t="s">
        <v>622</v>
      </c>
      <c r="AA13" s="62" t="s">
        <v>613</v>
      </c>
      <c r="AB13" s="61" t="s">
        <v>622</v>
      </c>
      <c r="AC13" s="62" t="s">
        <v>616</v>
      </c>
      <c r="AD13" s="61" t="s">
        <v>622</v>
      </c>
      <c r="AE13" s="62" t="s">
        <v>619</v>
      </c>
    </row>
    <row r="14" spans="1:31" ht="6.6" customHeight="1" x14ac:dyDescent="0.2">
      <c r="A14" s="8">
        <v>14</v>
      </c>
      <c r="B14" s="15" t="s">
        <v>208</v>
      </c>
      <c r="C14" s="12" t="s">
        <v>482</v>
      </c>
      <c r="D14" s="61" t="s">
        <v>467</v>
      </c>
      <c r="E14" s="62" t="s">
        <v>371</v>
      </c>
      <c r="F14" s="36" t="s">
        <v>370</v>
      </c>
      <c r="G14" s="39" t="s">
        <v>372</v>
      </c>
      <c r="H14" s="36" t="s">
        <v>364</v>
      </c>
      <c r="I14" s="39" t="s">
        <v>365</v>
      </c>
      <c r="J14" s="36" t="s">
        <v>366</v>
      </c>
      <c r="K14" s="39" t="s">
        <v>421</v>
      </c>
      <c r="L14" s="36" t="s">
        <v>422</v>
      </c>
      <c r="M14" s="37" t="s">
        <v>462</v>
      </c>
      <c r="N14" s="36" t="s">
        <v>1</v>
      </c>
      <c r="O14" s="13" t="s">
        <v>25</v>
      </c>
      <c r="P14" s="49" t="s">
        <v>439</v>
      </c>
      <c r="Q14" s="50" t="s">
        <v>441</v>
      </c>
      <c r="R14" s="49" t="s">
        <v>440</v>
      </c>
      <c r="S14" s="50" t="s">
        <v>442</v>
      </c>
      <c r="T14" s="53" t="s">
        <v>191</v>
      </c>
      <c r="U14" s="54" t="s">
        <v>191</v>
      </c>
      <c r="V14" s="61" t="s">
        <v>622</v>
      </c>
      <c r="W14" s="62" t="s">
        <v>606</v>
      </c>
      <c r="X14" s="61" t="s">
        <v>622</v>
      </c>
      <c r="Y14" s="62" t="s">
        <v>610</v>
      </c>
      <c r="Z14" s="61" t="s">
        <v>622</v>
      </c>
      <c r="AA14" s="62" t="s">
        <v>613</v>
      </c>
      <c r="AB14" s="61" t="s">
        <v>622</v>
      </c>
      <c r="AC14" s="62" t="s">
        <v>616</v>
      </c>
      <c r="AD14" s="61" t="s">
        <v>622</v>
      </c>
      <c r="AE14" s="62" t="s">
        <v>619</v>
      </c>
    </row>
    <row r="15" spans="1:31" ht="6.6" customHeight="1" x14ac:dyDescent="0.2">
      <c r="A15" s="8">
        <v>15</v>
      </c>
      <c r="B15" s="16" t="s">
        <v>209</v>
      </c>
      <c r="C15" s="12" t="s">
        <v>482</v>
      </c>
      <c r="D15" s="61" t="s">
        <v>467</v>
      </c>
      <c r="E15" s="62" t="s">
        <v>371</v>
      </c>
      <c r="F15" s="36" t="s">
        <v>370</v>
      </c>
      <c r="G15" s="39" t="s">
        <v>372</v>
      </c>
      <c r="H15" s="36" t="s">
        <v>364</v>
      </c>
      <c r="I15" s="39" t="s">
        <v>365</v>
      </c>
      <c r="J15" s="36" t="s">
        <v>366</v>
      </c>
      <c r="K15" s="39" t="s">
        <v>421</v>
      </c>
      <c r="L15" s="36" t="s">
        <v>422</v>
      </c>
      <c r="M15" s="37" t="s">
        <v>462</v>
      </c>
      <c r="N15" s="36" t="s">
        <v>1</v>
      </c>
      <c r="O15" s="13" t="s">
        <v>192</v>
      </c>
      <c r="P15" s="49" t="s">
        <v>439</v>
      </c>
      <c r="Q15" s="50" t="s">
        <v>441</v>
      </c>
      <c r="R15" s="49" t="s">
        <v>440</v>
      </c>
      <c r="S15" s="50" t="s">
        <v>442</v>
      </c>
      <c r="T15" s="53" t="s">
        <v>191</v>
      </c>
      <c r="U15" s="54" t="s">
        <v>191</v>
      </c>
      <c r="V15" s="61" t="s">
        <v>622</v>
      </c>
      <c r="W15" s="62" t="s">
        <v>606</v>
      </c>
      <c r="X15" s="61" t="s">
        <v>622</v>
      </c>
      <c r="Y15" s="62" t="s">
        <v>610</v>
      </c>
      <c r="Z15" s="61" t="s">
        <v>622</v>
      </c>
      <c r="AA15" s="62" t="s">
        <v>613</v>
      </c>
      <c r="AB15" s="61" t="s">
        <v>622</v>
      </c>
      <c r="AC15" s="62" t="s">
        <v>616</v>
      </c>
      <c r="AD15" s="61" t="s">
        <v>622</v>
      </c>
      <c r="AE15" s="62" t="s">
        <v>619</v>
      </c>
    </row>
    <row r="16" spans="1:31" ht="6.6" customHeight="1" x14ac:dyDescent="0.2">
      <c r="A16" s="8">
        <v>16</v>
      </c>
      <c r="B16" s="14" t="s">
        <v>210</v>
      </c>
      <c r="C16" s="12" t="s">
        <v>482</v>
      </c>
      <c r="D16" s="61" t="s">
        <v>467</v>
      </c>
      <c r="E16" s="62" t="s">
        <v>371</v>
      </c>
      <c r="F16" s="36" t="s">
        <v>370</v>
      </c>
      <c r="G16" s="39" t="s">
        <v>372</v>
      </c>
      <c r="H16" s="36" t="s">
        <v>364</v>
      </c>
      <c r="I16" s="39" t="s">
        <v>365</v>
      </c>
      <c r="J16" s="36" t="s">
        <v>366</v>
      </c>
      <c r="K16" s="39" t="s">
        <v>421</v>
      </c>
      <c r="L16" s="36" t="s">
        <v>422</v>
      </c>
      <c r="M16" s="37" t="s">
        <v>462</v>
      </c>
      <c r="N16" s="36" t="s">
        <v>1</v>
      </c>
      <c r="O16" s="13" t="s">
        <v>26</v>
      </c>
      <c r="P16" s="49" t="s">
        <v>439</v>
      </c>
      <c r="Q16" s="50" t="s">
        <v>441</v>
      </c>
      <c r="R16" s="49" t="s">
        <v>440</v>
      </c>
      <c r="S16" s="50" t="s">
        <v>442</v>
      </c>
      <c r="T16" s="53" t="s">
        <v>191</v>
      </c>
      <c r="U16" s="54" t="s">
        <v>191</v>
      </c>
      <c r="V16" s="61" t="s">
        <v>622</v>
      </c>
      <c r="W16" s="62" t="s">
        <v>606</v>
      </c>
      <c r="X16" s="61" t="s">
        <v>622</v>
      </c>
      <c r="Y16" s="62" t="s">
        <v>610</v>
      </c>
      <c r="Z16" s="61" t="s">
        <v>622</v>
      </c>
      <c r="AA16" s="62" t="s">
        <v>613</v>
      </c>
      <c r="AB16" s="61" t="s">
        <v>622</v>
      </c>
      <c r="AC16" s="62" t="s">
        <v>616</v>
      </c>
      <c r="AD16" s="61" t="s">
        <v>622</v>
      </c>
      <c r="AE16" s="62" t="s">
        <v>619</v>
      </c>
    </row>
    <row r="17" spans="1:31" ht="6.6" customHeight="1" x14ac:dyDescent="0.2">
      <c r="A17" s="8">
        <v>17</v>
      </c>
      <c r="B17" s="15" t="s">
        <v>211</v>
      </c>
      <c r="C17" s="12" t="s">
        <v>482</v>
      </c>
      <c r="D17" s="61" t="s">
        <v>467</v>
      </c>
      <c r="E17" s="62" t="s">
        <v>371</v>
      </c>
      <c r="F17" s="36" t="s">
        <v>370</v>
      </c>
      <c r="G17" s="39" t="s">
        <v>372</v>
      </c>
      <c r="H17" s="36" t="s">
        <v>364</v>
      </c>
      <c r="I17" s="39" t="s">
        <v>365</v>
      </c>
      <c r="J17" s="36" t="s">
        <v>366</v>
      </c>
      <c r="K17" s="39" t="s">
        <v>421</v>
      </c>
      <c r="L17" s="36" t="s">
        <v>422</v>
      </c>
      <c r="M17" s="37" t="s">
        <v>462</v>
      </c>
      <c r="N17" s="36" t="s">
        <v>1</v>
      </c>
      <c r="O17" s="13" t="s">
        <v>27</v>
      </c>
      <c r="P17" s="49" t="s">
        <v>439</v>
      </c>
      <c r="Q17" s="50" t="s">
        <v>441</v>
      </c>
      <c r="R17" s="49" t="s">
        <v>440</v>
      </c>
      <c r="S17" s="50" t="s">
        <v>442</v>
      </c>
      <c r="T17" s="53" t="s">
        <v>191</v>
      </c>
      <c r="U17" s="54" t="s">
        <v>191</v>
      </c>
      <c r="V17" s="61" t="s">
        <v>622</v>
      </c>
      <c r="W17" s="62" t="s">
        <v>606</v>
      </c>
      <c r="X17" s="61" t="s">
        <v>622</v>
      </c>
      <c r="Y17" s="62" t="s">
        <v>610</v>
      </c>
      <c r="Z17" s="61" t="s">
        <v>622</v>
      </c>
      <c r="AA17" s="62" t="s">
        <v>613</v>
      </c>
      <c r="AB17" s="61" t="s">
        <v>622</v>
      </c>
      <c r="AC17" s="62" t="s">
        <v>616</v>
      </c>
      <c r="AD17" s="61" t="s">
        <v>622</v>
      </c>
      <c r="AE17" s="62" t="s">
        <v>619</v>
      </c>
    </row>
    <row r="18" spans="1:31" ht="6.6" customHeight="1" x14ac:dyDescent="0.2">
      <c r="A18" s="8">
        <v>18</v>
      </c>
      <c r="B18" s="16" t="s">
        <v>212</v>
      </c>
      <c r="C18" s="12" t="s">
        <v>482</v>
      </c>
      <c r="D18" s="61" t="s">
        <v>467</v>
      </c>
      <c r="E18" s="62" t="s">
        <v>371</v>
      </c>
      <c r="F18" s="36" t="s">
        <v>370</v>
      </c>
      <c r="G18" s="39" t="s">
        <v>372</v>
      </c>
      <c r="H18" s="36" t="s">
        <v>364</v>
      </c>
      <c r="I18" s="39" t="s">
        <v>365</v>
      </c>
      <c r="J18" s="36" t="s">
        <v>366</v>
      </c>
      <c r="K18" s="39" t="s">
        <v>421</v>
      </c>
      <c r="L18" s="36" t="s">
        <v>422</v>
      </c>
      <c r="M18" s="37" t="s">
        <v>462</v>
      </c>
      <c r="N18" s="36" t="s">
        <v>1</v>
      </c>
      <c r="O18" s="13" t="s">
        <v>28</v>
      </c>
      <c r="P18" s="49" t="s">
        <v>439</v>
      </c>
      <c r="Q18" s="50" t="s">
        <v>441</v>
      </c>
      <c r="R18" s="49" t="s">
        <v>440</v>
      </c>
      <c r="S18" s="50" t="s">
        <v>442</v>
      </c>
      <c r="T18" s="53" t="s">
        <v>191</v>
      </c>
      <c r="U18" s="54" t="s">
        <v>191</v>
      </c>
      <c r="V18" s="61" t="s">
        <v>622</v>
      </c>
      <c r="W18" s="62" t="s">
        <v>606</v>
      </c>
      <c r="X18" s="61" t="s">
        <v>622</v>
      </c>
      <c r="Y18" s="62" t="s">
        <v>610</v>
      </c>
      <c r="Z18" s="61" t="s">
        <v>622</v>
      </c>
      <c r="AA18" s="62" t="s">
        <v>613</v>
      </c>
      <c r="AB18" s="61" t="s">
        <v>622</v>
      </c>
      <c r="AC18" s="62" t="s">
        <v>616</v>
      </c>
      <c r="AD18" s="61" t="s">
        <v>622</v>
      </c>
      <c r="AE18" s="62" t="s">
        <v>619</v>
      </c>
    </row>
    <row r="19" spans="1:31" ht="6.6" customHeight="1" x14ac:dyDescent="0.2">
      <c r="A19" s="8">
        <v>19</v>
      </c>
      <c r="B19" s="14" t="s">
        <v>213</v>
      </c>
      <c r="C19" s="12" t="s">
        <v>482</v>
      </c>
      <c r="D19" s="61" t="s">
        <v>467</v>
      </c>
      <c r="E19" s="62" t="s">
        <v>371</v>
      </c>
      <c r="F19" s="36" t="s">
        <v>370</v>
      </c>
      <c r="G19" s="39" t="s">
        <v>372</v>
      </c>
      <c r="H19" s="36" t="s">
        <v>364</v>
      </c>
      <c r="I19" s="39" t="s">
        <v>365</v>
      </c>
      <c r="J19" s="36" t="s">
        <v>366</v>
      </c>
      <c r="K19" s="39" t="s">
        <v>421</v>
      </c>
      <c r="L19" s="36" t="s">
        <v>422</v>
      </c>
      <c r="M19" s="37" t="s">
        <v>462</v>
      </c>
      <c r="N19" s="36" t="s">
        <v>1</v>
      </c>
      <c r="O19" s="13" t="s">
        <v>29</v>
      </c>
      <c r="P19" s="49" t="s">
        <v>439</v>
      </c>
      <c r="Q19" s="50" t="s">
        <v>441</v>
      </c>
      <c r="R19" s="49" t="s">
        <v>440</v>
      </c>
      <c r="S19" s="50" t="s">
        <v>442</v>
      </c>
      <c r="T19" s="53" t="s">
        <v>191</v>
      </c>
      <c r="U19" s="54" t="s">
        <v>191</v>
      </c>
      <c r="V19" s="61" t="s">
        <v>622</v>
      </c>
      <c r="W19" s="62" t="s">
        <v>606</v>
      </c>
      <c r="X19" s="61" t="s">
        <v>622</v>
      </c>
      <c r="Y19" s="62" t="s">
        <v>610</v>
      </c>
      <c r="Z19" s="61" t="s">
        <v>622</v>
      </c>
      <c r="AA19" s="62" t="s">
        <v>613</v>
      </c>
      <c r="AB19" s="61" t="s">
        <v>622</v>
      </c>
      <c r="AC19" s="62" t="s">
        <v>616</v>
      </c>
      <c r="AD19" s="61" t="s">
        <v>622</v>
      </c>
      <c r="AE19" s="62" t="s">
        <v>619</v>
      </c>
    </row>
    <row r="20" spans="1:31" ht="6.6" customHeight="1" x14ac:dyDescent="0.2">
      <c r="A20" s="8">
        <v>20</v>
      </c>
      <c r="B20" s="14" t="s">
        <v>214</v>
      </c>
      <c r="C20" s="12" t="s">
        <v>482</v>
      </c>
      <c r="D20" s="61" t="s">
        <v>467</v>
      </c>
      <c r="E20" s="62" t="s">
        <v>371</v>
      </c>
      <c r="F20" s="36" t="s">
        <v>370</v>
      </c>
      <c r="G20" s="39" t="s">
        <v>372</v>
      </c>
      <c r="H20" s="36" t="s">
        <v>364</v>
      </c>
      <c r="I20" s="39" t="s">
        <v>365</v>
      </c>
      <c r="J20" s="36" t="s">
        <v>366</v>
      </c>
      <c r="K20" s="39" t="s">
        <v>421</v>
      </c>
      <c r="L20" s="36" t="s">
        <v>422</v>
      </c>
      <c r="M20" s="37" t="s">
        <v>462</v>
      </c>
      <c r="N20" s="36" t="s">
        <v>1</v>
      </c>
      <c r="O20" s="13" t="s">
        <v>30</v>
      </c>
      <c r="P20" s="49" t="s">
        <v>439</v>
      </c>
      <c r="Q20" s="50" t="s">
        <v>441</v>
      </c>
      <c r="R20" s="49" t="s">
        <v>440</v>
      </c>
      <c r="S20" s="50" t="s">
        <v>442</v>
      </c>
      <c r="T20" s="53" t="s">
        <v>191</v>
      </c>
      <c r="U20" s="54" t="s">
        <v>191</v>
      </c>
      <c r="V20" s="61" t="s">
        <v>622</v>
      </c>
      <c r="W20" s="62" t="s">
        <v>606</v>
      </c>
      <c r="X20" s="61" t="s">
        <v>622</v>
      </c>
      <c r="Y20" s="62" t="s">
        <v>610</v>
      </c>
      <c r="Z20" s="61" t="s">
        <v>622</v>
      </c>
      <c r="AA20" s="62" t="s">
        <v>613</v>
      </c>
      <c r="AB20" s="61" t="s">
        <v>622</v>
      </c>
      <c r="AC20" s="62" t="s">
        <v>616</v>
      </c>
      <c r="AD20" s="61" t="s">
        <v>622</v>
      </c>
      <c r="AE20" s="62" t="s">
        <v>619</v>
      </c>
    </row>
    <row r="21" spans="1:31" ht="6.6" customHeight="1" x14ac:dyDescent="0.2">
      <c r="A21" s="8">
        <v>21</v>
      </c>
      <c r="B21" s="14" t="s">
        <v>215</v>
      </c>
      <c r="C21" s="12" t="s">
        <v>482</v>
      </c>
      <c r="D21" s="61" t="s">
        <v>467</v>
      </c>
      <c r="E21" s="62" t="s">
        <v>371</v>
      </c>
      <c r="F21" s="36" t="s">
        <v>370</v>
      </c>
      <c r="G21" s="39" t="s">
        <v>372</v>
      </c>
      <c r="H21" s="36" t="s">
        <v>364</v>
      </c>
      <c r="I21" s="39" t="s">
        <v>365</v>
      </c>
      <c r="J21" s="36" t="s">
        <v>366</v>
      </c>
      <c r="K21" s="39" t="s">
        <v>421</v>
      </c>
      <c r="L21" s="36" t="s">
        <v>422</v>
      </c>
      <c r="M21" s="37" t="s">
        <v>462</v>
      </c>
      <c r="N21" s="36" t="s">
        <v>1</v>
      </c>
      <c r="O21" s="13" t="s">
        <v>31</v>
      </c>
      <c r="P21" s="49" t="s">
        <v>439</v>
      </c>
      <c r="Q21" s="50" t="s">
        <v>441</v>
      </c>
      <c r="R21" s="49" t="s">
        <v>440</v>
      </c>
      <c r="S21" s="50" t="s">
        <v>442</v>
      </c>
      <c r="T21" s="53" t="s">
        <v>191</v>
      </c>
      <c r="U21" s="54" t="s">
        <v>191</v>
      </c>
      <c r="V21" s="61" t="s">
        <v>622</v>
      </c>
      <c r="W21" s="62" t="s">
        <v>606</v>
      </c>
      <c r="X21" s="61" t="s">
        <v>622</v>
      </c>
      <c r="Y21" s="62" t="s">
        <v>610</v>
      </c>
      <c r="Z21" s="61" t="s">
        <v>622</v>
      </c>
      <c r="AA21" s="62" t="s">
        <v>613</v>
      </c>
      <c r="AB21" s="61" t="s">
        <v>622</v>
      </c>
      <c r="AC21" s="62" t="s">
        <v>616</v>
      </c>
      <c r="AD21" s="61" t="s">
        <v>622</v>
      </c>
      <c r="AE21" s="62" t="s">
        <v>619</v>
      </c>
    </row>
    <row r="22" spans="1:31" ht="6.6" customHeight="1" x14ac:dyDescent="0.2">
      <c r="A22" s="8">
        <v>22</v>
      </c>
      <c r="B22" s="14" t="s">
        <v>216</v>
      </c>
      <c r="C22" s="12" t="s">
        <v>482</v>
      </c>
      <c r="D22" s="61" t="s">
        <v>467</v>
      </c>
      <c r="E22" s="62" t="s">
        <v>371</v>
      </c>
      <c r="F22" s="36" t="s">
        <v>370</v>
      </c>
      <c r="G22" s="39" t="s">
        <v>372</v>
      </c>
      <c r="H22" s="36" t="s">
        <v>364</v>
      </c>
      <c r="I22" s="39" t="s">
        <v>365</v>
      </c>
      <c r="J22" s="36" t="s">
        <v>366</v>
      </c>
      <c r="K22" s="39" t="s">
        <v>421</v>
      </c>
      <c r="L22" s="36" t="s">
        <v>422</v>
      </c>
      <c r="M22" s="37" t="s">
        <v>462</v>
      </c>
      <c r="N22" s="36" t="s">
        <v>1</v>
      </c>
      <c r="O22" s="13" t="s">
        <v>32</v>
      </c>
      <c r="P22" s="49" t="s">
        <v>439</v>
      </c>
      <c r="Q22" s="50" t="s">
        <v>441</v>
      </c>
      <c r="R22" s="49" t="s">
        <v>440</v>
      </c>
      <c r="S22" s="50" t="s">
        <v>442</v>
      </c>
      <c r="T22" s="53" t="s">
        <v>191</v>
      </c>
      <c r="U22" s="54" t="s">
        <v>191</v>
      </c>
      <c r="V22" s="61" t="s">
        <v>622</v>
      </c>
      <c r="W22" s="62" t="s">
        <v>606</v>
      </c>
      <c r="X22" s="61" t="s">
        <v>622</v>
      </c>
      <c r="Y22" s="62" t="s">
        <v>610</v>
      </c>
      <c r="Z22" s="61" t="s">
        <v>622</v>
      </c>
      <c r="AA22" s="62" t="s">
        <v>613</v>
      </c>
      <c r="AB22" s="61" t="s">
        <v>622</v>
      </c>
      <c r="AC22" s="62" t="s">
        <v>616</v>
      </c>
      <c r="AD22" s="61" t="s">
        <v>622</v>
      </c>
      <c r="AE22" s="62" t="s">
        <v>619</v>
      </c>
    </row>
    <row r="23" spans="1:31" ht="6.6" customHeight="1" x14ac:dyDescent="0.2">
      <c r="A23" s="8">
        <v>23</v>
      </c>
      <c r="B23" s="14" t="s">
        <v>217</v>
      </c>
      <c r="C23" s="12" t="s">
        <v>482</v>
      </c>
      <c r="D23" s="61" t="s">
        <v>467</v>
      </c>
      <c r="E23" s="62" t="s">
        <v>371</v>
      </c>
      <c r="F23" s="36" t="s">
        <v>370</v>
      </c>
      <c r="G23" s="39" t="s">
        <v>372</v>
      </c>
      <c r="H23" s="36" t="s">
        <v>364</v>
      </c>
      <c r="I23" s="39" t="s">
        <v>365</v>
      </c>
      <c r="J23" s="36" t="s">
        <v>366</v>
      </c>
      <c r="K23" s="39" t="s">
        <v>421</v>
      </c>
      <c r="L23" s="36" t="s">
        <v>422</v>
      </c>
      <c r="M23" s="37" t="s">
        <v>462</v>
      </c>
      <c r="N23" s="36" t="s">
        <v>1</v>
      </c>
      <c r="O23" s="13" t="s">
        <v>33</v>
      </c>
      <c r="P23" s="49" t="s">
        <v>439</v>
      </c>
      <c r="Q23" s="50" t="s">
        <v>441</v>
      </c>
      <c r="R23" s="49" t="s">
        <v>440</v>
      </c>
      <c r="S23" s="50" t="s">
        <v>442</v>
      </c>
      <c r="T23" s="53" t="s">
        <v>191</v>
      </c>
      <c r="U23" s="54" t="s">
        <v>191</v>
      </c>
      <c r="V23" s="61" t="s">
        <v>622</v>
      </c>
      <c r="W23" s="62" t="s">
        <v>606</v>
      </c>
      <c r="X23" s="61" t="s">
        <v>622</v>
      </c>
      <c r="Y23" s="62" t="s">
        <v>610</v>
      </c>
      <c r="Z23" s="61" t="s">
        <v>622</v>
      </c>
      <c r="AA23" s="62" t="s">
        <v>613</v>
      </c>
      <c r="AB23" s="61" t="s">
        <v>622</v>
      </c>
      <c r="AC23" s="62" t="s">
        <v>616</v>
      </c>
      <c r="AD23" s="61" t="s">
        <v>622</v>
      </c>
      <c r="AE23" s="62" t="s">
        <v>619</v>
      </c>
    </row>
    <row r="24" spans="1:31" ht="6.6" customHeight="1" x14ac:dyDescent="0.2">
      <c r="A24" s="8">
        <v>24</v>
      </c>
      <c r="B24" s="14" t="s">
        <v>218</v>
      </c>
      <c r="C24" s="12" t="s">
        <v>483</v>
      </c>
      <c r="D24" s="61" t="s">
        <v>467</v>
      </c>
      <c r="E24" s="62" t="s">
        <v>371</v>
      </c>
      <c r="F24" s="36" t="s">
        <v>370</v>
      </c>
      <c r="G24" s="39" t="s">
        <v>372</v>
      </c>
      <c r="H24" s="36" t="s">
        <v>364</v>
      </c>
      <c r="I24" s="39" t="s">
        <v>365</v>
      </c>
      <c r="J24" s="36" t="s">
        <v>366</v>
      </c>
      <c r="K24" s="39" t="s">
        <v>421</v>
      </c>
      <c r="L24" s="36" t="s">
        <v>422</v>
      </c>
      <c r="M24" s="37" t="s">
        <v>463</v>
      </c>
      <c r="N24" s="36" t="s">
        <v>1</v>
      </c>
      <c r="O24" s="13" t="s">
        <v>34</v>
      </c>
      <c r="P24" s="49" t="s">
        <v>439</v>
      </c>
      <c r="Q24" s="50" t="s">
        <v>441</v>
      </c>
      <c r="R24" s="49" t="s">
        <v>440</v>
      </c>
      <c r="S24" s="50" t="s">
        <v>442</v>
      </c>
      <c r="T24" s="53" t="s">
        <v>191</v>
      </c>
      <c r="U24" s="54" t="s">
        <v>191</v>
      </c>
      <c r="V24" s="61" t="s">
        <v>622</v>
      </c>
      <c r="W24" s="62" t="s">
        <v>606</v>
      </c>
      <c r="X24" s="61" t="s">
        <v>622</v>
      </c>
      <c r="Y24" s="62" t="s">
        <v>610</v>
      </c>
      <c r="Z24" s="61" t="s">
        <v>622</v>
      </c>
      <c r="AA24" s="62" t="s">
        <v>613</v>
      </c>
      <c r="AB24" s="61" t="s">
        <v>622</v>
      </c>
      <c r="AC24" s="62" t="s">
        <v>616</v>
      </c>
      <c r="AD24" s="61" t="s">
        <v>622</v>
      </c>
      <c r="AE24" s="62" t="s">
        <v>619</v>
      </c>
    </row>
    <row r="25" spans="1:31" ht="6.6" customHeight="1" x14ac:dyDescent="0.2">
      <c r="A25" s="8">
        <v>25</v>
      </c>
      <c r="B25" s="14" t="s">
        <v>219</v>
      </c>
      <c r="C25" s="12" t="s">
        <v>483</v>
      </c>
      <c r="D25" s="61" t="s">
        <v>467</v>
      </c>
      <c r="E25" s="62" t="s">
        <v>371</v>
      </c>
      <c r="F25" s="36" t="s">
        <v>370</v>
      </c>
      <c r="G25" s="39" t="s">
        <v>372</v>
      </c>
      <c r="H25" s="36" t="s">
        <v>364</v>
      </c>
      <c r="I25" s="39" t="s">
        <v>365</v>
      </c>
      <c r="J25" s="36" t="s">
        <v>366</v>
      </c>
      <c r="K25" s="39" t="s">
        <v>421</v>
      </c>
      <c r="L25" s="36" t="s">
        <v>422</v>
      </c>
      <c r="M25" s="37" t="s">
        <v>463</v>
      </c>
      <c r="N25" s="36" t="s">
        <v>1</v>
      </c>
      <c r="O25" s="13" t="s">
        <v>35</v>
      </c>
      <c r="P25" s="49" t="s">
        <v>439</v>
      </c>
      <c r="Q25" s="50" t="s">
        <v>441</v>
      </c>
      <c r="R25" s="49" t="s">
        <v>440</v>
      </c>
      <c r="S25" s="50" t="s">
        <v>442</v>
      </c>
      <c r="T25" s="53" t="s">
        <v>191</v>
      </c>
      <c r="U25" s="54" t="s">
        <v>191</v>
      </c>
      <c r="V25" s="61" t="s">
        <v>622</v>
      </c>
      <c r="W25" s="62" t="s">
        <v>606</v>
      </c>
      <c r="X25" s="61" t="s">
        <v>622</v>
      </c>
      <c r="Y25" s="62" t="s">
        <v>610</v>
      </c>
      <c r="Z25" s="61" t="s">
        <v>622</v>
      </c>
      <c r="AA25" s="62" t="s">
        <v>613</v>
      </c>
      <c r="AB25" s="61" t="s">
        <v>622</v>
      </c>
      <c r="AC25" s="62" t="s">
        <v>616</v>
      </c>
      <c r="AD25" s="61" t="s">
        <v>622</v>
      </c>
      <c r="AE25" s="62" t="s">
        <v>619</v>
      </c>
    </row>
    <row r="26" spans="1:31" ht="6.6" customHeight="1" x14ac:dyDescent="0.2">
      <c r="A26" s="8">
        <v>26</v>
      </c>
      <c r="B26" s="14" t="s">
        <v>220</v>
      </c>
      <c r="C26" s="12" t="s">
        <v>483</v>
      </c>
      <c r="D26" s="61" t="s">
        <v>467</v>
      </c>
      <c r="E26" s="62" t="s">
        <v>371</v>
      </c>
      <c r="F26" s="36" t="s">
        <v>370</v>
      </c>
      <c r="G26" s="39" t="s">
        <v>372</v>
      </c>
      <c r="H26" s="36" t="s">
        <v>364</v>
      </c>
      <c r="I26" s="39" t="s">
        <v>365</v>
      </c>
      <c r="J26" s="36" t="s">
        <v>366</v>
      </c>
      <c r="K26" s="39" t="s">
        <v>421</v>
      </c>
      <c r="L26" s="36" t="s">
        <v>422</v>
      </c>
      <c r="M26" s="37" t="s">
        <v>463</v>
      </c>
      <c r="N26" s="36" t="s">
        <v>1</v>
      </c>
      <c r="O26" s="13" t="s">
        <v>36</v>
      </c>
      <c r="P26" s="49" t="s">
        <v>439</v>
      </c>
      <c r="Q26" s="50" t="s">
        <v>441</v>
      </c>
      <c r="R26" s="49" t="s">
        <v>440</v>
      </c>
      <c r="S26" s="50" t="s">
        <v>442</v>
      </c>
      <c r="T26" s="53" t="s">
        <v>191</v>
      </c>
      <c r="U26" s="54" t="s">
        <v>191</v>
      </c>
      <c r="V26" s="61" t="s">
        <v>622</v>
      </c>
      <c r="W26" s="62" t="s">
        <v>606</v>
      </c>
      <c r="X26" s="61" t="s">
        <v>622</v>
      </c>
      <c r="Y26" s="62" t="s">
        <v>610</v>
      </c>
      <c r="Z26" s="61" t="s">
        <v>622</v>
      </c>
      <c r="AA26" s="62" t="s">
        <v>613</v>
      </c>
      <c r="AB26" s="61" t="s">
        <v>622</v>
      </c>
      <c r="AC26" s="62" t="s">
        <v>616</v>
      </c>
      <c r="AD26" s="61" t="s">
        <v>622</v>
      </c>
      <c r="AE26" s="62" t="s">
        <v>619</v>
      </c>
    </row>
    <row r="27" spans="1:31" ht="6.6" customHeight="1" x14ac:dyDescent="0.2">
      <c r="A27" s="8">
        <v>27</v>
      </c>
      <c r="B27" s="14" t="s">
        <v>221</v>
      </c>
      <c r="C27" s="12" t="s">
        <v>483</v>
      </c>
      <c r="D27" s="61" t="s">
        <v>467</v>
      </c>
      <c r="E27" s="62" t="s">
        <v>371</v>
      </c>
      <c r="F27" s="36" t="s">
        <v>370</v>
      </c>
      <c r="G27" s="39" t="s">
        <v>372</v>
      </c>
      <c r="H27" s="36" t="s">
        <v>364</v>
      </c>
      <c r="I27" s="39" t="s">
        <v>365</v>
      </c>
      <c r="J27" s="36" t="s">
        <v>366</v>
      </c>
      <c r="K27" s="39" t="s">
        <v>421</v>
      </c>
      <c r="L27" s="36" t="s">
        <v>422</v>
      </c>
      <c r="M27" s="37" t="s">
        <v>463</v>
      </c>
      <c r="N27" s="36" t="s">
        <v>1</v>
      </c>
      <c r="O27" s="13" t="s">
        <v>37</v>
      </c>
      <c r="P27" s="49" t="s">
        <v>439</v>
      </c>
      <c r="Q27" s="50" t="s">
        <v>441</v>
      </c>
      <c r="R27" s="49" t="s">
        <v>440</v>
      </c>
      <c r="S27" s="50" t="s">
        <v>442</v>
      </c>
      <c r="T27" s="53" t="s">
        <v>191</v>
      </c>
      <c r="U27" s="54" t="s">
        <v>191</v>
      </c>
      <c r="V27" s="61" t="s">
        <v>622</v>
      </c>
      <c r="W27" s="62" t="s">
        <v>606</v>
      </c>
      <c r="X27" s="61" t="s">
        <v>622</v>
      </c>
      <c r="Y27" s="62" t="s">
        <v>610</v>
      </c>
      <c r="Z27" s="61" t="s">
        <v>622</v>
      </c>
      <c r="AA27" s="62" t="s">
        <v>613</v>
      </c>
      <c r="AB27" s="61" t="s">
        <v>622</v>
      </c>
      <c r="AC27" s="62" t="s">
        <v>616</v>
      </c>
      <c r="AD27" s="61" t="s">
        <v>622</v>
      </c>
      <c r="AE27" s="62" t="s">
        <v>619</v>
      </c>
    </row>
    <row r="28" spans="1:31" ht="6.6" customHeight="1" x14ac:dyDescent="0.2">
      <c r="A28" s="8">
        <v>28</v>
      </c>
      <c r="B28" s="14" t="s">
        <v>222</v>
      </c>
      <c r="C28" s="12" t="s">
        <v>483</v>
      </c>
      <c r="D28" s="61" t="s">
        <v>467</v>
      </c>
      <c r="E28" s="62" t="s">
        <v>371</v>
      </c>
      <c r="F28" s="36" t="s">
        <v>370</v>
      </c>
      <c r="G28" s="39" t="s">
        <v>372</v>
      </c>
      <c r="H28" s="36" t="s">
        <v>364</v>
      </c>
      <c r="I28" s="39" t="s">
        <v>365</v>
      </c>
      <c r="J28" s="36" t="s">
        <v>366</v>
      </c>
      <c r="K28" s="39" t="s">
        <v>421</v>
      </c>
      <c r="L28" s="36" t="s">
        <v>422</v>
      </c>
      <c r="M28" s="37" t="s">
        <v>463</v>
      </c>
      <c r="N28" s="36" t="s">
        <v>1</v>
      </c>
      <c r="O28" s="13" t="s">
        <v>38</v>
      </c>
      <c r="P28" s="49" t="s">
        <v>439</v>
      </c>
      <c r="Q28" s="50" t="s">
        <v>441</v>
      </c>
      <c r="R28" s="49" t="s">
        <v>440</v>
      </c>
      <c r="S28" s="50" t="s">
        <v>442</v>
      </c>
      <c r="T28" s="53" t="s">
        <v>191</v>
      </c>
      <c r="U28" s="54" t="s">
        <v>191</v>
      </c>
      <c r="V28" s="61" t="s">
        <v>622</v>
      </c>
      <c r="W28" s="62" t="s">
        <v>606</v>
      </c>
      <c r="X28" s="61" t="s">
        <v>622</v>
      </c>
      <c r="Y28" s="62" t="s">
        <v>610</v>
      </c>
      <c r="Z28" s="61" t="s">
        <v>622</v>
      </c>
      <c r="AA28" s="62" t="s">
        <v>613</v>
      </c>
      <c r="AB28" s="61" t="s">
        <v>622</v>
      </c>
      <c r="AC28" s="62" t="s">
        <v>616</v>
      </c>
      <c r="AD28" s="61" t="s">
        <v>622</v>
      </c>
      <c r="AE28" s="62" t="s">
        <v>619</v>
      </c>
    </row>
    <row r="29" spans="1:31" ht="6.6" customHeight="1" x14ac:dyDescent="0.2">
      <c r="A29" s="8">
        <v>29</v>
      </c>
      <c r="B29" s="14" t="s">
        <v>223</v>
      </c>
      <c r="C29" s="12" t="s">
        <v>483</v>
      </c>
      <c r="D29" s="61" t="s">
        <v>467</v>
      </c>
      <c r="E29" s="62" t="s">
        <v>371</v>
      </c>
      <c r="F29" s="36" t="s">
        <v>370</v>
      </c>
      <c r="G29" s="39" t="s">
        <v>372</v>
      </c>
      <c r="H29" s="36" t="s">
        <v>364</v>
      </c>
      <c r="I29" s="39" t="s">
        <v>365</v>
      </c>
      <c r="J29" s="36" t="s">
        <v>366</v>
      </c>
      <c r="K29" s="39" t="s">
        <v>421</v>
      </c>
      <c r="L29" s="36" t="s">
        <v>422</v>
      </c>
      <c r="M29" s="37" t="s">
        <v>463</v>
      </c>
      <c r="N29" s="36" t="s">
        <v>1</v>
      </c>
      <c r="O29" s="13" t="s">
        <v>39</v>
      </c>
      <c r="P29" s="49" t="s">
        <v>439</v>
      </c>
      <c r="Q29" s="50" t="s">
        <v>441</v>
      </c>
      <c r="R29" s="49" t="s">
        <v>440</v>
      </c>
      <c r="S29" s="50" t="s">
        <v>442</v>
      </c>
      <c r="T29" s="53" t="s">
        <v>191</v>
      </c>
      <c r="U29" s="54" t="s">
        <v>191</v>
      </c>
      <c r="V29" s="61" t="s">
        <v>622</v>
      </c>
      <c r="W29" s="62" t="s">
        <v>606</v>
      </c>
      <c r="X29" s="61" t="s">
        <v>622</v>
      </c>
      <c r="Y29" s="62" t="s">
        <v>610</v>
      </c>
      <c r="Z29" s="61" t="s">
        <v>622</v>
      </c>
      <c r="AA29" s="62" t="s">
        <v>613</v>
      </c>
      <c r="AB29" s="61" t="s">
        <v>622</v>
      </c>
      <c r="AC29" s="62" t="s">
        <v>616</v>
      </c>
      <c r="AD29" s="61" t="s">
        <v>622</v>
      </c>
      <c r="AE29" s="62" t="s">
        <v>619</v>
      </c>
    </row>
    <row r="30" spans="1:31" ht="6.6" customHeight="1" x14ac:dyDescent="0.2">
      <c r="A30" s="8">
        <v>30</v>
      </c>
      <c r="B30" s="14" t="s">
        <v>224</v>
      </c>
      <c r="C30" s="12" t="s">
        <v>483</v>
      </c>
      <c r="D30" s="61" t="s">
        <v>467</v>
      </c>
      <c r="E30" s="62" t="s">
        <v>371</v>
      </c>
      <c r="F30" s="36" t="s">
        <v>370</v>
      </c>
      <c r="G30" s="39" t="s">
        <v>372</v>
      </c>
      <c r="H30" s="36" t="s">
        <v>364</v>
      </c>
      <c r="I30" s="39" t="s">
        <v>365</v>
      </c>
      <c r="J30" s="36" t="s">
        <v>366</v>
      </c>
      <c r="K30" s="39" t="s">
        <v>421</v>
      </c>
      <c r="L30" s="36" t="s">
        <v>422</v>
      </c>
      <c r="M30" s="37" t="s">
        <v>463</v>
      </c>
      <c r="N30" s="36" t="s">
        <v>1</v>
      </c>
      <c r="O30" s="13" t="s">
        <v>40</v>
      </c>
      <c r="P30" s="49" t="s">
        <v>439</v>
      </c>
      <c r="Q30" s="50" t="s">
        <v>441</v>
      </c>
      <c r="R30" s="49" t="s">
        <v>440</v>
      </c>
      <c r="S30" s="50" t="s">
        <v>442</v>
      </c>
      <c r="T30" s="53" t="s">
        <v>191</v>
      </c>
      <c r="U30" s="54" t="s">
        <v>191</v>
      </c>
      <c r="V30" s="61" t="s">
        <v>622</v>
      </c>
      <c r="W30" s="62" t="s">
        <v>606</v>
      </c>
      <c r="X30" s="61" t="s">
        <v>622</v>
      </c>
      <c r="Y30" s="62" t="s">
        <v>610</v>
      </c>
      <c r="Z30" s="61" t="s">
        <v>622</v>
      </c>
      <c r="AA30" s="62" t="s">
        <v>613</v>
      </c>
      <c r="AB30" s="61" t="s">
        <v>622</v>
      </c>
      <c r="AC30" s="62" t="s">
        <v>616</v>
      </c>
      <c r="AD30" s="61" t="s">
        <v>622</v>
      </c>
      <c r="AE30" s="62" t="s">
        <v>619</v>
      </c>
    </row>
    <row r="31" spans="1:31" ht="6.6" customHeight="1" x14ac:dyDescent="0.2">
      <c r="A31" s="8">
        <v>31</v>
      </c>
      <c r="B31" s="17" t="s">
        <v>225</v>
      </c>
      <c r="C31" s="12" t="s">
        <v>483</v>
      </c>
      <c r="D31" s="61" t="s">
        <v>467</v>
      </c>
      <c r="E31" s="62" t="s">
        <v>371</v>
      </c>
      <c r="F31" s="36" t="s">
        <v>370</v>
      </c>
      <c r="G31" s="39" t="s">
        <v>372</v>
      </c>
      <c r="H31" s="36" t="s">
        <v>364</v>
      </c>
      <c r="I31" s="39" t="s">
        <v>365</v>
      </c>
      <c r="J31" s="36" t="s">
        <v>366</v>
      </c>
      <c r="K31" s="39" t="s">
        <v>421</v>
      </c>
      <c r="L31" s="36" t="s">
        <v>422</v>
      </c>
      <c r="M31" s="37" t="s">
        <v>463</v>
      </c>
      <c r="N31" s="36" t="s">
        <v>1</v>
      </c>
      <c r="O31" s="13" t="s">
        <v>41</v>
      </c>
      <c r="P31" s="49" t="s">
        <v>439</v>
      </c>
      <c r="Q31" s="50" t="s">
        <v>441</v>
      </c>
      <c r="R31" s="49" t="s">
        <v>440</v>
      </c>
      <c r="S31" s="50" t="s">
        <v>442</v>
      </c>
      <c r="T31" s="53" t="s">
        <v>191</v>
      </c>
      <c r="U31" s="54" t="s">
        <v>191</v>
      </c>
      <c r="V31" s="61" t="s">
        <v>622</v>
      </c>
      <c r="W31" s="62" t="s">
        <v>606</v>
      </c>
      <c r="X31" s="61" t="s">
        <v>622</v>
      </c>
      <c r="Y31" s="62" t="s">
        <v>610</v>
      </c>
      <c r="Z31" s="61" t="s">
        <v>622</v>
      </c>
      <c r="AA31" s="62" t="s">
        <v>613</v>
      </c>
      <c r="AB31" s="61" t="s">
        <v>622</v>
      </c>
      <c r="AC31" s="62" t="s">
        <v>616</v>
      </c>
      <c r="AD31" s="61" t="s">
        <v>622</v>
      </c>
      <c r="AE31" s="62" t="s">
        <v>619</v>
      </c>
    </row>
    <row r="32" spans="1:31" ht="6.6" customHeight="1" x14ac:dyDescent="0.2">
      <c r="A32" s="8">
        <v>32</v>
      </c>
      <c r="B32" s="14" t="s">
        <v>226</v>
      </c>
      <c r="C32" s="12" t="s">
        <v>483</v>
      </c>
      <c r="D32" s="61" t="s">
        <v>467</v>
      </c>
      <c r="E32" s="62" t="s">
        <v>371</v>
      </c>
      <c r="F32" s="36" t="s">
        <v>370</v>
      </c>
      <c r="G32" s="39" t="s">
        <v>372</v>
      </c>
      <c r="H32" s="36" t="s">
        <v>364</v>
      </c>
      <c r="I32" s="39" t="s">
        <v>365</v>
      </c>
      <c r="J32" s="36" t="s">
        <v>366</v>
      </c>
      <c r="K32" s="39" t="s">
        <v>421</v>
      </c>
      <c r="L32" s="36" t="s">
        <v>422</v>
      </c>
      <c r="M32" s="37" t="s">
        <v>463</v>
      </c>
      <c r="N32" s="36" t="s">
        <v>1</v>
      </c>
      <c r="O32" s="13" t="s">
        <v>42</v>
      </c>
      <c r="P32" s="49" t="s">
        <v>439</v>
      </c>
      <c r="Q32" s="50" t="s">
        <v>441</v>
      </c>
      <c r="R32" s="49" t="s">
        <v>440</v>
      </c>
      <c r="S32" s="50" t="s">
        <v>442</v>
      </c>
      <c r="T32" s="53" t="s">
        <v>191</v>
      </c>
      <c r="U32" s="54" t="s">
        <v>191</v>
      </c>
      <c r="V32" s="61" t="s">
        <v>622</v>
      </c>
      <c r="W32" s="62" t="s">
        <v>606</v>
      </c>
      <c r="X32" s="61" t="s">
        <v>622</v>
      </c>
      <c r="Y32" s="62" t="s">
        <v>610</v>
      </c>
      <c r="Z32" s="61" t="s">
        <v>622</v>
      </c>
      <c r="AA32" s="62" t="s">
        <v>613</v>
      </c>
      <c r="AB32" s="61" t="s">
        <v>622</v>
      </c>
      <c r="AC32" s="62" t="s">
        <v>616</v>
      </c>
      <c r="AD32" s="61" t="s">
        <v>622</v>
      </c>
      <c r="AE32" s="62" t="s">
        <v>619</v>
      </c>
    </row>
    <row r="33" spans="1:31" ht="6.6" customHeight="1" x14ac:dyDescent="0.2">
      <c r="A33" s="8">
        <v>33</v>
      </c>
      <c r="B33" s="14" t="s">
        <v>227</v>
      </c>
      <c r="C33" s="12" t="s">
        <v>483</v>
      </c>
      <c r="D33" s="61" t="s">
        <v>467</v>
      </c>
      <c r="E33" s="62" t="s">
        <v>371</v>
      </c>
      <c r="F33" s="36" t="s">
        <v>370</v>
      </c>
      <c r="G33" s="39" t="s">
        <v>372</v>
      </c>
      <c r="H33" s="36" t="s">
        <v>364</v>
      </c>
      <c r="I33" s="39" t="s">
        <v>365</v>
      </c>
      <c r="J33" s="36" t="s">
        <v>366</v>
      </c>
      <c r="K33" s="39" t="s">
        <v>421</v>
      </c>
      <c r="L33" s="36" t="s">
        <v>422</v>
      </c>
      <c r="M33" s="37" t="s">
        <v>463</v>
      </c>
      <c r="N33" s="36" t="s">
        <v>1</v>
      </c>
      <c r="O33" s="13" t="s">
        <v>43</v>
      </c>
      <c r="P33" s="49" t="s">
        <v>439</v>
      </c>
      <c r="Q33" s="50" t="s">
        <v>441</v>
      </c>
      <c r="R33" s="49" t="s">
        <v>440</v>
      </c>
      <c r="S33" s="50" t="s">
        <v>442</v>
      </c>
      <c r="T33" s="53" t="s">
        <v>191</v>
      </c>
      <c r="U33" s="54" t="s">
        <v>191</v>
      </c>
      <c r="V33" s="61" t="s">
        <v>622</v>
      </c>
      <c r="W33" s="62" t="s">
        <v>606</v>
      </c>
      <c r="X33" s="61" t="s">
        <v>622</v>
      </c>
      <c r="Y33" s="62" t="s">
        <v>610</v>
      </c>
      <c r="Z33" s="61" t="s">
        <v>622</v>
      </c>
      <c r="AA33" s="62" t="s">
        <v>613</v>
      </c>
      <c r="AB33" s="61" t="s">
        <v>622</v>
      </c>
      <c r="AC33" s="62" t="s">
        <v>616</v>
      </c>
      <c r="AD33" s="61" t="s">
        <v>622</v>
      </c>
      <c r="AE33" s="62" t="s">
        <v>619</v>
      </c>
    </row>
    <row r="34" spans="1:31" ht="6.6" customHeight="1" x14ac:dyDescent="0.2">
      <c r="A34" s="8">
        <v>34</v>
      </c>
      <c r="B34" s="14" t="s">
        <v>228</v>
      </c>
      <c r="C34" s="12" t="s">
        <v>483</v>
      </c>
      <c r="D34" s="61" t="s">
        <v>467</v>
      </c>
      <c r="E34" s="62" t="s">
        <v>371</v>
      </c>
      <c r="F34" s="36" t="s">
        <v>370</v>
      </c>
      <c r="G34" s="39" t="s">
        <v>372</v>
      </c>
      <c r="H34" s="36" t="s">
        <v>364</v>
      </c>
      <c r="I34" s="39" t="s">
        <v>365</v>
      </c>
      <c r="J34" s="36" t="s">
        <v>366</v>
      </c>
      <c r="K34" s="39" t="s">
        <v>421</v>
      </c>
      <c r="L34" s="36" t="s">
        <v>422</v>
      </c>
      <c r="M34" s="37" t="s">
        <v>463</v>
      </c>
      <c r="N34" s="36" t="s">
        <v>1</v>
      </c>
      <c r="O34" s="13" t="s">
        <v>44</v>
      </c>
      <c r="P34" s="49" t="s">
        <v>439</v>
      </c>
      <c r="Q34" s="50" t="s">
        <v>441</v>
      </c>
      <c r="R34" s="49" t="s">
        <v>440</v>
      </c>
      <c r="S34" s="50" t="s">
        <v>442</v>
      </c>
      <c r="T34" s="53" t="s">
        <v>191</v>
      </c>
      <c r="U34" s="54" t="s">
        <v>191</v>
      </c>
      <c r="V34" s="61" t="s">
        <v>622</v>
      </c>
      <c r="W34" s="62" t="s">
        <v>606</v>
      </c>
      <c r="X34" s="61" t="s">
        <v>622</v>
      </c>
      <c r="Y34" s="62" t="s">
        <v>610</v>
      </c>
      <c r="Z34" s="61" t="s">
        <v>622</v>
      </c>
      <c r="AA34" s="62" t="s">
        <v>613</v>
      </c>
      <c r="AB34" s="61" t="s">
        <v>622</v>
      </c>
      <c r="AC34" s="62" t="s">
        <v>616</v>
      </c>
      <c r="AD34" s="61" t="s">
        <v>622</v>
      </c>
      <c r="AE34" s="62" t="s">
        <v>619</v>
      </c>
    </row>
    <row r="35" spans="1:31" ht="6.6" customHeight="1" x14ac:dyDescent="0.2">
      <c r="A35" s="8">
        <v>35</v>
      </c>
      <c r="B35" s="17" t="s">
        <v>229</v>
      </c>
      <c r="C35" s="12" t="s">
        <v>483</v>
      </c>
      <c r="D35" s="61" t="s">
        <v>467</v>
      </c>
      <c r="E35" s="62" t="s">
        <v>371</v>
      </c>
      <c r="F35" s="36" t="s">
        <v>370</v>
      </c>
      <c r="G35" s="39" t="s">
        <v>372</v>
      </c>
      <c r="H35" s="36" t="s">
        <v>364</v>
      </c>
      <c r="I35" s="39" t="s">
        <v>365</v>
      </c>
      <c r="J35" s="36" t="s">
        <v>366</v>
      </c>
      <c r="K35" s="39" t="s">
        <v>421</v>
      </c>
      <c r="L35" s="36" t="s">
        <v>422</v>
      </c>
      <c r="M35" s="37" t="s">
        <v>463</v>
      </c>
      <c r="N35" s="36" t="s">
        <v>1</v>
      </c>
      <c r="O35" s="13" t="s">
        <v>33</v>
      </c>
      <c r="P35" s="49" t="s">
        <v>439</v>
      </c>
      <c r="Q35" s="50" t="s">
        <v>441</v>
      </c>
      <c r="R35" s="49" t="s">
        <v>440</v>
      </c>
      <c r="S35" s="50" t="s">
        <v>442</v>
      </c>
      <c r="T35" s="53" t="s">
        <v>191</v>
      </c>
      <c r="U35" s="54" t="s">
        <v>191</v>
      </c>
      <c r="V35" s="61" t="s">
        <v>622</v>
      </c>
      <c r="W35" s="62" t="s">
        <v>606</v>
      </c>
      <c r="X35" s="61" t="s">
        <v>622</v>
      </c>
      <c r="Y35" s="62" t="s">
        <v>610</v>
      </c>
      <c r="Z35" s="61" t="s">
        <v>622</v>
      </c>
      <c r="AA35" s="62" t="s">
        <v>613</v>
      </c>
      <c r="AB35" s="61" t="s">
        <v>622</v>
      </c>
      <c r="AC35" s="62" t="s">
        <v>616</v>
      </c>
      <c r="AD35" s="61" t="s">
        <v>622</v>
      </c>
      <c r="AE35" s="62" t="s">
        <v>619</v>
      </c>
    </row>
    <row r="36" spans="1:31" ht="6.6" customHeight="1" x14ac:dyDescent="0.2">
      <c r="A36" s="8">
        <v>36</v>
      </c>
      <c r="B36" s="16" t="s">
        <v>230</v>
      </c>
      <c r="C36" s="12" t="s">
        <v>483</v>
      </c>
      <c r="D36" s="61" t="s">
        <v>467</v>
      </c>
      <c r="E36" s="62" t="s">
        <v>371</v>
      </c>
      <c r="F36" s="36" t="s">
        <v>370</v>
      </c>
      <c r="G36" s="39" t="s">
        <v>372</v>
      </c>
      <c r="H36" s="36" t="s">
        <v>364</v>
      </c>
      <c r="I36" s="39" t="s">
        <v>365</v>
      </c>
      <c r="J36" s="36" t="s">
        <v>366</v>
      </c>
      <c r="K36" s="39" t="s">
        <v>421</v>
      </c>
      <c r="L36" s="36" t="s">
        <v>422</v>
      </c>
      <c r="M36" s="37" t="s">
        <v>463</v>
      </c>
      <c r="N36" s="36" t="s">
        <v>1</v>
      </c>
      <c r="O36" s="13" t="s">
        <v>45</v>
      </c>
      <c r="P36" s="49" t="s">
        <v>439</v>
      </c>
      <c r="Q36" s="50" t="s">
        <v>441</v>
      </c>
      <c r="R36" s="49" t="s">
        <v>440</v>
      </c>
      <c r="S36" s="50" t="s">
        <v>442</v>
      </c>
      <c r="T36" s="53" t="s">
        <v>191</v>
      </c>
      <c r="U36" s="54" t="s">
        <v>191</v>
      </c>
      <c r="V36" s="61" t="s">
        <v>622</v>
      </c>
      <c r="W36" s="62" t="s">
        <v>606</v>
      </c>
      <c r="X36" s="61" t="s">
        <v>622</v>
      </c>
      <c r="Y36" s="62" t="s">
        <v>610</v>
      </c>
      <c r="Z36" s="61" t="s">
        <v>622</v>
      </c>
      <c r="AA36" s="62" t="s">
        <v>613</v>
      </c>
      <c r="AB36" s="61" t="s">
        <v>622</v>
      </c>
      <c r="AC36" s="62" t="s">
        <v>616</v>
      </c>
      <c r="AD36" s="61" t="s">
        <v>622</v>
      </c>
      <c r="AE36" s="62" t="s">
        <v>619</v>
      </c>
    </row>
    <row r="37" spans="1:31" ht="6.6" customHeight="1" x14ac:dyDescent="0.2">
      <c r="A37" s="8">
        <v>37</v>
      </c>
      <c r="B37" s="14" t="s">
        <v>231</v>
      </c>
      <c r="C37" s="12" t="s">
        <v>483</v>
      </c>
      <c r="D37" s="61" t="s">
        <v>467</v>
      </c>
      <c r="E37" s="62" t="s">
        <v>371</v>
      </c>
      <c r="F37" s="36" t="s">
        <v>370</v>
      </c>
      <c r="G37" s="39" t="s">
        <v>372</v>
      </c>
      <c r="H37" s="36" t="s">
        <v>364</v>
      </c>
      <c r="I37" s="39" t="s">
        <v>365</v>
      </c>
      <c r="J37" s="36" t="s">
        <v>366</v>
      </c>
      <c r="K37" s="39" t="s">
        <v>421</v>
      </c>
      <c r="L37" s="36" t="s">
        <v>422</v>
      </c>
      <c r="M37" s="37" t="s">
        <v>463</v>
      </c>
      <c r="N37" s="36" t="s">
        <v>1</v>
      </c>
      <c r="O37" s="13" t="s">
        <v>46</v>
      </c>
      <c r="P37" s="49" t="s">
        <v>439</v>
      </c>
      <c r="Q37" s="50" t="s">
        <v>441</v>
      </c>
      <c r="R37" s="49" t="s">
        <v>440</v>
      </c>
      <c r="S37" s="50" t="s">
        <v>442</v>
      </c>
      <c r="T37" s="53" t="s">
        <v>191</v>
      </c>
      <c r="U37" s="54" t="s">
        <v>191</v>
      </c>
      <c r="V37" s="61" t="s">
        <v>622</v>
      </c>
      <c r="W37" s="62" t="s">
        <v>606</v>
      </c>
      <c r="X37" s="61" t="s">
        <v>622</v>
      </c>
      <c r="Y37" s="62" t="s">
        <v>610</v>
      </c>
      <c r="Z37" s="61" t="s">
        <v>622</v>
      </c>
      <c r="AA37" s="62" t="s">
        <v>613</v>
      </c>
      <c r="AB37" s="61" t="s">
        <v>622</v>
      </c>
      <c r="AC37" s="62" t="s">
        <v>616</v>
      </c>
      <c r="AD37" s="61" t="s">
        <v>622</v>
      </c>
      <c r="AE37" s="62" t="s">
        <v>619</v>
      </c>
    </row>
    <row r="38" spans="1:31" ht="6.6" customHeight="1" x14ac:dyDescent="0.2">
      <c r="A38" s="8">
        <v>38</v>
      </c>
      <c r="B38" s="14" t="s">
        <v>232</v>
      </c>
      <c r="C38" s="12" t="s">
        <v>483</v>
      </c>
      <c r="D38" s="61" t="s">
        <v>467</v>
      </c>
      <c r="E38" s="62" t="s">
        <v>371</v>
      </c>
      <c r="F38" s="36" t="s">
        <v>370</v>
      </c>
      <c r="G38" s="39" t="s">
        <v>372</v>
      </c>
      <c r="H38" s="36" t="s">
        <v>364</v>
      </c>
      <c r="I38" s="39" t="s">
        <v>365</v>
      </c>
      <c r="J38" s="36" t="s">
        <v>366</v>
      </c>
      <c r="K38" s="39" t="s">
        <v>421</v>
      </c>
      <c r="L38" s="36" t="s">
        <v>422</v>
      </c>
      <c r="M38" s="37" t="s">
        <v>463</v>
      </c>
      <c r="N38" s="36" t="s">
        <v>1</v>
      </c>
      <c r="O38" s="13" t="s">
        <v>47</v>
      </c>
      <c r="P38" s="49" t="s">
        <v>439</v>
      </c>
      <c r="Q38" s="50" t="s">
        <v>441</v>
      </c>
      <c r="R38" s="49" t="s">
        <v>440</v>
      </c>
      <c r="S38" s="50" t="s">
        <v>442</v>
      </c>
      <c r="T38" s="53" t="s">
        <v>191</v>
      </c>
      <c r="U38" s="54" t="s">
        <v>191</v>
      </c>
      <c r="V38" s="61" t="s">
        <v>622</v>
      </c>
      <c r="W38" s="62" t="s">
        <v>606</v>
      </c>
      <c r="X38" s="61" t="s">
        <v>622</v>
      </c>
      <c r="Y38" s="62" t="s">
        <v>610</v>
      </c>
      <c r="Z38" s="61" t="s">
        <v>622</v>
      </c>
      <c r="AA38" s="62" t="s">
        <v>613</v>
      </c>
      <c r="AB38" s="61" t="s">
        <v>622</v>
      </c>
      <c r="AC38" s="62" t="s">
        <v>616</v>
      </c>
      <c r="AD38" s="61" t="s">
        <v>622</v>
      </c>
      <c r="AE38" s="62" t="s">
        <v>619</v>
      </c>
    </row>
    <row r="39" spans="1:31" ht="6.6" customHeight="1" x14ac:dyDescent="0.2">
      <c r="A39" s="8">
        <v>39</v>
      </c>
      <c r="B39" s="9" t="s">
        <v>233</v>
      </c>
      <c r="C39" s="12" t="s">
        <v>483</v>
      </c>
      <c r="D39" s="61" t="s">
        <v>467</v>
      </c>
      <c r="E39" s="62" t="s">
        <v>371</v>
      </c>
      <c r="F39" s="36" t="s">
        <v>370</v>
      </c>
      <c r="G39" s="39" t="s">
        <v>372</v>
      </c>
      <c r="H39" s="36" t="s">
        <v>364</v>
      </c>
      <c r="I39" s="39" t="s">
        <v>365</v>
      </c>
      <c r="J39" s="36" t="s">
        <v>366</v>
      </c>
      <c r="K39" s="39" t="s">
        <v>421</v>
      </c>
      <c r="L39" s="36" t="s">
        <v>422</v>
      </c>
      <c r="M39" s="37" t="s">
        <v>463</v>
      </c>
      <c r="N39" s="36" t="s">
        <v>1</v>
      </c>
      <c r="O39" s="13" t="s">
        <v>48</v>
      </c>
      <c r="P39" s="49" t="s">
        <v>439</v>
      </c>
      <c r="Q39" s="50" t="s">
        <v>441</v>
      </c>
      <c r="R39" s="49" t="s">
        <v>440</v>
      </c>
      <c r="S39" s="50" t="s">
        <v>442</v>
      </c>
      <c r="T39" s="53" t="s">
        <v>191</v>
      </c>
      <c r="U39" s="54" t="s">
        <v>191</v>
      </c>
      <c r="V39" s="61" t="s">
        <v>622</v>
      </c>
      <c r="W39" s="62" t="s">
        <v>606</v>
      </c>
      <c r="X39" s="61" t="s">
        <v>622</v>
      </c>
      <c r="Y39" s="62" t="s">
        <v>610</v>
      </c>
      <c r="Z39" s="61" t="s">
        <v>622</v>
      </c>
      <c r="AA39" s="62" t="s">
        <v>613</v>
      </c>
      <c r="AB39" s="61" t="s">
        <v>622</v>
      </c>
      <c r="AC39" s="62" t="s">
        <v>616</v>
      </c>
      <c r="AD39" s="61" t="s">
        <v>622</v>
      </c>
      <c r="AE39" s="62" t="s">
        <v>619</v>
      </c>
    </row>
    <row r="40" spans="1:31" ht="6.6" customHeight="1" x14ac:dyDescent="0.2">
      <c r="A40" s="8">
        <v>40</v>
      </c>
      <c r="B40" s="14" t="s">
        <v>234</v>
      </c>
      <c r="C40" s="12" t="s">
        <v>483</v>
      </c>
      <c r="D40" s="61" t="s">
        <v>467</v>
      </c>
      <c r="E40" s="62" t="s">
        <v>371</v>
      </c>
      <c r="F40" s="36" t="s">
        <v>370</v>
      </c>
      <c r="G40" s="39" t="s">
        <v>372</v>
      </c>
      <c r="H40" s="36" t="s">
        <v>364</v>
      </c>
      <c r="I40" s="39" t="s">
        <v>365</v>
      </c>
      <c r="J40" s="36" t="s">
        <v>366</v>
      </c>
      <c r="K40" s="39" t="s">
        <v>421</v>
      </c>
      <c r="L40" s="36" t="s">
        <v>422</v>
      </c>
      <c r="M40" s="37" t="s">
        <v>463</v>
      </c>
      <c r="N40" s="36" t="s">
        <v>1</v>
      </c>
      <c r="O40" s="13" t="s">
        <v>49</v>
      </c>
      <c r="P40" s="49" t="s">
        <v>439</v>
      </c>
      <c r="Q40" s="50" t="s">
        <v>441</v>
      </c>
      <c r="R40" s="49" t="s">
        <v>440</v>
      </c>
      <c r="S40" s="50" t="s">
        <v>442</v>
      </c>
      <c r="T40" s="53" t="s">
        <v>191</v>
      </c>
      <c r="U40" s="54" t="s">
        <v>191</v>
      </c>
      <c r="V40" s="61" t="s">
        <v>622</v>
      </c>
      <c r="W40" s="62" t="s">
        <v>606</v>
      </c>
      <c r="X40" s="61" t="s">
        <v>622</v>
      </c>
      <c r="Y40" s="62" t="s">
        <v>610</v>
      </c>
      <c r="Z40" s="61" t="s">
        <v>622</v>
      </c>
      <c r="AA40" s="62" t="s">
        <v>613</v>
      </c>
      <c r="AB40" s="61" t="s">
        <v>622</v>
      </c>
      <c r="AC40" s="62" t="s">
        <v>616</v>
      </c>
      <c r="AD40" s="61" t="s">
        <v>622</v>
      </c>
      <c r="AE40" s="62" t="s">
        <v>619</v>
      </c>
    </row>
    <row r="41" spans="1:31" ht="6.6" customHeight="1" x14ac:dyDescent="0.2">
      <c r="A41" s="8">
        <v>41</v>
      </c>
      <c r="B41" s="14" t="s">
        <v>235</v>
      </c>
      <c r="C41" s="12" t="s">
        <v>483</v>
      </c>
      <c r="D41" s="61" t="s">
        <v>467</v>
      </c>
      <c r="E41" s="62" t="s">
        <v>371</v>
      </c>
      <c r="F41" s="36" t="s">
        <v>370</v>
      </c>
      <c r="G41" s="39" t="s">
        <v>372</v>
      </c>
      <c r="H41" s="36" t="s">
        <v>364</v>
      </c>
      <c r="I41" s="39" t="s">
        <v>365</v>
      </c>
      <c r="J41" s="36" t="s">
        <v>366</v>
      </c>
      <c r="K41" s="39" t="s">
        <v>421</v>
      </c>
      <c r="L41" s="36" t="s">
        <v>422</v>
      </c>
      <c r="M41" s="37" t="s">
        <v>463</v>
      </c>
      <c r="N41" s="36" t="s">
        <v>1</v>
      </c>
      <c r="O41" s="13" t="s">
        <v>50</v>
      </c>
      <c r="P41" s="49" t="s">
        <v>439</v>
      </c>
      <c r="Q41" s="50" t="s">
        <v>441</v>
      </c>
      <c r="R41" s="49" t="s">
        <v>440</v>
      </c>
      <c r="S41" s="50" t="s">
        <v>442</v>
      </c>
      <c r="T41" s="53" t="s">
        <v>191</v>
      </c>
      <c r="U41" s="54" t="s">
        <v>191</v>
      </c>
      <c r="V41" s="61" t="s">
        <v>622</v>
      </c>
      <c r="W41" s="62" t="s">
        <v>606</v>
      </c>
      <c r="X41" s="61" t="s">
        <v>622</v>
      </c>
      <c r="Y41" s="62" t="s">
        <v>610</v>
      </c>
      <c r="Z41" s="61" t="s">
        <v>622</v>
      </c>
      <c r="AA41" s="62" t="s">
        <v>613</v>
      </c>
      <c r="AB41" s="61" t="s">
        <v>622</v>
      </c>
      <c r="AC41" s="62" t="s">
        <v>616</v>
      </c>
      <c r="AD41" s="61" t="s">
        <v>622</v>
      </c>
      <c r="AE41" s="62" t="s">
        <v>619</v>
      </c>
    </row>
    <row r="42" spans="1:31" ht="6.6" customHeight="1" x14ac:dyDescent="0.2">
      <c r="A42" s="8">
        <v>42</v>
      </c>
      <c r="B42" s="14" t="s">
        <v>236</v>
      </c>
      <c r="C42" s="12" t="s">
        <v>483</v>
      </c>
      <c r="D42" s="61" t="s">
        <v>467</v>
      </c>
      <c r="E42" s="62" t="s">
        <v>371</v>
      </c>
      <c r="F42" s="36" t="s">
        <v>370</v>
      </c>
      <c r="G42" s="39" t="s">
        <v>372</v>
      </c>
      <c r="H42" s="36" t="s">
        <v>364</v>
      </c>
      <c r="I42" s="39" t="s">
        <v>365</v>
      </c>
      <c r="J42" s="36" t="s">
        <v>366</v>
      </c>
      <c r="K42" s="39" t="s">
        <v>421</v>
      </c>
      <c r="L42" s="36" t="s">
        <v>422</v>
      </c>
      <c r="M42" s="37" t="s">
        <v>463</v>
      </c>
      <c r="N42" s="36" t="s">
        <v>1</v>
      </c>
      <c r="O42" s="13" t="s">
        <v>51</v>
      </c>
      <c r="P42" s="49" t="s">
        <v>439</v>
      </c>
      <c r="Q42" s="50" t="s">
        <v>441</v>
      </c>
      <c r="R42" s="49" t="s">
        <v>440</v>
      </c>
      <c r="S42" s="50" t="s">
        <v>442</v>
      </c>
      <c r="T42" s="53" t="s">
        <v>191</v>
      </c>
      <c r="U42" s="54" t="s">
        <v>191</v>
      </c>
      <c r="V42" s="61" t="s">
        <v>622</v>
      </c>
      <c r="W42" s="62" t="s">
        <v>606</v>
      </c>
      <c r="X42" s="61" t="s">
        <v>622</v>
      </c>
      <c r="Y42" s="62" t="s">
        <v>610</v>
      </c>
      <c r="Z42" s="61" t="s">
        <v>622</v>
      </c>
      <c r="AA42" s="62" t="s">
        <v>613</v>
      </c>
      <c r="AB42" s="61" t="s">
        <v>622</v>
      </c>
      <c r="AC42" s="62" t="s">
        <v>616</v>
      </c>
      <c r="AD42" s="61" t="s">
        <v>622</v>
      </c>
      <c r="AE42" s="62" t="s">
        <v>619</v>
      </c>
    </row>
    <row r="43" spans="1:31" ht="6.6" customHeight="1" x14ac:dyDescent="0.2">
      <c r="A43" s="8">
        <v>43</v>
      </c>
      <c r="B43" s="14" t="s">
        <v>237</v>
      </c>
      <c r="C43" s="12" t="s">
        <v>483</v>
      </c>
      <c r="D43" s="61" t="s">
        <v>467</v>
      </c>
      <c r="E43" s="62" t="s">
        <v>371</v>
      </c>
      <c r="F43" s="36" t="s">
        <v>370</v>
      </c>
      <c r="G43" s="39" t="s">
        <v>372</v>
      </c>
      <c r="H43" s="36" t="s">
        <v>364</v>
      </c>
      <c r="I43" s="39" t="s">
        <v>365</v>
      </c>
      <c r="J43" s="36" t="s">
        <v>366</v>
      </c>
      <c r="K43" s="39" t="s">
        <v>421</v>
      </c>
      <c r="L43" s="36" t="s">
        <v>422</v>
      </c>
      <c r="M43" s="37" t="s">
        <v>463</v>
      </c>
      <c r="N43" s="36" t="s">
        <v>1</v>
      </c>
      <c r="O43" s="13" t="s">
        <v>52</v>
      </c>
      <c r="P43" s="49" t="s">
        <v>439</v>
      </c>
      <c r="Q43" s="50" t="s">
        <v>441</v>
      </c>
      <c r="R43" s="49" t="s">
        <v>440</v>
      </c>
      <c r="S43" s="50" t="s">
        <v>442</v>
      </c>
      <c r="T43" s="53" t="s">
        <v>191</v>
      </c>
      <c r="U43" s="54" t="s">
        <v>191</v>
      </c>
      <c r="V43" s="61" t="s">
        <v>622</v>
      </c>
      <c r="W43" s="62" t="s">
        <v>606</v>
      </c>
      <c r="X43" s="61" t="s">
        <v>622</v>
      </c>
      <c r="Y43" s="62" t="s">
        <v>610</v>
      </c>
      <c r="Z43" s="61" t="s">
        <v>622</v>
      </c>
      <c r="AA43" s="62" t="s">
        <v>613</v>
      </c>
      <c r="AB43" s="61" t="s">
        <v>622</v>
      </c>
      <c r="AC43" s="62" t="s">
        <v>616</v>
      </c>
      <c r="AD43" s="61" t="s">
        <v>622</v>
      </c>
      <c r="AE43" s="62" t="s">
        <v>619</v>
      </c>
    </row>
    <row r="44" spans="1:31" ht="6.6" customHeight="1" x14ac:dyDescent="0.2">
      <c r="A44" s="8">
        <v>44</v>
      </c>
      <c r="B44" s="14" t="s">
        <v>238</v>
      </c>
      <c r="C44" s="12" t="s">
        <v>483</v>
      </c>
      <c r="D44" s="61" t="s">
        <v>467</v>
      </c>
      <c r="E44" s="62" t="s">
        <v>371</v>
      </c>
      <c r="F44" s="36" t="s">
        <v>370</v>
      </c>
      <c r="G44" s="39" t="s">
        <v>372</v>
      </c>
      <c r="H44" s="36" t="s">
        <v>364</v>
      </c>
      <c r="I44" s="39" t="s">
        <v>365</v>
      </c>
      <c r="J44" s="36" t="s">
        <v>366</v>
      </c>
      <c r="K44" s="39" t="s">
        <v>421</v>
      </c>
      <c r="L44" s="36" t="s">
        <v>422</v>
      </c>
      <c r="M44" s="37" t="s">
        <v>463</v>
      </c>
      <c r="N44" s="36" t="s">
        <v>1</v>
      </c>
      <c r="O44" s="13" t="s">
        <v>53</v>
      </c>
      <c r="P44" s="49" t="s">
        <v>439</v>
      </c>
      <c r="Q44" s="50" t="s">
        <v>441</v>
      </c>
      <c r="R44" s="49" t="s">
        <v>440</v>
      </c>
      <c r="S44" s="50" t="s">
        <v>442</v>
      </c>
      <c r="T44" s="53" t="s">
        <v>191</v>
      </c>
      <c r="U44" s="54" t="s">
        <v>191</v>
      </c>
      <c r="V44" s="61" t="s">
        <v>622</v>
      </c>
      <c r="W44" s="62" t="s">
        <v>606</v>
      </c>
      <c r="X44" s="61" t="s">
        <v>622</v>
      </c>
      <c r="Y44" s="62" t="s">
        <v>610</v>
      </c>
      <c r="Z44" s="61" t="s">
        <v>622</v>
      </c>
      <c r="AA44" s="62" t="s">
        <v>613</v>
      </c>
      <c r="AB44" s="61" t="s">
        <v>622</v>
      </c>
      <c r="AC44" s="62" t="s">
        <v>616</v>
      </c>
      <c r="AD44" s="61" t="s">
        <v>622</v>
      </c>
      <c r="AE44" s="62" t="s">
        <v>619</v>
      </c>
    </row>
    <row r="45" spans="1:31" ht="6.6" customHeight="1" x14ac:dyDescent="0.2">
      <c r="A45" s="8">
        <v>45</v>
      </c>
      <c r="B45" s="14" t="s">
        <v>239</v>
      </c>
      <c r="C45" s="12" t="s">
        <v>483</v>
      </c>
      <c r="D45" s="61" t="s">
        <v>467</v>
      </c>
      <c r="E45" s="62" t="s">
        <v>371</v>
      </c>
      <c r="F45" s="36" t="s">
        <v>370</v>
      </c>
      <c r="G45" s="39" t="s">
        <v>372</v>
      </c>
      <c r="H45" s="36" t="s">
        <v>364</v>
      </c>
      <c r="I45" s="39" t="s">
        <v>365</v>
      </c>
      <c r="J45" s="36" t="s">
        <v>366</v>
      </c>
      <c r="K45" s="39" t="s">
        <v>421</v>
      </c>
      <c r="L45" s="36" t="s">
        <v>422</v>
      </c>
      <c r="M45" s="37" t="s">
        <v>463</v>
      </c>
      <c r="N45" s="36" t="s">
        <v>1</v>
      </c>
      <c r="O45" s="13" t="s">
        <v>54</v>
      </c>
      <c r="P45" s="49" t="s">
        <v>439</v>
      </c>
      <c r="Q45" s="50" t="s">
        <v>441</v>
      </c>
      <c r="R45" s="49" t="s">
        <v>440</v>
      </c>
      <c r="S45" s="50" t="s">
        <v>442</v>
      </c>
      <c r="T45" s="53" t="s">
        <v>191</v>
      </c>
      <c r="U45" s="54" t="s">
        <v>191</v>
      </c>
      <c r="V45" s="61" t="s">
        <v>622</v>
      </c>
      <c r="W45" s="62" t="s">
        <v>606</v>
      </c>
      <c r="X45" s="61" t="s">
        <v>622</v>
      </c>
      <c r="Y45" s="62" t="s">
        <v>610</v>
      </c>
      <c r="Z45" s="61" t="s">
        <v>622</v>
      </c>
      <c r="AA45" s="62" t="s">
        <v>613</v>
      </c>
      <c r="AB45" s="61" t="s">
        <v>622</v>
      </c>
      <c r="AC45" s="62" t="s">
        <v>616</v>
      </c>
      <c r="AD45" s="61" t="s">
        <v>622</v>
      </c>
      <c r="AE45" s="62" t="s">
        <v>619</v>
      </c>
    </row>
    <row r="46" spans="1:31" ht="6.6" customHeight="1" x14ac:dyDescent="0.2">
      <c r="A46" s="8">
        <v>46</v>
      </c>
      <c r="B46" s="14" t="s">
        <v>240</v>
      </c>
      <c r="C46" s="12" t="s">
        <v>483</v>
      </c>
      <c r="D46" s="61" t="s">
        <v>467</v>
      </c>
      <c r="E46" s="62" t="s">
        <v>371</v>
      </c>
      <c r="F46" s="36" t="s">
        <v>370</v>
      </c>
      <c r="G46" s="39" t="s">
        <v>372</v>
      </c>
      <c r="H46" s="36" t="s">
        <v>364</v>
      </c>
      <c r="I46" s="39" t="s">
        <v>365</v>
      </c>
      <c r="J46" s="36" t="s">
        <v>366</v>
      </c>
      <c r="K46" s="39" t="s">
        <v>421</v>
      </c>
      <c r="L46" s="36" t="s">
        <v>422</v>
      </c>
      <c r="M46" s="37" t="s">
        <v>463</v>
      </c>
      <c r="N46" s="36" t="s">
        <v>1</v>
      </c>
      <c r="O46" s="13" t="s">
        <v>55</v>
      </c>
      <c r="P46" s="49" t="s">
        <v>439</v>
      </c>
      <c r="Q46" s="50" t="s">
        <v>441</v>
      </c>
      <c r="R46" s="49" t="s">
        <v>440</v>
      </c>
      <c r="S46" s="50" t="s">
        <v>442</v>
      </c>
      <c r="T46" s="53" t="s">
        <v>191</v>
      </c>
      <c r="U46" s="54" t="s">
        <v>191</v>
      </c>
      <c r="V46" s="61" t="s">
        <v>622</v>
      </c>
      <c r="W46" s="62" t="s">
        <v>606</v>
      </c>
      <c r="X46" s="61" t="s">
        <v>622</v>
      </c>
      <c r="Y46" s="62" t="s">
        <v>610</v>
      </c>
      <c r="Z46" s="61" t="s">
        <v>622</v>
      </c>
      <c r="AA46" s="62" t="s">
        <v>613</v>
      </c>
      <c r="AB46" s="61" t="s">
        <v>622</v>
      </c>
      <c r="AC46" s="62" t="s">
        <v>616</v>
      </c>
      <c r="AD46" s="61" t="s">
        <v>622</v>
      </c>
      <c r="AE46" s="62" t="s">
        <v>619</v>
      </c>
    </row>
    <row r="47" spans="1:31" ht="6.6" customHeight="1" x14ac:dyDescent="0.2">
      <c r="A47" s="8">
        <v>47</v>
      </c>
      <c r="B47" s="14" t="s">
        <v>241</v>
      </c>
      <c r="C47" s="12" t="s">
        <v>483</v>
      </c>
      <c r="D47" s="61" t="s">
        <v>467</v>
      </c>
      <c r="E47" s="62" t="s">
        <v>371</v>
      </c>
      <c r="F47" s="36" t="s">
        <v>370</v>
      </c>
      <c r="G47" s="39" t="s">
        <v>372</v>
      </c>
      <c r="H47" s="36" t="s">
        <v>364</v>
      </c>
      <c r="I47" s="39" t="s">
        <v>365</v>
      </c>
      <c r="J47" s="36" t="s">
        <v>366</v>
      </c>
      <c r="K47" s="39" t="s">
        <v>421</v>
      </c>
      <c r="L47" s="36" t="s">
        <v>422</v>
      </c>
      <c r="M47" s="37" t="s">
        <v>463</v>
      </c>
      <c r="N47" s="36" t="s">
        <v>1</v>
      </c>
      <c r="O47" s="13" t="s">
        <v>56</v>
      </c>
      <c r="P47" s="49" t="s">
        <v>439</v>
      </c>
      <c r="Q47" s="50" t="s">
        <v>441</v>
      </c>
      <c r="R47" s="49" t="s">
        <v>440</v>
      </c>
      <c r="S47" s="50" t="s">
        <v>442</v>
      </c>
      <c r="T47" s="53" t="s">
        <v>191</v>
      </c>
      <c r="U47" s="54" t="s">
        <v>191</v>
      </c>
      <c r="V47" s="61" t="s">
        <v>622</v>
      </c>
      <c r="W47" s="62" t="s">
        <v>606</v>
      </c>
      <c r="X47" s="61" t="s">
        <v>622</v>
      </c>
      <c r="Y47" s="62" t="s">
        <v>610</v>
      </c>
      <c r="Z47" s="61" t="s">
        <v>622</v>
      </c>
      <c r="AA47" s="62" t="s">
        <v>613</v>
      </c>
      <c r="AB47" s="61" t="s">
        <v>622</v>
      </c>
      <c r="AC47" s="62" t="s">
        <v>616</v>
      </c>
      <c r="AD47" s="61" t="s">
        <v>622</v>
      </c>
      <c r="AE47" s="62" t="s">
        <v>619</v>
      </c>
    </row>
    <row r="48" spans="1:31" ht="6.6" customHeight="1" x14ac:dyDescent="0.2">
      <c r="A48" s="8">
        <v>48</v>
      </c>
      <c r="B48" s="14" t="s">
        <v>242</v>
      </c>
      <c r="C48" s="12" t="s">
        <v>483</v>
      </c>
      <c r="D48" s="61" t="s">
        <v>467</v>
      </c>
      <c r="E48" s="62" t="s">
        <v>371</v>
      </c>
      <c r="F48" s="36" t="s">
        <v>370</v>
      </c>
      <c r="G48" s="39" t="s">
        <v>372</v>
      </c>
      <c r="H48" s="36" t="s">
        <v>364</v>
      </c>
      <c r="I48" s="39" t="s">
        <v>365</v>
      </c>
      <c r="J48" s="36" t="s">
        <v>366</v>
      </c>
      <c r="K48" s="39" t="s">
        <v>421</v>
      </c>
      <c r="L48" s="36" t="s">
        <v>422</v>
      </c>
      <c r="M48" s="37" t="s">
        <v>463</v>
      </c>
      <c r="N48" s="36" t="s">
        <v>1</v>
      </c>
      <c r="O48" s="13" t="s">
        <v>57</v>
      </c>
      <c r="P48" s="49" t="s">
        <v>439</v>
      </c>
      <c r="Q48" s="50" t="s">
        <v>441</v>
      </c>
      <c r="R48" s="49" t="s">
        <v>440</v>
      </c>
      <c r="S48" s="50" t="s">
        <v>442</v>
      </c>
      <c r="T48" s="53" t="s">
        <v>191</v>
      </c>
      <c r="U48" s="54" t="s">
        <v>191</v>
      </c>
      <c r="V48" s="61" t="s">
        <v>622</v>
      </c>
      <c r="W48" s="62" t="s">
        <v>606</v>
      </c>
      <c r="X48" s="61" t="s">
        <v>622</v>
      </c>
      <c r="Y48" s="62" t="s">
        <v>610</v>
      </c>
      <c r="Z48" s="61" t="s">
        <v>622</v>
      </c>
      <c r="AA48" s="62" t="s">
        <v>613</v>
      </c>
      <c r="AB48" s="61" t="s">
        <v>622</v>
      </c>
      <c r="AC48" s="62" t="s">
        <v>616</v>
      </c>
      <c r="AD48" s="61" t="s">
        <v>622</v>
      </c>
      <c r="AE48" s="62" t="s">
        <v>619</v>
      </c>
    </row>
    <row r="49" spans="1:31" ht="6.6" customHeight="1" x14ac:dyDescent="0.2">
      <c r="A49" s="8">
        <v>49</v>
      </c>
      <c r="B49" s="14" t="s">
        <v>243</v>
      </c>
      <c r="C49" s="12" t="s">
        <v>483</v>
      </c>
      <c r="D49" s="61" t="s">
        <v>467</v>
      </c>
      <c r="E49" s="62" t="s">
        <v>371</v>
      </c>
      <c r="F49" s="36" t="s">
        <v>370</v>
      </c>
      <c r="G49" s="39" t="s">
        <v>372</v>
      </c>
      <c r="H49" s="36" t="s">
        <v>364</v>
      </c>
      <c r="I49" s="39" t="s">
        <v>365</v>
      </c>
      <c r="J49" s="36" t="s">
        <v>366</v>
      </c>
      <c r="K49" s="39" t="s">
        <v>421</v>
      </c>
      <c r="L49" s="36" t="s">
        <v>422</v>
      </c>
      <c r="M49" s="37" t="s">
        <v>463</v>
      </c>
      <c r="N49" s="36" t="s">
        <v>1</v>
      </c>
      <c r="O49" s="13" t="s">
        <v>58</v>
      </c>
      <c r="P49" s="49" t="s">
        <v>439</v>
      </c>
      <c r="Q49" s="50" t="s">
        <v>441</v>
      </c>
      <c r="R49" s="49" t="s">
        <v>440</v>
      </c>
      <c r="S49" s="50" t="s">
        <v>442</v>
      </c>
      <c r="T49" s="53" t="s">
        <v>191</v>
      </c>
      <c r="U49" s="54" t="s">
        <v>191</v>
      </c>
      <c r="V49" s="61" t="s">
        <v>622</v>
      </c>
      <c r="W49" s="62" t="s">
        <v>606</v>
      </c>
      <c r="X49" s="61" t="s">
        <v>622</v>
      </c>
      <c r="Y49" s="62" t="s">
        <v>610</v>
      </c>
      <c r="Z49" s="61" t="s">
        <v>622</v>
      </c>
      <c r="AA49" s="62" t="s">
        <v>613</v>
      </c>
      <c r="AB49" s="61" t="s">
        <v>622</v>
      </c>
      <c r="AC49" s="62" t="s">
        <v>616</v>
      </c>
      <c r="AD49" s="61" t="s">
        <v>622</v>
      </c>
      <c r="AE49" s="62" t="s">
        <v>619</v>
      </c>
    </row>
    <row r="50" spans="1:31" ht="6.6" customHeight="1" x14ac:dyDescent="0.2">
      <c r="A50" s="8">
        <v>50</v>
      </c>
      <c r="B50" s="14" t="s">
        <v>244</v>
      </c>
      <c r="C50" s="12" t="s">
        <v>483</v>
      </c>
      <c r="D50" s="61" t="s">
        <v>467</v>
      </c>
      <c r="E50" s="62" t="s">
        <v>371</v>
      </c>
      <c r="F50" s="36" t="s">
        <v>370</v>
      </c>
      <c r="G50" s="39" t="s">
        <v>372</v>
      </c>
      <c r="H50" s="36" t="s">
        <v>364</v>
      </c>
      <c r="I50" s="39" t="s">
        <v>365</v>
      </c>
      <c r="J50" s="36" t="s">
        <v>366</v>
      </c>
      <c r="K50" s="39" t="s">
        <v>421</v>
      </c>
      <c r="L50" s="36" t="s">
        <v>422</v>
      </c>
      <c r="M50" s="37" t="s">
        <v>463</v>
      </c>
      <c r="N50" s="36" t="s">
        <v>1</v>
      </c>
      <c r="O50" s="13" t="s">
        <v>59</v>
      </c>
      <c r="P50" s="49" t="s">
        <v>439</v>
      </c>
      <c r="Q50" s="50" t="s">
        <v>441</v>
      </c>
      <c r="R50" s="49" t="s">
        <v>440</v>
      </c>
      <c r="S50" s="50" t="s">
        <v>442</v>
      </c>
      <c r="T50" s="53" t="s">
        <v>191</v>
      </c>
      <c r="U50" s="54" t="s">
        <v>191</v>
      </c>
      <c r="V50" s="61" t="s">
        <v>622</v>
      </c>
      <c r="W50" s="62" t="s">
        <v>606</v>
      </c>
      <c r="X50" s="61" t="s">
        <v>622</v>
      </c>
      <c r="Y50" s="62" t="s">
        <v>610</v>
      </c>
      <c r="Z50" s="61" t="s">
        <v>622</v>
      </c>
      <c r="AA50" s="62" t="s">
        <v>613</v>
      </c>
      <c r="AB50" s="61" t="s">
        <v>622</v>
      </c>
      <c r="AC50" s="62" t="s">
        <v>616</v>
      </c>
      <c r="AD50" s="61" t="s">
        <v>622</v>
      </c>
      <c r="AE50" s="62" t="s">
        <v>619</v>
      </c>
    </row>
    <row r="51" spans="1:31" ht="6.6" customHeight="1" x14ac:dyDescent="0.2">
      <c r="A51" s="8">
        <v>51</v>
      </c>
      <c r="B51" s="14" t="s">
        <v>245</v>
      </c>
      <c r="C51" s="12" t="s">
        <v>483</v>
      </c>
      <c r="D51" s="61" t="s">
        <v>467</v>
      </c>
      <c r="E51" s="62" t="s">
        <v>371</v>
      </c>
      <c r="F51" s="36" t="s">
        <v>370</v>
      </c>
      <c r="G51" s="39" t="s">
        <v>372</v>
      </c>
      <c r="H51" s="36" t="s">
        <v>364</v>
      </c>
      <c r="I51" s="39" t="s">
        <v>365</v>
      </c>
      <c r="J51" s="36" t="s">
        <v>366</v>
      </c>
      <c r="K51" s="39" t="s">
        <v>421</v>
      </c>
      <c r="L51" s="36" t="s">
        <v>422</v>
      </c>
      <c r="M51" s="37" t="s">
        <v>463</v>
      </c>
      <c r="N51" s="36" t="s">
        <v>1</v>
      </c>
      <c r="O51" s="13" t="s">
        <v>60</v>
      </c>
      <c r="P51" s="49" t="s">
        <v>439</v>
      </c>
      <c r="Q51" s="50" t="s">
        <v>441</v>
      </c>
      <c r="R51" s="49" t="s">
        <v>440</v>
      </c>
      <c r="S51" s="50" t="s">
        <v>442</v>
      </c>
      <c r="T51" s="53" t="s">
        <v>191</v>
      </c>
      <c r="U51" s="54" t="s">
        <v>191</v>
      </c>
      <c r="V51" s="61" t="s">
        <v>622</v>
      </c>
      <c r="W51" s="62" t="s">
        <v>606</v>
      </c>
      <c r="X51" s="61" t="s">
        <v>622</v>
      </c>
      <c r="Y51" s="62" t="s">
        <v>610</v>
      </c>
      <c r="Z51" s="61" t="s">
        <v>622</v>
      </c>
      <c r="AA51" s="62" t="s">
        <v>613</v>
      </c>
      <c r="AB51" s="61" t="s">
        <v>622</v>
      </c>
      <c r="AC51" s="62" t="s">
        <v>616</v>
      </c>
      <c r="AD51" s="61" t="s">
        <v>622</v>
      </c>
      <c r="AE51" s="62" t="s">
        <v>619</v>
      </c>
    </row>
    <row r="52" spans="1:31" ht="6.6" customHeight="1" x14ac:dyDescent="0.2">
      <c r="A52" s="8">
        <v>52</v>
      </c>
      <c r="B52" s="9" t="s">
        <v>246</v>
      </c>
      <c r="C52" s="12" t="s">
        <v>504</v>
      </c>
      <c r="D52" s="61" t="s">
        <v>467</v>
      </c>
      <c r="E52" s="62" t="s">
        <v>371</v>
      </c>
      <c r="F52" s="36" t="s">
        <v>370</v>
      </c>
      <c r="G52" s="39" t="s">
        <v>372</v>
      </c>
      <c r="H52" s="36" t="s">
        <v>364</v>
      </c>
      <c r="I52" s="39" t="s">
        <v>365</v>
      </c>
      <c r="J52" s="36" t="s">
        <v>366</v>
      </c>
      <c r="K52" s="39" t="s">
        <v>421</v>
      </c>
      <c r="L52" s="36" t="s">
        <v>422</v>
      </c>
      <c r="M52" s="37" t="s">
        <v>423</v>
      </c>
      <c r="N52" s="36" t="s">
        <v>1</v>
      </c>
      <c r="O52" s="13" t="s">
        <v>61</v>
      </c>
      <c r="P52" s="49" t="s">
        <v>439</v>
      </c>
      <c r="Q52" s="50" t="s">
        <v>441</v>
      </c>
      <c r="R52" s="49" t="s">
        <v>440</v>
      </c>
      <c r="S52" s="50" t="s">
        <v>442</v>
      </c>
      <c r="T52" s="53" t="s">
        <v>191</v>
      </c>
      <c r="U52" s="54" t="s">
        <v>191</v>
      </c>
      <c r="V52" s="61" t="s">
        <v>622</v>
      </c>
      <c r="W52" s="62" t="s">
        <v>606</v>
      </c>
      <c r="X52" s="61" t="s">
        <v>622</v>
      </c>
      <c r="Y52" s="62" t="s">
        <v>610</v>
      </c>
      <c r="Z52" s="61" t="s">
        <v>622</v>
      </c>
      <c r="AA52" s="62" t="s">
        <v>613</v>
      </c>
      <c r="AB52" s="61" t="s">
        <v>622</v>
      </c>
      <c r="AC52" s="62" t="s">
        <v>616</v>
      </c>
      <c r="AD52" s="61" t="s">
        <v>622</v>
      </c>
      <c r="AE52" s="62" t="s">
        <v>619</v>
      </c>
    </row>
    <row r="53" spans="1:31" ht="6.6" customHeight="1" x14ac:dyDescent="0.2">
      <c r="A53" s="8">
        <v>53</v>
      </c>
      <c r="B53" s="14" t="s">
        <v>247</v>
      </c>
      <c r="C53" s="12" t="s">
        <v>504</v>
      </c>
      <c r="D53" s="61" t="s">
        <v>467</v>
      </c>
      <c r="E53" s="62" t="s">
        <v>371</v>
      </c>
      <c r="F53" s="36" t="s">
        <v>370</v>
      </c>
      <c r="G53" s="39" t="s">
        <v>372</v>
      </c>
      <c r="H53" s="36" t="s">
        <v>364</v>
      </c>
      <c r="I53" s="39" t="s">
        <v>365</v>
      </c>
      <c r="J53" s="36" t="s">
        <v>366</v>
      </c>
      <c r="K53" s="39" t="s">
        <v>421</v>
      </c>
      <c r="L53" s="36" t="s">
        <v>422</v>
      </c>
      <c r="M53" s="37" t="s">
        <v>423</v>
      </c>
      <c r="N53" s="36" t="s">
        <v>1</v>
      </c>
      <c r="O53" s="13" t="s">
        <v>62</v>
      </c>
      <c r="P53" s="49" t="s">
        <v>439</v>
      </c>
      <c r="Q53" s="50" t="s">
        <v>441</v>
      </c>
      <c r="R53" s="49" t="s">
        <v>440</v>
      </c>
      <c r="S53" s="50" t="s">
        <v>442</v>
      </c>
      <c r="T53" s="53" t="s">
        <v>191</v>
      </c>
      <c r="U53" s="54" t="s">
        <v>191</v>
      </c>
      <c r="V53" s="61" t="s">
        <v>622</v>
      </c>
      <c r="W53" s="62" t="s">
        <v>606</v>
      </c>
      <c r="X53" s="61" t="s">
        <v>622</v>
      </c>
      <c r="Y53" s="62" t="s">
        <v>610</v>
      </c>
      <c r="Z53" s="61" t="s">
        <v>622</v>
      </c>
      <c r="AA53" s="62" t="s">
        <v>613</v>
      </c>
      <c r="AB53" s="61" t="s">
        <v>622</v>
      </c>
      <c r="AC53" s="62" t="s">
        <v>616</v>
      </c>
      <c r="AD53" s="61" t="s">
        <v>622</v>
      </c>
      <c r="AE53" s="62" t="s">
        <v>619</v>
      </c>
    </row>
    <row r="54" spans="1:31" ht="6.6" customHeight="1" x14ac:dyDescent="0.2">
      <c r="A54" s="8">
        <v>54</v>
      </c>
      <c r="B54" s="14" t="s">
        <v>248</v>
      </c>
      <c r="C54" s="12" t="s">
        <v>504</v>
      </c>
      <c r="D54" s="61" t="s">
        <v>467</v>
      </c>
      <c r="E54" s="62" t="s">
        <v>371</v>
      </c>
      <c r="F54" s="36" t="s">
        <v>370</v>
      </c>
      <c r="G54" s="39" t="s">
        <v>372</v>
      </c>
      <c r="H54" s="36" t="s">
        <v>364</v>
      </c>
      <c r="I54" s="39" t="s">
        <v>365</v>
      </c>
      <c r="J54" s="36" t="s">
        <v>366</v>
      </c>
      <c r="K54" s="39" t="s">
        <v>421</v>
      </c>
      <c r="L54" s="36" t="s">
        <v>422</v>
      </c>
      <c r="M54" s="37" t="s">
        <v>423</v>
      </c>
      <c r="N54" s="36" t="s">
        <v>1</v>
      </c>
      <c r="O54" s="13" t="s">
        <v>63</v>
      </c>
      <c r="P54" s="49" t="s">
        <v>439</v>
      </c>
      <c r="Q54" s="50" t="s">
        <v>441</v>
      </c>
      <c r="R54" s="49" t="s">
        <v>440</v>
      </c>
      <c r="S54" s="50" t="s">
        <v>442</v>
      </c>
      <c r="T54" s="53" t="s">
        <v>191</v>
      </c>
      <c r="U54" s="54" t="s">
        <v>191</v>
      </c>
      <c r="V54" s="61" t="s">
        <v>622</v>
      </c>
      <c r="W54" s="62" t="s">
        <v>606</v>
      </c>
      <c r="X54" s="61" t="s">
        <v>622</v>
      </c>
      <c r="Y54" s="62" t="s">
        <v>610</v>
      </c>
      <c r="Z54" s="61" t="s">
        <v>622</v>
      </c>
      <c r="AA54" s="62" t="s">
        <v>613</v>
      </c>
      <c r="AB54" s="61" t="s">
        <v>622</v>
      </c>
      <c r="AC54" s="62" t="s">
        <v>616</v>
      </c>
      <c r="AD54" s="61" t="s">
        <v>622</v>
      </c>
      <c r="AE54" s="62" t="s">
        <v>619</v>
      </c>
    </row>
    <row r="55" spans="1:31" ht="6.6" customHeight="1" x14ac:dyDescent="0.2">
      <c r="A55" s="8">
        <v>55</v>
      </c>
      <c r="B55" s="14" t="s">
        <v>249</v>
      </c>
      <c r="C55" s="12" t="s">
        <v>504</v>
      </c>
      <c r="D55" s="61" t="s">
        <v>467</v>
      </c>
      <c r="E55" s="62" t="s">
        <v>371</v>
      </c>
      <c r="F55" s="36" t="s">
        <v>370</v>
      </c>
      <c r="G55" s="39" t="s">
        <v>372</v>
      </c>
      <c r="H55" s="36" t="s">
        <v>364</v>
      </c>
      <c r="I55" s="39" t="s">
        <v>365</v>
      </c>
      <c r="J55" s="36" t="s">
        <v>366</v>
      </c>
      <c r="K55" s="39" t="s">
        <v>421</v>
      </c>
      <c r="L55" s="36" t="s">
        <v>422</v>
      </c>
      <c r="M55" s="37" t="s">
        <v>423</v>
      </c>
      <c r="N55" s="36" t="s">
        <v>1</v>
      </c>
      <c r="O55" s="13" t="s">
        <v>64</v>
      </c>
      <c r="P55" s="49" t="s">
        <v>439</v>
      </c>
      <c r="Q55" s="50" t="s">
        <v>441</v>
      </c>
      <c r="R55" s="49" t="s">
        <v>440</v>
      </c>
      <c r="S55" s="50" t="s">
        <v>442</v>
      </c>
      <c r="T55" s="53" t="s">
        <v>191</v>
      </c>
      <c r="U55" s="54" t="s">
        <v>191</v>
      </c>
      <c r="V55" s="61" t="s">
        <v>622</v>
      </c>
      <c r="W55" s="62" t="s">
        <v>606</v>
      </c>
      <c r="X55" s="61" t="s">
        <v>622</v>
      </c>
      <c r="Y55" s="62" t="s">
        <v>610</v>
      </c>
      <c r="Z55" s="61" t="s">
        <v>622</v>
      </c>
      <c r="AA55" s="62" t="s">
        <v>613</v>
      </c>
      <c r="AB55" s="61" t="s">
        <v>622</v>
      </c>
      <c r="AC55" s="62" t="s">
        <v>616</v>
      </c>
      <c r="AD55" s="61" t="s">
        <v>622</v>
      </c>
      <c r="AE55" s="62" t="s">
        <v>619</v>
      </c>
    </row>
    <row r="56" spans="1:31" ht="6.6" customHeight="1" x14ac:dyDescent="0.2">
      <c r="A56" s="8">
        <v>56</v>
      </c>
      <c r="B56" s="14" t="s">
        <v>250</v>
      </c>
      <c r="C56" s="12" t="s">
        <v>504</v>
      </c>
      <c r="D56" s="61" t="s">
        <v>467</v>
      </c>
      <c r="E56" s="62" t="s">
        <v>371</v>
      </c>
      <c r="F56" s="36" t="s">
        <v>370</v>
      </c>
      <c r="G56" s="39" t="s">
        <v>372</v>
      </c>
      <c r="H56" s="36" t="s">
        <v>364</v>
      </c>
      <c r="I56" s="39" t="s">
        <v>365</v>
      </c>
      <c r="J56" s="36" t="s">
        <v>366</v>
      </c>
      <c r="K56" s="39" t="s">
        <v>421</v>
      </c>
      <c r="L56" s="36" t="s">
        <v>422</v>
      </c>
      <c r="M56" s="37" t="s">
        <v>423</v>
      </c>
      <c r="N56" s="36" t="s">
        <v>1</v>
      </c>
      <c r="O56" s="13" t="s">
        <v>35</v>
      </c>
      <c r="P56" s="49" t="s">
        <v>439</v>
      </c>
      <c r="Q56" s="50" t="s">
        <v>441</v>
      </c>
      <c r="R56" s="49" t="s">
        <v>440</v>
      </c>
      <c r="S56" s="50" t="s">
        <v>442</v>
      </c>
      <c r="T56" s="53" t="s">
        <v>191</v>
      </c>
      <c r="U56" s="54" t="s">
        <v>191</v>
      </c>
      <c r="V56" s="61" t="s">
        <v>622</v>
      </c>
      <c r="W56" s="62" t="s">
        <v>606</v>
      </c>
      <c r="X56" s="61" t="s">
        <v>622</v>
      </c>
      <c r="Y56" s="62" t="s">
        <v>610</v>
      </c>
      <c r="Z56" s="61" t="s">
        <v>622</v>
      </c>
      <c r="AA56" s="62" t="s">
        <v>613</v>
      </c>
      <c r="AB56" s="61" t="s">
        <v>622</v>
      </c>
      <c r="AC56" s="62" t="s">
        <v>616</v>
      </c>
      <c r="AD56" s="61" t="s">
        <v>622</v>
      </c>
      <c r="AE56" s="62" t="s">
        <v>619</v>
      </c>
    </row>
    <row r="57" spans="1:31" ht="6.6" customHeight="1" x14ac:dyDescent="0.2">
      <c r="A57" s="8">
        <v>57</v>
      </c>
      <c r="B57" s="14" t="s">
        <v>251</v>
      </c>
      <c r="C57" s="12" t="s">
        <v>504</v>
      </c>
      <c r="D57" s="61" t="s">
        <v>467</v>
      </c>
      <c r="E57" s="62" t="s">
        <v>371</v>
      </c>
      <c r="F57" s="36" t="s">
        <v>370</v>
      </c>
      <c r="G57" s="39" t="s">
        <v>372</v>
      </c>
      <c r="H57" s="36" t="s">
        <v>364</v>
      </c>
      <c r="I57" s="39" t="s">
        <v>365</v>
      </c>
      <c r="J57" s="36" t="s">
        <v>366</v>
      </c>
      <c r="K57" s="39" t="s">
        <v>421</v>
      </c>
      <c r="L57" s="36" t="s">
        <v>422</v>
      </c>
      <c r="M57" s="37" t="s">
        <v>423</v>
      </c>
      <c r="N57" s="36" t="s">
        <v>1</v>
      </c>
      <c r="O57" s="13" t="s">
        <v>34</v>
      </c>
      <c r="P57" s="49" t="s">
        <v>439</v>
      </c>
      <c r="Q57" s="50" t="s">
        <v>441</v>
      </c>
      <c r="R57" s="49" t="s">
        <v>440</v>
      </c>
      <c r="S57" s="50" t="s">
        <v>442</v>
      </c>
      <c r="T57" s="53" t="s">
        <v>191</v>
      </c>
      <c r="U57" s="54" t="s">
        <v>191</v>
      </c>
      <c r="V57" s="61" t="s">
        <v>622</v>
      </c>
      <c r="W57" s="62" t="s">
        <v>606</v>
      </c>
      <c r="X57" s="61" t="s">
        <v>622</v>
      </c>
      <c r="Y57" s="62" t="s">
        <v>610</v>
      </c>
      <c r="Z57" s="61" t="s">
        <v>622</v>
      </c>
      <c r="AA57" s="62" t="s">
        <v>613</v>
      </c>
      <c r="AB57" s="61" t="s">
        <v>622</v>
      </c>
      <c r="AC57" s="62" t="s">
        <v>616</v>
      </c>
      <c r="AD57" s="61" t="s">
        <v>622</v>
      </c>
      <c r="AE57" s="62" t="s">
        <v>619</v>
      </c>
    </row>
    <row r="58" spans="1:31" ht="6.6" customHeight="1" x14ac:dyDescent="0.2">
      <c r="A58" s="8">
        <v>58</v>
      </c>
      <c r="B58" s="14" t="s">
        <v>252</v>
      </c>
      <c r="C58" s="12" t="s">
        <v>504</v>
      </c>
      <c r="D58" s="61" t="s">
        <v>467</v>
      </c>
      <c r="E58" s="62" t="s">
        <v>371</v>
      </c>
      <c r="F58" s="36" t="s">
        <v>370</v>
      </c>
      <c r="G58" s="39" t="s">
        <v>372</v>
      </c>
      <c r="H58" s="36" t="s">
        <v>364</v>
      </c>
      <c r="I58" s="39" t="s">
        <v>365</v>
      </c>
      <c r="J58" s="36" t="s">
        <v>366</v>
      </c>
      <c r="K58" s="39" t="s">
        <v>421</v>
      </c>
      <c r="L58" s="36" t="s">
        <v>422</v>
      </c>
      <c r="M58" s="37" t="s">
        <v>423</v>
      </c>
      <c r="N58" s="36" t="s">
        <v>1</v>
      </c>
      <c r="O58" s="13" t="s">
        <v>36</v>
      </c>
      <c r="P58" s="49" t="s">
        <v>439</v>
      </c>
      <c r="Q58" s="50" t="s">
        <v>441</v>
      </c>
      <c r="R58" s="49" t="s">
        <v>440</v>
      </c>
      <c r="S58" s="50" t="s">
        <v>442</v>
      </c>
      <c r="T58" s="53" t="s">
        <v>191</v>
      </c>
      <c r="U58" s="54" t="s">
        <v>191</v>
      </c>
      <c r="V58" s="61" t="s">
        <v>622</v>
      </c>
      <c r="W58" s="62" t="s">
        <v>606</v>
      </c>
      <c r="X58" s="61" t="s">
        <v>622</v>
      </c>
      <c r="Y58" s="62" t="s">
        <v>610</v>
      </c>
      <c r="Z58" s="61" t="s">
        <v>622</v>
      </c>
      <c r="AA58" s="62" t="s">
        <v>613</v>
      </c>
      <c r="AB58" s="61" t="s">
        <v>622</v>
      </c>
      <c r="AC58" s="62" t="s">
        <v>616</v>
      </c>
      <c r="AD58" s="61" t="s">
        <v>622</v>
      </c>
      <c r="AE58" s="62" t="s">
        <v>619</v>
      </c>
    </row>
    <row r="59" spans="1:31" ht="6.6" customHeight="1" x14ac:dyDescent="0.2">
      <c r="A59" s="8">
        <v>59</v>
      </c>
      <c r="B59" s="14" t="s">
        <v>253</v>
      </c>
      <c r="C59" s="12" t="s">
        <v>504</v>
      </c>
      <c r="D59" s="61" t="s">
        <v>467</v>
      </c>
      <c r="E59" s="62" t="s">
        <v>371</v>
      </c>
      <c r="F59" s="36" t="s">
        <v>370</v>
      </c>
      <c r="G59" s="39" t="s">
        <v>372</v>
      </c>
      <c r="H59" s="36" t="s">
        <v>364</v>
      </c>
      <c r="I59" s="39" t="s">
        <v>365</v>
      </c>
      <c r="J59" s="36" t="s">
        <v>366</v>
      </c>
      <c r="K59" s="39" t="s">
        <v>421</v>
      </c>
      <c r="L59" s="36" t="s">
        <v>422</v>
      </c>
      <c r="M59" s="37" t="s">
        <v>423</v>
      </c>
      <c r="N59" s="36" t="s">
        <v>1</v>
      </c>
      <c r="O59" s="13" t="s">
        <v>65</v>
      </c>
      <c r="P59" s="49" t="s">
        <v>439</v>
      </c>
      <c r="Q59" s="50" t="s">
        <v>441</v>
      </c>
      <c r="R59" s="49" t="s">
        <v>440</v>
      </c>
      <c r="S59" s="50" t="s">
        <v>442</v>
      </c>
      <c r="T59" s="53" t="s">
        <v>191</v>
      </c>
      <c r="U59" s="54" t="s">
        <v>191</v>
      </c>
      <c r="V59" s="61" t="s">
        <v>622</v>
      </c>
      <c r="W59" s="62" t="s">
        <v>606</v>
      </c>
      <c r="X59" s="61" t="s">
        <v>622</v>
      </c>
      <c r="Y59" s="62" t="s">
        <v>610</v>
      </c>
      <c r="Z59" s="61" t="s">
        <v>622</v>
      </c>
      <c r="AA59" s="62" t="s">
        <v>613</v>
      </c>
      <c r="AB59" s="61" t="s">
        <v>622</v>
      </c>
      <c r="AC59" s="62" t="s">
        <v>616</v>
      </c>
      <c r="AD59" s="61" t="s">
        <v>622</v>
      </c>
      <c r="AE59" s="62" t="s">
        <v>619</v>
      </c>
    </row>
    <row r="60" spans="1:31" ht="6.6" customHeight="1" x14ac:dyDescent="0.2">
      <c r="A60" s="8">
        <v>60</v>
      </c>
      <c r="B60" s="14" t="s">
        <v>254</v>
      </c>
      <c r="C60" s="12" t="s">
        <v>504</v>
      </c>
      <c r="D60" s="61" t="s">
        <v>467</v>
      </c>
      <c r="E60" s="62" t="s">
        <v>371</v>
      </c>
      <c r="F60" s="36" t="s">
        <v>370</v>
      </c>
      <c r="G60" s="39" t="s">
        <v>372</v>
      </c>
      <c r="H60" s="36" t="s">
        <v>364</v>
      </c>
      <c r="I60" s="39" t="s">
        <v>365</v>
      </c>
      <c r="J60" s="36" t="s">
        <v>366</v>
      </c>
      <c r="K60" s="39" t="s">
        <v>421</v>
      </c>
      <c r="L60" s="36" t="s">
        <v>422</v>
      </c>
      <c r="M60" s="37" t="s">
        <v>423</v>
      </c>
      <c r="N60" s="36" t="s">
        <v>1</v>
      </c>
      <c r="O60" s="13" t="s">
        <v>66</v>
      </c>
      <c r="P60" s="49" t="s">
        <v>439</v>
      </c>
      <c r="Q60" s="50" t="s">
        <v>441</v>
      </c>
      <c r="R60" s="49" t="s">
        <v>440</v>
      </c>
      <c r="S60" s="50" t="s">
        <v>442</v>
      </c>
      <c r="T60" s="53" t="s">
        <v>191</v>
      </c>
      <c r="U60" s="54" t="s">
        <v>191</v>
      </c>
      <c r="V60" s="61" t="s">
        <v>622</v>
      </c>
      <c r="W60" s="62" t="s">
        <v>606</v>
      </c>
      <c r="X60" s="61" t="s">
        <v>622</v>
      </c>
      <c r="Y60" s="62" t="s">
        <v>610</v>
      </c>
      <c r="Z60" s="61" t="s">
        <v>622</v>
      </c>
      <c r="AA60" s="62" t="s">
        <v>613</v>
      </c>
      <c r="AB60" s="61" t="s">
        <v>622</v>
      </c>
      <c r="AC60" s="62" t="s">
        <v>616</v>
      </c>
      <c r="AD60" s="61" t="s">
        <v>622</v>
      </c>
      <c r="AE60" s="62" t="s">
        <v>619</v>
      </c>
    </row>
    <row r="61" spans="1:31" ht="6.6" customHeight="1" x14ac:dyDescent="0.2">
      <c r="A61" s="8">
        <v>61</v>
      </c>
      <c r="B61" s="14" t="s">
        <v>255</v>
      </c>
      <c r="C61" s="12" t="s">
        <v>504</v>
      </c>
      <c r="D61" s="61" t="s">
        <v>467</v>
      </c>
      <c r="E61" s="62" t="s">
        <v>371</v>
      </c>
      <c r="F61" s="36" t="s">
        <v>370</v>
      </c>
      <c r="G61" s="39" t="s">
        <v>372</v>
      </c>
      <c r="H61" s="36" t="s">
        <v>364</v>
      </c>
      <c r="I61" s="39" t="s">
        <v>365</v>
      </c>
      <c r="J61" s="36" t="s">
        <v>366</v>
      </c>
      <c r="K61" s="39" t="s">
        <v>421</v>
      </c>
      <c r="L61" s="36" t="s">
        <v>422</v>
      </c>
      <c r="M61" s="37" t="s">
        <v>423</v>
      </c>
      <c r="N61" s="36" t="s">
        <v>1</v>
      </c>
      <c r="O61" s="13" t="s">
        <v>67</v>
      </c>
      <c r="P61" s="49" t="s">
        <v>439</v>
      </c>
      <c r="Q61" s="50" t="s">
        <v>441</v>
      </c>
      <c r="R61" s="49" t="s">
        <v>440</v>
      </c>
      <c r="S61" s="50" t="s">
        <v>442</v>
      </c>
      <c r="T61" s="53" t="s">
        <v>191</v>
      </c>
      <c r="U61" s="54" t="s">
        <v>191</v>
      </c>
      <c r="V61" s="61" t="s">
        <v>622</v>
      </c>
      <c r="W61" s="62" t="s">
        <v>606</v>
      </c>
      <c r="X61" s="61" t="s">
        <v>622</v>
      </c>
      <c r="Y61" s="62" t="s">
        <v>610</v>
      </c>
      <c r="Z61" s="61" t="s">
        <v>622</v>
      </c>
      <c r="AA61" s="62" t="s">
        <v>613</v>
      </c>
      <c r="AB61" s="61" t="s">
        <v>622</v>
      </c>
      <c r="AC61" s="62" t="s">
        <v>616</v>
      </c>
      <c r="AD61" s="61" t="s">
        <v>622</v>
      </c>
      <c r="AE61" s="62" t="s">
        <v>619</v>
      </c>
    </row>
    <row r="62" spans="1:31" ht="6.6" customHeight="1" x14ac:dyDescent="0.2">
      <c r="A62" s="8">
        <v>62</v>
      </c>
      <c r="B62" s="14" t="s">
        <v>256</v>
      </c>
      <c r="C62" s="12" t="s">
        <v>504</v>
      </c>
      <c r="D62" s="61" t="s">
        <v>467</v>
      </c>
      <c r="E62" s="62" t="s">
        <v>371</v>
      </c>
      <c r="F62" s="36" t="s">
        <v>370</v>
      </c>
      <c r="G62" s="39" t="s">
        <v>372</v>
      </c>
      <c r="H62" s="36" t="s">
        <v>364</v>
      </c>
      <c r="I62" s="39" t="s">
        <v>365</v>
      </c>
      <c r="J62" s="36" t="s">
        <v>366</v>
      </c>
      <c r="K62" s="39" t="s">
        <v>421</v>
      </c>
      <c r="L62" s="36" t="s">
        <v>422</v>
      </c>
      <c r="M62" s="37" t="s">
        <v>423</v>
      </c>
      <c r="N62" s="36" t="s">
        <v>1</v>
      </c>
      <c r="O62" s="13" t="s">
        <v>68</v>
      </c>
      <c r="P62" s="49" t="s">
        <v>439</v>
      </c>
      <c r="Q62" s="50" t="s">
        <v>441</v>
      </c>
      <c r="R62" s="49" t="s">
        <v>440</v>
      </c>
      <c r="S62" s="50" t="s">
        <v>442</v>
      </c>
      <c r="T62" s="53" t="s">
        <v>191</v>
      </c>
      <c r="U62" s="54" t="s">
        <v>191</v>
      </c>
      <c r="V62" s="61" t="s">
        <v>622</v>
      </c>
      <c r="W62" s="62" t="s">
        <v>606</v>
      </c>
      <c r="X62" s="61" t="s">
        <v>622</v>
      </c>
      <c r="Y62" s="62" t="s">
        <v>610</v>
      </c>
      <c r="Z62" s="61" t="s">
        <v>622</v>
      </c>
      <c r="AA62" s="62" t="s">
        <v>613</v>
      </c>
      <c r="AB62" s="61" t="s">
        <v>622</v>
      </c>
      <c r="AC62" s="62" t="s">
        <v>616</v>
      </c>
      <c r="AD62" s="61" t="s">
        <v>622</v>
      </c>
      <c r="AE62" s="62" t="s">
        <v>619</v>
      </c>
    </row>
    <row r="63" spans="1:31" ht="6.6" customHeight="1" x14ac:dyDescent="0.2">
      <c r="A63" s="8">
        <v>63</v>
      </c>
      <c r="B63" s="14" t="s">
        <v>257</v>
      </c>
      <c r="C63" s="12" t="s">
        <v>504</v>
      </c>
      <c r="D63" s="61" t="s">
        <v>467</v>
      </c>
      <c r="E63" s="62" t="s">
        <v>371</v>
      </c>
      <c r="F63" s="36" t="s">
        <v>370</v>
      </c>
      <c r="G63" s="39" t="s">
        <v>372</v>
      </c>
      <c r="H63" s="36" t="s">
        <v>364</v>
      </c>
      <c r="I63" s="39" t="s">
        <v>365</v>
      </c>
      <c r="J63" s="36" t="s">
        <v>366</v>
      </c>
      <c r="K63" s="39" t="s">
        <v>421</v>
      </c>
      <c r="L63" s="36" t="s">
        <v>422</v>
      </c>
      <c r="M63" s="37" t="s">
        <v>423</v>
      </c>
      <c r="N63" s="36" t="s">
        <v>1</v>
      </c>
      <c r="O63" s="13" t="s">
        <v>69</v>
      </c>
      <c r="P63" s="49" t="s">
        <v>439</v>
      </c>
      <c r="Q63" s="50" t="s">
        <v>441</v>
      </c>
      <c r="R63" s="49" t="s">
        <v>440</v>
      </c>
      <c r="S63" s="50" t="s">
        <v>442</v>
      </c>
      <c r="T63" s="53" t="s">
        <v>191</v>
      </c>
      <c r="U63" s="54" t="s">
        <v>191</v>
      </c>
      <c r="V63" s="61" t="s">
        <v>622</v>
      </c>
      <c r="W63" s="62" t="s">
        <v>606</v>
      </c>
      <c r="X63" s="61" t="s">
        <v>622</v>
      </c>
      <c r="Y63" s="62" t="s">
        <v>610</v>
      </c>
      <c r="Z63" s="61" t="s">
        <v>622</v>
      </c>
      <c r="AA63" s="62" t="s">
        <v>613</v>
      </c>
      <c r="AB63" s="61" t="s">
        <v>622</v>
      </c>
      <c r="AC63" s="62" t="s">
        <v>616</v>
      </c>
      <c r="AD63" s="61" t="s">
        <v>622</v>
      </c>
      <c r="AE63" s="62" t="s">
        <v>619</v>
      </c>
    </row>
    <row r="64" spans="1:31" ht="6.6" customHeight="1" x14ac:dyDescent="0.2">
      <c r="A64" s="8">
        <v>64</v>
      </c>
      <c r="B64" s="14" t="s">
        <v>258</v>
      </c>
      <c r="C64" s="12" t="s">
        <v>504</v>
      </c>
      <c r="D64" s="61" t="s">
        <v>467</v>
      </c>
      <c r="E64" s="62" t="s">
        <v>371</v>
      </c>
      <c r="F64" s="36" t="s">
        <v>370</v>
      </c>
      <c r="G64" s="39" t="s">
        <v>372</v>
      </c>
      <c r="H64" s="36" t="s">
        <v>364</v>
      </c>
      <c r="I64" s="39" t="s">
        <v>365</v>
      </c>
      <c r="J64" s="36" t="s">
        <v>366</v>
      </c>
      <c r="K64" s="39" t="s">
        <v>421</v>
      </c>
      <c r="L64" s="36" t="s">
        <v>422</v>
      </c>
      <c r="M64" s="37" t="s">
        <v>423</v>
      </c>
      <c r="N64" s="36" t="s">
        <v>1</v>
      </c>
      <c r="O64" s="13" t="s">
        <v>70</v>
      </c>
      <c r="P64" s="49" t="s">
        <v>439</v>
      </c>
      <c r="Q64" s="50" t="s">
        <v>441</v>
      </c>
      <c r="R64" s="49" t="s">
        <v>440</v>
      </c>
      <c r="S64" s="50" t="s">
        <v>442</v>
      </c>
      <c r="T64" s="53" t="s">
        <v>191</v>
      </c>
      <c r="U64" s="54" t="s">
        <v>191</v>
      </c>
      <c r="V64" s="61" t="s">
        <v>622</v>
      </c>
      <c r="W64" s="62" t="s">
        <v>606</v>
      </c>
      <c r="X64" s="61" t="s">
        <v>622</v>
      </c>
      <c r="Y64" s="62" t="s">
        <v>610</v>
      </c>
      <c r="Z64" s="61" t="s">
        <v>622</v>
      </c>
      <c r="AA64" s="62" t="s">
        <v>613</v>
      </c>
      <c r="AB64" s="61" t="s">
        <v>622</v>
      </c>
      <c r="AC64" s="62" t="s">
        <v>616</v>
      </c>
      <c r="AD64" s="61" t="s">
        <v>622</v>
      </c>
      <c r="AE64" s="62" t="s">
        <v>619</v>
      </c>
    </row>
    <row r="65" spans="1:31" ht="6.6" customHeight="1" x14ac:dyDescent="0.2">
      <c r="A65" s="8">
        <v>65</v>
      </c>
      <c r="B65" s="14" t="s">
        <v>259</v>
      </c>
      <c r="C65" s="12" t="s">
        <v>504</v>
      </c>
      <c r="D65" s="61" t="s">
        <v>467</v>
      </c>
      <c r="E65" s="62" t="s">
        <v>371</v>
      </c>
      <c r="F65" s="36" t="s">
        <v>370</v>
      </c>
      <c r="G65" s="39" t="s">
        <v>372</v>
      </c>
      <c r="H65" s="36" t="s">
        <v>364</v>
      </c>
      <c r="I65" s="39" t="s">
        <v>365</v>
      </c>
      <c r="J65" s="36" t="s">
        <v>366</v>
      </c>
      <c r="K65" s="39" t="s">
        <v>421</v>
      </c>
      <c r="L65" s="36" t="s">
        <v>422</v>
      </c>
      <c r="M65" s="37" t="s">
        <v>423</v>
      </c>
      <c r="N65" s="36" t="s">
        <v>1</v>
      </c>
      <c r="O65" s="13" t="s">
        <v>424</v>
      </c>
      <c r="P65" s="49" t="s">
        <v>439</v>
      </c>
      <c r="Q65" s="50" t="s">
        <v>441</v>
      </c>
      <c r="R65" s="49" t="s">
        <v>440</v>
      </c>
      <c r="S65" s="50" t="s">
        <v>442</v>
      </c>
      <c r="T65" s="53" t="s">
        <v>191</v>
      </c>
      <c r="U65" s="54" t="s">
        <v>191</v>
      </c>
      <c r="V65" s="61" t="s">
        <v>622</v>
      </c>
      <c r="W65" s="62" t="s">
        <v>606</v>
      </c>
      <c r="X65" s="61" t="s">
        <v>622</v>
      </c>
      <c r="Y65" s="62" t="s">
        <v>610</v>
      </c>
      <c r="Z65" s="61" t="s">
        <v>622</v>
      </c>
      <c r="AA65" s="62" t="s">
        <v>613</v>
      </c>
      <c r="AB65" s="61" t="s">
        <v>622</v>
      </c>
      <c r="AC65" s="62" t="s">
        <v>616</v>
      </c>
      <c r="AD65" s="61" t="s">
        <v>622</v>
      </c>
      <c r="AE65" s="62" t="s">
        <v>619</v>
      </c>
    </row>
    <row r="66" spans="1:31" ht="6.6" customHeight="1" x14ac:dyDescent="0.2">
      <c r="A66" s="8">
        <v>66</v>
      </c>
      <c r="B66" s="14" t="s">
        <v>260</v>
      </c>
      <c r="C66" s="12" t="s">
        <v>504</v>
      </c>
      <c r="D66" s="61" t="s">
        <v>467</v>
      </c>
      <c r="E66" s="62" t="s">
        <v>371</v>
      </c>
      <c r="F66" s="36" t="s">
        <v>370</v>
      </c>
      <c r="G66" s="39" t="s">
        <v>372</v>
      </c>
      <c r="H66" s="36" t="s">
        <v>364</v>
      </c>
      <c r="I66" s="39" t="s">
        <v>365</v>
      </c>
      <c r="J66" s="36" t="s">
        <v>366</v>
      </c>
      <c r="K66" s="39" t="s">
        <v>421</v>
      </c>
      <c r="L66" s="36" t="s">
        <v>422</v>
      </c>
      <c r="M66" s="37" t="s">
        <v>423</v>
      </c>
      <c r="N66" s="36" t="s">
        <v>1</v>
      </c>
      <c r="O66" s="13" t="s">
        <v>71</v>
      </c>
      <c r="P66" s="49" t="s">
        <v>439</v>
      </c>
      <c r="Q66" s="50" t="s">
        <v>441</v>
      </c>
      <c r="R66" s="49" t="s">
        <v>440</v>
      </c>
      <c r="S66" s="50" t="s">
        <v>442</v>
      </c>
      <c r="T66" s="53" t="s">
        <v>191</v>
      </c>
      <c r="U66" s="54" t="s">
        <v>191</v>
      </c>
      <c r="V66" s="61" t="s">
        <v>622</v>
      </c>
      <c r="W66" s="62" t="s">
        <v>606</v>
      </c>
      <c r="X66" s="61" t="s">
        <v>622</v>
      </c>
      <c r="Y66" s="62" t="s">
        <v>610</v>
      </c>
      <c r="Z66" s="61" t="s">
        <v>622</v>
      </c>
      <c r="AA66" s="62" t="s">
        <v>613</v>
      </c>
      <c r="AB66" s="61" t="s">
        <v>622</v>
      </c>
      <c r="AC66" s="62" t="s">
        <v>616</v>
      </c>
      <c r="AD66" s="61" t="s">
        <v>622</v>
      </c>
      <c r="AE66" s="62" t="s">
        <v>619</v>
      </c>
    </row>
    <row r="67" spans="1:31" ht="6.6" customHeight="1" x14ac:dyDescent="0.2">
      <c r="A67" s="8">
        <v>67</v>
      </c>
      <c r="B67" s="14" t="s">
        <v>261</v>
      </c>
      <c r="C67" s="12" t="s">
        <v>504</v>
      </c>
      <c r="D67" s="61" t="s">
        <v>467</v>
      </c>
      <c r="E67" s="62" t="s">
        <v>371</v>
      </c>
      <c r="F67" s="36" t="s">
        <v>370</v>
      </c>
      <c r="G67" s="39" t="s">
        <v>372</v>
      </c>
      <c r="H67" s="36" t="s">
        <v>364</v>
      </c>
      <c r="I67" s="39" t="s">
        <v>365</v>
      </c>
      <c r="J67" s="36" t="s">
        <v>366</v>
      </c>
      <c r="K67" s="39" t="s">
        <v>421</v>
      </c>
      <c r="L67" s="36" t="s">
        <v>422</v>
      </c>
      <c r="M67" s="37" t="s">
        <v>423</v>
      </c>
      <c r="N67" s="36" t="s">
        <v>1</v>
      </c>
      <c r="O67" s="13" t="s">
        <v>72</v>
      </c>
      <c r="P67" s="49" t="s">
        <v>439</v>
      </c>
      <c r="Q67" s="50" t="s">
        <v>441</v>
      </c>
      <c r="R67" s="49" t="s">
        <v>440</v>
      </c>
      <c r="S67" s="50" t="s">
        <v>442</v>
      </c>
      <c r="T67" s="53" t="s">
        <v>191</v>
      </c>
      <c r="U67" s="54" t="s">
        <v>191</v>
      </c>
      <c r="V67" s="61" t="s">
        <v>622</v>
      </c>
      <c r="W67" s="62" t="s">
        <v>606</v>
      </c>
      <c r="X67" s="61" t="s">
        <v>622</v>
      </c>
      <c r="Y67" s="62" t="s">
        <v>610</v>
      </c>
      <c r="Z67" s="61" t="s">
        <v>622</v>
      </c>
      <c r="AA67" s="62" t="s">
        <v>613</v>
      </c>
      <c r="AB67" s="61" t="s">
        <v>622</v>
      </c>
      <c r="AC67" s="62" t="s">
        <v>616</v>
      </c>
      <c r="AD67" s="61" t="s">
        <v>622</v>
      </c>
      <c r="AE67" s="62" t="s">
        <v>619</v>
      </c>
    </row>
    <row r="68" spans="1:31" ht="6.6" customHeight="1" x14ac:dyDescent="0.2">
      <c r="A68" s="8">
        <v>68</v>
      </c>
      <c r="B68" s="9" t="s">
        <v>262</v>
      </c>
      <c r="C68" s="12" t="s">
        <v>504</v>
      </c>
      <c r="D68" s="61" t="s">
        <v>467</v>
      </c>
      <c r="E68" s="62" t="s">
        <v>371</v>
      </c>
      <c r="F68" s="36" t="s">
        <v>370</v>
      </c>
      <c r="G68" s="39" t="s">
        <v>372</v>
      </c>
      <c r="H68" s="36" t="s">
        <v>364</v>
      </c>
      <c r="I68" s="39" t="s">
        <v>365</v>
      </c>
      <c r="J68" s="36" t="s">
        <v>366</v>
      </c>
      <c r="K68" s="39" t="s">
        <v>421</v>
      </c>
      <c r="L68" s="36" t="s">
        <v>422</v>
      </c>
      <c r="M68" s="37" t="s">
        <v>423</v>
      </c>
      <c r="N68" s="36" t="s">
        <v>1</v>
      </c>
      <c r="O68" s="13" t="s">
        <v>73</v>
      </c>
      <c r="P68" s="49" t="s">
        <v>439</v>
      </c>
      <c r="Q68" s="50" t="s">
        <v>441</v>
      </c>
      <c r="R68" s="49" t="s">
        <v>440</v>
      </c>
      <c r="S68" s="50" t="s">
        <v>442</v>
      </c>
      <c r="T68" s="53" t="s">
        <v>191</v>
      </c>
      <c r="U68" s="54" t="s">
        <v>191</v>
      </c>
      <c r="V68" s="61" t="s">
        <v>622</v>
      </c>
      <c r="W68" s="62" t="s">
        <v>606</v>
      </c>
      <c r="X68" s="61" t="s">
        <v>622</v>
      </c>
      <c r="Y68" s="62" t="s">
        <v>610</v>
      </c>
      <c r="Z68" s="61" t="s">
        <v>622</v>
      </c>
      <c r="AA68" s="62" t="s">
        <v>613</v>
      </c>
      <c r="AB68" s="61" t="s">
        <v>622</v>
      </c>
      <c r="AC68" s="62" t="s">
        <v>616</v>
      </c>
      <c r="AD68" s="61" t="s">
        <v>622</v>
      </c>
      <c r="AE68" s="62" t="s">
        <v>619</v>
      </c>
    </row>
    <row r="69" spans="1:31" ht="6.6" customHeight="1" x14ac:dyDescent="0.2">
      <c r="A69" s="8">
        <v>69</v>
      </c>
      <c r="B69" s="14" t="s">
        <v>263</v>
      </c>
      <c r="C69" s="12" t="s">
        <v>504</v>
      </c>
      <c r="D69" s="61" t="s">
        <v>467</v>
      </c>
      <c r="E69" s="62" t="s">
        <v>371</v>
      </c>
      <c r="F69" s="36" t="s">
        <v>370</v>
      </c>
      <c r="G69" s="39" t="s">
        <v>372</v>
      </c>
      <c r="H69" s="36" t="s">
        <v>364</v>
      </c>
      <c r="I69" s="39" t="s">
        <v>365</v>
      </c>
      <c r="J69" s="36" t="s">
        <v>366</v>
      </c>
      <c r="K69" s="39" t="s">
        <v>421</v>
      </c>
      <c r="L69" s="36" t="s">
        <v>422</v>
      </c>
      <c r="M69" s="37" t="s">
        <v>423</v>
      </c>
      <c r="N69" s="36" t="s">
        <v>1</v>
      </c>
      <c r="O69" s="13" t="s">
        <v>74</v>
      </c>
      <c r="P69" s="49" t="s">
        <v>439</v>
      </c>
      <c r="Q69" s="50" t="s">
        <v>441</v>
      </c>
      <c r="R69" s="49" t="s">
        <v>440</v>
      </c>
      <c r="S69" s="50" t="s">
        <v>442</v>
      </c>
      <c r="T69" s="53" t="s">
        <v>191</v>
      </c>
      <c r="U69" s="54" t="s">
        <v>191</v>
      </c>
      <c r="V69" s="61" t="s">
        <v>622</v>
      </c>
      <c r="W69" s="62" t="s">
        <v>606</v>
      </c>
      <c r="X69" s="61" t="s">
        <v>622</v>
      </c>
      <c r="Y69" s="62" t="s">
        <v>610</v>
      </c>
      <c r="Z69" s="61" t="s">
        <v>622</v>
      </c>
      <c r="AA69" s="62" t="s">
        <v>613</v>
      </c>
      <c r="AB69" s="61" t="s">
        <v>622</v>
      </c>
      <c r="AC69" s="62" t="s">
        <v>616</v>
      </c>
      <c r="AD69" s="61" t="s">
        <v>622</v>
      </c>
      <c r="AE69" s="62" t="s">
        <v>619</v>
      </c>
    </row>
    <row r="70" spans="1:31" ht="6.6" customHeight="1" x14ac:dyDescent="0.2">
      <c r="A70" s="8">
        <v>70</v>
      </c>
      <c r="B70" s="14" t="s">
        <v>264</v>
      </c>
      <c r="C70" s="12" t="s">
        <v>504</v>
      </c>
      <c r="D70" s="61" t="s">
        <v>467</v>
      </c>
      <c r="E70" s="62" t="s">
        <v>371</v>
      </c>
      <c r="F70" s="36" t="s">
        <v>370</v>
      </c>
      <c r="G70" s="39" t="s">
        <v>372</v>
      </c>
      <c r="H70" s="36" t="s">
        <v>364</v>
      </c>
      <c r="I70" s="39" t="s">
        <v>365</v>
      </c>
      <c r="J70" s="36" t="s">
        <v>366</v>
      </c>
      <c r="K70" s="39" t="s">
        <v>421</v>
      </c>
      <c r="L70" s="36" t="s">
        <v>422</v>
      </c>
      <c r="M70" s="37" t="s">
        <v>423</v>
      </c>
      <c r="N70" s="36" t="s">
        <v>1</v>
      </c>
      <c r="O70" s="13" t="s">
        <v>75</v>
      </c>
      <c r="P70" s="49" t="s">
        <v>439</v>
      </c>
      <c r="Q70" s="50" t="s">
        <v>441</v>
      </c>
      <c r="R70" s="49" t="s">
        <v>440</v>
      </c>
      <c r="S70" s="50" t="s">
        <v>442</v>
      </c>
      <c r="T70" s="53" t="s">
        <v>191</v>
      </c>
      <c r="U70" s="54" t="s">
        <v>191</v>
      </c>
      <c r="V70" s="61" t="s">
        <v>622</v>
      </c>
      <c r="W70" s="62" t="s">
        <v>606</v>
      </c>
      <c r="X70" s="61" t="s">
        <v>622</v>
      </c>
      <c r="Y70" s="62" t="s">
        <v>610</v>
      </c>
      <c r="Z70" s="61" t="s">
        <v>622</v>
      </c>
      <c r="AA70" s="62" t="s">
        <v>613</v>
      </c>
      <c r="AB70" s="61" t="s">
        <v>622</v>
      </c>
      <c r="AC70" s="62" t="s">
        <v>616</v>
      </c>
      <c r="AD70" s="61" t="s">
        <v>622</v>
      </c>
      <c r="AE70" s="62" t="s">
        <v>619</v>
      </c>
    </row>
    <row r="71" spans="1:31" ht="6.6" customHeight="1" x14ac:dyDescent="0.2">
      <c r="A71" s="8">
        <v>71</v>
      </c>
      <c r="B71" s="14" t="s">
        <v>265</v>
      </c>
      <c r="C71" s="12" t="s">
        <v>504</v>
      </c>
      <c r="D71" s="61" t="s">
        <v>467</v>
      </c>
      <c r="E71" s="62" t="s">
        <v>371</v>
      </c>
      <c r="F71" s="36" t="s">
        <v>370</v>
      </c>
      <c r="G71" s="39" t="s">
        <v>372</v>
      </c>
      <c r="H71" s="36" t="s">
        <v>364</v>
      </c>
      <c r="I71" s="39" t="s">
        <v>365</v>
      </c>
      <c r="J71" s="36" t="s">
        <v>366</v>
      </c>
      <c r="K71" s="39" t="s">
        <v>421</v>
      </c>
      <c r="L71" s="36" t="s">
        <v>422</v>
      </c>
      <c r="M71" s="37" t="s">
        <v>423</v>
      </c>
      <c r="N71" s="36" t="s">
        <v>1</v>
      </c>
      <c r="O71" s="13" t="s">
        <v>76</v>
      </c>
      <c r="P71" s="49" t="s">
        <v>439</v>
      </c>
      <c r="Q71" s="50" t="s">
        <v>441</v>
      </c>
      <c r="R71" s="49" t="s">
        <v>440</v>
      </c>
      <c r="S71" s="50" t="s">
        <v>442</v>
      </c>
      <c r="T71" s="53" t="s">
        <v>191</v>
      </c>
      <c r="U71" s="54" t="s">
        <v>191</v>
      </c>
      <c r="V71" s="61" t="s">
        <v>622</v>
      </c>
      <c r="W71" s="62" t="s">
        <v>606</v>
      </c>
      <c r="X71" s="61" t="s">
        <v>622</v>
      </c>
      <c r="Y71" s="62" t="s">
        <v>610</v>
      </c>
      <c r="Z71" s="61" t="s">
        <v>622</v>
      </c>
      <c r="AA71" s="62" t="s">
        <v>613</v>
      </c>
      <c r="AB71" s="61" t="s">
        <v>622</v>
      </c>
      <c r="AC71" s="62" t="s">
        <v>616</v>
      </c>
      <c r="AD71" s="61" t="s">
        <v>622</v>
      </c>
      <c r="AE71" s="62" t="s">
        <v>619</v>
      </c>
    </row>
    <row r="72" spans="1:31" ht="6.6" customHeight="1" x14ac:dyDescent="0.2">
      <c r="A72" s="8">
        <v>72</v>
      </c>
      <c r="B72" s="14" t="s">
        <v>266</v>
      </c>
      <c r="C72" s="12" t="s">
        <v>504</v>
      </c>
      <c r="D72" s="61" t="s">
        <v>467</v>
      </c>
      <c r="E72" s="62" t="s">
        <v>371</v>
      </c>
      <c r="F72" s="36" t="s">
        <v>370</v>
      </c>
      <c r="G72" s="39" t="s">
        <v>372</v>
      </c>
      <c r="H72" s="36" t="s">
        <v>364</v>
      </c>
      <c r="I72" s="39" t="s">
        <v>365</v>
      </c>
      <c r="J72" s="36" t="s">
        <v>366</v>
      </c>
      <c r="K72" s="39" t="s">
        <v>421</v>
      </c>
      <c r="L72" s="36" t="s">
        <v>422</v>
      </c>
      <c r="M72" s="37" t="s">
        <v>423</v>
      </c>
      <c r="N72" s="36" t="s">
        <v>1</v>
      </c>
      <c r="O72" s="13" t="s">
        <v>77</v>
      </c>
      <c r="P72" s="49" t="s">
        <v>439</v>
      </c>
      <c r="Q72" s="50" t="s">
        <v>441</v>
      </c>
      <c r="R72" s="49" t="s">
        <v>440</v>
      </c>
      <c r="S72" s="50" t="s">
        <v>442</v>
      </c>
      <c r="T72" s="53" t="s">
        <v>191</v>
      </c>
      <c r="U72" s="54" t="s">
        <v>191</v>
      </c>
      <c r="V72" s="61" t="s">
        <v>622</v>
      </c>
      <c r="W72" s="62" t="s">
        <v>606</v>
      </c>
      <c r="X72" s="61" t="s">
        <v>622</v>
      </c>
      <c r="Y72" s="62" t="s">
        <v>610</v>
      </c>
      <c r="Z72" s="61" t="s">
        <v>622</v>
      </c>
      <c r="AA72" s="62" t="s">
        <v>613</v>
      </c>
      <c r="AB72" s="61" t="s">
        <v>622</v>
      </c>
      <c r="AC72" s="62" t="s">
        <v>616</v>
      </c>
      <c r="AD72" s="61" t="s">
        <v>622</v>
      </c>
      <c r="AE72" s="62" t="s">
        <v>619</v>
      </c>
    </row>
    <row r="73" spans="1:31" ht="6.6" customHeight="1" x14ac:dyDescent="0.2">
      <c r="A73" s="8">
        <v>73</v>
      </c>
      <c r="B73" s="14" t="s">
        <v>267</v>
      </c>
      <c r="C73" s="12" t="s">
        <v>504</v>
      </c>
      <c r="D73" s="61" t="s">
        <v>467</v>
      </c>
      <c r="E73" s="62" t="s">
        <v>371</v>
      </c>
      <c r="F73" s="36" t="s">
        <v>370</v>
      </c>
      <c r="G73" s="39" t="s">
        <v>372</v>
      </c>
      <c r="H73" s="36" t="s">
        <v>364</v>
      </c>
      <c r="I73" s="39" t="s">
        <v>365</v>
      </c>
      <c r="J73" s="36" t="s">
        <v>366</v>
      </c>
      <c r="K73" s="39" t="s">
        <v>421</v>
      </c>
      <c r="L73" s="36" t="s">
        <v>422</v>
      </c>
      <c r="M73" s="37" t="s">
        <v>423</v>
      </c>
      <c r="N73" s="36" t="s">
        <v>1</v>
      </c>
      <c r="O73" s="13" t="s">
        <v>78</v>
      </c>
      <c r="P73" s="49" t="s">
        <v>439</v>
      </c>
      <c r="Q73" s="50" t="s">
        <v>441</v>
      </c>
      <c r="R73" s="49" t="s">
        <v>440</v>
      </c>
      <c r="S73" s="50" t="s">
        <v>442</v>
      </c>
      <c r="T73" s="53" t="s">
        <v>191</v>
      </c>
      <c r="U73" s="54" t="s">
        <v>191</v>
      </c>
      <c r="V73" s="61" t="s">
        <v>622</v>
      </c>
      <c r="W73" s="62" t="s">
        <v>606</v>
      </c>
      <c r="X73" s="61" t="s">
        <v>622</v>
      </c>
      <c r="Y73" s="62" t="s">
        <v>610</v>
      </c>
      <c r="Z73" s="61" t="s">
        <v>622</v>
      </c>
      <c r="AA73" s="62" t="s">
        <v>613</v>
      </c>
      <c r="AB73" s="61" t="s">
        <v>622</v>
      </c>
      <c r="AC73" s="62" t="s">
        <v>616</v>
      </c>
      <c r="AD73" s="61" t="s">
        <v>622</v>
      </c>
      <c r="AE73" s="62" t="s">
        <v>619</v>
      </c>
    </row>
    <row r="74" spans="1:31" ht="6.6" customHeight="1" x14ac:dyDescent="0.2">
      <c r="A74" s="8">
        <v>74</v>
      </c>
      <c r="B74" s="14" t="s">
        <v>268</v>
      </c>
      <c r="C74" s="12" t="s">
        <v>504</v>
      </c>
      <c r="D74" s="61" t="s">
        <v>467</v>
      </c>
      <c r="E74" s="62" t="s">
        <v>371</v>
      </c>
      <c r="F74" s="36" t="s">
        <v>370</v>
      </c>
      <c r="G74" s="39" t="s">
        <v>372</v>
      </c>
      <c r="H74" s="36" t="s">
        <v>364</v>
      </c>
      <c r="I74" s="39" t="s">
        <v>365</v>
      </c>
      <c r="J74" s="36" t="s">
        <v>366</v>
      </c>
      <c r="K74" s="39" t="s">
        <v>421</v>
      </c>
      <c r="L74" s="36" t="s">
        <v>422</v>
      </c>
      <c r="M74" s="37" t="s">
        <v>423</v>
      </c>
      <c r="N74" s="36" t="s">
        <v>1</v>
      </c>
      <c r="O74" s="13" t="s">
        <v>79</v>
      </c>
      <c r="P74" s="49" t="s">
        <v>439</v>
      </c>
      <c r="Q74" s="50" t="s">
        <v>441</v>
      </c>
      <c r="R74" s="49" t="s">
        <v>440</v>
      </c>
      <c r="S74" s="50" t="s">
        <v>442</v>
      </c>
      <c r="T74" s="53" t="s">
        <v>191</v>
      </c>
      <c r="U74" s="54" t="s">
        <v>191</v>
      </c>
      <c r="V74" s="61" t="s">
        <v>622</v>
      </c>
      <c r="W74" s="62" t="s">
        <v>606</v>
      </c>
      <c r="X74" s="61" t="s">
        <v>622</v>
      </c>
      <c r="Y74" s="62" t="s">
        <v>610</v>
      </c>
      <c r="Z74" s="61" t="s">
        <v>622</v>
      </c>
      <c r="AA74" s="62" t="s">
        <v>613</v>
      </c>
      <c r="AB74" s="61" t="s">
        <v>622</v>
      </c>
      <c r="AC74" s="62" t="s">
        <v>616</v>
      </c>
      <c r="AD74" s="61" t="s">
        <v>622</v>
      </c>
      <c r="AE74" s="62" t="s">
        <v>619</v>
      </c>
    </row>
    <row r="75" spans="1:31" ht="6.6" customHeight="1" x14ac:dyDescent="0.2">
      <c r="A75" s="8">
        <v>75</v>
      </c>
      <c r="B75" s="14" t="s">
        <v>269</v>
      </c>
      <c r="C75" s="12" t="s">
        <v>504</v>
      </c>
      <c r="D75" s="61" t="s">
        <v>467</v>
      </c>
      <c r="E75" s="62" t="s">
        <v>371</v>
      </c>
      <c r="F75" s="36" t="s">
        <v>370</v>
      </c>
      <c r="G75" s="39" t="s">
        <v>372</v>
      </c>
      <c r="H75" s="36" t="s">
        <v>364</v>
      </c>
      <c r="I75" s="39" t="s">
        <v>365</v>
      </c>
      <c r="J75" s="36" t="s">
        <v>366</v>
      </c>
      <c r="K75" s="39" t="s">
        <v>421</v>
      </c>
      <c r="L75" s="36" t="s">
        <v>422</v>
      </c>
      <c r="M75" s="37" t="s">
        <v>423</v>
      </c>
      <c r="N75" s="36" t="s">
        <v>1</v>
      </c>
      <c r="O75" s="13" t="s">
        <v>80</v>
      </c>
      <c r="P75" s="49" t="s">
        <v>439</v>
      </c>
      <c r="Q75" s="50" t="s">
        <v>441</v>
      </c>
      <c r="R75" s="49" t="s">
        <v>440</v>
      </c>
      <c r="S75" s="50" t="s">
        <v>442</v>
      </c>
      <c r="T75" s="53" t="s">
        <v>191</v>
      </c>
      <c r="U75" s="54" t="s">
        <v>191</v>
      </c>
      <c r="V75" s="61" t="s">
        <v>622</v>
      </c>
      <c r="W75" s="62" t="s">
        <v>606</v>
      </c>
      <c r="X75" s="61" t="s">
        <v>622</v>
      </c>
      <c r="Y75" s="62" t="s">
        <v>610</v>
      </c>
      <c r="Z75" s="61" t="s">
        <v>622</v>
      </c>
      <c r="AA75" s="62" t="s">
        <v>613</v>
      </c>
      <c r="AB75" s="61" t="s">
        <v>622</v>
      </c>
      <c r="AC75" s="62" t="s">
        <v>616</v>
      </c>
      <c r="AD75" s="61" t="s">
        <v>622</v>
      </c>
      <c r="AE75" s="62" t="s">
        <v>619</v>
      </c>
    </row>
    <row r="76" spans="1:31" ht="6.6" customHeight="1" x14ac:dyDescent="0.2">
      <c r="A76" s="8">
        <v>76</v>
      </c>
      <c r="B76" s="14" t="s">
        <v>270</v>
      </c>
      <c r="C76" s="12" t="s">
        <v>504</v>
      </c>
      <c r="D76" s="61" t="s">
        <v>467</v>
      </c>
      <c r="E76" s="62" t="s">
        <v>371</v>
      </c>
      <c r="F76" s="36" t="s">
        <v>370</v>
      </c>
      <c r="G76" s="39" t="s">
        <v>372</v>
      </c>
      <c r="H76" s="36" t="s">
        <v>364</v>
      </c>
      <c r="I76" s="39" t="s">
        <v>365</v>
      </c>
      <c r="J76" s="36" t="s">
        <v>366</v>
      </c>
      <c r="K76" s="39" t="s">
        <v>421</v>
      </c>
      <c r="L76" s="36" t="s">
        <v>422</v>
      </c>
      <c r="M76" s="37" t="s">
        <v>423</v>
      </c>
      <c r="N76" s="36" t="s">
        <v>1</v>
      </c>
      <c r="O76" s="13" t="s">
        <v>81</v>
      </c>
      <c r="P76" s="49" t="s">
        <v>439</v>
      </c>
      <c r="Q76" s="50" t="s">
        <v>441</v>
      </c>
      <c r="R76" s="49" t="s">
        <v>440</v>
      </c>
      <c r="S76" s="50" t="s">
        <v>442</v>
      </c>
      <c r="T76" s="53" t="s">
        <v>191</v>
      </c>
      <c r="U76" s="54" t="s">
        <v>191</v>
      </c>
      <c r="V76" s="61" t="s">
        <v>622</v>
      </c>
      <c r="W76" s="62" t="s">
        <v>606</v>
      </c>
      <c r="X76" s="61" t="s">
        <v>622</v>
      </c>
      <c r="Y76" s="62" t="s">
        <v>610</v>
      </c>
      <c r="Z76" s="61" t="s">
        <v>622</v>
      </c>
      <c r="AA76" s="62" t="s">
        <v>613</v>
      </c>
      <c r="AB76" s="61" t="s">
        <v>622</v>
      </c>
      <c r="AC76" s="62" t="s">
        <v>616</v>
      </c>
      <c r="AD76" s="61" t="s">
        <v>622</v>
      </c>
      <c r="AE76" s="62" t="s">
        <v>619</v>
      </c>
    </row>
    <row r="77" spans="1:31" ht="6.6" customHeight="1" x14ac:dyDescent="0.2">
      <c r="A77" s="8">
        <v>77</v>
      </c>
      <c r="B77" s="14" t="s">
        <v>271</v>
      </c>
      <c r="C77" s="12" t="s">
        <v>504</v>
      </c>
      <c r="D77" s="61" t="s">
        <v>467</v>
      </c>
      <c r="E77" s="62" t="s">
        <v>371</v>
      </c>
      <c r="F77" s="36" t="s">
        <v>370</v>
      </c>
      <c r="G77" s="39" t="s">
        <v>372</v>
      </c>
      <c r="H77" s="36" t="s">
        <v>364</v>
      </c>
      <c r="I77" s="39" t="s">
        <v>365</v>
      </c>
      <c r="J77" s="36" t="s">
        <v>366</v>
      </c>
      <c r="K77" s="39" t="s">
        <v>421</v>
      </c>
      <c r="L77" s="36" t="s">
        <v>422</v>
      </c>
      <c r="M77" s="37" t="s">
        <v>423</v>
      </c>
      <c r="N77" s="36" t="s">
        <v>1</v>
      </c>
      <c r="O77" s="13" t="s">
        <v>82</v>
      </c>
      <c r="P77" s="49" t="s">
        <v>439</v>
      </c>
      <c r="Q77" s="50" t="s">
        <v>441</v>
      </c>
      <c r="R77" s="49" t="s">
        <v>440</v>
      </c>
      <c r="S77" s="50" t="s">
        <v>442</v>
      </c>
      <c r="T77" s="53" t="s">
        <v>191</v>
      </c>
      <c r="U77" s="54" t="s">
        <v>191</v>
      </c>
      <c r="V77" s="61" t="s">
        <v>622</v>
      </c>
      <c r="W77" s="62" t="s">
        <v>606</v>
      </c>
      <c r="X77" s="61" t="s">
        <v>622</v>
      </c>
      <c r="Y77" s="62" t="s">
        <v>610</v>
      </c>
      <c r="Z77" s="61" t="s">
        <v>622</v>
      </c>
      <c r="AA77" s="62" t="s">
        <v>613</v>
      </c>
      <c r="AB77" s="61" t="s">
        <v>622</v>
      </c>
      <c r="AC77" s="62" t="s">
        <v>616</v>
      </c>
      <c r="AD77" s="61" t="s">
        <v>622</v>
      </c>
      <c r="AE77" s="62" t="s">
        <v>619</v>
      </c>
    </row>
    <row r="78" spans="1:31" ht="6.6" customHeight="1" x14ac:dyDescent="0.2">
      <c r="A78" s="8">
        <v>78</v>
      </c>
      <c r="B78" s="14" t="s">
        <v>272</v>
      </c>
      <c r="C78" s="12" t="s">
        <v>504</v>
      </c>
      <c r="D78" s="61" t="s">
        <v>467</v>
      </c>
      <c r="E78" s="62" t="s">
        <v>371</v>
      </c>
      <c r="F78" s="36" t="s">
        <v>370</v>
      </c>
      <c r="G78" s="39" t="s">
        <v>372</v>
      </c>
      <c r="H78" s="36" t="s">
        <v>364</v>
      </c>
      <c r="I78" s="39" t="s">
        <v>365</v>
      </c>
      <c r="J78" s="36" t="s">
        <v>366</v>
      </c>
      <c r="K78" s="39" t="s">
        <v>421</v>
      </c>
      <c r="L78" s="36" t="s">
        <v>422</v>
      </c>
      <c r="M78" s="37" t="s">
        <v>423</v>
      </c>
      <c r="N78" s="36" t="s">
        <v>1</v>
      </c>
      <c r="O78" s="13" t="s">
        <v>83</v>
      </c>
      <c r="P78" s="49" t="s">
        <v>439</v>
      </c>
      <c r="Q78" s="50" t="s">
        <v>441</v>
      </c>
      <c r="R78" s="49" t="s">
        <v>440</v>
      </c>
      <c r="S78" s="50" t="s">
        <v>442</v>
      </c>
      <c r="T78" s="53" t="s">
        <v>191</v>
      </c>
      <c r="U78" s="54" t="s">
        <v>191</v>
      </c>
      <c r="V78" s="61" t="s">
        <v>622</v>
      </c>
      <c r="W78" s="62" t="s">
        <v>606</v>
      </c>
      <c r="X78" s="61" t="s">
        <v>622</v>
      </c>
      <c r="Y78" s="62" t="s">
        <v>610</v>
      </c>
      <c r="Z78" s="61" t="s">
        <v>622</v>
      </c>
      <c r="AA78" s="62" t="s">
        <v>613</v>
      </c>
      <c r="AB78" s="61" t="s">
        <v>622</v>
      </c>
      <c r="AC78" s="62" t="s">
        <v>616</v>
      </c>
      <c r="AD78" s="61" t="s">
        <v>622</v>
      </c>
      <c r="AE78" s="62" t="s">
        <v>619</v>
      </c>
    </row>
    <row r="79" spans="1:31" ht="6.6" customHeight="1" x14ac:dyDescent="0.2">
      <c r="A79" s="8">
        <v>79</v>
      </c>
      <c r="B79" s="9" t="s">
        <v>273</v>
      </c>
      <c r="C79" s="12" t="s">
        <v>505</v>
      </c>
      <c r="D79" s="61" t="s">
        <v>467</v>
      </c>
      <c r="E79" s="62" t="s">
        <v>371</v>
      </c>
      <c r="F79" s="36" t="s">
        <v>370</v>
      </c>
      <c r="G79" s="39" t="s">
        <v>372</v>
      </c>
      <c r="H79" s="36" t="s">
        <v>364</v>
      </c>
      <c r="I79" s="39" t="s">
        <v>365</v>
      </c>
      <c r="J79" s="36" t="s">
        <v>366</v>
      </c>
      <c r="K79" s="39" t="s">
        <v>421</v>
      </c>
      <c r="L79" s="36" t="s">
        <v>422</v>
      </c>
      <c r="M79" s="37" t="s">
        <v>464</v>
      </c>
      <c r="N79" s="36" t="s">
        <v>1</v>
      </c>
      <c r="O79" s="13" t="s">
        <v>84</v>
      </c>
      <c r="P79" s="49" t="s">
        <v>439</v>
      </c>
      <c r="Q79" s="50" t="s">
        <v>441</v>
      </c>
      <c r="R79" s="49" t="s">
        <v>440</v>
      </c>
      <c r="S79" s="50" t="s">
        <v>442</v>
      </c>
      <c r="T79" s="53" t="s">
        <v>191</v>
      </c>
      <c r="U79" s="54" t="s">
        <v>191</v>
      </c>
      <c r="V79" s="61" t="s">
        <v>622</v>
      </c>
      <c r="W79" s="62" t="s">
        <v>606</v>
      </c>
      <c r="X79" s="61" t="s">
        <v>622</v>
      </c>
      <c r="Y79" s="62" t="s">
        <v>610</v>
      </c>
      <c r="Z79" s="61" t="s">
        <v>622</v>
      </c>
      <c r="AA79" s="62" t="s">
        <v>613</v>
      </c>
      <c r="AB79" s="61" t="s">
        <v>622</v>
      </c>
      <c r="AC79" s="62" t="s">
        <v>616</v>
      </c>
      <c r="AD79" s="61" t="s">
        <v>622</v>
      </c>
      <c r="AE79" s="62" t="s">
        <v>619</v>
      </c>
    </row>
    <row r="80" spans="1:31" ht="6.6" customHeight="1" x14ac:dyDescent="0.2">
      <c r="A80" s="8">
        <v>80</v>
      </c>
      <c r="B80" s="14" t="s">
        <v>274</v>
      </c>
      <c r="C80" s="12" t="s">
        <v>505</v>
      </c>
      <c r="D80" s="61" t="s">
        <v>467</v>
      </c>
      <c r="E80" s="62" t="s">
        <v>371</v>
      </c>
      <c r="F80" s="36" t="s">
        <v>370</v>
      </c>
      <c r="G80" s="39" t="s">
        <v>372</v>
      </c>
      <c r="H80" s="36" t="s">
        <v>364</v>
      </c>
      <c r="I80" s="39" t="s">
        <v>365</v>
      </c>
      <c r="J80" s="36" t="s">
        <v>366</v>
      </c>
      <c r="K80" s="39" t="s">
        <v>421</v>
      </c>
      <c r="L80" s="36" t="s">
        <v>422</v>
      </c>
      <c r="M80" s="37" t="s">
        <v>464</v>
      </c>
      <c r="N80" s="36" t="s">
        <v>1</v>
      </c>
      <c r="O80" s="13" t="s">
        <v>85</v>
      </c>
      <c r="P80" s="49" t="s">
        <v>439</v>
      </c>
      <c r="Q80" s="50" t="s">
        <v>441</v>
      </c>
      <c r="R80" s="49" t="s">
        <v>440</v>
      </c>
      <c r="S80" s="50" t="s">
        <v>442</v>
      </c>
      <c r="T80" s="53" t="s">
        <v>191</v>
      </c>
      <c r="U80" s="54" t="s">
        <v>191</v>
      </c>
      <c r="V80" s="61" t="s">
        <v>622</v>
      </c>
      <c r="W80" s="62" t="s">
        <v>606</v>
      </c>
      <c r="X80" s="61" t="s">
        <v>622</v>
      </c>
      <c r="Y80" s="62" t="s">
        <v>610</v>
      </c>
      <c r="Z80" s="61" t="s">
        <v>622</v>
      </c>
      <c r="AA80" s="62" t="s">
        <v>613</v>
      </c>
      <c r="AB80" s="61" t="s">
        <v>622</v>
      </c>
      <c r="AC80" s="62" t="s">
        <v>616</v>
      </c>
      <c r="AD80" s="61" t="s">
        <v>622</v>
      </c>
      <c r="AE80" s="62" t="s">
        <v>619</v>
      </c>
    </row>
    <row r="81" spans="1:31" ht="6.6" customHeight="1" x14ac:dyDescent="0.2">
      <c r="A81" s="8">
        <v>81</v>
      </c>
      <c r="B81" s="15" t="s">
        <v>275</v>
      </c>
      <c r="C81" s="12" t="s">
        <v>505</v>
      </c>
      <c r="D81" s="61" t="s">
        <v>467</v>
      </c>
      <c r="E81" s="62" t="s">
        <v>371</v>
      </c>
      <c r="F81" s="36" t="s">
        <v>370</v>
      </c>
      <c r="G81" s="39" t="s">
        <v>372</v>
      </c>
      <c r="H81" s="36" t="s">
        <v>364</v>
      </c>
      <c r="I81" s="39" t="s">
        <v>365</v>
      </c>
      <c r="J81" s="36" t="s">
        <v>366</v>
      </c>
      <c r="K81" s="39" t="s">
        <v>421</v>
      </c>
      <c r="L81" s="36" t="s">
        <v>422</v>
      </c>
      <c r="M81" s="37" t="s">
        <v>464</v>
      </c>
      <c r="N81" s="36" t="s">
        <v>1</v>
      </c>
      <c r="O81" s="13" t="s">
        <v>86</v>
      </c>
      <c r="P81" s="49" t="s">
        <v>439</v>
      </c>
      <c r="Q81" s="50" t="s">
        <v>441</v>
      </c>
      <c r="R81" s="49" t="s">
        <v>440</v>
      </c>
      <c r="S81" s="50" t="s">
        <v>442</v>
      </c>
      <c r="T81" s="53" t="s">
        <v>191</v>
      </c>
      <c r="U81" s="54" t="s">
        <v>191</v>
      </c>
      <c r="V81" s="61" t="s">
        <v>622</v>
      </c>
      <c r="W81" s="62" t="s">
        <v>606</v>
      </c>
      <c r="X81" s="61" t="s">
        <v>622</v>
      </c>
      <c r="Y81" s="62" t="s">
        <v>610</v>
      </c>
      <c r="Z81" s="61" t="s">
        <v>622</v>
      </c>
      <c r="AA81" s="62" t="s">
        <v>613</v>
      </c>
      <c r="AB81" s="61" t="s">
        <v>622</v>
      </c>
      <c r="AC81" s="62" t="s">
        <v>616</v>
      </c>
      <c r="AD81" s="61" t="s">
        <v>622</v>
      </c>
      <c r="AE81" s="62" t="s">
        <v>619</v>
      </c>
    </row>
    <row r="82" spans="1:31" ht="6.6" customHeight="1" x14ac:dyDescent="0.2">
      <c r="A82" s="8">
        <v>82</v>
      </c>
      <c r="B82" s="14" t="s">
        <v>276</v>
      </c>
      <c r="C82" s="12" t="s">
        <v>505</v>
      </c>
      <c r="D82" s="61" t="s">
        <v>467</v>
      </c>
      <c r="E82" s="62" t="s">
        <v>371</v>
      </c>
      <c r="F82" s="36" t="s">
        <v>370</v>
      </c>
      <c r="G82" s="39" t="s">
        <v>372</v>
      </c>
      <c r="H82" s="36" t="s">
        <v>364</v>
      </c>
      <c r="I82" s="39" t="s">
        <v>365</v>
      </c>
      <c r="J82" s="36" t="s">
        <v>366</v>
      </c>
      <c r="K82" s="39" t="s">
        <v>421</v>
      </c>
      <c r="L82" s="36" t="s">
        <v>422</v>
      </c>
      <c r="M82" s="37" t="s">
        <v>464</v>
      </c>
      <c r="N82" s="36" t="s">
        <v>1</v>
      </c>
      <c r="O82" s="13" t="s">
        <v>87</v>
      </c>
      <c r="P82" s="49" t="s">
        <v>439</v>
      </c>
      <c r="Q82" s="50" t="s">
        <v>441</v>
      </c>
      <c r="R82" s="49" t="s">
        <v>440</v>
      </c>
      <c r="S82" s="50" t="s">
        <v>442</v>
      </c>
      <c r="T82" s="53" t="s">
        <v>191</v>
      </c>
      <c r="U82" s="54" t="s">
        <v>191</v>
      </c>
      <c r="V82" s="61" t="s">
        <v>622</v>
      </c>
      <c r="W82" s="62" t="s">
        <v>606</v>
      </c>
      <c r="X82" s="61" t="s">
        <v>622</v>
      </c>
      <c r="Y82" s="62" t="s">
        <v>610</v>
      </c>
      <c r="Z82" s="61" t="s">
        <v>622</v>
      </c>
      <c r="AA82" s="62" t="s">
        <v>613</v>
      </c>
      <c r="AB82" s="61" t="s">
        <v>622</v>
      </c>
      <c r="AC82" s="62" t="s">
        <v>616</v>
      </c>
      <c r="AD82" s="61" t="s">
        <v>622</v>
      </c>
      <c r="AE82" s="62" t="s">
        <v>619</v>
      </c>
    </row>
    <row r="83" spans="1:31" ht="6.6" customHeight="1" x14ac:dyDescent="0.2">
      <c r="A83" s="8">
        <v>83</v>
      </c>
      <c r="B83" s="14" t="s">
        <v>277</v>
      </c>
      <c r="C83" s="12" t="s">
        <v>505</v>
      </c>
      <c r="D83" s="61" t="s">
        <v>467</v>
      </c>
      <c r="E83" s="62" t="s">
        <v>371</v>
      </c>
      <c r="F83" s="36" t="s">
        <v>370</v>
      </c>
      <c r="G83" s="39" t="s">
        <v>372</v>
      </c>
      <c r="H83" s="36" t="s">
        <v>364</v>
      </c>
      <c r="I83" s="39" t="s">
        <v>365</v>
      </c>
      <c r="J83" s="36" t="s">
        <v>366</v>
      </c>
      <c r="K83" s="39" t="s">
        <v>421</v>
      </c>
      <c r="L83" s="36" t="s">
        <v>422</v>
      </c>
      <c r="M83" s="37" t="s">
        <v>464</v>
      </c>
      <c r="N83" s="36" t="s">
        <v>1</v>
      </c>
      <c r="O83" s="13" t="s">
        <v>88</v>
      </c>
      <c r="P83" s="49" t="s">
        <v>439</v>
      </c>
      <c r="Q83" s="50" t="s">
        <v>441</v>
      </c>
      <c r="R83" s="49" t="s">
        <v>440</v>
      </c>
      <c r="S83" s="50" t="s">
        <v>442</v>
      </c>
      <c r="T83" s="53" t="s">
        <v>191</v>
      </c>
      <c r="U83" s="54" t="s">
        <v>191</v>
      </c>
      <c r="V83" s="61" t="s">
        <v>622</v>
      </c>
      <c r="W83" s="62" t="s">
        <v>606</v>
      </c>
      <c r="X83" s="61" t="s">
        <v>622</v>
      </c>
      <c r="Y83" s="62" t="s">
        <v>610</v>
      </c>
      <c r="Z83" s="61" t="s">
        <v>622</v>
      </c>
      <c r="AA83" s="62" t="s">
        <v>613</v>
      </c>
      <c r="AB83" s="61" t="s">
        <v>622</v>
      </c>
      <c r="AC83" s="62" t="s">
        <v>616</v>
      </c>
      <c r="AD83" s="61" t="s">
        <v>622</v>
      </c>
      <c r="AE83" s="62" t="s">
        <v>619</v>
      </c>
    </row>
    <row r="84" spans="1:31" ht="6.6" customHeight="1" x14ac:dyDescent="0.2">
      <c r="A84" s="8">
        <v>84</v>
      </c>
      <c r="B84" s="14" t="s">
        <v>278</v>
      </c>
      <c r="C84" s="12" t="s">
        <v>505</v>
      </c>
      <c r="D84" s="61" t="s">
        <v>467</v>
      </c>
      <c r="E84" s="62" t="s">
        <v>371</v>
      </c>
      <c r="F84" s="36" t="s">
        <v>370</v>
      </c>
      <c r="G84" s="39" t="s">
        <v>372</v>
      </c>
      <c r="H84" s="36" t="s">
        <v>364</v>
      </c>
      <c r="I84" s="39" t="s">
        <v>365</v>
      </c>
      <c r="J84" s="36" t="s">
        <v>366</v>
      </c>
      <c r="K84" s="39" t="s">
        <v>421</v>
      </c>
      <c r="L84" s="36" t="s">
        <v>422</v>
      </c>
      <c r="M84" s="37" t="s">
        <v>464</v>
      </c>
      <c r="N84" s="36" t="s">
        <v>1</v>
      </c>
      <c r="O84" s="13" t="s">
        <v>89</v>
      </c>
      <c r="P84" s="49" t="s">
        <v>439</v>
      </c>
      <c r="Q84" s="50" t="s">
        <v>441</v>
      </c>
      <c r="R84" s="49" t="s">
        <v>440</v>
      </c>
      <c r="S84" s="50" t="s">
        <v>442</v>
      </c>
      <c r="T84" s="53" t="s">
        <v>191</v>
      </c>
      <c r="U84" s="54" t="s">
        <v>191</v>
      </c>
      <c r="V84" s="61" t="s">
        <v>622</v>
      </c>
      <c r="W84" s="62" t="s">
        <v>606</v>
      </c>
      <c r="X84" s="61" t="s">
        <v>622</v>
      </c>
      <c r="Y84" s="62" t="s">
        <v>610</v>
      </c>
      <c r="Z84" s="61" t="s">
        <v>622</v>
      </c>
      <c r="AA84" s="62" t="s">
        <v>613</v>
      </c>
      <c r="AB84" s="61" t="s">
        <v>622</v>
      </c>
      <c r="AC84" s="62" t="s">
        <v>616</v>
      </c>
      <c r="AD84" s="61" t="s">
        <v>622</v>
      </c>
      <c r="AE84" s="62" t="s">
        <v>619</v>
      </c>
    </row>
    <row r="85" spans="1:31" ht="6.6" customHeight="1" x14ac:dyDescent="0.2">
      <c r="A85" s="8">
        <v>85</v>
      </c>
      <c r="B85" s="14" t="s">
        <v>279</v>
      </c>
      <c r="C85" s="12" t="s">
        <v>505</v>
      </c>
      <c r="D85" s="61" t="s">
        <v>467</v>
      </c>
      <c r="E85" s="62" t="s">
        <v>371</v>
      </c>
      <c r="F85" s="36" t="s">
        <v>370</v>
      </c>
      <c r="G85" s="39" t="s">
        <v>372</v>
      </c>
      <c r="H85" s="36" t="s">
        <v>364</v>
      </c>
      <c r="I85" s="39" t="s">
        <v>365</v>
      </c>
      <c r="J85" s="36" t="s">
        <v>366</v>
      </c>
      <c r="K85" s="39" t="s">
        <v>421</v>
      </c>
      <c r="L85" s="36" t="s">
        <v>422</v>
      </c>
      <c r="M85" s="37" t="s">
        <v>464</v>
      </c>
      <c r="N85" s="36" t="s">
        <v>1</v>
      </c>
      <c r="O85" s="13" t="s">
        <v>90</v>
      </c>
      <c r="P85" s="49" t="s">
        <v>439</v>
      </c>
      <c r="Q85" s="50" t="s">
        <v>441</v>
      </c>
      <c r="R85" s="49" t="s">
        <v>440</v>
      </c>
      <c r="S85" s="50" t="s">
        <v>442</v>
      </c>
      <c r="T85" s="53" t="s">
        <v>191</v>
      </c>
      <c r="U85" s="54" t="s">
        <v>191</v>
      </c>
      <c r="V85" s="61" t="s">
        <v>622</v>
      </c>
      <c r="W85" s="62" t="s">
        <v>606</v>
      </c>
      <c r="X85" s="61" t="s">
        <v>622</v>
      </c>
      <c r="Y85" s="62" t="s">
        <v>610</v>
      </c>
      <c r="Z85" s="61" t="s">
        <v>622</v>
      </c>
      <c r="AA85" s="62" t="s">
        <v>613</v>
      </c>
      <c r="AB85" s="61" t="s">
        <v>622</v>
      </c>
      <c r="AC85" s="62" t="s">
        <v>616</v>
      </c>
      <c r="AD85" s="61" t="s">
        <v>622</v>
      </c>
      <c r="AE85" s="62" t="s">
        <v>619</v>
      </c>
    </row>
    <row r="86" spans="1:31" ht="6.6" customHeight="1" x14ac:dyDescent="0.2">
      <c r="A86" s="8">
        <v>86</v>
      </c>
      <c r="B86" s="14" t="s">
        <v>280</v>
      </c>
      <c r="C86" s="12" t="s">
        <v>505</v>
      </c>
      <c r="D86" s="61" t="s">
        <v>467</v>
      </c>
      <c r="E86" s="62" t="s">
        <v>371</v>
      </c>
      <c r="F86" s="36" t="s">
        <v>370</v>
      </c>
      <c r="G86" s="39" t="s">
        <v>372</v>
      </c>
      <c r="H86" s="36" t="s">
        <v>364</v>
      </c>
      <c r="I86" s="39" t="s">
        <v>365</v>
      </c>
      <c r="J86" s="36" t="s">
        <v>366</v>
      </c>
      <c r="K86" s="39" t="s">
        <v>421</v>
      </c>
      <c r="L86" s="36" t="s">
        <v>422</v>
      </c>
      <c r="M86" s="37" t="s">
        <v>464</v>
      </c>
      <c r="N86" s="36" t="s">
        <v>1</v>
      </c>
      <c r="O86" s="13" t="s">
        <v>91</v>
      </c>
      <c r="P86" s="49" t="s">
        <v>439</v>
      </c>
      <c r="Q86" s="50" t="s">
        <v>441</v>
      </c>
      <c r="R86" s="49" t="s">
        <v>440</v>
      </c>
      <c r="S86" s="50" t="s">
        <v>442</v>
      </c>
      <c r="T86" s="53" t="s">
        <v>191</v>
      </c>
      <c r="U86" s="54" t="s">
        <v>191</v>
      </c>
      <c r="V86" s="61" t="s">
        <v>622</v>
      </c>
      <c r="W86" s="62" t="s">
        <v>606</v>
      </c>
      <c r="X86" s="61" t="s">
        <v>622</v>
      </c>
      <c r="Y86" s="62" t="s">
        <v>610</v>
      </c>
      <c r="Z86" s="61" t="s">
        <v>622</v>
      </c>
      <c r="AA86" s="62" t="s">
        <v>613</v>
      </c>
      <c r="AB86" s="61" t="s">
        <v>622</v>
      </c>
      <c r="AC86" s="62" t="s">
        <v>616</v>
      </c>
      <c r="AD86" s="61" t="s">
        <v>622</v>
      </c>
      <c r="AE86" s="62" t="s">
        <v>619</v>
      </c>
    </row>
    <row r="87" spans="1:31" ht="6.6" customHeight="1" x14ac:dyDescent="0.2">
      <c r="A87" s="8">
        <v>87</v>
      </c>
      <c r="B87" s="14" t="s">
        <v>281</v>
      </c>
      <c r="C87" s="12" t="s">
        <v>505</v>
      </c>
      <c r="D87" s="61" t="s">
        <v>467</v>
      </c>
      <c r="E87" s="62" t="s">
        <v>371</v>
      </c>
      <c r="F87" s="36" t="s">
        <v>370</v>
      </c>
      <c r="G87" s="39" t="s">
        <v>372</v>
      </c>
      <c r="H87" s="36" t="s">
        <v>364</v>
      </c>
      <c r="I87" s="39" t="s">
        <v>365</v>
      </c>
      <c r="J87" s="36" t="s">
        <v>366</v>
      </c>
      <c r="K87" s="39" t="s">
        <v>421</v>
      </c>
      <c r="L87" s="36" t="s">
        <v>422</v>
      </c>
      <c r="M87" s="37" t="s">
        <v>464</v>
      </c>
      <c r="N87" s="36" t="s">
        <v>1</v>
      </c>
      <c r="O87" s="13" t="s">
        <v>92</v>
      </c>
      <c r="P87" s="49" t="s">
        <v>439</v>
      </c>
      <c r="Q87" s="50" t="s">
        <v>441</v>
      </c>
      <c r="R87" s="49" t="s">
        <v>440</v>
      </c>
      <c r="S87" s="50" t="s">
        <v>442</v>
      </c>
      <c r="T87" s="53" t="s">
        <v>191</v>
      </c>
      <c r="U87" s="54" t="s">
        <v>191</v>
      </c>
      <c r="V87" s="61" t="s">
        <v>622</v>
      </c>
      <c r="W87" s="62" t="s">
        <v>606</v>
      </c>
      <c r="X87" s="61" t="s">
        <v>622</v>
      </c>
      <c r="Y87" s="62" t="s">
        <v>610</v>
      </c>
      <c r="Z87" s="61" t="s">
        <v>622</v>
      </c>
      <c r="AA87" s="62" t="s">
        <v>613</v>
      </c>
      <c r="AB87" s="61" t="s">
        <v>622</v>
      </c>
      <c r="AC87" s="62" t="s">
        <v>616</v>
      </c>
      <c r="AD87" s="61" t="s">
        <v>622</v>
      </c>
      <c r="AE87" s="62" t="s">
        <v>619</v>
      </c>
    </row>
    <row r="88" spans="1:31" ht="6.6" customHeight="1" x14ac:dyDescent="0.2">
      <c r="A88" s="8">
        <v>88</v>
      </c>
      <c r="B88" s="14" t="s">
        <v>282</v>
      </c>
      <c r="C88" s="12" t="s">
        <v>505</v>
      </c>
      <c r="D88" s="61" t="s">
        <v>467</v>
      </c>
      <c r="E88" s="62" t="s">
        <v>371</v>
      </c>
      <c r="F88" s="36" t="s">
        <v>370</v>
      </c>
      <c r="G88" s="39" t="s">
        <v>372</v>
      </c>
      <c r="H88" s="36" t="s">
        <v>364</v>
      </c>
      <c r="I88" s="39" t="s">
        <v>365</v>
      </c>
      <c r="J88" s="36" t="s">
        <v>366</v>
      </c>
      <c r="K88" s="39" t="s">
        <v>421</v>
      </c>
      <c r="L88" s="36" t="s">
        <v>422</v>
      </c>
      <c r="M88" s="37" t="s">
        <v>464</v>
      </c>
      <c r="N88" s="36" t="s">
        <v>1</v>
      </c>
      <c r="O88" s="13" t="s">
        <v>93</v>
      </c>
      <c r="P88" s="49" t="s">
        <v>439</v>
      </c>
      <c r="Q88" s="50" t="s">
        <v>441</v>
      </c>
      <c r="R88" s="49" t="s">
        <v>440</v>
      </c>
      <c r="S88" s="50" t="s">
        <v>442</v>
      </c>
      <c r="T88" s="53" t="s">
        <v>191</v>
      </c>
      <c r="U88" s="54" t="s">
        <v>191</v>
      </c>
      <c r="V88" s="61" t="s">
        <v>622</v>
      </c>
      <c r="W88" s="62" t="s">
        <v>606</v>
      </c>
      <c r="X88" s="61" t="s">
        <v>622</v>
      </c>
      <c r="Y88" s="62" t="s">
        <v>610</v>
      </c>
      <c r="Z88" s="61" t="s">
        <v>622</v>
      </c>
      <c r="AA88" s="62" t="s">
        <v>613</v>
      </c>
      <c r="AB88" s="61" t="s">
        <v>622</v>
      </c>
      <c r="AC88" s="62" t="s">
        <v>616</v>
      </c>
      <c r="AD88" s="61" t="s">
        <v>622</v>
      </c>
      <c r="AE88" s="62" t="s">
        <v>619</v>
      </c>
    </row>
    <row r="89" spans="1:31" ht="6.6" customHeight="1" x14ac:dyDescent="0.2">
      <c r="A89" s="8">
        <v>89</v>
      </c>
      <c r="B89" s="14" t="s">
        <v>283</v>
      </c>
      <c r="C89" s="12" t="s">
        <v>505</v>
      </c>
      <c r="D89" s="61" t="s">
        <v>467</v>
      </c>
      <c r="E89" s="62" t="s">
        <v>371</v>
      </c>
      <c r="F89" s="36" t="s">
        <v>370</v>
      </c>
      <c r="G89" s="39" t="s">
        <v>372</v>
      </c>
      <c r="H89" s="36" t="s">
        <v>364</v>
      </c>
      <c r="I89" s="39" t="s">
        <v>365</v>
      </c>
      <c r="J89" s="36" t="s">
        <v>366</v>
      </c>
      <c r="K89" s="39" t="s">
        <v>421</v>
      </c>
      <c r="L89" s="36" t="s">
        <v>422</v>
      </c>
      <c r="M89" s="37" t="s">
        <v>464</v>
      </c>
      <c r="N89" s="36" t="s">
        <v>1</v>
      </c>
      <c r="O89" s="13" t="s">
        <v>94</v>
      </c>
      <c r="P89" s="49" t="s">
        <v>439</v>
      </c>
      <c r="Q89" s="50" t="s">
        <v>441</v>
      </c>
      <c r="R89" s="49" t="s">
        <v>440</v>
      </c>
      <c r="S89" s="50" t="s">
        <v>442</v>
      </c>
      <c r="T89" s="53" t="s">
        <v>191</v>
      </c>
      <c r="U89" s="54" t="s">
        <v>191</v>
      </c>
      <c r="V89" s="61" t="s">
        <v>622</v>
      </c>
      <c r="W89" s="62" t="s">
        <v>606</v>
      </c>
      <c r="X89" s="61" t="s">
        <v>622</v>
      </c>
      <c r="Y89" s="62" t="s">
        <v>610</v>
      </c>
      <c r="Z89" s="61" t="s">
        <v>622</v>
      </c>
      <c r="AA89" s="62" t="s">
        <v>613</v>
      </c>
      <c r="AB89" s="61" t="s">
        <v>622</v>
      </c>
      <c r="AC89" s="62" t="s">
        <v>616</v>
      </c>
      <c r="AD89" s="61" t="s">
        <v>622</v>
      </c>
      <c r="AE89" s="62" t="s">
        <v>619</v>
      </c>
    </row>
    <row r="90" spans="1:31" ht="6.6" customHeight="1" x14ac:dyDescent="0.2">
      <c r="A90" s="8">
        <v>90</v>
      </c>
      <c r="B90" s="14" t="s">
        <v>284</v>
      </c>
      <c r="C90" s="12" t="s">
        <v>505</v>
      </c>
      <c r="D90" s="61" t="s">
        <v>467</v>
      </c>
      <c r="E90" s="62" t="s">
        <v>371</v>
      </c>
      <c r="F90" s="36" t="s">
        <v>370</v>
      </c>
      <c r="G90" s="39" t="s">
        <v>372</v>
      </c>
      <c r="H90" s="36" t="s">
        <v>364</v>
      </c>
      <c r="I90" s="39" t="s">
        <v>365</v>
      </c>
      <c r="J90" s="36" t="s">
        <v>366</v>
      </c>
      <c r="K90" s="39" t="s">
        <v>421</v>
      </c>
      <c r="L90" s="36" t="s">
        <v>422</v>
      </c>
      <c r="M90" s="37" t="s">
        <v>464</v>
      </c>
      <c r="N90" s="36" t="s">
        <v>1</v>
      </c>
      <c r="O90" s="13" t="s">
        <v>95</v>
      </c>
      <c r="P90" s="49" t="s">
        <v>439</v>
      </c>
      <c r="Q90" s="50" t="s">
        <v>441</v>
      </c>
      <c r="R90" s="49" t="s">
        <v>440</v>
      </c>
      <c r="S90" s="50" t="s">
        <v>442</v>
      </c>
      <c r="T90" s="53" t="s">
        <v>191</v>
      </c>
      <c r="U90" s="54" t="s">
        <v>191</v>
      </c>
      <c r="V90" s="61" t="s">
        <v>622</v>
      </c>
      <c r="W90" s="62" t="s">
        <v>606</v>
      </c>
      <c r="X90" s="61" t="s">
        <v>622</v>
      </c>
      <c r="Y90" s="62" t="s">
        <v>610</v>
      </c>
      <c r="Z90" s="61" t="s">
        <v>622</v>
      </c>
      <c r="AA90" s="62" t="s">
        <v>613</v>
      </c>
      <c r="AB90" s="61" t="s">
        <v>622</v>
      </c>
      <c r="AC90" s="62" t="s">
        <v>616</v>
      </c>
      <c r="AD90" s="61" t="s">
        <v>622</v>
      </c>
      <c r="AE90" s="62" t="s">
        <v>619</v>
      </c>
    </row>
    <row r="91" spans="1:31" ht="6.6" customHeight="1" x14ac:dyDescent="0.2">
      <c r="A91" s="8">
        <v>91</v>
      </c>
      <c r="B91" s="14" t="s">
        <v>285</v>
      </c>
      <c r="C91" s="12" t="s">
        <v>505</v>
      </c>
      <c r="D91" s="61" t="s">
        <v>467</v>
      </c>
      <c r="E91" s="62" t="s">
        <v>371</v>
      </c>
      <c r="F91" s="36" t="s">
        <v>370</v>
      </c>
      <c r="G91" s="39" t="s">
        <v>372</v>
      </c>
      <c r="H91" s="36" t="s">
        <v>364</v>
      </c>
      <c r="I91" s="39" t="s">
        <v>365</v>
      </c>
      <c r="J91" s="36" t="s">
        <v>366</v>
      </c>
      <c r="K91" s="39" t="s">
        <v>421</v>
      </c>
      <c r="L91" s="36" t="s">
        <v>422</v>
      </c>
      <c r="M91" s="37" t="s">
        <v>464</v>
      </c>
      <c r="N91" s="36" t="s">
        <v>1</v>
      </c>
      <c r="O91" s="13" t="s">
        <v>96</v>
      </c>
      <c r="P91" s="49" t="s">
        <v>439</v>
      </c>
      <c r="Q91" s="50" t="s">
        <v>441</v>
      </c>
      <c r="R91" s="49" t="s">
        <v>440</v>
      </c>
      <c r="S91" s="50" t="s">
        <v>442</v>
      </c>
      <c r="T91" s="53" t="s">
        <v>191</v>
      </c>
      <c r="U91" s="54" t="s">
        <v>191</v>
      </c>
      <c r="V91" s="61" t="s">
        <v>622</v>
      </c>
      <c r="W91" s="62" t="s">
        <v>606</v>
      </c>
      <c r="X91" s="61" t="s">
        <v>622</v>
      </c>
      <c r="Y91" s="62" t="s">
        <v>610</v>
      </c>
      <c r="Z91" s="61" t="s">
        <v>622</v>
      </c>
      <c r="AA91" s="62" t="s">
        <v>613</v>
      </c>
      <c r="AB91" s="61" t="s">
        <v>622</v>
      </c>
      <c r="AC91" s="62" t="s">
        <v>616</v>
      </c>
      <c r="AD91" s="61" t="s">
        <v>622</v>
      </c>
      <c r="AE91" s="62" t="s">
        <v>619</v>
      </c>
    </row>
    <row r="92" spans="1:31" ht="6.6" customHeight="1" x14ac:dyDescent="0.2">
      <c r="A92" s="8">
        <v>92</v>
      </c>
      <c r="B92" s="14" t="s">
        <v>286</v>
      </c>
      <c r="C92" s="12" t="s">
        <v>505</v>
      </c>
      <c r="D92" s="61" t="s">
        <v>467</v>
      </c>
      <c r="E92" s="62" t="s">
        <v>371</v>
      </c>
      <c r="F92" s="36" t="s">
        <v>370</v>
      </c>
      <c r="G92" s="39" t="s">
        <v>372</v>
      </c>
      <c r="H92" s="36" t="s">
        <v>364</v>
      </c>
      <c r="I92" s="39" t="s">
        <v>365</v>
      </c>
      <c r="J92" s="36" t="s">
        <v>366</v>
      </c>
      <c r="K92" s="39" t="s">
        <v>421</v>
      </c>
      <c r="L92" s="36" t="s">
        <v>422</v>
      </c>
      <c r="M92" s="37" t="s">
        <v>464</v>
      </c>
      <c r="N92" s="36" t="s">
        <v>1</v>
      </c>
      <c r="O92" s="13" t="s">
        <v>97</v>
      </c>
      <c r="P92" s="49" t="s">
        <v>439</v>
      </c>
      <c r="Q92" s="50" t="s">
        <v>441</v>
      </c>
      <c r="R92" s="49" t="s">
        <v>440</v>
      </c>
      <c r="S92" s="50" t="s">
        <v>442</v>
      </c>
      <c r="T92" s="53" t="s">
        <v>191</v>
      </c>
      <c r="U92" s="54" t="s">
        <v>191</v>
      </c>
      <c r="V92" s="61" t="s">
        <v>622</v>
      </c>
      <c r="W92" s="62" t="s">
        <v>606</v>
      </c>
      <c r="X92" s="61" t="s">
        <v>622</v>
      </c>
      <c r="Y92" s="62" t="s">
        <v>610</v>
      </c>
      <c r="Z92" s="61" t="s">
        <v>622</v>
      </c>
      <c r="AA92" s="62" t="s">
        <v>613</v>
      </c>
      <c r="AB92" s="61" t="s">
        <v>622</v>
      </c>
      <c r="AC92" s="62" t="s">
        <v>616</v>
      </c>
      <c r="AD92" s="61" t="s">
        <v>622</v>
      </c>
      <c r="AE92" s="62" t="s">
        <v>619</v>
      </c>
    </row>
    <row r="93" spans="1:31" ht="6.6" customHeight="1" x14ac:dyDescent="0.2">
      <c r="A93" s="8">
        <v>93</v>
      </c>
      <c r="B93" s="14" t="s">
        <v>287</v>
      </c>
      <c r="C93" s="12" t="s">
        <v>505</v>
      </c>
      <c r="D93" s="61" t="s">
        <v>467</v>
      </c>
      <c r="E93" s="62" t="s">
        <v>371</v>
      </c>
      <c r="F93" s="36" t="s">
        <v>370</v>
      </c>
      <c r="G93" s="39" t="s">
        <v>372</v>
      </c>
      <c r="H93" s="36" t="s">
        <v>364</v>
      </c>
      <c r="I93" s="39" t="s">
        <v>365</v>
      </c>
      <c r="J93" s="36" t="s">
        <v>366</v>
      </c>
      <c r="K93" s="39" t="s">
        <v>421</v>
      </c>
      <c r="L93" s="36" t="s">
        <v>422</v>
      </c>
      <c r="M93" s="37" t="s">
        <v>464</v>
      </c>
      <c r="N93" s="36" t="s">
        <v>1</v>
      </c>
      <c r="O93" s="13" t="s">
        <v>98</v>
      </c>
      <c r="P93" s="49" t="s">
        <v>439</v>
      </c>
      <c r="Q93" s="50" t="s">
        <v>441</v>
      </c>
      <c r="R93" s="49" t="s">
        <v>440</v>
      </c>
      <c r="S93" s="50" t="s">
        <v>442</v>
      </c>
      <c r="T93" s="53" t="s">
        <v>191</v>
      </c>
      <c r="U93" s="54" t="s">
        <v>191</v>
      </c>
      <c r="V93" s="61" t="s">
        <v>622</v>
      </c>
      <c r="W93" s="62" t="s">
        <v>606</v>
      </c>
      <c r="X93" s="61" t="s">
        <v>622</v>
      </c>
      <c r="Y93" s="62" t="s">
        <v>610</v>
      </c>
      <c r="Z93" s="61" t="s">
        <v>622</v>
      </c>
      <c r="AA93" s="62" t="s">
        <v>613</v>
      </c>
      <c r="AB93" s="61" t="s">
        <v>622</v>
      </c>
      <c r="AC93" s="62" t="s">
        <v>616</v>
      </c>
      <c r="AD93" s="61" t="s">
        <v>622</v>
      </c>
      <c r="AE93" s="62" t="s">
        <v>619</v>
      </c>
    </row>
    <row r="94" spans="1:31" ht="6.6" customHeight="1" x14ac:dyDescent="0.2">
      <c r="A94" s="8">
        <v>94</v>
      </c>
      <c r="B94" s="14" t="s">
        <v>288</v>
      </c>
      <c r="C94" s="12" t="s">
        <v>505</v>
      </c>
      <c r="D94" s="61" t="s">
        <v>467</v>
      </c>
      <c r="E94" s="62" t="s">
        <v>371</v>
      </c>
      <c r="F94" s="36" t="s">
        <v>370</v>
      </c>
      <c r="G94" s="39" t="s">
        <v>372</v>
      </c>
      <c r="H94" s="36" t="s">
        <v>364</v>
      </c>
      <c r="I94" s="39" t="s">
        <v>365</v>
      </c>
      <c r="J94" s="36" t="s">
        <v>366</v>
      </c>
      <c r="K94" s="39" t="s">
        <v>421</v>
      </c>
      <c r="L94" s="36" t="s">
        <v>422</v>
      </c>
      <c r="M94" s="37" t="s">
        <v>464</v>
      </c>
      <c r="N94" s="36" t="s">
        <v>1</v>
      </c>
      <c r="O94" s="13" t="s">
        <v>99</v>
      </c>
      <c r="P94" s="49" t="s">
        <v>439</v>
      </c>
      <c r="Q94" s="50" t="s">
        <v>441</v>
      </c>
      <c r="R94" s="49" t="s">
        <v>440</v>
      </c>
      <c r="S94" s="50" t="s">
        <v>442</v>
      </c>
      <c r="T94" s="53" t="s">
        <v>191</v>
      </c>
      <c r="U94" s="54" t="s">
        <v>191</v>
      </c>
      <c r="V94" s="61" t="s">
        <v>622</v>
      </c>
      <c r="W94" s="62" t="s">
        <v>606</v>
      </c>
      <c r="X94" s="61" t="s">
        <v>622</v>
      </c>
      <c r="Y94" s="62" t="s">
        <v>610</v>
      </c>
      <c r="Z94" s="61" t="s">
        <v>622</v>
      </c>
      <c r="AA94" s="62" t="s">
        <v>613</v>
      </c>
      <c r="AB94" s="61" t="s">
        <v>622</v>
      </c>
      <c r="AC94" s="62" t="s">
        <v>616</v>
      </c>
      <c r="AD94" s="61" t="s">
        <v>622</v>
      </c>
      <c r="AE94" s="62" t="s">
        <v>619</v>
      </c>
    </row>
    <row r="95" spans="1:31" ht="6.6" customHeight="1" x14ac:dyDescent="0.2">
      <c r="A95" s="8">
        <v>95</v>
      </c>
      <c r="B95" s="14" t="s">
        <v>289</v>
      </c>
      <c r="C95" s="12" t="s">
        <v>505</v>
      </c>
      <c r="D95" s="61" t="s">
        <v>467</v>
      </c>
      <c r="E95" s="62" t="s">
        <v>371</v>
      </c>
      <c r="F95" s="36" t="s">
        <v>370</v>
      </c>
      <c r="G95" s="39" t="s">
        <v>372</v>
      </c>
      <c r="H95" s="36" t="s">
        <v>364</v>
      </c>
      <c r="I95" s="39" t="s">
        <v>365</v>
      </c>
      <c r="J95" s="36" t="s">
        <v>366</v>
      </c>
      <c r="K95" s="39" t="s">
        <v>421</v>
      </c>
      <c r="L95" s="36" t="s">
        <v>422</v>
      </c>
      <c r="M95" s="37" t="s">
        <v>464</v>
      </c>
      <c r="N95" s="36" t="s">
        <v>1</v>
      </c>
      <c r="O95" s="13" t="s">
        <v>100</v>
      </c>
      <c r="P95" s="49" t="s">
        <v>439</v>
      </c>
      <c r="Q95" s="50" t="s">
        <v>441</v>
      </c>
      <c r="R95" s="49" t="s">
        <v>440</v>
      </c>
      <c r="S95" s="50" t="s">
        <v>442</v>
      </c>
      <c r="T95" s="53" t="s">
        <v>191</v>
      </c>
      <c r="U95" s="54" t="s">
        <v>191</v>
      </c>
      <c r="V95" s="61" t="s">
        <v>622</v>
      </c>
      <c r="W95" s="62" t="s">
        <v>606</v>
      </c>
      <c r="X95" s="61" t="s">
        <v>622</v>
      </c>
      <c r="Y95" s="62" t="s">
        <v>610</v>
      </c>
      <c r="Z95" s="61" t="s">
        <v>622</v>
      </c>
      <c r="AA95" s="62" t="s">
        <v>613</v>
      </c>
      <c r="AB95" s="61" t="s">
        <v>622</v>
      </c>
      <c r="AC95" s="62" t="s">
        <v>616</v>
      </c>
      <c r="AD95" s="61" t="s">
        <v>622</v>
      </c>
      <c r="AE95" s="62" t="s">
        <v>619</v>
      </c>
    </row>
    <row r="96" spans="1:31" ht="6.6" customHeight="1" x14ac:dyDescent="0.2">
      <c r="A96" s="8">
        <v>96</v>
      </c>
      <c r="B96" s="9" t="s">
        <v>290</v>
      </c>
      <c r="C96" s="12" t="s">
        <v>484</v>
      </c>
      <c r="D96" s="61" t="s">
        <v>467</v>
      </c>
      <c r="E96" s="62" t="s">
        <v>371</v>
      </c>
      <c r="F96" s="36" t="s">
        <v>370</v>
      </c>
      <c r="G96" s="39" t="s">
        <v>372</v>
      </c>
      <c r="H96" s="36" t="s">
        <v>364</v>
      </c>
      <c r="I96" s="39" t="s">
        <v>365</v>
      </c>
      <c r="J96" s="36" t="s">
        <v>366</v>
      </c>
      <c r="K96" s="39" t="s">
        <v>421</v>
      </c>
      <c r="L96" s="36" t="s">
        <v>422</v>
      </c>
      <c r="M96" s="37" t="s">
        <v>461</v>
      </c>
      <c r="N96" s="36" t="s">
        <v>1</v>
      </c>
      <c r="O96" s="13" t="s">
        <v>101</v>
      </c>
      <c r="P96" s="49" t="s">
        <v>439</v>
      </c>
      <c r="Q96" s="50" t="s">
        <v>441</v>
      </c>
      <c r="R96" s="49" t="s">
        <v>440</v>
      </c>
      <c r="S96" s="50" t="s">
        <v>442</v>
      </c>
      <c r="T96" s="53" t="s">
        <v>191</v>
      </c>
      <c r="U96" s="54" t="s">
        <v>191</v>
      </c>
      <c r="V96" s="61" t="s">
        <v>622</v>
      </c>
      <c r="W96" s="62" t="s">
        <v>606</v>
      </c>
      <c r="X96" s="61" t="s">
        <v>622</v>
      </c>
      <c r="Y96" s="62" t="s">
        <v>610</v>
      </c>
      <c r="Z96" s="61" t="s">
        <v>622</v>
      </c>
      <c r="AA96" s="62" t="s">
        <v>613</v>
      </c>
      <c r="AB96" s="61" t="s">
        <v>622</v>
      </c>
      <c r="AC96" s="62" t="s">
        <v>616</v>
      </c>
      <c r="AD96" s="61" t="s">
        <v>622</v>
      </c>
      <c r="AE96" s="62" t="s">
        <v>619</v>
      </c>
    </row>
    <row r="97" spans="1:31" ht="6.6" customHeight="1" x14ac:dyDescent="0.2">
      <c r="A97" s="8">
        <v>97</v>
      </c>
      <c r="B97" s="14" t="s">
        <v>291</v>
      </c>
      <c r="C97" s="12" t="s">
        <v>484</v>
      </c>
      <c r="D97" s="61" t="s">
        <v>467</v>
      </c>
      <c r="E97" s="62" t="s">
        <v>371</v>
      </c>
      <c r="F97" s="36" t="s">
        <v>370</v>
      </c>
      <c r="G97" s="39" t="s">
        <v>372</v>
      </c>
      <c r="H97" s="36" t="s">
        <v>364</v>
      </c>
      <c r="I97" s="39" t="s">
        <v>365</v>
      </c>
      <c r="J97" s="36" t="s">
        <v>366</v>
      </c>
      <c r="K97" s="39" t="s">
        <v>421</v>
      </c>
      <c r="L97" s="36" t="s">
        <v>422</v>
      </c>
      <c r="M97" s="37" t="s">
        <v>461</v>
      </c>
      <c r="N97" s="36" t="s">
        <v>1</v>
      </c>
      <c r="O97" s="13" t="s">
        <v>102</v>
      </c>
      <c r="P97" s="49" t="s">
        <v>439</v>
      </c>
      <c r="Q97" s="50" t="s">
        <v>441</v>
      </c>
      <c r="R97" s="49" t="s">
        <v>440</v>
      </c>
      <c r="S97" s="50" t="s">
        <v>442</v>
      </c>
      <c r="T97" s="53" t="s">
        <v>191</v>
      </c>
      <c r="U97" s="54" t="s">
        <v>191</v>
      </c>
      <c r="V97" s="61" t="s">
        <v>622</v>
      </c>
      <c r="W97" s="62" t="s">
        <v>606</v>
      </c>
      <c r="X97" s="61" t="s">
        <v>622</v>
      </c>
      <c r="Y97" s="62" t="s">
        <v>610</v>
      </c>
      <c r="Z97" s="61" t="s">
        <v>622</v>
      </c>
      <c r="AA97" s="62" t="s">
        <v>613</v>
      </c>
      <c r="AB97" s="61" t="s">
        <v>622</v>
      </c>
      <c r="AC97" s="62" t="s">
        <v>616</v>
      </c>
      <c r="AD97" s="61" t="s">
        <v>622</v>
      </c>
      <c r="AE97" s="62" t="s">
        <v>619</v>
      </c>
    </row>
    <row r="98" spans="1:31" ht="6.6" customHeight="1" x14ac:dyDescent="0.2">
      <c r="A98" s="8">
        <v>98</v>
      </c>
      <c r="B98" s="14" t="s">
        <v>292</v>
      </c>
      <c r="C98" s="12" t="s">
        <v>484</v>
      </c>
      <c r="D98" s="61" t="s">
        <v>467</v>
      </c>
      <c r="E98" s="62" t="s">
        <v>371</v>
      </c>
      <c r="F98" s="36" t="s">
        <v>370</v>
      </c>
      <c r="G98" s="39" t="s">
        <v>372</v>
      </c>
      <c r="H98" s="36" t="s">
        <v>364</v>
      </c>
      <c r="I98" s="39" t="s">
        <v>365</v>
      </c>
      <c r="J98" s="36" t="s">
        <v>366</v>
      </c>
      <c r="K98" s="39" t="s">
        <v>421</v>
      </c>
      <c r="L98" s="36" t="s">
        <v>422</v>
      </c>
      <c r="M98" s="37" t="s">
        <v>461</v>
      </c>
      <c r="N98" s="36" t="s">
        <v>1</v>
      </c>
      <c r="O98" s="13" t="s">
        <v>103</v>
      </c>
      <c r="P98" s="49" t="s">
        <v>439</v>
      </c>
      <c r="Q98" s="50" t="s">
        <v>441</v>
      </c>
      <c r="R98" s="49" t="s">
        <v>440</v>
      </c>
      <c r="S98" s="50" t="s">
        <v>442</v>
      </c>
      <c r="T98" s="53" t="s">
        <v>191</v>
      </c>
      <c r="U98" s="54" t="s">
        <v>191</v>
      </c>
      <c r="V98" s="61" t="s">
        <v>622</v>
      </c>
      <c r="W98" s="62" t="s">
        <v>606</v>
      </c>
      <c r="X98" s="61" t="s">
        <v>622</v>
      </c>
      <c r="Y98" s="62" t="s">
        <v>610</v>
      </c>
      <c r="Z98" s="61" t="s">
        <v>622</v>
      </c>
      <c r="AA98" s="62" t="s">
        <v>613</v>
      </c>
      <c r="AB98" s="61" t="s">
        <v>622</v>
      </c>
      <c r="AC98" s="62" t="s">
        <v>616</v>
      </c>
      <c r="AD98" s="61" t="s">
        <v>622</v>
      </c>
      <c r="AE98" s="62" t="s">
        <v>619</v>
      </c>
    </row>
    <row r="99" spans="1:31" ht="6.6" customHeight="1" x14ac:dyDescent="0.2">
      <c r="A99" s="8">
        <v>99</v>
      </c>
      <c r="B99" s="14" t="s">
        <v>293</v>
      </c>
      <c r="C99" s="12" t="s">
        <v>484</v>
      </c>
      <c r="D99" s="61" t="s">
        <v>467</v>
      </c>
      <c r="E99" s="62" t="s">
        <v>371</v>
      </c>
      <c r="F99" s="36" t="s">
        <v>370</v>
      </c>
      <c r="G99" s="39" t="s">
        <v>372</v>
      </c>
      <c r="H99" s="36" t="s">
        <v>364</v>
      </c>
      <c r="I99" s="39" t="s">
        <v>365</v>
      </c>
      <c r="J99" s="36" t="s">
        <v>366</v>
      </c>
      <c r="K99" s="39" t="s">
        <v>421</v>
      </c>
      <c r="L99" s="36" t="s">
        <v>422</v>
      </c>
      <c r="M99" s="37" t="s">
        <v>461</v>
      </c>
      <c r="N99" s="36" t="s">
        <v>1</v>
      </c>
      <c r="O99" s="13" t="s">
        <v>104</v>
      </c>
      <c r="P99" s="49" t="s">
        <v>439</v>
      </c>
      <c r="Q99" s="50" t="s">
        <v>441</v>
      </c>
      <c r="R99" s="49" t="s">
        <v>440</v>
      </c>
      <c r="S99" s="50" t="s">
        <v>442</v>
      </c>
      <c r="T99" s="53" t="s">
        <v>191</v>
      </c>
      <c r="U99" s="54" t="s">
        <v>191</v>
      </c>
      <c r="V99" s="61" t="s">
        <v>622</v>
      </c>
      <c r="W99" s="62" t="s">
        <v>606</v>
      </c>
      <c r="X99" s="61" t="s">
        <v>622</v>
      </c>
      <c r="Y99" s="62" t="s">
        <v>610</v>
      </c>
      <c r="Z99" s="61" t="s">
        <v>622</v>
      </c>
      <c r="AA99" s="62" t="s">
        <v>613</v>
      </c>
      <c r="AB99" s="61" t="s">
        <v>622</v>
      </c>
      <c r="AC99" s="62" t="s">
        <v>616</v>
      </c>
      <c r="AD99" s="61" t="s">
        <v>622</v>
      </c>
      <c r="AE99" s="62" t="s">
        <v>619</v>
      </c>
    </row>
    <row r="100" spans="1:31" ht="6.6" customHeight="1" x14ac:dyDescent="0.2">
      <c r="A100" s="8">
        <v>100</v>
      </c>
      <c r="B100" s="14" t="s">
        <v>294</v>
      </c>
      <c r="C100" s="12" t="s">
        <v>484</v>
      </c>
      <c r="D100" s="61" t="s">
        <v>467</v>
      </c>
      <c r="E100" s="62" t="s">
        <v>371</v>
      </c>
      <c r="F100" s="36" t="s">
        <v>370</v>
      </c>
      <c r="G100" s="39" t="s">
        <v>372</v>
      </c>
      <c r="H100" s="36" t="s">
        <v>364</v>
      </c>
      <c r="I100" s="39" t="s">
        <v>365</v>
      </c>
      <c r="J100" s="36" t="s">
        <v>366</v>
      </c>
      <c r="K100" s="39" t="s">
        <v>421</v>
      </c>
      <c r="L100" s="36" t="s">
        <v>422</v>
      </c>
      <c r="M100" s="37" t="s">
        <v>461</v>
      </c>
      <c r="N100" s="36" t="s">
        <v>1</v>
      </c>
      <c r="O100" s="13" t="s">
        <v>105</v>
      </c>
      <c r="P100" s="49" t="s">
        <v>439</v>
      </c>
      <c r="Q100" s="50" t="s">
        <v>441</v>
      </c>
      <c r="R100" s="49" t="s">
        <v>440</v>
      </c>
      <c r="S100" s="50" t="s">
        <v>442</v>
      </c>
      <c r="T100" s="53" t="s">
        <v>191</v>
      </c>
      <c r="U100" s="54" t="s">
        <v>191</v>
      </c>
      <c r="V100" s="61" t="s">
        <v>622</v>
      </c>
      <c r="W100" s="62" t="s">
        <v>606</v>
      </c>
      <c r="X100" s="61" t="s">
        <v>622</v>
      </c>
      <c r="Y100" s="62" t="s">
        <v>610</v>
      </c>
      <c r="Z100" s="61" t="s">
        <v>622</v>
      </c>
      <c r="AA100" s="62" t="s">
        <v>613</v>
      </c>
      <c r="AB100" s="61" t="s">
        <v>622</v>
      </c>
      <c r="AC100" s="62" t="s">
        <v>616</v>
      </c>
      <c r="AD100" s="61" t="s">
        <v>622</v>
      </c>
      <c r="AE100" s="62" t="s">
        <v>619</v>
      </c>
    </row>
    <row r="101" spans="1:31" ht="6.6" customHeight="1" x14ac:dyDescent="0.2">
      <c r="A101" s="8">
        <v>101</v>
      </c>
      <c r="B101" s="14" t="s">
        <v>295</v>
      </c>
      <c r="C101" s="12" t="s">
        <v>484</v>
      </c>
      <c r="D101" s="61" t="s">
        <v>467</v>
      </c>
      <c r="E101" s="62" t="s">
        <v>371</v>
      </c>
      <c r="F101" s="36" t="s">
        <v>370</v>
      </c>
      <c r="G101" s="39" t="s">
        <v>372</v>
      </c>
      <c r="H101" s="36" t="s">
        <v>364</v>
      </c>
      <c r="I101" s="39" t="s">
        <v>365</v>
      </c>
      <c r="J101" s="36" t="s">
        <v>366</v>
      </c>
      <c r="K101" s="39" t="s">
        <v>421</v>
      </c>
      <c r="L101" s="36" t="s">
        <v>422</v>
      </c>
      <c r="M101" s="37" t="s">
        <v>461</v>
      </c>
      <c r="N101" s="36" t="s">
        <v>1</v>
      </c>
      <c r="O101" s="13" t="s">
        <v>106</v>
      </c>
      <c r="P101" s="49" t="s">
        <v>439</v>
      </c>
      <c r="Q101" s="50" t="s">
        <v>441</v>
      </c>
      <c r="R101" s="49" t="s">
        <v>440</v>
      </c>
      <c r="S101" s="50" t="s">
        <v>442</v>
      </c>
      <c r="T101" s="53" t="s">
        <v>191</v>
      </c>
      <c r="U101" s="54" t="s">
        <v>191</v>
      </c>
      <c r="V101" s="61" t="s">
        <v>622</v>
      </c>
      <c r="W101" s="62" t="s">
        <v>606</v>
      </c>
      <c r="X101" s="61" t="s">
        <v>622</v>
      </c>
      <c r="Y101" s="62" t="s">
        <v>610</v>
      </c>
      <c r="Z101" s="61" t="s">
        <v>622</v>
      </c>
      <c r="AA101" s="62" t="s">
        <v>613</v>
      </c>
      <c r="AB101" s="61" t="s">
        <v>622</v>
      </c>
      <c r="AC101" s="62" t="s">
        <v>616</v>
      </c>
      <c r="AD101" s="61" t="s">
        <v>622</v>
      </c>
      <c r="AE101" s="62" t="s">
        <v>619</v>
      </c>
    </row>
    <row r="102" spans="1:31" ht="6.6" customHeight="1" x14ac:dyDescent="0.2">
      <c r="A102" s="8">
        <v>102</v>
      </c>
      <c r="B102" s="14" t="s">
        <v>296</v>
      </c>
      <c r="C102" s="12" t="s">
        <v>484</v>
      </c>
      <c r="D102" s="61" t="s">
        <v>467</v>
      </c>
      <c r="E102" s="62" t="s">
        <v>371</v>
      </c>
      <c r="F102" s="36" t="s">
        <v>370</v>
      </c>
      <c r="G102" s="39" t="s">
        <v>372</v>
      </c>
      <c r="H102" s="36" t="s">
        <v>364</v>
      </c>
      <c r="I102" s="39" t="s">
        <v>365</v>
      </c>
      <c r="J102" s="36" t="s">
        <v>366</v>
      </c>
      <c r="K102" s="39" t="s">
        <v>421</v>
      </c>
      <c r="L102" s="36" t="s">
        <v>422</v>
      </c>
      <c r="M102" s="37" t="s">
        <v>461</v>
      </c>
      <c r="N102" s="36" t="s">
        <v>1</v>
      </c>
      <c r="O102" s="13" t="s">
        <v>107</v>
      </c>
      <c r="P102" s="49" t="s">
        <v>439</v>
      </c>
      <c r="Q102" s="50" t="s">
        <v>441</v>
      </c>
      <c r="R102" s="49" t="s">
        <v>440</v>
      </c>
      <c r="S102" s="50" t="s">
        <v>442</v>
      </c>
      <c r="T102" s="53" t="s">
        <v>191</v>
      </c>
      <c r="U102" s="54" t="s">
        <v>191</v>
      </c>
      <c r="V102" s="61" t="s">
        <v>622</v>
      </c>
      <c r="W102" s="62" t="s">
        <v>606</v>
      </c>
      <c r="X102" s="61" t="s">
        <v>622</v>
      </c>
      <c r="Y102" s="62" t="s">
        <v>610</v>
      </c>
      <c r="Z102" s="61" t="s">
        <v>622</v>
      </c>
      <c r="AA102" s="62" t="s">
        <v>613</v>
      </c>
      <c r="AB102" s="61" t="s">
        <v>622</v>
      </c>
      <c r="AC102" s="62" t="s">
        <v>616</v>
      </c>
      <c r="AD102" s="61" t="s">
        <v>622</v>
      </c>
      <c r="AE102" s="62" t="s">
        <v>619</v>
      </c>
    </row>
    <row r="103" spans="1:31" ht="6.6" customHeight="1" x14ac:dyDescent="0.2">
      <c r="A103" s="8">
        <v>103</v>
      </c>
      <c r="B103" s="14" t="s">
        <v>297</v>
      </c>
      <c r="C103" s="12" t="s">
        <v>484</v>
      </c>
      <c r="D103" s="61" t="s">
        <v>467</v>
      </c>
      <c r="E103" s="62" t="s">
        <v>371</v>
      </c>
      <c r="F103" s="36" t="s">
        <v>370</v>
      </c>
      <c r="G103" s="39" t="s">
        <v>372</v>
      </c>
      <c r="H103" s="36" t="s">
        <v>364</v>
      </c>
      <c r="I103" s="39" t="s">
        <v>365</v>
      </c>
      <c r="J103" s="36" t="s">
        <v>366</v>
      </c>
      <c r="K103" s="39" t="s">
        <v>421</v>
      </c>
      <c r="L103" s="36" t="s">
        <v>422</v>
      </c>
      <c r="M103" s="37" t="s">
        <v>461</v>
      </c>
      <c r="N103" s="36" t="s">
        <v>1</v>
      </c>
      <c r="O103" s="13" t="s">
        <v>108</v>
      </c>
      <c r="P103" s="49" t="s">
        <v>439</v>
      </c>
      <c r="Q103" s="50" t="s">
        <v>441</v>
      </c>
      <c r="R103" s="49" t="s">
        <v>440</v>
      </c>
      <c r="S103" s="50" t="s">
        <v>442</v>
      </c>
      <c r="T103" s="53" t="s">
        <v>191</v>
      </c>
      <c r="U103" s="54" t="s">
        <v>191</v>
      </c>
      <c r="V103" s="61" t="s">
        <v>622</v>
      </c>
      <c r="W103" s="62" t="s">
        <v>606</v>
      </c>
      <c r="X103" s="61" t="s">
        <v>622</v>
      </c>
      <c r="Y103" s="62" t="s">
        <v>610</v>
      </c>
      <c r="Z103" s="61" t="s">
        <v>622</v>
      </c>
      <c r="AA103" s="62" t="s">
        <v>613</v>
      </c>
      <c r="AB103" s="61" t="s">
        <v>622</v>
      </c>
      <c r="AC103" s="62" t="s">
        <v>616</v>
      </c>
      <c r="AD103" s="61" t="s">
        <v>622</v>
      </c>
      <c r="AE103" s="62" t="s">
        <v>619</v>
      </c>
    </row>
    <row r="104" spans="1:31" ht="6.6" customHeight="1" x14ac:dyDescent="0.2">
      <c r="A104" s="8">
        <v>104</v>
      </c>
      <c r="B104" s="14" t="s">
        <v>298</v>
      </c>
      <c r="C104" s="12" t="s">
        <v>484</v>
      </c>
      <c r="D104" s="61" t="s">
        <v>467</v>
      </c>
      <c r="E104" s="62" t="s">
        <v>371</v>
      </c>
      <c r="F104" s="36" t="s">
        <v>370</v>
      </c>
      <c r="G104" s="39" t="s">
        <v>372</v>
      </c>
      <c r="H104" s="36" t="s">
        <v>364</v>
      </c>
      <c r="I104" s="39" t="s">
        <v>365</v>
      </c>
      <c r="J104" s="36" t="s">
        <v>366</v>
      </c>
      <c r="K104" s="39" t="s">
        <v>421</v>
      </c>
      <c r="L104" s="36" t="s">
        <v>422</v>
      </c>
      <c r="M104" s="37" t="s">
        <v>461</v>
      </c>
      <c r="N104" s="36" t="s">
        <v>1</v>
      </c>
      <c r="O104" s="13" t="s">
        <v>109</v>
      </c>
      <c r="P104" s="49" t="s">
        <v>439</v>
      </c>
      <c r="Q104" s="50" t="s">
        <v>441</v>
      </c>
      <c r="R104" s="49" t="s">
        <v>440</v>
      </c>
      <c r="S104" s="50" t="s">
        <v>442</v>
      </c>
      <c r="T104" s="53" t="s">
        <v>191</v>
      </c>
      <c r="U104" s="54" t="s">
        <v>191</v>
      </c>
      <c r="V104" s="61" t="s">
        <v>622</v>
      </c>
      <c r="W104" s="62" t="s">
        <v>606</v>
      </c>
      <c r="X104" s="61" t="s">
        <v>622</v>
      </c>
      <c r="Y104" s="62" t="s">
        <v>610</v>
      </c>
      <c r="Z104" s="61" t="s">
        <v>622</v>
      </c>
      <c r="AA104" s="62" t="s">
        <v>613</v>
      </c>
      <c r="AB104" s="61" t="s">
        <v>622</v>
      </c>
      <c r="AC104" s="62" t="s">
        <v>616</v>
      </c>
      <c r="AD104" s="61" t="s">
        <v>622</v>
      </c>
      <c r="AE104" s="62" t="s">
        <v>619</v>
      </c>
    </row>
    <row r="105" spans="1:31" ht="6.6" customHeight="1" x14ac:dyDescent="0.2">
      <c r="A105" s="8">
        <v>105</v>
      </c>
      <c r="B105" s="14" t="s">
        <v>299</v>
      </c>
      <c r="C105" s="12" t="s">
        <v>484</v>
      </c>
      <c r="D105" s="61" t="s">
        <v>467</v>
      </c>
      <c r="E105" s="62" t="s">
        <v>371</v>
      </c>
      <c r="F105" s="36" t="s">
        <v>370</v>
      </c>
      <c r="G105" s="39" t="s">
        <v>372</v>
      </c>
      <c r="H105" s="36" t="s">
        <v>364</v>
      </c>
      <c r="I105" s="39" t="s">
        <v>365</v>
      </c>
      <c r="J105" s="36" t="s">
        <v>366</v>
      </c>
      <c r="K105" s="39" t="s">
        <v>421</v>
      </c>
      <c r="L105" s="36" t="s">
        <v>422</v>
      </c>
      <c r="M105" s="37" t="s">
        <v>461</v>
      </c>
      <c r="N105" s="36" t="s">
        <v>1</v>
      </c>
      <c r="O105" s="13" t="s">
        <v>46</v>
      </c>
      <c r="P105" s="49" t="s">
        <v>439</v>
      </c>
      <c r="Q105" s="50" t="s">
        <v>441</v>
      </c>
      <c r="R105" s="49" t="s">
        <v>440</v>
      </c>
      <c r="S105" s="50" t="s">
        <v>442</v>
      </c>
      <c r="T105" s="53" t="s">
        <v>191</v>
      </c>
      <c r="U105" s="54" t="s">
        <v>191</v>
      </c>
      <c r="V105" s="61" t="s">
        <v>622</v>
      </c>
      <c r="W105" s="62" t="s">
        <v>606</v>
      </c>
      <c r="X105" s="61" t="s">
        <v>622</v>
      </c>
      <c r="Y105" s="62" t="s">
        <v>610</v>
      </c>
      <c r="Z105" s="61" t="s">
        <v>622</v>
      </c>
      <c r="AA105" s="62" t="s">
        <v>613</v>
      </c>
      <c r="AB105" s="61" t="s">
        <v>622</v>
      </c>
      <c r="AC105" s="62" t="s">
        <v>616</v>
      </c>
      <c r="AD105" s="61" t="s">
        <v>622</v>
      </c>
      <c r="AE105" s="62" t="s">
        <v>619</v>
      </c>
    </row>
    <row r="106" spans="1:31" ht="6.6" customHeight="1" x14ac:dyDescent="0.2">
      <c r="A106" s="8">
        <v>106</v>
      </c>
      <c r="B106" s="14" t="s">
        <v>300</v>
      </c>
      <c r="C106" s="12" t="s">
        <v>484</v>
      </c>
      <c r="D106" s="61" t="s">
        <v>467</v>
      </c>
      <c r="E106" s="62" t="s">
        <v>371</v>
      </c>
      <c r="F106" s="36" t="s">
        <v>370</v>
      </c>
      <c r="G106" s="39" t="s">
        <v>372</v>
      </c>
      <c r="H106" s="36" t="s">
        <v>364</v>
      </c>
      <c r="I106" s="39" t="s">
        <v>365</v>
      </c>
      <c r="J106" s="36" t="s">
        <v>366</v>
      </c>
      <c r="K106" s="39" t="s">
        <v>421</v>
      </c>
      <c r="L106" s="36" t="s">
        <v>422</v>
      </c>
      <c r="M106" s="37" t="s">
        <v>461</v>
      </c>
      <c r="N106" s="36" t="s">
        <v>1</v>
      </c>
      <c r="O106" s="13" t="s">
        <v>110</v>
      </c>
      <c r="P106" s="49" t="s">
        <v>439</v>
      </c>
      <c r="Q106" s="50" t="s">
        <v>441</v>
      </c>
      <c r="R106" s="49" t="s">
        <v>440</v>
      </c>
      <c r="S106" s="50" t="s">
        <v>442</v>
      </c>
      <c r="T106" s="53" t="s">
        <v>191</v>
      </c>
      <c r="U106" s="54" t="s">
        <v>191</v>
      </c>
      <c r="V106" s="61" t="s">
        <v>622</v>
      </c>
      <c r="W106" s="62" t="s">
        <v>606</v>
      </c>
      <c r="X106" s="61" t="s">
        <v>622</v>
      </c>
      <c r="Y106" s="62" t="s">
        <v>610</v>
      </c>
      <c r="Z106" s="61" t="s">
        <v>622</v>
      </c>
      <c r="AA106" s="62" t="s">
        <v>613</v>
      </c>
      <c r="AB106" s="61" t="s">
        <v>622</v>
      </c>
      <c r="AC106" s="62" t="s">
        <v>616</v>
      </c>
      <c r="AD106" s="61" t="s">
        <v>622</v>
      </c>
      <c r="AE106" s="62" t="s">
        <v>619</v>
      </c>
    </row>
    <row r="107" spans="1:31" ht="6.6" customHeight="1" x14ac:dyDescent="0.2">
      <c r="A107" s="8">
        <v>107</v>
      </c>
      <c r="B107" s="14" t="s">
        <v>301</v>
      </c>
      <c r="C107" s="12" t="s">
        <v>484</v>
      </c>
      <c r="D107" s="61" t="s">
        <v>467</v>
      </c>
      <c r="E107" s="62" t="s">
        <v>371</v>
      </c>
      <c r="F107" s="36" t="s">
        <v>370</v>
      </c>
      <c r="G107" s="39" t="s">
        <v>372</v>
      </c>
      <c r="H107" s="36" t="s">
        <v>364</v>
      </c>
      <c r="I107" s="39" t="s">
        <v>365</v>
      </c>
      <c r="J107" s="36" t="s">
        <v>366</v>
      </c>
      <c r="K107" s="39" t="s">
        <v>421</v>
      </c>
      <c r="L107" s="36" t="s">
        <v>422</v>
      </c>
      <c r="M107" s="37" t="s">
        <v>461</v>
      </c>
      <c r="N107" s="36" t="s">
        <v>1</v>
      </c>
      <c r="O107" s="13" t="s">
        <v>111</v>
      </c>
      <c r="P107" s="49" t="s">
        <v>439</v>
      </c>
      <c r="Q107" s="50" t="s">
        <v>441</v>
      </c>
      <c r="R107" s="49" t="s">
        <v>440</v>
      </c>
      <c r="S107" s="50" t="s">
        <v>442</v>
      </c>
      <c r="T107" s="53" t="s">
        <v>191</v>
      </c>
      <c r="U107" s="54" t="s">
        <v>191</v>
      </c>
      <c r="V107" s="61" t="s">
        <v>622</v>
      </c>
      <c r="W107" s="62" t="s">
        <v>606</v>
      </c>
      <c r="X107" s="61" t="s">
        <v>622</v>
      </c>
      <c r="Y107" s="62" t="s">
        <v>610</v>
      </c>
      <c r="Z107" s="61" t="s">
        <v>622</v>
      </c>
      <c r="AA107" s="62" t="s">
        <v>613</v>
      </c>
      <c r="AB107" s="61" t="s">
        <v>622</v>
      </c>
      <c r="AC107" s="62" t="s">
        <v>616</v>
      </c>
      <c r="AD107" s="61" t="s">
        <v>622</v>
      </c>
      <c r="AE107" s="62" t="s">
        <v>619</v>
      </c>
    </row>
    <row r="108" spans="1:31" ht="6.6" customHeight="1" x14ac:dyDescent="0.2">
      <c r="A108" s="8">
        <v>108</v>
      </c>
      <c r="B108" s="14" t="s">
        <v>302</v>
      </c>
      <c r="C108" s="12" t="s">
        <v>484</v>
      </c>
      <c r="D108" s="61" t="s">
        <v>467</v>
      </c>
      <c r="E108" s="62" t="s">
        <v>371</v>
      </c>
      <c r="F108" s="36" t="s">
        <v>370</v>
      </c>
      <c r="G108" s="39" t="s">
        <v>372</v>
      </c>
      <c r="H108" s="36" t="s">
        <v>364</v>
      </c>
      <c r="I108" s="39" t="s">
        <v>365</v>
      </c>
      <c r="J108" s="36" t="s">
        <v>366</v>
      </c>
      <c r="K108" s="39" t="s">
        <v>421</v>
      </c>
      <c r="L108" s="36" t="s">
        <v>422</v>
      </c>
      <c r="M108" s="37" t="s">
        <v>461</v>
      </c>
      <c r="N108" s="36" t="s">
        <v>1</v>
      </c>
      <c r="O108" s="13" t="s">
        <v>112</v>
      </c>
      <c r="P108" s="49" t="s">
        <v>439</v>
      </c>
      <c r="Q108" s="50" t="s">
        <v>441</v>
      </c>
      <c r="R108" s="49" t="s">
        <v>440</v>
      </c>
      <c r="S108" s="50" t="s">
        <v>442</v>
      </c>
      <c r="T108" s="53" t="s">
        <v>191</v>
      </c>
      <c r="U108" s="54" t="s">
        <v>191</v>
      </c>
      <c r="V108" s="61" t="s">
        <v>622</v>
      </c>
      <c r="W108" s="62" t="s">
        <v>606</v>
      </c>
      <c r="X108" s="61" t="s">
        <v>622</v>
      </c>
      <c r="Y108" s="62" t="s">
        <v>610</v>
      </c>
      <c r="Z108" s="61" t="s">
        <v>622</v>
      </c>
      <c r="AA108" s="62" t="s">
        <v>613</v>
      </c>
      <c r="AB108" s="61" t="s">
        <v>622</v>
      </c>
      <c r="AC108" s="62" t="s">
        <v>616</v>
      </c>
      <c r="AD108" s="61" t="s">
        <v>622</v>
      </c>
      <c r="AE108" s="62" t="s">
        <v>619</v>
      </c>
    </row>
    <row r="109" spans="1:31" ht="6.6" customHeight="1" x14ac:dyDescent="0.2">
      <c r="A109" s="8">
        <v>109</v>
      </c>
      <c r="B109" s="14" t="s">
        <v>303</v>
      </c>
      <c r="C109" s="12" t="s">
        <v>484</v>
      </c>
      <c r="D109" s="61" t="s">
        <v>467</v>
      </c>
      <c r="E109" s="62" t="s">
        <v>371</v>
      </c>
      <c r="F109" s="36" t="s">
        <v>370</v>
      </c>
      <c r="G109" s="39" t="s">
        <v>372</v>
      </c>
      <c r="H109" s="36" t="s">
        <v>364</v>
      </c>
      <c r="I109" s="39" t="s">
        <v>365</v>
      </c>
      <c r="J109" s="36" t="s">
        <v>366</v>
      </c>
      <c r="K109" s="39" t="s">
        <v>421</v>
      </c>
      <c r="L109" s="36" t="s">
        <v>422</v>
      </c>
      <c r="M109" s="37" t="s">
        <v>461</v>
      </c>
      <c r="N109" s="36" t="s">
        <v>1</v>
      </c>
      <c r="O109" s="13" t="s">
        <v>113</v>
      </c>
      <c r="P109" s="49" t="s">
        <v>439</v>
      </c>
      <c r="Q109" s="50" t="s">
        <v>441</v>
      </c>
      <c r="R109" s="49" t="s">
        <v>440</v>
      </c>
      <c r="S109" s="50" t="s">
        <v>442</v>
      </c>
      <c r="T109" s="53" t="s">
        <v>191</v>
      </c>
      <c r="U109" s="54" t="s">
        <v>191</v>
      </c>
      <c r="V109" s="61" t="s">
        <v>622</v>
      </c>
      <c r="W109" s="62" t="s">
        <v>606</v>
      </c>
      <c r="X109" s="61" t="s">
        <v>622</v>
      </c>
      <c r="Y109" s="62" t="s">
        <v>610</v>
      </c>
      <c r="Z109" s="61" t="s">
        <v>622</v>
      </c>
      <c r="AA109" s="62" t="s">
        <v>613</v>
      </c>
      <c r="AB109" s="61" t="s">
        <v>622</v>
      </c>
      <c r="AC109" s="62" t="s">
        <v>616</v>
      </c>
      <c r="AD109" s="61" t="s">
        <v>622</v>
      </c>
      <c r="AE109" s="62" t="s">
        <v>619</v>
      </c>
    </row>
    <row r="110" spans="1:31" ht="6.6" customHeight="1" x14ac:dyDescent="0.2">
      <c r="A110" s="8">
        <v>110</v>
      </c>
      <c r="B110" s="14" t="s">
        <v>304</v>
      </c>
      <c r="C110" s="12" t="s">
        <v>484</v>
      </c>
      <c r="D110" s="61" t="s">
        <v>467</v>
      </c>
      <c r="E110" s="62" t="s">
        <v>371</v>
      </c>
      <c r="F110" s="36" t="s">
        <v>370</v>
      </c>
      <c r="G110" s="39" t="s">
        <v>372</v>
      </c>
      <c r="H110" s="36" t="s">
        <v>364</v>
      </c>
      <c r="I110" s="39" t="s">
        <v>365</v>
      </c>
      <c r="J110" s="36" t="s">
        <v>366</v>
      </c>
      <c r="K110" s="39" t="s">
        <v>421</v>
      </c>
      <c r="L110" s="36" t="s">
        <v>422</v>
      </c>
      <c r="M110" s="37" t="s">
        <v>461</v>
      </c>
      <c r="N110" s="36" t="s">
        <v>1</v>
      </c>
      <c r="O110" s="13" t="s">
        <v>114</v>
      </c>
      <c r="P110" s="49" t="s">
        <v>439</v>
      </c>
      <c r="Q110" s="50" t="s">
        <v>441</v>
      </c>
      <c r="R110" s="49" t="s">
        <v>440</v>
      </c>
      <c r="S110" s="50" t="s">
        <v>442</v>
      </c>
      <c r="T110" s="53" t="s">
        <v>191</v>
      </c>
      <c r="U110" s="54" t="s">
        <v>191</v>
      </c>
      <c r="V110" s="61" t="s">
        <v>622</v>
      </c>
      <c r="W110" s="62" t="s">
        <v>606</v>
      </c>
      <c r="X110" s="61" t="s">
        <v>622</v>
      </c>
      <c r="Y110" s="62" t="s">
        <v>610</v>
      </c>
      <c r="Z110" s="61" t="s">
        <v>622</v>
      </c>
      <c r="AA110" s="62" t="s">
        <v>613</v>
      </c>
      <c r="AB110" s="61" t="s">
        <v>622</v>
      </c>
      <c r="AC110" s="62" t="s">
        <v>616</v>
      </c>
      <c r="AD110" s="61" t="s">
        <v>622</v>
      </c>
      <c r="AE110" s="62" t="s">
        <v>619</v>
      </c>
    </row>
    <row r="111" spans="1:31" ht="6.6" customHeight="1" x14ac:dyDescent="0.2">
      <c r="A111" s="8">
        <v>111</v>
      </c>
      <c r="B111" s="14" t="s">
        <v>305</v>
      </c>
      <c r="C111" s="12" t="s">
        <v>484</v>
      </c>
      <c r="D111" s="61" t="s">
        <v>467</v>
      </c>
      <c r="E111" s="62" t="s">
        <v>371</v>
      </c>
      <c r="F111" s="36" t="s">
        <v>370</v>
      </c>
      <c r="G111" s="39" t="s">
        <v>372</v>
      </c>
      <c r="H111" s="36" t="s">
        <v>364</v>
      </c>
      <c r="I111" s="39" t="s">
        <v>365</v>
      </c>
      <c r="J111" s="36" t="s">
        <v>366</v>
      </c>
      <c r="K111" s="39" t="s">
        <v>421</v>
      </c>
      <c r="L111" s="36" t="s">
        <v>422</v>
      </c>
      <c r="M111" s="37" t="s">
        <v>461</v>
      </c>
      <c r="N111" s="36" t="s">
        <v>1</v>
      </c>
      <c r="O111" s="13" t="s">
        <v>115</v>
      </c>
      <c r="P111" s="49" t="s">
        <v>439</v>
      </c>
      <c r="Q111" s="50" t="s">
        <v>441</v>
      </c>
      <c r="R111" s="49" t="s">
        <v>440</v>
      </c>
      <c r="S111" s="50" t="s">
        <v>442</v>
      </c>
      <c r="T111" s="53" t="s">
        <v>191</v>
      </c>
      <c r="U111" s="54" t="s">
        <v>191</v>
      </c>
      <c r="V111" s="61" t="s">
        <v>622</v>
      </c>
      <c r="W111" s="62" t="s">
        <v>606</v>
      </c>
      <c r="X111" s="61" t="s">
        <v>622</v>
      </c>
      <c r="Y111" s="62" t="s">
        <v>610</v>
      </c>
      <c r="Z111" s="61" t="s">
        <v>622</v>
      </c>
      <c r="AA111" s="62" t="s">
        <v>613</v>
      </c>
      <c r="AB111" s="61" t="s">
        <v>622</v>
      </c>
      <c r="AC111" s="62" t="s">
        <v>616</v>
      </c>
      <c r="AD111" s="61" t="s">
        <v>622</v>
      </c>
      <c r="AE111" s="62" t="s">
        <v>619</v>
      </c>
    </row>
    <row r="112" spans="1:31" ht="6.6" customHeight="1" x14ac:dyDescent="0.2">
      <c r="A112" s="8">
        <v>112</v>
      </c>
      <c r="B112" s="14" t="s">
        <v>306</v>
      </c>
      <c r="C112" s="12" t="s">
        <v>484</v>
      </c>
      <c r="D112" s="61" t="s">
        <v>467</v>
      </c>
      <c r="E112" s="62" t="s">
        <v>371</v>
      </c>
      <c r="F112" s="36" t="s">
        <v>370</v>
      </c>
      <c r="G112" s="39" t="s">
        <v>372</v>
      </c>
      <c r="H112" s="36" t="s">
        <v>364</v>
      </c>
      <c r="I112" s="39" t="s">
        <v>365</v>
      </c>
      <c r="J112" s="36" t="s">
        <v>366</v>
      </c>
      <c r="K112" s="39" t="s">
        <v>421</v>
      </c>
      <c r="L112" s="36" t="s">
        <v>422</v>
      </c>
      <c r="M112" s="37" t="s">
        <v>461</v>
      </c>
      <c r="N112" s="36" t="s">
        <v>1</v>
      </c>
      <c r="O112" s="13" t="s">
        <v>116</v>
      </c>
      <c r="P112" s="49" t="s">
        <v>439</v>
      </c>
      <c r="Q112" s="50" t="s">
        <v>441</v>
      </c>
      <c r="R112" s="49" t="s">
        <v>440</v>
      </c>
      <c r="S112" s="50" t="s">
        <v>442</v>
      </c>
      <c r="T112" s="53" t="s">
        <v>191</v>
      </c>
      <c r="U112" s="54" t="s">
        <v>191</v>
      </c>
      <c r="V112" s="61" t="s">
        <v>622</v>
      </c>
      <c r="W112" s="62" t="s">
        <v>606</v>
      </c>
      <c r="X112" s="61" t="s">
        <v>622</v>
      </c>
      <c r="Y112" s="62" t="s">
        <v>610</v>
      </c>
      <c r="Z112" s="61" t="s">
        <v>622</v>
      </c>
      <c r="AA112" s="62" t="s">
        <v>613</v>
      </c>
      <c r="AB112" s="61" t="s">
        <v>622</v>
      </c>
      <c r="AC112" s="62" t="s">
        <v>616</v>
      </c>
      <c r="AD112" s="61" t="s">
        <v>622</v>
      </c>
      <c r="AE112" s="62" t="s">
        <v>619</v>
      </c>
    </row>
    <row r="113" spans="1:31" ht="6.6" customHeight="1" x14ac:dyDescent="0.2">
      <c r="A113" s="8">
        <v>113</v>
      </c>
      <c r="B113" s="14" t="s">
        <v>307</v>
      </c>
      <c r="C113" s="12" t="s">
        <v>484</v>
      </c>
      <c r="D113" s="61" t="s">
        <v>467</v>
      </c>
      <c r="E113" s="62" t="s">
        <v>371</v>
      </c>
      <c r="F113" s="36" t="s">
        <v>370</v>
      </c>
      <c r="G113" s="39" t="s">
        <v>372</v>
      </c>
      <c r="H113" s="36" t="s">
        <v>364</v>
      </c>
      <c r="I113" s="39" t="s">
        <v>365</v>
      </c>
      <c r="J113" s="36" t="s">
        <v>366</v>
      </c>
      <c r="K113" s="39" t="s">
        <v>421</v>
      </c>
      <c r="L113" s="36" t="s">
        <v>422</v>
      </c>
      <c r="M113" s="37" t="s">
        <v>461</v>
      </c>
      <c r="N113" s="36" t="s">
        <v>1</v>
      </c>
      <c r="O113" s="13" t="s">
        <v>117</v>
      </c>
      <c r="P113" s="49" t="s">
        <v>439</v>
      </c>
      <c r="Q113" s="50" t="s">
        <v>441</v>
      </c>
      <c r="R113" s="49" t="s">
        <v>440</v>
      </c>
      <c r="S113" s="50" t="s">
        <v>442</v>
      </c>
      <c r="T113" s="53" t="s">
        <v>191</v>
      </c>
      <c r="U113" s="54" t="s">
        <v>191</v>
      </c>
      <c r="V113" s="61" t="s">
        <v>622</v>
      </c>
      <c r="W113" s="62" t="s">
        <v>606</v>
      </c>
      <c r="X113" s="61" t="s">
        <v>622</v>
      </c>
      <c r="Y113" s="62" t="s">
        <v>610</v>
      </c>
      <c r="Z113" s="61" t="s">
        <v>622</v>
      </c>
      <c r="AA113" s="62" t="s">
        <v>613</v>
      </c>
      <c r="AB113" s="61" t="s">
        <v>622</v>
      </c>
      <c r="AC113" s="62" t="s">
        <v>616</v>
      </c>
      <c r="AD113" s="61" t="s">
        <v>622</v>
      </c>
      <c r="AE113" s="62" t="s">
        <v>619</v>
      </c>
    </row>
    <row r="114" spans="1:31" ht="6.6" customHeight="1" x14ac:dyDescent="0.2">
      <c r="A114" s="8">
        <v>114</v>
      </c>
      <c r="B114" s="14" t="s">
        <v>308</v>
      </c>
      <c r="C114" s="12" t="s">
        <v>484</v>
      </c>
      <c r="D114" s="61" t="s">
        <v>467</v>
      </c>
      <c r="E114" s="62" t="s">
        <v>371</v>
      </c>
      <c r="F114" s="36" t="s">
        <v>370</v>
      </c>
      <c r="G114" s="39" t="s">
        <v>372</v>
      </c>
      <c r="H114" s="36" t="s">
        <v>364</v>
      </c>
      <c r="I114" s="39" t="s">
        <v>365</v>
      </c>
      <c r="J114" s="36" t="s">
        <v>366</v>
      </c>
      <c r="K114" s="39" t="s">
        <v>421</v>
      </c>
      <c r="L114" s="36" t="s">
        <v>422</v>
      </c>
      <c r="M114" s="37" t="s">
        <v>461</v>
      </c>
      <c r="N114" s="36" t="s">
        <v>1</v>
      </c>
      <c r="O114" s="13" t="s">
        <v>118</v>
      </c>
      <c r="P114" s="49" t="s">
        <v>439</v>
      </c>
      <c r="Q114" s="50" t="s">
        <v>441</v>
      </c>
      <c r="R114" s="49" t="s">
        <v>440</v>
      </c>
      <c r="S114" s="50" t="s">
        <v>442</v>
      </c>
      <c r="T114" s="53" t="s">
        <v>191</v>
      </c>
      <c r="U114" s="54" t="s">
        <v>191</v>
      </c>
      <c r="V114" s="61" t="s">
        <v>622</v>
      </c>
      <c r="W114" s="62" t="s">
        <v>606</v>
      </c>
      <c r="X114" s="61" t="s">
        <v>622</v>
      </c>
      <c r="Y114" s="62" t="s">
        <v>610</v>
      </c>
      <c r="Z114" s="61" t="s">
        <v>622</v>
      </c>
      <c r="AA114" s="62" t="s">
        <v>613</v>
      </c>
      <c r="AB114" s="61" t="s">
        <v>622</v>
      </c>
      <c r="AC114" s="62" t="s">
        <v>616</v>
      </c>
      <c r="AD114" s="61" t="s">
        <v>622</v>
      </c>
      <c r="AE114" s="62" t="s">
        <v>619</v>
      </c>
    </row>
    <row r="115" spans="1:31" ht="6.6" customHeight="1" x14ac:dyDescent="0.2">
      <c r="A115" s="8">
        <v>115</v>
      </c>
      <c r="B115" s="14" t="s">
        <v>309</v>
      </c>
      <c r="C115" s="12" t="s">
        <v>484</v>
      </c>
      <c r="D115" s="61" t="s">
        <v>467</v>
      </c>
      <c r="E115" s="62" t="s">
        <v>371</v>
      </c>
      <c r="F115" s="36" t="s">
        <v>370</v>
      </c>
      <c r="G115" s="39" t="s">
        <v>372</v>
      </c>
      <c r="H115" s="36" t="s">
        <v>364</v>
      </c>
      <c r="I115" s="39" t="s">
        <v>365</v>
      </c>
      <c r="J115" s="36" t="s">
        <v>366</v>
      </c>
      <c r="K115" s="39" t="s">
        <v>421</v>
      </c>
      <c r="L115" s="36" t="s">
        <v>422</v>
      </c>
      <c r="M115" s="37" t="s">
        <v>461</v>
      </c>
      <c r="N115" s="36" t="s">
        <v>1</v>
      </c>
      <c r="O115" s="13" t="s">
        <v>119</v>
      </c>
      <c r="P115" s="49" t="s">
        <v>439</v>
      </c>
      <c r="Q115" s="50" t="s">
        <v>441</v>
      </c>
      <c r="R115" s="49" t="s">
        <v>440</v>
      </c>
      <c r="S115" s="50" t="s">
        <v>442</v>
      </c>
      <c r="T115" s="53" t="s">
        <v>191</v>
      </c>
      <c r="U115" s="54" t="s">
        <v>191</v>
      </c>
      <c r="V115" s="61" t="s">
        <v>622</v>
      </c>
      <c r="W115" s="62" t="s">
        <v>606</v>
      </c>
      <c r="X115" s="61" t="s">
        <v>622</v>
      </c>
      <c r="Y115" s="62" t="s">
        <v>610</v>
      </c>
      <c r="Z115" s="61" t="s">
        <v>622</v>
      </c>
      <c r="AA115" s="62" t="s">
        <v>613</v>
      </c>
      <c r="AB115" s="61" t="s">
        <v>622</v>
      </c>
      <c r="AC115" s="62" t="s">
        <v>616</v>
      </c>
      <c r="AD115" s="61" t="s">
        <v>622</v>
      </c>
      <c r="AE115" s="62" t="s">
        <v>619</v>
      </c>
    </row>
    <row r="116" spans="1:31" ht="6.6" customHeight="1" x14ac:dyDescent="0.2">
      <c r="A116" s="8">
        <v>116</v>
      </c>
      <c r="B116" s="14" t="s">
        <v>310</v>
      </c>
      <c r="C116" s="12" t="s">
        <v>484</v>
      </c>
      <c r="D116" s="61" t="s">
        <v>467</v>
      </c>
      <c r="E116" s="62" t="s">
        <v>371</v>
      </c>
      <c r="F116" s="36" t="s">
        <v>370</v>
      </c>
      <c r="G116" s="39" t="s">
        <v>372</v>
      </c>
      <c r="H116" s="36" t="s">
        <v>364</v>
      </c>
      <c r="I116" s="39" t="s">
        <v>365</v>
      </c>
      <c r="J116" s="36" t="s">
        <v>366</v>
      </c>
      <c r="K116" s="39" t="s">
        <v>421</v>
      </c>
      <c r="L116" s="36" t="s">
        <v>422</v>
      </c>
      <c r="M116" s="37" t="s">
        <v>461</v>
      </c>
      <c r="N116" s="36" t="s">
        <v>1</v>
      </c>
      <c r="O116" s="13" t="s">
        <v>120</v>
      </c>
      <c r="P116" s="49" t="s">
        <v>439</v>
      </c>
      <c r="Q116" s="50" t="s">
        <v>441</v>
      </c>
      <c r="R116" s="49" t="s">
        <v>440</v>
      </c>
      <c r="S116" s="50" t="s">
        <v>442</v>
      </c>
      <c r="T116" s="53" t="s">
        <v>191</v>
      </c>
      <c r="U116" s="54" t="s">
        <v>191</v>
      </c>
      <c r="V116" s="61" t="s">
        <v>622</v>
      </c>
      <c r="W116" s="62" t="s">
        <v>606</v>
      </c>
      <c r="X116" s="61" t="s">
        <v>622</v>
      </c>
      <c r="Y116" s="62" t="s">
        <v>610</v>
      </c>
      <c r="Z116" s="61" t="s">
        <v>622</v>
      </c>
      <c r="AA116" s="62" t="s">
        <v>613</v>
      </c>
      <c r="AB116" s="61" t="s">
        <v>622</v>
      </c>
      <c r="AC116" s="62" t="s">
        <v>616</v>
      </c>
      <c r="AD116" s="61" t="s">
        <v>622</v>
      </c>
      <c r="AE116" s="62" t="s">
        <v>619</v>
      </c>
    </row>
    <row r="117" spans="1:31" ht="6.6" customHeight="1" x14ac:dyDescent="0.2">
      <c r="A117" s="8">
        <v>117</v>
      </c>
      <c r="B117" s="14" t="s">
        <v>311</v>
      </c>
      <c r="C117" s="12" t="s">
        <v>484</v>
      </c>
      <c r="D117" s="61" t="s">
        <v>467</v>
      </c>
      <c r="E117" s="62" t="s">
        <v>371</v>
      </c>
      <c r="F117" s="36" t="s">
        <v>370</v>
      </c>
      <c r="G117" s="39" t="s">
        <v>372</v>
      </c>
      <c r="H117" s="36" t="s">
        <v>364</v>
      </c>
      <c r="I117" s="39" t="s">
        <v>365</v>
      </c>
      <c r="J117" s="36" t="s">
        <v>366</v>
      </c>
      <c r="K117" s="39" t="s">
        <v>421</v>
      </c>
      <c r="L117" s="36" t="s">
        <v>422</v>
      </c>
      <c r="M117" s="37" t="s">
        <v>461</v>
      </c>
      <c r="N117" s="36" t="s">
        <v>1</v>
      </c>
      <c r="O117" s="13" t="s">
        <v>121</v>
      </c>
      <c r="P117" s="49" t="s">
        <v>439</v>
      </c>
      <c r="Q117" s="50" t="s">
        <v>441</v>
      </c>
      <c r="R117" s="49" t="s">
        <v>440</v>
      </c>
      <c r="S117" s="50" t="s">
        <v>442</v>
      </c>
      <c r="T117" s="53" t="s">
        <v>191</v>
      </c>
      <c r="U117" s="54" t="s">
        <v>191</v>
      </c>
      <c r="V117" s="61" t="s">
        <v>622</v>
      </c>
      <c r="W117" s="62" t="s">
        <v>606</v>
      </c>
      <c r="X117" s="61" t="s">
        <v>622</v>
      </c>
      <c r="Y117" s="62" t="s">
        <v>610</v>
      </c>
      <c r="Z117" s="61" t="s">
        <v>622</v>
      </c>
      <c r="AA117" s="62" t="s">
        <v>613</v>
      </c>
      <c r="AB117" s="61" t="s">
        <v>622</v>
      </c>
      <c r="AC117" s="62" t="s">
        <v>616</v>
      </c>
      <c r="AD117" s="61" t="s">
        <v>622</v>
      </c>
      <c r="AE117" s="62" t="s">
        <v>619</v>
      </c>
    </row>
    <row r="118" spans="1:31" ht="6.6" customHeight="1" x14ac:dyDescent="0.2">
      <c r="A118" s="8">
        <v>118</v>
      </c>
      <c r="B118" s="14" t="s">
        <v>312</v>
      </c>
      <c r="C118" s="12" t="s">
        <v>484</v>
      </c>
      <c r="D118" s="61" t="s">
        <v>467</v>
      </c>
      <c r="E118" s="62" t="s">
        <v>371</v>
      </c>
      <c r="F118" s="36" t="s">
        <v>370</v>
      </c>
      <c r="G118" s="39" t="s">
        <v>372</v>
      </c>
      <c r="H118" s="36" t="s">
        <v>364</v>
      </c>
      <c r="I118" s="39" t="s">
        <v>365</v>
      </c>
      <c r="J118" s="36" t="s">
        <v>366</v>
      </c>
      <c r="K118" s="39" t="s">
        <v>421</v>
      </c>
      <c r="L118" s="36" t="s">
        <v>422</v>
      </c>
      <c r="M118" s="37" t="s">
        <v>461</v>
      </c>
      <c r="N118" s="36" t="s">
        <v>1</v>
      </c>
      <c r="O118" s="13" t="s">
        <v>104</v>
      </c>
      <c r="P118" s="49" t="s">
        <v>439</v>
      </c>
      <c r="Q118" s="50" t="s">
        <v>441</v>
      </c>
      <c r="R118" s="49" t="s">
        <v>440</v>
      </c>
      <c r="S118" s="50" t="s">
        <v>442</v>
      </c>
      <c r="T118" s="53" t="s">
        <v>191</v>
      </c>
      <c r="U118" s="54" t="s">
        <v>191</v>
      </c>
      <c r="V118" s="61" t="s">
        <v>622</v>
      </c>
      <c r="W118" s="62" t="s">
        <v>606</v>
      </c>
      <c r="X118" s="61" t="s">
        <v>622</v>
      </c>
      <c r="Y118" s="62" t="s">
        <v>610</v>
      </c>
      <c r="Z118" s="61" t="s">
        <v>622</v>
      </c>
      <c r="AA118" s="62" t="s">
        <v>613</v>
      </c>
      <c r="AB118" s="61" t="s">
        <v>622</v>
      </c>
      <c r="AC118" s="62" t="s">
        <v>616</v>
      </c>
      <c r="AD118" s="61" t="s">
        <v>622</v>
      </c>
      <c r="AE118" s="62" t="s">
        <v>619</v>
      </c>
    </row>
    <row r="119" spans="1:31" ht="6.6" customHeight="1" x14ac:dyDescent="0.2">
      <c r="A119" s="8">
        <v>119</v>
      </c>
      <c r="B119" s="14" t="s">
        <v>313</v>
      </c>
      <c r="C119" s="12" t="s">
        <v>484</v>
      </c>
      <c r="D119" s="61" t="s">
        <v>467</v>
      </c>
      <c r="E119" s="62" t="s">
        <v>371</v>
      </c>
      <c r="F119" s="36" t="s">
        <v>370</v>
      </c>
      <c r="G119" s="39" t="s">
        <v>372</v>
      </c>
      <c r="H119" s="36" t="s">
        <v>364</v>
      </c>
      <c r="I119" s="39" t="s">
        <v>365</v>
      </c>
      <c r="J119" s="36" t="s">
        <v>366</v>
      </c>
      <c r="K119" s="39" t="s">
        <v>421</v>
      </c>
      <c r="L119" s="36" t="s">
        <v>422</v>
      </c>
      <c r="M119" s="37" t="s">
        <v>461</v>
      </c>
      <c r="N119" s="36" t="s">
        <v>1</v>
      </c>
      <c r="O119" s="13" t="s">
        <v>122</v>
      </c>
      <c r="P119" s="49" t="s">
        <v>439</v>
      </c>
      <c r="Q119" s="50" t="s">
        <v>441</v>
      </c>
      <c r="R119" s="49" t="s">
        <v>440</v>
      </c>
      <c r="S119" s="50" t="s">
        <v>442</v>
      </c>
      <c r="T119" s="53" t="s">
        <v>191</v>
      </c>
      <c r="U119" s="54" t="s">
        <v>191</v>
      </c>
      <c r="V119" s="61" t="s">
        <v>622</v>
      </c>
      <c r="W119" s="62" t="s">
        <v>606</v>
      </c>
      <c r="X119" s="61" t="s">
        <v>622</v>
      </c>
      <c r="Y119" s="62" t="s">
        <v>610</v>
      </c>
      <c r="Z119" s="61" t="s">
        <v>622</v>
      </c>
      <c r="AA119" s="62" t="s">
        <v>613</v>
      </c>
      <c r="AB119" s="61" t="s">
        <v>622</v>
      </c>
      <c r="AC119" s="62" t="s">
        <v>616</v>
      </c>
      <c r="AD119" s="61" t="s">
        <v>622</v>
      </c>
      <c r="AE119" s="62" t="s">
        <v>619</v>
      </c>
    </row>
    <row r="120" spans="1:31" ht="6.6" customHeight="1" x14ac:dyDescent="0.2">
      <c r="A120" s="8">
        <v>120</v>
      </c>
      <c r="B120" s="14" t="s">
        <v>314</v>
      </c>
      <c r="C120" s="12" t="s">
        <v>484</v>
      </c>
      <c r="D120" s="61" t="s">
        <v>467</v>
      </c>
      <c r="E120" s="62" t="s">
        <v>371</v>
      </c>
      <c r="F120" s="36" t="s">
        <v>370</v>
      </c>
      <c r="G120" s="39" t="s">
        <v>372</v>
      </c>
      <c r="H120" s="36" t="s">
        <v>364</v>
      </c>
      <c r="I120" s="39" t="s">
        <v>365</v>
      </c>
      <c r="J120" s="36" t="s">
        <v>366</v>
      </c>
      <c r="K120" s="39" t="s">
        <v>421</v>
      </c>
      <c r="L120" s="36" t="s">
        <v>422</v>
      </c>
      <c r="M120" s="37" t="s">
        <v>461</v>
      </c>
      <c r="N120" s="36" t="s">
        <v>1</v>
      </c>
      <c r="O120" s="13" t="s">
        <v>123</v>
      </c>
      <c r="P120" s="49" t="s">
        <v>439</v>
      </c>
      <c r="Q120" s="50" t="s">
        <v>441</v>
      </c>
      <c r="R120" s="49" t="s">
        <v>440</v>
      </c>
      <c r="S120" s="50" t="s">
        <v>442</v>
      </c>
      <c r="T120" s="53" t="s">
        <v>191</v>
      </c>
      <c r="U120" s="54" t="s">
        <v>191</v>
      </c>
      <c r="V120" s="61" t="s">
        <v>622</v>
      </c>
      <c r="W120" s="62" t="s">
        <v>606</v>
      </c>
      <c r="X120" s="61" t="s">
        <v>622</v>
      </c>
      <c r="Y120" s="62" t="s">
        <v>610</v>
      </c>
      <c r="Z120" s="61" t="s">
        <v>622</v>
      </c>
      <c r="AA120" s="62" t="s">
        <v>613</v>
      </c>
      <c r="AB120" s="61" t="s">
        <v>622</v>
      </c>
      <c r="AC120" s="62" t="s">
        <v>616</v>
      </c>
      <c r="AD120" s="61" t="s">
        <v>622</v>
      </c>
      <c r="AE120" s="62" t="s">
        <v>619</v>
      </c>
    </row>
    <row r="121" spans="1:31" ht="6.6" customHeight="1" x14ac:dyDescent="0.2">
      <c r="A121" s="8">
        <v>121</v>
      </c>
      <c r="B121" s="14" t="s">
        <v>315</v>
      </c>
      <c r="C121" s="12" t="s">
        <v>484</v>
      </c>
      <c r="D121" s="61" t="s">
        <v>467</v>
      </c>
      <c r="E121" s="62" t="s">
        <v>371</v>
      </c>
      <c r="F121" s="36" t="s">
        <v>370</v>
      </c>
      <c r="G121" s="39" t="s">
        <v>372</v>
      </c>
      <c r="H121" s="36" t="s">
        <v>364</v>
      </c>
      <c r="I121" s="39" t="s">
        <v>365</v>
      </c>
      <c r="J121" s="36" t="s">
        <v>366</v>
      </c>
      <c r="K121" s="39" t="s">
        <v>421</v>
      </c>
      <c r="L121" s="36" t="s">
        <v>422</v>
      </c>
      <c r="M121" s="37" t="s">
        <v>461</v>
      </c>
      <c r="N121" s="36" t="s">
        <v>1</v>
      </c>
      <c r="O121" s="13" t="s">
        <v>124</v>
      </c>
      <c r="P121" s="49" t="s">
        <v>439</v>
      </c>
      <c r="Q121" s="50" t="s">
        <v>441</v>
      </c>
      <c r="R121" s="49" t="s">
        <v>440</v>
      </c>
      <c r="S121" s="50" t="s">
        <v>442</v>
      </c>
      <c r="T121" s="53" t="s">
        <v>191</v>
      </c>
      <c r="U121" s="54" t="s">
        <v>191</v>
      </c>
      <c r="V121" s="61" t="s">
        <v>622</v>
      </c>
      <c r="W121" s="62" t="s">
        <v>606</v>
      </c>
      <c r="X121" s="61" t="s">
        <v>622</v>
      </c>
      <c r="Y121" s="62" t="s">
        <v>610</v>
      </c>
      <c r="Z121" s="61" t="s">
        <v>622</v>
      </c>
      <c r="AA121" s="62" t="s">
        <v>613</v>
      </c>
      <c r="AB121" s="61" t="s">
        <v>622</v>
      </c>
      <c r="AC121" s="62" t="s">
        <v>616</v>
      </c>
      <c r="AD121" s="61" t="s">
        <v>622</v>
      </c>
      <c r="AE121" s="62" t="s">
        <v>619</v>
      </c>
    </row>
    <row r="122" spans="1:31" ht="6.6" customHeight="1" x14ac:dyDescent="0.2">
      <c r="A122" s="8">
        <v>122</v>
      </c>
      <c r="B122" s="14" t="s">
        <v>316</v>
      </c>
      <c r="C122" s="12" t="s">
        <v>484</v>
      </c>
      <c r="D122" s="61" t="s">
        <v>467</v>
      </c>
      <c r="E122" s="62" t="s">
        <v>371</v>
      </c>
      <c r="F122" s="36" t="s">
        <v>370</v>
      </c>
      <c r="G122" s="39" t="s">
        <v>372</v>
      </c>
      <c r="H122" s="36" t="s">
        <v>364</v>
      </c>
      <c r="I122" s="39" t="s">
        <v>365</v>
      </c>
      <c r="J122" s="36" t="s">
        <v>366</v>
      </c>
      <c r="K122" s="39" t="s">
        <v>421</v>
      </c>
      <c r="L122" s="36" t="s">
        <v>422</v>
      </c>
      <c r="M122" s="37" t="s">
        <v>461</v>
      </c>
      <c r="N122" s="36" t="s">
        <v>1</v>
      </c>
      <c r="O122" s="13" t="s">
        <v>125</v>
      </c>
      <c r="P122" s="49" t="s">
        <v>439</v>
      </c>
      <c r="Q122" s="50" t="s">
        <v>441</v>
      </c>
      <c r="R122" s="49" t="s">
        <v>440</v>
      </c>
      <c r="S122" s="50" t="s">
        <v>442</v>
      </c>
      <c r="T122" s="53" t="s">
        <v>191</v>
      </c>
      <c r="U122" s="54" t="s">
        <v>191</v>
      </c>
      <c r="V122" s="61" t="s">
        <v>622</v>
      </c>
      <c r="W122" s="62" t="s">
        <v>606</v>
      </c>
      <c r="X122" s="61" t="s">
        <v>622</v>
      </c>
      <c r="Y122" s="62" t="s">
        <v>610</v>
      </c>
      <c r="Z122" s="61" t="s">
        <v>622</v>
      </c>
      <c r="AA122" s="62" t="s">
        <v>613</v>
      </c>
      <c r="AB122" s="61" t="s">
        <v>622</v>
      </c>
      <c r="AC122" s="62" t="s">
        <v>616</v>
      </c>
      <c r="AD122" s="61" t="s">
        <v>622</v>
      </c>
      <c r="AE122" s="62" t="s">
        <v>619</v>
      </c>
    </row>
    <row r="123" spans="1:31" ht="6.6" customHeight="1" x14ac:dyDescent="0.2">
      <c r="A123" s="8">
        <v>123</v>
      </c>
      <c r="B123" s="14" t="s">
        <v>317</v>
      </c>
      <c r="C123" s="12" t="s">
        <v>484</v>
      </c>
      <c r="D123" s="61" t="s">
        <v>467</v>
      </c>
      <c r="E123" s="62" t="s">
        <v>371</v>
      </c>
      <c r="F123" s="36" t="s">
        <v>370</v>
      </c>
      <c r="G123" s="39" t="s">
        <v>372</v>
      </c>
      <c r="H123" s="36" t="s">
        <v>364</v>
      </c>
      <c r="I123" s="39" t="s">
        <v>365</v>
      </c>
      <c r="J123" s="36" t="s">
        <v>366</v>
      </c>
      <c r="K123" s="39" t="s">
        <v>421</v>
      </c>
      <c r="L123" s="36" t="s">
        <v>422</v>
      </c>
      <c r="M123" s="37" t="s">
        <v>461</v>
      </c>
      <c r="N123" s="36" t="s">
        <v>1</v>
      </c>
      <c r="O123" s="13" t="s">
        <v>126</v>
      </c>
      <c r="P123" s="49" t="s">
        <v>439</v>
      </c>
      <c r="Q123" s="50" t="s">
        <v>441</v>
      </c>
      <c r="R123" s="49" t="s">
        <v>440</v>
      </c>
      <c r="S123" s="50" t="s">
        <v>442</v>
      </c>
      <c r="T123" s="53" t="s">
        <v>191</v>
      </c>
      <c r="U123" s="54" t="s">
        <v>191</v>
      </c>
      <c r="V123" s="61" t="s">
        <v>622</v>
      </c>
      <c r="W123" s="62" t="s">
        <v>606</v>
      </c>
      <c r="X123" s="61" t="s">
        <v>622</v>
      </c>
      <c r="Y123" s="62" t="s">
        <v>610</v>
      </c>
      <c r="Z123" s="61" t="s">
        <v>622</v>
      </c>
      <c r="AA123" s="62" t="s">
        <v>613</v>
      </c>
      <c r="AB123" s="61" t="s">
        <v>622</v>
      </c>
      <c r="AC123" s="62" t="s">
        <v>616</v>
      </c>
      <c r="AD123" s="61" t="s">
        <v>622</v>
      </c>
      <c r="AE123" s="62" t="s">
        <v>619</v>
      </c>
    </row>
    <row r="124" spans="1:31" ht="6.6" customHeight="1" x14ac:dyDescent="0.2">
      <c r="A124" s="8">
        <v>124</v>
      </c>
      <c r="B124" s="14" t="s">
        <v>318</v>
      </c>
      <c r="C124" s="12" t="s">
        <v>484</v>
      </c>
      <c r="D124" s="61" t="s">
        <v>467</v>
      </c>
      <c r="E124" s="62" t="s">
        <v>371</v>
      </c>
      <c r="F124" s="36" t="s">
        <v>370</v>
      </c>
      <c r="G124" s="39" t="s">
        <v>372</v>
      </c>
      <c r="H124" s="36" t="s">
        <v>364</v>
      </c>
      <c r="I124" s="39" t="s">
        <v>365</v>
      </c>
      <c r="J124" s="36" t="s">
        <v>366</v>
      </c>
      <c r="K124" s="39" t="s">
        <v>421</v>
      </c>
      <c r="L124" s="36" t="s">
        <v>422</v>
      </c>
      <c r="M124" s="37" t="s">
        <v>461</v>
      </c>
      <c r="N124" s="36" t="s">
        <v>1</v>
      </c>
      <c r="O124" s="13" t="s">
        <v>127</v>
      </c>
      <c r="P124" s="49" t="s">
        <v>439</v>
      </c>
      <c r="Q124" s="50" t="s">
        <v>441</v>
      </c>
      <c r="R124" s="49" t="s">
        <v>440</v>
      </c>
      <c r="S124" s="50" t="s">
        <v>442</v>
      </c>
      <c r="T124" s="53" t="s">
        <v>191</v>
      </c>
      <c r="U124" s="54" t="s">
        <v>191</v>
      </c>
      <c r="V124" s="61" t="s">
        <v>622</v>
      </c>
      <c r="W124" s="62" t="s">
        <v>606</v>
      </c>
      <c r="X124" s="61" t="s">
        <v>622</v>
      </c>
      <c r="Y124" s="62" t="s">
        <v>610</v>
      </c>
      <c r="Z124" s="61" t="s">
        <v>622</v>
      </c>
      <c r="AA124" s="62" t="s">
        <v>613</v>
      </c>
      <c r="AB124" s="61" t="s">
        <v>622</v>
      </c>
      <c r="AC124" s="62" t="s">
        <v>616</v>
      </c>
      <c r="AD124" s="61" t="s">
        <v>622</v>
      </c>
      <c r="AE124" s="62" t="s">
        <v>619</v>
      </c>
    </row>
    <row r="125" spans="1:31" ht="6.6" customHeight="1" x14ac:dyDescent="0.2">
      <c r="A125" s="8">
        <v>125</v>
      </c>
      <c r="B125" s="14" t="s">
        <v>319</v>
      </c>
      <c r="C125" s="12" t="s">
        <v>484</v>
      </c>
      <c r="D125" s="61" t="s">
        <v>467</v>
      </c>
      <c r="E125" s="62" t="s">
        <v>371</v>
      </c>
      <c r="F125" s="36" t="s">
        <v>370</v>
      </c>
      <c r="G125" s="39" t="s">
        <v>372</v>
      </c>
      <c r="H125" s="36" t="s">
        <v>364</v>
      </c>
      <c r="I125" s="39" t="s">
        <v>365</v>
      </c>
      <c r="J125" s="36" t="s">
        <v>366</v>
      </c>
      <c r="K125" s="39" t="s">
        <v>421</v>
      </c>
      <c r="L125" s="36" t="s">
        <v>422</v>
      </c>
      <c r="M125" s="37" t="s">
        <v>461</v>
      </c>
      <c r="N125" s="36" t="s">
        <v>1</v>
      </c>
      <c r="O125" s="13" t="s">
        <v>128</v>
      </c>
      <c r="P125" s="49" t="s">
        <v>439</v>
      </c>
      <c r="Q125" s="50" t="s">
        <v>441</v>
      </c>
      <c r="R125" s="49" t="s">
        <v>440</v>
      </c>
      <c r="S125" s="50" t="s">
        <v>442</v>
      </c>
      <c r="T125" s="53" t="s">
        <v>191</v>
      </c>
      <c r="U125" s="54" t="s">
        <v>191</v>
      </c>
      <c r="V125" s="61" t="s">
        <v>622</v>
      </c>
      <c r="W125" s="62" t="s">
        <v>606</v>
      </c>
      <c r="X125" s="61" t="s">
        <v>622</v>
      </c>
      <c r="Y125" s="62" t="s">
        <v>610</v>
      </c>
      <c r="Z125" s="61" t="s">
        <v>622</v>
      </c>
      <c r="AA125" s="62" t="s">
        <v>613</v>
      </c>
      <c r="AB125" s="61" t="s">
        <v>622</v>
      </c>
      <c r="AC125" s="62" t="s">
        <v>616</v>
      </c>
      <c r="AD125" s="61" t="s">
        <v>622</v>
      </c>
      <c r="AE125" s="62" t="s">
        <v>619</v>
      </c>
    </row>
    <row r="126" spans="1:31" ht="6.6" customHeight="1" x14ac:dyDescent="0.2">
      <c r="A126" s="8">
        <v>126</v>
      </c>
      <c r="B126" s="14" t="s">
        <v>320</v>
      </c>
      <c r="C126" s="12" t="s">
        <v>484</v>
      </c>
      <c r="D126" s="61" t="s">
        <v>467</v>
      </c>
      <c r="E126" s="62" t="s">
        <v>371</v>
      </c>
      <c r="F126" s="36" t="s">
        <v>370</v>
      </c>
      <c r="G126" s="39" t="s">
        <v>372</v>
      </c>
      <c r="H126" s="36" t="s">
        <v>364</v>
      </c>
      <c r="I126" s="39" t="s">
        <v>365</v>
      </c>
      <c r="J126" s="36" t="s">
        <v>366</v>
      </c>
      <c r="K126" s="39" t="s">
        <v>421</v>
      </c>
      <c r="L126" s="36" t="s">
        <v>422</v>
      </c>
      <c r="M126" s="37" t="s">
        <v>461</v>
      </c>
      <c r="N126" s="36" t="s">
        <v>1</v>
      </c>
      <c r="O126" s="13" t="s">
        <v>129</v>
      </c>
      <c r="P126" s="49" t="s">
        <v>439</v>
      </c>
      <c r="Q126" s="50" t="s">
        <v>441</v>
      </c>
      <c r="R126" s="49" t="s">
        <v>440</v>
      </c>
      <c r="S126" s="50" t="s">
        <v>442</v>
      </c>
      <c r="T126" s="53" t="s">
        <v>191</v>
      </c>
      <c r="U126" s="54" t="s">
        <v>191</v>
      </c>
      <c r="V126" s="61" t="s">
        <v>622</v>
      </c>
      <c r="W126" s="62" t="s">
        <v>606</v>
      </c>
      <c r="X126" s="61" t="s">
        <v>622</v>
      </c>
      <c r="Y126" s="62" t="s">
        <v>610</v>
      </c>
      <c r="Z126" s="61" t="s">
        <v>622</v>
      </c>
      <c r="AA126" s="62" t="s">
        <v>613</v>
      </c>
      <c r="AB126" s="61" t="s">
        <v>622</v>
      </c>
      <c r="AC126" s="62" t="s">
        <v>616</v>
      </c>
      <c r="AD126" s="61" t="s">
        <v>622</v>
      </c>
      <c r="AE126" s="62" t="s">
        <v>619</v>
      </c>
    </row>
    <row r="127" spans="1:31" ht="6.6" customHeight="1" x14ac:dyDescent="0.2">
      <c r="A127" s="8">
        <v>127</v>
      </c>
      <c r="B127" s="14" t="s">
        <v>321</v>
      </c>
      <c r="C127" s="12" t="s">
        <v>484</v>
      </c>
      <c r="D127" s="61" t="s">
        <v>467</v>
      </c>
      <c r="E127" s="62" t="s">
        <v>371</v>
      </c>
      <c r="F127" s="36" t="s">
        <v>370</v>
      </c>
      <c r="G127" s="39" t="s">
        <v>372</v>
      </c>
      <c r="H127" s="36" t="s">
        <v>364</v>
      </c>
      <c r="I127" s="39" t="s">
        <v>365</v>
      </c>
      <c r="J127" s="36" t="s">
        <v>366</v>
      </c>
      <c r="K127" s="39" t="s">
        <v>421</v>
      </c>
      <c r="L127" s="36" t="s">
        <v>422</v>
      </c>
      <c r="M127" s="37" t="s">
        <v>461</v>
      </c>
      <c r="N127" s="36" t="s">
        <v>1</v>
      </c>
      <c r="O127" s="13" t="s">
        <v>130</v>
      </c>
      <c r="P127" s="49" t="s">
        <v>439</v>
      </c>
      <c r="Q127" s="50" t="s">
        <v>441</v>
      </c>
      <c r="R127" s="49" t="s">
        <v>440</v>
      </c>
      <c r="S127" s="50" t="s">
        <v>442</v>
      </c>
      <c r="T127" s="53" t="s">
        <v>191</v>
      </c>
      <c r="U127" s="54" t="s">
        <v>191</v>
      </c>
      <c r="V127" s="61" t="s">
        <v>622</v>
      </c>
      <c r="W127" s="62" t="s">
        <v>606</v>
      </c>
      <c r="X127" s="61" t="s">
        <v>622</v>
      </c>
      <c r="Y127" s="62" t="s">
        <v>610</v>
      </c>
      <c r="Z127" s="61" t="s">
        <v>622</v>
      </c>
      <c r="AA127" s="62" t="s">
        <v>613</v>
      </c>
      <c r="AB127" s="61" t="s">
        <v>622</v>
      </c>
      <c r="AC127" s="62" t="s">
        <v>616</v>
      </c>
      <c r="AD127" s="61" t="s">
        <v>622</v>
      </c>
      <c r="AE127" s="62" t="s">
        <v>619</v>
      </c>
    </row>
    <row r="128" spans="1:31" ht="6.6" customHeight="1" x14ac:dyDescent="0.2">
      <c r="A128" s="8">
        <v>128</v>
      </c>
      <c r="B128" s="14" t="s">
        <v>322</v>
      </c>
      <c r="C128" s="12" t="s">
        <v>484</v>
      </c>
      <c r="D128" s="61" t="s">
        <v>467</v>
      </c>
      <c r="E128" s="62" t="s">
        <v>371</v>
      </c>
      <c r="F128" s="36" t="s">
        <v>370</v>
      </c>
      <c r="G128" s="39" t="s">
        <v>372</v>
      </c>
      <c r="H128" s="36" t="s">
        <v>364</v>
      </c>
      <c r="I128" s="39" t="s">
        <v>365</v>
      </c>
      <c r="J128" s="36" t="s">
        <v>366</v>
      </c>
      <c r="K128" s="39" t="s">
        <v>421</v>
      </c>
      <c r="L128" s="36" t="s">
        <v>422</v>
      </c>
      <c r="M128" s="37" t="s">
        <v>461</v>
      </c>
      <c r="N128" s="36" t="s">
        <v>1</v>
      </c>
      <c r="O128" s="13" t="s">
        <v>131</v>
      </c>
      <c r="P128" s="49" t="s">
        <v>439</v>
      </c>
      <c r="Q128" s="50" t="s">
        <v>441</v>
      </c>
      <c r="R128" s="49" t="s">
        <v>440</v>
      </c>
      <c r="S128" s="50" t="s">
        <v>442</v>
      </c>
      <c r="T128" s="53" t="s">
        <v>191</v>
      </c>
      <c r="U128" s="54" t="s">
        <v>191</v>
      </c>
      <c r="V128" s="61" t="s">
        <v>622</v>
      </c>
      <c r="W128" s="62" t="s">
        <v>606</v>
      </c>
      <c r="X128" s="61" t="s">
        <v>622</v>
      </c>
      <c r="Y128" s="62" t="s">
        <v>610</v>
      </c>
      <c r="Z128" s="61" t="s">
        <v>622</v>
      </c>
      <c r="AA128" s="62" t="s">
        <v>613</v>
      </c>
      <c r="AB128" s="61" t="s">
        <v>622</v>
      </c>
      <c r="AC128" s="62" t="s">
        <v>616</v>
      </c>
      <c r="AD128" s="61" t="s">
        <v>622</v>
      </c>
      <c r="AE128" s="62" t="s">
        <v>619</v>
      </c>
    </row>
    <row r="129" spans="1:31" ht="6.6" customHeight="1" x14ac:dyDescent="0.2">
      <c r="A129" s="8">
        <v>129</v>
      </c>
      <c r="B129" s="14" t="s">
        <v>323</v>
      </c>
      <c r="C129" s="12" t="s">
        <v>484</v>
      </c>
      <c r="D129" s="61" t="s">
        <v>467</v>
      </c>
      <c r="E129" s="62" t="s">
        <v>371</v>
      </c>
      <c r="F129" s="36" t="s">
        <v>370</v>
      </c>
      <c r="G129" s="39" t="s">
        <v>372</v>
      </c>
      <c r="H129" s="36" t="s">
        <v>364</v>
      </c>
      <c r="I129" s="39" t="s">
        <v>365</v>
      </c>
      <c r="J129" s="36" t="s">
        <v>366</v>
      </c>
      <c r="K129" s="39" t="s">
        <v>421</v>
      </c>
      <c r="L129" s="36" t="s">
        <v>422</v>
      </c>
      <c r="M129" s="37" t="s">
        <v>461</v>
      </c>
      <c r="N129" s="36" t="s">
        <v>1</v>
      </c>
      <c r="O129" s="13" t="s">
        <v>132</v>
      </c>
      <c r="P129" s="49" t="s">
        <v>439</v>
      </c>
      <c r="Q129" s="50" t="s">
        <v>441</v>
      </c>
      <c r="R129" s="49" t="s">
        <v>440</v>
      </c>
      <c r="S129" s="50" t="s">
        <v>442</v>
      </c>
      <c r="T129" s="53" t="s">
        <v>191</v>
      </c>
      <c r="U129" s="54" t="s">
        <v>191</v>
      </c>
      <c r="V129" s="61" t="s">
        <v>622</v>
      </c>
      <c r="W129" s="62" t="s">
        <v>606</v>
      </c>
      <c r="X129" s="61" t="s">
        <v>622</v>
      </c>
      <c r="Y129" s="62" t="s">
        <v>610</v>
      </c>
      <c r="Z129" s="61" t="s">
        <v>622</v>
      </c>
      <c r="AA129" s="62" t="s">
        <v>613</v>
      </c>
      <c r="AB129" s="61" t="s">
        <v>622</v>
      </c>
      <c r="AC129" s="62" t="s">
        <v>616</v>
      </c>
      <c r="AD129" s="61" t="s">
        <v>622</v>
      </c>
      <c r="AE129" s="62" t="s">
        <v>619</v>
      </c>
    </row>
    <row r="130" spans="1:31" ht="6.6" customHeight="1" x14ac:dyDescent="0.2">
      <c r="A130" s="8">
        <v>130</v>
      </c>
      <c r="B130" s="14" t="s">
        <v>324</v>
      </c>
      <c r="C130" s="12" t="s">
        <v>484</v>
      </c>
      <c r="D130" s="61" t="s">
        <v>467</v>
      </c>
      <c r="E130" s="62" t="s">
        <v>371</v>
      </c>
      <c r="F130" s="36" t="s">
        <v>370</v>
      </c>
      <c r="G130" s="39" t="s">
        <v>372</v>
      </c>
      <c r="H130" s="36" t="s">
        <v>364</v>
      </c>
      <c r="I130" s="39" t="s">
        <v>365</v>
      </c>
      <c r="J130" s="36" t="s">
        <v>366</v>
      </c>
      <c r="K130" s="39" t="s">
        <v>421</v>
      </c>
      <c r="L130" s="36" t="s">
        <v>422</v>
      </c>
      <c r="M130" s="37" t="s">
        <v>461</v>
      </c>
      <c r="N130" s="36" t="s">
        <v>1</v>
      </c>
      <c r="O130" s="13" t="s">
        <v>133</v>
      </c>
      <c r="P130" s="49" t="s">
        <v>439</v>
      </c>
      <c r="Q130" s="50" t="s">
        <v>441</v>
      </c>
      <c r="R130" s="49" t="s">
        <v>440</v>
      </c>
      <c r="S130" s="50" t="s">
        <v>442</v>
      </c>
      <c r="T130" s="53" t="s">
        <v>191</v>
      </c>
      <c r="U130" s="54" t="s">
        <v>191</v>
      </c>
      <c r="V130" s="61" t="s">
        <v>622</v>
      </c>
      <c r="W130" s="62" t="s">
        <v>606</v>
      </c>
      <c r="X130" s="61" t="s">
        <v>622</v>
      </c>
      <c r="Y130" s="62" t="s">
        <v>610</v>
      </c>
      <c r="Z130" s="61" t="s">
        <v>622</v>
      </c>
      <c r="AA130" s="62" t="s">
        <v>613</v>
      </c>
      <c r="AB130" s="61" t="s">
        <v>622</v>
      </c>
      <c r="AC130" s="62" t="s">
        <v>616</v>
      </c>
      <c r="AD130" s="61" t="s">
        <v>622</v>
      </c>
      <c r="AE130" s="62" t="s">
        <v>619</v>
      </c>
    </row>
    <row r="131" spans="1:31" ht="6.6" customHeight="1" x14ac:dyDescent="0.2">
      <c r="A131" s="8">
        <v>131</v>
      </c>
      <c r="B131" s="14" t="s">
        <v>325</v>
      </c>
      <c r="C131" s="12" t="s">
        <v>484</v>
      </c>
      <c r="D131" s="61" t="s">
        <v>467</v>
      </c>
      <c r="E131" s="62" t="s">
        <v>371</v>
      </c>
      <c r="F131" s="36" t="s">
        <v>370</v>
      </c>
      <c r="G131" s="39" t="s">
        <v>372</v>
      </c>
      <c r="H131" s="36" t="s">
        <v>364</v>
      </c>
      <c r="I131" s="39" t="s">
        <v>365</v>
      </c>
      <c r="J131" s="36" t="s">
        <v>366</v>
      </c>
      <c r="K131" s="39" t="s">
        <v>421</v>
      </c>
      <c r="L131" s="36" t="s">
        <v>422</v>
      </c>
      <c r="M131" s="37" t="s">
        <v>461</v>
      </c>
      <c r="N131" s="36" t="s">
        <v>1</v>
      </c>
      <c r="O131" s="13" t="s">
        <v>134</v>
      </c>
      <c r="P131" s="49" t="s">
        <v>439</v>
      </c>
      <c r="Q131" s="50" t="s">
        <v>441</v>
      </c>
      <c r="R131" s="49" t="s">
        <v>440</v>
      </c>
      <c r="S131" s="50" t="s">
        <v>442</v>
      </c>
      <c r="T131" s="53" t="s">
        <v>191</v>
      </c>
      <c r="U131" s="54" t="s">
        <v>191</v>
      </c>
      <c r="V131" s="61" t="s">
        <v>622</v>
      </c>
      <c r="W131" s="62" t="s">
        <v>606</v>
      </c>
      <c r="X131" s="61" t="s">
        <v>622</v>
      </c>
      <c r="Y131" s="62" t="s">
        <v>610</v>
      </c>
      <c r="Z131" s="61" t="s">
        <v>622</v>
      </c>
      <c r="AA131" s="62" t="s">
        <v>613</v>
      </c>
      <c r="AB131" s="61" t="s">
        <v>622</v>
      </c>
      <c r="AC131" s="62" t="s">
        <v>616</v>
      </c>
      <c r="AD131" s="61" t="s">
        <v>622</v>
      </c>
      <c r="AE131" s="62" t="s">
        <v>619</v>
      </c>
    </row>
    <row r="132" spans="1:31" ht="6.6" customHeight="1" x14ac:dyDescent="0.2">
      <c r="A132" s="8">
        <v>132</v>
      </c>
      <c r="B132" s="14" t="s">
        <v>326</v>
      </c>
      <c r="C132" s="12" t="s">
        <v>484</v>
      </c>
      <c r="D132" s="61" t="s">
        <v>467</v>
      </c>
      <c r="E132" s="62" t="s">
        <v>371</v>
      </c>
      <c r="F132" s="36" t="s">
        <v>370</v>
      </c>
      <c r="G132" s="39" t="s">
        <v>372</v>
      </c>
      <c r="H132" s="36" t="s">
        <v>364</v>
      </c>
      <c r="I132" s="39" t="s">
        <v>365</v>
      </c>
      <c r="J132" s="36" t="s">
        <v>366</v>
      </c>
      <c r="K132" s="39" t="s">
        <v>421</v>
      </c>
      <c r="L132" s="36" t="s">
        <v>422</v>
      </c>
      <c r="M132" s="37" t="s">
        <v>461</v>
      </c>
      <c r="N132" s="36" t="s">
        <v>1</v>
      </c>
      <c r="O132" s="13" t="s">
        <v>135</v>
      </c>
      <c r="P132" s="49" t="s">
        <v>439</v>
      </c>
      <c r="Q132" s="50" t="s">
        <v>441</v>
      </c>
      <c r="R132" s="49" t="s">
        <v>440</v>
      </c>
      <c r="S132" s="50" t="s">
        <v>442</v>
      </c>
      <c r="T132" s="53" t="s">
        <v>191</v>
      </c>
      <c r="U132" s="54" t="s">
        <v>191</v>
      </c>
      <c r="V132" s="61" t="s">
        <v>622</v>
      </c>
      <c r="W132" s="62" t="s">
        <v>606</v>
      </c>
      <c r="X132" s="61" t="s">
        <v>622</v>
      </c>
      <c r="Y132" s="62" t="s">
        <v>610</v>
      </c>
      <c r="Z132" s="61" t="s">
        <v>622</v>
      </c>
      <c r="AA132" s="62" t="s">
        <v>613</v>
      </c>
      <c r="AB132" s="61" t="s">
        <v>622</v>
      </c>
      <c r="AC132" s="62" t="s">
        <v>616</v>
      </c>
      <c r="AD132" s="61" t="s">
        <v>622</v>
      </c>
      <c r="AE132" s="62" t="s">
        <v>619</v>
      </c>
    </row>
    <row r="133" spans="1:31" ht="6.6" customHeight="1" x14ac:dyDescent="0.2">
      <c r="A133" s="8">
        <v>133</v>
      </c>
      <c r="B133" s="14" t="s">
        <v>327</v>
      </c>
      <c r="C133" s="12" t="s">
        <v>484</v>
      </c>
      <c r="D133" s="61" t="s">
        <v>467</v>
      </c>
      <c r="E133" s="62" t="s">
        <v>371</v>
      </c>
      <c r="F133" s="36" t="s">
        <v>370</v>
      </c>
      <c r="G133" s="39" t="s">
        <v>372</v>
      </c>
      <c r="H133" s="36" t="s">
        <v>364</v>
      </c>
      <c r="I133" s="39" t="s">
        <v>365</v>
      </c>
      <c r="J133" s="36" t="s">
        <v>366</v>
      </c>
      <c r="K133" s="39" t="s">
        <v>421</v>
      </c>
      <c r="L133" s="36" t="s">
        <v>422</v>
      </c>
      <c r="M133" s="37" t="s">
        <v>461</v>
      </c>
      <c r="N133" s="36" t="s">
        <v>1</v>
      </c>
      <c r="O133" s="13" t="s">
        <v>136</v>
      </c>
      <c r="P133" s="49" t="s">
        <v>439</v>
      </c>
      <c r="Q133" s="50" t="s">
        <v>441</v>
      </c>
      <c r="R133" s="49" t="s">
        <v>440</v>
      </c>
      <c r="S133" s="50" t="s">
        <v>442</v>
      </c>
      <c r="T133" s="53" t="s">
        <v>191</v>
      </c>
      <c r="U133" s="54" t="s">
        <v>191</v>
      </c>
      <c r="V133" s="61" t="s">
        <v>622</v>
      </c>
      <c r="W133" s="62" t="s">
        <v>606</v>
      </c>
      <c r="X133" s="61" t="s">
        <v>622</v>
      </c>
      <c r="Y133" s="62" t="s">
        <v>610</v>
      </c>
      <c r="Z133" s="61" t="s">
        <v>622</v>
      </c>
      <c r="AA133" s="62" t="s">
        <v>613</v>
      </c>
      <c r="AB133" s="61" t="s">
        <v>622</v>
      </c>
      <c r="AC133" s="62" t="s">
        <v>616</v>
      </c>
      <c r="AD133" s="61" t="s">
        <v>622</v>
      </c>
      <c r="AE133" s="62" t="s">
        <v>619</v>
      </c>
    </row>
    <row r="134" spans="1:31" ht="6.6" customHeight="1" x14ac:dyDescent="0.2">
      <c r="A134" s="8">
        <v>134</v>
      </c>
      <c r="B134" s="14" t="s">
        <v>328</v>
      </c>
      <c r="C134" s="12" t="s">
        <v>484</v>
      </c>
      <c r="D134" s="61" t="s">
        <v>467</v>
      </c>
      <c r="E134" s="62" t="s">
        <v>371</v>
      </c>
      <c r="F134" s="36" t="s">
        <v>370</v>
      </c>
      <c r="G134" s="39" t="s">
        <v>372</v>
      </c>
      <c r="H134" s="36" t="s">
        <v>364</v>
      </c>
      <c r="I134" s="39" t="s">
        <v>365</v>
      </c>
      <c r="J134" s="36" t="s">
        <v>366</v>
      </c>
      <c r="K134" s="39" t="s">
        <v>421</v>
      </c>
      <c r="L134" s="36" t="s">
        <v>422</v>
      </c>
      <c r="M134" s="37" t="s">
        <v>461</v>
      </c>
      <c r="N134" s="36" t="s">
        <v>1</v>
      </c>
      <c r="O134" s="13" t="s">
        <v>137</v>
      </c>
      <c r="P134" s="49" t="s">
        <v>439</v>
      </c>
      <c r="Q134" s="50" t="s">
        <v>441</v>
      </c>
      <c r="R134" s="49" t="s">
        <v>440</v>
      </c>
      <c r="S134" s="50" t="s">
        <v>442</v>
      </c>
      <c r="T134" s="53" t="s">
        <v>191</v>
      </c>
      <c r="U134" s="54" t="s">
        <v>191</v>
      </c>
      <c r="V134" s="61" t="s">
        <v>622</v>
      </c>
      <c r="W134" s="62" t="s">
        <v>606</v>
      </c>
      <c r="X134" s="61" t="s">
        <v>622</v>
      </c>
      <c r="Y134" s="62" t="s">
        <v>610</v>
      </c>
      <c r="Z134" s="61" t="s">
        <v>622</v>
      </c>
      <c r="AA134" s="62" t="s">
        <v>613</v>
      </c>
      <c r="AB134" s="61" t="s">
        <v>622</v>
      </c>
      <c r="AC134" s="62" t="s">
        <v>616</v>
      </c>
      <c r="AD134" s="61" t="s">
        <v>622</v>
      </c>
      <c r="AE134" s="62" t="s">
        <v>619</v>
      </c>
    </row>
    <row r="135" spans="1:31" ht="6.6" customHeight="1" x14ac:dyDescent="0.2">
      <c r="A135" s="8">
        <v>135</v>
      </c>
      <c r="B135" s="14" t="s">
        <v>329</v>
      </c>
      <c r="C135" s="12" t="s">
        <v>484</v>
      </c>
      <c r="D135" s="61" t="s">
        <v>467</v>
      </c>
      <c r="E135" s="62" t="s">
        <v>371</v>
      </c>
      <c r="F135" s="36" t="s">
        <v>370</v>
      </c>
      <c r="G135" s="39" t="s">
        <v>372</v>
      </c>
      <c r="H135" s="36" t="s">
        <v>364</v>
      </c>
      <c r="I135" s="39" t="s">
        <v>365</v>
      </c>
      <c r="J135" s="36" t="s">
        <v>366</v>
      </c>
      <c r="K135" s="39" t="s">
        <v>421</v>
      </c>
      <c r="L135" s="36" t="s">
        <v>422</v>
      </c>
      <c r="M135" s="37" t="s">
        <v>461</v>
      </c>
      <c r="N135" s="36" t="s">
        <v>1</v>
      </c>
      <c r="O135" s="13" t="s">
        <v>138</v>
      </c>
      <c r="P135" s="49" t="s">
        <v>439</v>
      </c>
      <c r="Q135" s="50" t="s">
        <v>441</v>
      </c>
      <c r="R135" s="49" t="s">
        <v>440</v>
      </c>
      <c r="S135" s="50" t="s">
        <v>442</v>
      </c>
      <c r="T135" s="53" t="s">
        <v>191</v>
      </c>
      <c r="U135" s="54" t="s">
        <v>191</v>
      </c>
      <c r="V135" s="61" t="s">
        <v>622</v>
      </c>
      <c r="W135" s="62" t="s">
        <v>606</v>
      </c>
      <c r="X135" s="61" t="s">
        <v>622</v>
      </c>
      <c r="Y135" s="62" t="s">
        <v>610</v>
      </c>
      <c r="Z135" s="61" t="s">
        <v>622</v>
      </c>
      <c r="AA135" s="62" t="s">
        <v>613</v>
      </c>
      <c r="AB135" s="61" t="s">
        <v>622</v>
      </c>
      <c r="AC135" s="62" t="s">
        <v>616</v>
      </c>
      <c r="AD135" s="61" t="s">
        <v>622</v>
      </c>
      <c r="AE135" s="62" t="s">
        <v>619</v>
      </c>
    </row>
    <row r="136" spans="1:31" ht="6.6" customHeight="1" x14ac:dyDescent="0.2">
      <c r="A136" s="8">
        <v>136</v>
      </c>
      <c r="B136" s="14" t="s">
        <v>330</v>
      </c>
      <c r="C136" s="12" t="s">
        <v>484</v>
      </c>
      <c r="D136" s="61" t="s">
        <v>467</v>
      </c>
      <c r="E136" s="62" t="s">
        <v>371</v>
      </c>
      <c r="F136" s="36" t="s">
        <v>370</v>
      </c>
      <c r="G136" s="39" t="s">
        <v>372</v>
      </c>
      <c r="H136" s="36" t="s">
        <v>364</v>
      </c>
      <c r="I136" s="39" t="s">
        <v>365</v>
      </c>
      <c r="J136" s="36" t="s">
        <v>366</v>
      </c>
      <c r="K136" s="39" t="s">
        <v>421</v>
      </c>
      <c r="L136" s="36" t="s">
        <v>422</v>
      </c>
      <c r="M136" s="37" t="s">
        <v>461</v>
      </c>
      <c r="N136" s="36" t="s">
        <v>1</v>
      </c>
      <c r="O136" s="13" t="s">
        <v>139</v>
      </c>
      <c r="P136" s="49" t="s">
        <v>439</v>
      </c>
      <c r="Q136" s="50" t="s">
        <v>441</v>
      </c>
      <c r="R136" s="49" t="s">
        <v>440</v>
      </c>
      <c r="S136" s="50" t="s">
        <v>442</v>
      </c>
      <c r="T136" s="53" t="s">
        <v>191</v>
      </c>
      <c r="U136" s="54" t="s">
        <v>191</v>
      </c>
      <c r="V136" s="61" t="s">
        <v>622</v>
      </c>
      <c r="W136" s="62" t="s">
        <v>606</v>
      </c>
      <c r="X136" s="61" t="s">
        <v>622</v>
      </c>
      <c r="Y136" s="62" t="s">
        <v>610</v>
      </c>
      <c r="Z136" s="61" t="s">
        <v>622</v>
      </c>
      <c r="AA136" s="62" t="s">
        <v>613</v>
      </c>
      <c r="AB136" s="61" t="s">
        <v>622</v>
      </c>
      <c r="AC136" s="62" t="s">
        <v>616</v>
      </c>
      <c r="AD136" s="61" t="s">
        <v>622</v>
      </c>
      <c r="AE136" s="62" t="s">
        <v>619</v>
      </c>
    </row>
    <row r="137" spans="1:31" ht="6.6" customHeight="1" x14ac:dyDescent="0.2">
      <c r="A137" s="8">
        <v>137</v>
      </c>
      <c r="B137" s="14" t="s">
        <v>331</v>
      </c>
      <c r="C137" s="12" t="s">
        <v>484</v>
      </c>
      <c r="D137" s="61" t="s">
        <v>467</v>
      </c>
      <c r="E137" s="62" t="s">
        <v>371</v>
      </c>
      <c r="F137" s="36" t="s">
        <v>370</v>
      </c>
      <c r="G137" s="39" t="s">
        <v>372</v>
      </c>
      <c r="H137" s="36" t="s">
        <v>364</v>
      </c>
      <c r="I137" s="39" t="s">
        <v>365</v>
      </c>
      <c r="J137" s="36" t="s">
        <v>366</v>
      </c>
      <c r="K137" s="39" t="s">
        <v>421</v>
      </c>
      <c r="L137" s="36" t="s">
        <v>422</v>
      </c>
      <c r="M137" s="37" t="s">
        <v>461</v>
      </c>
      <c r="N137" s="36" t="s">
        <v>1</v>
      </c>
      <c r="O137" s="13" t="s">
        <v>140</v>
      </c>
      <c r="P137" s="49" t="s">
        <v>439</v>
      </c>
      <c r="Q137" s="50" t="s">
        <v>441</v>
      </c>
      <c r="R137" s="49" t="s">
        <v>440</v>
      </c>
      <c r="S137" s="50" t="s">
        <v>442</v>
      </c>
      <c r="T137" s="53" t="s">
        <v>191</v>
      </c>
      <c r="U137" s="54" t="s">
        <v>191</v>
      </c>
      <c r="V137" s="61" t="s">
        <v>622</v>
      </c>
      <c r="W137" s="62" t="s">
        <v>606</v>
      </c>
      <c r="X137" s="61" t="s">
        <v>622</v>
      </c>
      <c r="Y137" s="62" t="s">
        <v>610</v>
      </c>
      <c r="Z137" s="61" t="s">
        <v>622</v>
      </c>
      <c r="AA137" s="62" t="s">
        <v>613</v>
      </c>
      <c r="AB137" s="61" t="s">
        <v>622</v>
      </c>
      <c r="AC137" s="62" t="s">
        <v>616</v>
      </c>
      <c r="AD137" s="61" t="s">
        <v>622</v>
      </c>
      <c r="AE137" s="62" t="s">
        <v>619</v>
      </c>
    </row>
    <row r="138" spans="1:31" ht="6.6" customHeight="1" x14ac:dyDescent="0.2">
      <c r="A138" s="8">
        <v>138</v>
      </c>
      <c r="B138" s="9" t="s">
        <v>332</v>
      </c>
      <c r="C138" s="12" t="s">
        <v>485</v>
      </c>
      <c r="D138" s="61" t="s">
        <v>467</v>
      </c>
      <c r="E138" s="62" t="s">
        <v>371</v>
      </c>
      <c r="F138" s="36" t="s">
        <v>370</v>
      </c>
      <c r="G138" s="39" t="s">
        <v>372</v>
      </c>
      <c r="H138" s="36" t="s">
        <v>364</v>
      </c>
      <c r="I138" s="39" t="s">
        <v>365</v>
      </c>
      <c r="J138" s="36" t="s">
        <v>366</v>
      </c>
      <c r="K138" s="39" t="s">
        <v>421</v>
      </c>
      <c r="L138" s="36" t="s">
        <v>422</v>
      </c>
      <c r="M138" s="37" t="s">
        <v>460</v>
      </c>
      <c r="N138" s="36" t="s">
        <v>1</v>
      </c>
      <c r="O138" s="13" t="s">
        <v>141</v>
      </c>
      <c r="P138" s="49" t="s">
        <v>439</v>
      </c>
      <c r="Q138" s="50" t="s">
        <v>441</v>
      </c>
      <c r="R138" s="49" t="s">
        <v>440</v>
      </c>
      <c r="S138" s="50" t="s">
        <v>442</v>
      </c>
      <c r="T138" s="53" t="s">
        <v>191</v>
      </c>
      <c r="U138" s="54" t="s">
        <v>191</v>
      </c>
      <c r="V138" s="61" t="s">
        <v>622</v>
      </c>
      <c r="W138" s="62" t="s">
        <v>606</v>
      </c>
      <c r="X138" s="61" t="s">
        <v>622</v>
      </c>
      <c r="Y138" s="62" t="s">
        <v>610</v>
      </c>
      <c r="Z138" s="61" t="s">
        <v>622</v>
      </c>
      <c r="AA138" s="62" t="s">
        <v>613</v>
      </c>
      <c r="AB138" s="61" t="s">
        <v>622</v>
      </c>
      <c r="AC138" s="62" t="s">
        <v>616</v>
      </c>
      <c r="AD138" s="61" t="s">
        <v>622</v>
      </c>
      <c r="AE138" s="62" t="s">
        <v>619</v>
      </c>
    </row>
    <row r="139" spans="1:31" ht="6.6" customHeight="1" x14ac:dyDescent="0.2">
      <c r="A139" s="8">
        <v>139</v>
      </c>
      <c r="B139" s="14" t="s">
        <v>333</v>
      </c>
      <c r="C139" s="12" t="s">
        <v>485</v>
      </c>
      <c r="D139" s="61" t="s">
        <v>467</v>
      </c>
      <c r="E139" s="62" t="s">
        <v>371</v>
      </c>
      <c r="F139" s="36" t="s">
        <v>370</v>
      </c>
      <c r="G139" s="39" t="s">
        <v>372</v>
      </c>
      <c r="H139" s="36" t="s">
        <v>364</v>
      </c>
      <c r="I139" s="39" t="s">
        <v>365</v>
      </c>
      <c r="J139" s="36" t="s">
        <v>366</v>
      </c>
      <c r="K139" s="39" t="s">
        <v>421</v>
      </c>
      <c r="L139" s="36" t="s">
        <v>422</v>
      </c>
      <c r="M139" s="37" t="s">
        <v>460</v>
      </c>
      <c r="N139" s="36" t="s">
        <v>1</v>
      </c>
      <c r="O139" s="13" t="s">
        <v>142</v>
      </c>
      <c r="P139" s="49" t="s">
        <v>439</v>
      </c>
      <c r="Q139" s="50" t="s">
        <v>441</v>
      </c>
      <c r="R139" s="49" t="s">
        <v>440</v>
      </c>
      <c r="S139" s="50" t="s">
        <v>442</v>
      </c>
      <c r="T139" s="53" t="s">
        <v>191</v>
      </c>
      <c r="U139" s="54" t="s">
        <v>191</v>
      </c>
      <c r="V139" s="61" t="s">
        <v>622</v>
      </c>
      <c r="W139" s="62" t="s">
        <v>606</v>
      </c>
      <c r="X139" s="61" t="s">
        <v>622</v>
      </c>
      <c r="Y139" s="62" t="s">
        <v>610</v>
      </c>
      <c r="Z139" s="61" t="s">
        <v>622</v>
      </c>
      <c r="AA139" s="62" t="s">
        <v>613</v>
      </c>
      <c r="AB139" s="61" t="s">
        <v>622</v>
      </c>
      <c r="AC139" s="62" t="s">
        <v>616</v>
      </c>
      <c r="AD139" s="61" t="s">
        <v>622</v>
      </c>
      <c r="AE139" s="62" t="s">
        <v>619</v>
      </c>
    </row>
    <row r="140" spans="1:31" ht="6.6" customHeight="1" x14ac:dyDescent="0.2">
      <c r="A140" s="8">
        <v>140</v>
      </c>
      <c r="B140" s="14" t="s">
        <v>334</v>
      </c>
      <c r="C140" s="12" t="s">
        <v>485</v>
      </c>
      <c r="D140" s="61" t="s">
        <v>467</v>
      </c>
      <c r="E140" s="62" t="s">
        <v>371</v>
      </c>
      <c r="F140" s="36" t="s">
        <v>370</v>
      </c>
      <c r="G140" s="39" t="s">
        <v>372</v>
      </c>
      <c r="H140" s="36" t="s">
        <v>364</v>
      </c>
      <c r="I140" s="39" t="s">
        <v>365</v>
      </c>
      <c r="J140" s="36" t="s">
        <v>366</v>
      </c>
      <c r="K140" s="39" t="s">
        <v>421</v>
      </c>
      <c r="L140" s="36" t="s">
        <v>422</v>
      </c>
      <c r="M140" s="37" t="s">
        <v>460</v>
      </c>
      <c r="N140" s="36" t="s">
        <v>1</v>
      </c>
      <c r="O140" s="13" t="s">
        <v>143</v>
      </c>
      <c r="P140" s="49" t="s">
        <v>439</v>
      </c>
      <c r="Q140" s="50" t="s">
        <v>441</v>
      </c>
      <c r="R140" s="49" t="s">
        <v>440</v>
      </c>
      <c r="S140" s="50" t="s">
        <v>442</v>
      </c>
      <c r="T140" s="53" t="s">
        <v>191</v>
      </c>
      <c r="U140" s="54" t="s">
        <v>191</v>
      </c>
      <c r="V140" s="61" t="s">
        <v>622</v>
      </c>
      <c r="W140" s="62" t="s">
        <v>606</v>
      </c>
      <c r="X140" s="61" t="s">
        <v>622</v>
      </c>
      <c r="Y140" s="62" t="s">
        <v>610</v>
      </c>
      <c r="Z140" s="61" t="s">
        <v>622</v>
      </c>
      <c r="AA140" s="62" t="s">
        <v>613</v>
      </c>
      <c r="AB140" s="61" t="s">
        <v>622</v>
      </c>
      <c r="AC140" s="62" t="s">
        <v>616</v>
      </c>
      <c r="AD140" s="61" t="s">
        <v>622</v>
      </c>
      <c r="AE140" s="62" t="s">
        <v>619</v>
      </c>
    </row>
    <row r="141" spans="1:31" ht="6.6" customHeight="1" x14ac:dyDescent="0.2">
      <c r="A141" s="8">
        <v>141</v>
      </c>
      <c r="B141" s="14" t="s">
        <v>335</v>
      </c>
      <c r="C141" s="12" t="s">
        <v>485</v>
      </c>
      <c r="D141" s="61" t="s">
        <v>467</v>
      </c>
      <c r="E141" s="62" t="s">
        <v>371</v>
      </c>
      <c r="F141" s="36" t="s">
        <v>370</v>
      </c>
      <c r="G141" s="39" t="s">
        <v>372</v>
      </c>
      <c r="H141" s="36" t="s">
        <v>364</v>
      </c>
      <c r="I141" s="39" t="s">
        <v>365</v>
      </c>
      <c r="J141" s="36" t="s">
        <v>366</v>
      </c>
      <c r="K141" s="39" t="s">
        <v>421</v>
      </c>
      <c r="L141" s="36" t="s">
        <v>422</v>
      </c>
      <c r="M141" s="37" t="s">
        <v>460</v>
      </c>
      <c r="N141" s="36" t="s">
        <v>1</v>
      </c>
      <c r="O141" s="13" t="s">
        <v>144</v>
      </c>
      <c r="P141" s="49" t="s">
        <v>439</v>
      </c>
      <c r="Q141" s="50" t="s">
        <v>441</v>
      </c>
      <c r="R141" s="49" t="s">
        <v>440</v>
      </c>
      <c r="S141" s="50" t="s">
        <v>442</v>
      </c>
      <c r="T141" s="53" t="s">
        <v>191</v>
      </c>
      <c r="U141" s="54" t="s">
        <v>191</v>
      </c>
      <c r="V141" s="61" t="s">
        <v>622</v>
      </c>
      <c r="W141" s="62" t="s">
        <v>606</v>
      </c>
      <c r="X141" s="61" t="s">
        <v>622</v>
      </c>
      <c r="Y141" s="62" t="s">
        <v>610</v>
      </c>
      <c r="Z141" s="61" t="s">
        <v>622</v>
      </c>
      <c r="AA141" s="62" t="s">
        <v>613</v>
      </c>
      <c r="AB141" s="61" t="s">
        <v>622</v>
      </c>
      <c r="AC141" s="62" t="s">
        <v>616</v>
      </c>
      <c r="AD141" s="61" t="s">
        <v>622</v>
      </c>
      <c r="AE141" s="62" t="s">
        <v>619</v>
      </c>
    </row>
    <row r="142" spans="1:31" ht="6.6" customHeight="1" x14ac:dyDescent="0.2">
      <c r="A142" s="8">
        <v>142</v>
      </c>
      <c r="B142" s="14" t="s">
        <v>336</v>
      </c>
      <c r="C142" s="12" t="s">
        <v>485</v>
      </c>
      <c r="D142" s="61" t="s">
        <v>467</v>
      </c>
      <c r="E142" s="62" t="s">
        <v>371</v>
      </c>
      <c r="F142" s="36" t="s">
        <v>370</v>
      </c>
      <c r="G142" s="39" t="s">
        <v>372</v>
      </c>
      <c r="H142" s="36" t="s">
        <v>364</v>
      </c>
      <c r="I142" s="39" t="s">
        <v>365</v>
      </c>
      <c r="J142" s="36" t="s">
        <v>366</v>
      </c>
      <c r="K142" s="39" t="s">
        <v>421</v>
      </c>
      <c r="L142" s="36" t="s">
        <v>422</v>
      </c>
      <c r="M142" s="37" t="s">
        <v>460</v>
      </c>
      <c r="N142" s="36" t="s">
        <v>1</v>
      </c>
      <c r="O142" s="13" t="s">
        <v>145</v>
      </c>
      <c r="P142" s="49" t="s">
        <v>439</v>
      </c>
      <c r="Q142" s="50" t="s">
        <v>441</v>
      </c>
      <c r="R142" s="49" t="s">
        <v>440</v>
      </c>
      <c r="S142" s="50" t="s">
        <v>442</v>
      </c>
      <c r="T142" s="53" t="s">
        <v>191</v>
      </c>
      <c r="U142" s="54" t="s">
        <v>191</v>
      </c>
      <c r="V142" s="61" t="s">
        <v>622</v>
      </c>
      <c r="W142" s="62" t="s">
        <v>606</v>
      </c>
      <c r="X142" s="61" t="s">
        <v>622</v>
      </c>
      <c r="Y142" s="62" t="s">
        <v>610</v>
      </c>
      <c r="Z142" s="61" t="s">
        <v>622</v>
      </c>
      <c r="AA142" s="62" t="s">
        <v>613</v>
      </c>
      <c r="AB142" s="61" t="s">
        <v>622</v>
      </c>
      <c r="AC142" s="62" t="s">
        <v>616</v>
      </c>
      <c r="AD142" s="61" t="s">
        <v>622</v>
      </c>
      <c r="AE142" s="62" t="s">
        <v>619</v>
      </c>
    </row>
    <row r="143" spans="1:31" ht="6.6" customHeight="1" x14ac:dyDescent="0.2">
      <c r="A143" s="8">
        <v>143</v>
      </c>
      <c r="B143" s="14" t="s">
        <v>337</v>
      </c>
      <c r="C143" s="12" t="s">
        <v>485</v>
      </c>
      <c r="D143" s="61" t="s">
        <v>467</v>
      </c>
      <c r="E143" s="62" t="s">
        <v>371</v>
      </c>
      <c r="F143" s="36" t="s">
        <v>370</v>
      </c>
      <c r="G143" s="39" t="s">
        <v>372</v>
      </c>
      <c r="H143" s="36" t="s">
        <v>364</v>
      </c>
      <c r="I143" s="39" t="s">
        <v>365</v>
      </c>
      <c r="J143" s="36" t="s">
        <v>366</v>
      </c>
      <c r="K143" s="39" t="s">
        <v>421</v>
      </c>
      <c r="L143" s="36" t="s">
        <v>422</v>
      </c>
      <c r="M143" s="37" t="s">
        <v>460</v>
      </c>
      <c r="N143" s="36" t="s">
        <v>1</v>
      </c>
      <c r="O143" s="13" t="s">
        <v>146</v>
      </c>
      <c r="P143" s="49" t="s">
        <v>439</v>
      </c>
      <c r="Q143" s="50" t="s">
        <v>441</v>
      </c>
      <c r="R143" s="49" t="s">
        <v>440</v>
      </c>
      <c r="S143" s="50" t="s">
        <v>442</v>
      </c>
      <c r="T143" s="53" t="s">
        <v>191</v>
      </c>
      <c r="U143" s="54" t="s">
        <v>191</v>
      </c>
      <c r="V143" s="61" t="s">
        <v>622</v>
      </c>
      <c r="W143" s="62" t="s">
        <v>606</v>
      </c>
      <c r="X143" s="61" t="s">
        <v>622</v>
      </c>
      <c r="Y143" s="62" t="s">
        <v>610</v>
      </c>
      <c r="Z143" s="61" t="s">
        <v>622</v>
      </c>
      <c r="AA143" s="62" t="s">
        <v>613</v>
      </c>
      <c r="AB143" s="61" t="s">
        <v>622</v>
      </c>
      <c r="AC143" s="62" t="s">
        <v>616</v>
      </c>
      <c r="AD143" s="61" t="s">
        <v>622</v>
      </c>
      <c r="AE143" s="62" t="s">
        <v>619</v>
      </c>
    </row>
    <row r="144" spans="1:31" ht="6.6" customHeight="1" x14ac:dyDescent="0.2">
      <c r="A144" s="8">
        <v>144</v>
      </c>
      <c r="B144" s="9" t="s">
        <v>338</v>
      </c>
      <c r="C144" s="12" t="s">
        <v>506</v>
      </c>
      <c r="D144" s="61" t="s">
        <v>467</v>
      </c>
      <c r="E144" s="62" t="s">
        <v>371</v>
      </c>
      <c r="F144" s="36" t="s">
        <v>370</v>
      </c>
      <c r="G144" s="39" t="s">
        <v>372</v>
      </c>
      <c r="H144" s="36" t="s">
        <v>364</v>
      </c>
      <c r="I144" s="39" t="s">
        <v>365</v>
      </c>
      <c r="J144" s="36" t="s">
        <v>366</v>
      </c>
      <c r="K144" s="39" t="s">
        <v>421</v>
      </c>
      <c r="L144" s="36" t="s">
        <v>422</v>
      </c>
      <c r="M144" s="37" t="s">
        <v>458</v>
      </c>
      <c r="N144" s="36" t="s">
        <v>1</v>
      </c>
      <c r="O144" s="13" t="s">
        <v>147</v>
      </c>
      <c r="P144" s="49" t="s">
        <v>439</v>
      </c>
      <c r="Q144" s="50" t="s">
        <v>441</v>
      </c>
      <c r="R144" s="49" t="s">
        <v>440</v>
      </c>
      <c r="S144" s="50" t="s">
        <v>442</v>
      </c>
      <c r="T144" s="53" t="s">
        <v>191</v>
      </c>
      <c r="U144" s="54" t="s">
        <v>191</v>
      </c>
      <c r="V144" s="61" t="s">
        <v>622</v>
      </c>
      <c r="W144" s="62" t="s">
        <v>606</v>
      </c>
      <c r="X144" s="61" t="s">
        <v>622</v>
      </c>
      <c r="Y144" s="62" t="s">
        <v>610</v>
      </c>
      <c r="Z144" s="61" t="s">
        <v>622</v>
      </c>
      <c r="AA144" s="62" t="s">
        <v>613</v>
      </c>
      <c r="AB144" s="61" t="s">
        <v>622</v>
      </c>
      <c r="AC144" s="62" t="s">
        <v>616</v>
      </c>
      <c r="AD144" s="61" t="s">
        <v>622</v>
      </c>
      <c r="AE144" s="62" t="s">
        <v>619</v>
      </c>
    </row>
    <row r="145" spans="1:31" ht="6.6" customHeight="1" x14ac:dyDescent="0.2">
      <c r="A145" s="8">
        <v>145</v>
      </c>
      <c r="B145" s="14" t="s">
        <v>339</v>
      </c>
      <c r="C145" s="12" t="s">
        <v>506</v>
      </c>
      <c r="D145" s="61" t="s">
        <v>467</v>
      </c>
      <c r="E145" s="62" t="s">
        <v>371</v>
      </c>
      <c r="F145" s="36" t="s">
        <v>370</v>
      </c>
      <c r="G145" s="39" t="s">
        <v>372</v>
      </c>
      <c r="H145" s="36" t="s">
        <v>364</v>
      </c>
      <c r="I145" s="39" t="s">
        <v>365</v>
      </c>
      <c r="J145" s="36" t="s">
        <v>366</v>
      </c>
      <c r="K145" s="39" t="s">
        <v>421</v>
      </c>
      <c r="L145" s="36" t="s">
        <v>422</v>
      </c>
      <c r="M145" s="37" t="s">
        <v>458</v>
      </c>
      <c r="N145" s="36" t="s">
        <v>1</v>
      </c>
      <c r="O145" s="13" t="s">
        <v>148</v>
      </c>
      <c r="P145" s="49" t="s">
        <v>439</v>
      </c>
      <c r="Q145" s="50" t="s">
        <v>441</v>
      </c>
      <c r="R145" s="49" t="s">
        <v>440</v>
      </c>
      <c r="S145" s="50" t="s">
        <v>442</v>
      </c>
      <c r="T145" s="53" t="s">
        <v>191</v>
      </c>
      <c r="U145" s="54" t="s">
        <v>191</v>
      </c>
      <c r="V145" s="61" t="s">
        <v>622</v>
      </c>
      <c r="W145" s="62" t="s">
        <v>606</v>
      </c>
      <c r="X145" s="61" t="s">
        <v>622</v>
      </c>
      <c r="Y145" s="62" t="s">
        <v>610</v>
      </c>
      <c r="Z145" s="61" t="s">
        <v>622</v>
      </c>
      <c r="AA145" s="62" t="s">
        <v>613</v>
      </c>
      <c r="AB145" s="61" t="s">
        <v>622</v>
      </c>
      <c r="AC145" s="62" t="s">
        <v>616</v>
      </c>
      <c r="AD145" s="61" t="s">
        <v>622</v>
      </c>
      <c r="AE145" s="62" t="s">
        <v>619</v>
      </c>
    </row>
    <row r="146" spans="1:31" ht="6.6" customHeight="1" x14ac:dyDescent="0.2">
      <c r="A146" s="8">
        <v>146</v>
      </c>
      <c r="B146" s="14" t="s">
        <v>340</v>
      </c>
      <c r="C146" s="12" t="s">
        <v>506</v>
      </c>
      <c r="D146" s="61" t="s">
        <v>467</v>
      </c>
      <c r="E146" s="62" t="s">
        <v>371</v>
      </c>
      <c r="F146" s="36" t="s">
        <v>370</v>
      </c>
      <c r="G146" s="39" t="s">
        <v>372</v>
      </c>
      <c r="H146" s="36" t="s">
        <v>364</v>
      </c>
      <c r="I146" s="39" t="s">
        <v>365</v>
      </c>
      <c r="J146" s="36" t="s">
        <v>366</v>
      </c>
      <c r="K146" s="39" t="s">
        <v>421</v>
      </c>
      <c r="L146" s="36" t="s">
        <v>422</v>
      </c>
      <c r="M146" s="37" t="s">
        <v>458</v>
      </c>
      <c r="N146" s="36" t="s">
        <v>1</v>
      </c>
      <c r="O146" s="13" t="s">
        <v>149</v>
      </c>
      <c r="P146" s="49" t="s">
        <v>439</v>
      </c>
      <c r="Q146" s="50" t="s">
        <v>441</v>
      </c>
      <c r="R146" s="49" t="s">
        <v>440</v>
      </c>
      <c r="S146" s="50" t="s">
        <v>442</v>
      </c>
      <c r="T146" s="53" t="s">
        <v>191</v>
      </c>
      <c r="U146" s="54" t="s">
        <v>191</v>
      </c>
      <c r="V146" s="61" t="s">
        <v>622</v>
      </c>
      <c r="W146" s="62" t="s">
        <v>606</v>
      </c>
      <c r="X146" s="61" t="s">
        <v>622</v>
      </c>
      <c r="Y146" s="62" t="s">
        <v>610</v>
      </c>
      <c r="Z146" s="61" t="s">
        <v>622</v>
      </c>
      <c r="AA146" s="62" t="s">
        <v>613</v>
      </c>
      <c r="AB146" s="61" t="s">
        <v>622</v>
      </c>
      <c r="AC146" s="62" t="s">
        <v>616</v>
      </c>
      <c r="AD146" s="61" t="s">
        <v>622</v>
      </c>
      <c r="AE146" s="62" t="s">
        <v>619</v>
      </c>
    </row>
    <row r="147" spans="1:31" ht="6.6" customHeight="1" x14ac:dyDescent="0.2">
      <c r="A147" s="8">
        <v>147</v>
      </c>
      <c r="B147" s="14" t="s">
        <v>341</v>
      </c>
      <c r="C147" s="12" t="s">
        <v>506</v>
      </c>
      <c r="D147" s="61" t="s">
        <v>467</v>
      </c>
      <c r="E147" s="62" t="s">
        <v>371</v>
      </c>
      <c r="F147" s="36" t="s">
        <v>370</v>
      </c>
      <c r="G147" s="39" t="s">
        <v>372</v>
      </c>
      <c r="H147" s="36" t="s">
        <v>364</v>
      </c>
      <c r="I147" s="39" t="s">
        <v>365</v>
      </c>
      <c r="J147" s="36" t="s">
        <v>366</v>
      </c>
      <c r="K147" s="39" t="s">
        <v>421</v>
      </c>
      <c r="L147" s="36" t="s">
        <v>422</v>
      </c>
      <c r="M147" s="37" t="s">
        <v>458</v>
      </c>
      <c r="N147" s="36" t="s">
        <v>1</v>
      </c>
      <c r="O147" s="13" t="s">
        <v>150</v>
      </c>
      <c r="P147" s="49" t="s">
        <v>439</v>
      </c>
      <c r="Q147" s="50" t="s">
        <v>441</v>
      </c>
      <c r="R147" s="49" t="s">
        <v>440</v>
      </c>
      <c r="S147" s="50" t="s">
        <v>442</v>
      </c>
      <c r="T147" s="53" t="s">
        <v>191</v>
      </c>
      <c r="U147" s="54" t="s">
        <v>191</v>
      </c>
      <c r="V147" s="61" t="s">
        <v>622</v>
      </c>
      <c r="W147" s="62" t="s">
        <v>606</v>
      </c>
      <c r="X147" s="61" t="s">
        <v>622</v>
      </c>
      <c r="Y147" s="62" t="s">
        <v>610</v>
      </c>
      <c r="Z147" s="61" t="s">
        <v>622</v>
      </c>
      <c r="AA147" s="62" t="s">
        <v>613</v>
      </c>
      <c r="AB147" s="61" t="s">
        <v>622</v>
      </c>
      <c r="AC147" s="62" t="s">
        <v>616</v>
      </c>
      <c r="AD147" s="61" t="s">
        <v>622</v>
      </c>
      <c r="AE147" s="62" t="s">
        <v>619</v>
      </c>
    </row>
    <row r="148" spans="1:31" ht="6.6" customHeight="1" x14ac:dyDescent="0.2">
      <c r="A148" s="8">
        <v>148</v>
      </c>
      <c r="B148" s="14" t="s">
        <v>342</v>
      </c>
      <c r="C148" s="12" t="s">
        <v>506</v>
      </c>
      <c r="D148" s="61" t="s">
        <v>467</v>
      </c>
      <c r="E148" s="62" t="s">
        <v>371</v>
      </c>
      <c r="F148" s="36" t="s">
        <v>370</v>
      </c>
      <c r="G148" s="39" t="s">
        <v>372</v>
      </c>
      <c r="H148" s="36" t="s">
        <v>364</v>
      </c>
      <c r="I148" s="39" t="s">
        <v>365</v>
      </c>
      <c r="J148" s="36" t="s">
        <v>366</v>
      </c>
      <c r="K148" s="39" t="s">
        <v>421</v>
      </c>
      <c r="L148" s="36" t="s">
        <v>422</v>
      </c>
      <c r="M148" s="37" t="s">
        <v>458</v>
      </c>
      <c r="N148" s="36" t="s">
        <v>1</v>
      </c>
      <c r="O148" s="13" t="s">
        <v>151</v>
      </c>
      <c r="P148" s="49" t="s">
        <v>439</v>
      </c>
      <c r="Q148" s="50" t="s">
        <v>441</v>
      </c>
      <c r="R148" s="49" t="s">
        <v>440</v>
      </c>
      <c r="S148" s="50" t="s">
        <v>442</v>
      </c>
      <c r="T148" s="53" t="s">
        <v>191</v>
      </c>
      <c r="U148" s="54" t="s">
        <v>191</v>
      </c>
      <c r="V148" s="61" t="s">
        <v>622</v>
      </c>
      <c r="W148" s="62" t="s">
        <v>606</v>
      </c>
      <c r="X148" s="61" t="s">
        <v>622</v>
      </c>
      <c r="Y148" s="62" t="s">
        <v>610</v>
      </c>
      <c r="Z148" s="61" t="s">
        <v>622</v>
      </c>
      <c r="AA148" s="62" t="s">
        <v>613</v>
      </c>
      <c r="AB148" s="61" t="s">
        <v>622</v>
      </c>
      <c r="AC148" s="62" t="s">
        <v>616</v>
      </c>
      <c r="AD148" s="61" t="s">
        <v>622</v>
      </c>
      <c r="AE148" s="62" t="s">
        <v>619</v>
      </c>
    </row>
    <row r="149" spans="1:31" ht="6.6" customHeight="1" x14ac:dyDescent="0.2">
      <c r="A149" s="8">
        <v>149</v>
      </c>
      <c r="B149" s="14" t="s">
        <v>343</v>
      </c>
      <c r="C149" s="12" t="s">
        <v>506</v>
      </c>
      <c r="D149" s="61" t="s">
        <v>467</v>
      </c>
      <c r="E149" s="62" t="s">
        <v>371</v>
      </c>
      <c r="F149" s="36" t="s">
        <v>370</v>
      </c>
      <c r="G149" s="39" t="s">
        <v>372</v>
      </c>
      <c r="H149" s="36" t="s">
        <v>364</v>
      </c>
      <c r="I149" s="39" t="s">
        <v>365</v>
      </c>
      <c r="J149" s="36" t="s">
        <v>366</v>
      </c>
      <c r="K149" s="39" t="s">
        <v>421</v>
      </c>
      <c r="L149" s="36" t="s">
        <v>422</v>
      </c>
      <c r="M149" s="37" t="s">
        <v>458</v>
      </c>
      <c r="N149" s="36" t="s">
        <v>1</v>
      </c>
      <c r="O149" s="13" t="s">
        <v>152</v>
      </c>
      <c r="P149" s="49" t="s">
        <v>439</v>
      </c>
      <c r="Q149" s="50" t="s">
        <v>441</v>
      </c>
      <c r="R149" s="49" t="s">
        <v>440</v>
      </c>
      <c r="S149" s="50" t="s">
        <v>442</v>
      </c>
      <c r="T149" s="53" t="s">
        <v>191</v>
      </c>
      <c r="U149" s="54" t="s">
        <v>191</v>
      </c>
      <c r="V149" s="61" t="s">
        <v>622</v>
      </c>
      <c r="W149" s="62" t="s">
        <v>606</v>
      </c>
      <c r="X149" s="61" t="s">
        <v>622</v>
      </c>
      <c r="Y149" s="62" t="s">
        <v>610</v>
      </c>
      <c r="Z149" s="61" t="s">
        <v>622</v>
      </c>
      <c r="AA149" s="62" t="s">
        <v>613</v>
      </c>
      <c r="AB149" s="61" t="s">
        <v>622</v>
      </c>
      <c r="AC149" s="62" t="s">
        <v>616</v>
      </c>
      <c r="AD149" s="61" t="s">
        <v>622</v>
      </c>
      <c r="AE149" s="62" t="s">
        <v>619</v>
      </c>
    </row>
    <row r="150" spans="1:31" ht="6.6" customHeight="1" x14ac:dyDescent="0.2">
      <c r="A150" s="8">
        <v>150</v>
      </c>
      <c r="B150" s="14" t="s">
        <v>344</v>
      </c>
      <c r="C150" s="12" t="s">
        <v>506</v>
      </c>
      <c r="D150" s="61" t="s">
        <v>467</v>
      </c>
      <c r="E150" s="62" t="s">
        <v>371</v>
      </c>
      <c r="F150" s="36" t="s">
        <v>370</v>
      </c>
      <c r="G150" s="39" t="s">
        <v>372</v>
      </c>
      <c r="H150" s="36" t="s">
        <v>364</v>
      </c>
      <c r="I150" s="39" t="s">
        <v>365</v>
      </c>
      <c r="J150" s="36" t="s">
        <v>366</v>
      </c>
      <c r="K150" s="39" t="s">
        <v>421</v>
      </c>
      <c r="L150" s="36" t="s">
        <v>422</v>
      </c>
      <c r="M150" s="37" t="s">
        <v>458</v>
      </c>
      <c r="N150" s="36" t="s">
        <v>1</v>
      </c>
      <c r="O150" s="13" t="s">
        <v>153</v>
      </c>
      <c r="P150" s="49" t="s">
        <v>439</v>
      </c>
      <c r="Q150" s="50" t="s">
        <v>441</v>
      </c>
      <c r="R150" s="49" t="s">
        <v>440</v>
      </c>
      <c r="S150" s="50" t="s">
        <v>442</v>
      </c>
      <c r="T150" s="53" t="s">
        <v>191</v>
      </c>
      <c r="U150" s="54" t="s">
        <v>191</v>
      </c>
      <c r="V150" s="61" t="s">
        <v>622</v>
      </c>
      <c r="W150" s="62" t="s">
        <v>606</v>
      </c>
      <c r="X150" s="61" t="s">
        <v>622</v>
      </c>
      <c r="Y150" s="62" t="s">
        <v>610</v>
      </c>
      <c r="Z150" s="61" t="s">
        <v>622</v>
      </c>
      <c r="AA150" s="62" t="s">
        <v>613</v>
      </c>
      <c r="AB150" s="61" t="s">
        <v>622</v>
      </c>
      <c r="AC150" s="62" t="s">
        <v>616</v>
      </c>
      <c r="AD150" s="61" t="s">
        <v>622</v>
      </c>
      <c r="AE150" s="62" t="s">
        <v>619</v>
      </c>
    </row>
    <row r="151" spans="1:31" ht="6.6" customHeight="1" x14ac:dyDescent="0.2">
      <c r="A151" s="8">
        <v>151</v>
      </c>
      <c r="B151" s="14" t="s">
        <v>345</v>
      </c>
      <c r="C151" s="12" t="s">
        <v>506</v>
      </c>
      <c r="D151" s="61" t="s">
        <v>467</v>
      </c>
      <c r="E151" s="62" t="s">
        <v>371</v>
      </c>
      <c r="F151" s="36" t="s">
        <v>370</v>
      </c>
      <c r="G151" s="39" t="s">
        <v>372</v>
      </c>
      <c r="H151" s="36" t="s">
        <v>364</v>
      </c>
      <c r="I151" s="39" t="s">
        <v>365</v>
      </c>
      <c r="J151" s="36" t="s">
        <v>366</v>
      </c>
      <c r="K151" s="39" t="s">
        <v>421</v>
      </c>
      <c r="L151" s="36" t="s">
        <v>422</v>
      </c>
      <c r="M151" s="37" t="s">
        <v>458</v>
      </c>
      <c r="N151" s="36" t="s">
        <v>1</v>
      </c>
      <c r="O151" s="13" t="s">
        <v>154</v>
      </c>
      <c r="P151" s="49" t="s">
        <v>439</v>
      </c>
      <c r="Q151" s="50" t="s">
        <v>441</v>
      </c>
      <c r="R151" s="49" t="s">
        <v>440</v>
      </c>
      <c r="S151" s="50" t="s">
        <v>442</v>
      </c>
      <c r="T151" s="53" t="s">
        <v>191</v>
      </c>
      <c r="U151" s="54" t="s">
        <v>191</v>
      </c>
      <c r="V151" s="61" t="s">
        <v>622</v>
      </c>
      <c r="W151" s="62" t="s">
        <v>606</v>
      </c>
      <c r="X151" s="61" t="s">
        <v>622</v>
      </c>
      <c r="Y151" s="62" t="s">
        <v>610</v>
      </c>
      <c r="Z151" s="61" t="s">
        <v>622</v>
      </c>
      <c r="AA151" s="62" t="s">
        <v>613</v>
      </c>
      <c r="AB151" s="61" t="s">
        <v>622</v>
      </c>
      <c r="AC151" s="62" t="s">
        <v>616</v>
      </c>
      <c r="AD151" s="61" t="s">
        <v>622</v>
      </c>
      <c r="AE151" s="62" t="s">
        <v>619</v>
      </c>
    </row>
    <row r="152" spans="1:31" ht="6.6" customHeight="1" x14ac:dyDescent="0.2">
      <c r="A152" s="8">
        <v>152</v>
      </c>
      <c r="B152" s="14" t="s">
        <v>346</v>
      </c>
      <c r="C152" s="12" t="s">
        <v>506</v>
      </c>
      <c r="D152" s="61" t="s">
        <v>467</v>
      </c>
      <c r="E152" s="62" t="s">
        <v>371</v>
      </c>
      <c r="F152" s="36" t="s">
        <v>370</v>
      </c>
      <c r="G152" s="39" t="s">
        <v>372</v>
      </c>
      <c r="H152" s="36" t="s">
        <v>364</v>
      </c>
      <c r="I152" s="39" t="s">
        <v>365</v>
      </c>
      <c r="J152" s="36" t="s">
        <v>366</v>
      </c>
      <c r="K152" s="39" t="s">
        <v>421</v>
      </c>
      <c r="L152" s="36" t="s">
        <v>422</v>
      </c>
      <c r="M152" s="37" t="s">
        <v>458</v>
      </c>
      <c r="N152" s="36" t="s">
        <v>1</v>
      </c>
      <c r="O152" s="13" t="s">
        <v>155</v>
      </c>
      <c r="P152" s="49" t="s">
        <v>439</v>
      </c>
      <c r="Q152" s="50" t="s">
        <v>441</v>
      </c>
      <c r="R152" s="49" t="s">
        <v>440</v>
      </c>
      <c r="S152" s="50" t="s">
        <v>442</v>
      </c>
      <c r="T152" s="53" t="s">
        <v>191</v>
      </c>
      <c r="U152" s="54" t="s">
        <v>191</v>
      </c>
      <c r="V152" s="61" t="s">
        <v>622</v>
      </c>
      <c r="W152" s="62" t="s">
        <v>606</v>
      </c>
      <c r="X152" s="61" t="s">
        <v>622</v>
      </c>
      <c r="Y152" s="62" t="s">
        <v>610</v>
      </c>
      <c r="Z152" s="61" t="s">
        <v>622</v>
      </c>
      <c r="AA152" s="62" t="s">
        <v>613</v>
      </c>
      <c r="AB152" s="61" t="s">
        <v>622</v>
      </c>
      <c r="AC152" s="62" t="s">
        <v>616</v>
      </c>
      <c r="AD152" s="61" t="s">
        <v>622</v>
      </c>
      <c r="AE152" s="62" t="s">
        <v>619</v>
      </c>
    </row>
    <row r="153" spans="1:31" ht="6.6" customHeight="1" x14ac:dyDescent="0.2">
      <c r="A153" s="8">
        <v>153</v>
      </c>
      <c r="B153" s="14" t="s">
        <v>347</v>
      </c>
      <c r="C153" s="12" t="s">
        <v>506</v>
      </c>
      <c r="D153" s="61" t="s">
        <v>467</v>
      </c>
      <c r="E153" s="62" t="s">
        <v>371</v>
      </c>
      <c r="F153" s="36" t="s">
        <v>370</v>
      </c>
      <c r="G153" s="39" t="s">
        <v>372</v>
      </c>
      <c r="H153" s="36" t="s">
        <v>364</v>
      </c>
      <c r="I153" s="39" t="s">
        <v>365</v>
      </c>
      <c r="J153" s="36" t="s">
        <v>366</v>
      </c>
      <c r="K153" s="39" t="s">
        <v>421</v>
      </c>
      <c r="L153" s="36" t="s">
        <v>422</v>
      </c>
      <c r="M153" s="37" t="s">
        <v>458</v>
      </c>
      <c r="N153" s="36" t="s">
        <v>1</v>
      </c>
      <c r="O153" s="13" t="s">
        <v>156</v>
      </c>
      <c r="P153" s="49" t="s">
        <v>439</v>
      </c>
      <c r="Q153" s="50" t="s">
        <v>441</v>
      </c>
      <c r="R153" s="49" t="s">
        <v>440</v>
      </c>
      <c r="S153" s="50" t="s">
        <v>442</v>
      </c>
      <c r="T153" s="53" t="s">
        <v>191</v>
      </c>
      <c r="U153" s="54" t="s">
        <v>191</v>
      </c>
      <c r="V153" s="61" t="s">
        <v>622</v>
      </c>
      <c r="W153" s="62" t="s">
        <v>606</v>
      </c>
      <c r="X153" s="61" t="s">
        <v>622</v>
      </c>
      <c r="Y153" s="62" t="s">
        <v>610</v>
      </c>
      <c r="Z153" s="61" t="s">
        <v>622</v>
      </c>
      <c r="AA153" s="62" t="s">
        <v>613</v>
      </c>
      <c r="AB153" s="61" t="s">
        <v>622</v>
      </c>
      <c r="AC153" s="62" t="s">
        <v>616</v>
      </c>
      <c r="AD153" s="61" t="s">
        <v>622</v>
      </c>
      <c r="AE153" s="62" t="s">
        <v>619</v>
      </c>
    </row>
    <row r="154" spans="1:31" ht="6.6" customHeight="1" x14ac:dyDescent="0.2">
      <c r="A154" s="8">
        <v>154</v>
      </c>
      <c r="B154" s="14" t="s">
        <v>348</v>
      </c>
      <c r="C154" s="12" t="s">
        <v>506</v>
      </c>
      <c r="D154" s="61" t="s">
        <v>467</v>
      </c>
      <c r="E154" s="62" t="s">
        <v>371</v>
      </c>
      <c r="F154" s="36" t="s">
        <v>370</v>
      </c>
      <c r="G154" s="39" t="s">
        <v>372</v>
      </c>
      <c r="H154" s="36" t="s">
        <v>364</v>
      </c>
      <c r="I154" s="39" t="s">
        <v>365</v>
      </c>
      <c r="J154" s="36" t="s">
        <v>366</v>
      </c>
      <c r="K154" s="39" t="s">
        <v>421</v>
      </c>
      <c r="L154" s="36" t="s">
        <v>422</v>
      </c>
      <c r="M154" s="37" t="s">
        <v>458</v>
      </c>
      <c r="N154" s="36" t="s">
        <v>1</v>
      </c>
      <c r="O154" s="13" t="s">
        <v>157</v>
      </c>
      <c r="P154" s="49" t="s">
        <v>439</v>
      </c>
      <c r="Q154" s="50" t="s">
        <v>441</v>
      </c>
      <c r="R154" s="49" t="s">
        <v>440</v>
      </c>
      <c r="S154" s="50" t="s">
        <v>442</v>
      </c>
      <c r="T154" s="53" t="s">
        <v>191</v>
      </c>
      <c r="U154" s="54" t="s">
        <v>191</v>
      </c>
      <c r="V154" s="61" t="s">
        <v>622</v>
      </c>
      <c r="W154" s="62" t="s">
        <v>606</v>
      </c>
      <c r="X154" s="61" t="s">
        <v>622</v>
      </c>
      <c r="Y154" s="62" t="s">
        <v>610</v>
      </c>
      <c r="Z154" s="61" t="s">
        <v>622</v>
      </c>
      <c r="AA154" s="62" t="s">
        <v>613</v>
      </c>
      <c r="AB154" s="61" t="s">
        <v>622</v>
      </c>
      <c r="AC154" s="62" t="s">
        <v>616</v>
      </c>
      <c r="AD154" s="61" t="s">
        <v>622</v>
      </c>
      <c r="AE154" s="62" t="s">
        <v>619</v>
      </c>
    </row>
    <row r="155" spans="1:31" ht="6.6" customHeight="1" x14ac:dyDescent="0.2">
      <c r="A155" s="8">
        <v>155</v>
      </c>
      <c r="B155" s="14" t="s">
        <v>349</v>
      </c>
      <c r="C155" s="12" t="s">
        <v>506</v>
      </c>
      <c r="D155" s="61" t="s">
        <v>467</v>
      </c>
      <c r="E155" s="62" t="s">
        <v>371</v>
      </c>
      <c r="F155" s="36" t="s">
        <v>370</v>
      </c>
      <c r="G155" s="39" t="s">
        <v>372</v>
      </c>
      <c r="H155" s="36" t="s">
        <v>364</v>
      </c>
      <c r="I155" s="39" t="s">
        <v>365</v>
      </c>
      <c r="J155" s="36" t="s">
        <v>366</v>
      </c>
      <c r="K155" s="39" t="s">
        <v>421</v>
      </c>
      <c r="L155" s="36" t="s">
        <v>422</v>
      </c>
      <c r="M155" s="37" t="s">
        <v>458</v>
      </c>
      <c r="N155" s="36" t="s">
        <v>1</v>
      </c>
      <c r="O155" s="13" t="s">
        <v>158</v>
      </c>
      <c r="P155" s="49" t="s">
        <v>439</v>
      </c>
      <c r="Q155" s="50" t="s">
        <v>441</v>
      </c>
      <c r="R155" s="49" t="s">
        <v>440</v>
      </c>
      <c r="S155" s="50" t="s">
        <v>442</v>
      </c>
      <c r="T155" s="53" t="s">
        <v>191</v>
      </c>
      <c r="U155" s="54" t="s">
        <v>191</v>
      </c>
      <c r="V155" s="61" t="s">
        <v>622</v>
      </c>
      <c r="W155" s="62" t="s">
        <v>606</v>
      </c>
      <c r="X155" s="61" t="s">
        <v>622</v>
      </c>
      <c r="Y155" s="62" t="s">
        <v>610</v>
      </c>
      <c r="Z155" s="61" t="s">
        <v>622</v>
      </c>
      <c r="AA155" s="62" t="s">
        <v>613</v>
      </c>
      <c r="AB155" s="61" t="s">
        <v>622</v>
      </c>
      <c r="AC155" s="62" t="s">
        <v>616</v>
      </c>
      <c r="AD155" s="61" t="s">
        <v>622</v>
      </c>
      <c r="AE155" s="62" t="s">
        <v>619</v>
      </c>
    </row>
    <row r="156" spans="1:31" ht="6.6" customHeight="1" x14ac:dyDescent="0.2">
      <c r="A156" s="8">
        <v>156</v>
      </c>
      <c r="B156" s="14" t="s">
        <v>350</v>
      </c>
      <c r="C156" s="12" t="s">
        <v>506</v>
      </c>
      <c r="D156" s="61" t="s">
        <v>467</v>
      </c>
      <c r="E156" s="62" t="s">
        <v>371</v>
      </c>
      <c r="F156" s="36" t="s">
        <v>370</v>
      </c>
      <c r="G156" s="39" t="s">
        <v>372</v>
      </c>
      <c r="H156" s="36" t="s">
        <v>364</v>
      </c>
      <c r="I156" s="39" t="s">
        <v>365</v>
      </c>
      <c r="J156" s="36" t="s">
        <v>366</v>
      </c>
      <c r="K156" s="39" t="s">
        <v>421</v>
      </c>
      <c r="L156" s="36" t="s">
        <v>422</v>
      </c>
      <c r="M156" s="37" t="s">
        <v>458</v>
      </c>
      <c r="N156" s="36" t="s">
        <v>1</v>
      </c>
      <c r="O156" s="13" t="s">
        <v>159</v>
      </c>
      <c r="P156" s="49" t="s">
        <v>439</v>
      </c>
      <c r="Q156" s="50" t="s">
        <v>441</v>
      </c>
      <c r="R156" s="49" t="s">
        <v>440</v>
      </c>
      <c r="S156" s="50" t="s">
        <v>442</v>
      </c>
      <c r="T156" s="53" t="s">
        <v>191</v>
      </c>
      <c r="U156" s="54" t="s">
        <v>191</v>
      </c>
      <c r="V156" s="61" t="s">
        <v>622</v>
      </c>
      <c r="W156" s="62" t="s">
        <v>606</v>
      </c>
      <c r="X156" s="61" t="s">
        <v>622</v>
      </c>
      <c r="Y156" s="62" t="s">
        <v>610</v>
      </c>
      <c r="Z156" s="61" t="s">
        <v>622</v>
      </c>
      <c r="AA156" s="62" t="s">
        <v>613</v>
      </c>
      <c r="AB156" s="61" t="s">
        <v>622</v>
      </c>
      <c r="AC156" s="62" t="s">
        <v>616</v>
      </c>
      <c r="AD156" s="61" t="s">
        <v>622</v>
      </c>
      <c r="AE156" s="62" t="s">
        <v>619</v>
      </c>
    </row>
    <row r="157" spans="1:31" ht="6.6" customHeight="1" x14ac:dyDescent="0.2">
      <c r="A157" s="8">
        <v>157</v>
      </c>
      <c r="B157" s="14" t="s">
        <v>351</v>
      </c>
      <c r="C157" s="12" t="s">
        <v>506</v>
      </c>
      <c r="D157" s="61" t="s">
        <v>467</v>
      </c>
      <c r="E157" s="62" t="s">
        <v>371</v>
      </c>
      <c r="F157" s="36" t="s">
        <v>370</v>
      </c>
      <c r="G157" s="39" t="s">
        <v>372</v>
      </c>
      <c r="H157" s="36" t="s">
        <v>364</v>
      </c>
      <c r="I157" s="39" t="s">
        <v>365</v>
      </c>
      <c r="J157" s="36" t="s">
        <v>366</v>
      </c>
      <c r="K157" s="39" t="s">
        <v>421</v>
      </c>
      <c r="L157" s="36" t="s">
        <v>422</v>
      </c>
      <c r="M157" s="37" t="s">
        <v>458</v>
      </c>
      <c r="N157" s="36" t="s">
        <v>1</v>
      </c>
      <c r="O157" s="13" t="s">
        <v>160</v>
      </c>
      <c r="P157" s="49" t="s">
        <v>439</v>
      </c>
      <c r="Q157" s="50" t="s">
        <v>441</v>
      </c>
      <c r="R157" s="49" t="s">
        <v>440</v>
      </c>
      <c r="S157" s="50" t="s">
        <v>442</v>
      </c>
      <c r="T157" s="53" t="s">
        <v>191</v>
      </c>
      <c r="U157" s="54" t="s">
        <v>191</v>
      </c>
      <c r="V157" s="61" t="s">
        <v>622</v>
      </c>
      <c r="W157" s="62" t="s">
        <v>606</v>
      </c>
      <c r="X157" s="61" t="s">
        <v>622</v>
      </c>
      <c r="Y157" s="62" t="s">
        <v>610</v>
      </c>
      <c r="Z157" s="61" t="s">
        <v>622</v>
      </c>
      <c r="AA157" s="62" t="s">
        <v>613</v>
      </c>
      <c r="AB157" s="61" t="s">
        <v>622</v>
      </c>
      <c r="AC157" s="62" t="s">
        <v>616</v>
      </c>
      <c r="AD157" s="61" t="s">
        <v>622</v>
      </c>
      <c r="AE157" s="62" t="s">
        <v>619</v>
      </c>
    </row>
    <row r="158" spans="1:31" ht="6.6" customHeight="1" x14ac:dyDescent="0.2">
      <c r="A158" s="8">
        <v>158</v>
      </c>
      <c r="B158" s="14" t="s">
        <v>352</v>
      </c>
      <c r="C158" s="12" t="s">
        <v>506</v>
      </c>
      <c r="D158" s="61" t="s">
        <v>467</v>
      </c>
      <c r="E158" s="62" t="s">
        <v>371</v>
      </c>
      <c r="F158" s="36" t="s">
        <v>370</v>
      </c>
      <c r="G158" s="39" t="s">
        <v>372</v>
      </c>
      <c r="H158" s="36" t="s">
        <v>364</v>
      </c>
      <c r="I158" s="39" t="s">
        <v>365</v>
      </c>
      <c r="J158" s="36" t="s">
        <v>366</v>
      </c>
      <c r="K158" s="39" t="s">
        <v>421</v>
      </c>
      <c r="L158" s="36" t="s">
        <v>422</v>
      </c>
      <c r="M158" s="37" t="s">
        <v>458</v>
      </c>
      <c r="N158" s="36" t="s">
        <v>1</v>
      </c>
      <c r="O158" s="13" t="s">
        <v>161</v>
      </c>
      <c r="P158" s="49" t="s">
        <v>439</v>
      </c>
      <c r="Q158" s="50" t="s">
        <v>441</v>
      </c>
      <c r="R158" s="49" t="s">
        <v>440</v>
      </c>
      <c r="S158" s="50" t="s">
        <v>442</v>
      </c>
      <c r="T158" s="53" t="s">
        <v>191</v>
      </c>
      <c r="U158" s="54" t="s">
        <v>191</v>
      </c>
      <c r="V158" s="61" t="s">
        <v>622</v>
      </c>
      <c r="W158" s="62" t="s">
        <v>606</v>
      </c>
      <c r="X158" s="61" t="s">
        <v>622</v>
      </c>
      <c r="Y158" s="62" t="s">
        <v>610</v>
      </c>
      <c r="Z158" s="61" t="s">
        <v>622</v>
      </c>
      <c r="AA158" s="62" t="s">
        <v>613</v>
      </c>
      <c r="AB158" s="61" t="s">
        <v>622</v>
      </c>
      <c r="AC158" s="62" t="s">
        <v>616</v>
      </c>
      <c r="AD158" s="61" t="s">
        <v>622</v>
      </c>
      <c r="AE158" s="62" t="s">
        <v>619</v>
      </c>
    </row>
    <row r="159" spans="1:31" ht="6.6" customHeight="1" x14ac:dyDescent="0.2">
      <c r="A159" s="8">
        <v>159</v>
      </c>
      <c r="B159" s="14" t="s">
        <v>353</v>
      </c>
      <c r="C159" s="12" t="s">
        <v>506</v>
      </c>
      <c r="D159" s="61" t="s">
        <v>467</v>
      </c>
      <c r="E159" s="62" t="s">
        <v>371</v>
      </c>
      <c r="F159" s="36" t="s">
        <v>370</v>
      </c>
      <c r="G159" s="39" t="s">
        <v>372</v>
      </c>
      <c r="H159" s="36" t="s">
        <v>364</v>
      </c>
      <c r="I159" s="39" t="s">
        <v>365</v>
      </c>
      <c r="J159" s="36" t="s">
        <v>366</v>
      </c>
      <c r="K159" s="39" t="s">
        <v>421</v>
      </c>
      <c r="L159" s="36" t="s">
        <v>422</v>
      </c>
      <c r="M159" s="37" t="s">
        <v>458</v>
      </c>
      <c r="N159" s="36" t="s">
        <v>1</v>
      </c>
      <c r="O159" s="13" t="s">
        <v>162</v>
      </c>
      <c r="P159" s="49" t="s">
        <v>439</v>
      </c>
      <c r="Q159" s="50" t="s">
        <v>441</v>
      </c>
      <c r="R159" s="49" t="s">
        <v>440</v>
      </c>
      <c r="S159" s="50" t="s">
        <v>442</v>
      </c>
      <c r="T159" s="53" t="s">
        <v>191</v>
      </c>
      <c r="U159" s="54" t="s">
        <v>191</v>
      </c>
      <c r="V159" s="61" t="s">
        <v>622</v>
      </c>
      <c r="W159" s="62" t="s">
        <v>606</v>
      </c>
      <c r="X159" s="61" t="s">
        <v>622</v>
      </c>
      <c r="Y159" s="62" t="s">
        <v>610</v>
      </c>
      <c r="Z159" s="61" t="s">
        <v>622</v>
      </c>
      <c r="AA159" s="62" t="s">
        <v>613</v>
      </c>
      <c r="AB159" s="61" t="s">
        <v>622</v>
      </c>
      <c r="AC159" s="62" t="s">
        <v>616</v>
      </c>
      <c r="AD159" s="61" t="s">
        <v>622</v>
      </c>
      <c r="AE159" s="62" t="s">
        <v>619</v>
      </c>
    </row>
    <row r="160" spans="1:31" ht="6.6" customHeight="1" x14ac:dyDescent="0.2">
      <c r="A160" s="8">
        <v>160</v>
      </c>
      <c r="B160" s="9" t="s">
        <v>354</v>
      </c>
      <c r="C160" s="12" t="s">
        <v>486</v>
      </c>
      <c r="D160" s="61" t="s">
        <v>467</v>
      </c>
      <c r="E160" s="62" t="s">
        <v>371</v>
      </c>
      <c r="F160" s="36" t="s">
        <v>370</v>
      </c>
      <c r="G160" s="39" t="s">
        <v>372</v>
      </c>
      <c r="H160" s="36" t="s">
        <v>364</v>
      </c>
      <c r="I160" s="39" t="s">
        <v>365</v>
      </c>
      <c r="J160" s="36" t="s">
        <v>366</v>
      </c>
      <c r="K160" s="39" t="s">
        <v>421</v>
      </c>
      <c r="L160" s="36" t="s">
        <v>422</v>
      </c>
      <c r="M160" s="37" t="s">
        <v>459</v>
      </c>
      <c r="N160" s="36" t="s">
        <v>1</v>
      </c>
      <c r="O160" s="13" t="s">
        <v>163</v>
      </c>
      <c r="P160" s="49" t="s">
        <v>439</v>
      </c>
      <c r="Q160" s="50" t="s">
        <v>441</v>
      </c>
      <c r="R160" s="49" t="s">
        <v>440</v>
      </c>
      <c r="S160" s="50" t="s">
        <v>442</v>
      </c>
      <c r="T160" s="53" t="s">
        <v>191</v>
      </c>
      <c r="U160" s="54" t="s">
        <v>191</v>
      </c>
      <c r="V160" s="61" t="s">
        <v>622</v>
      </c>
      <c r="W160" s="62" t="s">
        <v>606</v>
      </c>
      <c r="X160" s="61" t="s">
        <v>622</v>
      </c>
      <c r="Y160" s="62" t="s">
        <v>610</v>
      </c>
      <c r="Z160" s="61" t="s">
        <v>622</v>
      </c>
      <c r="AA160" s="62" t="s">
        <v>613</v>
      </c>
      <c r="AB160" s="61" t="s">
        <v>622</v>
      </c>
      <c r="AC160" s="62" t="s">
        <v>616</v>
      </c>
      <c r="AD160" s="61" t="s">
        <v>622</v>
      </c>
      <c r="AE160" s="62" t="s">
        <v>619</v>
      </c>
    </row>
    <row r="161" spans="1:31" ht="6.6" customHeight="1" x14ac:dyDescent="0.2">
      <c r="A161" s="8">
        <v>161</v>
      </c>
      <c r="B161" s="14" t="s">
        <v>355</v>
      </c>
      <c r="C161" s="12" t="s">
        <v>486</v>
      </c>
      <c r="D161" s="61" t="s">
        <v>467</v>
      </c>
      <c r="E161" s="62" t="s">
        <v>371</v>
      </c>
      <c r="F161" s="36" t="s">
        <v>370</v>
      </c>
      <c r="G161" s="39" t="s">
        <v>372</v>
      </c>
      <c r="H161" s="36" t="s">
        <v>364</v>
      </c>
      <c r="I161" s="39" t="s">
        <v>365</v>
      </c>
      <c r="J161" s="36" t="s">
        <v>366</v>
      </c>
      <c r="K161" s="39" t="s">
        <v>421</v>
      </c>
      <c r="L161" s="36" t="s">
        <v>422</v>
      </c>
      <c r="M161" s="37" t="s">
        <v>459</v>
      </c>
      <c r="N161" s="36" t="s">
        <v>1</v>
      </c>
      <c r="O161" s="13" t="s">
        <v>164</v>
      </c>
      <c r="P161" s="49" t="s">
        <v>439</v>
      </c>
      <c r="Q161" s="50" t="s">
        <v>441</v>
      </c>
      <c r="R161" s="49" t="s">
        <v>440</v>
      </c>
      <c r="S161" s="50" t="s">
        <v>442</v>
      </c>
      <c r="T161" s="53" t="s">
        <v>191</v>
      </c>
      <c r="U161" s="54" t="s">
        <v>191</v>
      </c>
      <c r="V161" s="61" t="s">
        <v>622</v>
      </c>
      <c r="W161" s="62" t="s">
        <v>606</v>
      </c>
      <c r="X161" s="61" t="s">
        <v>622</v>
      </c>
      <c r="Y161" s="62" t="s">
        <v>610</v>
      </c>
      <c r="Z161" s="61" t="s">
        <v>622</v>
      </c>
      <c r="AA161" s="62" t="s">
        <v>613</v>
      </c>
      <c r="AB161" s="61" t="s">
        <v>622</v>
      </c>
      <c r="AC161" s="62" t="s">
        <v>616</v>
      </c>
      <c r="AD161" s="61" t="s">
        <v>622</v>
      </c>
      <c r="AE161" s="62" t="s">
        <v>619</v>
      </c>
    </row>
    <row r="162" spans="1:31" ht="6.6" customHeight="1" x14ac:dyDescent="0.2">
      <c r="A162" s="8">
        <v>162</v>
      </c>
      <c r="B162" s="14" t="s">
        <v>356</v>
      </c>
      <c r="C162" s="12" t="s">
        <v>486</v>
      </c>
      <c r="D162" s="61" t="s">
        <v>467</v>
      </c>
      <c r="E162" s="62" t="s">
        <v>371</v>
      </c>
      <c r="F162" s="36" t="s">
        <v>370</v>
      </c>
      <c r="G162" s="39" t="s">
        <v>372</v>
      </c>
      <c r="H162" s="36" t="s">
        <v>364</v>
      </c>
      <c r="I162" s="39" t="s">
        <v>365</v>
      </c>
      <c r="J162" s="36" t="s">
        <v>366</v>
      </c>
      <c r="K162" s="39" t="s">
        <v>421</v>
      </c>
      <c r="L162" s="36" t="s">
        <v>422</v>
      </c>
      <c r="M162" s="37" t="s">
        <v>459</v>
      </c>
      <c r="N162" s="36" t="s">
        <v>1</v>
      </c>
      <c r="O162" s="13" t="s">
        <v>165</v>
      </c>
      <c r="P162" s="49" t="s">
        <v>439</v>
      </c>
      <c r="Q162" s="50" t="s">
        <v>441</v>
      </c>
      <c r="R162" s="49" t="s">
        <v>440</v>
      </c>
      <c r="S162" s="50" t="s">
        <v>442</v>
      </c>
      <c r="T162" s="53" t="s">
        <v>191</v>
      </c>
      <c r="U162" s="54" t="s">
        <v>191</v>
      </c>
      <c r="V162" s="61" t="s">
        <v>622</v>
      </c>
      <c r="W162" s="62" t="s">
        <v>606</v>
      </c>
      <c r="X162" s="61" t="s">
        <v>622</v>
      </c>
      <c r="Y162" s="62" t="s">
        <v>610</v>
      </c>
      <c r="Z162" s="61" t="s">
        <v>622</v>
      </c>
      <c r="AA162" s="62" t="s">
        <v>613</v>
      </c>
      <c r="AB162" s="61" t="s">
        <v>622</v>
      </c>
      <c r="AC162" s="62" t="s">
        <v>616</v>
      </c>
      <c r="AD162" s="61" t="s">
        <v>622</v>
      </c>
      <c r="AE162" s="62" t="s">
        <v>619</v>
      </c>
    </row>
    <row r="163" spans="1:31" ht="6.6" customHeight="1" x14ac:dyDescent="0.2">
      <c r="A163" s="8">
        <v>163</v>
      </c>
      <c r="B163" s="14" t="s">
        <v>357</v>
      </c>
      <c r="C163" s="12" t="s">
        <v>486</v>
      </c>
      <c r="D163" s="61" t="s">
        <v>467</v>
      </c>
      <c r="E163" s="62" t="s">
        <v>371</v>
      </c>
      <c r="F163" s="36" t="s">
        <v>370</v>
      </c>
      <c r="G163" s="39" t="s">
        <v>372</v>
      </c>
      <c r="H163" s="36" t="s">
        <v>364</v>
      </c>
      <c r="I163" s="39" t="s">
        <v>365</v>
      </c>
      <c r="J163" s="36" t="s">
        <v>366</v>
      </c>
      <c r="K163" s="39" t="s">
        <v>421</v>
      </c>
      <c r="L163" s="36" t="s">
        <v>422</v>
      </c>
      <c r="M163" s="37" t="s">
        <v>459</v>
      </c>
      <c r="N163" s="36" t="s">
        <v>1</v>
      </c>
      <c r="O163" s="13" t="s">
        <v>166</v>
      </c>
      <c r="P163" s="49" t="s">
        <v>439</v>
      </c>
      <c r="Q163" s="50" t="s">
        <v>441</v>
      </c>
      <c r="R163" s="49" t="s">
        <v>440</v>
      </c>
      <c r="S163" s="50" t="s">
        <v>442</v>
      </c>
      <c r="T163" s="53" t="s">
        <v>191</v>
      </c>
      <c r="U163" s="54" t="s">
        <v>191</v>
      </c>
      <c r="V163" s="61" t="s">
        <v>622</v>
      </c>
      <c r="W163" s="62" t="s">
        <v>606</v>
      </c>
      <c r="X163" s="61" t="s">
        <v>622</v>
      </c>
      <c r="Y163" s="62" t="s">
        <v>610</v>
      </c>
      <c r="Z163" s="61" t="s">
        <v>622</v>
      </c>
      <c r="AA163" s="62" t="s">
        <v>613</v>
      </c>
      <c r="AB163" s="61" t="s">
        <v>622</v>
      </c>
      <c r="AC163" s="62" t="s">
        <v>616</v>
      </c>
      <c r="AD163" s="61" t="s">
        <v>622</v>
      </c>
      <c r="AE163" s="62" t="s">
        <v>619</v>
      </c>
    </row>
    <row r="164" spans="1:31" ht="6.6" customHeight="1" x14ac:dyDescent="0.2">
      <c r="A164" s="8">
        <v>164</v>
      </c>
      <c r="B164" s="14" t="s">
        <v>358</v>
      </c>
      <c r="C164" s="12" t="s">
        <v>486</v>
      </c>
      <c r="D164" s="61" t="s">
        <v>467</v>
      </c>
      <c r="E164" s="62" t="s">
        <v>371</v>
      </c>
      <c r="F164" s="36" t="s">
        <v>370</v>
      </c>
      <c r="G164" s="39" t="s">
        <v>372</v>
      </c>
      <c r="H164" s="36" t="s">
        <v>364</v>
      </c>
      <c r="I164" s="39" t="s">
        <v>365</v>
      </c>
      <c r="J164" s="36" t="s">
        <v>366</v>
      </c>
      <c r="K164" s="39" t="s">
        <v>421</v>
      </c>
      <c r="L164" s="36" t="s">
        <v>422</v>
      </c>
      <c r="M164" s="37" t="s">
        <v>459</v>
      </c>
      <c r="N164" s="36" t="s">
        <v>1</v>
      </c>
      <c r="O164" s="13" t="s">
        <v>167</v>
      </c>
      <c r="P164" s="49" t="s">
        <v>439</v>
      </c>
      <c r="Q164" s="50" t="s">
        <v>441</v>
      </c>
      <c r="R164" s="49" t="s">
        <v>440</v>
      </c>
      <c r="S164" s="50" t="s">
        <v>442</v>
      </c>
      <c r="T164" s="53" t="s">
        <v>191</v>
      </c>
      <c r="U164" s="54" t="s">
        <v>191</v>
      </c>
      <c r="V164" s="61" t="s">
        <v>622</v>
      </c>
      <c r="W164" s="62" t="s">
        <v>606</v>
      </c>
      <c r="X164" s="61" t="s">
        <v>622</v>
      </c>
      <c r="Y164" s="62" t="s">
        <v>610</v>
      </c>
      <c r="Z164" s="61" t="s">
        <v>622</v>
      </c>
      <c r="AA164" s="62" t="s">
        <v>613</v>
      </c>
      <c r="AB164" s="61" t="s">
        <v>622</v>
      </c>
      <c r="AC164" s="62" t="s">
        <v>616</v>
      </c>
      <c r="AD164" s="61" t="s">
        <v>622</v>
      </c>
      <c r="AE164" s="62" t="s">
        <v>619</v>
      </c>
    </row>
    <row r="165" spans="1:31" ht="6.6" customHeight="1" x14ac:dyDescent="0.2">
      <c r="A165" s="8">
        <v>165</v>
      </c>
      <c r="B165" s="14" t="s">
        <v>359</v>
      </c>
      <c r="C165" s="12" t="s">
        <v>486</v>
      </c>
      <c r="D165" s="61" t="s">
        <v>467</v>
      </c>
      <c r="E165" s="62" t="s">
        <v>371</v>
      </c>
      <c r="F165" s="36" t="s">
        <v>370</v>
      </c>
      <c r="G165" s="39" t="s">
        <v>372</v>
      </c>
      <c r="H165" s="36" t="s">
        <v>364</v>
      </c>
      <c r="I165" s="39" t="s">
        <v>365</v>
      </c>
      <c r="J165" s="36" t="s">
        <v>366</v>
      </c>
      <c r="K165" s="39" t="s">
        <v>421</v>
      </c>
      <c r="L165" s="36" t="s">
        <v>422</v>
      </c>
      <c r="M165" s="37" t="s">
        <v>459</v>
      </c>
      <c r="N165" s="36" t="s">
        <v>1</v>
      </c>
      <c r="O165" s="13" t="s">
        <v>168</v>
      </c>
      <c r="P165" s="49" t="s">
        <v>439</v>
      </c>
      <c r="Q165" s="50" t="s">
        <v>441</v>
      </c>
      <c r="R165" s="49" t="s">
        <v>440</v>
      </c>
      <c r="S165" s="50" t="s">
        <v>442</v>
      </c>
      <c r="T165" s="53" t="s">
        <v>191</v>
      </c>
      <c r="U165" s="54" t="s">
        <v>191</v>
      </c>
      <c r="V165" s="61" t="s">
        <v>622</v>
      </c>
      <c r="W165" s="62" t="s">
        <v>606</v>
      </c>
      <c r="X165" s="61" t="s">
        <v>622</v>
      </c>
      <c r="Y165" s="62" t="s">
        <v>610</v>
      </c>
      <c r="Z165" s="61" t="s">
        <v>622</v>
      </c>
      <c r="AA165" s="62" t="s">
        <v>613</v>
      </c>
      <c r="AB165" s="61" t="s">
        <v>622</v>
      </c>
      <c r="AC165" s="62" t="s">
        <v>616</v>
      </c>
      <c r="AD165" s="61" t="s">
        <v>622</v>
      </c>
      <c r="AE165" s="62" t="s">
        <v>619</v>
      </c>
    </row>
    <row r="166" spans="1:31" ht="6.6" customHeight="1" x14ac:dyDescent="0.2">
      <c r="A166" s="8">
        <v>166</v>
      </c>
      <c r="B166" s="14" t="s">
        <v>360</v>
      </c>
      <c r="C166" s="12" t="s">
        <v>486</v>
      </c>
      <c r="D166" s="61" t="s">
        <v>467</v>
      </c>
      <c r="E166" s="62" t="s">
        <v>371</v>
      </c>
      <c r="F166" s="36" t="s">
        <v>370</v>
      </c>
      <c r="G166" s="39" t="s">
        <v>372</v>
      </c>
      <c r="H166" s="36" t="s">
        <v>364</v>
      </c>
      <c r="I166" s="39" t="s">
        <v>365</v>
      </c>
      <c r="J166" s="36" t="s">
        <v>366</v>
      </c>
      <c r="K166" s="39" t="s">
        <v>421</v>
      </c>
      <c r="L166" s="36" t="s">
        <v>422</v>
      </c>
      <c r="M166" s="37" t="s">
        <v>459</v>
      </c>
      <c r="N166" s="36" t="s">
        <v>1</v>
      </c>
      <c r="O166" s="13" t="s">
        <v>169</v>
      </c>
      <c r="P166" s="49" t="s">
        <v>439</v>
      </c>
      <c r="Q166" s="50" t="s">
        <v>441</v>
      </c>
      <c r="R166" s="49" t="s">
        <v>440</v>
      </c>
      <c r="S166" s="50" t="s">
        <v>442</v>
      </c>
      <c r="T166" s="53" t="s">
        <v>191</v>
      </c>
      <c r="U166" s="54" t="s">
        <v>191</v>
      </c>
      <c r="V166" s="61" t="s">
        <v>622</v>
      </c>
      <c r="W166" s="62" t="s">
        <v>606</v>
      </c>
      <c r="X166" s="61" t="s">
        <v>622</v>
      </c>
      <c r="Y166" s="62" t="s">
        <v>610</v>
      </c>
      <c r="Z166" s="61" t="s">
        <v>622</v>
      </c>
      <c r="AA166" s="62" t="s">
        <v>613</v>
      </c>
      <c r="AB166" s="61" t="s">
        <v>622</v>
      </c>
      <c r="AC166" s="62" t="s">
        <v>616</v>
      </c>
      <c r="AD166" s="61" t="s">
        <v>622</v>
      </c>
      <c r="AE166" s="62" t="s">
        <v>619</v>
      </c>
    </row>
    <row r="167" spans="1:31" ht="6.6" customHeight="1" x14ac:dyDescent="0.2">
      <c r="A167" s="8">
        <v>166</v>
      </c>
      <c r="B167" s="14" t="s">
        <v>361</v>
      </c>
      <c r="C167" s="12" t="s">
        <v>486</v>
      </c>
      <c r="D167" s="61" t="s">
        <v>467</v>
      </c>
      <c r="E167" s="62" t="s">
        <v>371</v>
      </c>
      <c r="F167" s="36" t="s">
        <v>370</v>
      </c>
      <c r="G167" s="39" t="s">
        <v>372</v>
      </c>
      <c r="H167" s="36" t="s">
        <v>364</v>
      </c>
      <c r="I167" s="39" t="s">
        <v>365</v>
      </c>
      <c r="J167" s="36" t="s">
        <v>366</v>
      </c>
      <c r="K167" s="39" t="s">
        <v>421</v>
      </c>
      <c r="L167" s="36" t="s">
        <v>422</v>
      </c>
      <c r="M167" s="37" t="s">
        <v>459</v>
      </c>
      <c r="N167" s="36" t="s">
        <v>1</v>
      </c>
      <c r="O167" s="13" t="s">
        <v>170</v>
      </c>
      <c r="P167" s="49" t="s">
        <v>439</v>
      </c>
      <c r="Q167" s="50" t="s">
        <v>441</v>
      </c>
      <c r="R167" s="49" t="s">
        <v>440</v>
      </c>
      <c r="S167" s="50" t="s">
        <v>442</v>
      </c>
      <c r="T167" s="53" t="s">
        <v>191</v>
      </c>
      <c r="U167" s="54" t="s">
        <v>191</v>
      </c>
      <c r="V167" s="61" t="s">
        <v>622</v>
      </c>
      <c r="W167" s="62" t="s">
        <v>606</v>
      </c>
      <c r="X167" s="61" t="s">
        <v>622</v>
      </c>
      <c r="Y167" s="62" t="s">
        <v>610</v>
      </c>
      <c r="Z167" s="61" t="s">
        <v>622</v>
      </c>
      <c r="AA167" s="62" t="s">
        <v>613</v>
      </c>
      <c r="AB167" s="61" t="s">
        <v>622</v>
      </c>
      <c r="AC167" s="62" t="s">
        <v>616</v>
      </c>
      <c r="AD167" s="61" t="s">
        <v>622</v>
      </c>
      <c r="AE167" s="62" t="s">
        <v>619</v>
      </c>
    </row>
    <row r="168" spans="1:31" ht="6.6" customHeight="1" x14ac:dyDescent="0.2">
      <c r="A168" s="8">
        <v>166</v>
      </c>
      <c r="B168" s="14" t="s">
        <v>362</v>
      </c>
      <c r="C168" s="12" t="s">
        <v>486</v>
      </c>
      <c r="D168" s="61" t="s">
        <v>467</v>
      </c>
      <c r="E168" s="62" t="s">
        <v>371</v>
      </c>
      <c r="F168" s="36" t="s">
        <v>370</v>
      </c>
      <c r="G168" s="39" t="s">
        <v>372</v>
      </c>
      <c r="H168" s="36" t="s">
        <v>364</v>
      </c>
      <c r="I168" s="39" t="s">
        <v>365</v>
      </c>
      <c r="J168" s="36" t="s">
        <v>366</v>
      </c>
      <c r="K168" s="39" t="s">
        <v>421</v>
      </c>
      <c r="L168" s="36" t="s">
        <v>422</v>
      </c>
      <c r="M168" s="37" t="s">
        <v>459</v>
      </c>
      <c r="N168" s="36" t="s">
        <v>1</v>
      </c>
      <c r="O168" s="13" t="s">
        <v>171</v>
      </c>
      <c r="P168" s="49" t="s">
        <v>439</v>
      </c>
      <c r="Q168" s="50" t="s">
        <v>441</v>
      </c>
      <c r="R168" s="49" t="s">
        <v>440</v>
      </c>
      <c r="S168" s="50" t="s">
        <v>442</v>
      </c>
      <c r="T168" s="53" t="s">
        <v>191</v>
      </c>
      <c r="U168" s="54" t="s">
        <v>191</v>
      </c>
      <c r="V168" s="61" t="s">
        <v>622</v>
      </c>
      <c r="W168" s="62" t="s">
        <v>606</v>
      </c>
      <c r="X168" s="61" t="s">
        <v>622</v>
      </c>
      <c r="Y168" s="62" t="s">
        <v>610</v>
      </c>
      <c r="Z168" s="61" t="s">
        <v>622</v>
      </c>
      <c r="AA168" s="62" t="s">
        <v>613</v>
      </c>
      <c r="AB168" s="61" t="s">
        <v>622</v>
      </c>
      <c r="AC168" s="62" t="s">
        <v>616</v>
      </c>
      <c r="AD168" s="61" t="s">
        <v>622</v>
      </c>
      <c r="AE168" s="62" t="s">
        <v>619</v>
      </c>
    </row>
    <row r="169" spans="1:31" ht="6.6" customHeight="1" x14ac:dyDescent="0.2">
      <c r="A169" s="8">
        <v>166</v>
      </c>
      <c r="B169" s="18" t="s">
        <v>363</v>
      </c>
      <c r="C169" s="12" t="s">
        <v>486</v>
      </c>
      <c r="D169" s="61" t="s">
        <v>467</v>
      </c>
      <c r="E169" s="62" t="s">
        <v>371</v>
      </c>
      <c r="F169" s="36" t="s">
        <v>370</v>
      </c>
      <c r="G169" s="39" t="s">
        <v>372</v>
      </c>
      <c r="H169" s="36" t="s">
        <v>364</v>
      </c>
      <c r="I169" s="39" t="s">
        <v>365</v>
      </c>
      <c r="J169" s="36" t="s">
        <v>366</v>
      </c>
      <c r="K169" s="39" t="s">
        <v>421</v>
      </c>
      <c r="L169" s="36" t="s">
        <v>422</v>
      </c>
      <c r="M169" s="37" t="s">
        <v>459</v>
      </c>
      <c r="N169" s="40" t="s">
        <v>1</v>
      </c>
      <c r="O169" s="19" t="s">
        <v>15</v>
      </c>
      <c r="P169" s="49" t="s">
        <v>439</v>
      </c>
      <c r="Q169" s="50" t="s">
        <v>441</v>
      </c>
      <c r="R169" s="49" t="s">
        <v>440</v>
      </c>
      <c r="S169" s="50" t="s">
        <v>442</v>
      </c>
      <c r="T169" s="53" t="s">
        <v>191</v>
      </c>
      <c r="U169" s="54" t="s">
        <v>191</v>
      </c>
      <c r="V169" s="61" t="s">
        <v>622</v>
      </c>
      <c r="W169" s="62" t="s">
        <v>606</v>
      </c>
      <c r="X169" s="61" t="s">
        <v>622</v>
      </c>
      <c r="Y169" s="62" t="s">
        <v>610</v>
      </c>
      <c r="Z169" s="61" t="s">
        <v>622</v>
      </c>
      <c r="AA169" s="62" t="s">
        <v>613</v>
      </c>
      <c r="AB169" s="61" t="s">
        <v>622</v>
      </c>
      <c r="AC169" s="62" t="s">
        <v>616</v>
      </c>
      <c r="AD169" s="61" t="s">
        <v>622</v>
      </c>
      <c r="AE169" s="62" t="s">
        <v>619</v>
      </c>
    </row>
    <row r="170" spans="1:31" s="72" customFormat="1" ht="6.75" customHeight="1" x14ac:dyDescent="0.15">
      <c r="A170" s="8">
        <v>167</v>
      </c>
      <c r="B170" s="14" t="s">
        <v>606</v>
      </c>
      <c r="C170" s="32" t="s">
        <v>640</v>
      </c>
      <c r="D170" s="80" t="s">
        <v>191</v>
      </c>
      <c r="E170" s="39" t="s">
        <v>191</v>
      </c>
      <c r="F170" s="80" t="s">
        <v>191</v>
      </c>
      <c r="G170" s="39" t="s">
        <v>191</v>
      </c>
      <c r="H170" s="80" t="s">
        <v>191</v>
      </c>
      <c r="I170" s="39" t="s">
        <v>191</v>
      </c>
      <c r="J170" s="39" t="s">
        <v>366</v>
      </c>
      <c r="K170" s="39" t="s">
        <v>607</v>
      </c>
      <c r="L170" s="36" t="s">
        <v>422</v>
      </c>
      <c r="M170" s="37" t="s">
        <v>608</v>
      </c>
      <c r="N170" s="36" t="s">
        <v>1</v>
      </c>
      <c r="O170" s="13" t="s">
        <v>609</v>
      </c>
      <c r="P170" s="82" t="str">
        <f t="shared" ref="P170:P174" si="0">IF(Q170="null", "null", "método.revit")</f>
        <v>método.revit</v>
      </c>
      <c r="Q170" s="83" t="s">
        <v>623</v>
      </c>
      <c r="R170" s="80" t="s">
        <v>191</v>
      </c>
      <c r="S170" s="39" t="s">
        <v>191</v>
      </c>
      <c r="T170" s="80" t="s">
        <v>191</v>
      </c>
      <c r="U170" s="76" t="s">
        <v>191</v>
      </c>
      <c r="V170" s="61" t="s">
        <v>622</v>
      </c>
      <c r="W170" s="62" t="s">
        <v>606</v>
      </c>
      <c r="X170" s="61" t="s">
        <v>622</v>
      </c>
      <c r="Y170" s="62" t="s">
        <v>610</v>
      </c>
      <c r="Z170" s="61" t="s">
        <v>622</v>
      </c>
      <c r="AA170" s="62" t="s">
        <v>613</v>
      </c>
      <c r="AB170" s="61" t="s">
        <v>622</v>
      </c>
      <c r="AC170" s="62" t="s">
        <v>616</v>
      </c>
      <c r="AD170" s="61" t="s">
        <v>622</v>
      </c>
      <c r="AE170" s="62" t="s">
        <v>619</v>
      </c>
    </row>
    <row r="171" spans="1:31" s="72" customFormat="1" ht="6.75" customHeight="1" x14ac:dyDescent="0.15">
      <c r="A171" s="8">
        <v>168</v>
      </c>
      <c r="B171" s="14" t="s">
        <v>610</v>
      </c>
      <c r="C171" s="32" t="s">
        <v>640</v>
      </c>
      <c r="D171" s="80" t="s">
        <v>191</v>
      </c>
      <c r="E171" s="39" t="s">
        <v>191</v>
      </c>
      <c r="F171" s="80" t="s">
        <v>191</v>
      </c>
      <c r="G171" s="39" t="s">
        <v>191</v>
      </c>
      <c r="H171" s="80" t="s">
        <v>191</v>
      </c>
      <c r="I171" s="39" t="s">
        <v>191</v>
      </c>
      <c r="J171" s="39" t="s">
        <v>366</v>
      </c>
      <c r="K171" s="39" t="s">
        <v>607</v>
      </c>
      <c r="L171" s="36" t="s">
        <v>422</v>
      </c>
      <c r="M171" s="39" t="s">
        <v>611</v>
      </c>
      <c r="N171" s="36" t="s">
        <v>1</v>
      </c>
      <c r="O171" s="13" t="s">
        <v>612</v>
      </c>
      <c r="P171" s="82" t="str">
        <f t="shared" si="0"/>
        <v>método.revit</v>
      </c>
      <c r="Q171" s="83" t="s">
        <v>624</v>
      </c>
      <c r="R171" s="80" t="s">
        <v>191</v>
      </c>
      <c r="S171" s="39" t="s">
        <v>191</v>
      </c>
      <c r="T171" s="80" t="s">
        <v>191</v>
      </c>
      <c r="U171" s="76" t="s">
        <v>191</v>
      </c>
      <c r="V171" s="61" t="s">
        <v>622</v>
      </c>
      <c r="W171" s="62" t="s">
        <v>606</v>
      </c>
      <c r="X171" s="61" t="s">
        <v>622</v>
      </c>
      <c r="Y171" s="62" t="s">
        <v>610</v>
      </c>
      <c r="Z171" s="61" t="s">
        <v>622</v>
      </c>
      <c r="AA171" s="62" t="s">
        <v>613</v>
      </c>
      <c r="AB171" s="61" t="s">
        <v>622</v>
      </c>
      <c r="AC171" s="62" t="s">
        <v>616</v>
      </c>
      <c r="AD171" s="61" t="s">
        <v>622</v>
      </c>
      <c r="AE171" s="62" t="s">
        <v>619</v>
      </c>
    </row>
    <row r="172" spans="1:31" s="72" customFormat="1" ht="6.75" customHeight="1" x14ac:dyDescent="0.15">
      <c r="A172" s="8">
        <v>169</v>
      </c>
      <c r="B172" s="14" t="s">
        <v>613</v>
      </c>
      <c r="C172" s="32" t="s">
        <v>640</v>
      </c>
      <c r="D172" s="80" t="s">
        <v>191</v>
      </c>
      <c r="E172" s="39" t="s">
        <v>191</v>
      </c>
      <c r="F172" s="80" t="s">
        <v>191</v>
      </c>
      <c r="G172" s="39" t="s">
        <v>191</v>
      </c>
      <c r="H172" s="80" t="s">
        <v>191</v>
      </c>
      <c r="I172" s="39" t="s">
        <v>191</v>
      </c>
      <c r="J172" s="39" t="s">
        <v>366</v>
      </c>
      <c r="K172" s="39" t="s">
        <v>607</v>
      </c>
      <c r="L172" s="36" t="s">
        <v>422</v>
      </c>
      <c r="M172" s="39" t="s">
        <v>614</v>
      </c>
      <c r="N172" s="36" t="s">
        <v>1</v>
      </c>
      <c r="O172" s="13" t="s">
        <v>615</v>
      </c>
      <c r="P172" s="82" t="str">
        <f t="shared" si="0"/>
        <v>método.revit</v>
      </c>
      <c r="Q172" s="83" t="s">
        <v>625</v>
      </c>
      <c r="R172" s="80" t="s">
        <v>191</v>
      </c>
      <c r="S172" s="39" t="s">
        <v>191</v>
      </c>
      <c r="T172" s="80" t="s">
        <v>191</v>
      </c>
      <c r="U172" s="76" t="s">
        <v>191</v>
      </c>
      <c r="V172" s="61" t="s">
        <v>622</v>
      </c>
      <c r="W172" s="62" t="s">
        <v>606</v>
      </c>
      <c r="X172" s="61" t="s">
        <v>622</v>
      </c>
      <c r="Y172" s="62" t="s">
        <v>610</v>
      </c>
      <c r="Z172" s="61" t="s">
        <v>622</v>
      </c>
      <c r="AA172" s="62" t="s">
        <v>613</v>
      </c>
      <c r="AB172" s="61" t="s">
        <v>622</v>
      </c>
      <c r="AC172" s="62" t="s">
        <v>616</v>
      </c>
      <c r="AD172" s="61" t="s">
        <v>622</v>
      </c>
      <c r="AE172" s="62" t="s">
        <v>619</v>
      </c>
    </row>
    <row r="173" spans="1:31" s="72" customFormat="1" ht="6.75" customHeight="1" x14ac:dyDescent="0.15">
      <c r="A173" s="8">
        <v>170</v>
      </c>
      <c r="B173" s="14" t="s">
        <v>616</v>
      </c>
      <c r="C173" s="32" t="s">
        <v>640</v>
      </c>
      <c r="D173" s="80" t="s">
        <v>191</v>
      </c>
      <c r="E173" s="39" t="s">
        <v>191</v>
      </c>
      <c r="F173" s="80" t="s">
        <v>191</v>
      </c>
      <c r="G173" s="39" t="s">
        <v>191</v>
      </c>
      <c r="H173" s="80" t="s">
        <v>191</v>
      </c>
      <c r="I173" s="39" t="s">
        <v>191</v>
      </c>
      <c r="J173" s="39" t="s">
        <v>366</v>
      </c>
      <c r="K173" s="39" t="s">
        <v>607</v>
      </c>
      <c r="L173" s="36" t="s">
        <v>422</v>
      </c>
      <c r="M173" s="39" t="s">
        <v>617</v>
      </c>
      <c r="N173" s="36" t="s">
        <v>1</v>
      </c>
      <c r="O173" s="13" t="s">
        <v>618</v>
      </c>
      <c r="P173" s="82" t="str">
        <f t="shared" si="0"/>
        <v>método.revit</v>
      </c>
      <c r="Q173" s="83" t="s">
        <v>626</v>
      </c>
      <c r="R173" s="80" t="s">
        <v>191</v>
      </c>
      <c r="S173" s="39" t="s">
        <v>191</v>
      </c>
      <c r="T173" s="80" t="s">
        <v>191</v>
      </c>
      <c r="U173" s="76" t="s">
        <v>191</v>
      </c>
      <c r="V173" s="61" t="s">
        <v>622</v>
      </c>
      <c r="W173" s="62" t="s">
        <v>606</v>
      </c>
      <c r="X173" s="61" t="s">
        <v>622</v>
      </c>
      <c r="Y173" s="62" t="s">
        <v>610</v>
      </c>
      <c r="Z173" s="61" t="s">
        <v>622</v>
      </c>
      <c r="AA173" s="62" t="s">
        <v>613</v>
      </c>
      <c r="AB173" s="61" t="s">
        <v>622</v>
      </c>
      <c r="AC173" s="62" t="s">
        <v>616</v>
      </c>
      <c r="AD173" s="61" t="s">
        <v>622</v>
      </c>
      <c r="AE173" s="62" t="s">
        <v>619</v>
      </c>
    </row>
    <row r="174" spans="1:31" s="72" customFormat="1" ht="6.75" customHeight="1" x14ac:dyDescent="0.15">
      <c r="A174" s="8">
        <v>171</v>
      </c>
      <c r="B174" s="79" t="s">
        <v>619</v>
      </c>
      <c r="C174" s="32" t="s">
        <v>640</v>
      </c>
      <c r="D174" s="81" t="s">
        <v>191</v>
      </c>
      <c r="E174" s="78" t="s">
        <v>191</v>
      </c>
      <c r="F174" s="81" t="s">
        <v>191</v>
      </c>
      <c r="G174" s="78" t="s">
        <v>191</v>
      </c>
      <c r="H174" s="81" t="s">
        <v>191</v>
      </c>
      <c r="I174" s="78" t="s">
        <v>191</v>
      </c>
      <c r="J174" s="78" t="s">
        <v>366</v>
      </c>
      <c r="K174" s="78" t="s">
        <v>607</v>
      </c>
      <c r="L174" s="40" t="s">
        <v>422</v>
      </c>
      <c r="M174" s="78" t="s">
        <v>620</v>
      </c>
      <c r="N174" s="40" t="s">
        <v>1</v>
      </c>
      <c r="O174" s="19" t="s">
        <v>621</v>
      </c>
      <c r="P174" s="82" t="str">
        <f t="shared" si="0"/>
        <v>método.revit</v>
      </c>
      <c r="Q174" s="83" t="s">
        <v>627</v>
      </c>
      <c r="R174" s="81" t="s">
        <v>191</v>
      </c>
      <c r="S174" s="78" t="s">
        <v>191</v>
      </c>
      <c r="T174" s="81" t="s">
        <v>191</v>
      </c>
      <c r="U174" s="77" t="s">
        <v>191</v>
      </c>
      <c r="V174" s="61" t="s">
        <v>622</v>
      </c>
      <c r="W174" s="62" t="s">
        <v>606</v>
      </c>
      <c r="X174" s="61" t="s">
        <v>622</v>
      </c>
      <c r="Y174" s="62" t="s">
        <v>610</v>
      </c>
      <c r="Z174" s="61" t="s">
        <v>622</v>
      </c>
      <c r="AA174" s="62" t="s">
        <v>613</v>
      </c>
      <c r="AB174" s="61" t="s">
        <v>622</v>
      </c>
      <c r="AC174" s="62" t="s">
        <v>616</v>
      </c>
      <c r="AD174" s="61" t="s">
        <v>622</v>
      </c>
      <c r="AE174" s="62" t="s">
        <v>619</v>
      </c>
    </row>
  </sheetData>
  <phoneticPr fontId="2" type="noConversion"/>
  <conditionalFormatting sqref="B1:B169 B175:B1048576">
    <cfRule type="duplicateValues" dxfId="40" priority="54"/>
  </conditionalFormatting>
  <conditionalFormatting sqref="B170:B174">
    <cfRule type="duplicateValues" dxfId="39" priority="51"/>
    <cfRule type="duplicateValues" dxfId="38" priority="50"/>
  </conditionalFormatting>
  <conditionalFormatting sqref="D1">
    <cfRule type="cellIs" dxfId="37" priority="52" operator="equal">
      <formula>"null"</formula>
    </cfRule>
  </conditionalFormatting>
  <conditionalFormatting sqref="E170:E174">
    <cfRule type="cellIs" dxfId="36" priority="28" operator="equal">
      <formula>"null"</formula>
    </cfRule>
  </conditionalFormatting>
  <conditionalFormatting sqref="F1">
    <cfRule type="cellIs" dxfId="35" priority="64" operator="equal">
      <formula>"null"</formula>
    </cfRule>
  </conditionalFormatting>
  <conditionalFormatting sqref="F170:F174">
    <cfRule type="cellIs" dxfId="34" priority="30" operator="equal">
      <formula>"null"</formula>
    </cfRule>
  </conditionalFormatting>
  <conditionalFormatting sqref="G170:G174">
    <cfRule type="cellIs" dxfId="33" priority="27" operator="equal">
      <formula>"null"</formula>
    </cfRule>
  </conditionalFormatting>
  <conditionalFormatting sqref="H1">
    <cfRule type="cellIs" dxfId="32" priority="63" operator="equal">
      <formula>"null"</formula>
    </cfRule>
  </conditionalFormatting>
  <conditionalFormatting sqref="H170:H174">
    <cfRule type="cellIs" dxfId="31" priority="29" operator="equal">
      <formula>"null"</formula>
    </cfRule>
  </conditionalFormatting>
  <conditionalFormatting sqref="I170:I174">
    <cfRule type="cellIs" dxfId="30" priority="26" operator="equal">
      <formula>"null"</formula>
    </cfRule>
  </conditionalFormatting>
  <conditionalFormatting sqref="J1">
    <cfRule type="cellIs" dxfId="29" priority="62" operator="equal">
      <formula>"null"</formula>
    </cfRule>
  </conditionalFormatting>
  <conditionalFormatting sqref="L1">
    <cfRule type="cellIs" dxfId="28" priority="53" operator="equal">
      <formula>"null"</formula>
    </cfRule>
  </conditionalFormatting>
  <conditionalFormatting sqref="N1">
    <cfRule type="cellIs" dxfId="27" priority="68" operator="equal">
      <formula>"null"</formula>
    </cfRule>
  </conditionalFormatting>
  <conditionalFormatting sqref="P1">
    <cfRule type="cellIs" dxfId="26" priority="60" operator="equal">
      <formula>"null"</formula>
    </cfRule>
  </conditionalFormatting>
  <conditionalFormatting sqref="R1">
    <cfRule type="cellIs" dxfId="25" priority="59" operator="equal">
      <formula>"null"</formula>
    </cfRule>
  </conditionalFormatting>
  <conditionalFormatting sqref="R170:U174">
    <cfRule type="cellIs" dxfId="24" priority="49" operator="equal">
      <formula>"null"</formula>
    </cfRule>
  </conditionalFormatting>
  <conditionalFormatting sqref="T1">
    <cfRule type="cellIs" dxfId="23" priority="58" operator="equal">
      <formula>"null"</formula>
    </cfRule>
  </conditionalFormatting>
  <conditionalFormatting sqref="T2:U169">
    <cfRule type="cellIs" dxfId="22" priority="55" operator="equal">
      <formula>"null"</formula>
    </cfRule>
  </conditionalFormatting>
  <conditionalFormatting sqref="T1:AE1 D170:D174 T175:AE1048576">
    <cfRule type="cellIs" dxfId="21" priority="31" operator="equal">
      <formula>"null"</formula>
    </cfRule>
  </conditionalFormatting>
  <conditionalFormatting sqref="V1">
    <cfRule type="cellIs" dxfId="20" priority="56" operator="equal">
      <formula>"null"</formula>
    </cfRule>
  </conditionalFormatting>
  <conditionalFormatting sqref="V2:W174">
    <cfRule type="cellIs" dxfId="19" priority="18" operator="equal">
      <formula>"null"</formula>
    </cfRule>
  </conditionalFormatting>
  <conditionalFormatting sqref="X1">
    <cfRule type="cellIs" dxfId="18" priority="11" operator="equal">
      <formula>"null"</formula>
    </cfRule>
  </conditionalFormatting>
  <conditionalFormatting sqref="X2:X174">
    <cfRule type="cellIs" dxfId="17" priority="10" operator="equal">
      <formula>"null"</formula>
    </cfRule>
  </conditionalFormatting>
  <conditionalFormatting sqref="Y2:Y174">
    <cfRule type="cellIs" dxfId="16" priority="17" operator="equal">
      <formula>"null"</formula>
    </cfRule>
  </conditionalFormatting>
  <conditionalFormatting sqref="Z1">
    <cfRule type="cellIs" dxfId="15" priority="9" operator="equal">
      <formula>"null"</formula>
    </cfRule>
  </conditionalFormatting>
  <conditionalFormatting sqref="Z2:Z174">
    <cfRule type="cellIs" dxfId="14" priority="8" operator="equal">
      <formula>"null"</formula>
    </cfRule>
  </conditionalFormatting>
  <conditionalFormatting sqref="AA2:AA174">
    <cfRule type="cellIs" dxfId="13" priority="16" operator="equal">
      <formula>"null"</formula>
    </cfRule>
  </conditionalFormatting>
  <conditionalFormatting sqref="AB1">
    <cfRule type="cellIs" dxfId="12" priority="7" operator="equal">
      <formula>"null"</formula>
    </cfRule>
  </conditionalFormatting>
  <conditionalFormatting sqref="AB2:AB174">
    <cfRule type="cellIs" dxfId="11" priority="6" operator="equal">
      <formula>"null"</formula>
    </cfRule>
  </conditionalFormatting>
  <conditionalFormatting sqref="AC2:AC174">
    <cfRule type="cellIs" dxfId="10" priority="15" operator="equal">
      <formula>"null"</formula>
    </cfRule>
  </conditionalFormatting>
  <conditionalFormatting sqref="AD1">
    <cfRule type="cellIs" dxfId="9" priority="3" operator="equal">
      <formula>"null"</formula>
    </cfRule>
  </conditionalFormatting>
  <conditionalFormatting sqref="AD2:AD174">
    <cfRule type="cellIs" dxfId="8" priority="2" operator="equal">
      <formula>"null"</formula>
    </cfRule>
  </conditionalFormatting>
  <conditionalFormatting sqref="AE2:AE174">
    <cfRule type="cellIs" dxfId="7" priority="14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2026-09-08T14:10:06Z</dcterms:modified>
</cp:coreProperties>
</file>