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SIS\"/>
    </mc:Choice>
  </mc:AlternateContent>
  <xr:revisionPtr revIDLastSave="0" documentId="13_ncr:1_{7CDA9F70-BA8E-4079-9CB6-5AEE87190316}" xr6:coauthVersionLast="47" xr6:coauthVersionMax="47" xr10:uidLastSave="{00000000-0000-0000-0000-000000000000}"/>
  <bookViews>
    <workbookView xWindow="-103" yWindow="-103" windowWidth="22149" windowHeight="13200" tabRatio="520" activeTab="1" xr2:uid="{00000000-000D-0000-FFFF-FFFF00000000}"/>
  </bookViews>
  <sheets>
    <sheet name="Projeto" sheetId="13" r:id="rId1"/>
    <sheet name="Classes" sheetId="17" r:id="rId2"/>
    <sheet name="Planilha1" sheetId="26" r:id="rId3"/>
    <sheet name="Disjunt" sheetId="3" r:id="rId4"/>
    <sheet name="FatosIn" sheetId="25" r:id="rId5"/>
    <sheet name="Interop" sheetId="16" r:id="rId6"/>
  </sheets>
  <definedNames>
    <definedName name="_xlnm._FilterDatabase" localSheetId="1" hidden="1">Classes!#REF!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7" l="1"/>
  <c r="X3" i="17"/>
  <c r="X4" i="17"/>
  <c r="V4" i="17"/>
  <c r="U4" i="17"/>
  <c r="T4" i="17"/>
  <c r="O4" i="17"/>
  <c r="N4" i="17"/>
  <c r="M4" i="17"/>
  <c r="L4" i="17"/>
  <c r="V3" i="17"/>
  <c r="U3" i="17"/>
  <c r="T3" i="17"/>
  <c r="O3" i="17"/>
  <c r="N3" i="17"/>
  <c r="M3" i="17"/>
  <c r="L3" i="17"/>
  <c r="V2" i="17"/>
  <c r="U2" i="17"/>
  <c r="T2" i="17"/>
  <c r="O2" i="17"/>
  <c r="N2" i="17"/>
  <c r="M2" i="17"/>
  <c r="L2" i="17"/>
  <c r="X1" i="26"/>
  <c r="V1" i="26"/>
  <c r="U1" i="26"/>
  <c r="T1" i="26"/>
  <c r="O1" i="26"/>
  <c r="N1" i="26"/>
  <c r="M1" i="26"/>
  <c r="L1" i="26"/>
  <c r="X3" i="26"/>
  <c r="V3" i="26"/>
  <c r="U3" i="26"/>
  <c r="T3" i="26"/>
  <c r="O3" i="26"/>
  <c r="N3" i="26"/>
  <c r="M3" i="26"/>
  <c r="L3" i="26"/>
  <c r="X2" i="26"/>
  <c r="V2" i="26"/>
  <c r="U2" i="26"/>
  <c r="T2" i="26"/>
  <c r="O2" i="26"/>
  <c r="N2" i="26"/>
  <c r="M2" i="26"/>
  <c r="L2" i="26"/>
  <c r="X29" i="17"/>
  <c r="X30" i="17"/>
  <c r="X31" i="17"/>
  <c r="X32" i="17"/>
  <c r="X33" i="17"/>
  <c r="V33" i="17"/>
  <c r="U33" i="17"/>
  <c r="T33" i="17"/>
  <c r="O33" i="17"/>
  <c r="N33" i="17"/>
  <c r="M33" i="17"/>
  <c r="L33" i="17"/>
  <c r="V32" i="17"/>
  <c r="U32" i="17"/>
  <c r="T32" i="17"/>
  <c r="O32" i="17"/>
  <c r="N32" i="17"/>
  <c r="M32" i="17"/>
  <c r="L32" i="17"/>
  <c r="V31" i="17"/>
  <c r="U31" i="17"/>
  <c r="T31" i="17"/>
  <c r="O31" i="17"/>
  <c r="N31" i="17"/>
  <c r="M31" i="17"/>
  <c r="L31" i="17"/>
  <c r="V30" i="17"/>
  <c r="U30" i="17"/>
  <c r="T30" i="17"/>
  <c r="O30" i="17"/>
  <c r="N30" i="17"/>
  <c r="M30" i="17"/>
  <c r="L30" i="17"/>
  <c r="V29" i="17"/>
  <c r="U29" i="17"/>
  <c r="T29" i="17"/>
  <c r="O29" i="17"/>
  <c r="N29" i="17"/>
  <c r="M29" i="17"/>
  <c r="L29" i="17"/>
  <c r="X27" i="17" l="1"/>
  <c r="X28" i="17"/>
  <c r="X5" i="17" l="1"/>
  <c r="X6" i="17"/>
  <c r="X7" i="17"/>
  <c r="X8" i="17"/>
  <c r="X9" i="17"/>
  <c r="X10" i="17"/>
  <c r="X11" i="17"/>
  <c r="X12" i="17"/>
  <c r="X13" i="17"/>
  <c r="X14" i="17"/>
  <c r="X15" i="17"/>
  <c r="X16" i="17"/>
  <c r="X17" i="17"/>
  <c r="X18" i="17"/>
  <c r="X19" i="17"/>
  <c r="X20" i="17"/>
  <c r="X21" i="17"/>
  <c r="X22" i="17"/>
  <c r="X23" i="17"/>
  <c r="X24" i="17"/>
  <c r="X25" i="17"/>
  <c r="X26" i="17"/>
  <c r="V28" i="17"/>
  <c r="O28" i="17"/>
  <c r="N28" i="17"/>
  <c r="M28" i="17"/>
  <c r="L28" i="17"/>
  <c r="V24" i="17"/>
  <c r="O24" i="17"/>
  <c r="N24" i="17"/>
  <c r="M24" i="17"/>
  <c r="L24" i="17"/>
  <c r="O5" i="17"/>
  <c r="O6" i="17"/>
  <c r="O7" i="17"/>
  <c r="O8" i="17"/>
  <c r="O9" i="17"/>
  <c r="O10" i="17"/>
  <c r="O11" i="17"/>
  <c r="O12" i="17"/>
  <c r="O14" i="17"/>
  <c r="O15" i="17"/>
  <c r="O16" i="17"/>
  <c r="O17" i="17"/>
  <c r="O18" i="17"/>
  <c r="O19" i="17"/>
  <c r="O20" i="17"/>
  <c r="O21" i="17"/>
  <c r="O22" i="17"/>
  <c r="O23" i="17"/>
  <c r="O25" i="17"/>
  <c r="O26" i="17"/>
  <c r="O27" i="17"/>
  <c r="O13" i="17"/>
  <c r="V27" i="17"/>
  <c r="N27" i="17"/>
  <c r="M27" i="17"/>
  <c r="L27" i="17"/>
  <c r="V26" i="17"/>
  <c r="N26" i="17"/>
  <c r="M26" i="17"/>
  <c r="L26" i="17"/>
  <c r="V25" i="17"/>
  <c r="N25" i="17"/>
  <c r="M25" i="17"/>
  <c r="L25" i="17"/>
  <c r="V11" i="17"/>
  <c r="N11" i="17"/>
  <c r="M11" i="17"/>
  <c r="L11" i="17"/>
  <c r="V12" i="17"/>
  <c r="N12" i="17"/>
  <c r="M12" i="17"/>
  <c r="L12" i="17"/>
  <c r="V10" i="17"/>
  <c r="N10" i="17"/>
  <c r="M10" i="17"/>
  <c r="L10" i="17"/>
  <c r="V9" i="17"/>
  <c r="N9" i="17"/>
  <c r="M9" i="17"/>
  <c r="L9" i="17"/>
  <c r="V8" i="17"/>
  <c r="N8" i="17"/>
  <c r="M8" i="17"/>
  <c r="L8" i="17"/>
  <c r="V7" i="17"/>
  <c r="N7" i="17"/>
  <c r="M7" i="17"/>
  <c r="L7" i="17"/>
  <c r="V6" i="17"/>
  <c r="N6" i="17"/>
  <c r="M6" i="17"/>
  <c r="L6" i="17"/>
  <c r="V16" i="17" l="1"/>
  <c r="N16" i="17"/>
  <c r="M16" i="17"/>
  <c r="L16" i="17"/>
  <c r="V17" i="17"/>
  <c r="N17" i="17"/>
  <c r="M17" i="17"/>
  <c r="L17" i="17"/>
  <c r="V15" i="17"/>
  <c r="N15" i="17"/>
  <c r="M15" i="17"/>
  <c r="L15" i="17"/>
  <c r="V14" i="17"/>
  <c r="N14" i="17"/>
  <c r="M14" i="17"/>
  <c r="L14" i="17"/>
  <c r="V13" i="17"/>
  <c r="N13" i="17"/>
  <c r="M13" i="17"/>
  <c r="L13" i="17"/>
  <c r="V5" i="17"/>
  <c r="N5" i="17"/>
  <c r="M5" i="17"/>
  <c r="L5" i="17"/>
  <c r="V23" i="17"/>
  <c r="N23" i="17"/>
  <c r="M23" i="17"/>
  <c r="L23" i="17"/>
  <c r="V22" i="17"/>
  <c r="N22" i="17"/>
  <c r="M22" i="17"/>
  <c r="L22" i="17"/>
  <c r="V21" i="17"/>
  <c r="N21" i="17"/>
  <c r="M21" i="17"/>
  <c r="L21" i="17"/>
  <c r="V20" i="17"/>
  <c r="N20" i="17"/>
  <c r="M20" i="17"/>
  <c r="L20" i="17"/>
  <c r="V19" i="17"/>
  <c r="N19" i="17"/>
  <c r="M19" i="17"/>
  <c r="L19" i="17"/>
  <c r="V18" i="17"/>
  <c r="N18" i="17"/>
  <c r="M18" i="17"/>
  <c r="L18" i="17"/>
  <c r="B24" i="13" l="1"/>
  <c r="B18" i="13" l="1"/>
  <c r="B6" i="13"/>
  <c r="B5" i="13"/>
</calcChain>
</file>

<file path=xl/sharedStrings.xml><?xml version="1.0" encoding="utf-8"?>
<sst xmlns="http://schemas.openxmlformats.org/spreadsheetml/2006/main" count="1046" uniqueCount="293">
  <si>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</si>
  <si>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</si>
  <si>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</si>
  <si>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</si>
  <si>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</si>
  <si>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2</t>
  </si>
  <si>
    <t>Anotações 
de ajuda
Classe 3</t>
  </si>
  <si>
    <t>Anotações 
de ajuda
Classe 5</t>
  </si>
  <si>
    <t>Key</t>
  </si>
  <si>
    <t>null</t>
  </si>
  <si>
    <t>N°</t>
  </si>
  <si>
    <t>1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</si>
  <si>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</si>
  <si>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</si>
  <si>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</si>
  <si>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</si>
  <si>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</si>
  <si>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</si>
  <si>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</si>
  <si>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</si>
  <si>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</si>
  <si>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</si>
  <si>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</si>
  <si>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</si>
  <si>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</si>
  <si>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</si>
  <si>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</si>
  <si>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</si>
  <si>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</si>
  <si>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</si>
  <si>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</si>
  <si>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</si>
  <si>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BIM</t>
  </si>
  <si>
    <t>Natureza</t>
  </si>
  <si>
    <t>Disciplina</t>
  </si>
  <si>
    <t>Tema</t>
  </si>
  <si>
    <t>00 Super
Class
5</t>
  </si>
  <si>
    <t>000 Tradução Classe 5</t>
  </si>
  <si>
    <t>Especie</t>
  </si>
  <si>
    <t>00Super
Class
4</t>
  </si>
  <si>
    <t>00Super
Class
2</t>
  </si>
  <si>
    <t>00Super
Class
3</t>
  </si>
  <si>
    <t>00Raiz</t>
  </si>
  <si>
    <t>000 Traducción Classe 5</t>
  </si>
  <si>
    <t>Chave</t>
  </si>
  <si>
    <t>Valor</t>
  </si>
  <si>
    <t>OntologiaPrefixo</t>
  </si>
  <si>
    <t>bim:</t>
  </si>
  <si>
    <t>OntologiaTema</t>
  </si>
  <si>
    <t>RaizClass</t>
  </si>
  <si>
    <t>RaizProp</t>
  </si>
  <si>
    <t>RaizData</t>
  </si>
  <si>
    <t>URI</t>
  </si>
  <si>
    <t>https://github.com/JLMenegotto/RepoOnto#</t>
  </si>
  <si>
    <t>Autor</t>
  </si>
  <si>
    <t>Organização</t>
  </si>
  <si>
    <t>Escola Politécnica da UFRJ</t>
  </si>
  <si>
    <t>NormaNúmero</t>
  </si>
  <si>
    <t>-</t>
  </si>
  <si>
    <t>Edição</t>
  </si>
  <si>
    <t>ISBN</t>
  </si>
  <si>
    <t>NormaEscopo</t>
  </si>
  <si>
    <t>NormaReferência1</t>
  </si>
  <si>
    <t>NormaReferência2</t>
  </si>
  <si>
    <t>NormaReferência3</t>
  </si>
  <si>
    <t>Observações</t>
  </si>
  <si>
    <t>DataHora</t>
  </si>
  <si>
    <t>Advertência1</t>
  </si>
  <si>
    <t>Algumas traduções podem precisar de revisão - Traducción al español incorporada</t>
  </si>
  <si>
    <t>Prédio</t>
  </si>
  <si>
    <t>Cidade</t>
  </si>
  <si>
    <t>Explicação</t>
  </si>
  <si>
    <t>Explicación</t>
  </si>
  <si>
    <t>Indivíduo</t>
  </si>
  <si>
    <t>Classe</t>
  </si>
  <si>
    <t>Fato</t>
  </si>
  <si>
    <t>Fato
(14)</t>
  </si>
  <si>
    <t>descrição</t>
  </si>
  <si>
    <t>Val</t>
  </si>
  <si>
    <t>0-Classe Ifc</t>
  </si>
  <si>
    <t>0-Categoria Equivalente</t>
  </si>
  <si>
    <t>0-CategoriaEquivalente</t>
  </si>
  <si>
    <t>é.dentro.de</t>
  </si>
  <si>
    <t>ABNT</t>
  </si>
  <si>
    <t>000 Translate Classe 5</t>
  </si>
  <si>
    <t>Prof. José Luis Menegotto DEG/POLI/UFRJ</t>
  </si>
  <si>
    <t>Explanation</t>
  </si>
  <si>
    <t>Idioma</t>
  </si>
  <si>
    <t>pt</t>
  </si>
  <si>
    <t>es</t>
  </si>
  <si>
    <t>en</t>
  </si>
  <si>
    <t>0</t>
  </si>
  <si>
    <t>Anotações 
de ajuda
Classe 1</t>
  </si>
  <si>
    <t>Interop</t>
  </si>
  <si>
    <t>CTI_Projeto_01</t>
  </si>
  <si>
    <t>código.abnt</t>
  </si>
  <si>
    <t>"Nome da empresa vendedora do produto."</t>
  </si>
  <si>
    <t>classe.ifc</t>
  </si>
  <si>
    <t>categoria.revit</t>
  </si>
  <si>
    <t>"Tigre"</t>
  </si>
  <si>
    <t>é.pertencente.a</t>
  </si>
  <si>
    <t>Tubulações</t>
  </si>
  <si>
    <t>Instalações</t>
  </si>
  <si>
    <t>[ IfcValve ]</t>
  </si>
  <si>
    <t>[ IfcTank ]</t>
  </si>
  <si>
    <t>[ IfcBoiler ]</t>
  </si>
  <si>
    <t>[ IfcEnergyConversionDevice ]</t>
  </si>
  <si>
    <t>"[ IfcPipeSegment , IfcPipeFitting ]"</t>
  </si>
  <si>
    <t>[ OST_PipingSystem ]</t>
  </si>
  <si>
    <t>"[ OST_PipingSystem ]"</t>
  </si>
  <si>
    <t>"[ OST_PipeSegments , OST_PipeFitting ]"</t>
  </si>
  <si>
    <t>Objetos_de_Gases</t>
  </si>
  <si>
    <t>Objetos de Sistemas de Gás Doméstico e Hospitalares</t>
  </si>
  <si>
    <t>Formalizar elementos do projeto BIM. Objetos específicos de Gás Doméstico e Hospitalares</t>
  </si>
  <si>
    <t>Formalizar elementos de proyecto BIM. Objetos específicos de Gas Doméstico e Hospitalares</t>
  </si>
  <si>
    <t>Sistema.Gases</t>
  </si>
  <si>
    <t>Sistema.de.Gás</t>
  </si>
  <si>
    <t>Peças.Gás</t>
  </si>
  <si>
    <t>Buchão.de.Gás</t>
  </si>
  <si>
    <t>Cilindro.de.Gás</t>
  </si>
  <si>
    <t>Tanque.de.Gás</t>
  </si>
  <si>
    <t>Tubulação.Gás</t>
  </si>
  <si>
    <t>Aquecedor.a.Gás</t>
  </si>
  <si>
    <t>Boiler.a.Gás</t>
  </si>
  <si>
    <t>Caldeira.a.Gás</t>
  </si>
  <si>
    <t>Queimador</t>
  </si>
  <si>
    <t>Aquecedor a Gás</t>
  </si>
  <si>
    <t>Boiler a Gás</t>
  </si>
  <si>
    <t>Caldeira a Gás</t>
  </si>
  <si>
    <t>Tubulação de Gás</t>
  </si>
  <si>
    <t>Tanque de Gás</t>
  </si>
  <si>
    <t>Buchão de Gás</t>
  </si>
  <si>
    <t>Cilindro de Gás</t>
  </si>
  <si>
    <t>Acessório do sistema de gás como suportes, ganchos, pedestais, etc.</t>
  </si>
  <si>
    <t>Medidores de Gás</t>
  </si>
  <si>
    <t>Válvula de Gás</t>
  </si>
  <si>
    <t>Registro de Gás</t>
  </si>
  <si>
    <t>Queimador de Gás</t>
  </si>
  <si>
    <t>Sistema de Gás Doméstico</t>
  </si>
  <si>
    <t>Sistema de gas doméstico</t>
  </si>
  <si>
    <t>Registro de gases</t>
  </si>
  <si>
    <t>Válvula de gas</t>
  </si>
  <si>
    <t>Accesorios del sistema de gas como soportes, ganchos, pedestales, etc.</t>
  </si>
  <si>
    <t>Gas Crack</t>
  </si>
  <si>
    <t>Cilindro de gas</t>
  </si>
  <si>
    <t>Tubería de gas</t>
  </si>
  <si>
    <t>Caldera de gas</t>
  </si>
  <si>
    <t>Quemador de gas</t>
  </si>
  <si>
    <t>Medidores de gas</t>
  </si>
  <si>
    <t>Garrafa de gas</t>
  </si>
  <si>
    <t>Calefón de gas</t>
  </si>
  <si>
    <t>Termotanque de gas</t>
  </si>
  <si>
    <t>Gases</t>
  </si>
  <si>
    <t>[ IfcBurner ]</t>
  </si>
  <si>
    <t>[ OST_MechanicalEquipment ]</t>
  </si>
  <si>
    <t>Medidor.de.Gás</t>
  </si>
  <si>
    <t>Válvula.de.Gás</t>
  </si>
  <si>
    <t>Registro.de.Gás</t>
  </si>
  <si>
    <t>Sistema.GAS</t>
  </si>
  <si>
    <t>Sistema.Oxigênio</t>
  </si>
  <si>
    <t>Sistema.Ar.Medicinal</t>
  </si>
  <si>
    <t>Sistema.Ar.Comprimido</t>
  </si>
  <si>
    <t>Sistema.Óxido.Nitroso</t>
  </si>
  <si>
    <t>Sistema.Nitrogênio</t>
  </si>
  <si>
    <t>Sistema.Hélio</t>
  </si>
  <si>
    <t>Sistema.de.Gás.Hospitalar</t>
  </si>
  <si>
    <t>Sistema de Oxigênio para Terapia respiratória, emergências, ventilação</t>
  </si>
  <si>
    <t>Sistema de Ar Medicinal para Anestesia, nebulização, suporte a pacientes sensíveis</t>
  </si>
  <si>
    <t>Sistema de Ar Comprimido para Ferramentas cirúrgicas, sistemas pneumáticos</t>
  </si>
  <si>
    <t>Sistema de Óxido Nitroso para Anestesia e analgesia</t>
  </si>
  <si>
    <t>Sistema de Nitrogênio para Criogenia, calibração, acionamento de instrumentos</t>
  </si>
  <si>
    <t>Sistema de Hélio para Misturas respiratórias e diagnósticos</t>
  </si>
  <si>
    <t>Sistema de Oxígeno para Terapias respiratorias, emergencias, ventilación</t>
  </si>
  <si>
    <t>Sistema de Ar Medicinal para anestesias, nebulizaciones, soporte a pacientes sensibles</t>
  </si>
  <si>
    <t>Sistema de Ar Comprimido para Herramientas cirúrgicas, sistemas pneumáticos</t>
  </si>
  <si>
    <t>Sistema de Óxido Nitroso para anestesia y analgesia</t>
  </si>
  <si>
    <t>Sistema de Nitrogênio para criogenia, calibración, accionamento de instrumentos</t>
  </si>
  <si>
    <t>Sistema de Hélio para mezclas respiratorias y diagnósticos</t>
  </si>
  <si>
    <t>[ IfcDistributionSystemCOMPRESSEDAIR  ]</t>
  </si>
  <si>
    <t>[ IfcDistributionSystemGAS  ]</t>
  </si>
  <si>
    <t>Sistema.Vacuo</t>
  </si>
  <si>
    <t>Sistema de Vacuo hospitalar</t>
  </si>
  <si>
    <t>[ IfcDistributionSystemVACUUM ]</t>
  </si>
  <si>
    <t>[ IfcFlowMeter ]</t>
  </si>
  <si>
    <t>[ IfcDiscreteAccessory ]</t>
  </si>
  <si>
    <t>Sis_GAS_01</t>
  </si>
  <si>
    <t>Tugas_ID_434250</t>
  </si>
  <si>
    <t>Tugas_ID_434251</t>
  </si>
  <si>
    <t>"Instância de Tubulação que pertence ao sistema de Gás doméstico GAS_01 pode ser individualizado pelo ID de Revit ou pelo indentificador IfcGlobalId de IFC"</t>
  </si>
  <si>
    <t>"Sistema de Gás da coluna 1 do Predio"</t>
  </si>
  <si>
    <t>Tubulação.Gás.Hospitalar</t>
  </si>
  <si>
    <t>Aquecedor.a.Gás.Hospitalar</t>
  </si>
  <si>
    <t>Boiler.a.Gás.Hospitalar</t>
  </si>
  <si>
    <t>Caldeira.a.Gás.Hospitalar</t>
  </si>
  <si>
    <t>Tubulação de Gás hospitalar</t>
  </si>
  <si>
    <t>Aquecedor a Gás hospitalar</t>
  </si>
  <si>
    <t>Boiler a Gás hospitalar</t>
  </si>
  <si>
    <t>Caldeira a Gás hospitalar</t>
  </si>
  <si>
    <t>Tubería de gas hospitalar</t>
  </si>
  <si>
    <t>Calefón de gas hospitalar</t>
  </si>
  <si>
    <t>Termotanque de gas hospitalar</t>
  </si>
  <si>
    <t>Caldera de gas hospitalar</t>
  </si>
  <si>
    <t>Home Gas System</t>
  </si>
  <si>
    <t>Oxygen System for Respiratory Therapy, Emergencies, Ventilation</t>
  </si>
  <si>
    <t>Medical Air System for Anesthesia, Nebulization, Sensitive Patient Support</t>
  </si>
  <si>
    <t>Compressed Air System for Surgical Tools, Pneumatic Systems</t>
  </si>
  <si>
    <t>Nitrous Oxide System for Anesthesia and Analgesia</t>
  </si>
  <si>
    <t>Nitrogen System for Cryogenics, Calibration, Instrument Actuation</t>
  </si>
  <si>
    <t>Helium System for Respiratory Mixtures and Diagnostics</t>
  </si>
  <si>
    <t>Hospital Vacuum System</t>
  </si>
  <si>
    <t>Gas Burner</t>
  </si>
  <si>
    <t>Gas Log</t>
  </si>
  <si>
    <t>Gas Valve</t>
  </si>
  <si>
    <t>Gas Meters</t>
  </si>
  <si>
    <t>Gas system accessory like brackets, hooks, pedestals, etc.</t>
  </si>
  <si>
    <t>Gas Cylinder</t>
  </si>
  <si>
    <t>Gas Tank</t>
  </si>
  <si>
    <t>Gas Pipe</t>
  </si>
  <si>
    <t>Gas Heater</t>
  </si>
  <si>
    <t>Gas Boiler</t>
  </si>
  <si>
    <t>Hospital Gas Pipe</t>
  </si>
  <si>
    <t>Hospital Gas Heater</t>
  </si>
  <si>
    <t>Hospital Gas Boiler</t>
  </si>
  <si>
    <t>Acessório.de.Gás</t>
  </si>
  <si>
    <t>Tanque de gas</t>
  </si>
  <si>
    <t>Gás.Doméstico</t>
  </si>
  <si>
    <t>Gás.Hospitalar</t>
  </si>
  <si>
    <t>Elementos.Gases</t>
  </si>
  <si>
    <t>Hospital Gas Industrial Boiler</t>
  </si>
  <si>
    <t>Gas Industrial Boiler</t>
  </si>
  <si>
    <t>[ 3E.54 ]</t>
  </si>
  <si>
    <t>"[ 3E.54 ]"</t>
  </si>
  <si>
    <t>[ 3E.54.04 ]</t>
  </si>
  <si>
    <t>[ OST_PipeAccessory ]</t>
  </si>
  <si>
    <t>quem.fabricou</t>
  </si>
  <si>
    <t>quem.forneceu</t>
  </si>
  <si>
    <t>Conceitos</t>
  </si>
  <si>
    <t>Sistemas.Prediais</t>
  </si>
  <si>
    <t>[ OST_PipingSystem : OST_PipeSegments : OST_PipeFitting : OST_PipeCurves : OST_PipeConnections : OST_PipeFittingInsulation ]</t>
  </si>
  <si>
    <t>[ IfcPipeSegment : IfcPipeFitting ]</t>
  </si>
  <si>
    <t>"Sistemas Prediais de Gases do Projeto Específico 01"</t>
  </si>
  <si>
    <t>"Indivíduo que representa um sistema de Gás doméstico"</t>
  </si>
  <si>
    <t>Atributo IFC</t>
  </si>
  <si>
    <t>Categoria Rvt</t>
  </si>
  <si>
    <t>Parâmetro Rvt</t>
  </si>
  <si>
    <t>Classe IFC</t>
  </si>
  <si>
    <t>Projeto</t>
  </si>
  <si>
    <t>De.API</t>
  </si>
  <si>
    <t>Métodos</t>
  </si>
  <si>
    <t>Macros</t>
  </si>
  <si>
    <t>Função.Auxiliar</t>
  </si>
  <si>
    <t>Define uma Função Auxiliar (helper) numa aplicação</t>
  </si>
  <si>
    <t>Defina un rol de ayudante en una aplicación</t>
  </si>
  <si>
    <t>Define a Helper Role in an application</t>
  </si>
  <si>
    <t>Função.Global</t>
  </si>
  <si>
    <t>Define uma Função Global numa aplicação</t>
  </si>
  <si>
    <t>Defina un rol global en una aplicación</t>
  </si>
  <si>
    <t>Define a Global Role in an application</t>
  </si>
  <si>
    <t>Função.Local</t>
  </si>
  <si>
    <t>Define uma Função Local numa aplicação</t>
  </si>
  <si>
    <t>Defina un rol local en una aplicación</t>
  </si>
  <si>
    <t>Define a Local Role in an application</t>
  </si>
  <si>
    <t>Função.Filtro</t>
  </si>
  <si>
    <t>Define uma Função para filtrar objetos numa aplicação</t>
  </si>
  <si>
    <t>Defina una función para filtrar objetos en una aplicación</t>
  </si>
  <si>
    <t>Define a Function to filter objects in an application</t>
  </si>
  <si>
    <t>Códigos.Visuais</t>
  </si>
  <si>
    <t>Bloco.de.Código</t>
  </si>
  <si>
    <t>Define um Código escrito em sistemas de programação visual</t>
  </si>
  <si>
    <t>Define un código escrito en sistemas de programación visual</t>
  </si>
  <si>
    <t>Defines a Code written in visual programming systems</t>
  </si>
  <si>
    <t>KML</t>
  </si>
  <si>
    <t>De.Materialidade</t>
  </si>
  <si>
    <t>Materialidades</t>
  </si>
  <si>
    <t>Materiais</t>
  </si>
  <si>
    <t>[ OST_Materials : OST_PipeMaterials ]</t>
  </si>
  <si>
    <t>[ IfcMaterial ]</t>
  </si>
  <si>
    <t>Tubo.de.Cobre</t>
  </si>
  <si>
    <t>Copper pipe for hot water or gas networks.</t>
  </si>
  <si>
    <t>[ 0M.20.20.05 ]</t>
  </si>
  <si>
    <t>[ 0M.20.60.07.09 ]</t>
  </si>
  <si>
    <t>[ 0M.20.20.01.01 ]</t>
  </si>
  <si>
    <t>Tubo de cobre para redes de água e gás.</t>
  </si>
  <si>
    <t>Tubería de cobre para redes de agua y gas.</t>
  </si>
  <si>
    <t>Tubo.Multicamada</t>
  </si>
  <si>
    <t>Tubo composto por uma camada interna de plástico (PEX), uma camada intermediária de alumínio contínuo (Al) e uma camada externa de plástico protetor. Tubo flexível conectado por crimpagem.</t>
  </si>
  <si>
    <t>Tubo compuesto por una capa interior de plástico (PEX), una capa intermedia de aluminio continuo (Al) y una capa exterior de plástico protector. Tubo flexible conectado mediante crimping.</t>
  </si>
  <si>
    <t>Tube composed of an inner layer of plastic (PEX), a middle layer of continuous aluminium (Al) and an outer layer of protective plastic. Flexible tube connected by crimping.</t>
  </si>
  <si>
    <t>Tubo de aço com costura (especificações NBR 5580 ou NBR 5590).</t>
  </si>
  <si>
    <t>Tubería de acero soldada (especificaciones NBR 5580 o NBR 5590).</t>
  </si>
  <si>
    <t>Welded steel pipe (NBR 5580 or NBR 5590 specifications).</t>
  </si>
  <si>
    <t>Tubo.de.Aço.Costura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</si>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</sst>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Aptos Narrow"/>
      <family val="2"/>
      <charset val="1"/>
    </font>
    <font>
      <sz val="8"/>
      <name val="Aptos Narrow"/>
      <family val="2"/>
      <charset val="1"/>
    </font>
    <font>
      <sz val="6"/>
      <color rgb="FF000000"/>
      <name val="Arial Nova Cond Light"/>
      <family val="2"/>
    </font>
    <font>
      <b/>
      <sz val="6"/>
      <color rgb="FF000000"/>
      <name val="Arial Nova Cond Light"/>
      <family val="2"/>
    </font>
    <font>
      <sz val="6"/>
      <name val="Arial Nova Cond Light"/>
      <family val="2"/>
    </font>
    <font>
      <b/>
      <sz val="6"/>
      <name val="Arial Nova Cond Light"/>
      <family val="2"/>
    </font>
    <font>
      <sz val="6"/>
      <color theme="1"/>
      <name val="Arial Nova Cond Light"/>
      <family val="2"/>
    </font>
    <font>
      <i/>
      <sz val="6"/>
      <name val="Arial Nova Cond Light"/>
      <family val="2"/>
    </font>
    <font>
      <b/>
      <sz val="6"/>
      <color theme="1"/>
      <name val="Arial Nova Cond Light"/>
      <family val="2"/>
    </font>
    <font>
      <b/>
      <sz val="5"/>
      <color rgb="FF000000"/>
      <name val="Arial Nova Cond Light"/>
      <family val="2"/>
    </font>
    <font>
      <sz val="8"/>
      <color theme="1"/>
      <name val="Arial Nova Cond"/>
      <family val="2"/>
    </font>
    <font>
      <sz val="8"/>
      <color theme="1"/>
      <name val="Arial Nova Cond Light"/>
      <family val="2"/>
    </font>
    <font>
      <sz val="6"/>
      <color rgb="FF000000"/>
      <name val="Aptos Narrow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2AA84"/>
        <bgColor rgb="FFF6C6AD"/>
      </patternFill>
    </fill>
    <fill>
      <patternFill patternType="solid">
        <fgColor rgb="FFD9D9D9"/>
        <bgColor rgb="FFD1D1D1"/>
      </patternFill>
    </fill>
    <fill>
      <patternFill patternType="solid">
        <fgColor rgb="FFFBE79D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rgb="FFFF99FF"/>
        <bgColor rgb="FFFFFFCC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rgb="FFFF9900"/>
      </patternFill>
    </fill>
    <fill>
      <patternFill patternType="solid">
        <fgColor theme="5" tint="0.59999389629810485"/>
        <bgColor rgb="FFC0C0C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8" tint="0.79998168889431442"/>
        <bgColor rgb="FFFF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5" tint="0.79998168889431442"/>
        <bgColor rgb="FFFEF2CB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5" borderId="4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4" borderId="3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6" borderId="4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22" fontId="6" fillId="0" borderId="4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8" fillId="8" borderId="4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left" vertical="center"/>
    </xf>
    <xf numFmtId="0" fontId="8" fillId="8" borderId="4" xfId="0" applyFont="1" applyFill="1" applyBorder="1" applyAlignment="1">
      <alignment vertical="center"/>
    </xf>
    <xf numFmtId="0" fontId="4" fillId="9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vertical="center"/>
    </xf>
    <xf numFmtId="0" fontId="4" fillId="11" borderId="4" xfId="0" applyFont="1" applyFill="1" applyBorder="1" applyAlignment="1">
      <alignment vertical="center"/>
    </xf>
    <xf numFmtId="0" fontId="6" fillId="12" borderId="4" xfId="0" applyFont="1" applyFill="1" applyBorder="1" applyAlignment="1">
      <alignment horizontal="left" vertical="center"/>
    </xf>
    <xf numFmtId="0" fontId="4" fillId="12" borderId="4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14" borderId="4" xfId="0" applyFont="1" applyFill="1" applyBorder="1" applyAlignment="1">
      <alignment horizontal="left" vertical="center" wrapText="1"/>
    </xf>
    <xf numFmtId="0" fontId="3" fillId="15" borderId="4" xfId="0" applyFont="1" applyFill="1" applyBorder="1" applyAlignment="1">
      <alignment horizontal="left" vertical="center" wrapText="1"/>
    </xf>
    <xf numFmtId="0" fontId="2" fillId="16" borderId="4" xfId="0" applyFont="1" applyFill="1" applyBorder="1" applyAlignment="1">
      <alignment horizontal="left" vertical="center" wrapText="1"/>
    </xf>
    <xf numFmtId="0" fontId="2" fillId="16" borderId="4" xfId="0" applyFont="1" applyFill="1" applyBorder="1" applyAlignment="1">
      <alignment horizontal="left" vertical="center"/>
    </xf>
    <xf numFmtId="0" fontId="3" fillId="14" borderId="4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/>
    </xf>
    <xf numFmtId="0" fontId="2" fillId="18" borderId="4" xfId="0" applyFont="1" applyFill="1" applyBorder="1" applyAlignment="1">
      <alignment horizontal="left" vertical="center"/>
    </xf>
    <xf numFmtId="0" fontId="2" fillId="19" borderId="4" xfId="0" applyFont="1" applyFill="1" applyBorder="1" applyAlignment="1">
      <alignment vertical="center"/>
    </xf>
    <xf numFmtId="0" fontId="3" fillId="3" borderId="7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8" fillId="22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2" fillId="5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2" fillId="10" borderId="4" xfId="0" applyFont="1" applyFill="1" applyBorder="1" applyAlignment="1">
      <alignment vertical="center" wrapText="1"/>
    </xf>
    <xf numFmtId="0" fontId="8" fillId="8" borderId="4" xfId="0" applyFont="1" applyFill="1" applyBorder="1" applyAlignment="1">
      <alignment vertical="center" wrapText="1"/>
    </xf>
    <xf numFmtId="0" fontId="6" fillId="13" borderId="4" xfId="0" applyFont="1" applyFill="1" applyBorder="1" applyAlignment="1">
      <alignment vertical="center"/>
    </xf>
    <xf numFmtId="0" fontId="4" fillId="21" borderId="4" xfId="0" applyFont="1" applyFill="1" applyBorder="1" applyAlignment="1">
      <alignment vertical="center"/>
    </xf>
    <xf numFmtId="0" fontId="4" fillId="20" borderId="4" xfId="0" applyFont="1" applyFill="1" applyBorder="1" applyAlignment="1">
      <alignment vertical="center"/>
    </xf>
    <xf numFmtId="0" fontId="2" fillId="16" borderId="5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5" borderId="4" xfId="0" applyFont="1" applyFill="1" applyBorder="1" applyAlignment="1">
      <alignment horizontal="left" vertical="center" wrapText="1"/>
    </xf>
    <xf numFmtId="0" fontId="2" fillId="17" borderId="4" xfId="0" applyFont="1" applyFill="1" applyBorder="1" applyAlignment="1">
      <alignment horizontal="right" vertical="center"/>
    </xf>
    <xf numFmtId="0" fontId="2" fillId="23" borderId="4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" fillId="16" borderId="4" xfId="0" applyFont="1" applyFill="1" applyBorder="1" applyAlignment="1">
      <alignment vertical="center"/>
    </xf>
    <xf numFmtId="0" fontId="4" fillId="24" borderId="4" xfId="0" applyFont="1" applyFill="1" applyBorder="1" applyAlignment="1">
      <alignment horizontal="left" vertical="center"/>
    </xf>
    <xf numFmtId="0" fontId="11" fillId="0" borderId="0" xfId="0" applyFont="1" applyAlignment="1">
      <alignment horizontal="left"/>
    </xf>
    <xf numFmtId="0" fontId="6" fillId="5" borderId="4" xfId="0" applyFont="1" applyFill="1" applyBorder="1" applyAlignment="1">
      <alignment horizontal="left" vertical="center"/>
    </xf>
    <xf numFmtId="0" fontId="6" fillId="16" borderId="4" xfId="0" applyFont="1" applyFill="1" applyBorder="1" applyAlignment="1">
      <alignment horizontal="left" vertical="center"/>
    </xf>
  </cellXfs>
  <cellStyles count="1">
    <cellStyle name="Normal" xfId="0" builtinId="0"/>
  </cellStyles>
  <dxfs count="29"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747474"/>
      <rgbColor rgb="FF9999FF"/>
      <rgbColor rgb="FF993366"/>
      <rgbColor rgb="FFFFCCCC"/>
      <rgbColor rgb="FFDCEAF7"/>
      <rgbColor rgb="FF660066"/>
      <rgbColor rgb="FFF2AA84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4E5A2"/>
      <rgbColor rgb="FFD9F2D0"/>
      <rgbColor rgb="FFF6E896"/>
      <rgbColor rgb="FFA6CAEC"/>
      <rgbColor rgb="FFE59EDD"/>
      <rgbColor rgb="FFFFC7CE"/>
      <rgbColor rgb="FFF6C6AD"/>
      <rgbColor rgb="FF3366FF"/>
      <rgbColor rgb="FF46B1E1"/>
      <rgbColor rgb="FF8ED973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BE79D"/>
      <color rgb="FFFDF2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4" displayName="Tabla4" ref="A1:U3" totalsRowShown="0">
  <tableColumns count="21">
    <tableColumn id="1" xr3:uid="{00000000-0010-0000-0000-000001000000}" name="1"/>
    <tableColumn id="2" xr3:uid="{00000000-0010-0000-0000-000002000000}" name="Disjunta 1"/>
    <tableColumn id="3" xr3:uid="{00000000-0010-0000-0000-000003000000}" name="Disjunta 2"/>
    <tableColumn id="4" xr3:uid="{00000000-0010-0000-0000-000004000000}" name="Disjunta 3"/>
    <tableColumn id="5" xr3:uid="{00000000-0010-0000-0000-000005000000}" name="Disjunta 4"/>
    <tableColumn id="6" xr3:uid="{00000000-0010-0000-0000-000006000000}" name="Disjunta 5"/>
    <tableColumn id="7" xr3:uid="{00000000-0010-0000-0000-000007000000}" name="Disjunta 6"/>
    <tableColumn id="8" xr3:uid="{00000000-0010-0000-0000-000008000000}" name="Disjunta 7"/>
    <tableColumn id="9" xr3:uid="{00000000-0010-0000-0000-000009000000}" name="Disjunta 8"/>
    <tableColumn id="10" xr3:uid="{00000000-0010-0000-0000-00000A000000}" name="Disjunta 9"/>
    <tableColumn id="11" xr3:uid="{00000000-0010-0000-0000-00000B000000}" name="Disjunta 10"/>
    <tableColumn id="12" xr3:uid="{00000000-0010-0000-0000-00000C000000}" name="Disjunta 11"/>
    <tableColumn id="13" xr3:uid="{00000000-0010-0000-0000-00000D000000}" name="Disjunta 12"/>
    <tableColumn id="14" xr3:uid="{00000000-0010-0000-0000-00000E000000}" name="Disjunta 13"/>
    <tableColumn id="15" xr3:uid="{00000000-0010-0000-0000-00000F000000}" name="Disjunta 14"/>
    <tableColumn id="16" xr3:uid="{00000000-0010-0000-0000-000010000000}" name="Disjunta 15"/>
    <tableColumn id="17" xr3:uid="{00000000-0010-0000-0000-000011000000}" name="Disjunta 16"/>
    <tableColumn id="18" xr3:uid="{00000000-0010-0000-0000-000012000000}" name="Disjunta 17"/>
    <tableColumn id="19" xr3:uid="{00000000-0010-0000-0000-000013000000}" name="Disjunta 18"/>
    <tableColumn id="20" xr3:uid="{00000000-0010-0000-0000-000014000000}" name="Disjunta 19"/>
    <tableColumn id="21" xr3:uid="{00000000-0010-0000-0000-000015000000}" name="Disjunta 2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4A63-55AB-497E-9EBD-4681BB9AFAFF}">
  <sheetPr codeName="Planilha1"/>
  <dimension ref="A1:C24"/>
  <sheetViews>
    <sheetView zoomScale="175" zoomScaleNormal="175" workbookViewId="0">
      <pane ySplit="1" topLeftCell="A2" activePane="bottomLeft" state="frozen"/>
      <selection pane="bottomLeft" activeCell="B24" sqref="B24"/>
    </sheetView>
  </sheetViews>
  <sheetFormatPr defaultColWidth="9.15234375" defaultRowHeight="9.75" customHeight="1" x14ac:dyDescent="0.4"/>
  <cols>
    <col min="1" max="1" width="8.69140625" style="55" customWidth="1"/>
    <col min="2" max="2" width="40.15234375" style="55" customWidth="1"/>
    <col min="3" max="3" width="3.3828125" style="41" bestFit="1" customWidth="1"/>
    <col min="4" max="16384" width="9.15234375" style="55"/>
  </cols>
  <sheetData>
    <row r="1" spans="1:3" ht="20.25" customHeight="1" x14ac:dyDescent="0.4">
      <c r="A1" s="12" t="s">
        <v>44</v>
      </c>
      <c r="B1" s="12" t="s">
        <v>45</v>
      </c>
      <c r="C1" s="39" t="s">
        <v>87</v>
      </c>
    </row>
    <row r="2" spans="1:3" ht="9" customHeight="1" x14ac:dyDescent="0.4">
      <c r="A2" s="13" t="s">
        <v>46</v>
      </c>
      <c r="B2" s="13" t="s">
        <v>47</v>
      </c>
      <c r="C2" s="40" t="s">
        <v>88</v>
      </c>
    </row>
    <row r="3" spans="1:3" ht="9" customHeight="1" x14ac:dyDescent="0.4">
      <c r="A3" s="13" t="s">
        <v>48</v>
      </c>
      <c r="B3" s="13" t="s">
        <v>111</v>
      </c>
      <c r="C3" s="40" t="s">
        <v>88</v>
      </c>
    </row>
    <row r="4" spans="1:3" ht="9" customHeight="1" x14ac:dyDescent="0.4">
      <c r="A4" s="14" t="s">
        <v>49</v>
      </c>
      <c r="B4" s="14" t="s">
        <v>32</v>
      </c>
      <c r="C4" s="40" t="s">
        <v>88</v>
      </c>
    </row>
    <row r="5" spans="1:3" ht="9" customHeight="1" x14ac:dyDescent="0.4">
      <c r="A5" s="14" t="s">
        <v>50</v>
      </c>
      <c r="B5" s="14" t="str">
        <f>_xlfn.CONCAT(B4,"Prop")</f>
        <v>BIMProp</v>
      </c>
      <c r="C5" s="40" t="s">
        <v>88</v>
      </c>
    </row>
    <row r="6" spans="1:3" ht="9" customHeight="1" x14ac:dyDescent="0.4">
      <c r="A6" s="14" t="s">
        <v>51</v>
      </c>
      <c r="B6" s="14" t="str">
        <f>_xlfn.CONCAT(B4,"Data")</f>
        <v>BIMData</v>
      </c>
      <c r="C6" s="40" t="s">
        <v>88</v>
      </c>
    </row>
    <row r="7" spans="1:3" ht="9" customHeight="1" x14ac:dyDescent="0.4">
      <c r="A7" s="14" t="s">
        <v>52</v>
      </c>
      <c r="B7" s="14" t="s">
        <v>53</v>
      </c>
      <c r="C7" s="40" t="s">
        <v>88</v>
      </c>
    </row>
    <row r="8" spans="1:3" s="38" customFormat="1" ht="9" customHeight="1" x14ac:dyDescent="0.4">
      <c r="A8" s="37" t="s">
        <v>54</v>
      </c>
      <c r="B8" s="37" t="s">
        <v>85</v>
      </c>
      <c r="C8" s="40" t="s">
        <v>88</v>
      </c>
    </row>
    <row r="9" spans="1:3" ht="9" customHeight="1" x14ac:dyDescent="0.4">
      <c r="A9" s="14" t="s">
        <v>55</v>
      </c>
      <c r="B9" s="14" t="s">
        <v>56</v>
      </c>
      <c r="C9" s="40" t="s">
        <v>88</v>
      </c>
    </row>
    <row r="10" spans="1:3" ht="9" customHeight="1" x14ac:dyDescent="0.4">
      <c r="A10" s="14" t="s">
        <v>57</v>
      </c>
      <c r="B10" s="14" t="s">
        <v>58</v>
      </c>
      <c r="C10" s="40" t="s">
        <v>88</v>
      </c>
    </row>
    <row r="11" spans="1:3" ht="9" customHeight="1" x14ac:dyDescent="0.4">
      <c r="A11" s="14" t="s">
        <v>59</v>
      </c>
      <c r="B11" s="14" t="s">
        <v>58</v>
      </c>
      <c r="C11" s="40" t="s">
        <v>88</v>
      </c>
    </row>
    <row r="12" spans="1:3" ht="9" customHeight="1" x14ac:dyDescent="0.4">
      <c r="A12" s="14" t="s">
        <v>60</v>
      </c>
      <c r="B12" s="14" t="s">
        <v>58</v>
      </c>
      <c r="C12" s="40" t="s">
        <v>88</v>
      </c>
    </row>
    <row r="13" spans="1:3" ht="9" customHeight="1" x14ac:dyDescent="0.4">
      <c r="A13" s="14" t="s">
        <v>61</v>
      </c>
      <c r="B13" s="14" t="s">
        <v>58</v>
      </c>
      <c r="C13" s="40" t="s">
        <v>88</v>
      </c>
    </row>
    <row r="14" spans="1:3" ht="9" customHeight="1" x14ac:dyDescent="0.4">
      <c r="A14" s="14" t="s">
        <v>62</v>
      </c>
      <c r="B14" s="14" t="s">
        <v>58</v>
      </c>
      <c r="C14" s="40" t="s">
        <v>88</v>
      </c>
    </row>
    <row r="15" spans="1:3" ht="9" customHeight="1" x14ac:dyDescent="0.4">
      <c r="A15" s="14" t="s">
        <v>63</v>
      </c>
      <c r="B15" s="14" t="s">
        <v>58</v>
      </c>
      <c r="C15" s="40" t="s">
        <v>88</v>
      </c>
    </row>
    <row r="16" spans="1:3" ht="9" customHeight="1" x14ac:dyDescent="0.4">
      <c r="A16" s="14" t="s">
        <v>64</v>
      </c>
      <c r="B16" s="14" t="s">
        <v>58</v>
      </c>
      <c r="C16" s="40" t="s">
        <v>88</v>
      </c>
    </row>
    <row r="17" spans="1:3" ht="9" customHeight="1" x14ac:dyDescent="0.4">
      <c r="A17" s="14" t="s">
        <v>65</v>
      </c>
      <c r="B17" s="14" t="s">
        <v>112</v>
      </c>
      <c r="C17" s="40" t="s">
        <v>88</v>
      </c>
    </row>
    <row r="18" spans="1:3" ht="9" customHeight="1" x14ac:dyDescent="0.4">
      <c r="A18" s="14" t="s">
        <v>66</v>
      </c>
      <c r="B18" s="15">
        <f ca="1">NOW()</f>
        <v>46270.88738148148</v>
      </c>
      <c r="C18" s="40" t="s">
        <v>88</v>
      </c>
    </row>
    <row r="19" spans="1:3" ht="9" customHeight="1" x14ac:dyDescent="0.4">
      <c r="A19" s="14" t="s">
        <v>67</v>
      </c>
      <c r="B19" s="15" t="s">
        <v>68</v>
      </c>
      <c r="C19" s="40" t="s">
        <v>88</v>
      </c>
    </row>
    <row r="20" spans="1:3" ht="9" customHeight="1" x14ac:dyDescent="0.4">
      <c r="A20" s="14" t="s">
        <v>69</v>
      </c>
      <c r="B20" s="14" t="s">
        <v>58</v>
      </c>
      <c r="C20" s="40" t="s">
        <v>88</v>
      </c>
    </row>
    <row r="21" spans="1:3" ht="9" customHeight="1" x14ac:dyDescent="0.4">
      <c r="A21" s="14" t="s">
        <v>70</v>
      </c>
      <c r="B21" s="14" t="s">
        <v>58</v>
      </c>
      <c r="C21" s="40" t="s">
        <v>88</v>
      </c>
    </row>
    <row r="22" spans="1:3" ht="9" customHeight="1" x14ac:dyDescent="0.4">
      <c r="A22" s="14" t="s">
        <v>71</v>
      </c>
      <c r="B22" s="16" t="s">
        <v>113</v>
      </c>
      <c r="C22" s="40" t="s">
        <v>88</v>
      </c>
    </row>
    <row r="23" spans="1:3" ht="9" customHeight="1" x14ac:dyDescent="0.4">
      <c r="A23" s="14" t="s">
        <v>72</v>
      </c>
      <c r="B23" s="16" t="s">
        <v>114</v>
      </c>
      <c r="C23" s="40" t="s">
        <v>89</v>
      </c>
    </row>
    <row r="24" spans="1:3" s="38" customFormat="1" ht="9" customHeight="1" x14ac:dyDescent="0.4">
      <c r="A24" s="14" t="s">
        <v>86</v>
      </c>
      <c r="B24" s="16" t="str">
        <f>_xlfn.TRANSLATE(B22,"pt","en")</f>
        <v>Formalize elements of the BIM project. Specific Household and Hospital Gas Objects</v>
      </c>
      <c r="C24" s="40" t="s">
        <v>90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2D63-9637-42D9-866B-0BB924A50D8C}">
  <sheetPr codeName="Planilha2"/>
  <dimension ref="A1:AD33"/>
  <sheetViews>
    <sheetView tabSelected="1" zoomScale="190" zoomScaleNormal="190" workbookViewId="0">
      <pane ySplit="1" topLeftCell="A2" activePane="bottomLeft" state="frozen"/>
      <selection activeCell="A179" sqref="A179:XFD190"/>
      <selection pane="bottomLeft" activeCell="E6" sqref="E6"/>
    </sheetView>
  </sheetViews>
  <sheetFormatPr defaultColWidth="9.15234375" defaultRowHeight="6.65" customHeight="1" x14ac:dyDescent="0.4"/>
  <cols>
    <col min="1" max="1" width="3.15234375" bestFit="1" customWidth="1"/>
    <col min="2" max="2" width="6.3046875" style="53" bestFit="1" customWidth="1"/>
    <col min="3" max="3" width="10" style="53" bestFit="1" customWidth="1"/>
    <col min="4" max="4" width="9.69140625" style="53" bestFit="1" customWidth="1"/>
    <col min="5" max="5" width="14.53515625" style="53" bestFit="1" customWidth="1"/>
    <col min="6" max="6" width="15.53515625" style="61" bestFit="1" customWidth="1"/>
    <col min="7" max="11" width="6.84375" style="53" customWidth="1"/>
    <col min="12" max="12" width="10" style="53" bestFit="1" customWidth="1"/>
    <col min="13" max="13" width="9.69140625" style="53" bestFit="1" customWidth="1"/>
    <col min="14" max="14" width="14.53515625" style="53" bestFit="1" customWidth="1"/>
    <col min="15" max="15" width="15.53515625" style="53" bestFit="1" customWidth="1"/>
    <col min="16" max="16" width="44.53515625" style="53" bestFit="1" customWidth="1"/>
    <col min="17" max="17" width="46.53515625" style="53" bestFit="1" customWidth="1"/>
    <col min="18" max="18" width="40.3046875" style="53" bestFit="1" customWidth="1"/>
    <col min="19" max="19" width="3.69140625" style="53" bestFit="1" customWidth="1"/>
    <col min="20" max="20" width="4.53515625" style="53" bestFit="1" customWidth="1"/>
    <col min="21" max="21" width="6.84375" style="53" bestFit="1" customWidth="1"/>
    <col min="22" max="22" width="14.53515625" style="53" bestFit="1" customWidth="1"/>
    <col min="23" max="23" width="6.69140625" style="53" bestFit="1" customWidth="1"/>
    <col min="24" max="24" width="8.15234375" style="53" bestFit="1" customWidth="1"/>
    <col min="25" max="25" width="55.3828125" style="53" customWidth="1"/>
    <col min="26" max="26" width="6.84375" style="53" bestFit="1" customWidth="1"/>
    <col min="27" max="27" width="17" style="54" bestFit="1" customWidth="1"/>
    <col min="28" max="28" width="6.84375" style="53" bestFit="1" customWidth="1"/>
    <col min="29" max="29" width="10.3828125" style="53" customWidth="1"/>
    <col min="30" max="16384" width="9.15234375" style="53"/>
  </cols>
  <sheetData>
    <row r="1" spans="1:30" ht="43" customHeight="1" x14ac:dyDescent="0.4">
      <c r="A1" s="43" t="s">
        <v>91</v>
      </c>
      <c r="B1" s="44" t="s">
        <v>42</v>
      </c>
      <c r="C1" s="44" t="s">
        <v>40</v>
      </c>
      <c r="D1" s="44" t="s">
        <v>41</v>
      </c>
      <c r="E1" s="44" t="s">
        <v>39</v>
      </c>
      <c r="F1" s="44" t="s">
        <v>36</v>
      </c>
      <c r="G1" s="45" t="s">
        <v>0</v>
      </c>
      <c r="H1" s="45" t="s">
        <v>1</v>
      </c>
      <c r="I1" s="45" t="s">
        <v>2</v>
      </c>
      <c r="J1" s="45" t="s">
        <v>3</v>
      </c>
      <c r="K1" s="45" t="s">
        <v>4</v>
      </c>
      <c r="L1" s="35" t="s">
        <v>92</v>
      </c>
      <c r="M1" s="35" t="s">
        <v>5</v>
      </c>
      <c r="N1" s="35" t="s">
        <v>6</v>
      </c>
      <c r="O1" s="35" t="s">
        <v>7</v>
      </c>
      <c r="P1" s="35" t="s">
        <v>37</v>
      </c>
      <c r="Q1" s="35" t="s">
        <v>43</v>
      </c>
      <c r="R1" s="36" t="s">
        <v>84</v>
      </c>
      <c r="S1" s="35" t="s">
        <v>93</v>
      </c>
      <c r="T1" s="35" t="s">
        <v>33</v>
      </c>
      <c r="U1" s="35" t="s">
        <v>38</v>
      </c>
      <c r="V1" s="46" t="s">
        <v>35</v>
      </c>
      <c r="W1" s="35" t="s">
        <v>34</v>
      </c>
      <c r="X1" s="59" t="s">
        <v>8</v>
      </c>
      <c r="Y1" s="35" t="s">
        <v>243</v>
      </c>
      <c r="Z1" s="35" t="s">
        <v>244</v>
      </c>
      <c r="AA1" s="35" t="s">
        <v>245</v>
      </c>
      <c r="AB1" s="35" t="s">
        <v>242</v>
      </c>
      <c r="AC1" s="35" t="s">
        <v>83</v>
      </c>
      <c r="AD1" s="35" t="s">
        <v>271</v>
      </c>
    </row>
    <row r="2" spans="1:30" ht="6.65" customHeight="1" x14ac:dyDescent="0.4">
      <c r="A2" s="57">
        <v>2</v>
      </c>
      <c r="B2" s="1" t="s">
        <v>236</v>
      </c>
      <c r="C2" s="1" t="s">
        <v>272</v>
      </c>
      <c r="D2" s="1" t="s">
        <v>273</v>
      </c>
      <c r="E2" s="1" t="s">
        <v>274</v>
      </c>
      <c r="F2" s="56" t="s">
        <v>291</v>
      </c>
      <c r="G2" s="60" t="s">
        <v>9</v>
      </c>
      <c r="H2" s="60" t="s">
        <v>9</v>
      </c>
      <c r="I2" s="60" t="s">
        <v>9</v>
      </c>
      <c r="J2" s="60" t="s">
        <v>9</v>
      </c>
      <c r="K2" s="60" t="s">
        <v>9</v>
      </c>
      <c r="L2" s="33" t="str">
        <f t="shared" ref="L2:O4" si="0">SUBSTITUTE(CONCATENATE("", C2), ".", " ")</f>
        <v>De Materialidade</v>
      </c>
      <c r="M2" s="33" t="str">
        <f t="shared" si="0"/>
        <v>Materialidades</v>
      </c>
      <c r="N2" s="33" t="str">
        <f t="shared" si="0"/>
        <v>Materiais</v>
      </c>
      <c r="O2" s="33" t="str">
        <f t="shared" si="0"/>
        <v>Tubo de Aço Costura</v>
      </c>
      <c r="P2" s="66" t="s">
        <v>288</v>
      </c>
      <c r="Q2" s="30" t="s">
        <v>289</v>
      </c>
      <c r="R2" s="30" t="s">
        <v>290</v>
      </c>
      <c r="S2" s="30" t="s">
        <v>9</v>
      </c>
      <c r="T2" s="30" t="str">
        <f t="shared" ref="T2:V4" si="1">SUBSTITUTE(C2, ".", " ")</f>
        <v>De Materialidade</v>
      </c>
      <c r="U2" s="30" t="str">
        <f t="shared" si="1"/>
        <v>Materialidades</v>
      </c>
      <c r="V2" s="30" t="str">
        <f t="shared" si="1"/>
        <v>Materiais</v>
      </c>
      <c r="W2" s="30" t="s">
        <v>102</v>
      </c>
      <c r="X2" s="58" t="str">
        <f t="shared" ref="X2:X4" si="2">CONCATENATE("Key-GAS-",A2)</f>
        <v>Key-GAS-2</v>
      </c>
      <c r="Y2" s="30" t="s">
        <v>275</v>
      </c>
      <c r="Z2" s="63" t="s">
        <v>9</v>
      </c>
      <c r="AA2" s="30" t="s">
        <v>276</v>
      </c>
      <c r="AB2" s="63" t="s">
        <v>9</v>
      </c>
      <c r="AC2" s="30" t="s">
        <v>281</v>
      </c>
      <c r="AD2" s="63" t="s">
        <v>9</v>
      </c>
    </row>
    <row r="3" spans="1:30" ht="6.65" customHeight="1" x14ac:dyDescent="0.4">
      <c r="A3" s="57">
        <v>3</v>
      </c>
      <c r="B3" s="1" t="s">
        <v>236</v>
      </c>
      <c r="C3" s="1" t="s">
        <v>272</v>
      </c>
      <c r="D3" s="1" t="s">
        <v>273</v>
      </c>
      <c r="E3" s="1" t="s">
        <v>274</v>
      </c>
      <c r="F3" s="56" t="s">
        <v>277</v>
      </c>
      <c r="G3" s="60" t="s">
        <v>9</v>
      </c>
      <c r="H3" s="60" t="s">
        <v>9</v>
      </c>
      <c r="I3" s="60" t="s">
        <v>9</v>
      </c>
      <c r="J3" s="60" t="s">
        <v>9</v>
      </c>
      <c r="K3" s="60" t="s">
        <v>9</v>
      </c>
      <c r="L3" s="33" t="str">
        <f t="shared" si="0"/>
        <v>De Materialidade</v>
      </c>
      <c r="M3" s="33" t="str">
        <f t="shared" si="0"/>
        <v>Materialidades</v>
      </c>
      <c r="N3" s="33" t="str">
        <f t="shared" si="0"/>
        <v>Materiais</v>
      </c>
      <c r="O3" s="33" t="str">
        <f t="shared" si="0"/>
        <v>Tubo de Cobre</v>
      </c>
      <c r="P3" s="66" t="s">
        <v>282</v>
      </c>
      <c r="Q3" s="30" t="s">
        <v>283</v>
      </c>
      <c r="R3" s="30" t="s">
        <v>278</v>
      </c>
      <c r="S3" s="30" t="s">
        <v>9</v>
      </c>
      <c r="T3" s="30" t="str">
        <f t="shared" si="1"/>
        <v>De Materialidade</v>
      </c>
      <c r="U3" s="30" t="str">
        <f t="shared" si="1"/>
        <v>Materialidades</v>
      </c>
      <c r="V3" s="30" t="str">
        <f t="shared" si="1"/>
        <v>Materiais</v>
      </c>
      <c r="W3" s="30" t="s">
        <v>102</v>
      </c>
      <c r="X3" s="58" t="str">
        <f t="shared" si="2"/>
        <v>Key-GAS-3</v>
      </c>
      <c r="Y3" s="30" t="s">
        <v>275</v>
      </c>
      <c r="Z3" s="63" t="s">
        <v>9</v>
      </c>
      <c r="AA3" s="30" t="s">
        <v>276</v>
      </c>
      <c r="AB3" s="63" t="s">
        <v>9</v>
      </c>
      <c r="AC3" s="30" t="s">
        <v>279</v>
      </c>
      <c r="AD3" s="63" t="s">
        <v>9</v>
      </c>
    </row>
    <row r="4" spans="1:30" ht="6.65" customHeight="1" x14ac:dyDescent="0.4">
      <c r="A4" s="57">
        <v>4</v>
      </c>
      <c r="B4" s="1" t="s">
        <v>236</v>
      </c>
      <c r="C4" s="1" t="s">
        <v>272</v>
      </c>
      <c r="D4" s="1" t="s">
        <v>273</v>
      </c>
      <c r="E4" s="1" t="s">
        <v>274</v>
      </c>
      <c r="F4" s="56" t="s">
        <v>284</v>
      </c>
      <c r="G4" s="60" t="s">
        <v>9</v>
      </c>
      <c r="H4" s="60" t="s">
        <v>9</v>
      </c>
      <c r="I4" s="60" t="s">
        <v>9</v>
      </c>
      <c r="J4" s="60" t="s">
        <v>9</v>
      </c>
      <c r="K4" s="60" t="s">
        <v>9</v>
      </c>
      <c r="L4" s="33" t="str">
        <f t="shared" si="0"/>
        <v>De Materialidade</v>
      </c>
      <c r="M4" s="33" t="str">
        <f t="shared" si="0"/>
        <v>Materialidades</v>
      </c>
      <c r="N4" s="33" t="str">
        <f t="shared" si="0"/>
        <v>Materiais</v>
      </c>
      <c r="O4" s="33" t="str">
        <f t="shared" si="0"/>
        <v>Tubo Multicamada</v>
      </c>
      <c r="P4" s="66" t="s">
        <v>285</v>
      </c>
      <c r="Q4" s="30" t="s">
        <v>286</v>
      </c>
      <c r="R4" s="30" t="s">
        <v>287</v>
      </c>
      <c r="S4" s="30" t="s">
        <v>9</v>
      </c>
      <c r="T4" s="30" t="str">
        <f t="shared" si="1"/>
        <v>De Materialidade</v>
      </c>
      <c r="U4" s="30" t="str">
        <f t="shared" si="1"/>
        <v>Materialidades</v>
      </c>
      <c r="V4" s="30" t="str">
        <f t="shared" si="1"/>
        <v>Materiais</v>
      </c>
      <c r="W4" s="30" t="s">
        <v>102</v>
      </c>
      <c r="X4" s="58" t="str">
        <f t="shared" si="2"/>
        <v>Key-GAS-4</v>
      </c>
      <c r="Y4" s="30" t="s">
        <v>275</v>
      </c>
      <c r="Z4" s="63" t="s">
        <v>9</v>
      </c>
      <c r="AA4" s="30" t="s">
        <v>276</v>
      </c>
      <c r="AB4" s="63" t="s">
        <v>9</v>
      </c>
      <c r="AC4" s="30" t="s">
        <v>280</v>
      </c>
      <c r="AD4" s="63" t="s">
        <v>9</v>
      </c>
    </row>
    <row r="5" spans="1:30" ht="6.65" customHeight="1" x14ac:dyDescent="0.4">
      <c r="A5" s="57">
        <v>5</v>
      </c>
      <c r="B5" s="1" t="s">
        <v>236</v>
      </c>
      <c r="C5" s="42" t="s">
        <v>237</v>
      </c>
      <c r="D5" s="42" t="s">
        <v>115</v>
      </c>
      <c r="E5" s="42" t="s">
        <v>116</v>
      </c>
      <c r="F5" s="42" t="s">
        <v>158</v>
      </c>
      <c r="G5" s="60" t="s">
        <v>9</v>
      </c>
      <c r="H5" s="60" t="s">
        <v>9</v>
      </c>
      <c r="I5" s="60" t="s">
        <v>9</v>
      </c>
      <c r="J5" s="60" t="s">
        <v>9</v>
      </c>
      <c r="K5" s="60" t="s">
        <v>9</v>
      </c>
      <c r="L5" s="33" t="str">
        <f t="shared" ref="L5:L23" si="3">CONCATENATE("", C5)</f>
        <v>Sistemas.Prediais</v>
      </c>
      <c r="M5" s="33" t="str">
        <f t="shared" ref="M5:M23" si="4">CONCATENATE("", D5)</f>
        <v>Sistema.Gases</v>
      </c>
      <c r="N5" s="33" t="str">
        <f t="shared" ref="N5:N23" si="5">(SUBSTITUTE(SUBSTITUTE(CONCATENATE("",E5),"."," ")," De "," de "))</f>
        <v>Sistema de Gás</v>
      </c>
      <c r="O5" s="30" t="str">
        <f t="shared" ref="O5:O12" si="6">IF(ISNUMBER(FIND("Ifc",F5)),CONCATENATE("Classe IFC:   ",F5),CONCATENATE("",F5))</f>
        <v>Sistema.GAS</v>
      </c>
      <c r="P5" s="52" t="s">
        <v>138</v>
      </c>
      <c r="Q5" s="52" t="s">
        <v>139</v>
      </c>
      <c r="R5" s="30" t="s">
        <v>202</v>
      </c>
      <c r="S5" s="30" t="s">
        <v>9</v>
      </c>
      <c r="T5" s="30" t="s">
        <v>152</v>
      </c>
      <c r="U5" s="30" t="s">
        <v>101</v>
      </c>
      <c r="V5" s="30" t="str">
        <f t="shared" ref="V5:V23" si="7">SUBSTITUTE(E5, "_", " ")</f>
        <v>Sistema.de.Gás</v>
      </c>
      <c r="W5" s="30" t="s">
        <v>102</v>
      </c>
      <c r="X5" s="58" t="str">
        <f t="shared" ref="X5:X33" si="8">CONCATENATE("Key-GAS-",A5)</f>
        <v>Key-GAS-5</v>
      </c>
      <c r="Y5" s="29" t="s">
        <v>108</v>
      </c>
      <c r="Z5" s="63" t="s">
        <v>9</v>
      </c>
      <c r="AA5" s="29" t="s">
        <v>179</v>
      </c>
      <c r="AB5" s="63" t="s">
        <v>9</v>
      </c>
      <c r="AC5" s="30" t="s">
        <v>230</v>
      </c>
      <c r="AD5" s="63" t="s">
        <v>9</v>
      </c>
    </row>
    <row r="6" spans="1:30" ht="6.65" customHeight="1" x14ac:dyDescent="0.4">
      <c r="A6" s="57">
        <v>6</v>
      </c>
      <c r="B6" s="1" t="s">
        <v>236</v>
      </c>
      <c r="C6" s="42" t="s">
        <v>237</v>
      </c>
      <c r="D6" s="42" t="s">
        <v>115</v>
      </c>
      <c r="E6" s="42" t="s">
        <v>165</v>
      </c>
      <c r="F6" s="56" t="s">
        <v>159</v>
      </c>
      <c r="G6" s="60" t="s">
        <v>9</v>
      </c>
      <c r="H6" s="60" t="s">
        <v>9</v>
      </c>
      <c r="I6" s="60" t="s">
        <v>9</v>
      </c>
      <c r="J6" s="60" t="s">
        <v>9</v>
      </c>
      <c r="K6" s="60" t="s">
        <v>9</v>
      </c>
      <c r="L6" s="33" t="str">
        <f t="shared" ref="L6:L17" si="9">CONCATENATE("", C6)</f>
        <v>Sistemas.Prediais</v>
      </c>
      <c r="M6" s="33" t="str">
        <f t="shared" ref="M6:M17" si="10">CONCATENATE("", D6)</f>
        <v>Sistema.Gases</v>
      </c>
      <c r="N6" s="33" t="str">
        <f t="shared" ref="N6:N17" si="11">(SUBSTITUTE(SUBSTITUTE(CONCATENATE("",E6),"."," ")," De "," de "))</f>
        <v>Sistema de Gás Hospitalar</v>
      </c>
      <c r="O6" s="30" t="str">
        <f t="shared" si="6"/>
        <v>Sistema.Oxigênio</v>
      </c>
      <c r="P6" s="52" t="s">
        <v>166</v>
      </c>
      <c r="Q6" s="52" t="s">
        <v>172</v>
      </c>
      <c r="R6" s="30" t="s">
        <v>203</v>
      </c>
      <c r="S6" s="30" t="s">
        <v>9</v>
      </c>
      <c r="T6" s="30" t="s">
        <v>152</v>
      </c>
      <c r="U6" s="30" t="s">
        <v>101</v>
      </c>
      <c r="V6" s="30" t="str">
        <f t="shared" ref="V6:V17" si="12">SUBSTITUTE(E6, "_", " ")</f>
        <v>Sistema.de.Gás.Hospitalar</v>
      </c>
      <c r="W6" s="30" t="s">
        <v>102</v>
      </c>
      <c r="X6" s="58" t="str">
        <f t="shared" si="8"/>
        <v>Key-GAS-6</v>
      </c>
      <c r="Y6" s="29" t="s">
        <v>108</v>
      </c>
      <c r="Z6" s="63" t="s">
        <v>9</v>
      </c>
      <c r="AA6" s="29" t="s">
        <v>179</v>
      </c>
      <c r="AB6" s="63" t="s">
        <v>9</v>
      </c>
      <c r="AC6" s="30" t="s">
        <v>232</v>
      </c>
      <c r="AD6" s="63" t="s">
        <v>9</v>
      </c>
    </row>
    <row r="7" spans="1:30" ht="6.65" customHeight="1" x14ac:dyDescent="0.4">
      <c r="A7" s="57">
        <v>7</v>
      </c>
      <c r="B7" s="1" t="s">
        <v>236</v>
      </c>
      <c r="C7" s="42" t="s">
        <v>237</v>
      </c>
      <c r="D7" s="42" t="s">
        <v>115</v>
      </c>
      <c r="E7" s="42" t="s">
        <v>165</v>
      </c>
      <c r="F7" s="56" t="s">
        <v>160</v>
      </c>
      <c r="G7" s="60" t="s">
        <v>9</v>
      </c>
      <c r="H7" s="60" t="s">
        <v>9</v>
      </c>
      <c r="I7" s="60" t="s">
        <v>9</v>
      </c>
      <c r="J7" s="60" t="s">
        <v>9</v>
      </c>
      <c r="K7" s="60" t="s">
        <v>9</v>
      </c>
      <c r="L7" s="33" t="str">
        <f t="shared" si="9"/>
        <v>Sistemas.Prediais</v>
      </c>
      <c r="M7" s="33" t="str">
        <f t="shared" si="10"/>
        <v>Sistema.Gases</v>
      </c>
      <c r="N7" s="33" t="str">
        <f t="shared" si="11"/>
        <v>Sistema de Gás Hospitalar</v>
      </c>
      <c r="O7" s="30" t="str">
        <f t="shared" si="6"/>
        <v>Sistema.Ar.Medicinal</v>
      </c>
      <c r="P7" s="52" t="s">
        <v>167</v>
      </c>
      <c r="Q7" s="52" t="s">
        <v>173</v>
      </c>
      <c r="R7" s="30" t="s">
        <v>204</v>
      </c>
      <c r="S7" s="30" t="s">
        <v>9</v>
      </c>
      <c r="T7" s="30" t="s">
        <v>152</v>
      </c>
      <c r="U7" s="30" t="s">
        <v>101</v>
      </c>
      <c r="V7" s="30" t="str">
        <f t="shared" si="12"/>
        <v>Sistema.de.Gás.Hospitalar</v>
      </c>
      <c r="W7" s="30" t="s">
        <v>102</v>
      </c>
      <c r="X7" s="58" t="str">
        <f t="shared" si="8"/>
        <v>Key-GAS-7</v>
      </c>
      <c r="Y7" s="29" t="s">
        <v>108</v>
      </c>
      <c r="Z7" s="63" t="s">
        <v>9</v>
      </c>
      <c r="AA7" s="29" t="s">
        <v>179</v>
      </c>
      <c r="AB7" s="63" t="s">
        <v>9</v>
      </c>
      <c r="AC7" s="30" t="s">
        <v>232</v>
      </c>
      <c r="AD7" s="63" t="s">
        <v>9</v>
      </c>
    </row>
    <row r="8" spans="1:30" ht="6.65" customHeight="1" x14ac:dyDescent="0.4">
      <c r="A8" s="57">
        <v>8</v>
      </c>
      <c r="B8" s="1" t="s">
        <v>236</v>
      </c>
      <c r="C8" s="42" t="s">
        <v>237</v>
      </c>
      <c r="D8" s="42" t="s">
        <v>115</v>
      </c>
      <c r="E8" s="42" t="s">
        <v>165</v>
      </c>
      <c r="F8" s="56" t="s">
        <v>161</v>
      </c>
      <c r="G8" s="60" t="s">
        <v>9</v>
      </c>
      <c r="H8" s="60" t="s">
        <v>9</v>
      </c>
      <c r="I8" s="60" t="s">
        <v>9</v>
      </c>
      <c r="J8" s="60" t="s">
        <v>9</v>
      </c>
      <c r="K8" s="60" t="s">
        <v>9</v>
      </c>
      <c r="L8" s="33" t="str">
        <f t="shared" si="9"/>
        <v>Sistemas.Prediais</v>
      </c>
      <c r="M8" s="33" t="str">
        <f t="shared" si="10"/>
        <v>Sistema.Gases</v>
      </c>
      <c r="N8" s="33" t="str">
        <f t="shared" si="11"/>
        <v>Sistema de Gás Hospitalar</v>
      </c>
      <c r="O8" s="30" t="str">
        <f t="shared" si="6"/>
        <v>Sistema.Ar.Comprimido</v>
      </c>
      <c r="P8" s="52" t="s">
        <v>168</v>
      </c>
      <c r="Q8" s="52" t="s">
        <v>174</v>
      </c>
      <c r="R8" s="30" t="s">
        <v>205</v>
      </c>
      <c r="S8" s="30" t="s">
        <v>9</v>
      </c>
      <c r="T8" s="30" t="s">
        <v>152</v>
      </c>
      <c r="U8" s="30" t="s">
        <v>101</v>
      </c>
      <c r="V8" s="30" t="str">
        <f t="shared" si="12"/>
        <v>Sistema.de.Gás.Hospitalar</v>
      </c>
      <c r="W8" s="30" t="s">
        <v>102</v>
      </c>
      <c r="X8" s="58" t="str">
        <f t="shared" si="8"/>
        <v>Key-GAS-8</v>
      </c>
      <c r="Y8" s="29" t="s">
        <v>108</v>
      </c>
      <c r="Z8" s="63" t="s">
        <v>9</v>
      </c>
      <c r="AA8" s="29" t="s">
        <v>178</v>
      </c>
      <c r="AB8" s="63" t="s">
        <v>9</v>
      </c>
      <c r="AC8" s="30" t="s">
        <v>232</v>
      </c>
      <c r="AD8" s="63" t="s">
        <v>9</v>
      </c>
    </row>
    <row r="9" spans="1:30" ht="6.65" customHeight="1" x14ac:dyDescent="0.4">
      <c r="A9" s="57">
        <v>9</v>
      </c>
      <c r="B9" s="1" t="s">
        <v>236</v>
      </c>
      <c r="C9" s="42" t="s">
        <v>237</v>
      </c>
      <c r="D9" s="42" t="s">
        <v>115</v>
      </c>
      <c r="E9" s="42" t="s">
        <v>165</v>
      </c>
      <c r="F9" s="56" t="s">
        <v>162</v>
      </c>
      <c r="G9" s="60" t="s">
        <v>9</v>
      </c>
      <c r="H9" s="60" t="s">
        <v>9</v>
      </c>
      <c r="I9" s="60" t="s">
        <v>9</v>
      </c>
      <c r="J9" s="60" t="s">
        <v>9</v>
      </c>
      <c r="K9" s="60" t="s">
        <v>9</v>
      </c>
      <c r="L9" s="33" t="str">
        <f t="shared" si="9"/>
        <v>Sistemas.Prediais</v>
      </c>
      <c r="M9" s="33" t="str">
        <f t="shared" si="10"/>
        <v>Sistema.Gases</v>
      </c>
      <c r="N9" s="33" t="str">
        <f t="shared" si="11"/>
        <v>Sistema de Gás Hospitalar</v>
      </c>
      <c r="O9" s="30" t="str">
        <f t="shared" si="6"/>
        <v>Sistema.Óxido.Nitroso</v>
      </c>
      <c r="P9" s="52" t="s">
        <v>169</v>
      </c>
      <c r="Q9" s="52" t="s">
        <v>175</v>
      </c>
      <c r="R9" s="30" t="s">
        <v>206</v>
      </c>
      <c r="S9" s="30" t="s">
        <v>9</v>
      </c>
      <c r="T9" s="30" t="s">
        <v>152</v>
      </c>
      <c r="U9" s="30" t="s">
        <v>101</v>
      </c>
      <c r="V9" s="30" t="str">
        <f t="shared" si="12"/>
        <v>Sistema.de.Gás.Hospitalar</v>
      </c>
      <c r="W9" s="30" t="s">
        <v>102</v>
      </c>
      <c r="X9" s="58" t="str">
        <f t="shared" si="8"/>
        <v>Key-GAS-9</v>
      </c>
      <c r="Y9" s="29" t="s">
        <v>108</v>
      </c>
      <c r="Z9" s="63" t="s">
        <v>9</v>
      </c>
      <c r="AA9" s="29" t="s">
        <v>179</v>
      </c>
      <c r="AB9" s="63" t="s">
        <v>9</v>
      </c>
      <c r="AC9" s="30" t="s">
        <v>232</v>
      </c>
      <c r="AD9" s="63" t="s">
        <v>9</v>
      </c>
    </row>
    <row r="10" spans="1:30" ht="6.65" customHeight="1" x14ac:dyDescent="0.4">
      <c r="A10" s="57">
        <v>10</v>
      </c>
      <c r="B10" s="1" t="s">
        <v>236</v>
      </c>
      <c r="C10" s="42" t="s">
        <v>237</v>
      </c>
      <c r="D10" s="42" t="s">
        <v>115</v>
      </c>
      <c r="E10" s="42" t="s">
        <v>165</v>
      </c>
      <c r="F10" s="56" t="s">
        <v>163</v>
      </c>
      <c r="G10" s="60" t="s">
        <v>9</v>
      </c>
      <c r="H10" s="60" t="s">
        <v>9</v>
      </c>
      <c r="I10" s="60" t="s">
        <v>9</v>
      </c>
      <c r="J10" s="60" t="s">
        <v>9</v>
      </c>
      <c r="K10" s="60" t="s">
        <v>9</v>
      </c>
      <c r="L10" s="33" t="str">
        <f t="shared" si="9"/>
        <v>Sistemas.Prediais</v>
      </c>
      <c r="M10" s="33" t="str">
        <f t="shared" si="10"/>
        <v>Sistema.Gases</v>
      </c>
      <c r="N10" s="33" t="str">
        <f t="shared" si="11"/>
        <v>Sistema de Gás Hospitalar</v>
      </c>
      <c r="O10" s="30" t="str">
        <f t="shared" si="6"/>
        <v>Sistema.Nitrogênio</v>
      </c>
      <c r="P10" s="52" t="s">
        <v>170</v>
      </c>
      <c r="Q10" s="52" t="s">
        <v>176</v>
      </c>
      <c r="R10" s="30" t="s">
        <v>207</v>
      </c>
      <c r="S10" s="30" t="s">
        <v>9</v>
      </c>
      <c r="T10" s="30" t="s">
        <v>152</v>
      </c>
      <c r="U10" s="30" t="s">
        <v>101</v>
      </c>
      <c r="V10" s="30" t="str">
        <f t="shared" si="12"/>
        <v>Sistema.de.Gás.Hospitalar</v>
      </c>
      <c r="W10" s="30" t="s">
        <v>102</v>
      </c>
      <c r="X10" s="58" t="str">
        <f t="shared" si="8"/>
        <v>Key-GAS-10</v>
      </c>
      <c r="Y10" s="29" t="s">
        <v>108</v>
      </c>
      <c r="Z10" s="63" t="s">
        <v>9</v>
      </c>
      <c r="AA10" s="29" t="s">
        <v>179</v>
      </c>
      <c r="AB10" s="63" t="s">
        <v>9</v>
      </c>
      <c r="AC10" s="30" t="s">
        <v>232</v>
      </c>
      <c r="AD10" s="63" t="s">
        <v>9</v>
      </c>
    </row>
    <row r="11" spans="1:30" ht="6.65" customHeight="1" x14ac:dyDescent="0.4">
      <c r="A11" s="57">
        <v>11</v>
      </c>
      <c r="B11" s="1" t="s">
        <v>236</v>
      </c>
      <c r="C11" s="42" t="s">
        <v>237</v>
      </c>
      <c r="D11" s="42" t="s">
        <v>115</v>
      </c>
      <c r="E11" s="42" t="s">
        <v>165</v>
      </c>
      <c r="F11" s="56" t="s">
        <v>164</v>
      </c>
      <c r="G11" s="60" t="s">
        <v>9</v>
      </c>
      <c r="H11" s="60" t="s">
        <v>9</v>
      </c>
      <c r="I11" s="60" t="s">
        <v>9</v>
      </c>
      <c r="J11" s="60" t="s">
        <v>9</v>
      </c>
      <c r="K11" s="60" t="s">
        <v>9</v>
      </c>
      <c r="L11" s="33" t="str">
        <f t="shared" ref="L11" si="13">CONCATENATE("", C11)</f>
        <v>Sistemas.Prediais</v>
      </c>
      <c r="M11" s="33" t="str">
        <f t="shared" ref="M11" si="14">CONCATENATE("", D11)</f>
        <v>Sistema.Gases</v>
      </c>
      <c r="N11" s="33" t="str">
        <f t="shared" ref="N11" si="15">(SUBSTITUTE(SUBSTITUTE(CONCATENATE("",E11),"."," ")," De "," de "))</f>
        <v>Sistema de Gás Hospitalar</v>
      </c>
      <c r="O11" s="30" t="str">
        <f t="shared" si="6"/>
        <v>Sistema.Hélio</v>
      </c>
      <c r="P11" s="52" t="s">
        <v>171</v>
      </c>
      <c r="Q11" s="52" t="s">
        <v>177</v>
      </c>
      <c r="R11" s="30" t="s">
        <v>208</v>
      </c>
      <c r="S11" s="30" t="s">
        <v>9</v>
      </c>
      <c r="T11" s="30" t="s">
        <v>152</v>
      </c>
      <c r="U11" s="30" t="s">
        <v>101</v>
      </c>
      <c r="V11" s="30" t="str">
        <f t="shared" ref="V11" si="16">SUBSTITUTE(E11, "_", " ")</f>
        <v>Sistema.de.Gás.Hospitalar</v>
      </c>
      <c r="W11" s="30" t="s">
        <v>102</v>
      </c>
      <c r="X11" s="58" t="str">
        <f t="shared" si="8"/>
        <v>Key-GAS-11</v>
      </c>
      <c r="Y11" s="29" t="s">
        <v>108</v>
      </c>
      <c r="Z11" s="63" t="s">
        <v>9</v>
      </c>
      <c r="AA11" s="29" t="s">
        <v>179</v>
      </c>
      <c r="AB11" s="63" t="s">
        <v>9</v>
      </c>
      <c r="AC11" s="30" t="s">
        <v>232</v>
      </c>
      <c r="AD11" s="63" t="s">
        <v>9</v>
      </c>
    </row>
    <row r="12" spans="1:30" ht="6.65" customHeight="1" x14ac:dyDescent="0.4">
      <c r="A12" s="57">
        <v>12</v>
      </c>
      <c r="B12" s="1" t="s">
        <v>236</v>
      </c>
      <c r="C12" s="42" t="s">
        <v>237</v>
      </c>
      <c r="D12" s="42" t="s">
        <v>115</v>
      </c>
      <c r="E12" s="42" t="s">
        <v>165</v>
      </c>
      <c r="F12" s="56" t="s">
        <v>180</v>
      </c>
      <c r="G12" s="60" t="s">
        <v>9</v>
      </c>
      <c r="H12" s="60" t="s">
        <v>9</v>
      </c>
      <c r="I12" s="60" t="s">
        <v>9</v>
      </c>
      <c r="J12" s="60" t="s">
        <v>9</v>
      </c>
      <c r="K12" s="60" t="s">
        <v>9</v>
      </c>
      <c r="L12" s="33" t="str">
        <f t="shared" si="9"/>
        <v>Sistemas.Prediais</v>
      </c>
      <c r="M12" s="33" t="str">
        <f t="shared" si="10"/>
        <v>Sistema.Gases</v>
      </c>
      <c r="N12" s="33" t="str">
        <f t="shared" si="11"/>
        <v>Sistema de Gás Hospitalar</v>
      </c>
      <c r="O12" s="30" t="str">
        <f t="shared" si="6"/>
        <v>Sistema.Vacuo</v>
      </c>
      <c r="P12" s="52" t="s">
        <v>181</v>
      </c>
      <c r="Q12" s="52" t="s">
        <v>181</v>
      </c>
      <c r="R12" s="30" t="s">
        <v>209</v>
      </c>
      <c r="S12" s="30" t="s">
        <v>9</v>
      </c>
      <c r="T12" s="30" t="s">
        <v>152</v>
      </c>
      <c r="U12" s="30" t="s">
        <v>101</v>
      </c>
      <c r="V12" s="30" t="str">
        <f t="shared" si="12"/>
        <v>Sistema.de.Gás.Hospitalar</v>
      </c>
      <c r="W12" s="30" t="s">
        <v>102</v>
      </c>
      <c r="X12" s="58" t="str">
        <f t="shared" si="8"/>
        <v>Key-GAS-12</v>
      </c>
      <c r="Y12" s="29" t="s">
        <v>108</v>
      </c>
      <c r="Z12" s="63" t="s">
        <v>9</v>
      </c>
      <c r="AA12" s="29" t="s">
        <v>182</v>
      </c>
      <c r="AB12" s="63" t="s">
        <v>9</v>
      </c>
      <c r="AC12" s="30" t="s">
        <v>232</v>
      </c>
      <c r="AD12" s="63" t="s">
        <v>9</v>
      </c>
    </row>
    <row r="13" spans="1:30" ht="6.65" customHeight="1" x14ac:dyDescent="0.4">
      <c r="A13" s="57">
        <v>13</v>
      </c>
      <c r="B13" s="1" t="s">
        <v>236</v>
      </c>
      <c r="C13" s="42" t="s">
        <v>237</v>
      </c>
      <c r="D13" s="1" t="s">
        <v>227</v>
      </c>
      <c r="E13" s="42" t="s">
        <v>117</v>
      </c>
      <c r="F13" s="42" t="s">
        <v>125</v>
      </c>
      <c r="G13" s="60" t="s">
        <v>9</v>
      </c>
      <c r="H13" s="60" t="s">
        <v>9</v>
      </c>
      <c r="I13" s="60" t="s">
        <v>9</v>
      </c>
      <c r="J13" s="60" t="s">
        <v>9</v>
      </c>
      <c r="K13" s="60" t="s">
        <v>9</v>
      </c>
      <c r="L13" s="33" t="str">
        <f t="shared" si="9"/>
        <v>Sistemas.Prediais</v>
      </c>
      <c r="M13" s="33" t="str">
        <f t="shared" si="10"/>
        <v>Elementos.Gases</v>
      </c>
      <c r="N13" s="33" t="str">
        <f t="shared" si="11"/>
        <v>Peças Gás</v>
      </c>
      <c r="O13" s="30" t="str">
        <f>IF(ISNUMBER(FIND("Ifc",F13)),CONCATENATE("Classe IFC:   ",F13),CONCATENATE("",F13))</f>
        <v>Queimador</v>
      </c>
      <c r="P13" s="52" t="s">
        <v>137</v>
      </c>
      <c r="Q13" s="52" t="s">
        <v>147</v>
      </c>
      <c r="R13" s="30" t="s">
        <v>210</v>
      </c>
      <c r="S13" s="30" t="s">
        <v>9</v>
      </c>
      <c r="T13" s="30" t="s">
        <v>152</v>
      </c>
      <c r="U13" s="30" t="s">
        <v>101</v>
      </c>
      <c r="V13" s="30" t="str">
        <f t="shared" si="12"/>
        <v>Peças.Gás</v>
      </c>
      <c r="W13" s="30" t="s">
        <v>102</v>
      </c>
      <c r="X13" s="58" t="str">
        <f t="shared" si="8"/>
        <v>Key-GAS-13</v>
      </c>
      <c r="Y13" s="29" t="s">
        <v>154</v>
      </c>
      <c r="Z13" s="63" t="s">
        <v>9</v>
      </c>
      <c r="AA13" s="29" t="s">
        <v>153</v>
      </c>
      <c r="AB13" s="63" t="s">
        <v>9</v>
      </c>
      <c r="AC13" s="30" t="s">
        <v>230</v>
      </c>
      <c r="AD13" s="63" t="s">
        <v>9</v>
      </c>
    </row>
    <row r="14" spans="1:30" ht="6.65" customHeight="1" x14ac:dyDescent="0.4">
      <c r="A14" s="57">
        <v>14</v>
      </c>
      <c r="B14" s="1" t="s">
        <v>236</v>
      </c>
      <c r="C14" s="42" t="s">
        <v>237</v>
      </c>
      <c r="D14" s="1" t="s">
        <v>227</v>
      </c>
      <c r="E14" s="42" t="s">
        <v>117</v>
      </c>
      <c r="F14" s="42" t="s">
        <v>157</v>
      </c>
      <c r="G14" s="60" t="s">
        <v>9</v>
      </c>
      <c r="H14" s="60" t="s">
        <v>9</v>
      </c>
      <c r="I14" s="60" t="s">
        <v>9</v>
      </c>
      <c r="J14" s="60" t="s">
        <v>9</v>
      </c>
      <c r="K14" s="60" t="s">
        <v>9</v>
      </c>
      <c r="L14" s="33" t="str">
        <f t="shared" si="9"/>
        <v>Sistemas.Prediais</v>
      </c>
      <c r="M14" s="33" t="str">
        <f t="shared" si="10"/>
        <v>Elementos.Gases</v>
      </c>
      <c r="N14" s="33" t="str">
        <f t="shared" si="11"/>
        <v>Peças Gás</v>
      </c>
      <c r="O14" s="30" t="str">
        <f t="shared" ref="O14:O27" si="17">IF(ISNUMBER(FIND("Ifc",F14)),CONCATENATE("Classe IFC:   ",F14),CONCATENATE("",F14))</f>
        <v>Registro.de.Gás</v>
      </c>
      <c r="P14" s="52" t="s">
        <v>136</v>
      </c>
      <c r="Q14" s="52" t="s">
        <v>140</v>
      </c>
      <c r="R14" s="30" t="s">
        <v>211</v>
      </c>
      <c r="S14" s="30" t="s">
        <v>9</v>
      </c>
      <c r="T14" s="30" t="s">
        <v>152</v>
      </c>
      <c r="U14" s="30" t="s">
        <v>101</v>
      </c>
      <c r="V14" s="30" t="str">
        <f t="shared" si="12"/>
        <v>Peças.Gás</v>
      </c>
      <c r="W14" s="30" t="s">
        <v>102</v>
      </c>
      <c r="X14" s="58" t="str">
        <f t="shared" si="8"/>
        <v>Key-GAS-14</v>
      </c>
      <c r="Y14" s="29" t="s">
        <v>154</v>
      </c>
      <c r="Z14" s="63" t="s">
        <v>9</v>
      </c>
      <c r="AA14" s="29" t="s">
        <v>103</v>
      </c>
      <c r="AB14" s="63" t="s">
        <v>9</v>
      </c>
      <c r="AC14" s="30" t="s">
        <v>230</v>
      </c>
      <c r="AD14" s="63" t="s">
        <v>9</v>
      </c>
    </row>
    <row r="15" spans="1:30" ht="6.65" customHeight="1" x14ac:dyDescent="0.4">
      <c r="A15" s="57">
        <v>15</v>
      </c>
      <c r="B15" s="1" t="s">
        <v>236</v>
      </c>
      <c r="C15" s="42" t="s">
        <v>237</v>
      </c>
      <c r="D15" s="1" t="s">
        <v>227</v>
      </c>
      <c r="E15" s="42" t="s">
        <v>117</v>
      </c>
      <c r="F15" s="42" t="s">
        <v>156</v>
      </c>
      <c r="G15" s="60" t="s">
        <v>9</v>
      </c>
      <c r="H15" s="60" t="s">
        <v>9</v>
      </c>
      <c r="I15" s="60" t="s">
        <v>9</v>
      </c>
      <c r="J15" s="60" t="s">
        <v>9</v>
      </c>
      <c r="K15" s="60" t="s">
        <v>9</v>
      </c>
      <c r="L15" s="33" t="str">
        <f t="shared" si="9"/>
        <v>Sistemas.Prediais</v>
      </c>
      <c r="M15" s="33" t="str">
        <f t="shared" si="10"/>
        <v>Elementos.Gases</v>
      </c>
      <c r="N15" s="33" t="str">
        <f t="shared" si="11"/>
        <v>Peças Gás</v>
      </c>
      <c r="O15" s="30" t="str">
        <f t="shared" si="17"/>
        <v>Válvula.de.Gás</v>
      </c>
      <c r="P15" s="52" t="s">
        <v>135</v>
      </c>
      <c r="Q15" s="52" t="s">
        <v>141</v>
      </c>
      <c r="R15" s="30" t="s">
        <v>212</v>
      </c>
      <c r="S15" s="30" t="s">
        <v>9</v>
      </c>
      <c r="T15" s="30" t="s">
        <v>152</v>
      </c>
      <c r="U15" s="30" t="s">
        <v>101</v>
      </c>
      <c r="V15" s="30" t="str">
        <f t="shared" si="12"/>
        <v>Peças.Gás</v>
      </c>
      <c r="W15" s="30" t="s">
        <v>102</v>
      </c>
      <c r="X15" s="58" t="str">
        <f t="shared" si="8"/>
        <v>Key-GAS-15</v>
      </c>
      <c r="Y15" s="29" t="s">
        <v>154</v>
      </c>
      <c r="Z15" s="63" t="s">
        <v>9</v>
      </c>
      <c r="AA15" s="29" t="s">
        <v>103</v>
      </c>
      <c r="AB15" s="63" t="s">
        <v>9</v>
      </c>
      <c r="AC15" s="30" t="s">
        <v>230</v>
      </c>
      <c r="AD15" s="63" t="s">
        <v>9</v>
      </c>
    </row>
    <row r="16" spans="1:30" ht="6.65" customHeight="1" x14ac:dyDescent="0.4">
      <c r="A16" s="57">
        <v>16</v>
      </c>
      <c r="B16" s="1" t="s">
        <v>236</v>
      </c>
      <c r="C16" s="42" t="s">
        <v>237</v>
      </c>
      <c r="D16" s="1" t="s">
        <v>227</v>
      </c>
      <c r="E16" s="42" t="s">
        <v>117</v>
      </c>
      <c r="F16" s="42" t="s">
        <v>155</v>
      </c>
      <c r="G16" s="60" t="s">
        <v>9</v>
      </c>
      <c r="H16" s="60" t="s">
        <v>9</v>
      </c>
      <c r="I16" s="60" t="s">
        <v>9</v>
      </c>
      <c r="J16" s="60" t="s">
        <v>9</v>
      </c>
      <c r="K16" s="60" t="s">
        <v>9</v>
      </c>
      <c r="L16" s="33" t="str">
        <f t="shared" ref="L16" si="18">CONCATENATE("", C16)</f>
        <v>Sistemas.Prediais</v>
      </c>
      <c r="M16" s="33" t="str">
        <f t="shared" ref="M16" si="19">CONCATENATE("", D16)</f>
        <v>Elementos.Gases</v>
      </c>
      <c r="N16" s="33" t="str">
        <f t="shared" ref="N16" si="20">(SUBSTITUTE(SUBSTITUTE(CONCATENATE("",E16),"."," ")," De "," de "))</f>
        <v>Peças Gás</v>
      </c>
      <c r="O16" s="30" t="str">
        <f t="shared" si="17"/>
        <v>Medidor.de.Gás</v>
      </c>
      <c r="P16" s="52" t="s">
        <v>134</v>
      </c>
      <c r="Q16" s="52" t="s">
        <v>148</v>
      </c>
      <c r="R16" s="30" t="s">
        <v>213</v>
      </c>
      <c r="S16" s="30" t="s">
        <v>9</v>
      </c>
      <c r="T16" s="30" t="s">
        <v>152</v>
      </c>
      <c r="U16" s="30" t="s">
        <v>101</v>
      </c>
      <c r="V16" s="30" t="str">
        <f t="shared" ref="V16" si="21">SUBSTITUTE(E16, "_", " ")</f>
        <v>Peças.Gás</v>
      </c>
      <c r="W16" s="30" t="s">
        <v>102</v>
      </c>
      <c r="X16" s="58" t="str">
        <f t="shared" si="8"/>
        <v>Key-GAS-16</v>
      </c>
      <c r="Y16" s="29" t="s">
        <v>154</v>
      </c>
      <c r="Z16" s="63" t="s">
        <v>9</v>
      </c>
      <c r="AA16" s="29" t="s">
        <v>183</v>
      </c>
      <c r="AB16" s="63" t="s">
        <v>9</v>
      </c>
      <c r="AC16" s="30" t="s">
        <v>230</v>
      </c>
      <c r="AD16" s="63" t="s">
        <v>9</v>
      </c>
    </row>
    <row r="17" spans="1:30" ht="6.65" customHeight="1" x14ac:dyDescent="0.4">
      <c r="A17" s="57">
        <v>17</v>
      </c>
      <c r="B17" s="1" t="s">
        <v>236</v>
      </c>
      <c r="C17" s="42" t="s">
        <v>237</v>
      </c>
      <c r="D17" s="1" t="s">
        <v>227</v>
      </c>
      <c r="E17" s="42" t="s">
        <v>117</v>
      </c>
      <c r="F17" s="42" t="s">
        <v>223</v>
      </c>
      <c r="G17" s="60" t="s">
        <v>9</v>
      </c>
      <c r="H17" s="60" t="s">
        <v>9</v>
      </c>
      <c r="I17" s="60" t="s">
        <v>9</v>
      </c>
      <c r="J17" s="60" t="s">
        <v>9</v>
      </c>
      <c r="K17" s="60" t="s">
        <v>9</v>
      </c>
      <c r="L17" s="33" t="str">
        <f t="shared" si="9"/>
        <v>Sistemas.Prediais</v>
      </c>
      <c r="M17" s="33" t="str">
        <f t="shared" si="10"/>
        <v>Elementos.Gases</v>
      </c>
      <c r="N17" s="33" t="str">
        <f t="shared" si="11"/>
        <v>Peças Gás</v>
      </c>
      <c r="O17" s="30" t="str">
        <f t="shared" si="17"/>
        <v>Acessório.de.Gás</v>
      </c>
      <c r="P17" s="52" t="s">
        <v>133</v>
      </c>
      <c r="Q17" s="52" t="s">
        <v>142</v>
      </c>
      <c r="R17" s="30" t="s">
        <v>214</v>
      </c>
      <c r="S17" s="30" t="s">
        <v>9</v>
      </c>
      <c r="T17" s="30" t="s">
        <v>152</v>
      </c>
      <c r="U17" s="30" t="s">
        <v>101</v>
      </c>
      <c r="V17" s="30" t="str">
        <f t="shared" si="12"/>
        <v>Peças.Gás</v>
      </c>
      <c r="W17" s="30" t="s">
        <v>102</v>
      </c>
      <c r="X17" s="58" t="str">
        <f t="shared" si="8"/>
        <v>Key-GAS-17</v>
      </c>
      <c r="Y17" s="29" t="s">
        <v>233</v>
      </c>
      <c r="Z17" s="63" t="s">
        <v>9</v>
      </c>
      <c r="AA17" s="29" t="s">
        <v>184</v>
      </c>
      <c r="AB17" s="63" t="s">
        <v>9</v>
      </c>
      <c r="AC17" s="30" t="s">
        <v>230</v>
      </c>
      <c r="AD17" s="63" t="s">
        <v>9</v>
      </c>
    </row>
    <row r="18" spans="1:30" ht="6.65" customHeight="1" x14ac:dyDescent="0.4">
      <c r="A18" s="57">
        <v>18</v>
      </c>
      <c r="B18" s="1" t="s">
        <v>236</v>
      </c>
      <c r="C18" s="42" t="s">
        <v>237</v>
      </c>
      <c r="D18" s="1" t="s">
        <v>227</v>
      </c>
      <c r="E18" s="42" t="s">
        <v>117</v>
      </c>
      <c r="F18" s="42" t="s">
        <v>118</v>
      </c>
      <c r="G18" s="60" t="s">
        <v>9</v>
      </c>
      <c r="H18" s="60" t="s">
        <v>9</v>
      </c>
      <c r="I18" s="60" t="s">
        <v>9</v>
      </c>
      <c r="J18" s="60" t="s">
        <v>9</v>
      </c>
      <c r="K18" s="60" t="s">
        <v>9</v>
      </c>
      <c r="L18" s="33" t="str">
        <f t="shared" si="3"/>
        <v>Sistemas.Prediais</v>
      </c>
      <c r="M18" s="33" t="str">
        <f t="shared" si="4"/>
        <v>Elementos.Gases</v>
      </c>
      <c r="N18" s="33" t="str">
        <f t="shared" si="5"/>
        <v>Peças Gás</v>
      </c>
      <c r="O18" s="30" t="str">
        <f t="shared" si="17"/>
        <v>Buchão.de.Gás</v>
      </c>
      <c r="P18" s="52" t="s">
        <v>131</v>
      </c>
      <c r="Q18" s="52" t="s">
        <v>149</v>
      </c>
      <c r="R18" s="30" t="s">
        <v>143</v>
      </c>
      <c r="S18" s="30" t="s">
        <v>9</v>
      </c>
      <c r="T18" s="30" t="s">
        <v>152</v>
      </c>
      <c r="U18" s="30" t="s">
        <v>101</v>
      </c>
      <c r="V18" s="30" t="str">
        <f t="shared" si="7"/>
        <v>Peças.Gás</v>
      </c>
      <c r="W18" s="30" t="s">
        <v>102</v>
      </c>
      <c r="X18" s="58" t="str">
        <f t="shared" si="8"/>
        <v>Key-GAS-18</v>
      </c>
      <c r="Y18" s="29" t="s">
        <v>238</v>
      </c>
      <c r="Z18" s="63" t="s">
        <v>9</v>
      </c>
      <c r="AA18" s="29" t="s">
        <v>104</v>
      </c>
      <c r="AB18" s="63" t="s">
        <v>9</v>
      </c>
      <c r="AC18" s="30" t="s">
        <v>230</v>
      </c>
      <c r="AD18" s="63" t="s">
        <v>9</v>
      </c>
    </row>
    <row r="19" spans="1:30" ht="6.65" customHeight="1" x14ac:dyDescent="0.4">
      <c r="A19" s="57">
        <v>19</v>
      </c>
      <c r="B19" s="1" t="s">
        <v>236</v>
      </c>
      <c r="C19" s="42" t="s">
        <v>237</v>
      </c>
      <c r="D19" s="1" t="s">
        <v>227</v>
      </c>
      <c r="E19" s="42" t="s">
        <v>117</v>
      </c>
      <c r="F19" s="42" t="s">
        <v>119</v>
      </c>
      <c r="G19" s="60" t="s">
        <v>9</v>
      </c>
      <c r="H19" s="60" t="s">
        <v>9</v>
      </c>
      <c r="I19" s="60" t="s">
        <v>9</v>
      </c>
      <c r="J19" s="60" t="s">
        <v>9</v>
      </c>
      <c r="K19" s="60" t="s">
        <v>9</v>
      </c>
      <c r="L19" s="33" t="str">
        <f t="shared" si="3"/>
        <v>Sistemas.Prediais</v>
      </c>
      <c r="M19" s="33" t="str">
        <f t="shared" si="4"/>
        <v>Elementos.Gases</v>
      </c>
      <c r="N19" s="33" t="str">
        <f t="shared" si="5"/>
        <v>Peças Gás</v>
      </c>
      <c r="O19" s="30" t="str">
        <f t="shared" si="17"/>
        <v>Cilindro.de.Gás</v>
      </c>
      <c r="P19" s="52" t="s">
        <v>132</v>
      </c>
      <c r="Q19" s="52" t="s">
        <v>144</v>
      </c>
      <c r="R19" s="30" t="s">
        <v>215</v>
      </c>
      <c r="S19" s="30" t="s">
        <v>9</v>
      </c>
      <c r="T19" s="30" t="s">
        <v>152</v>
      </c>
      <c r="U19" s="30" t="s">
        <v>101</v>
      </c>
      <c r="V19" s="30" t="str">
        <f t="shared" si="7"/>
        <v>Peças.Gás</v>
      </c>
      <c r="W19" s="30" t="s">
        <v>102</v>
      </c>
      <c r="X19" s="58" t="str">
        <f t="shared" si="8"/>
        <v>Key-GAS-19</v>
      </c>
      <c r="Y19" s="29" t="s">
        <v>238</v>
      </c>
      <c r="Z19" s="63" t="s">
        <v>9</v>
      </c>
      <c r="AA19" s="29" t="s">
        <v>104</v>
      </c>
      <c r="AB19" s="63" t="s">
        <v>9</v>
      </c>
      <c r="AC19" s="30" t="s">
        <v>230</v>
      </c>
      <c r="AD19" s="63" t="s">
        <v>9</v>
      </c>
    </row>
    <row r="20" spans="1:30" ht="6.65" customHeight="1" x14ac:dyDescent="0.4">
      <c r="A20" s="57">
        <v>20</v>
      </c>
      <c r="B20" s="1" t="s">
        <v>236</v>
      </c>
      <c r="C20" s="42" t="s">
        <v>237</v>
      </c>
      <c r="D20" s="1" t="s">
        <v>227</v>
      </c>
      <c r="E20" s="42" t="s">
        <v>117</v>
      </c>
      <c r="F20" s="42" t="s">
        <v>120</v>
      </c>
      <c r="G20" s="60" t="s">
        <v>9</v>
      </c>
      <c r="H20" s="60" t="s">
        <v>9</v>
      </c>
      <c r="I20" s="60" t="s">
        <v>9</v>
      </c>
      <c r="J20" s="60" t="s">
        <v>9</v>
      </c>
      <c r="K20" s="60" t="s">
        <v>9</v>
      </c>
      <c r="L20" s="33" t="str">
        <f t="shared" si="3"/>
        <v>Sistemas.Prediais</v>
      </c>
      <c r="M20" s="33" t="str">
        <f t="shared" si="4"/>
        <v>Elementos.Gases</v>
      </c>
      <c r="N20" s="33" t="str">
        <f t="shared" si="5"/>
        <v>Peças Gás</v>
      </c>
      <c r="O20" s="30" t="str">
        <f t="shared" si="17"/>
        <v>Tanque.de.Gás</v>
      </c>
      <c r="P20" s="52" t="s">
        <v>130</v>
      </c>
      <c r="Q20" s="52" t="s">
        <v>224</v>
      </c>
      <c r="R20" s="30" t="s">
        <v>216</v>
      </c>
      <c r="S20" s="30" t="s">
        <v>9</v>
      </c>
      <c r="T20" s="30" t="s">
        <v>152</v>
      </c>
      <c r="U20" s="30" t="s">
        <v>101</v>
      </c>
      <c r="V20" s="30" t="str">
        <f t="shared" si="7"/>
        <v>Peças.Gás</v>
      </c>
      <c r="W20" s="30" t="s">
        <v>102</v>
      </c>
      <c r="X20" s="58" t="str">
        <f t="shared" si="8"/>
        <v>Key-GAS-20</v>
      </c>
      <c r="Y20" s="29" t="s">
        <v>238</v>
      </c>
      <c r="Z20" s="63" t="s">
        <v>9</v>
      </c>
      <c r="AA20" s="29" t="s">
        <v>104</v>
      </c>
      <c r="AB20" s="63" t="s">
        <v>9</v>
      </c>
      <c r="AC20" s="30" t="s">
        <v>230</v>
      </c>
      <c r="AD20" s="63" t="s">
        <v>9</v>
      </c>
    </row>
    <row r="21" spans="1:30" ht="6.65" customHeight="1" x14ac:dyDescent="0.4">
      <c r="A21" s="57">
        <v>21</v>
      </c>
      <c r="B21" s="1" t="s">
        <v>236</v>
      </c>
      <c r="C21" s="42" t="s">
        <v>237</v>
      </c>
      <c r="D21" s="1" t="s">
        <v>227</v>
      </c>
      <c r="E21" s="42" t="s">
        <v>225</v>
      </c>
      <c r="F21" s="42" t="s">
        <v>122</v>
      </c>
      <c r="G21" s="60" t="s">
        <v>9</v>
      </c>
      <c r="H21" s="60" t="s">
        <v>9</v>
      </c>
      <c r="I21" s="60" t="s">
        <v>9</v>
      </c>
      <c r="J21" s="60" t="s">
        <v>9</v>
      </c>
      <c r="K21" s="60" t="s">
        <v>9</v>
      </c>
      <c r="L21" s="33" t="str">
        <f t="shared" si="3"/>
        <v>Sistemas.Prediais</v>
      </c>
      <c r="M21" s="33" t="str">
        <f t="shared" si="4"/>
        <v>Elementos.Gases</v>
      </c>
      <c r="N21" s="33" t="str">
        <f t="shared" si="5"/>
        <v>Gás Doméstico</v>
      </c>
      <c r="O21" s="30" t="str">
        <f t="shared" si="17"/>
        <v>Aquecedor.a.Gás</v>
      </c>
      <c r="P21" s="52" t="s">
        <v>126</v>
      </c>
      <c r="Q21" s="52" t="s">
        <v>150</v>
      </c>
      <c r="R21" s="30" t="s">
        <v>218</v>
      </c>
      <c r="S21" s="30" t="s">
        <v>9</v>
      </c>
      <c r="T21" s="30" t="s">
        <v>152</v>
      </c>
      <c r="U21" s="30" t="s">
        <v>101</v>
      </c>
      <c r="V21" s="30" t="str">
        <f t="shared" si="7"/>
        <v>Gás.Doméstico</v>
      </c>
      <c r="W21" s="30" t="s">
        <v>102</v>
      </c>
      <c r="X21" s="58" t="str">
        <f t="shared" si="8"/>
        <v>Key-GAS-21</v>
      </c>
      <c r="Y21" s="29" t="s">
        <v>154</v>
      </c>
      <c r="Z21" s="63" t="s">
        <v>9</v>
      </c>
      <c r="AA21" s="29" t="s">
        <v>105</v>
      </c>
      <c r="AB21" s="63" t="s">
        <v>9</v>
      </c>
      <c r="AC21" s="30" t="s">
        <v>230</v>
      </c>
      <c r="AD21" s="63" t="s">
        <v>9</v>
      </c>
    </row>
    <row r="22" spans="1:30" ht="6.65" customHeight="1" x14ac:dyDescent="0.4">
      <c r="A22" s="57">
        <v>22</v>
      </c>
      <c r="B22" s="1" t="s">
        <v>236</v>
      </c>
      <c r="C22" s="42" t="s">
        <v>237</v>
      </c>
      <c r="D22" s="1" t="s">
        <v>227</v>
      </c>
      <c r="E22" s="42" t="s">
        <v>225</v>
      </c>
      <c r="F22" s="42" t="s">
        <v>123</v>
      </c>
      <c r="G22" s="60" t="s">
        <v>9</v>
      </c>
      <c r="H22" s="60" t="s">
        <v>9</v>
      </c>
      <c r="I22" s="60" t="s">
        <v>9</v>
      </c>
      <c r="J22" s="60" t="s">
        <v>9</v>
      </c>
      <c r="K22" s="60" t="s">
        <v>9</v>
      </c>
      <c r="L22" s="33" t="str">
        <f t="shared" si="3"/>
        <v>Sistemas.Prediais</v>
      </c>
      <c r="M22" s="33" t="str">
        <f t="shared" si="4"/>
        <v>Elementos.Gases</v>
      </c>
      <c r="N22" s="33" t="str">
        <f t="shared" si="5"/>
        <v>Gás Doméstico</v>
      </c>
      <c r="O22" s="30" t="str">
        <f t="shared" si="17"/>
        <v>Boiler.a.Gás</v>
      </c>
      <c r="P22" s="52" t="s">
        <v>127</v>
      </c>
      <c r="Q22" s="52" t="s">
        <v>151</v>
      </c>
      <c r="R22" s="30" t="s">
        <v>219</v>
      </c>
      <c r="S22" s="30" t="s">
        <v>9</v>
      </c>
      <c r="T22" s="30" t="s">
        <v>152</v>
      </c>
      <c r="U22" s="30" t="s">
        <v>101</v>
      </c>
      <c r="V22" s="30" t="str">
        <f t="shared" si="7"/>
        <v>Gás.Doméstico</v>
      </c>
      <c r="W22" s="30" t="s">
        <v>102</v>
      </c>
      <c r="X22" s="58" t="str">
        <f t="shared" si="8"/>
        <v>Key-GAS-22</v>
      </c>
      <c r="Y22" s="29" t="s">
        <v>154</v>
      </c>
      <c r="Z22" s="63" t="s">
        <v>9</v>
      </c>
      <c r="AA22" s="29" t="s">
        <v>105</v>
      </c>
      <c r="AB22" s="63" t="s">
        <v>9</v>
      </c>
      <c r="AC22" s="30" t="s">
        <v>230</v>
      </c>
      <c r="AD22" s="63" t="s">
        <v>9</v>
      </c>
    </row>
    <row r="23" spans="1:30" ht="6.65" customHeight="1" x14ac:dyDescent="0.4">
      <c r="A23" s="57">
        <v>23</v>
      </c>
      <c r="B23" s="1" t="s">
        <v>236</v>
      </c>
      <c r="C23" s="42" t="s">
        <v>237</v>
      </c>
      <c r="D23" s="1" t="s">
        <v>227</v>
      </c>
      <c r="E23" s="42" t="s">
        <v>225</v>
      </c>
      <c r="F23" s="42" t="s">
        <v>124</v>
      </c>
      <c r="G23" s="60" t="s">
        <v>9</v>
      </c>
      <c r="H23" s="60" t="s">
        <v>9</v>
      </c>
      <c r="I23" s="60" t="s">
        <v>9</v>
      </c>
      <c r="J23" s="60" t="s">
        <v>9</v>
      </c>
      <c r="K23" s="60" t="s">
        <v>9</v>
      </c>
      <c r="L23" s="33" t="str">
        <f t="shared" si="3"/>
        <v>Sistemas.Prediais</v>
      </c>
      <c r="M23" s="33" t="str">
        <f t="shared" si="4"/>
        <v>Elementos.Gases</v>
      </c>
      <c r="N23" s="33" t="str">
        <f t="shared" si="5"/>
        <v>Gás Doméstico</v>
      </c>
      <c r="O23" s="30" t="str">
        <f t="shared" si="17"/>
        <v>Caldeira.a.Gás</v>
      </c>
      <c r="P23" s="52" t="s">
        <v>128</v>
      </c>
      <c r="Q23" s="52" t="s">
        <v>146</v>
      </c>
      <c r="R23" s="30" t="s">
        <v>229</v>
      </c>
      <c r="S23" s="30" t="s">
        <v>9</v>
      </c>
      <c r="T23" s="30" t="s">
        <v>152</v>
      </c>
      <c r="U23" s="30" t="s">
        <v>101</v>
      </c>
      <c r="V23" s="30" t="str">
        <f t="shared" si="7"/>
        <v>Gás.Doméstico</v>
      </c>
      <c r="W23" s="30" t="s">
        <v>102</v>
      </c>
      <c r="X23" s="58" t="str">
        <f t="shared" si="8"/>
        <v>Key-GAS-23</v>
      </c>
      <c r="Y23" s="29" t="s">
        <v>154</v>
      </c>
      <c r="Z23" s="63" t="s">
        <v>9</v>
      </c>
      <c r="AA23" s="29" t="s">
        <v>106</v>
      </c>
      <c r="AB23" s="63" t="s">
        <v>9</v>
      </c>
      <c r="AC23" s="30" t="s">
        <v>230</v>
      </c>
      <c r="AD23" s="63" t="s">
        <v>9</v>
      </c>
    </row>
    <row r="24" spans="1:30" ht="6.65" customHeight="1" x14ac:dyDescent="0.4">
      <c r="A24" s="57">
        <v>24</v>
      </c>
      <c r="B24" s="1" t="s">
        <v>236</v>
      </c>
      <c r="C24" s="42" t="s">
        <v>237</v>
      </c>
      <c r="D24" s="1" t="s">
        <v>227</v>
      </c>
      <c r="E24" s="42" t="s">
        <v>225</v>
      </c>
      <c r="F24" s="42" t="s">
        <v>121</v>
      </c>
      <c r="G24" s="60" t="s">
        <v>9</v>
      </c>
      <c r="H24" s="60" t="s">
        <v>9</v>
      </c>
      <c r="I24" s="60" t="s">
        <v>9</v>
      </c>
      <c r="J24" s="60" t="s">
        <v>9</v>
      </c>
      <c r="K24" s="60" t="s">
        <v>9</v>
      </c>
      <c r="L24" s="33" t="str">
        <f t="shared" ref="L24" si="22">CONCATENATE("", C24)</f>
        <v>Sistemas.Prediais</v>
      </c>
      <c r="M24" s="33" t="str">
        <f t="shared" ref="M24" si="23">CONCATENATE("", D24)</f>
        <v>Elementos.Gases</v>
      </c>
      <c r="N24" s="33" t="str">
        <f t="shared" ref="N24" si="24">(SUBSTITUTE(SUBSTITUTE(CONCATENATE("",E24),"."," ")," De "," de "))</f>
        <v>Gás Doméstico</v>
      </c>
      <c r="O24" s="30" t="str">
        <f t="shared" ref="O24" si="25">IF(ISNUMBER(FIND("Ifc",F24)),CONCATENATE("Classe IFC:   ",F24),CONCATENATE("",F24))</f>
        <v>Tubulação.Gás</v>
      </c>
      <c r="P24" s="52" t="s">
        <v>129</v>
      </c>
      <c r="Q24" s="52" t="s">
        <v>145</v>
      </c>
      <c r="R24" s="30" t="s">
        <v>217</v>
      </c>
      <c r="S24" s="30" t="s">
        <v>9</v>
      </c>
      <c r="T24" s="30" t="s">
        <v>152</v>
      </c>
      <c r="U24" s="30" t="s">
        <v>101</v>
      </c>
      <c r="V24" s="30" t="str">
        <f t="shared" ref="V24" si="26">SUBSTITUTE(E24, "_", " ")</f>
        <v>Gás.Doméstico</v>
      </c>
      <c r="W24" s="30" t="s">
        <v>102</v>
      </c>
      <c r="X24" s="58" t="str">
        <f t="shared" si="8"/>
        <v>Key-GAS-24</v>
      </c>
      <c r="Y24" s="29" t="s">
        <v>238</v>
      </c>
      <c r="Z24" s="63" t="s">
        <v>9</v>
      </c>
      <c r="AA24" s="29" t="s">
        <v>239</v>
      </c>
      <c r="AB24" s="63" t="s">
        <v>9</v>
      </c>
      <c r="AC24" s="30" t="s">
        <v>230</v>
      </c>
      <c r="AD24" s="63" t="s">
        <v>9</v>
      </c>
    </row>
    <row r="25" spans="1:30" ht="6.65" customHeight="1" x14ac:dyDescent="0.4">
      <c r="A25" s="57">
        <v>25</v>
      </c>
      <c r="B25" s="1" t="s">
        <v>236</v>
      </c>
      <c r="C25" s="42" t="s">
        <v>237</v>
      </c>
      <c r="D25" s="1" t="s">
        <v>227</v>
      </c>
      <c r="E25" s="42" t="s">
        <v>226</v>
      </c>
      <c r="F25" s="42" t="s">
        <v>191</v>
      </c>
      <c r="G25" s="60" t="s">
        <v>9</v>
      </c>
      <c r="H25" s="60" t="s">
        <v>9</v>
      </c>
      <c r="I25" s="60" t="s">
        <v>9</v>
      </c>
      <c r="J25" s="60" t="s">
        <v>9</v>
      </c>
      <c r="K25" s="60" t="s">
        <v>9</v>
      </c>
      <c r="L25" s="33" t="str">
        <f t="shared" ref="L25:L27" si="27">CONCATENATE("", C25)</f>
        <v>Sistemas.Prediais</v>
      </c>
      <c r="M25" s="33" t="str">
        <f t="shared" ref="M25:M27" si="28">CONCATENATE("", D25)</f>
        <v>Elementos.Gases</v>
      </c>
      <c r="N25" s="33" t="str">
        <f t="shared" ref="N25:N27" si="29">(SUBSTITUTE(SUBSTITUTE(CONCATENATE("",E25),"."," ")," De "," de "))</f>
        <v>Gás Hospitalar</v>
      </c>
      <c r="O25" s="30" t="str">
        <f t="shared" si="17"/>
        <v>Aquecedor.a.Gás.Hospitalar</v>
      </c>
      <c r="P25" s="52" t="s">
        <v>195</v>
      </c>
      <c r="Q25" s="52" t="s">
        <v>199</v>
      </c>
      <c r="R25" s="30" t="s">
        <v>221</v>
      </c>
      <c r="S25" s="30" t="s">
        <v>9</v>
      </c>
      <c r="T25" s="30" t="s">
        <v>152</v>
      </c>
      <c r="U25" s="30" t="s">
        <v>101</v>
      </c>
      <c r="V25" s="30" t="str">
        <f t="shared" ref="V25:V27" si="30">SUBSTITUTE(E25, "_", " ")</f>
        <v>Gás.Hospitalar</v>
      </c>
      <c r="W25" s="30" t="s">
        <v>102</v>
      </c>
      <c r="X25" s="58" t="str">
        <f t="shared" si="8"/>
        <v>Key-GAS-25</v>
      </c>
      <c r="Y25" s="29" t="s">
        <v>154</v>
      </c>
      <c r="Z25" s="63" t="s">
        <v>9</v>
      </c>
      <c r="AA25" s="29" t="s">
        <v>105</v>
      </c>
      <c r="AB25" s="63" t="s">
        <v>9</v>
      </c>
      <c r="AC25" s="30" t="s">
        <v>232</v>
      </c>
      <c r="AD25" s="63" t="s">
        <v>9</v>
      </c>
    </row>
    <row r="26" spans="1:30" ht="6.65" customHeight="1" x14ac:dyDescent="0.4">
      <c r="A26" s="57">
        <v>26</v>
      </c>
      <c r="B26" s="1" t="s">
        <v>236</v>
      </c>
      <c r="C26" s="42" t="s">
        <v>237</v>
      </c>
      <c r="D26" s="1" t="s">
        <v>227</v>
      </c>
      <c r="E26" s="42" t="s">
        <v>226</v>
      </c>
      <c r="F26" s="42" t="s">
        <v>192</v>
      </c>
      <c r="G26" s="60" t="s">
        <v>9</v>
      </c>
      <c r="H26" s="60" t="s">
        <v>9</v>
      </c>
      <c r="I26" s="60" t="s">
        <v>9</v>
      </c>
      <c r="J26" s="60" t="s">
        <v>9</v>
      </c>
      <c r="K26" s="60" t="s">
        <v>9</v>
      </c>
      <c r="L26" s="33" t="str">
        <f t="shared" si="27"/>
        <v>Sistemas.Prediais</v>
      </c>
      <c r="M26" s="33" t="str">
        <f t="shared" si="28"/>
        <v>Elementos.Gases</v>
      </c>
      <c r="N26" s="33" t="str">
        <f t="shared" si="29"/>
        <v>Gás Hospitalar</v>
      </c>
      <c r="O26" s="30" t="str">
        <f t="shared" si="17"/>
        <v>Boiler.a.Gás.Hospitalar</v>
      </c>
      <c r="P26" s="52" t="s">
        <v>196</v>
      </c>
      <c r="Q26" s="52" t="s">
        <v>200</v>
      </c>
      <c r="R26" s="30" t="s">
        <v>222</v>
      </c>
      <c r="S26" s="30" t="s">
        <v>9</v>
      </c>
      <c r="T26" s="30" t="s">
        <v>152</v>
      </c>
      <c r="U26" s="30" t="s">
        <v>101</v>
      </c>
      <c r="V26" s="30" t="str">
        <f t="shared" si="30"/>
        <v>Gás.Hospitalar</v>
      </c>
      <c r="W26" s="30" t="s">
        <v>102</v>
      </c>
      <c r="X26" s="58" t="str">
        <f t="shared" si="8"/>
        <v>Key-GAS-26</v>
      </c>
      <c r="Y26" s="29" t="s">
        <v>154</v>
      </c>
      <c r="Z26" s="63" t="s">
        <v>9</v>
      </c>
      <c r="AA26" s="29" t="s">
        <v>105</v>
      </c>
      <c r="AB26" s="63" t="s">
        <v>9</v>
      </c>
      <c r="AC26" s="30" t="s">
        <v>232</v>
      </c>
      <c r="AD26" s="63" t="s">
        <v>9</v>
      </c>
    </row>
    <row r="27" spans="1:30" ht="6.65" customHeight="1" x14ac:dyDescent="0.4">
      <c r="A27" s="57">
        <v>27</v>
      </c>
      <c r="B27" s="1" t="s">
        <v>236</v>
      </c>
      <c r="C27" s="42" t="s">
        <v>237</v>
      </c>
      <c r="D27" s="1" t="s">
        <v>227</v>
      </c>
      <c r="E27" s="42" t="s">
        <v>226</v>
      </c>
      <c r="F27" s="42" t="s">
        <v>193</v>
      </c>
      <c r="G27" s="60" t="s">
        <v>9</v>
      </c>
      <c r="H27" s="60" t="s">
        <v>9</v>
      </c>
      <c r="I27" s="60" t="s">
        <v>9</v>
      </c>
      <c r="J27" s="60" t="s">
        <v>9</v>
      </c>
      <c r="K27" s="60" t="s">
        <v>9</v>
      </c>
      <c r="L27" s="33" t="str">
        <f t="shared" si="27"/>
        <v>Sistemas.Prediais</v>
      </c>
      <c r="M27" s="33" t="str">
        <f t="shared" si="28"/>
        <v>Elementos.Gases</v>
      </c>
      <c r="N27" s="33" t="str">
        <f t="shared" si="29"/>
        <v>Gás Hospitalar</v>
      </c>
      <c r="O27" s="30" t="str">
        <f t="shared" si="17"/>
        <v>Caldeira.a.Gás.Hospitalar</v>
      </c>
      <c r="P27" s="52" t="s">
        <v>197</v>
      </c>
      <c r="Q27" s="52" t="s">
        <v>201</v>
      </c>
      <c r="R27" s="30" t="s">
        <v>228</v>
      </c>
      <c r="S27" s="30" t="s">
        <v>9</v>
      </c>
      <c r="T27" s="30" t="s">
        <v>152</v>
      </c>
      <c r="U27" s="30" t="s">
        <v>101</v>
      </c>
      <c r="V27" s="30" t="str">
        <f t="shared" si="30"/>
        <v>Gás.Hospitalar</v>
      </c>
      <c r="W27" s="30" t="s">
        <v>102</v>
      </c>
      <c r="X27" s="58" t="str">
        <f t="shared" si="8"/>
        <v>Key-GAS-27</v>
      </c>
      <c r="Y27" s="29" t="s">
        <v>154</v>
      </c>
      <c r="Z27" s="63" t="s">
        <v>9</v>
      </c>
      <c r="AA27" s="29" t="s">
        <v>106</v>
      </c>
      <c r="AB27" s="63" t="s">
        <v>9</v>
      </c>
      <c r="AC27" s="30" t="s">
        <v>232</v>
      </c>
      <c r="AD27" s="63" t="s">
        <v>9</v>
      </c>
    </row>
    <row r="28" spans="1:30" ht="6.65" customHeight="1" x14ac:dyDescent="0.4">
      <c r="A28" s="57">
        <v>28</v>
      </c>
      <c r="B28" s="1" t="s">
        <v>236</v>
      </c>
      <c r="C28" s="42" t="s">
        <v>237</v>
      </c>
      <c r="D28" s="1" t="s">
        <v>227</v>
      </c>
      <c r="E28" s="42" t="s">
        <v>226</v>
      </c>
      <c r="F28" s="42" t="s">
        <v>190</v>
      </c>
      <c r="G28" s="60" t="s">
        <v>9</v>
      </c>
      <c r="H28" s="60" t="s">
        <v>9</v>
      </c>
      <c r="I28" s="60" t="s">
        <v>9</v>
      </c>
      <c r="J28" s="60" t="s">
        <v>9</v>
      </c>
      <c r="K28" s="60" t="s">
        <v>9</v>
      </c>
      <c r="L28" s="33" t="str">
        <f t="shared" ref="L28" si="31">CONCATENATE("", C28)</f>
        <v>Sistemas.Prediais</v>
      </c>
      <c r="M28" s="33" t="str">
        <f t="shared" ref="M28" si="32">CONCATENATE("", D28)</f>
        <v>Elementos.Gases</v>
      </c>
      <c r="N28" s="33" t="str">
        <f t="shared" ref="N28" si="33">(SUBSTITUTE(SUBSTITUTE(CONCATENATE("",E28),"."," ")," De "," de "))</f>
        <v>Gás Hospitalar</v>
      </c>
      <c r="O28" s="30" t="str">
        <f t="shared" ref="O28" si="34">IF(ISNUMBER(FIND("Ifc",F28)),CONCATENATE("Classe IFC:   ",F28),CONCATENATE("",F28))</f>
        <v>Tubulação.Gás.Hospitalar</v>
      </c>
      <c r="P28" s="52" t="s">
        <v>194</v>
      </c>
      <c r="Q28" s="52" t="s">
        <v>198</v>
      </c>
      <c r="R28" s="30" t="s">
        <v>220</v>
      </c>
      <c r="S28" s="30" t="s">
        <v>9</v>
      </c>
      <c r="T28" s="30" t="s">
        <v>152</v>
      </c>
      <c r="U28" s="30" t="s">
        <v>101</v>
      </c>
      <c r="V28" s="30" t="str">
        <f t="shared" ref="V28" si="35">SUBSTITUTE(E28, "_", " ")</f>
        <v>Gás.Hospitalar</v>
      </c>
      <c r="W28" s="30" t="s">
        <v>102</v>
      </c>
      <c r="X28" s="58" t="str">
        <f t="shared" si="8"/>
        <v>Key-GAS-28</v>
      </c>
      <c r="Y28" s="29" t="s">
        <v>238</v>
      </c>
      <c r="Z28" s="63" t="s">
        <v>9</v>
      </c>
      <c r="AA28" s="29" t="s">
        <v>239</v>
      </c>
      <c r="AB28" s="63" t="s">
        <v>9</v>
      </c>
      <c r="AC28" s="30" t="s">
        <v>232</v>
      </c>
      <c r="AD28" s="63" t="s">
        <v>9</v>
      </c>
    </row>
    <row r="29" spans="1:30" s="64" customFormat="1" ht="6.75" customHeight="1" x14ac:dyDescent="0.25">
      <c r="A29" s="57">
        <v>29</v>
      </c>
      <c r="B29" s="1" t="s">
        <v>246</v>
      </c>
      <c r="C29" s="65" t="s">
        <v>247</v>
      </c>
      <c r="D29" s="65" t="s">
        <v>249</v>
      </c>
      <c r="E29" s="65" t="s">
        <v>248</v>
      </c>
      <c r="F29" s="65" t="s">
        <v>250</v>
      </c>
      <c r="G29" s="60" t="s">
        <v>9</v>
      </c>
      <c r="H29" s="60" t="s">
        <v>9</v>
      </c>
      <c r="I29" s="60" t="s">
        <v>9</v>
      </c>
      <c r="J29" s="60" t="s">
        <v>9</v>
      </c>
      <c r="K29" s="60" t="s">
        <v>9</v>
      </c>
      <c r="L29" s="33" t="str">
        <f t="shared" ref="L29:O33" si="36">SUBSTITUTE(CONCATENATE("", C29), ".", " ")</f>
        <v>De API</v>
      </c>
      <c r="M29" s="33" t="str">
        <f t="shared" si="36"/>
        <v>Macros</v>
      </c>
      <c r="N29" s="33" t="str">
        <f t="shared" si="36"/>
        <v>Métodos</v>
      </c>
      <c r="O29" s="33" t="str">
        <f t="shared" si="36"/>
        <v>Função Auxiliar</v>
      </c>
      <c r="P29" s="30" t="s">
        <v>251</v>
      </c>
      <c r="Q29" s="30" t="s">
        <v>252</v>
      </c>
      <c r="R29" s="30" t="s">
        <v>253</v>
      </c>
      <c r="S29" s="30" t="s">
        <v>9</v>
      </c>
      <c r="T29" s="30" t="str">
        <f t="shared" ref="T29:V33" si="37">SUBSTITUTE(C29, ".", " ")</f>
        <v>De API</v>
      </c>
      <c r="U29" s="30" t="str">
        <f t="shared" si="37"/>
        <v>Macros</v>
      </c>
      <c r="V29" s="62" t="str">
        <f t="shared" si="37"/>
        <v>Métodos</v>
      </c>
      <c r="W29" s="30" t="s">
        <v>102</v>
      </c>
      <c r="X29" s="58" t="str">
        <f t="shared" si="8"/>
        <v>Key-GAS-29</v>
      </c>
      <c r="Y29" s="63" t="s">
        <v>9</v>
      </c>
      <c r="Z29" s="63" t="s">
        <v>9</v>
      </c>
      <c r="AA29" s="63" t="s">
        <v>9</v>
      </c>
      <c r="AB29" s="63" t="s">
        <v>9</v>
      </c>
      <c r="AC29" s="63" t="s">
        <v>9</v>
      </c>
      <c r="AD29" s="63" t="s">
        <v>9</v>
      </c>
    </row>
    <row r="30" spans="1:30" s="64" customFormat="1" ht="6.75" customHeight="1" x14ac:dyDescent="0.25">
      <c r="A30" s="57">
        <v>30</v>
      </c>
      <c r="B30" s="1" t="s">
        <v>246</v>
      </c>
      <c r="C30" s="65" t="s">
        <v>247</v>
      </c>
      <c r="D30" s="65" t="s">
        <v>249</v>
      </c>
      <c r="E30" s="65" t="s">
        <v>248</v>
      </c>
      <c r="F30" s="65" t="s">
        <v>254</v>
      </c>
      <c r="G30" s="60" t="s">
        <v>9</v>
      </c>
      <c r="H30" s="60" t="s">
        <v>9</v>
      </c>
      <c r="I30" s="60" t="s">
        <v>9</v>
      </c>
      <c r="J30" s="60" t="s">
        <v>9</v>
      </c>
      <c r="K30" s="60" t="s">
        <v>9</v>
      </c>
      <c r="L30" s="33" t="str">
        <f t="shared" si="36"/>
        <v>De API</v>
      </c>
      <c r="M30" s="33" t="str">
        <f t="shared" si="36"/>
        <v>Macros</v>
      </c>
      <c r="N30" s="33" t="str">
        <f t="shared" si="36"/>
        <v>Métodos</v>
      </c>
      <c r="O30" s="33" t="str">
        <f t="shared" si="36"/>
        <v>Função Global</v>
      </c>
      <c r="P30" s="30" t="s">
        <v>255</v>
      </c>
      <c r="Q30" s="30" t="s">
        <v>256</v>
      </c>
      <c r="R30" s="30" t="s">
        <v>257</v>
      </c>
      <c r="S30" s="30" t="s">
        <v>9</v>
      </c>
      <c r="T30" s="30" t="str">
        <f t="shared" si="37"/>
        <v>De API</v>
      </c>
      <c r="U30" s="30" t="str">
        <f t="shared" si="37"/>
        <v>Macros</v>
      </c>
      <c r="V30" s="62" t="str">
        <f t="shared" si="37"/>
        <v>Métodos</v>
      </c>
      <c r="W30" s="30" t="s">
        <v>102</v>
      </c>
      <c r="X30" s="58" t="str">
        <f t="shared" si="8"/>
        <v>Key-GAS-30</v>
      </c>
      <c r="Y30" s="63" t="s">
        <v>9</v>
      </c>
      <c r="Z30" s="63" t="s">
        <v>9</v>
      </c>
      <c r="AA30" s="63" t="s">
        <v>9</v>
      </c>
      <c r="AB30" s="63" t="s">
        <v>9</v>
      </c>
      <c r="AC30" s="63" t="s">
        <v>9</v>
      </c>
      <c r="AD30" s="63" t="s">
        <v>9</v>
      </c>
    </row>
    <row r="31" spans="1:30" s="64" customFormat="1" ht="6.75" customHeight="1" x14ac:dyDescent="0.25">
      <c r="A31" s="57">
        <v>31</v>
      </c>
      <c r="B31" s="1" t="s">
        <v>246</v>
      </c>
      <c r="C31" s="65" t="s">
        <v>247</v>
      </c>
      <c r="D31" s="65" t="s">
        <v>249</v>
      </c>
      <c r="E31" s="65" t="s">
        <v>248</v>
      </c>
      <c r="F31" s="65" t="s">
        <v>258</v>
      </c>
      <c r="G31" s="60" t="s">
        <v>9</v>
      </c>
      <c r="H31" s="60" t="s">
        <v>9</v>
      </c>
      <c r="I31" s="60" t="s">
        <v>9</v>
      </c>
      <c r="J31" s="60" t="s">
        <v>9</v>
      </c>
      <c r="K31" s="60" t="s">
        <v>9</v>
      </c>
      <c r="L31" s="33" t="str">
        <f t="shared" si="36"/>
        <v>De API</v>
      </c>
      <c r="M31" s="33" t="str">
        <f t="shared" si="36"/>
        <v>Macros</v>
      </c>
      <c r="N31" s="33" t="str">
        <f t="shared" si="36"/>
        <v>Métodos</v>
      </c>
      <c r="O31" s="33" t="str">
        <f t="shared" si="36"/>
        <v>Função Local</v>
      </c>
      <c r="P31" s="30" t="s">
        <v>259</v>
      </c>
      <c r="Q31" s="30" t="s">
        <v>260</v>
      </c>
      <c r="R31" s="30" t="s">
        <v>261</v>
      </c>
      <c r="S31" s="30" t="s">
        <v>9</v>
      </c>
      <c r="T31" s="30" t="str">
        <f t="shared" si="37"/>
        <v>De API</v>
      </c>
      <c r="U31" s="30" t="str">
        <f t="shared" si="37"/>
        <v>Macros</v>
      </c>
      <c r="V31" s="62" t="str">
        <f t="shared" si="37"/>
        <v>Métodos</v>
      </c>
      <c r="W31" s="30" t="s">
        <v>102</v>
      </c>
      <c r="X31" s="58" t="str">
        <f t="shared" si="8"/>
        <v>Key-GAS-31</v>
      </c>
      <c r="Y31" s="63" t="s">
        <v>9</v>
      </c>
      <c r="Z31" s="63" t="s">
        <v>9</v>
      </c>
      <c r="AA31" s="63" t="s">
        <v>9</v>
      </c>
      <c r="AB31" s="63" t="s">
        <v>9</v>
      </c>
      <c r="AC31" s="63" t="s">
        <v>9</v>
      </c>
      <c r="AD31" s="63" t="s">
        <v>9</v>
      </c>
    </row>
    <row r="32" spans="1:30" s="64" customFormat="1" ht="6.75" customHeight="1" x14ac:dyDescent="0.25">
      <c r="A32" s="57">
        <v>32</v>
      </c>
      <c r="B32" s="1" t="s">
        <v>246</v>
      </c>
      <c r="C32" s="65" t="s">
        <v>247</v>
      </c>
      <c r="D32" s="65" t="s">
        <v>249</v>
      </c>
      <c r="E32" s="65" t="s">
        <v>248</v>
      </c>
      <c r="F32" s="65" t="s">
        <v>262</v>
      </c>
      <c r="G32" s="60" t="s">
        <v>9</v>
      </c>
      <c r="H32" s="60" t="s">
        <v>9</v>
      </c>
      <c r="I32" s="60" t="s">
        <v>9</v>
      </c>
      <c r="J32" s="60" t="s">
        <v>9</v>
      </c>
      <c r="K32" s="60" t="s">
        <v>9</v>
      </c>
      <c r="L32" s="33" t="str">
        <f t="shared" si="36"/>
        <v>De API</v>
      </c>
      <c r="M32" s="33" t="str">
        <f t="shared" si="36"/>
        <v>Macros</v>
      </c>
      <c r="N32" s="33" t="str">
        <f t="shared" si="36"/>
        <v>Métodos</v>
      </c>
      <c r="O32" s="33" t="str">
        <f t="shared" si="36"/>
        <v>Função Filtro</v>
      </c>
      <c r="P32" s="30" t="s">
        <v>263</v>
      </c>
      <c r="Q32" s="30" t="s">
        <v>264</v>
      </c>
      <c r="R32" s="30" t="s">
        <v>265</v>
      </c>
      <c r="S32" s="30" t="s">
        <v>9</v>
      </c>
      <c r="T32" s="30" t="str">
        <f t="shared" si="37"/>
        <v>De API</v>
      </c>
      <c r="U32" s="30" t="str">
        <f t="shared" si="37"/>
        <v>Macros</v>
      </c>
      <c r="V32" s="62" t="str">
        <f t="shared" si="37"/>
        <v>Métodos</v>
      </c>
      <c r="W32" s="30" t="s">
        <v>102</v>
      </c>
      <c r="X32" s="58" t="str">
        <f t="shared" si="8"/>
        <v>Key-GAS-32</v>
      </c>
      <c r="Y32" s="63" t="s">
        <v>9</v>
      </c>
      <c r="Z32" s="63" t="s">
        <v>9</v>
      </c>
      <c r="AA32" s="63" t="s">
        <v>9</v>
      </c>
      <c r="AB32" s="63" t="s">
        <v>9</v>
      </c>
      <c r="AC32" s="63" t="s">
        <v>9</v>
      </c>
      <c r="AD32" s="63" t="s">
        <v>9</v>
      </c>
    </row>
    <row r="33" spans="1:30" s="64" customFormat="1" ht="6.75" customHeight="1" x14ac:dyDescent="0.25">
      <c r="A33" s="57">
        <v>33</v>
      </c>
      <c r="B33" s="1" t="s">
        <v>246</v>
      </c>
      <c r="C33" s="65" t="s">
        <v>247</v>
      </c>
      <c r="D33" s="65" t="s">
        <v>249</v>
      </c>
      <c r="E33" s="65" t="s">
        <v>266</v>
      </c>
      <c r="F33" s="65" t="s">
        <v>267</v>
      </c>
      <c r="G33" s="60" t="s">
        <v>9</v>
      </c>
      <c r="H33" s="60" t="s">
        <v>9</v>
      </c>
      <c r="I33" s="60" t="s">
        <v>9</v>
      </c>
      <c r="J33" s="60" t="s">
        <v>9</v>
      </c>
      <c r="K33" s="60" t="s">
        <v>9</v>
      </c>
      <c r="L33" s="33" t="str">
        <f t="shared" si="36"/>
        <v>De API</v>
      </c>
      <c r="M33" s="33" t="str">
        <f t="shared" si="36"/>
        <v>Macros</v>
      </c>
      <c r="N33" s="33" t="str">
        <f t="shared" si="36"/>
        <v>Códigos Visuais</v>
      </c>
      <c r="O33" s="33" t="str">
        <f t="shared" si="36"/>
        <v>Bloco de Código</v>
      </c>
      <c r="P33" s="30" t="s">
        <v>268</v>
      </c>
      <c r="Q33" s="30" t="s">
        <v>269</v>
      </c>
      <c r="R33" s="30" t="s">
        <v>270</v>
      </c>
      <c r="S33" s="30" t="s">
        <v>9</v>
      </c>
      <c r="T33" s="30" t="str">
        <f t="shared" si="37"/>
        <v>De API</v>
      </c>
      <c r="U33" s="30" t="str">
        <f t="shared" si="37"/>
        <v>Macros</v>
      </c>
      <c r="V33" s="62" t="str">
        <f t="shared" si="37"/>
        <v>Códigos Visuais</v>
      </c>
      <c r="W33" s="30" t="s">
        <v>102</v>
      </c>
      <c r="X33" s="58" t="str">
        <f t="shared" si="8"/>
        <v>Key-GAS-33</v>
      </c>
      <c r="Y33" s="63" t="s">
        <v>9</v>
      </c>
      <c r="Z33" s="63" t="s">
        <v>9</v>
      </c>
      <c r="AA33" s="63" t="s">
        <v>9</v>
      </c>
      <c r="AB33" s="63" t="s">
        <v>9</v>
      </c>
      <c r="AC33" s="63" t="s">
        <v>9</v>
      </c>
      <c r="AD33" s="63" t="s">
        <v>9</v>
      </c>
    </row>
  </sheetData>
  <sortState xmlns:xlrd2="http://schemas.microsoft.com/office/spreadsheetml/2017/richdata2" ref="A5:AC889">
    <sortCondition ref="F5:F889"/>
  </sortState>
  <phoneticPr fontId="1" type="noConversion"/>
  <conditionalFormatting sqref="A1:D1 F1:O1 R1:Z1 AB1:AD1">
    <cfRule type="cellIs" dxfId="28" priority="90" operator="equal">
      <formula>"null"</formula>
    </cfRule>
  </conditionalFormatting>
  <conditionalFormatting sqref="E33:F33">
    <cfRule type="duplicateValues" dxfId="27" priority="22"/>
  </conditionalFormatting>
  <conditionalFormatting sqref="F1">
    <cfRule type="duplicateValues" dxfId="26" priority="1526"/>
  </conditionalFormatting>
  <conditionalFormatting sqref="F2:F4">
    <cfRule type="duplicateValues" dxfId="25" priority="2"/>
    <cfRule type="duplicateValues" dxfId="24" priority="3"/>
    <cfRule type="duplicateValues" dxfId="23" priority="4"/>
    <cfRule type="duplicateValues" dxfId="22" priority="5"/>
    <cfRule type="duplicateValues" dxfId="21" priority="6"/>
  </conditionalFormatting>
  <conditionalFormatting sqref="F13:F28 F1 F34:F1048576 F5">
    <cfRule type="duplicateValues" dxfId="20" priority="1548"/>
  </conditionalFormatting>
  <conditionalFormatting sqref="F29:F32">
    <cfRule type="duplicateValues" dxfId="19" priority="23"/>
  </conditionalFormatting>
  <conditionalFormatting sqref="F34:F1048576">
    <cfRule type="duplicateValues" dxfId="18" priority="283"/>
    <cfRule type="duplicateValues" dxfId="17" priority="285"/>
    <cfRule type="duplicateValues" dxfId="16" priority="1498"/>
    <cfRule type="duplicateValues" dxfId="15" priority="1519"/>
  </conditionalFormatting>
  <conditionalFormatting sqref="Y2:Y4 AA2:AA4 AC2:AC4 R2:R28 A2:B33">
    <cfRule type="cellIs" dxfId="14" priority="1" operator="equal">
      <formula>"null"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C8151-860E-49B4-BC4C-3C22E304B5AB}">
  <dimension ref="A1:AD3"/>
  <sheetViews>
    <sheetView zoomScale="220" zoomScaleNormal="220" workbookViewId="0">
      <selection sqref="A1:XFD3"/>
    </sheetView>
  </sheetViews>
  <sheetFormatPr defaultRowHeight="14.6" x14ac:dyDescent="0.4"/>
  <cols>
    <col min="1" max="1" width="1" bestFit="1" customWidth="1"/>
    <col min="2" max="2" width="4.23046875" bestFit="1" customWidth="1"/>
    <col min="3" max="3" width="6.84375" bestFit="1" customWidth="1"/>
    <col min="4" max="4" width="5.921875" bestFit="1" customWidth="1"/>
    <col min="5" max="5" width="3.921875" bestFit="1" customWidth="1"/>
    <col min="6" max="6" width="8.53515625" bestFit="1" customWidth="1"/>
    <col min="7" max="11" width="1.921875" bestFit="1" customWidth="1"/>
    <col min="12" max="12" width="6.921875" bestFit="1" customWidth="1"/>
    <col min="13" max="13" width="5.921875" bestFit="1" customWidth="1"/>
    <col min="14" max="14" width="3.921875" bestFit="1" customWidth="1"/>
    <col min="15" max="15" width="8.61328125" bestFit="1" customWidth="1"/>
    <col min="16" max="16" width="76.69140625" bestFit="1" customWidth="1"/>
    <col min="17" max="17" width="73.921875" bestFit="1" customWidth="1"/>
    <col min="18" max="18" width="66.921875" bestFit="1" customWidth="1"/>
    <col min="19" max="19" width="1.921875" bestFit="1" customWidth="1"/>
    <col min="20" max="20" width="6.921875" bestFit="1" customWidth="1"/>
    <col min="21" max="21" width="5.921875" bestFit="1" customWidth="1"/>
    <col min="22" max="22" width="3.921875" bestFit="1" customWidth="1"/>
    <col min="23" max="23" width="4.69140625" bestFit="1" customWidth="1"/>
    <col min="24" max="24" width="4.765625" bestFit="1" customWidth="1"/>
    <col min="25" max="25" width="15.4609375" bestFit="1" customWidth="1"/>
    <col min="26" max="26" width="1.921875" bestFit="1" customWidth="1"/>
    <col min="27" max="27" width="5.61328125" bestFit="1" customWidth="1"/>
    <col min="28" max="28" width="1.921875" bestFit="1" customWidth="1"/>
    <col min="29" max="29" width="7.765625" bestFit="1" customWidth="1"/>
    <col min="30" max="30" width="1.921875" bestFit="1" customWidth="1"/>
  </cols>
  <sheetData>
    <row r="1" spans="1:30" s="53" customFormat="1" ht="6.65" customHeight="1" x14ac:dyDescent="0.4">
      <c r="A1" s="57" t="s">
        <v>292</v>
      </c>
      <c r="B1" s="1" t="s">
        <v>236</v>
      </c>
      <c r="C1" s="1" t="s">
        <v>272</v>
      </c>
      <c r="D1" s="1" t="s">
        <v>273</v>
      </c>
      <c r="E1" s="1" t="s">
        <v>274</v>
      </c>
      <c r="F1" s="56" t="s">
        <v>291</v>
      </c>
      <c r="G1" s="60" t="s">
        <v>9</v>
      </c>
      <c r="H1" s="60" t="s">
        <v>9</v>
      </c>
      <c r="I1" s="60" t="s">
        <v>9</v>
      </c>
      <c r="J1" s="60" t="s">
        <v>9</v>
      </c>
      <c r="K1" s="60" t="s">
        <v>9</v>
      </c>
      <c r="L1" s="33" t="str">
        <f t="shared" ref="L1:O3" si="0">SUBSTITUTE(CONCATENATE("", C1), ".", " ")</f>
        <v>De Materialidade</v>
      </c>
      <c r="M1" s="33" t="str">
        <f t="shared" si="0"/>
        <v>Materialidades</v>
      </c>
      <c r="N1" s="33" t="str">
        <f t="shared" si="0"/>
        <v>Materiais</v>
      </c>
      <c r="O1" s="33" t="str">
        <f t="shared" si="0"/>
        <v>Tubo de Aço Costura</v>
      </c>
      <c r="P1" s="66" t="s">
        <v>288</v>
      </c>
      <c r="Q1" s="30" t="s">
        <v>289</v>
      </c>
      <c r="R1" s="30" t="s">
        <v>290</v>
      </c>
      <c r="S1" s="30" t="s">
        <v>9</v>
      </c>
      <c r="T1" s="30" t="str">
        <f t="shared" ref="T1:V3" si="1">SUBSTITUTE(C1, ".", " ")</f>
        <v>De Materialidade</v>
      </c>
      <c r="U1" s="30" t="str">
        <f t="shared" si="1"/>
        <v>Materialidades</v>
      </c>
      <c r="V1" s="30" t="str">
        <f t="shared" si="1"/>
        <v>Materiais</v>
      </c>
      <c r="W1" s="30" t="s">
        <v>102</v>
      </c>
      <c r="X1" s="58" t="str">
        <f>CONCATENATE("Key-TUB-",A1)</f>
        <v>Key-TUB-c</v>
      </c>
      <c r="Y1" s="30" t="s">
        <v>275</v>
      </c>
      <c r="Z1" s="63" t="s">
        <v>9</v>
      </c>
      <c r="AA1" s="30" t="s">
        <v>276</v>
      </c>
      <c r="AB1" s="63" t="s">
        <v>9</v>
      </c>
      <c r="AC1" s="30" t="s">
        <v>281</v>
      </c>
      <c r="AD1" s="63" t="s">
        <v>9</v>
      </c>
    </row>
    <row r="2" spans="1:30" s="53" customFormat="1" ht="6.65" customHeight="1" x14ac:dyDescent="0.4">
      <c r="A2" s="57">
        <v>2</v>
      </c>
      <c r="B2" s="1" t="s">
        <v>236</v>
      </c>
      <c r="C2" s="1" t="s">
        <v>272</v>
      </c>
      <c r="D2" s="1" t="s">
        <v>273</v>
      </c>
      <c r="E2" s="1" t="s">
        <v>274</v>
      </c>
      <c r="F2" s="56" t="s">
        <v>277</v>
      </c>
      <c r="G2" s="60" t="s">
        <v>9</v>
      </c>
      <c r="H2" s="60" t="s">
        <v>9</v>
      </c>
      <c r="I2" s="60" t="s">
        <v>9</v>
      </c>
      <c r="J2" s="60" t="s">
        <v>9</v>
      </c>
      <c r="K2" s="60" t="s">
        <v>9</v>
      </c>
      <c r="L2" s="33" t="str">
        <f t="shared" si="0"/>
        <v>De Materialidade</v>
      </c>
      <c r="M2" s="33" t="str">
        <f t="shared" si="0"/>
        <v>Materialidades</v>
      </c>
      <c r="N2" s="33" t="str">
        <f t="shared" si="0"/>
        <v>Materiais</v>
      </c>
      <c r="O2" s="33" t="str">
        <f t="shared" si="0"/>
        <v>Tubo de Cobre</v>
      </c>
      <c r="P2" s="66" t="s">
        <v>282</v>
      </c>
      <c r="Q2" s="30" t="s">
        <v>283</v>
      </c>
      <c r="R2" s="30" t="s">
        <v>278</v>
      </c>
      <c r="S2" s="30" t="s">
        <v>9</v>
      </c>
      <c r="T2" s="30" t="str">
        <f t="shared" si="1"/>
        <v>De Materialidade</v>
      </c>
      <c r="U2" s="30" t="str">
        <f t="shared" si="1"/>
        <v>Materialidades</v>
      </c>
      <c r="V2" s="30" t="str">
        <f t="shared" si="1"/>
        <v>Materiais</v>
      </c>
      <c r="W2" s="30" t="s">
        <v>102</v>
      </c>
      <c r="X2" s="58" t="str">
        <f>CONCATENATE("Key-TUB-",A2)</f>
        <v>Key-TUB-2</v>
      </c>
      <c r="Y2" s="30" t="s">
        <v>275</v>
      </c>
      <c r="Z2" s="63" t="s">
        <v>9</v>
      </c>
      <c r="AA2" s="30" t="s">
        <v>276</v>
      </c>
      <c r="AB2" s="63" t="s">
        <v>9</v>
      </c>
      <c r="AC2" s="30" t="s">
        <v>279</v>
      </c>
      <c r="AD2" s="63" t="s">
        <v>9</v>
      </c>
    </row>
    <row r="3" spans="1:30" s="53" customFormat="1" ht="6.65" customHeight="1" x14ac:dyDescent="0.4">
      <c r="A3" s="57">
        <v>3</v>
      </c>
      <c r="B3" s="1" t="s">
        <v>236</v>
      </c>
      <c r="C3" s="1" t="s">
        <v>272</v>
      </c>
      <c r="D3" s="1" t="s">
        <v>273</v>
      </c>
      <c r="E3" s="1" t="s">
        <v>274</v>
      </c>
      <c r="F3" s="56" t="s">
        <v>284</v>
      </c>
      <c r="G3" s="60" t="s">
        <v>9</v>
      </c>
      <c r="H3" s="60" t="s">
        <v>9</v>
      </c>
      <c r="I3" s="60" t="s">
        <v>9</v>
      </c>
      <c r="J3" s="60" t="s">
        <v>9</v>
      </c>
      <c r="K3" s="60" t="s">
        <v>9</v>
      </c>
      <c r="L3" s="33" t="str">
        <f t="shared" si="0"/>
        <v>De Materialidade</v>
      </c>
      <c r="M3" s="33" t="str">
        <f t="shared" si="0"/>
        <v>Materialidades</v>
      </c>
      <c r="N3" s="33" t="str">
        <f t="shared" si="0"/>
        <v>Materiais</v>
      </c>
      <c r="O3" s="33" t="str">
        <f t="shared" si="0"/>
        <v>Tubo Multicamada</v>
      </c>
      <c r="P3" s="66" t="s">
        <v>285</v>
      </c>
      <c r="Q3" s="30" t="s">
        <v>286</v>
      </c>
      <c r="R3" s="30" t="s">
        <v>287</v>
      </c>
      <c r="S3" s="30" t="s">
        <v>9</v>
      </c>
      <c r="T3" s="30" t="str">
        <f t="shared" si="1"/>
        <v>De Materialidade</v>
      </c>
      <c r="U3" s="30" t="str">
        <f t="shared" si="1"/>
        <v>Materialidades</v>
      </c>
      <c r="V3" s="30" t="str">
        <f t="shared" si="1"/>
        <v>Materiais</v>
      </c>
      <c r="W3" s="30" t="s">
        <v>102</v>
      </c>
      <c r="X3" s="58" t="str">
        <f>CONCATENATE("Key-TUB-",A3)</f>
        <v>Key-TUB-3</v>
      </c>
      <c r="Y3" s="30" t="s">
        <v>275</v>
      </c>
      <c r="Z3" s="63" t="s">
        <v>9</v>
      </c>
      <c r="AA3" s="30" t="s">
        <v>276</v>
      </c>
      <c r="AB3" s="63" t="s">
        <v>9</v>
      </c>
      <c r="AC3" s="30" t="s">
        <v>280</v>
      </c>
      <c r="AD3" s="63" t="s">
        <v>9</v>
      </c>
    </row>
  </sheetData>
  <sortState xmlns:xlrd2="http://schemas.microsoft.com/office/spreadsheetml/2017/richdata2" ref="A1:AD3">
    <sortCondition ref="F1:F3"/>
  </sortState>
  <conditionalFormatting sqref="A1:B3 R1:R3 Y1:Y3 AA1:AA3 AC1:AC3">
    <cfRule type="cellIs" dxfId="13" priority="1" operator="equal">
      <formula>"null"</formula>
    </cfRule>
  </conditionalFormatting>
  <conditionalFormatting sqref="F1:F3">
    <cfRule type="duplicateValues" dxfId="12" priority="2"/>
    <cfRule type="duplicateValues" dxfId="11" priority="3"/>
    <cfRule type="duplicateValues" dxfId="10" priority="4"/>
    <cfRule type="duplicateValues" dxfId="9" priority="5"/>
    <cfRule type="duplicateValues" dxfId="8" priority="6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U3"/>
  <sheetViews>
    <sheetView zoomScale="180" zoomScaleNormal="180" workbookViewId="0">
      <selection activeCell="B6" sqref="B6"/>
    </sheetView>
  </sheetViews>
  <sheetFormatPr defaultColWidth="11.15234375" defaultRowHeight="7.75" x14ac:dyDescent="0.2"/>
  <cols>
    <col min="1" max="1" width="2.84375" style="10" customWidth="1"/>
    <col min="2" max="10" width="6.53515625" style="11" customWidth="1"/>
    <col min="11" max="21" width="6.53515625" style="9" customWidth="1"/>
    <col min="22" max="16384" width="11.15234375" style="9"/>
  </cols>
  <sheetData>
    <row r="1" spans="1:21" s="4" customFormat="1" x14ac:dyDescent="0.2">
      <c r="A1" s="2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5" t="s">
        <v>31</v>
      </c>
    </row>
    <row r="2" spans="1:21" s="4" customFormat="1" ht="10.5" customHeight="1" x14ac:dyDescent="0.2">
      <c r="A2" s="6">
        <v>2</v>
      </c>
      <c r="B2" s="7" t="s">
        <v>9</v>
      </c>
      <c r="C2" s="7" t="s">
        <v>9</v>
      </c>
      <c r="D2" s="7" t="s">
        <v>9</v>
      </c>
      <c r="E2" s="7" t="s">
        <v>9</v>
      </c>
      <c r="F2" s="7" t="s">
        <v>9</v>
      </c>
      <c r="G2" s="7" t="s">
        <v>9</v>
      </c>
      <c r="H2" s="7" t="s">
        <v>9</v>
      </c>
      <c r="I2" s="7" t="s">
        <v>9</v>
      </c>
      <c r="J2" s="7" t="s">
        <v>9</v>
      </c>
      <c r="K2" s="7" t="s">
        <v>9</v>
      </c>
      <c r="L2" s="7" t="s">
        <v>9</v>
      </c>
      <c r="M2" s="7" t="s">
        <v>9</v>
      </c>
      <c r="N2" s="7" t="s">
        <v>9</v>
      </c>
      <c r="O2" s="7" t="s">
        <v>9</v>
      </c>
      <c r="P2" s="7" t="s">
        <v>9</v>
      </c>
      <c r="Q2" s="7" t="s">
        <v>9</v>
      </c>
      <c r="R2" s="7" t="s">
        <v>9</v>
      </c>
      <c r="S2" s="7" t="s">
        <v>9</v>
      </c>
      <c r="T2" s="7" t="s">
        <v>9</v>
      </c>
      <c r="U2" s="7" t="s">
        <v>9</v>
      </c>
    </row>
    <row r="3" spans="1:21" ht="10.5" customHeight="1" x14ac:dyDescent="0.2">
      <c r="A3" s="6">
        <v>3</v>
      </c>
      <c r="B3" s="7" t="s">
        <v>9</v>
      </c>
      <c r="C3" s="7" t="s">
        <v>9</v>
      </c>
      <c r="D3" s="7" t="s">
        <v>9</v>
      </c>
      <c r="E3" s="7" t="s">
        <v>9</v>
      </c>
      <c r="F3" s="7" t="s">
        <v>9</v>
      </c>
      <c r="G3" s="7" t="s">
        <v>9</v>
      </c>
      <c r="H3" s="7" t="s">
        <v>9</v>
      </c>
      <c r="I3" s="7" t="s">
        <v>9</v>
      </c>
      <c r="J3" s="7" t="s">
        <v>9</v>
      </c>
      <c r="K3" s="7" t="s">
        <v>9</v>
      </c>
      <c r="L3" s="7" t="s">
        <v>9</v>
      </c>
      <c r="M3" s="7" t="s">
        <v>9</v>
      </c>
      <c r="N3" s="7" t="s">
        <v>9</v>
      </c>
      <c r="O3" s="7" t="s">
        <v>9</v>
      </c>
      <c r="P3" s="7" t="s">
        <v>9</v>
      </c>
      <c r="Q3" s="7" t="s">
        <v>9</v>
      </c>
      <c r="R3" s="7" t="s">
        <v>9</v>
      </c>
      <c r="S3" s="7" t="s">
        <v>9</v>
      </c>
      <c r="T3" s="7" t="s">
        <v>9</v>
      </c>
      <c r="U3" s="8" t="s">
        <v>9</v>
      </c>
    </row>
  </sheetData>
  <conditionalFormatting sqref="A1:XFD1048576">
    <cfRule type="cellIs" dxfId="7" priority="2" operator="equal">
      <formula>"null"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B0525-EDFB-44CB-9009-6752AEDD7340}">
  <sheetPr codeName="Planilha4"/>
  <dimension ref="A1:S5"/>
  <sheetViews>
    <sheetView zoomScale="190" zoomScaleNormal="190" workbookViewId="0">
      <pane ySplit="1" topLeftCell="A2" activePane="bottomLeft" state="frozen"/>
      <selection pane="bottomLeft" activeCell="B9" sqref="B9"/>
    </sheetView>
  </sheetViews>
  <sheetFormatPr defaultColWidth="11.53515625" defaultRowHeight="7.95" customHeight="1" x14ac:dyDescent="0.4"/>
  <cols>
    <col min="1" max="1" width="1.69140625" bestFit="1" customWidth="1"/>
    <col min="2" max="2" width="7.53515625" bestFit="1" customWidth="1"/>
    <col min="3" max="3" width="7.15234375" bestFit="1" customWidth="1"/>
    <col min="4" max="4" width="6.3046875" bestFit="1" customWidth="1"/>
    <col min="5" max="5" width="6.53515625" bestFit="1" customWidth="1"/>
    <col min="6" max="6" width="4" bestFit="1" customWidth="1"/>
    <col min="7" max="7" width="62" bestFit="1" customWidth="1"/>
    <col min="8" max="8" width="4" bestFit="1" customWidth="1"/>
    <col min="9" max="9" width="15.84375" bestFit="1" customWidth="1"/>
    <col min="10" max="10" width="5.84375" bestFit="1" customWidth="1"/>
    <col min="11" max="11" width="3.3046875" bestFit="1" customWidth="1"/>
    <col min="12" max="12" width="6.15234375" bestFit="1" customWidth="1"/>
    <col min="13" max="13" width="17.3046875" bestFit="1" customWidth="1"/>
    <col min="14" max="14" width="4.84375" bestFit="1" customWidth="1"/>
    <col min="15" max="15" width="4.53515625" bestFit="1" customWidth="1"/>
    <col min="16" max="16" width="3.84375" bestFit="1" customWidth="1"/>
    <col min="17" max="17" width="14.15234375" bestFit="1" customWidth="1"/>
    <col min="18" max="18" width="5.69140625" bestFit="1" customWidth="1"/>
    <col min="19" max="19" width="17.3046875" bestFit="1" customWidth="1"/>
  </cols>
  <sheetData>
    <row r="1" spans="1:19" ht="14.7" customHeight="1" x14ac:dyDescent="0.4">
      <c r="A1" s="17" t="s">
        <v>10</v>
      </c>
      <c r="B1" s="18" t="s">
        <v>73</v>
      </c>
      <c r="C1" s="18" t="s">
        <v>74</v>
      </c>
      <c r="D1" s="19" t="s">
        <v>75</v>
      </c>
      <c r="E1" s="19" t="s">
        <v>78</v>
      </c>
      <c r="F1" s="19" t="s">
        <v>75</v>
      </c>
      <c r="G1" s="19" t="s">
        <v>78</v>
      </c>
      <c r="H1" s="48" t="s">
        <v>76</v>
      </c>
      <c r="I1" s="19" t="s">
        <v>78</v>
      </c>
      <c r="J1" s="19" t="s">
        <v>75</v>
      </c>
      <c r="K1" s="19" t="s">
        <v>78</v>
      </c>
      <c r="L1" s="19" t="s">
        <v>75</v>
      </c>
      <c r="M1" s="19" t="s">
        <v>78</v>
      </c>
      <c r="N1" s="19" t="s">
        <v>75</v>
      </c>
      <c r="O1" s="19" t="s">
        <v>78</v>
      </c>
      <c r="P1" s="19" t="s">
        <v>75</v>
      </c>
      <c r="Q1" s="19" t="s">
        <v>78</v>
      </c>
      <c r="R1" s="19" t="s">
        <v>75</v>
      </c>
      <c r="S1" s="19" t="s">
        <v>78</v>
      </c>
    </row>
    <row r="2" spans="1:19" ht="7.95" customHeight="1" x14ac:dyDescent="0.4">
      <c r="A2" s="20">
        <v>1</v>
      </c>
      <c r="B2" s="21" t="s">
        <v>94</v>
      </c>
      <c r="C2" s="42" t="s">
        <v>237</v>
      </c>
      <c r="D2" s="50" t="s">
        <v>9</v>
      </c>
      <c r="E2" s="51" t="s">
        <v>9</v>
      </c>
      <c r="F2" s="22" t="s">
        <v>77</v>
      </c>
      <c r="G2" s="23" t="s">
        <v>240</v>
      </c>
      <c r="H2" s="49" t="s">
        <v>9</v>
      </c>
      <c r="I2" s="24" t="s">
        <v>9</v>
      </c>
      <c r="J2" s="49" t="s">
        <v>9</v>
      </c>
      <c r="K2" s="24" t="s">
        <v>9</v>
      </c>
      <c r="L2" s="49" t="s">
        <v>9</v>
      </c>
      <c r="M2" s="24" t="s">
        <v>9</v>
      </c>
      <c r="N2" s="49" t="s">
        <v>9</v>
      </c>
      <c r="O2" s="24" t="s">
        <v>9</v>
      </c>
      <c r="P2" s="49" t="s">
        <v>9</v>
      </c>
      <c r="Q2" s="24" t="s">
        <v>9</v>
      </c>
      <c r="R2" s="49" t="s">
        <v>9</v>
      </c>
      <c r="S2" s="24" t="s">
        <v>9</v>
      </c>
    </row>
    <row r="3" spans="1:19" ht="7.95" customHeight="1" x14ac:dyDescent="0.4">
      <c r="A3" s="20">
        <v>2</v>
      </c>
      <c r="B3" s="21" t="s">
        <v>185</v>
      </c>
      <c r="C3" s="42" t="s">
        <v>158</v>
      </c>
      <c r="D3" s="50" t="s">
        <v>82</v>
      </c>
      <c r="E3" s="34" t="s">
        <v>94</v>
      </c>
      <c r="F3" s="22" t="s">
        <v>77</v>
      </c>
      <c r="G3" s="23" t="s">
        <v>241</v>
      </c>
      <c r="H3" s="49" t="s">
        <v>77</v>
      </c>
      <c r="I3" s="24" t="s">
        <v>189</v>
      </c>
      <c r="J3" s="49" t="s">
        <v>9</v>
      </c>
      <c r="K3" s="24" t="s">
        <v>9</v>
      </c>
      <c r="L3" s="49" t="s">
        <v>9</v>
      </c>
      <c r="M3" s="24" t="s">
        <v>9</v>
      </c>
      <c r="N3" s="49" t="s">
        <v>9</v>
      </c>
      <c r="O3" s="24" t="s">
        <v>9</v>
      </c>
      <c r="P3" s="49" t="s">
        <v>9</v>
      </c>
      <c r="Q3" s="24" t="s">
        <v>9</v>
      </c>
      <c r="R3" s="49" t="s">
        <v>9</v>
      </c>
      <c r="S3" s="24" t="s">
        <v>109</v>
      </c>
    </row>
    <row r="4" spans="1:19" ht="7.95" customHeight="1" x14ac:dyDescent="0.4">
      <c r="A4" s="20">
        <v>3</v>
      </c>
      <c r="B4" s="47" t="s">
        <v>186</v>
      </c>
      <c r="C4" s="42" t="s">
        <v>121</v>
      </c>
      <c r="D4" s="50" t="s">
        <v>100</v>
      </c>
      <c r="E4" s="34" t="s">
        <v>185</v>
      </c>
      <c r="F4" s="22" t="s">
        <v>77</v>
      </c>
      <c r="G4" s="23" t="s">
        <v>188</v>
      </c>
      <c r="H4" s="49" t="s">
        <v>9</v>
      </c>
      <c r="I4" s="24" t="s">
        <v>9</v>
      </c>
      <c r="J4" s="49" t="s">
        <v>234</v>
      </c>
      <c r="K4" s="24" t="s">
        <v>99</v>
      </c>
      <c r="L4" s="49" t="s">
        <v>235</v>
      </c>
      <c r="M4" s="24" t="s">
        <v>96</v>
      </c>
      <c r="N4" s="49" t="s">
        <v>95</v>
      </c>
      <c r="O4" s="24" t="s">
        <v>231</v>
      </c>
      <c r="P4" s="49" t="s">
        <v>97</v>
      </c>
      <c r="Q4" s="24" t="s">
        <v>107</v>
      </c>
      <c r="R4" s="49" t="s">
        <v>98</v>
      </c>
      <c r="S4" s="24" t="s">
        <v>110</v>
      </c>
    </row>
    <row r="5" spans="1:19" ht="7.95" customHeight="1" x14ac:dyDescent="0.4">
      <c r="A5" s="20">
        <v>4</v>
      </c>
      <c r="B5" s="47" t="s">
        <v>187</v>
      </c>
      <c r="C5" s="42" t="s">
        <v>121</v>
      </c>
      <c r="D5" s="50" t="s">
        <v>100</v>
      </c>
      <c r="E5" s="34" t="s">
        <v>185</v>
      </c>
      <c r="F5" s="22" t="s">
        <v>77</v>
      </c>
      <c r="G5" s="23" t="s">
        <v>188</v>
      </c>
      <c r="H5" s="49" t="s">
        <v>9</v>
      </c>
      <c r="I5" s="24" t="s">
        <v>9</v>
      </c>
      <c r="J5" s="49" t="s">
        <v>234</v>
      </c>
      <c r="K5" s="24" t="s">
        <v>99</v>
      </c>
      <c r="L5" s="49" t="s">
        <v>235</v>
      </c>
      <c r="M5" s="24" t="s">
        <v>96</v>
      </c>
      <c r="N5" s="49" t="s">
        <v>95</v>
      </c>
      <c r="O5" s="24" t="s">
        <v>231</v>
      </c>
      <c r="P5" s="49" t="s">
        <v>97</v>
      </c>
      <c r="Q5" s="24" t="s">
        <v>107</v>
      </c>
      <c r="R5" s="49" t="s">
        <v>98</v>
      </c>
      <c r="S5" s="24" t="s">
        <v>110</v>
      </c>
    </row>
  </sheetData>
  <phoneticPr fontId="1" type="noConversion"/>
  <conditionalFormatting sqref="C3">
    <cfRule type="duplicateValues" dxfId="6" priority="1495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5EC8-1387-4A67-960C-C64BD1326958}">
  <sheetPr codeName="Planilha5"/>
  <dimension ref="A1:G2"/>
  <sheetViews>
    <sheetView zoomScale="280" zoomScaleNormal="280" workbookViewId="0">
      <pane ySplit="1" topLeftCell="A2" activePane="bottomLeft" state="frozen"/>
      <selection activeCell="B1" sqref="B1"/>
      <selection pane="bottomLeft" activeCell="E7" sqref="E7"/>
    </sheetView>
  </sheetViews>
  <sheetFormatPr defaultColWidth="9.15234375" defaultRowHeight="8.25" customHeight="1" x14ac:dyDescent="0.4"/>
  <cols>
    <col min="1" max="1" width="2.15234375" style="26" customWidth="1"/>
    <col min="2" max="2" width="5.84375" style="25" bestFit="1" customWidth="1"/>
    <col min="3" max="3" width="11.3046875" style="25" bestFit="1" customWidth="1"/>
    <col min="4" max="7" width="10.84375" style="25" bestFit="1" customWidth="1"/>
  </cols>
  <sheetData>
    <row r="1" spans="1:7" ht="33" customHeight="1" x14ac:dyDescent="0.4">
      <c r="A1" s="31">
        <v>0</v>
      </c>
      <c r="B1" s="27" t="s">
        <v>79</v>
      </c>
      <c r="C1" s="28" t="s">
        <v>80</v>
      </c>
      <c r="D1" s="28" t="s">
        <v>81</v>
      </c>
      <c r="E1" s="28" t="s">
        <v>81</v>
      </c>
      <c r="F1" s="28" t="s">
        <v>81</v>
      </c>
      <c r="G1" s="28" t="s">
        <v>81</v>
      </c>
    </row>
    <row r="2" spans="1:7" ht="8.25" customHeight="1" x14ac:dyDescent="0.4">
      <c r="A2" s="32">
        <v>2</v>
      </c>
      <c r="B2" s="30" t="s">
        <v>9</v>
      </c>
      <c r="C2" s="30" t="s">
        <v>9</v>
      </c>
      <c r="D2" s="30" t="s">
        <v>9</v>
      </c>
      <c r="E2" s="30" t="s">
        <v>9</v>
      </c>
      <c r="F2" s="30" t="s">
        <v>9</v>
      </c>
      <c r="G2" s="30" t="s">
        <v>9</v>
      </c>
    </row>
  </sheetData>
  <sortState xmlns:xlrd2="http://schemas.microsoft.com/office/spreadsheetml/2017/richdata2" ref="A2:G2">
    <sortCondition ref="A1:A2"/>
  </sortState>
  <phoneticPr fontId="1" type="noConversion"/>
  <conditionalFormatting sqref="A1:G1 B3:G1048576">
    <cfRule type="containsText" dxfId="5" priority="5" operator="containsText" text="null">
      <formula>NOT(ISERROR(SEARCH("null",A1)))</formula>
    </cfRule>
  </conditionalFormatting>
  <conditionalFormatting sqref="B2">
    <cfRule type="duplicateValues" dxfId="4" priority="1449"/>
    <cfRule type="duplicateValues" dxfId="3" priority="1450"/>
  </conditionalFormatting>
  <conditionalFormatting sqref="B3:B1048576 A1:B1">
    <cfRule type="duplicateValues" dxfId="2" priority="6"/>
  </conditionalFormatting>
  <conditionalFormatting sqref="B3:B1048576 B1">
    <cfRule type="duplicateValues" dxfId="1" priority="4"/>
  </conditionalFormatting>
  <conditionalFormatting sqref="B2:G2">
    <cfRule type="containsText" dxfId="0" priority="2" operator="containsText" text="null">
      <formula>NOT(ISERROR(SEARCH("null",B2)))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Projeto</vt:lpstr>
      <vt:lpstr>Classes</vt:lpstr>
      <vt:lpstr>Planilha1</vt:lpstr>
      <vt:lpstr>Disjunt</vt:lpstr>
      <vt:lpstr>FatosIn</vt:lpstr>
      <vt:lpstr>Interop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Luis Menegotto</dc:creator>
  <dc:description/>
  <cp:lastModifiedBy>José Luis Menegotto</cp:lastModifiedBy>
  <cp:revision>26</cp:revision>
  <dcterms:created xsi:type="dcterms:W3CDTF">2024-12-02T13:09:25Z</dcterms:created>
  <dcterms:modified xsi:type="dcterms:W3CDTF">2026-09-06T00:22:11Z</dcterms:modified>
  <dc:language>pt-BR</dc:language>
</cp:coreProperties>
</file>