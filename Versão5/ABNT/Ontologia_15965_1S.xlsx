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EA7DC0F-E610-4753-AAB9-2022B23E5F0B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<sst xmlns="http://schemas.openxmlformats.org/spreadsheetml/2006/main" count="8030" uniqueCount="872">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</sst>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4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</cellXfs>
  <cellStyles count="3">
    <cellStyle name="Hiperlink" xfId="2" builtinId="8"/>
    <cellStyle name="Normal" xfId="0" builtinId="0"/>
    <cellStyle name="Normal 2" xfId="1" xr:uid="{75D7255F-4B16-4C61-A12B-6DBA4ACA1970}"/>
  </cellStyles>
  <dxfs count="2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abSelected="1"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46233.479224189818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846</v>
      </c>
      <c r="B27" s="57" t="s">
        <v>847</v>
      </c>
      <c r="C27" s="39" t="s">
        <v>689</v>
      </c>
    </row>
    <row r="28" spans="1:3" ht="8.25" customHeight="1" x14ac:dyDescent="0.3">
      <c r="A28" s="36" t="s">
        <v>848</v>
      </c>
      <c r="B28" s="58" t="s">
        <v>849</v>
      </c>
      <c r="C28" s="39" t="s">
        <v>689</v>
      </c>
    </row>
    <row r="29" spans="1:3" ht="8.25" customHeight="1" x14ac:dyDescent="0.3">
      <c r="A29" s="36" t="s">
        <v>850</v>
      </c>
      <c r="B29" s="58" t="s">
        <v>851</v>
      </c>
      <c r="C29" s="39" t="s">
        <v>689</v>
      </c>
    </row>
    <row r="30" spans="1:3" s="59" customFormat="1" ht="8.25" customHeight="1" x14ac:dyDescent="0.2">
      <c r="A30" s="36" t="s">
        <v>852</v>
      </c>
      <c r="B30" s="6" t="s">
        <v>853</v>
      </c>
      <c r="C30" s="39" t="s">
        <v>689</v>
      </c>
    </row>
    <row r="31" spans="1:3" s="59" customFormat="1" ht="8.25" customHeight="1" x14ac:dyDescent="0.2">
      <c r="A31" s="36" t="s">
        <v>854</v>
      </c>
      <c r="B31" s="6" t="s">
        <v>855</v>
      </c>
      <c r="C31" s="39" t="s">
        <v>689</v>
      </c>
    </row>
    <row r="32" spans="1:3" s="59" customFormat="1" ht="8.25" customHeight="1" x14ac:dyDescent="0.2">
      <c r="A32" s="36" t="s">
        <v>856</v>
      </c>
      <c r="B32" s="6" t="s">
        <v>857</v>
      </c>
      <c r="C32" s="39" t="s">
        <v>689</v>
      </c>
    </row>
    <row r="33" spans="1:3" s="59" customFormat="1" ht="8.25" customHeight="1" x14ac:dyDescent="0.2">
      <c r="A33" s="36" t="s">
        <v>858</v>
      </c>
      <c r="B33" s="60" t="s">
        <v>859</v>
      </c>
      <c r="C33" s="39" t="s">
        <v>689</v>
      </c>
    </row>
    <row r="34" spans="1:3" s="59" customFormat="1" ht="8.25" customHeight="1" x14ac:dyDescent="0.2">
      <c r="A34" s="36" t="s">
        <v>860</v>
      </c>
      <c r="B34" s="60" t="s">
        <v>861</v>
      </c>
      <c r="C34" s="39" t="s">
        <v>689</v>
      </c>
    </row>
    <row r="35" spans="1:3" s="59" customFormat="1" ht="8.25" customHeight="1" x14ac:dyDescent="0.2">
      <c r="A35" s="36" t="s">
        <v>862</v>
      </c>
      <c r="B35" s="6" t="s">
        <v>863</v>
      </c>
      <c r="C35" s="39" t="s">
        <v>689</v>
      </c>
    </row>
    <row r="36" spans="1:3" s="59" customFormat="1" ht="8.25" customHeight="1" x14ac:dyDescent="0.2">
      <c r="A36" s="36" t="s">
        <v>864</v>
      </c>
      <c r="B36" s="60" t="s">
        <v>865</v>
      </c>
      <c r="C36" s="39" t="s">
        <v>689</v>
      </c>
    </row>
    <row r="37" spans="1:3" s="59" customFormat="1" ht="8.25" customHeight="1" x14ac:dyDescent="0.2">
      <c r="A37" s="36" t="s">
        <v>866</v>
      </c>
      <c r="B37" s="6" t="s">
        <v>867</v>
      </c>
      <c r="C37" s="39" t="s">
        <v>689</v>
      </c>
    </row>
    <row r="38" spans="1:3" ht="10" customHeight="1" x14ac:dyDescent="0.3">
      <c r="A38" s="4" t="s">
        <v>868</v>
      </c>
      <c r="B38" s="61" t="s">
        <v>869</v>
      </c>
      <c r="C38" s="39" t="s">
        <v>689</v>
      </c>
    </row>
    <row r="39" spans="1:3" s="63" customFormat="1" ht="9.65" customHeight="1" x14ac:dyDescent="0.2">
      <c r="A39" s="36" t="s">
        <v>870</v>
      </c>
      <c r="B39" s="62" t="s">
        <v>871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250" zoomScaleNormal="250" workbookViewId="0">
      <pane ySplit="1" topLeftCell="A2" activePane="bottomLeft" state="frozen"/>
      <selection pane="bottomLeft" activeCell="C22" sqref="C22"/>
    </sheetView>
  </sheetViews>
  <sheetFormatPr defaultRowHeight="6.75" customHeight="1" x14ac:dyDescent="0.3"/>
  <cols>
    <col min="1" max="1" width="2" bestFit="1" customWidth="1"/>
    <col min="2" max="2" width="5.69921875" style="27" bestFit="1" customWidth="1"/>
    <col min="3" max="3" width="7" style="27" bestFit="1" customWidth="1"/>
    <col min="4" max="4" width="10.19921875" style="27" customWidth="1"/>
    <col min="5" max="5" width="9.69921875" style="27" customWidth="1"/>
    <col min="6" max="6" width="14.69921875" style="27" customWidth="1"/>
    <col min="7" max="11" width="8.5" style="27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style="27" bestFit="1" customWidth="1"/>
    <col min="19" max="19" width="7" bestFit="1" customWidth="1"/>
    <col min="20" max="20" width="8.796875" customWidth="1"/>
    <col min="21" max="21" width="8" customWidth="1"/>
    <col min="22" max="22" width="10" bestFit="1" customWidth="1"/>
    <col min="23" max="23" width="10.296875" style="27" customWidth="1"/>
    <col min="24" max="24" width="8.19921875" bestFit="1" customWidth="1"/>
    <col min="25" max="25" width="5.69921875" bestFit="1" customWidth="1"/>
    <col min="26" max="26" width="8.19921875" customWidth="1"/>
    <col min="27" max="27" width="79.296875" bestFit="1" customWidth="1"/>
  </cols>
  <sheetData>
    <row r="1" spans="1:27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678</v>
      </c>
      <c r="S1" s="17" t="s">
        <v>634</v>
      </c>
      <c r="T1" s="17" t="s">
        <v>654</v>
      </c>
      <c r="U1" s="17" t="s">
        <v>636</v>
      </c>
      <c r="V1" s="17" t="s">
        <v>635</v>
      </c>
      <c r="W1" s="56" t="s">
        <v>655</v>
      </c>
      <c r="X1" s="17" t="s">
        <v>682</v>
      </c>
      <c r="Y1" s="17" t="s">
        <v>683</v>
      </c>
      <c r="Z1" s="17" t="s">
        <v>656</v>
      </c>
      <c r="AA1" s="34" t="s">
        <v>684</v>
      </c>
    </row>
    <row r="2" spans="1:27" s="27" customFormat="1" ht="6.75" customHeight="1" x14ac:dyDescent="0.3">
      <c r="A2" s="46">
        <v>2</v>
      </c>
      <c r="B2" s="47" t="s">
        <v>795</v>
      </c>
      <c r="C2" s="47" t="s">
        <v>705</v>
      </c>
      <c r="D2" s="47" t="s">
        <v>707</v>
      </c>
      <c r="E2" s="48" t="s">
        <v>796</v>
      </c>
      <c r="F2" s="48" t="s">
        <v>706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50" t="str">
        <f t="shared" ref="L2:N17" si="0">CONCATENATE("", C2)</f>
        <v>Gestão</v>
      </c>
      <c r="M2" s="50" t="str">
        <f t="shared" si="0"/>
        <v>Informação</v>
      </c>
      <c r="N2" s="50" t="str">
        <f t="shared" ref="N2:O6" si="1">(SUBSTITUTE(SUBSTITUTE(CONCATENATE("",E2),"."," ")," De "," de "))</f>
        <v>Contêineres</v>
      </c>
      <c r="O2" s="50" t="str">
        <f t="shared" si="1"/>
        <v>Contêiner</v>
      </c>
      <c r="P2" s="35" t="s">
        <v>797</v>
      </c>
      <c r="Q2" s="35" t="s">
        <v>798</v>
      </c>
      <c r="R2" s="35" t="s">
        <v>321</v>
      </c>
      <c r="S2" s="35" t="str">
        <f t="shared" ref="S2:U6" si="2">SUBSTITUTE(C2, ".", " ")</f>
        <v>Gestão</v>
      </c>
      <c r="T2" s="35" t="str">
        <f t="shared" si="2"/>
        <v>Informação</v>
      </c>
      <c r="U2" s="35" t="str">
        <f t="shared" si="2"/>
        <v>Contêineres</v>
      </c>
      <c r="V2" s="35" t="s">
        <v>708</v>
      </c>
      <c r="W2" s="55" t="str">
        <f>CONCATENATE("Key-ABNT-",A2)</f>
        <v>Key-ABNT-2</v>
      </c>
      <c r="X2" s="35" t="s">
        <v>321</v>
      </c>
      <c r="Y2" s="35" t="s">
        <v>321</v>
      </c>
      <c r="Z2" s="35" t="s">
        <v>799</v>
      </c>
      <c r="AA2" s="35" t="str">
        <f t="shared" ref="AA2:AA6" si="3">_xlfn.TRANSLATE(P2,"pt","en")</f>
        <v>Defines an information container in accordance with the NBR 19650-1 standard. Project Definition.</v>
      </c>
    </row>
    <row r="3" spans="1:27" s="27" customFormat="1" ht="6.75" customHeight="1" x14ac:dyDescent="0.3">
      <c r="A3" s="46">
        <v>3</v>
      </c>
      <c r="B3" s="47" t="s">
        <v>795</v>
      </c>
      <c r="C3" s="47" t="s">
        <v>705</v>
      </c>
      <c r="D3" s="47" t="s">
        <v>707</v>
      </c>
      <c r="E3" s="48" t="s">
        <v>796</v>
      </c>
      <c r="F3" s="48" t="s">
        <v>709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50" t="str">
        <f t="shared" si="0"/>
        <v>Gestão</v>
      </c>
      <c r="M3" s="50" t="str">
        <f t="shared" si="0"/>
        <v>Informação</v>
      </c>
      <c r="N3" s="50" t="str">
        <f t="shared" si="1"/>
        <v>Contêineres</v>
      </c>
      <c r="O3" s="50" t="str">
        <f t="shared" si="1"/>
        <v>Requisito Espacial</v>
      </c>
      <c r="P3" s="35" t="s">
        <v>800</v>
      </c>
      <c r="Q3" s="35" t="s">
        <v>798</v>
      </c>
      <c r="R3" s="35" t="s">
        <v>321</v>
      </c>
      <c r="S3" s="35" t="str">
        <f t="shared" si="2"/>
        <v>Gestão</v>
      </c>
      <c r="T3" s="35" t="str">
        <f t="shared" si="2"/>
        <v>Informação</v>
      </c>
      <c r="U3" s="35" t="str">
        <f t="shared" si="2"/>
        <v>Contêineres</v>
      </c>
      <c r="V3" s="35" t="s">
        <v>708</v>
      </c>
      <c r="W3" s="55" t="str">
        <f t="shared" ref="W3:W32" si="4">CONCATENATE("Key-ABNT-",A3)</f>
        <v>Key-ABNT-3</v>
      </c>
      <c r="X3" s="35" t="s">
        <v>321</v>
      </c>
      <c r="Y3" s="35" t="s">
        <v>321</v>
      </c>
      <c r="Z3" s="35" t="s">
        <v>321</v>
      </c>
      <c r="AA3" s="35" t="str">
        <f t="shared" si="3"/>
        <v>Defines an information container in accordance with the NBR 19650-1 standard. Spatial Requirements for the Project.</v>
      </c>
    </row>
    <row r="4" spans="1:27" s="27" customFormat="1" ht="6.75" customHeight="1" x14ac:dyDescent="0.3">
      <c r="A4" s="46">
        <v>4</v>
      </c>
      <c r="B4" s="47" t="s">
        <v>795</v>
      </c>
      <c r="C4" s="47" t="s">
        <v>705</v>
      </c>
      <c r="D4" s="47" t="s">
        <v>707</v>
      </c>
      <c r="E4" s="48" t="s">
        <v>796</v>
      </c>
      <c r="F4" s="48" t="s">
        <v>710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50" t="str">
        <f t="shared" si="0"/>
        <v>Gestão</v>
      </c>
      <c r="M4" s="50" t="str">
        <f t="shared" si="0"/>
        <v>Informação</v>
      </c>
      <c r="N4" s="50" t="str">
        <f t="shared" si="1"/>
        <v>Contêineres</v>
      </c>
      <c r="O4" s="50" t="str">
        <f t="shared" si="1"/>
        <v>Requisito Mobiliário</v>
      </c>
      <c r="P4" s="35" t="s">
        <v>801</v>
      </c>
      <c r="Q4" s="35" t="s">
        <v>798</v>
      </c>
      <c r="R4" s="35" t="s">
        <v>321</v>
      </c>
      <c r="S4" s="35" t="str">
        <f t="shared" si="2"/>
        <v>Gestão</v>
      </c>
      <c r="T4" s="35" t="str">
        <f t="shared" si="2"/>
        <v>Informação</v>
      </c>
      <c r="U4" s="35" t="str">
        <f t="shared" si="2"/>
        <v>Contêineres</v>
      </c>
      <c r="V4" s="35" t="s">
        <v>708</v>
      </c>
      <c r="W4" s="55" t="str">
        <f t="shared" si="4"/>
        <v>Key-ABNT-4</v>
      </c>
      <c r="X4" s="35" t="s">
        <v>321</v>
      </c>
      <c r="Y4" s="35" t="s">
        <v>321</v>
      </c>
      <c r="Z4" s="35" t="s">
        <v>321</v>
      </c>
      <c r="AA4" s="35" t="str">
        <f t="shared" si="3"/>
        <v>Defines an information container in accordance with the NBR 19650-1 standard. Furniture Requirements for the Project.</v>
      </c>
    </row>
    <row r="5" spans="1:27" s="27" customFormat="1" ht="6.75" customHeight="1" x14ac:dyDescent="0.3">
      <c r="A5" s="46">
        <v>5</v>
      </c>
      <c r="B5" s="47" t="s">
        <v>795</v>
      </c>
      <c r="C5" s="47" t="s">
        <v>705</v>
      </c>
      <c r="D5" s="47" t="s">
        <v>707</v>
      </c>
      <c r="E5" s="48" t="s">
        <v>796</v>
      </c>
      <c r="F5" s="48" t="s">
        <v>711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50" t="str">
        <f t="shared" si="0"/>
        <v>Gestão</v>
      </c>
      <c r="M5" s="50" t="str">
        <f t="shared" si="0"/>
        <v>Informação</v>
      </c>
      <c r="N5" s="50" t="str">
        <f t="shared" si="1"/>
        <v>Contêineres</v>
      </c>
      <c r="O5" s="50" t="str">
        <f t="shared" si="1"/>
        <v>Requisito Equipamento</v>
      </c>
      <c r="P5" s="35" t="s">
        <v>802</v>
      </c>
      <c r="Q5" s="35" t="s">
        <v>798</v>
      </c>
      <c r="R5" s="35" t="s">
        <v>321</v>
      </c>
      <c r="S5" s="35" t="str">
        <f t="shared" si="2"/>
        <v>Gestão</v>
      </c>
      <c r="T5" s="35" t="str">
        <f t="shared" si="2"/>
        <v>Informação</v>
      </c>
      <c r="U5" s="35" t="str">
        <f t="shared" si="2"/>
        <v>Contêineres</v>
      </c>
      <c r="V5" s="35" t="s">
        <v>708</v>
      </c>
      <c r="W5" s="55" t="str">
        <f t="shared" si="4"/>
        <v>Key-ABNT-5</v>
      </c>
      <c r="X5" s="35" t="s">
        <v>321</v>
      </c>
      <c r="Y5" s="35" t="s">
        <v>321</v>
      </c>
      <c r="Z5" s="35" t="s">
        <v>321</v>
      </c>
      <c r="AA5" s="35" t="str">
        <f t="shared" si="3"/>
        <v>Defines an information container in accordance with the NBR 19650-1 standard. Equipment Requirements for the Project.</v>
      </c>
    </row>
    <row r="6" spans="1:27" s="27" customFormat="1" ht="6.75" customHeight="1" x14ac:dyDescent="0.3">
      <c r="A6" s="46">
        <v>6</v>
      </c>
      <c r="B6" s="47" t="s">
        <v>795</v>
      </c>
      <c r="C6" s="47" t="s">
        <v>705</v>
      </c>
      <c r="D6" s="47" t="s">
        <v>707</v>
      </c>
      <c r="E6" s="48" t="s">
        <v>796</v>
      </c>
      <c r="F6" s="48" t="s">
        <v>712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50" t="str">
        <f t="shared" si="0"/>
        <v>Gestão</v>
      </c>
      <c r="M6" s="50" t="str">
        <f t="shared" si="0"/>
        <v>Informação</v>
      </c>
      <c r="N6" s="50" t="str">
        <f t="shared" si="1"/>
        <v>Contêineres</v>
      </c>
      <c r="O6" s="50" t="str">
        <f t="shared" si="1"/>
        <v>Requisito Sistemas</v>
      </c>
      <c r="P6" s="35" t="s">
        <v>803</v>
      </c>
      <c r="Q6" s="35" t="s">
        <v>798</v>
      </c>
      <c r="R6" s="35" t="s">
        <v>321</v>
      </c>
      <c r="S6" s="35" t="str">
        <f t="shared" si="2"/>
        <v>Gestão</v>
      </c>
      <c r="T6" s="35" t="str">
        <f t="shared" si="2"/>
        <v>Informação</v>
      </c>
      <c r="U6" s="35" t="str">
        <f t="shared" si="2"/>
        <v>Contêineres</v>
      </c>
      <c r="V6" s="35" t="s">
        <v>708</v>
      </c>
      <c r="W6" s="55" t="str">
        <f t="shared" si="4"/>
        <v>Key-ABNT-6</v>
      </c>
      <c r="X6" s="35" t="s">
        <v>321</v>
      </c>
      <c r="Y6" s="35" t="s">
        <v>321</v>
      </c>
      <c r="Z6" s="35" t="s">
        <v>321</v>
      </c>
      <c r="AA6" s="35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6">
        <v>7</v>
      </c>
      <c r="B7" s="47" t="s">
        <v>795</v>
      </c>
      <c r="C7" s="26" t="s">
        <v>804</v>
      </c>
      <c r="D7" s="26" t="s">
        <v>656</v>
      </c>
      <c r="E7" s="26" t="s">
        <v>739</v>
      </c>
      <c r="F7" s="19" t="s">
        <v>740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50" t="str">
        <f t="shared" si="0"/>
        <v>Normativo</v>
      </c>
      <c r="M7" s="50" t="str">
        <f t="shared" si="0"/>
        <v>ABNT</v>
      </c>
      <c r="N7" s="50" t="str">
        <f t="shared" si="0"/>
        <v>NBR.Parte</v>
      </c>
      <c r="O7" s="50" t="str">
        <f t="shared" ref="O7:O19" si="5">F7</f>
        <v>NBR.0M</v>
      </c>
      <c r="P7" s="50" t="s">
        <v>806</v>
      </c>
      <c r="Q7" s="50" t="s">
        <v>807</v>
      </c>
      <c r="R7" s="35" t="s">
        <v>321</v>
      </c>
      <c r="S7" s="51" t="str">
        <f t="shared" ref="S7:U19" si="6">SUBSTITUTE(C7, "_", " ")</f>
        <v>Normativo</v>
      </c>
      <c r="T7" s="51" t="str">
        <f t="shared" si="6"/>
        <v>ABNT</v>
      </c>
      <c r="U7" s="50" t="str">
        <f t="shared" si="6"/>
        <v>NBR.Parte</v>
      </c>
      <c r="V7" s="35" t="s">
        <v>808</v>
      </c>
      <c r="W7" s="55" t="str">
        <f t="shared" si="4"/>
        <v>Key-ABNT-7</v>
      </c>
      <c r="X7" s="35" t="s">
        <v>321</v>
      </c>
      <c r="Y7" s="35" t="s">
        <v>321</v>
      </c>
      <c r="Z7" s="35" t="s">
        <v>713</v>
      </c>
      <c r="AA7" s="52" t="s">
        <v>809</v>
      </c>
    </row>
    <row r="8" spans="1:27" ht="6.75" customHeight="1" x14ac:dyDescent="0.3">
      <c r="A8" s="46">
        <v>8</v>
      </c>
      <c r="B8" s="47" t="s">
        <v>795</v>
      </c>
      <c r="C8" s="26" t="s">
        <v>804</v>
      </c>
      <c r="D8" s="26" t="s">
        <v>656</v>
      </c>
      <c r="E8" s="26" t="s">
        <v>739</v>
      </c>
      <c r="F8" s="19" t="s">
        <v>741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50" t="str">
        <f t="shared" si="0"/>
        <v>Normativo</v>
      </c>
      <c r="M8" s="50" t="str">
        <f t="shared" si="0"/>
        <v>ABNT</v>
      </c>
      <c r="N8" s="50" t="str">
        <f t="shared" si="0"/>
        <v>NBR.Parte</v>
      </c>
      <c r="O8" s="50" t="str">
        <f t="shared" si="5"/>
        <v>NBR.0P</v>
      </c>
      <c r="P8" s="50" t="s">
        <v>810</v>
      </c>
      <c r="Q8" s="50" t="s">
        <v>811</v>
      </c>
      <c r="R8" s="35" t="s">
        <v>321</v>
      </c>
      <c r="S8" s="51" t="str">
        <f t="shared" si="6"/>
        <v>Normativo</v>
      </c>
      <c r="T8" s="51" t="str">
        <f t="shared" si="6"/>
        <v>ABNT</v>
      </c>
      <c r="U8" s="50" t="str">
        <f t="shared" si="6"/>
        <v>NBR.Parte</v>
      </c>
      <c r="V8" s="35" t="s">
        <v>808</v>
      </c>
      <c r="W8" s="55" t="str">
        <f t="shared" si="4"/>
        <v>Key-ABNT-8</v>
      </c>
      <c r="X8" s="35" t="s">
        <v>321</v>
      </c>
      <c r="Y8" s="35" t="s">
        <v>321</v>
      </c>
      <c r="Z8" s="35" t="s">
        <v>714</v>
      </c>
      <c r="AA8" s="52" t="s">
        <v>812</v>
      </c>
    </row>
    <row r="9" spans="1:27" ht="6.75" customHeight="1" x14ac:dyDescent="0.3">
      <c r="A9" s="46">
        <v>9</v>
      </c>
      <c r="B9" s="47" t="s">
        <v>795</v>
      </c>
      <c r="C9" s="26" t="s">
        <v>804</v>
      </c>
      <c r="D9" s="26" t="s">
        <v>656</v>
      </c>
      <c r="E9" s="26" t="s">
        <v>739</v>
      </c>
      <c r="F9" s="19" t="s">
        <v>742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50" t="str">
        <f t="shared" si="0"/>
        <v>Normativo</v>
      </c>
      <c r="M9" s="50" t="str">
        <f t="shared" si="0"/>
        <v>ABNT</v>
      </c>
      <c r="N9" s="50" t="str">
        <f t="shared" si="0"/>
        <v>NBR.Parte</v>
      </c>
      <c r="O9" s="50" t="str">
        <f t="shared" si="5"/>
        <v>NBR.1D</v>
      </c>
      <c r="P9" s="50" t="s">
        <v>813</v>
      </c>
      <c r="Q9" s="50" t="s">
        <v>814</v>
      </c>
      <c r="R9" s="35" t="s">
        <v>321</v>
      </c>
      <c r="S9" s="51" t="str">
        <f t="shared" si="6"/>
        <v>Normativo</v>
      </c>
      <c r="T9" s="51" t="str">
        <f t="shared" si="6"/>
        <v>ABNT</v>
      </c>
      <c r="U9" s="50" t="str">
        <f t="shared" si="6"/>
        <v>NBR.Parte</v>
      </c>
      <c r="V9" s="35" t="s">
        <v>808</v>
      </c>
      <c r="W9" s="55" t="str">
        <f t="shared" si="4"/>
        <v>Key-ABNT-9</v>
      </c>
      <c r="X9" s="35" t="s">
        <v>321</v>
      </c>
      <c r="Y9" s="35" t="s">
        <v>321</v>
      </c>
      <c r="Z9" s="35" t="s">
        <v>715</v>
      </c>
      <c r="AA9" s="52" t="s">
        <v>815</v>
      </c>
    </row>
    <row r="10" spans="1:27" ht="6.75" customHeight="1" x14ac:dyDescent="0.3">
      <c r="A10" s="46">
        <v>10</v>
      </c>
      <c r="B10" s="47" t="s">
        <v>795</v>
      </c>
      <c r="C10" s="26" t="s">
        <v>804</v>
      </c>
      <c r="D10" s="26" t="s">
        <v>656</v>
      </c>
      <c r="E10" s="26" t="s">
        <v>739</v>
      </c>
      <c r="F10" s="19" t="s">
        <v>743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50" t="str">
        <f t="shared" si="0"/>
        <v>Normativo</v>
      </c>
      <c r="M10" s="50" t="str">
        <f t="shared" si="0"/>
        <v>ABNT</v>
      </c>
      <c r="N10" s="50" t="str">
        <f t="shared" si="0"/>
        <v>NBR.Parte</v>
      </c>
      <c r="O10" s="50" t="str">
        <f t="shared" si="5"/>
        <v>NBR.1F</v>
      </c>
      <c r="P10" s="50" t="s">
        <v>816</v>
      </c>
      <c r="Q10" s="50" t="s">
        <v>817</v>
      </c>
      <c r="R10" s="35" t="s">
        <v>321</v>
      </c>
      <c r="S10" s="51" t="str">
        <f t="shared" si="6"/>
        <v>Normativo</v>
      </c>
      <c r="T10" s="51" t="str">
        <f t="shared" si="6"/>
        <v>ABNT</v>
      </c>
      <c r="U10" s="50" t="str">
        <f t="shared" si="6"/>
        <v>NBR.Parte</v>
      </c>
      <c r="V10" s="35" t="s">
        <v>808</v>
      </c>
      <c r="W10" s="55" t="str">
        <f t="shared" si="4"/>
        <v>Key-ABNT-10</v>
      </c>
      <c r="X10" s="35" t="s">
        <v>321</v>
      </c>
      <c r="Y10" s="35" t="s">
        <v>321</v>
      </c>
      <c r="Z10" s="35" t="s">
        <v>716</v>
      </c>
      <c r="AA10" s="52" t="s">
        <v>818</v>
      </c>
    </row>
    <row r="11" spans="1:27" ht="6.75" customHeight="1" x14ac:dyDescent="0.3">
      <c r="A11" s="46">
        <v>11</v>
      </c>
      <c r="B11" s="47" t="s">
        <v>795</v>
      </c>
      <c r="C11" s="26" t="s">
        <v>804</v>
      </c>
      <c r="D11" s="26" t="s">
        <v>656</v>
      </c>
      <c r="E11" s="26" t="s">
        <v>739</v>
      </c>
      <c r="F11" s="19" t="s">
        <v>744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50" t="str">
        <f t="shared" si="0"/>
        <v>Normativo</v>
      </c>
      <c r="M11" s="50" t="str">
        <f t="shared" si="0"/>
        <v>ABNT</v>
      </c>
      <c r="N11" s="50" t="str">
        <f t="shared" si="0"/>
        <v>NBR.Parte</v>
      </c>
      <c r="O11" s="50" t="str">
        <f t="shared" si="5"/>
        <v>NBR.1S</v>
      </c>
      <c r="P11" s="50" t="s">
        <v>819</v>
      </c>
      <c r="Q11" s="50" t="s">
        <v>820</v>
      </c>
      <c r="R11" s="35" t="s">
        <v>321</v>
      </c>
      <c r="S11" s="51" t="str">
        <f t="shared" si="6"/>
        <v>Normativo</v>
      </c>
      <c r="T11" s="51" t="str">
        <f t="shared" si="6"/>
        <v>ABNT</v>
      </c>
      <c r="U11" s="50" t="str">
        <f t="shared" si="6"/>
        <v>NBR.Parte</v>
      </c>
      <c r="V11" s="35" t="s">
        <v>808</v>
      </c>
      <c r="W11" s="55" t="str">
        <f t="shared" si="4"/>
        <v>Key-ABNT-11</v>
      </c>
      <c r="X11" s="35" t="s">
        <v>321</v>
      </c>
      <c r="Y11" s="35" t="s">
        <v>321</v>
      </c>
      <c r="Z11" s="35" t="s">
        <v>624</v>
      </c>
      <c r="AA11" s="52" t="s">
        <v>821</v>
      </c>
    </row>
    <row r="12" spans="1:27" ht="6.75" customHeight="1" x14ac:dyDescent="0.3">
      <c r="A12" s="46">
        <v>12</v>
      </c>
      <c r="B12" s="47" t="s">
        <v>795</v>
      </c>
      <c r="C12" s="26" t="s">
        <v>804</v>
      </c>
      <c r="D12" s="26" t="s">
        <v>656</v>
      </c>
      <c r="E12" s="26" t="s">
        <v>739</v>
      </c>
      <c r="F12" s="19" t="s">
        <v>745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50" t="str">
        <f t="shared" si="0"/>
        <v>Normativo</v>
      </c>
      <c r="M12" s="50" t="str">
        <f t="shared" si="0"/>
        <v>ABNT</v>
      </c>
      <c r="N12" s="50" t="str">
        <f t="shared" si="0"/>
        <v>NBR.Parte</v>
      </c>
      <c r="O12" s="50" t="str">
        <f t="shared" si="5"/>
        <v>NBR.2C</v>
      </c>
      <c r="P12" s="50" t="s">
        <v>822</v>
      </c>
      <c r="Q12" s="50" t="s">
        <v>823</v>
      </c>
      <c r="R12" s="35" t="s">
        <v>321</v>
      </c>
      <c r="S12" s="51" t="str">
        <f t="shared" si="6"/>
        <v>Normativo</v>
      </c>
      <c r="T12" s="51" t="str">
        <f t="shared" si="6"/>
        <v>ABNT</v>
      </c>
      <c r="U12" s="50" t="str">
        <f t="shared" si="6"/>
        <v>NBR.Parte</v>
      </c>
      <c r="V12" s="35" t="s">
        <v>808</v>
      </c>
      <c r="W12" s="55" t="str">
        <f t="shared" si="4"/>
        <v>Key-ABNT-12</v>
      </c>
      <c r="X12" s="35" t="s">
        <v>321</v>
      </c>
      <c r="Y12" s="35" t="s">
        <v>321</v>
      </c>
      <c r="Z12" s="35" t="s">
        <v>717</v>
      </c>
      <c r="AA12" s="52" t="s">
        <v>824</v>
      </c>
    </row>
    <row r="13" spans="1:27" ht="6.75" customHeight="1" x14ac:dyDescent="0.3">
      <c r="A13" s="46">
        <v>13</v>
      </c>
      <c r="B13" s="47" t="s">
        <v>795</v>
      </c>
      <c r="C13" s="26" t="s">
        <v>804</v>
      </c>
      <c r="D13" s="26" t="s">
        <v>656</v>
      </c>
      <c r="E13" s="26" t="s">
        <v>739</v>
      </c>
      <c r="F13" s="19" t="s">
        <v>746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50" t="str">
        <f t="shared" si="0"/>
        <v>Normativo</v>
      </c>
      <c r="M13" s="50" t="str">
        <f t="shared" si="0"/>
        <v>ABNT</v>
      </c>
      <c r="N13" s="50" t="str">
        <f t="shared" si="0"/>
        <v>NBR.Parte</v>
      </c>
      <c r="O13" s="50" t="str">
        <f t="shared" si="5"/>
        <v>NBR.2N</v>
      </c>
      <c r="P13" s="50" t="s">
        <v>825</v>
      </c>
      <c r="Q13" s="50" t="s">
        <v>826</v>
      </c>
      <c r="R13" s="35" t="s">
        <v>321</v>
      </c>
      <c r="S13" s="51" t="str">
        <f t="shared" si="6"/>
        <v>Normativo</v>
      </c>
      <c r="T13" s="51" t="str">
        <f t="shared" si="6"/>
        <v>ABNT</v>
      </c>
      <c r="U13" s="50" t="str">
        <f t="shared" si="6"/>
        <v>NBR.Parte</v>
      </c>
      <c r="V13" s="35" t="s">
        <v>808</v>
      </c>
      <c r="W13" s="55" t="str">
        <f t="shared" si="4"/>
        <v>Key-ABNT-13</v>
      </c>
      <c r="X13" s="35" t="s">
        <v>321</v>
      </c>
      <c r="Y13" s="35" t="s">
        <v>321</v>
      </c>
      <c r="Z13" s="35" t="s">
        <v>718</v>
      </c>
      <c r="AA13" s="52" t="s">
        <v>827</v>
      </c>
    </row>
    <row r="14" spans="1:27" ht="6.75" customHeight="1" x14ac:dyDescent="0.3">
      <c r="A14" s="46">
        <v>14</v>
      </c>
      <c r="B14" s="47" t="s">
        <v>795</v>
      </c>
      <c r="C14" s="26" t="s">
        <v>804</v>
      </c>
      <c r="D14" s="26" t="s">
        <v>656</v>
      </c>
      <c r="E14" s="26" t="s">
        <v>739</v>
      </c>
      <c r="F14" s="19" t="s">
        <v>747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50" t="str">
        <f t="shared" si="0"/>
        <v>Normativo</v>
      </c>
      <c r="M14" s="50" t="str">
        <f t="shared" si="0"/>
        <v>ABNT</v>
      </c>
      <c r="N14" s="50" t="str">
        <f t="shared" si="0"/>
        <v>NBR.Parte</v>
      </c>
      <c r="O14" s="50" t="str">
        <f t="shared" si="5"/>
        <v>NBR.2Q</v>
      </c>
      <c r="P14" s="50" t="s">
        <v>828</v>
      </c>
      <c r="Q14" s="50" t="s">
        <v>829</v>
      </c>
      <c r="R14" s="35" t="s">
        <v>321</v>
      </c>
      <c r="S14" s="51" t="str">
        <f t="shared" si="6"/>
        <v>Normativo</v>
      </c>
      <c r="T14" s="51" t="str">
        <f t="shared" si="6"/>
        <v>ABNT</v>
      </c>
      <c r="U14" s="50" t="str">
        <f t="shared" si="6"/>
        <v>NBR.Parte</v>
      </c>
      <c r="V14" s="35" t="s">
        <v>808</v>
      </c>
      <c r="W14" s="55" t="str">
        <f t="shared" si="4"/>
        <v>Key-ABNT-14</v>
      </c>
      <c r="X14" s="35" t="s">
        <v>321</v>
      </c>
      <c r="Y14" s="35" t="s">
        <v>321</v>
      </c>
      <c r="Z14" s="35" t="s">
        <v>719</v>
      </c>
      <c r="AA14" s="52" t="s">
        <v>830</v>
      </c>
    </row>
    <row r="15" spans="1:27" ht="6.75" customHeight="1" x14ac:dyDescent="0.3">
      <c r="A15" s="46">
        <v>15</v>
      </c>
      <c r="B15" s="47" t="s">
        <v>795</v>
      </c>
      <c r="C15" s="26" t="s">
        <v>804</v>
      </c>
      <c r="D15" s="26" t="s">
        <v>656</v>
      </c>
      <c r="E15" s="26" t="s">
        <v>739</v>
      </c>
      <c r="F15" s="19" t="s">
        <v>748</v>
      </c>
      <c r="G15" s="29" t="s">
        <v>321</v>
      </c>
      <c r="H15" s="29" t="s">
        <v>321</v>
      </c>
      <c r="I15" s="29" t="s">
        <v>321</v>
      </c>
      <c r="J15" s="29" t="s">
        <v>321</v>
      </c>
      <c r="K15" s="29" t="s">
        <v>321</v>
      </c>
      <c r="L15" s="50" t="str">
        <f t="shared" si="0"/>
        <v>Normativo</v>
      </c>
      <c r="M15" s="50" t="str">
        <f t="shared" si="0"/>
        <v>ABNT</v>
      </c>
      <c r="N15" s="50" t="str">
        <f t="shared" si="0"/>
        <v>NBR.Parte</v>
      </c>
      <c r="O15" s="50" t="str">
        <f t="shared" si="5"/>
        <v>NBR.3E</v>
      </c>
      <c r="P15" s="50" t="s">
        <v>831</v>
      </c>
      <c r="Q15" s="50" t="s">
        <v>832</v>
      </c>
      <c r="R15" s="35" t="s">
        <v>321</v>
      </c>
      <c r="S15" s="51" t="str">
        <f t="shared" si="6"/>
        <v>Normativo</v>
      </c>
      <c r="T15" s="51" t="str">
        <f t="shared" si="6"/>
        <v>ABNT</v>
      </c>
      <c r="U15" s="50" t="str">
        <f t="shared" si="6"/>
        <v>NBR.Parte</v>
      </c>
      <c r="V15" s="35" t="s">
        <v>808</v>
      </c>
      <c r="W15" s="55" t="str">
        <f t="shared" si="4"/>
        <v>Key-ABNT-15</v>
      </c>
      <c r="X15" s="35" t="s">
        <v>321</v>
      </c>
      <c r="Y15" s="35" t="s">
        <v>321</v>
      </c>
      <c r="Z15" s="35" t="s">
        <v>720</v>
      </c>
      <c r="AA15" s="52" t="s">
        <v>833</v>
      </c>
    </row>
    <row r="16" spans="1:27" ht="6.75" customHeight="1" x14ac:dyDescent="0.3">
      <c r="A16" s="46">
        <v>16</v>
      </c>
      <c r="B16" s="47" t="s">
        <v>795</v>
      </c>
      <c r="C16" s="26" t="s">
        <v>804</v>
      </c>
      <c r="D16" s="26" t="s">
        <v>656</v>
      </c>
      <c r="E16" s="26" t="s">
        <v>739</v>
      </c>
      <c r="F16" s="19" t="s">
        <v>749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50" t="str">
        <f t="shared" si="0"/>
        <v>Normativo</v>
      </c>
      <c r="M16" s="50" t="str">
        <f t="shared" si="0"/>
        <v>ABNT</v>
      </c>
      <c r="N16" s="50" t="str">
        <f t="shared" si="0"/>
        <v>NBR.Parte</v>
      </c>
      <c r="O16" s="50" t="str">
        <f t="shared" si="5"/>
        <v>NBR.3R</v>
      </c>
      <c r="P16" s="50" t="s">
        <v>834</v>
      </c>
      <c r="Q16" s="50" t="s">
        <v>835</v>
      </c>
      <c r="R16" s="35" t="s">
        <v>321</v>
      </c>
      <c r="S16" s="51" t="str">
        <f t="shared" si="6"/>
        <v>Normativo</v>
      </c>
      <c r="T16" s="51" t="str">
        <f t="shared" si="6"/>
        <v>ABNT</v>
      </c>
      <c r="U16" s="50" t="str">
        <f t="shared" si="6"/>
        <v>NBR.Parte</v>
      </c>
      <c r="V16" s="35" t="s">
        <v>808</v>
      </c>
      <c r="W16" s="55" t="str">
        <f t="shared" si="4"/>
        <v>Key-ABNT-16</v>
      </c>
      <c r="X16" s="35" t="s">
        <v>321</v>
      </c>
      <c r="Y16" s="35" t="s">
        <v>321</v>
      </c>
      <c r="Z16" s="35" t="s">
        <v>721</v>
      </c>
      <c r="AA16" s="52" t="s">
        <v>836</v>
      </c>
    </row>
    <row r="17" spans="1:27" ht="6.75" customHeight="1" x14ac:dyDescent="0.3">
      <c r="A17" s="46">
        <v>17</v>
      </c>
      <c r="B17" s="47" t="s">
        <v>795</v>
      </c>
      <c r="C17" s="26" t="s">
        <v>804</v>
      </c>
      <c r="D17" s="26" t="s">
        <v>656</v>
      </c>
      <c r="E17" s="26" t="s">
        <v>739</v>
      </c>
      <c r="F17" s="19" t="s">
        <v>750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50" t="str">
        <f t="shared" si="0"/>
        <v>Normativo</v>
      </c>
      <c r="M17" s="50" t="str">
        <f t="shared" si="0"/>
        <v>ABNT</v>
      </c>
      <c r="N17" s="50" t="str">
        <f t="shared" si="0"/>
        <v>NBR.Parte</v>
      </c>
      <c r="O17" s="50" t="str">
        <f t="shared" si="5"/>
        <v>NBR.4A</v>
      </c>
      <c r="P17" s="50" t="s">
        <v>837</v>
      </c>
      <c r="Q17" s="50" t="s">
        <v>838</v>
      </c>
      <c r="R17" s="35" t="s">
        <v>321</v>
      </c>
      <c r="S17" s="51" t="str">
        <f t="shared" si="6"/>
        <v>Normativo</v>
      </c>
      <c r="T17" s="51" t="str">
        <f t="shared" si="6"/>
        <v>ABNT</v>
      </c>
      <c r="U17" s="50" t="str">
        <f t="shared" si="6"/>
        <v>NBR.Parte</v>
      </c>
      <c r="V17" s="35" t="s">
        <v>808</v>
      </c>
      <c r="W17" s="55" t="str">
        <f t="shared" si="4"/>
        <v>Key-ABNT-17</v>
      </c>
      <c r="X17" s="35" t="s">
        <v>321</v>
      </c>
      <c r="Y17" s="35" t="s">
        <v>321</v>
      </c>
      <c r="Z17" s="35" t="s">
        <v>722</v>
      </c>
      <c r="AA17" s="52" t="s">
        <v>839</v>
      </c>
    </row>
    <row r="18" spans="1:27" ht="6.75" customHeight="1" x14ac:dyDescent="0.3">
      <c r="A18" s="46">
        <v>18</v>
      </c>
      <c r="B18" s="47" t="s">
        <v>795</v>
      </c>
      <c r="C18" s="26" t="s">
        <v>804</v>
      </c>
      <c r="D18" s="26" t="s">
        <v>656</v>
      </c>
      <c r="E18" s="26" t="s">
        <v>739</v>
      </c>
      <c r="F18" s="19" t="s">
        <v>751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50" t="str">
        <f t="shared" ref="L18:N19" si="7">CONCATENATE("", C18)</f>
        <v>Normativo</v>
      </c>
      <c r="M18" s="50" t="str">
        <f t="shared" si="7"/>
        <v>ABNT</v>
      </c>
      <c r="N18" s="50" t="str">
        <f t="shared" si="7"/>
        <v>NBR.Parte</v>
      </c>
      <c r="O18" s="50" t="str">
        <f t="shared" si="5"/>
        <v>NBR.4U</v>
      </c>
      <c r="P18" s="50" t="s">
        <v>840</v>
      </c>
      <c r="Q18" s="50" t="s">
        <v>841</v>
      </c>
      <c r="R18" s="35" t="s">
        <v>321</v>
      </c>
      <c r="S18" s="51" t="str">
        <f t="shared" si="6"/>
        <v>Normativo</v>
      </c>
      <c r="T18" s="51" t="str">
        <f t="shared" si="6"/>
        <v>ABNT</v>
      </c>
      <c r="U18" s="50" t="str">
        <f t="shared" si="6"/>
        <v>NBR.Parte</v>
      </c>
      <c r="V18" s="35" t="s">
        <v>808</v>
      </c>
      <c r="W18" s="55" t="str">
        <f t="shared" si="4"/>
        <v>Key-ABNT-18</v>
      </c>
      <c r="X18" s="35" t="s">
        <v>321</v>
      </c>
      <c r="Y18" s="35" t="s">
        <v>321</v>
      </c>
      <c r="Z18" s="35" t="s">
        <v>723</v>
      </c>
      <c r="AA18" s="52" t="s">
        <v>842</v>
      </c>
    </row>
    <row r="19" spans="1:27" ht="6.75" customHeight="1" x14ac:dyDescent="0.3">
      <c r="A19" s="46">
        <v>19</v>
      </c>
      <c r="B19" s="47" t="s">
        <v>795</v>
      </c>
      <c r="C19" s="26" t="s">
        <v>804</v>
      </c>
      <c r="D19" s="26" t="s">
        <v>656</v>
      </c>
      <c r="E19" s="26" t="s">
        <v>739</v>
      </c>
      <c r="F19" s="19" t="s">
        <v>752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50" t="str">
        <f t="shared" si="7"/>
        <v>Normativo</v>
      </c>
      <c r="M19" s="50" t="str">
        <f t="shared" si="7"/>
        <v>ABNT</v>
      </c>
      <c r="N19" s="50" t="str">
        <f t="shared" si="7"/>
        <v>NBR.Parte</v>
      </c>
      <c r="O19" s="50" t="str">
        <f t="shared" si="5"/>
        <v>NBR.5I</v>
      </c>
      <c r="P19" s="50" t="s">
        <v>843</v>
      </c>
      <c r="Q19" s="50" t="s">
        <v>844</v>
      </c>
      <c r="R19" s="35" t="s">
        <v>321</v>
      </c>
      <c r="S19" s="51" t="str">
        <f t="shared" si="6"/>
        <v>Normativo</v>
      </c>
      <c r="T19" s="51" t="str">
        <f t="shared" si="6"/>
        <v>ABNT</v>
      </c>
      <c r="U19" s="50" t="str">
        <f t="shared" si="6"/>
        <v>NBR.Parte</v>
      </c>
      <c r="V19" s="35" t="s">
        <v>808</v>
      </c>
      <c r="W19" s="55" t="str">
        <f t="shared" si="4"/>
        <v>Key-ABNT-19</v>
      </c>
      <c r="X19" s="35" t="s">
        <v>321</v>
      </c>
      <c r="Y19" s="35" t="s">
        <v>321</v>
      </c>
      <c r="Z19" s="35" t="s">
        <v>724</v>
      </c>
      <c r="AA19" s="52" t="s">
        <v>845</v>
      </c>
    </row>
    <row r="20" spans="1:27" ht="6.75" customHeight="1" x14ac:dyDescent="0.3">
      <c r="A20" s="46">
        <v>20</v>
      </c>
      <c r="B20" s="47" t="s">
        <v>795</v>
      </c>
      <c r="C20" s="26" t="s">
        <v>804</v>
      </c>
      <c r="D20" s="26" t="s">
        <v>805</v>
      </c>
      <c r="E20" s="26" t="s">
        <v>792</v>
      </c>
      <c r="F20" s="12" t="s">
        <v>779</v>
      </c>
      <c r="G20" s="49" t="s">
        <v>321</v>
      </c>
      <c r="H20" s="49" t="s">
        <v>321</v>
      </c>
      <c r="I20" s="49" t="s">
        <v>321</v>
      </c>
      <c r="J20" s="49" t="s">
        <v>321</v>
      </c>
      <c r="K20" s="49" t="s">
        <v>321</v>
      </c>
      <c r="L20" s="50" t="str">
        <f t="shared" ref="L20:N32" si="8">CONCATENATE("", C20)</f>
        <v>Normativo</v>
      </c>
      <c r="M20" s="50" t="str">
        <f t="shared" si="8"/>
        <v>NBR.Temática</v>
      </c>
      <c r="N20" s="50" t="str">
        <f t="shared" si="8"/>
        <v>NBR.Serviços</v>
      </c>
      <c r="O20" s="50" t="str">
        <f t="shared" ref="O20:O32" si="9">F20</f>
        <v>NBR.S.Transacional</v>
      </c>
      <c r="P20" s="35" t="s">
        <v>755</v>
      </c>
      <c r="Q20" s="35" t="str">
        <f>_xlfn.TRANSLATE(P20,"pt","es")</f>
        <v>Servicios transaccionales</v>
      </c>
      <c r="R20" s="35" t="s">
        <v>321</v>
      </c>
      <c r="S20" s="51" t="str">
        <f t="shared" ref="S20:U22" si="10">SUBSTITUTE(C20, "_", " ")</f>
        <v>Normativo</v>
      </c>
      <c r="T20" s="51" t="str">
        <f t="shared" si="10"/>
        <v>NBR.Temática</v>
      </c>
      <c r="U20" s="50" t="str">
        <f t="shared" si="10"/>
        <v>NBR.Serviços</v>
      </c>
      <c r="V20" s="35" t="s">
        <v>708</v>
      </c>
      <c r="W20" s="55" t="str">
        <f t="shared" si="4"/>
        <v>Key-ABNT-20</v>
      </c>
      <c r="X20" s="35" t="s">
        <v>321</v>
      </c>
      <c r="Y20" s="35" t="s">
        <v>321</v>
      </c>
      <c r="Z20" s="51" t="s">
        <v>753</v>
      </c>
      <c r="AA20" s="35" t="str">
        <f>_xlfn.TRANSLATE(P20,"pt","en")</f>
        <v>Transactional services</v>
      </c>
    </row>
    <row r="21" spans="1:27" ht="6.75" customHeight="1" x14ac:dyDescent="0.3">
      <c r="A21" s="46">
        <v>21</v>
      </c>
      <c r="B21" s="47" t="s">
        <v>795</v>
      </c>
      <c r="C21" s="26" t="s">
        <v>804</v>
      </c>
      <c r="D21" s="26" t="s">
        <v>805</v>
      </c>
      <c r="E21" s="26" t="s">
        <v>792</v>
      </c>
      <c r="F21" s="12" t="s">
        <v>780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50" t="str">
        <f t="shared" si="8"/>
        <v>Normativo</v>
      </c>
      <c r="M21" s="50" t="str">
        <f t="shared" si="8"/>
        <v>NBR.Temática</v>
      </c>
      <c r="N21" s="50" t="str">
        <f t="shared" si="8"/>
        <v>NBR.Serviços</v>
      </c>
      <c r="O21" s="50" t="str">
        <f t="shared" si="9"/>
        <v>NBR.S.Administrativo</v>
      </c>
      <c r="P21" s="50" t="s">
        <v>756</v>
      </c>
      <c r="Q21" s="35" t="str">
        <f t="shared" ref="Q21:Q32" si="11">_xlfn.TRANSLATE(P21,"pt","es")</f>
        <v>Servicios administrativos</v>
      </c>
      <c r="R21" s="35" t="s">
        <v>321</v>
      </c>
      <c r="S21" s="51" t="str">
        <f t="shared" si="10"/>
        <v>Normativo</v>
      </c>
      <c r="T21" s="51" t="str">
        <f t="shared" si="10"/>
        <v>NBR.Temática</v>
      </c>
      <c r="U21" s="50" t="str">
        <f t="shared" si="10"/>
        <v>NBR.Serviços</v>
      </c>
      <c r="V21" s="35" t="s">
        <v>708</v>
      </c>
      <c r="W21" s="55" t="str">
        <f t="shared" si="4"/>
        <v>Key-ABNT-21</v>
      </c>
      <c r="X21" s="35" t="s">
        <v>321</v>
      </c>
      <c r="Y21" s="35" t="s">
        <v>321</v>
      </c>
      <c r="Z21" s="51" t="s">
        <v>754</v>
      </c>
      <c r="AA21" s="35" t="str">
        <f t="shared" ref="AA21:AA32" si="12">_xlfn.TRANSLATE(P21,"pt","en")</f>
        <v>Administrative services</v>
      </c>
    </row>
    <row r="22" spans="1:27" ht="6.75" customHeight="1" x14ac:dyDescent="0.3">
      <c r="A22" s="46">
        <v>22</v>
      </c>
      <c r="B22" s="47" t="s">
        <v>795</v>
      </c>
      <c r="C22" s="26" t="s">
        <v>804</v>
      </c>
      <c r="D22" s="26" t="s">
        <v>805</v>
      </c>
      <c r="E22" s="26" t="s">
        <v>792</v>
      </c>
      <c r="F22" s="12" t="s">
        <v>781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50" t="str">
        <f t="shared" si="8"/>
        <v>Normativo</v>
      </c>
      <c r="M22" s="50" t="str">
        <f t="shared" si="8"/>
        <v>NBR.Temática</v>
      </c>
      <c r="N22" s="50" t="str">
        <f t="shared" si="8"/>
        <v>NBR.Serviços</v>
      </c>
      <c r="O22" s="50" t="str">
        <f t="shared" si="9"/>
        <v>NBR.S.Comunicação</v>
      </c>
      <c r="P22" s="50" t="s">
        <v>757</v>
      </c>
      <c r="Q22" s="35" t="str">
        <f t="shared" si="11"/>
        <v>Servicios de comunicación</v>
      </c>
      <c r="R22" s="35" t="s">
        <v>321</v>
      </c>
      <c r="S22" s="51" t="str">
        <f t="shared" si="10"/>
        <v>Normativo</v>
      </c>
      <c r="T22" s="51" t="str">
        <f t="shared" si="10"/>
        <v>NBR.Temática</v>
      </c>
      <c r="U22" s="50" t="str">
        <f t="shared" si="10"/>
        <v>NBR.Serviços</v>
      </c>
      <c r="V22" s="35" t="s">
        <v>708</v>
      </c>
      <c r="W22" s="55" t="str">
        <f t="shared" si="4"/>
        <v>Key-ABNT-22</v>
      </c>
      <c r="X22" s="35" t="s">
        <v>321</v>
      </c>
      <c r="Y22" s="35" t="s">
        <v>321</v>
      </c>
      <c r="Z22" s="51" t="s">
        <v>768</v>
      </c>
      <c r="AA22" s="35" t="str">
        <f t="shared" si="12"/>
        <v>Communication Services</v>
      </c>
    </row>
    <row r="23" spans="1:27" ht="6.75" customHeight="1" x14ac:dyDescent="0.3">
      <c r="A23" s="46">
        <v>23</v>
      </c>
      <c r="B23" s="47" t="s">
        <v>795</v>
      </c>
      <c r="C23" s="26" t="s">
        <v>804</v>
      </c>
      <c r="D23" s="26" t="s">
        <v>805</v>
      </c>
      <c r="E23" s="26" t="s">
        <v>792</v>
      </c>
      <c r="F23" s="12" t="s">
        <v>782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50" t="str">
        <f t="shared" si="8"/>
        <v>Normativo</v>
      </c>
      <c r="M23" s="50" t="str">
        <f t="shared" si="8"/>
        <v>NBR.Temática</v>
      </c>
      <c r="N23" s="50" t="str">
        <f t="shared" si="8"/>
        <v>NBR.Serviços</v>
      </c>
      <c r="O23" s="50" t="str">
        <f t="shared" si="9"/>
        <v>NBR.S.Conceituação</v>
      </c>
      <c r="P23" s="50" t="s">
        <v>758</v>
      </c>
      <c r="Q23" s="35" t="str">
        <f t="shared" si="11"/>
        <v>Servicios de Conceptualización</v>
      </c>
      <c r="R23" s="35" t="s">
        <v>321</v>
      </c>
      <c r="S23" s="51" t="str">
        <f t="shared" ref="S23:U32" si="13">SUBSTITUTE(C23, "_", " ")</f>
        <v>Normativo</v>
      </c>
      <c r="T23" s="51" t="str">
        <f t="shared" si="13"/>
        <v>NBR.Temática</v>
      </c>
      <c r="U23" s="50" t="str">
        <f t="shared" si="13"/>
        <v>NBR.Serviços</v>
      </c>
      <c r="V23" s="35" t="s">
        <v>708</v>
      </c>
      <c r="W23" s="55" t="str">
        <f t="shared" si="4"/>
        <v>Key-ABNT-23</v>
      </c>
      <c r="X23" s="35" t="s">
        <v>321</v>
      </c>
      <c r="Y23" s="35" t="s">
        <v>321</v>
      </c>
      <c r="Z23" s="51" t="s">
        <v>769</v>
      </c>
      <c r="AA23" s="35" t="str">
        <f t="shared" si="12"/>
        <v>Conceptualization Services</v>
      </c>
    </row>
    <row r="24" spans="1:27" ht="6.75" customHeight="1" x14ac:dyDescent="0.3">
      <c r="A24" s="46">
        <v>24</v>
      </c>
      <c r="B24" s="47" t="s">
        <v>795</v>
      </c>
      <c r="C24" s="26" t="s">
        <v>804</v>
      </c>
      <c r="D24" s="26" t="s">
        <v>805</v>
      </c>
      <c r="E24" s="26" t="s">
        <v>792</v>
      </c>
      <c r="F24" s="12" t="s">
        <v>783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50" t="str">
        <f t="shared" si="8"/>
        <v>Normativo</v>
      </c>
      <c r="M24" s="50" t="str">
        <f t="shared" si="8"/>
        <v>NBR.Temática</v>
      </c>
      <c r="N24" s="50" t="str">
        <f t="shared" si="8"/>
        <v>NBR.Serviços</v>
      </c>
      <c r="O24" s="50" t="str">
        <f t="shared" si="9"/>
        <v>NBR.S.Informação</v>
      </c>
      <c r="P24" s="50" t="s">
        <v>759</v>
      </c>
      <c r="Q24" s="35" t="str">
        <f t="shared" si="11"/>
        <v>Servicios de información</v>
      </c>
      <c r="R24" s="35" t="s">
        <v>321</v>
      </c>
      <c r="S24" s="51" t="str">
        <f t="shared" si="13"/>
        <v>Normativo</v>
      </c>
      <c r="T24" s="51" t="str">
        <f t="shared" si="13"/>
        <v>NBR.Temática</v>
      </c>
      <c r="U24" s="50" t="str">
        <f t="shared" si="13"/>
        <v>NBR.Serviços</v>
      </c>
      <c r="V24" s="35" t="s">
        <v>708</v>
      </c>
      <c r="W24" s="55" t="str">
        <f t="shared" si="4"/>
        <v>Key-ABNT-24</v>
      </c>
      <c r="X24" s="35" t="s">
        <v>321</v>
      </c>
      <c r="Y24" s="35" t="s">
        <v>321</v>
      </c>
      <c r="Z24" s="51" t="s">
        <v>772</v>
      </c>
      <c r="AA24" s="35" t="str">
        <f t="shared" si="12"/>
        <v>Information services</v>
      </c>
    </row>
    <row r="25" spans="1:27" ht="6.75" customHeight="1" x14ac:dyDescent="0.3">
      <c r="A25" s="46">
        <v>25</v>
      </c>
      <c r="B25" s="47" t="s">
        <v>795</v>
      </c>
      <c r="C25" s="26" t="s">
        <v>804</v>
      </c>
      <c r="D25" s="26" t="s">
        <v>805</v>
      </c>
      <c r="E25" s="26" t="s">
        <v>792</v>
      </c>
      <c r="F25" s="12" t="s">
        <v>784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50" t="str">
        <f t="shared" si="8"/>
        <v>Normativo</v>
      </c>
      <c r="M25" s="50" t="str">
        <f t="shared" si="8"/>
        <v>NBR.Temática</v>
      </c>
      <c r="N25" s="50" t="str">
        <f t="shared" si="8"/>
        <v>NBR.Serviços</v>
      </c>
      <c r="O25" s="50" t="str">
        <f t="shared" si="9"/>
        <v>NBR.S.Organização</v>
      </c>
      <c r="P25" s="50" t="s">
        <v>760</v>
      </c>
      <c r="Q25" s="35" t="str">
        <f t="shared" si="11"/>
        <v>Servicios de organización</v>
      </c>
      <c r="R25" s="35" t="s">
        <v>321</v>
      </c>
      <c r="S25" s="51" t="str">
        <f t="shared" si="13"/>
        <v>Normativo</v>
      </c>
      <c r="T25" s="51" t="str">
        <f t="shared" si="13"/>
        <v>NBR.Temática</v>
      </c>
      <c r="U25" s="50" t="str">
        <f t="shared" si="13"/>
        <v>NBR.Serviços</v>
      </c>
      <c r="V25" s="35" t="s">
        <v>708</v>
      </c>
      <c r="W25" s="55" t="str">
        <f t="shared" si="4"/>
        <v>Key-ABNT-25</v>
      </c>
      <c r="X25" s="35" t="s">
        <v>321</v>
      </c>
      <c r="Y25" s="35" t="s">
        <v>321</v>
      </c>
      <c r="Z25" s="51" t="s">
        <v>773</v>
      </c>
      <c r="AA25" s="35" t="str">
        <f t="shared" si="12"/>
        <v>Organization Services</v>
      </c>
    </row>
    <row r="26" spans="1:27" ht="6.75" customHeight="1" x14ac:dyDescent="0.3">
      <c r="A26" s="46">
        <v>26</v>
      </c>
      <c r="B26" s="47" t="s">
        <v>795</v>
      </c>
      <c r="C26" s="26" t="s">
        <v>804</v>
      </c>
      <c r="D26" s="26" t="s">
        <v>805</v>
      </c>
      <c r="E26" s="26" t="s">
        <v>792</v>
      </c>
      <c r="F26" s="12" t="s">
        <v>785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50" t="str">
        <f t="shared" si="8"/>
        <v>Normativo</v>
      </c>
      <c r="M26" s="50" t="str">
        <f t="shared" si="8"/>
        <v>NBR.Temática</v>
      </c>
      <c r="N26" s="50" t="str">
        <f t="shared" si="8"/>
        <v>NBR.Serviços</v>
      </c>
      <c r="O26" s="50" t="str">
        <f t="shared" si="9"/>
        <v>NBR.S.Projetual</v>
      </c>
      <c r="P26" s="50" t="s">
        <v>761</v>
      </c>
      <c r="Q26" s="35" t="str">
        <f t="shared" si="11"/>
        <v>Servicios de Desarrollo de Proyectos</v>
      </c>
      <c r="R26" s="35" t="s">
        <v>321</v>
      </c>
      <c r="S26" s="51" t="str">
        <f t="shared" si="13"/>
        <v>Normativo</v>
      </c>
      <c r="T26" s="51" t="str">
        <f t="shared" si="13"/>
        <v>NBR.Temática</v>
      </c>
      <c r="U26" s="50" t="str">
        <f t="shared" si="13"/>
        <v>NBR.Serviços</v>
      </c>
      <c r="V26" s="35" t="s">
        <v>708</v>
      </c>
      <c r="W26" s="55" t="str">
        <f t="shared" si="4"/>
        <v>Key-ABNT-26</v>
      </c>
      <c r="X26" s="35" t="s">
        <v>321</v>
      </c>
      <c r="Y26" s="35" t="s">
        <v>321</v>
      </c>
      <c r="Z26" s="51" t="s">
        <v>770</v>
      </c>
      <c r="AA26" s="35" t="str">
        <f t="shared" si="12"/>
        <v>Project Development Services</v>
      </c>
    </row>
    <row r="27" spans="1:27" ht="6.75" customHeight="1" x14ac:dyDescent="0.3">
      <c r="A27" s="46">
        <v>27</v>
      </c>
      <c r="B27" s="47" t="s">
        <v>795</v>
      </c>
      <c r="C27" s="26" t="s">
        <v>804</v>
      </c>
      <c r="D27" s="26" t="s">
        <v>805</v>
      </c>
      <c r="E27" s="26" t="s">
        <v>792</v>
      </c>
      <c r="F27" s="12" t="s">
        <v>786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50" t="str">
        <f t="shared" si="8"/>
        <v>Normativo</v>
      </c>
      <c r="M27" s="50" t="str">
        <f t="shared" si="8"/>
        <v>NBR.Temática</v>
      </c>
      <c r="N27" s="50" t="str">
        <f t="shared" si="8"/>
        <v>NBR.Serviços</v>
      </c>
      <c r="O27" s="50" t="str">
        <f t="shared" si="9"/>
        <v>NBR.S.Documental</v>
      </c>
      <c r="P27" s="50" t="s">
        <v>762</v>
      </c>
      <c r="Q27" s="35" t="str">
        <f t="shared" si="11"/>
        <v>Servicios de Documentos</v>
      </c>
      <c r="R27" s="35" t="s">
        <v>321</v>
      </c>
      <c r="S27" s="51" t="str">
        <f t="shared" si="13"/>
        <v>Normativo</v>
      </c>
      <c r="T27" s="51" t="str">
        <f t="shared" si="13"/>
        <v>NBR.Temática</v>
      </c>
      <c r="U27" s="50" t="str">
        <f t="shared" si="13"/>
        <v>NBR.Serviços</v>
      </c>
      <c r="V27" s="35" t="s">
        <v>708</v>
      </c>
      <c r="W27" s="55" t="str">
        <f t="shared" si="4"/>
        <v>Key-ABNT-27</v>
      </c>
      <c r="X27" s="35" t="s">
        <v>321</v>
      </c>
      <c r="Y27" s="35" t="s">
        <v>321</v>
      </c>
      <c r="Z27" s="51" t="s">
        <v>771</v>
      </c>
      <c r="AA27" s="35" t="str">
        <f t="shared" si="12"/>
        <v>Document Services</v>
      </c>
    </row>
    <row r="28" spans="1:27" ht="6.75" customHeight="1" x14ac:dyDescent="0.3">
      <c r="A28" s="46">
        <v>28</v>
      </c>
      <c r="B28" s="47" t="s">
        <v>795</v>
      </c>
      <c r="C28" s="26" t="s">
        <v>804</v>
      </c>
      <c r="D28" s="26" t="s">
        <v>805</v>
      </c>
      <c r="E28" s="26" t="s">
        <v>792</v>
      </c>
      <c r="F28" s="12" t="s">
        <v>787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50" t="str">
        <f t="shared" si="8"/>
        <v>Normativo</v>
      </c>
      <c r="M28" s="50" t="str">
        <f t="shared" si="8"/>
        <v>NBR.Temática</v>
      </c>
      <c r="N28" s="50" t="str">
        <f t="shared" si="8"/>
        <v>NBR.Serviços</v>
      </c>
      <c r="O28" s="50" t="str">
        <f t="shared" si="9"/>
        <v>NBR.S.Implementação</v>
      </c>
      <c r="P28" s="50" t="s">
        <v>763</v>
      </c>
      <c r="Q28" s="35" t="str">
        <f t="shared" si="11"/>
        <v>Servicios de Implementación</v>
      </c>
      <c r="R28" s="35" t="s">
        <v>321</v>
      </c>
      <c r="S28" s="51" t="str">
        <f t="shared" si="13"/>
        <v>Normativo</v>
      </c>
      <c r="T28" s="51" t="str">
        <f t="shared" si="13"/>
        <v>NBR.Temática</v>
      </c>
      <c r="U28" s="50" t="str">
        <f t="shared" si="13"/>
        <v>NBR.Serviços</v>
      </c>
      <c r="V28" s="35" t="s">
        <v>708</v>
      </c>
      <c r="W28" s="55" t="str">
        <f t="shared" si="4"/>
        <v>Key-ABNT-28</v>
      </c>
      <c r="X28" s="35" t="s">
        <v>321</v>
      </c>
      <c r="Y28" s="35" t="s">
        <v>321</v>
      </c>
      <c r="Z28" s="51" t="s">
        <v>774</v>
      </c>
      <c r="AA28" s="35" t="str">
        <f t="shared" si="12"/>
        <v>Implementation Services</v>
      </c>
    </row>
    <row r="29" spans="1:27" ht="6.75" customHeight="1" x14ac:dyDescent="0.3">
      <c r="A29" s="46">
        <v>29</v>
      </c>
      <c r="B29" s="47" t="s">
        <v>795</v>
      </c>
      <c r="C29" s="26" t="s">
        <v>804</v>
      </c>
      <c r="D29" s="26" t="s">
        <v>805</v>
      </c>
      <c r="E29" s="26" t="s">
        <v>792</v>
      </c>
      <c r="F29" s="12" t="s">
        <v>788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50" t="str">
        <f t="shared" si="8"/>
        <v>Normativo</v>
      </c>
      <c r="M29" s="50" t="str">
        <f t="shared" si="8"/>
        <v>NBR.Temática</v>
      </c>
      <c r="N29" s="50" t="str">
        <f t="shared" si="8"/>
        <v>NBR.Serviços</v>
      </c>
      <c r="O29" s="50" t="str">
        <f t="shared" si="9"/>
        <v>NBR.S.Operação.Predial</v>
      </c>
      <c r="P29" s="50" t="s">
        <v>764</v>
      </c>
      <c r="Q29" s="35" t="str">
        <f t="shared" si="11"/>
        <v>Servicios de Operación de Edificios</v>
      </c>
      <c r="R29" s="35" t="s">
        <v>321</v>
      </c>
      <c r="S29" s="51" t="str">
        <f t="shared" si="13"/>
        <v>Normativo</v>
      </c>
      <c r="T29" s="51" t="str">
        <f t="shared" si="13"/>
        <v>NBR.Temática</v>
      </c>
      <c r="U29" s="50" t="str">
        <f t="shared" si="13"/>
        <v>NBR.Serviços</v>
      </c>
      <c r="V29" s="35" t="s">
        <v>708</v>
      </c>
      <c r="W29" s="55" t="str">
        <f t="shared" si="4"/>
        <v>Key-ABNT-29</v>
      </c>
      <c r="X29" s="35" t="s">
        <v>321</v>
      </c>
      <c r="Y29" s="35" t="s">
        <v>321</v>
      </c>
      <c r="Z29" s="51" t="s">
        <v>775</v>
      </c>
      <c r="AA29" s="35" t="str">
        <f t="shared" si="12"/>
        <v>Building Operation Services</v>
      </c>
    </row>
    <row r="30" spans="1:27" ht="6.75" customHeight="1" x14ac:dyDescent="0.3">
      <c r="A30" s="46">
        <v>30</v>
      </c>
      <c r="B30" s="47" t="s">
        <v>795</v>
      </c>
      <c r="C30" s="26" t="s">
        <v>804</v>
      </c>
      <c r="D30" s="26" t="s">
        <v>805</v>
      </c>
      <c r="E30" s="26" t="s">
        <v>792</v>
      </c>
      <c r="F30" s="12" t="s">
        <v>789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50" t="str">
        <f t="shared" si="8"/>
        <v>Normativo</v>
      </c>
      <c r="M30" s="50" t="str">
        <f t="shared" si="8"/>
        <v>NBR.Temática</v>
      </c>
      <c r="N30" s="50" t="str">
        <f t="shared" si="8"/>
        <v>NBR.Serviços</v>
      </c>
      <c r="O30" s="50" t="str">
        <f t="shared" si="9"/>
        <v>NBR.S.Suporte</v>
      </c>
      <c r="P30" s="50" t="s">
        <v>765</v>
      </c>
      <c r="Q30" s="35" t="str">
        <f t="shared" si="11"/>
        <v>Servicios de apoyo</v>
      </c>
      <c r="R30" s="35" t="s">
        <v>321</v>
      </c>
      <c r="S30" s="51" t="str">
        <f t="shared" si="13"/>
        <v>Normativo</v>
      </c>
      <c r="T30" s="51" t="str">
        <f t="shared" si="13"/>
        <v>NBR.Temática</v>
      </c>
      <c r="U30" s="50" t="str">
        <f t="shared" si="13"/>
        <v>NBR.Serviços</v>
      </c>
      <c r="V30" s="35" t="s">
        <v>708</v>
      </c>
      <c r="W30" s="55" t="str">
        <f t="shared" si="4"/>
        <v>Key-ABNT-30</v>
      </c>
      <c r="X30" s="35" t="s">
        <v>321</v>
      </c>
      <c r="Y30" s="35" t="s">
        <v>321</v>
      </c>
      <c r="Z30" s="51" t="s">
        <v>776</v>
      </c>
      <c r="AA30" s="35" t="str">
        <f t="shared" si="12"/>
        <v>Support Services</v>
      </c>
    </row>
    <row r="31" spans="1:27" ht="6.75" customHeight="1" x14ac:dyDescent="0.3">
      <c r="A31" s="46">
        <v>31</v>
      </c>
      <c r="B31" s="47" t="s">
        <v>795</v>
      </c>
      <c r="C31" s="26" t="s">
        <v>804</v>
      </c>
      <c r="D31" s="26" t="s">
        <v>805</v>
      </c>
      <c r="E31" s="26" t="s">
        <v>792</v>
      </c>
      <c r="F31" s="12" t="s">
        <v>790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50" t="str">
        <f t="shared" si="8"/>
        <v>Normativo</v>
      </c>
      <c r="M31" s="50" t="str">
        <f t="shared" si="8"/>
        <v>NBR.Temática</v>
      </c>
      <c r="N31" s="50" t="str">
        <f t="shared" si="8"/>
        <v>NBR.Serviços</v>
      </c>
      <c r="O31" s="50" t="str">
        <f t="shared" si="9"/>
        <v>NBR.S.Governo</v>
      </c>
      <c r="P31" s="50" t="s">
        <v>766</v>
      </c>
      <c r="Q31" s="35" t="str">
        <f t="shared" si="11"/>
        <v>Servicios gubernamentales</v>
      </c>
      <c r="R31" s="35" t="s">
        <v>321</v>
      </c>
      <c r="S31" s="51" t="str">
        <f t="shared" si="13"/>
        <v>Normativo</v>
      </c>
      <c r="T31" s="51" t="str">
        <f t="shared" si="13"/>
        <v>NBR.Temática</v>
      </c>
      <c r="U31" s="50" t="str">
        <f t="shared" si="13"/>
        <v>NBR.Serviços</v>
      </c>
      <c r="V31" s="35" t="s">
        <v>708</v>
      </c>
      <c r="W31" s="55" t="str">
        <f t="shared" si="4"/>
        <v>Key-ABNT-31</v>
      </c>
      <c r="X31" s="35" t="s">
        <v>321</v>
      </c>
      <c r="Y31" s="35" t="s">
        <v>321</v>
      </c>
      <c r="Z31" s="51" t="s">
        <v>777</v>
      </c>
      <c r="AA31" s="35" t="str">
        <f t="shared" si="12"/>
        <v>Government Services</v>
      </c>
    </row>
    <row r="32" spans="1:27" ht="6.75" customHeight="1" x14ac:dyDescent="0.3">
      <c r="A32" s="46">
        <v>32</v>
      </c>
      <c r="B32" s="47" t="s">
        <v>795</v>
      </c>
      <c r="C32" s="26" t="s">
        <v>804</v>
      </c>
      <c r="D32" s="26" t="s">
        <v>805</v>
      </c>
      <c r="E32" s="26" t="s">
        <v>792</v>
      </c>
      <c r="F32" s="12" t="s">
        <v>791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50" t="str">
        <f t="shared" si="8"/>
        <v>Normativo</v>
      </c>
      <c r="M32" s="50" t="str">
        <f t="shared" si="8"/>
        <v>NBR.Temática</v>
      </c>
      <c r="N32" s="50" t="str">
        <f t="shared" si="8"/>
        <v>NBR.Serviços</v>
      </c>
      <c r="O32" s="50" t="str">
        <f t="shared" si="9"/>
        <v>NBR.S.Adicional</v>
      </c>
      <c r="P32" s="50" t="s">
        <v>767</v>
      </c>
      <c r="Q32" s="35" t="str">
        <f t="shared" si="11"/>
        <v>Servicios adicionales</v>
      </c>
      <c r="R32" s="35" t="s">
        <v>321</v>
      </c>
      <c r="S32" s="51" t="str">
        <f t="shared" si="13"/>
        <v>Normativo</v>
      </c>
      <c r="T32" s="51" t="str">
        <f t="shared" si="13"/>
        <v>NBR.Temática</v>
      </c>
      <c r="U32" s="50" t="str">
        <f t="shared" si="13"/>
        <v>NBR.Serviços</v>
      </c>
      <c r="V32" s="35" t="s">
        <v>708</v>
      </c>
      <c r="W32" s="55" t="str">
        <f t="shared" si="4"/>
        <v>Key-ABNT-32</v>
      </c>
      <c r="X32" s="35" t="s">
        <v>321</v>
      </c>
      <c r="Y32" s="35" t="s">
        <v>321</v>
      </c>
      <c r="Z32" s="51" t="s">
        <v>778</v>
      </c>
      <c r="AA32" s="35" t="str">
        <f t="shared" si="12"/>
        <v>Additional services</v>
      </c>
    </row>
  </sheetData>
  <conditionalFormatting sqref="A2:B32">
    <cfRule type="cellIs" dxfId="24" priority="1" operator="equal">
      <formula>"null"</formula>
    </cfRule>
  </conditionalFormatting>
  <conditionalFormatting sqref="F3:F6">
    <cfRule type="duplicateValues" dxfId="23" priority="4"/>
    <cfRule type="duplicateValues" dxfId="22" priority="5"/>
    <cfRule type="duplicateValues" dxfId="21" priority="6"/>
    <cfRule type="duplicateValues" dxfId="20" priority="7"/>
  </conditionalFormatting>
  <conditionalFormatting sqref="F7:F19">
    <cfRule type="duplicateValues" dxfId="19" priority="3"/>
  </conditionalFormatting>
  <conditionalFormatting sqref="F20">
    <cfRule type="duplicateValues" dxfId="18" priority="28"/>
    <cfRule type="duplicateValues" dxfId="17" priority="29"/>
    <cfRule type="duplicateValues" dxfId="16" priority="30"/>
    <cfRule type="duplicateValues" dxfId="15" priority="31"/>
  </conditionalFormatting>
  <conditionalFormatting sqref="AA1:AA32">
    <cfRule type="cellIs" dxfId="14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C2" sqref="C2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2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0" t="s">
        <v>625</v>
      </c>
      <c r="C2" s="11" t="s">
        <v>804</v>
      </c>
      <c r="D2" s="53" t="s">
        <v>321</v>
      </c>
      <c r="E2" s="54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725</v>
      </c>
      <c r="L2" s="41" t="s">
        <v>681</v>
      </c>
      <c r="M2" s="33" t="s">
        <v>726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739</v>
      </c>
      <c r="D3" s="53" t="s">
        <v>727</v>
      </c>
      <c r="E3" s="54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725</v>
      </c>
      <c r="L3" s="41" t="s">
        <v>681</v>
      </c>
      <c r="M3" s="33" t="s">
        <v>794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744</v>
      </c>
      <c r="D4" s="53" t="s">
        <v>727</v>
      </c>
      <c r="E4" s="54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725</v>
      </c>
      <c r="L4" s="41" t="s">
        <v>681</v>
      </c>
      <c r="M4" s="33" t="s">
        <v>793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3">
      <c r="A5" s="9">
        <v>5</v>
      </c>
      <c r="B5" s="10" t="s">
        <v>328</v>
      </c>
      <c r="C5" s="12" t="s">
        <v>779</v>
      </c>
      <c r="D5" s="53" t="s">
        <v>727</v>
      </c>
      <c r="E5" s="54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728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3">
      <c r="A6" s="9">
        <v>6</v>
      </c>
      <c r="B6" s="13" t="s">
        <v>329</v>
      </c>
      <c r="C6" s="12" t="s">
        <v>779</v>
      </c>
      <c r="D6" s="53" t="s">
        <v>727</v>
      </c>
      <c r="E6" s="54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728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3">
      <c r="A7" s="9">
        <v>7</v>
      </c>
      <c r="B7" s="13" t="s">
        <v>330</v>
      </c>
      <c r="C7" s="12" t="s">
        <v>779</v>
      </c>
      <c r="D7" s="53" t="s">
        <v>727</v>
      </c>
      <c r="E7" s="54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728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3">
      <c r="A8" s="9">
        <v>8</v>
      </c>
      <c r="B8" s="13" t="s">
        <v>331</v>
      </c>
      <c r="C8" s="12" t="s">
        <v>779</v>
      </c>
      <c r="D8" s="53" t="s">
        <v>727</v>
      </c>
      <c r="E8" s="54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728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3">
      <c r="A9" s="9">
        <v>9</v>
      </c>
      <c r="B9" s="13" t="s">
        <v>332</v>
      </c>
      <c r="C9" s="12" t="s">
        <v>779</v>
      </c>
      <c r="D9" s="53" t="s">
        <v>727</v>
      </c>
      <c r="E9" s="54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728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779</v>
      </c>
      <c r="D10" s="53" t="s">
        <v>727</v>
      </c>
      <c r="E10" s="54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728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779</v>
      </c>
      <c r="D11" s="53" t="s">
        <v>727</v>
      </c>
      <c r="E11" s="54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728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779</v>
      </c>
      <c r="D12" s="53" t="s">
        <v>727</v>
      </c>
      <c r="E12" s="54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728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779</v>
      </c>
      <c r="D13" s="53" t="s">
        <v>727</v>
      </c>
      <c r="E13" s="54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728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779</v>
      </c>
      <c r="D14" s="53" t="s">
        <v>727</v>
      </c>
      <c r="E14" s="54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728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779</v>
      </c>
      <c r="D15" s="53" t="s">
        <v>727</v>
      </c>
      <c r="E15" s="54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728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779</v>
      </c>
      <c r="D16" s="53" t="s">
        <v>727</v>
      </c>
      <c r="E16" s="54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728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779</v>
      </c>
      <c r="D17" s="53" t="s">
        <v>727</v>
      </c>
      <c r="E17" s="54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728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779</v>
      </c>
      <c r="D18" s="53" t="s">
        <v>727</v>
      </c>
      <c r="E18" s="54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728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779</v>
      </c>
      <c r="D19" s="53" t="s">
        <v>727</v>
      </c>
      <c r="E19" s="54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728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779</v>
      </c>
      <c r="D20" s="53" t="s">
        <v>727</v>
      </c>
      <c r="E20" s="54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728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779</v>
      </c>
      <c r="D21" s="53" t="s">
        <v>727</v>
      </c>
      <c r="E21" s="54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728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779</v>
      </c>
      <c r="D22" s="53" t="s">
        <v>727</v>
      </c>
      <c r="E22" s="54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728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779</v>
      </c>
      <c r="D23" s="53" t="s">
        <v>727</v>
      </c>
      <c r="E23" s="54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728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779</v>
      </c>
      <c r="D24" s="53" t="s">
        <v>727</v>
      </c>
      <c r="E24" s="54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728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779</v>
      </c>
      <c r="D25" s="53" t="s">
        <v>727</v>
      </c>
      <c r="E25" s="54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728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779</v>
      </c>
      <c r="D26" s="53" t="s">
        <v>727</v>
      </c>
      <c r="E26" s="54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728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779</v>
      </c>
      <c r="D27" s="53" t="s">
        <v>727</v>
      </c>
      <c r="E27" s="54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728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779</v>
      </c>
      <c r="D28" s="53" t="s">
        <v>727</v>
      </c>
      <c r="E28" s="54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728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779</v>
      </c>
      <c r="D29" s="53" t="s">
        <v>727</v>
      </c>
      <c r="E29" s="54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728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779</v>
      </c>
      <c r="D30" s="53" t="s">
        <v>727</v>
      </c>
      <c r="E30" s="54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728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779</v>
      </c>
      <c r="D31" s="53" t="s">
        <v>727</v>
      </c>
      <c r="E31" s="54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728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780</v>
      </c>
      <c r="D32" s="53" t="s">
        <v>727</v>
      </c>
      <c r="E32" s="54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729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780</v>
      </c>
      <c r="D33" s="53" t="s">
        <v>727</v>
      </c>
      <c r="E33" s="54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729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780</v>
      </c>
      <c r="D34" s="53" t="s">
        <v>727</v>
      </c>
      <c r="E34" s="54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729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780</v>
      </c>
      <c r="D35" s="53" t="s">
        <v>727</v>
      </c>
      <c r="E35" s="54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729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780</v>
      </c>
      <c r="D36" s="53" t="s">
        <v>727</v>
      </c>
      <c r="E36" s="54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729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780</v>
      </c>
      <c r="D37" s="53" t="s">
        <v>727</v>
      </c>
      <c r="E37" s="54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729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780</v>
      </c>
      <c r="D38" s="53" t="s">
        <v>727</v>
      </c>
      <c r="E38" s="54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729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780</v>
      </c>
      <c r="D39" s="53" t="s">
        <v>727</v>
      </c>
      <c r="E39" s="54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729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780</v>
      </c>
      <c r="D40" s="53" t="s">
        <v>727</v>
      </c>
      <c r="E40" s="54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729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780</v>
      </c>
      <c r="D41" s="53" t="s">
        <v>727</v>
      </c>
      <c r="E41" s="54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729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780</v>
      </c>
      <c r="D42" s="53" t="s">
        <v>727</v>
      </c>
      <c r="E42" s="54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729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780</v>
      </c>
      <c r="D43" s="53" t="s">
        <v>727</v>
      </c>
      <c r="E43" s="54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729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780</v>
      </c>
      <c r="D44" s="53" t="s">
        <v>727</v>
      </c>
      <c r="E44" s="54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729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3">
      <c r="A45" s="9">
        <v>45</v>
      </c>
      <c r="B45" s="45" t="s">
        <v>702</v>
      </c>
      <c r="C45" s="12" t="s">
        <v>780</v>
      </c>
      <c r="D45" s="53" t="s">
        <v>727</v>
      </c>
      <c r="E45" s="54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729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780</v>
      </c>
      <c r="D46" s="53" t="s">
        <v>727</v>
      </c>
      <c r="E46" s="54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729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3">
      <c r="A47" s="9">
        <v>47</v>
      </c>
      <c r="B47" s="45" t="s">
        <v>703</v>
      </c>
      <c r="C47" s="12" t="s">
        <v>780</v>
      </c>
      <c r="D47" s="53" t="s">
        <v>727</v>
      </c>
      <c r="E47" s="54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729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780</v>
      </c>
      <c r="D48" s="53" t="s">
        <v>727</v>
      </c>
      <c r="E48" s="54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729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780</v>
      </c>
      <c r="D49" s="53" t="s">
        <v>727</v>
      </c>
      <c r="E49" s="54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729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780</v>
      </c>
      <c r="D50" s="53" t="s">
        <v>727</v>
      </c>
      <c r="E50" s="54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729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780</v>
      </c>
      <c r="D51" s="53" t="s">
        <v>727</v>
      </c>
      <c r="E51" s="54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729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780</v>
      </c>
      <c r="D52" s="53" t="s">
        <v>727</v>
      </c>
      <c r="E52" s="54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729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3">
      <c r="A53" s="9">
        <v>53</v>
      </c>
      <c r="B53" s="45" t="s">
        <v>701</v>
      </c>
      <c r="C53" s="12" t="s">
        <v>780</v>
      </c>
      <c r="D53" s="53" t="s">
        <v>727</v>
      </c>
      <c r="E53" s="54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729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781</v>
      </c>
      <c r="D54" s="53" t="s">
        <v>727</v>
      </c>
      <c r="E54" s="54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730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781</v>
      </c>
      <c r="D55" s="53" t="s">
        <v>727</v>
      </c>
      <c r="E55" s="54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730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781</v>
      </c>
      <c r="D56" s="53" t="s">
        <v>727</v>
      </c>
      <c r="E56" s="54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730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781</v>
      </c>
      <c r="D57" s="53" t="s">
        <v>727</v>
      </c>
      <c r="E57" s="54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730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781</v>
      </c>
      <c r="D58" s="53" t="s">
        <v>727</v>
      </c>
      <c r="E58" s="54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730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781</v>
      </c>
      <c r="D59" s="53" t="s">
        <v>727</v>
      </c>
      <c r="E59" s="54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730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781</v>
      </c>
      <c r="D60" s="53" t="s">
        <v>727</v>
      </c>
      <c r="E60" s="54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730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781</v>
      </c>
      <c r="D61" s="53" t="s">
        <v>727</v>
      </c>
      <c r="E61" s="54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730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781</v>
      </c>
      <c r="D62" s="53" t="s">
        <v>727</v>
      </c>
      <c r="E62" s="54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730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781</v>
      </c>
      <c r="D63" s="53" t="s">
        <v>727</v>
      </c>
      <c r="E63" s="54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730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781</v>
      </c>
      <c r="D64" s="53" t="s">
        <v>727</v>
      </c>
      <c r="E64" s="54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730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781</v>
      </c>
      <c r="D65" s="53" t="s">
        <v>727</v>
      </c>
      <c r="E65" s="54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730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781</v>
      </c>
      <c r="D66" s="53" t="s">
        <v>727</v>
      </c>
      <c r="E66" s="54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730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781</v>
      </c>
      <c r="D67" s="53" t="s">
        <v>727</v>
      </c>
      <c r="E67" s="54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730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781</v>
      </c>
      <c r="D68" s="53" t="s">
        <v>727</v>
      </c>
      <c r="E68" s="54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730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781</v>
      </c>
      <c r="D69" s="53" t="s">
        <v>727</v>
      </c>
      <c r="E69" s="54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730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781</v>
      </c>
      <c r="D70" s="53" t="s">
        <v>727</v>
      </c>
      <c r="E70" s="54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730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781</v>
      </c>
      <c r="D71" s="53" t="s">
        <v>727</v>
      </c>
      <c r="E71" s="54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730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781</v>
      </c>
      <c r="D72" s="53" t="s">
        <v>727</v>
      </c>
      <c r="E72" s="54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730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781</v>
      </c>
      <c r="D73" s="53" t="s">
        <v>727</v>
      </c>
      <c r="E73" s="54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730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781</v>
      </c>
      <c r="D74" s="53" t="s">
        <v>727</v>
      </c>
      <c r="E74" s="54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730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781</v>
      </c>
      <c r="D75" s="53" t="s">
        <v>727</v>
      </c>
      <c r="E75" s="54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730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782</v>
      </c>
      <c r="D76" s="53" t="s">
        <v>727</v>
      </c>
      <c r="E76" s="54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731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782</v>
      </c>
      <c r="D77" s="53" t="s">
        <v>727</v>
      </c>
      <c r="E77" s="54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731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782</v>
      </c>
      <c r="D78" s="53" t="s">
        <v>727</v>
      </c>
      <c r="E78" s="54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731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782</v>
      </c>
      <c r="D79" s="53" t="s">
        <v>727</v>
      </c>
      <c r="E79" s="54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731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782</v>
      </c>
      <c r="D80" s="53" t="s">
        <v>727</v>
      </c>
      <c r="E80" s="54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731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782</v>
      </c>
      <c r="D81" s="53" t="s">
        <v>727</v>
      </c>
      <c r="E81" s="54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731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782</v>
      </c>
      <c r="D82" s="53" t="s">
        <v>727</v>
      </c>
      <c r="E82" s="54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731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782</v>
      </c>
      <c r="D83" s="53" t="s">
        <v>727</v>
      </c>
      <c r="E83" s="54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731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782</v>
      </c>
      <c r="D84" s="53" t="s">
        <v>727</v>
      </c>
      <c r="E84" s="54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731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782</v>
      </c>
      <c r="D85" s="53" t="s">
        <v>727</v>
      </c>
      <c r="E85" s="54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731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782</v>
      </c>
      <c r="D86" s="53" t="s">
        <v>727</v>
      </c>
      <c r="E86" s="54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731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782</v>
      </c>
      <c r="D87" s="53" t="s">
        <v>727</v>
      </c>
      <c r="E87" s="54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731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782</v>
      </c>
      <c r="D88" s="53" t="s">
        <v>727</v>
      </c>
      <c r="E88" s="54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731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782</v>
      </c>
      <c r="D89" s="53" t="s">
        <v>727</v>
      </c>
      <c r="E89" s="54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731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782</v>
      </c>
      <c r="D90" s="53" t="s">
        <v>727</v>
      </c>
      <c r="E90" s="54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731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782</v>
      </c>
      <c r="D91" s="53" t="s">
        <v>727</v>
      </c>
      <c r="E91" s="54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731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782</v>
      </c>
      <c r="D92" s="53" t="s">
        <v>727</v>
      </c>
      <c r="E92" s="54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731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782</v>
      </c>
      <c r="D93" s="53" t="s">
        <v>727</v>
      </c>
      <c r="E93" s="54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731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782</v>
      </c>
      <c r="D94" s="53" t="s">
        <v>727</v>
      </c>
      <c r="E94" s="54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731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782</v>
      </c>
      <c r="D95" s="53" t="s">
        <v>727</v>
      </c>
      <c r="E95" s="54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731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782</v>
      </c>
      <c r="D96" s="53" t="s">
        <v>727</v>
      </c>
      <c r="E96" s="54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731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782</v>
      </c>
      <c r="D97" s="53" t="s">
        <v>727</v>
      </c>
      <c r="E97" s="54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731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782</v>
      </c>
      <c r="D98" s="53" t="s">
        <v>727</v>
      </c>
      <c r="E98" s="54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731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782</v>
      </c>
      <c r="D99" s="53" t="s">
        <v>727</v>
      </c>
      <c r="E99" s="54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731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782</v>
      </c>
      <c r="D100" s="53" t="s">
        <v>727</v>
      </c>
      <c r="E100" s="54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731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782</v>
      </c>
      <c r="D101" s="53" t="s">
        <v>727</v>
      </c>
      <c r="E101" s="54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731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782</v>
      </c>
      <c r="D102" s="53" t="s">
        <v>727</v>
      </c>
      <c r="E102" s="54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731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783</v>
      </c>
      <c r="D103" s="53" t="s">
        <v>727</v>
      </c>
      <c r="E103" s="54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732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783</v>
      </c>
      <c r="D104" s="53" t="s">
        <v>727</v>
      </c>
      <c r="E104" s="54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732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783</v>
      </c>
      <c r="D105" s="53" t="s">
        <v>727</v>
      </c>
      <c r="E105" s="54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732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783</v>
      </c>
      <c r="D106" s="53" t="s">
        <v>727</v>
      </c>
      <c r="E106" s="54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732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783</v>
      </c>
      <c r="D107" s="53" t="s">
        <v>727</v>
      </c>
      <c r="E107" s="54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732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783</v>
      </c>
      <c r="D108" s="53" t="s">
        <v>727</v>
      </c>
      <c r="E108" s="54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732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783</v>
      </c>
      <c r="D109" s="53" t="s">
        <v>727</v>
      </c>
      <c r="E109" s="54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732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783</v>
      </c>
      <c r="D110" s="53" t="s">
        <v>727</v>
      </c>
      <c r="E110" s="54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732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783</v>
      </c>
      <c r="D111" s="53" t="s">
        <v>727</v>
      </c>
      <c r="E111" s="54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732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783</v>
      </c>
      <c r="D112" s="53" t="s">
        <v>727</v>
      </c>
      <c r="E112" s="54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732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783</v>
      </c>
      <c r="D113" s="53" t="s">
        <v>727</v>
      </c>
      <c r="E113" s="54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732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783</v>
      </c>
      <c r="D114" s="53" t="s">
        <v>727</v>
      </c>
      <c r="E114" s="54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732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783</v>
      </c>
      <c r="D115" s="53" t="s">
        <v>727</v>
      </c>
      <c r="E115" s="54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732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783</v>
      </c>
      <c r="D116" s="53" t="s">
        <v>727</v>
      </c>
      <c r="E116" s="54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732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783</v>
      </c>
      <c r="D117" s="53" t="s">
        <v>727</v>
      </c>
      <c r="E117" s="54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732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783</v>
      </c>
      <c r="D118" s="53" t="s">
        <v>727</v>
      </c>
      <c r="E118" s="54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732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783</v>
      </c>
      <c r="D119" s="53" t="s">
        <v>727</v>
      </c>
      <c r="E119" s="54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732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3">
      <c r="A120" s="9">
        <v>120</v>
      </c>
      <c r="B120" s="45" t="s">
        <v>440</v>
      </c>
      <c r="C120" s="12" t="s">
        <v>783</v>
      </c>
      <c r="D120" s="53" t="s">
        <v>727</v>
      </c>
      <c r="E120" s="54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732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3">
      <c r="A121" s="9">
        <v>121</v>
      </c>
      <c r="B121" s="45" t="s">
        <v>700</v>
      </c>
      <c r="C121" s="12" t="s">
        <v>783</v>
      </c>
      <c r="D121" s="53" t="s">
        <v>727</v>
      </c>
      <c r="E121" s="54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732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784</v>
      </c>
      <c r="D122" s="53" t="s">
        <v>727</v>
      </c>
      <c r="E122" s="54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784</v>
      </c>
      <c r="D123" s="53" t="s">
        <v>727</v>
      </c>
      <c r="E123" s="54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784</v>
      </c>
      <c r="D124" s="53" t="s">
        <v>727</v>
      </c>
      <c r="E124" s="54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784</v>
      </c>
      <c r="D125" s="53" t="s">
        <v>727</v>
      </c>
      <c r="E125" s="54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784</v>
      </c>
      <c r="D126" s="53" t="s">
        <v>727</v>
      </c>
      <c r="E126" s="54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784</v>
      </c>
      <c r="D127" s="53" t="s">
        <v>727</v>
      </c>
      <c r="E127" s="54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784</v>
      </c>
      <c r="D128" s="53" t="s">
        <v>727</v>
      </c>
      <c r="E128" s="54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784</v>
      </c>
      <c r="D129" s="53" t="s">
        <v>727</v>
      </c>
      <c r="E129" s="54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784</v>
      </c>
      <c r="D130" s="53" t="s">
        <v>727</v>
      </c>
      <c r="E130" s="54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784</v>
      </c>
      <c r="D131" s="53" t="s">
        <v>727</v>
      </c>
      <c r="E131" s="54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784</v>
      </c>
      <c r="D132" s="53" t="s">
        <v>727</v>
      </c>
      <c r="E132" s="54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785</v>
      </c>
      <c r="D133" s="53" t="s">
        <v>727</v>
      </c>
      <c r="E133" s="54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785</v>
      </c>
      <c r="D134" s="53" t="s">
        <v>727</v>
      </c>
      <c r="E134" s="54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733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785</v>
      </c>
      <c r="D135" s="53" t="s">
        <v>727</v>
      </c>
      <c r="E135" s="54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733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785</v>
      </c>
      <c r="D136" s="53" t="s">
        <v>727</v>
      </c>
      <c r="E136" s="54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733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785</v>
      </c>
      <c r="D137" s="53" t="s">
        <v>727</v>
      </c>
      <c r="E137" s="54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733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785</v>
      </c>
      <c r="D138" s="53" t="s">
        <v>727</v>
      </c>
      <c r="E138" s="54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733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785</v>
      </c>
      <c r="D139" s="53" t="s">
        <v>727</v>
      </c>
      <c r="E139" s="54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733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785</v>
      </c>
      <c r="D140" s="53" t="s">
        <v>727</v>
      </c>
      <c r="E140" s="54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733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785</v>
      </c>
      <c r="D141" s="53" t="s">
        <v>727</v>
      </c>
      <c r="E141" s="54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733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785</v>
      </c>
      <c r="D142" s="53" t="s">
        <v>727</v>
      </c>
      <c r="E142" s="54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733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785</v>
      </c>
      <c r="D143" s="53" t="s">
        <v>727</v>
      </c>
      <c r="E143" s="54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733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785</v>
      </c>
      <c r="D144" s="53" t="s">
        <v>727</v>
      </c>
      <c r="E144" s="54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733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785</v>
      </c>
      <c r="D145" s="53" t="s">
        <v>727</v>
      </c>
      <c r="E145" s="54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733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786</v>
      </c>
      <c r="D146" s="53" t="s">
        <v>727</v>
      </c>
      <c r="E146" s="54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734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786</v>
      </c>
      <c r="D147" s="53" t="s">
        <v>727</v>
      </c>
      <c r="E147" s="54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734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786</v>
      </c>
      <c r="D148" s="53" t="s">
        <v>727</v>
      </c>
      <c r="E148" s="54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734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786</v>
      </c>
      <c r="D149" s="53" t="s">
        <v>727</v>
      </c>
      <c r="E149" s="54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734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786</v>
      </c>
      <c r="D150" s="53" t="s">
        <v>727</v>
      </c>
      <c r="E150" s="54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734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786</v>
      </c>
      <c r="D151" s="53" t="s">
        <v>727</v>
      </c>
      <c r="E151" s="54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734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786</v>
      </c>
      <c r="D152" s="53" t="s">
        <v>727</v>
      </c>
      <c r="E152" s="54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734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786</v>
      </c>
      <c r="D153" s="53" t="s">
        <v>727</v>
      </c>
      <c r="E153" s="54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734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786</v>
      </c>
      <c r="D154" s="53" t="s">
        <v>727</v>
      </c>
      <c r="E154" s="54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734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786</v>
      </c>
      <c r="D155" s="53" t="s">
        <v>727</v>
      </c>
      <c r="E155" s="54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734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786</v>
      </c>
      <c r="D156" s="53" t="s">
        <v>727</v>
      </c>
      <c r="E156" s="54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734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786</v>
      </c>
      <c r="D157" s="53" t="s">
        <v>727</v>
      </c>
      <c r="E157" s="54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734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786</v>
      </c>
      <c r="D158" s="53" t="s">
        <v>727</v>
      </c>
      <c r="E158" s="54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734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786</v>
      </c>
      <c r="D159" s="53" t="s">
        <v>727</v>
      </c>
      <c r="E159" s="54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734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786</v>
      </c>
      <c r="D160" s="53" t="s">
        <v>727</v>
      </c>
      <c r="E160" s="54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734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786</v>
      </c>
      <c r="D161" s="53" t="s">
        <v>727</v>
      </c>
      <c r="E161" s="54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734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786</v>
      </c>
      <c r="D162" s="53" t="s">
        <v>727</v>
      </c>
      <c r="E162" s="54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734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786</v>
      </c>
      <c r="D163" s="53" t="s">
        <v>727</v>
      </c>
      <c r="E163" s="54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734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786</v>
      </c>
      <c r="D164" s="53" t="s">
        <v>727</v>
      </c>
      <c r="E164" s="54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734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786</v>
      </c>
      <c r="D165" s="53" t="s">
        <v>727</v>
      </c>
      <c r="E165" s="54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734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786</v>
      </c>
      <c r="D166" s="53" t="s">
        <v>727</v>
      </c>
      <c r="E166" s="54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734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786</v>
      </c>
      <c r="D167" s="53" t="s">
        <v>727</v>
      </c>
      <c r="E167" s="54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734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786</v>
      </c>
      <c r="D168" s="53" t="s">
        <v>727</v>
      </c>
      <c r="E168" s="54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734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786</v>
      </c>
      <c r="D169" s="53" t="s">
        <v>727</v>
      </c>
      <c r="E169" s="54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734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786</v>
      </c>
      <c r="D170" s="53" t="s">
        <v>727</v>
      </c>
      <c r="E170" s="54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734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786</v>
      </c>
      <c r="D171" s="53" t="s">
        <v>727</v>
      </c>
      <c r="E171" s="54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734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786</v>
      </c>
      <c r="D172" s="53" t="s">
        <v>727</v>
      </c>
      <c r="E172" s="54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734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786</v>
      </c>
      <c r="D173" s="53" t="s">
        <v>727</v>
      </c>
      <c r="E173" s="54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734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786</v>
      </c>
      <c r="D174" s="53" t="s">
        <v>727</v>
      </c>
      <c r="E174" s="54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734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786</v>
      </c>
      <c r="D175" s="53" t="s">
        <v>727</v>
      </c>
      <c r="E175" s="54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734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786</v>
      </c>
      <c r="D176" s="53" t="s">
        <v>727</v>
      </c>
      <c r="E176" s="54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734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786</v>
      </c>
      <c r="D177" s="53" t="s">
        <v>727</v>
      </c>
      <c r="E177" s="54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734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786</v>
      </c>
      <c r="D178" s="53" t="s">
        <v>727</v>
      </c>
      <c r="E178" s="54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734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787</v>
      </c>
      <c r="D179" s="53" t="s">
        <v>727</v>
      </c>
      <c r="E179" s="54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735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787</v>
      </c>
      <c r="D180" s="53" t="s">
        <v>727</v>
      </c>
      <c r="E180" s="54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735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787</v>
      </c>
      <c r="D181" s="53" t="s">
        <v>727</v>
      </c>
      <c r="E181" s="54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735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787</v>
      </c>
      <c r="D182" s="53" t="s">
        <v>727</v>
      </c>
      <c r="E182" s="54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735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787</v>
      </c>
      <c r="D183" s="53" t="s">
        <v>727</v>
      </c>
      <c r="E183" s="54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735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787</v>
      </c>
      <c r="D184" s="53" t="s">
        <v>727</v>
      </c>
      <c r="E184" s="54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735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787</v>
      </c>
      <c r="D185" s="53" t="s">
        <v>727</v>
      </c>
      <c r="E185" s="54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735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787</v>
      </c>
      <c r="D186" s="53" t="s">
        <v>727</v>
      </c>
      <c r="E186" s="54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735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787</v>
      </c>
      <c r="D187" s="53" t="s">
        <v>727</v>
      </c>
      <c r="E187" s="54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735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787</v>
      </c>
      <c r="D188" s="53" t="s">
        <v>727</v>
      </c>
      <c r="E188" s="54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735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787</v>
      </c>
      <c r="D189" s="53" t="s">
        <v>727</v>
      </c>
      <c r="E189" s="54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735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787</v>
      </c>
      <c r="D190" s="53" t="s">
        <v>727</v>
      </c>
      <c r="E190" s="54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735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787</v>
      </c>
      <c r="D191" s="53" t="s">
        <v>727</v>
      </c>
      <c r="E191" s="54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735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787</v>
      </c>
      <c r="D192" s="53" t="s">
        <v>727</v>
      </c>
      <c r="E192" s="54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735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787</v>
      </c>
      <c r="D193" s="53" t="s">
        <v>727</v>
      </c>
      <c r="E193" s="54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735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787</v>
      </c>
      <c r="D194" s="53" t="s">
        <v>727</v>
      </c>
      <c r="E194" s="54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735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787</v>
      </c>
      <c r="D195" s="53" t="s">
        <v>727</v>
      </c>
      <c r="E195" s="54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735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787</v>
      </c>
      <c r="D196" s="53" t="s">
        <v>727</v>
      </c>
      <c r="E196" s="54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735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787</v>
      </c>
      <c r="D197" s="53" t="s">
        <v>727</v>
      </c>
      <c r="E197" s="54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735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787</v>
      </c>
      <c r="D198" s="53" t="s">
        <v>727</v>
      </c>
      <c r="E198" s="54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735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787</v>
      </c>
      <c r="D199" s="53" t="s">
        <v>727</v>
      </c>
      <c r="E199" s="54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735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787</v>
      </c>
      <c r="D200" s="53" t="s">
        <v>727</v>
      </c>
      <c r="E200" s="54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735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787</v>
      </c>
      <c r="D201" s="53" t="s">
        <v>727</v>
      </c>
      <c r="E201" s="54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735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787</v>
      </c>
      <c r="D202" s="53" t="s">
        <v>727</v>
      </c>
      <c r="E202" s="54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735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787</v>
      </c>
      <c r="D203" s="53" t="s">
        <v>727</v>
      </c>
      <c r="E203" s="54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735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787</v>
      </c>
      <c r="D204" s="53" t="s">
        <v>727</v>
      </c>
      <c r="E204" s="54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735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787</v>
      </c>
      <c r="D205" s="53" t="s">
        <v>727</v>
      </c>
      <c r="E205" s="54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735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787</v>
      </c>
      <c r="D206" s="53" t="s">
        <v>727</v>
      </c>
      <c r="E206" s="54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735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787</v>
      </c>
      <c r="D207" s="53" t="s">
        <v>727</v>
      </c>
      <c r="E207" s="54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735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787</v>
      </c>
      <c r="D208" s="53" t="s">
        <v>727</v>
      </c>
      <c r="E208" s="54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735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787</v>
      </c>
      <c r="D209" s="53" t="s">
        <v>727</v>
      </c>
      <c r="E209" s="54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735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787</v>
      </c>
      <c r="D210" s="53" t="s">
        <v>727</v>
      </c>
      <c r="E210" s="54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735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787</v>
      </c>
      <c r="D211" s="53" t="s">
        <v>727</v>
      </c>
      <c r="E211" s="54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735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787</v>
      </c>
      <c r="D212" s="53" t="s">
        <v>727</v>
      </c>
      <c r="E212" s="54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735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787</v>
      </c>
      <c r="D213" s="53" t="s">
        <v>727</v>
      </c>
      <c r="E213" s="54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735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787</v>
      </c>
      <c r="D214" s="53" t="s">
        <v>727</v>
      </c>
      <c r="E214" s="54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735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787</v>
      </c>
      <c r="D215" s="53" t="s">
        <v>727</v>
      </c>
      <c r="E215" s="54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735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787</v>
      </c>
      <c r="D216" s="53" t="s">
        <v>727</v>
      </c>
      <c r="E216" s="54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735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787</v>
      </c>
      <c r="D217" s="53" t="s">
        <v>727</v>
      </c>
      <c r="E217" s="54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735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787</v>
      </c>
      <c r="D218" s="53" t="s">
        <v>727</v>
      </c>
      <c r="E218" s="54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735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787</v>
      </c>
      <c r="D219" s="53" t="s">
        <v>727</v>
      </c>
      <c r="E219" s="54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735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787</v>
      </c>
      <c r="D220" s="53" t="s">
        <v>727</v>
      </c>
      <c r="E220" s="54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735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787</v>
      </c>
      <c r="D221" s="53" t="s">
        <v>727</v>
      </c>
      <c r="E221" s="54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735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787</v>
      </c>
      <c r="D222" s="53" t="s">
        <v>727</v>
      </c>
      <c r="E222" s="54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735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787</v>
      </c>
      <c r="D223" s="53" t="s">
        <v>727</v>
      </c>
      <c r="E223" s="54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735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787</v>
      </c>
      <c r="D224" s="53" t="s">
        <v>727</v>
      </c>
      <c r="E224" s="54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735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787</v>
      </c>
      <c r="D225" s="53" t="s">
        <v>727</v>
      </c>
      <c r="E225" s="54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735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787</v>
      </c>
      <c r="D226" s="53" t="s">
        <v>727</v>
      </c>
      <c r="E226" s="54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735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787</v>
      </c>
      <c r="D227" s="53" t="s">
        <v>727</v>
      </c>
      <c r="E227" s="54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735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787</v>
      </c>
      <c r="D228" s="53" t="s">
        <v>727</v>
      </c>
      <c r="E228" s="54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735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787</v>
      </c>
      <c r="D229" s="53" t="s">
        <v>727</v>
      </c>
      <c r="E229" s="54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735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787</v>
      </c>
      <c r="D230" s="53" t="s">
        <v>727</v>
      </c>
      <c r="E230" s="54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735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787</v>
      </c>
      <c r="D231" s="53" t="s">
        <v>727</v>
      </c>
      <c r="E231" s="54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735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787</v>
      </c>
      <c r="D232" s="53" t="s">
        <v>727</v>
      </c>
      <c r="E232" s="54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735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787</v>
      </c>
      <c r="D233" s="53" t="s">
        <v>727</v>
      </c>
      <c r="E233" s="54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735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787</v>
      </c>
      <c r="D234" s="53" t="s">
        <v>727</v>
      </c>
      <c r="E234" s="54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735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787</v>
      </c>
      <c r="D235" s="53" t="s">
        <v>727</v>
      </c>
      <c r="E235" s="54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735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787</v>
      </c>
      <c r="D236" s="53" t="s">
        <v>727</v>
      </c>
      <c r="E236" s="54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735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787</v>
      </c>
      <c r="D237" s="53" t="s">
        <v>727</v>
      </c>
      <c r="E237" s="54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735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3">
      <c r="A238" s="9">
        <v>238</v>
      </c>
      <c r="B238" s="45" t="s">
        <v>704</v>
      </c>
      <c r="C238" s="12" t="s">
        <v>787</v>
      </c>
      <c r="D238" s="53" t="s">
        <v>727</v>
      </c>
      <c r="E238" s="54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735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787</v>
      </c>
      <c r="D239" s="53" t="s">
        <v>727</v>
      </c>
      <c r="E239" s="54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735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787</v>
      </c>
      <c r="D240" s="53" t="s">
        <v>727</v>
      </c>
      <c r="E240" s="54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735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787</v>
      </c>
      <c r="D241" s="53" t="s">
        <v>727</v>
      </c>
      <c r="E241" s="54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735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787</v>
      </c>
      <c r="D242" s="53" t="s">
        <v>727</v>
      </c>
      <c r="E242" s="54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735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787</v>
      </c>
      <c r="D243" s="53" t="s">
        <v>727</v>
      </c>
      <c r="E243" s="54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735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787</v>
      </c>
      <c r="D244" s="53" t="s">
        <v>727</v>
      </c>
      <c r="E244" s="54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735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787</v>
      </c>
      <c r="D245" s="53" t="s">
        <v>727</v>
      </c>
      <c r="E245" s="54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735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787</v>
      </c>
      <c r="D246" s="53" t="s">
        <v>727</v>
      </c>
      <c r="E246" s="54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735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788</v>
      </c>
      <c r="D247" s="53" t="s">
        <v>727</v>
      </c>
      <c r="E247" s="54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736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788</v>
      </c>
      <c r="D248" s="53" t="s">
        <v>727</v>
      </c>
      <c r="E248" s="54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736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788</v>
      </c>
      <c r="D249" s="53" t="s">
        <v>727</v>
      </c>
      <c r="E249" s="54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736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788</v>
      </c>
      <c r="D250" s="53" t="s">
        <v>727</v>
      </c>
      <c r="E250" s="54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736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788</v>
      </c>
      <c r="D251" s="53" t="s">
        <v>727</v>
      </c>
      <c r="E251" s="54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736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788</v>
      </c>
      <c r="D252" s="53" t="s">
        <v>727</v>
      </c>
      <c r="E252" s="54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736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788</v>
      </c>
      <c r="D253" s="53" t="s">
        <v>727</v>
      </c>
      <c r="E253" s="54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736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788</v>
      </c>
      <c r="D254" s="53" t="s">
        <v>727</v>
      </c>
      <c r="E254" s="54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736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788</v>
      </c>
      <c r="D255" s="53" t="s">
        <v>727</v>
      </c>
      <c r="E255" s="54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736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788</v>
      </c>
      <c r="D256" s="53" t="s">
        <v>727</v>
      </c>
      <c r="E256" s="54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736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788</v>
      </c>
      <c r="D257" s="53" t="s">
        <v>727</v>
      </c>
      <c r="E257" s="54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736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788</v>
      </c>
      <c r="D258" s="53" t="s">
        <v>727</v>
      </c>
      <c r="E258" s="54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736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788</v>
      </c>
      <c r="D259" s="53" t="s">
        <v>727</v>
      </c>
      <c r="E259" s="54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736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788</v>
      </c>
      <c r="D260" s="53" t="s">
        <v>727</v>
      </c>
      <c r="E260" s="54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736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788</v>
      </c>
      <c r="D261" s="53" t="s">
        <v>727</v>
      </c>
      <c r="E261" s="54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736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789</v>
      </c>
      <c r="D262" s="53" t="s">
        <v>727</v>
      </c>
      <c r="E262" s="54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789</v>
      </c>
      <c r="D263" s="53" t="s">
        <v>727</v>
      </c>
      <c r="E263" s="54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789</v>
      </c>
      <c r="D264" s="53" t="s">
        <v>727</v>
      </c>
      <c r="E264" s="54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789</v>
      </c>
      <c r="D265" s="53" t="s">
        <v>727</v>
      </c>
      <c r="E265" s="54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789</v>
      </c>
      <c r="D266" s="53" t="s">
        <v>727</v>
      </c>
      <c r="E266" s="54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789</v>
      </c>
      <c r="D267" s="53" t="s">
        <v>727</v>
      </c>
      <c r="E267" s="54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789</v>
      </c>
      <c r="D268" s="53" t="s">
        <v>727</v>
      </c>
      <c r="E268" s="54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789</v>
      </c>
      <c r="D269" s="53" t="s">
        <v>727</v>
      </c>
      <c r="E269" s="54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789</v>
      </c>
      <c r="D270" s="53" t="s">
        <v>727</v>
      </c>
      <c r="E270" s="54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789</v>
      </c>
      <c r="D271" s="53" t="s">
        <v>727</v>
      </c>
      <c r="E271" s="54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789</v>
      </c>
      <c r="D272" s="53" t="s">
        <v>727</v>
      </c>
      <c r="E272" s="54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789</v>
      </c>
      <c r="D273" s="53" t="s">
        <v>727</v>
      </c>
      <c r="E273" s="54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789</v>
      </c>
      <c r="D274" s="53" t="s">
        <v>727</v>
      </c>
      <c r="E274" s="54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789</v>
      </c>
      <c r="D275" s="53" t="s">
        <v>727</v>
      </c>
      <c r="E275" s="54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789</v>
      </c>
      <c r="D276" s="53" t="s">
        <v>727</v>
      </c>
      <c r="E276" s="54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789</v>
      </c>
      <c r="D277" s="53" t="s">
        <v>727</v>
      </c>
      <c r="E277" s="54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789</v>
      </c>
      <c r="D278" s="53" t="s">
        <v>727</v>
      </c>
      <c r="E278" s="54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789</v>
      </c>
      <c r="D279" s="53" t="s">
        <v>727</v>
      </c>
      <c r="E279" s="54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789</v>
      </c>
      <c r="D280" s="53" t="s">
        <v>727</v>
      </c>
      <c r="E280" s="54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789</v>
      </c>
      <c r="D281" s="53" t="s">
        <v>727</v>
      </c>
      <c r="E281" s="54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789</v>
      </c>
      <c r="D282" s="53" t="s">
        <v>727</v>
      </c>
      <c r="E282" s="54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789</v>
      </c>
      <c r="D283" s="53" t="s">
        <v>727</v>
      </c>
      <c r="E283" s="54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789</v>
      </c>
      <c r="D284" s="53" t="s">
        <v>727</v>
      </c>
      <c r="E284" s="54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789</v>
      </c>
      <c r="D285" s="53" t="s">
        <v>727</v>
      </c>
      <c r="E285" s="54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789</v>
      </c>
      <c r="D286" s="53" t="s">
        <v>727</v>
      </c>
      <c r="E286" s="54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790</v>
      </c>
      <c r="D287" s="53" t="s">
        <v>727</v>
      </c>
      <c r="E287" s="54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737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790</v>
      </c>
      <c r="D288" s="53" t="s">
        <v>727</v>
      </c>
      <c r="E288" s="54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737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790</v>
      </c>
      <c r="D289" s="53" t="s">
        <v>727</v>
      </c>
      <c r="E289" s="54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737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790</v>
      </c>
      <c r="D290" s="53" t="s">
        <v>727</v>
      </c>
      <c r="E290" s="54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737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790</v>
      </c>
      <c r="D291" s="53" t="s">
        <v>727</v>
      </c>
      <c r="E291" s="54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737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790</v>
      </c>
      <c r="D292" s="53" t="s">
        <v>727</v>
      </c>
      <c r="E292" s="54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737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790</v>
      </c>
      <c r="D293" s="53" t="s">
        <v>727</v>
      </c>
      <c r="E293" s="54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737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790</v>
      </c>
      <c r="D294" s="53" t="s">
        <v>727</v>
      </c>
      <c r="E294" s="54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737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790</v>
      </c>
      <c r="D295" s="53" t="s">
        <v>727</v>
      </c>
      <c r="E295" s="54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737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791</v>
      </c>
      <c r="D296" s="53" t="s">
        <v>727</v>
      </c>
      <c r="E296" s="54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738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791</v>
      </c>
      <c r="D297" s="53" t="s">
        <v>727</v>
      </c>
      <c r="E297" s="54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738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791</v>
      </c>
      <c r="D298" s="53" t="s">
        <v>727</v>
      </c>
      <c r="E298" s="54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738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791</v>
      </c>
      <c r="D299" s="53" t="s">
        <v>727</v>
      </c>
      <c r="E299" s="54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738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791</v>
      </c>
      <c r="D300" s="53" t="s">
        <v>727</v>
      </c>
      <c r="E300" s="54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738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791</v>
      </c>
      <c r="D301" s="53" t="s">
        <v>727</v>
      </c>
      <c r="E301" s="54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738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791</v>
      </c>
      <c r="D302" s="53" t="s">
        <v>727</v>
      </c>
      <c r="E302" s="54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738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791</v>
      </c>
      <c r="D303" s="53" t="s">
        <v>727</v>
      </c>
      <c r="E303" s="54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738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791</v>
      </c>
      <c r="D304" s="53" t="s">
        <v>727</v>
      </c>
      <c r="E304" s="54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738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791</v>
      </c>
      <c r="D305" s="53" t="s">
        <v>727</v>
      </c>
      <c r="E305" s="54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738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2026-07-30T14:31:36Z</dcterms:modified>
</cp:coreProperties>
</file>