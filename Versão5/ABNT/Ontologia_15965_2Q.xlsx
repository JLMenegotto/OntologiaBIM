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F98D073-4B9E-4FB7-BF05-81EDA2F1AEE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AA20" i="4"/>
  <c r="Q39" i="4"/>
  <c r="Q36" i="4"/>
  <c r="Q38" i="4"/>
  <c r="Q37" i="4"/>
  <c r="AA32" i="4"/>
  <c r="AA37" i="4"/>
  <c r="AA34" i="4"/>
  <c r="AA35" i="4"/>
  <c r="AA36" i="4"/>
  <c r="AA38" i="4"/>
  <c r="Q34" i="4"/>
  <c r="Q33" i="4"/>
  <c r="Q32" i="4"/>
  <c r="AA33" i="4"/>
  <c r="Q20" i="4"/>
  <c r="Q35" i="4"/>
  <c r="AA39" i="4"/>
  <c r="S22" i="4" l="1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O22" i="4"/>
  <c r="O23" i="4"/>
  <c r="O24" i="4"/>
  <c r="O25" i="4"/>
  <c r="O26" i="4"/>
  <c r="O27" i="4"/>
  <c r="O28" i="4"/>
  <c r="O29" i="4"/>
  <c r="O30" i="4"/>
  <c r="O31" i="4"/>
  <c r="N22" i="4"/>
  <c r="N23" i="4"/>
  <c r="N24" i="4"/>
  <c r="N25" i="4"/>
  <c r="N26" i="4"/>
  <c r="N27" i="4"/>
  <c r="N28" i="4"/>
  <c r="N29" i="4"/>
  <c r="N30" i="4"/>
  <c r="N31" i="4"/>
  <c r="M22" i="4"/>
  <c r="M23" i="4"/>
  <c r="M24" i="4"/>
  <c r="M25" i="4"/>
  <c r="M26" i="4"/>
  <c r="M27" i="4"/>
  <c r="M28" i="4"/>
  <c r="M29" i="4"/>
  <c r="M30" i="4"/>
  <c r="M31" i="4"/>
  <c r="L22" i="4"/>
  <c r="L23" i="4"/>
  <c r="L24" i="4"/>
  <c r="L25" i="4"/>
  <c r="L26" i="4"/>
  <c r="L27" i="4"/>
  <c r="L28" i="4"/>
  <c r="L29" i="4"/>
  <c r="L30" i="4"/>
  <c r="L31" i="4"/>
  <c r="U21" i="4"/>
  <c r="T21" i="4"/>
  <c r="S21" i="4"/>
  <c r="O21" i="4"/>
  <c r="N21" i="4"/>
  <c r="M21" i="4"/>
  <c r="L21" i="4"/>
  <c r="B18" i="8"/>
  <c r="B6" i="8"/>
  <c r="B5" i="8"/>
  <c r="B20" i="8"/>
  <c r="AA23" i="4"/>
  <c r="Q25" i="4"/>
  <c r="Q31" i="4"/>
  <c r="AA25" i="4"/>
  <c r="AA29" i="4"/>
  <c r="AA24" i="4"/>
  <c r="Q24" i="4"/>
  <c r="Q27" i="4"/>
  <c r="Q30" i="4"/>
  <c r="AA26" i="4"/>
  <c r="AA27" i="4"/>
  <c r="AA28" i="4"/>
  <c r="AA30" i="4"/>
  <c r="AA31" i="4"/>
  <c r="Q23" i="4"/>
  <c r="Q26" i="4"/>
  <c r="Q28" i="4"/>
  <c r="Q29" i="4"/>
  <c r="AA22" i="4"/>
  <c r="Q22" i="4"/>
  <c r="Q21" i="4"/>
  <c r="AA21" i="4"/>
  <c r="B21" i="8" l="1"/>
</calcChain>
</file>

<file path=xl/sharedStrings.xml><?xml version="1.0" encoding="utf-8"?>
<sst xmlns="http://schemas.openxmlformats.org/spreadsheetml/2006/main" count="15464" uniqueCount="1521">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</sst>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5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FD276809-E4C5-4861-8007-253055573830}"/>
  </cellStyles>
  <dxfs count="1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0" t="s">
        <v>1305</v>
      </c>
    </row>
    <row r="2" spans="1:3" s="42" customFormat="1" ht="8.6999999999999993" customHeight="1" x14ac:dyDescent="0.3">
      <c r="A2" s="3" t="s">
        <v>625</v>
      </c>
      <c r="B2" s="3" t="s">
        <v>1298</v>
      </c>
      <c r="C2" s="41" t="s">
        <v>1307</v>
      </c>
    </row>
    <row r="3" spans="1:3" s="42" customFormat="1" ht="8.6999999999999993" customHeight="1" x14ac:dyDescent="0.3">
      <c r="A3" s="3" t="s">
        <v>626</v>
      </c>
      <c r="B3" s="3" t="s">
        <v>623</v>
      </c>
      <c r="C3" s="41" t="s">
        <v>1307</v>
      </c>
    </row>
    <row r="4" spans="1:3" s="42" customFormat="1" ht="8.6999999999999993" customHeight="1" x14ac:dyDescent="0.3">
      <c r="A4" s="4" t="s">
        <v>5</v>
      </c>
      <c r="B4" s="4" t="s">
        <v>1250</v>
      </c>
      <c r="C4" s="41" t="s">
        <v>1307</v>
      </c>
    </row>
    <row r="5" spans="1:3" s="42" customFormat="1" ht="8.6999999999999993" customHeight="1" x14ac:dyDescent="0.3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999999999999993" customHeight="1" x14ac:dyDescent="0.3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999999999999993" customHeight="1" x14ac:dyDescent="0.3">
      <c r="A7" s="4" t="s">
        <v>8</v>
      </c>
      <c r="B7" s="4" t="s">
        <v>640</v>
      </c>
      <c r="C7" s="41" t="s">
        <v>1307</v>
      </c>
    </row>
    <row r="8" spans="1:3" s="42" customFormat="1" ht="8.6999999999999993" customHeight="1" x14ac:dyDescent="0.3">
      <c r="A8" s="38" t="s">
        <v>9</v>
      </c>
      <c r="B8" s="38" t="s">
        <v>1304</v>
      </c>
      <c r="C8" s="41" t="s">
        <v>1307</v>
      </c>
    </row>
    <row r="9" spans="1:3" s="42" customFormat="1" ht="8.6999999999999993" customHeight="1" x14ac:dyDescent="0.3">
      <c r="A9" s="4" t="s">
        <v>627</v>
      </c>
      <c r="B9" s="4" t="s">
        <v>628</v>
      </c>
      <c r="C9" s="41" t="s">
        <v>1307</v>
      </c>
    </row>
    <row r="10" spans="1:3" s="42" customFormat="1" ht="8.6999999999999993" customHeight="1" x14ac:dyDescent="0.3">
      <c r="A10" s="4" t="s">
        <v>629</v>
      </c>
      <c r="B10" s="4" t="s">
        <v>15</v>
      </c>
      <c r="C10" s="41" t="s">
        <v>1307</v>
      </c>
    </row>
    <row r="11" spans="1:3" s="42" customFormat="1" ht="8.6999999999999993" customHeight="1" x14ac:dyDescent="0.3">
      <c r="A11" s="4" t="s">
        <v>630</v>
      </c>
      <c r="B11" s="4" t="s">
        <v>639</v>
      </c>
      <c r="C11" s="41" t="s">
        <v>1307</v>
      </c>
    </row>
    <row r="12" spans="1:3" s="42" customFormat="1" ht="8.6999999999999993" customHeight="1" x14ac:dyDescent="0.3">
      <c r="A12" s="4" t="s">
        <v>10</v>
      </c>
      <c r="B12" s="4" t="s">
        <v>16</v>
      </c>
      <c r="C12" s="41" t="s">
        <v>1307</v>
      </c>
    </row>
    <row r="13" spans="1:3" s="42" customFormat="1" ht="8.6999999999999993" customHeight="1" x14ac:dyDescent="0.3">
      <c r="A13" s="4" t="s">
        <v>631</v>
      </c>
      <c r="B13" s="4" t="s">
        <v>622</v>
      </c>
      <c r="C13" s="41" t="s">
        <v>1307</v>
      </c>
    </row>
    <row r="14" spans="1:3" s="42" customFormat="1" ht="8.6999999999999993" customHeight="1" x14ac:dyDescent="0.3">
      <c r="A14" s="4" t="s">
        <v>632</v>
      </c>
      <c r="B14" s="4" t="s">
        <v>11</v>
      </c>
      <c r="C14" s="41" t="s">
        <v>1307</v>
      </c>
    </row>
    <row r="15" spans="1:3" s="42" customFormat="1" ht="8.6999999999999993" customHeight="1" x14ac:dyDescent="0.3">
      <c r="A15" s="4" t="s">
        <v>633</v>
      </c>
      <c r="B15" s="4" t="s">
        <v>11</v>
      </c>
      <c r="C15" s="41" t="s">
        <v>1307</v>
      </c>
    </row>
    <row r="16" spans="1:3" s="42" customFormat="1" ht="8.6999999999999993" customHeight="1" x14ac:dyDescent="0.3">
      <c r="A16" s="4" t="s">
        <v>634</v>
      </c>
      <c r="B16" s="4" t="s">
        <v>11</v>
      </c>
      <c r="C16" s="41" t="s">
        <v>1307</v>
      </c>
    </row>
    <row r="17" spans="1:3" s="42" customFormat="1" ht="8.6999999999999993" customHeight="1" x14ac:dyDescent="0.3">
      <c r="A17" s="4" t="s">
        <v>12</v>
      </c>
      <c r="B17" s="4" t="s">
        <v>13</v>
      </c>
      <c r="C17" s="41" t="s">
        <v>1307</v>
      </c>
    </row>
    <row r="18" spans="1:3" s="42" customFormat="1" ht="8.6999999999999993" customHeight="1" x14ac:dyDescent="0.3">
      <c r="A18" s="4" t="s">
        <v>635</v>
      </c>
      <c r="B18" s="5">
        <f ca="1">NOW()</f>
        <v>46243.559799074072</v>
      </c>
      <c r="C18" s="41" t="s">
        <v>1307</v>
      </c>
    </row>
    <row r="19" spans="1:3" s="42" customFormat="1" ht="8.6999999999999993" customHeight="1" x14ac:dyDescent="0.3">
      <c r="A19" s="4" t="s">
        <v>1316</v>
      </c>
      <c r="B19" s="5" t="s">
        <v>1309</v>
      </c>
      <c r="C19" s="41" t="s">
        <v>1307</v>
      </c>
    </row>
    <row r="20" spans="1:3" s="42" customFormat="1" ht="8.6999999999999993" customHeight="1" x14ac:dyDescent="0.3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999999999999993" customHeight="1" x14ac:dyDescent="0.3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999999999999993" customHeight="1" x14ac:dyDescent="0.3">
      <c r="A22" s="4" t="s">
        <v>624</v>
      </c>
      <c r="B22" s="4" t="s">
        <v>11</v>
      </c>
      <c r="C22" s="41" t="s">
        <v>1307</v>
      </c>
    </row>
    <row r="23" spans="1:3" s="42" customFormat="1" ht="8.6999999999999993" customHeight="1" x14ac:dyDescent="0.3">
      <c r="A23" s="4" t="s">
        <v>636</v>
      </c>
      <c r="B23" s="5" t="s">
        <v>11</v>
      </c>
      <c r="C23" s="41" t="s">
        <v>1307</v>
      </c>
    </row>
    <row r="24" spans="1:3" s="42" customFormat="1" ht="8.6999999999999993" customHeight="1" x14ac:dyDescent="0.3">
      <c r="A24" s="4" t="s">
        <v>641</v>
      </c>
      <c r="B24" s="4" t="s">
        <v>642</v>
      </c>
      <c r="C24" s="41" t="s">
        <v>1307</v>
      </c>
    </row>
    <row r="25" spans="1:3" s="42" customFormat="1" ht="8.6999999999999993" customHeight="1" x14ac:dyDescent="0.3">
      <c r="A25" s="4" t="s">
        <v>643</v>
      </c>
      <c r="B25" s="4" t="s">
        <v>644</v>
      </c>
      <c r="C25" s="41" t="s">
        <v>1308</v>
      </c>
    </row>
    <row r="26" spans="1:3" s="42" customFormat="1" ht="8.6999999999999993" customHeight="1" x14ac:dyDescent="0.3">
      <c r="A26" s="38" t="s">
        <v>1302</v>
      </c>
      <c r="B26" s="39" t="s">
        <v>1303</v>
      </c>
      <c r="C26" s="41" t="s">
        <v>1306</v>
      </c>
    </row>
    <row r="27" spans="1:3" ht="8.25" customHeight="1" x14ac:dyDescent="0.3">
      <c r="A27" s="38" t="s">
        <v>1492</v>
      </c>
      <c r="B27" s="67" t="s">
        <v>1493</v>
      </c>
      <c r="C27" s="41" t="s">
        <v>1307</v>
      </c>
    </row>
    <row r="28" spans="1:3" ht="8.25" customHeight="1" x14ac:dyDescent="0.3">
      <c r="A28" s="38" t="s">
        <v>1494</v>
      </c>
      <c r="B28" s="68" t="s">
        <v>1495</v>
      </c>
      <c r="C28" s="41" t="s">
        <v>1307</v>
      </c>
    </row>
    <row r="29" spans="1:3" ht="8.25" customHeight="1" x14ac:dyDescent="0.3">
      <c r="A29" s="38" t="s">
        <v>1496</v>
      </c>
      <c r="B29" s="68" t="s">
        <v>1497</v>
      </c>
      <c r="C29" s="41" t="s">
        <v>1307</v>
      </c>
    </row>
    <row r="30" spans="1:3" s="70" customFormat="1" ht="8.25" customHeight="1" x14ac:dyDescent="0.2">
      <c r="A30" s="38" t="s">
        <v>1498</v>
      </c>
      <c r="B30" s="69" t="s">
        <v>1499</v>
      </c>
      <c r="C30" s="41" t="s">
        <v>1307</v>
      </c>
    </row>
    <row r="31" spans="1:3" s="70" customFormat="1" ht="8.25" customHeight="1" x14ac:dyDescent="0.2">
      <c r="A31" s="38" t="s">
        <v>1500</v>
      </c>
      <c r="B31" s="69" t="s">
        <v>1501</v>
      </c>
      <c r="C31" s="41" t="s">
        <v>1307</v>
      </c>
    </row>
    <row r="32" spans="1:3" s="70" customFormat="1" ht="8.25" customHeight="1" x14ac:dyDescent="0.2">
      <c r="A32" s="38" t="s">
        <v>1502</v>
      </c>
      <c r="B32" s="69" t="s">
        <v>1503</v>
      </c>
      <c r="C32" s="41" t="s">
        <v>1307</v>
      </c>
    </row>
    <row r="33" spans="1:3" s="70" customFormat="1" ht="8.25" customHeight="1" x14ac:dyDescent="0.2">
      <c r="A33" s="38" t="s">
        <v>1504</v>
      </c>
      <c r="B33" s="71" t="s">
        <v>1505</v>
      </c>
      <c r="C33" s="41" t="s">
        <v>1307</v>
      </c>
    </row>
    <row r="34" spans="1:3" s="70" customFormat="1" ht="8.25" customHeight="1" x14ac:dyDescent="0.2">
      <c r="A34" s="38" t="s">
        <v>1506</v>
      </c>
      <c r="B34" s="71" t="s">
        <v>1507</v>
      </c>
      <c r="C34" s="41" t="s">
        <v>1307</v>
      </c>
    </row>
    <row r="35" spans="1:3" s="70" customFormat="1" ht="8.25" customHeight="1" x14ac:dyDescent="0.2">
      <c r="A35" s="38" t="s">
        <v>1508</v>
      </c>
      <c r="B35" s="69" t="s">
        <v>1509</v>
      </c>
      <c r="C35" s="41" t="s">
        <v>1307</v>
      </c>
    </row>
    <row r="36" spans="1:3" s="70" customFormat="1" ht="8.25" customHeight="1" x14ac:dyDescent="0.2">
      <c r="A36" s="38" t="s">
        <v>1510</v>
      </c>
      <c r="B36" s="71" t="s">
        <v>1511</v>
      </c>
      <c r="C36" s="41" t="s">
        <v>1307</v>
      </c>
    </row>
    <row r="37" spans="1:3" s="70" customFormat="1" ht="8.25" customHeight="1" x14ac:dyDescent="0.2">
      <c r="A37" s="38" t="s">
        <v>1512</v>
      </c>
      <c r="B37" s="69" t="s">
        <v>1513</v>
      </c>
      <c r="C37" s="41" t="s">
        <v>1307</v>
      </c>
    </row>
    <row r="38" spans="1:3" ht="10" customHeight="1" x14ac:dyDescent="0.3">
      <c r="A38" s="4" t="s">
        <v>1514</v>
      </c>
      <c r="B38" s="72" t="s">
        <v>1515</v>
      </c>
      <c r="C38" s="41" t="s">
        <v>1307</v>
      </c>
    </row>
    <row r="39" spans="1:3" s="74" customFormat="1" ht="9.65" customHeight="1" x14ac:dyDescent="0.2">
      <c r="A39" s="38" t="s">
        <v>1516</v>
      </c>
      <c r="B39" s="73" t="s">
        <v>1517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9"/>
  <sheetViews>
    <sheetView zoomScale="160" zoomScaleNormal="160" workbookViewId="0">
      <pane ySplit="1" topLeftCell="A2" activePane="bottomLeft" state="frozen"/>
      <selection pane="bottomLeft"/>
    </sheetView>
  </sheetViews>
  <sheetFormatPr defaultColWidth="8.5" defaultRowHeight="7.3" customHeight="1" x14ac:dyDescent="0.3"/>
  <cols>
    <col min="1" max="1" width="3.19921875" customWidth="1"/>
    <col min="2" max="2" width="7" style="33" customWidth="1"/>
    <col min="3" max="3" width="7.796875" style="33" customWidth="1"/>
    <col min="4" max="4" width="9.796875" style="33" customWidth="1"/>
    <col min="5" max="5" width="11.69921875" style="33" customWidth="1"/>
    <col min="6" max="6" width="20.3984375" style="33" bestFit="1" customWidth="1"/>
    <col min="7" max="11" width="8.5" style="33"/>
    <col min="14" max="14" width="10.5" bestFit="1" customWidth="1"/>
    <col min="15" max="15" width="21" customWidth="1"/>
    <col min="16" max="16" width="57.69921875" bestFit="1" customWidth="1"/>
    <col min="17" max="17" width="60.69921875" bestFit="1" customWidth="1"/>
    <col min="18" max="18" width="8.5" style="33"/>
    <col min="21" max="21" width="10.5" bestFit="1" customWidth="1"/>
    <col min="23" max="23" width="8.5" style="33"/>
    <col min="26" max="26" width="10.69921875" customWidth="1"/>
    <col min="27" max="27" width="64.5" bestFit="1" customWidth="1"/>
  </cols>
  <sheetData>
    <row r="1" spans="1:27" ht="37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1" t="s">
        <v>1295</v>
      </c>
      <c r="S1" s="11" t="s">
        <v>1253</v>
      </c>
      <c r="T1" s="11" t="s">
        <v>1272</v>
      </c>
      <c r="U1" s="11" t="s">
        <v>1255</v>
      </c>
      <c r="V1" s="11" t="s">
        <v>1254</v>
      </c>
      <c r="W1" s="66" t="s">
        <v>1273</v>
      </c>
      <c r="X1" s="11" t="s">
        <v>1299</v>
      </c>
      <c r="Y1" s="11" t="s">
        <v>1300</v>
      </c>
      <c r="Z1" s="11" t="s">
        <v>1274</v>
      </c>
      <c r="AA1" s="36" t="s">
        <v>1301</v>
      </c>
    </row>
    <row r="2" spans="1:27" s="33" customFormat="1" ht="7.3" customHeight="1" x14ac:dyDescent="0.3">
      <c r="A2" s="55">
        <v>2</v>
      </c>
      <c r="B2" s="56" t="s">
        <v>1518</v>
      </c>
      <c r="C2" s="56" t="s">
        <v>1328</v>
      </c>
      <c r="D2" s="56" t="s">
        <v>1330</v>
      </c>
      <c r="E2" s="57" t="s">
        <v>1445</v>
      </c>
      <c r="F2" s="57" t="s">
        <v>1329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8" t="str">
        <f t="shared" ref="L2:N17" si="0">CONCATENATE("", C2)</f>
        <v>Gestão</v>
      </c>
      <c r="M2" s="58" t="str">
        <f t="shared" si="0"/>
        <v>Informação</v>
      </c>
      <c r="N2" s="58" t="str">
        <f t="shared" ref="N2:O6" si="1">(SUBSTITUTE(SUBSTITUTE(CONCATENATE("",E2),"."," ")," De "," de "))</f>
        <v>Contêineres</v>
      </c>
      <c r="O2" s="58" t="str">
        <f t="shared" si="1"/>
        <v>Contêiner</v>
      </c>
      <c r="P2" s="37" t="s">
        <v>1446</v>
      </c>
      <c r="Q2" s="37" t="s">
        <v>1447</v>
      </c>
      <c r="R2" s="37" t="s">
        <v>638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1331</v>
      </c>
      <c r="W2" s="65" t="str">
        <f>CONCATENATE("Key-ABNT-",A2)</f>
        <v>Key-ABNT-2</v>
      </c>
      <c r="X2" s="37" t="s">
        <v>638</v>
      </c>
      <c r="Y2" s="37" t="s">
        <v>638</v>
      </c>
      <c r="Z2" s="37" t="s">
        <v>1448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7.3" customHeight="1" x14ac:dyDescent="0.3">
      <c r="A3" s="55">
        <v>3</v>
      </c>
      <c r="B3" s="56" t="s">
        <v>1518</v>
      </c>
      <c r="C3" s="56" t="s">
        <v>1328</v>
      </c>
      <c r="D3" s="56" t="s">
        <v>1330</v>
      </c>
      <c r="E3" s="57" t="s">
        <v>1445</v>
      </c>
      <c r="F3" s="57" t="s">
        <v>1332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8" t="str">
        <f t="shared" si="0"/>
        <v>Gestão</v>
      </c>
      <c r="M3" s="58" t="str">
        <f t="shared" si="0"/>
        <v>Informação</v>
      </c>
      <c r="N3" s="58" t="str">
        <f t="shared" si="1"/>
        <v>Contêineres</v>
      </c>
      <c r="O3" s="58" t="str">
        <f t="shared" si="1"/>
        <v>Requisito Espacial</v>
      </c>
      <c r="P3" s="37" t="s">
        <v>1449</v>
      </c>
      <c r="Q3" s="37" t="s">
        <v>1447</v>
      </c>
      <c r="R3" s="37" t="s">
        <v>638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1331</v>
      </c>
      <c r="W3" s="65" t="str">
        <f t="shared" ref="W3:W39" si="4">CONCATENATE("Key-ABNT-",A3)</f>
        <v>Key-ABNT-3</v>
      </c>
      <c r="X3" s="37" t="s">
        <v>638</v>
      </c>
      <c r="Y3" s="37" t="s">
        <v>638</v>
      </c>
      <c r="Z3" s="37" t="s">
        <v>638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7.3" customHeight="1" x14ac:dyDescent="0.3">
      <c r="A4" s="55">
        <v>4</v>
      </c>
      <c r="B4" s="56" t="s">
        <v>1518</v>
      </c>
      <c r="C4" s="56" t="s">
        <v>1328</v>
      </c>
      <c r="D4" s="56" t="s">
        <v>1330</v>
      </c>
      <c r="E4" s="57" t="s">
        <v>1445</v>
      </c>
      <c r="F4" s="57" t="s">
        <v>1333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8" t="str">
        <f t="shared" si="0"/>
        <v>Gestão</v>
      </c>
      <c r="M4" s="58" t="str">
        <f t="shared" si="0"/>
        <v>Informação</v>
      </c>
      <c r="N4" s="58" t="str">
        <f t="shared" si="1"/>
        <v>Contêineres</v>
      </c>
      <c r="O4" s="58" t="str">
        <f t="shared" si="1"/>
        <v>Requisito Mobiliário</v>
      </c>
      <c r="P4" s="37" t="s">
        <v>1450</v>
      </c>
      <c r="Q4" s="37" t="s">
        <v>1447</v>
      </c>
      <c r="R4" s="37" t="s">
        <v>638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1331</v>
      </c>
      <c r="W4" s="65" t="str">
        <f t="shared" si="4"/>
        <v>Key-ABNT-4</v>
      </c>
      <c r="X4" s="37" t="s">
        <v>638</v>
      </c>
      <c r="Y4" s="37" t="s">
        <v>638</v>
      </c>
      <c r="Z4" s="37" t="s">
        <v>638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7.3" customHeight="1" x14ac:dyDescent="0.3">
      <c r="A5" s="55">
        <v>5</v>
      </c>
      <c r="B5" s="56" t="s">
        <v>1518</v>
      </c>
      <c r="C5" s="56" t="s">
        <v>1328</v>
      </c>
      <c r="D5" s="56" t="s">
        <v>1330</v>
      </c>
      <c r="E5" s="57" t="s">
        <v>1445</v>
      </c>
      <c r="F5" s="57" t="s">
        <v>1334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8" t="str">
        <f t="shared" si="0"/>
        <v>Gestão</v>
      </c>
      <c r="M5" s="58" t="str">
        <f t="shared" si="0"/>
        <v>Informação</v>
      </c>
      <c r="N5" s="58" t="str">
        <f t="shared" si="1"/>
        <v>Contêineres</v>
      </c>
      <c r="O5" s="58" t="str">
        <f t="shared" si="1"/>
        <v>Requisito Equipamento</v>
      </c>
      <c r="P5" s="37" t="s">
        <v>1451</v>
      </c>
      <c r="Q5" s="37" t="s">
        <v>1447</v>
      </c>
      <c r="R5" s="37" t="s">
        <v>638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1331</v>
      </c>
      <c r="W5" s="65" t="str">
        <f t="shared" si="4"/>
        <v>Key-ABNT-5</v>
      </c>
      <c r="X5" s="37" t="s">
        <v>638</v>
      </c>
      <c r="Y5" s="37" t="s">
        <v>638</v>
      </c>
      <c r="Z5" s="37" t="s">
        <v>638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7.3" customHeight="1" x14ac:dyDescent="0.3">
      <c r="A6" s="55">
        <v>6</v>
      </c>
      <c r="B6" s="56" t="s">
        <v>1518</v>
      </c>
      <c r="C6" s="56" t="s">
        <v>1328</v>
      </c>
      <c r="D6" s="56" t="s">
        <v>1330</v>
      </c>
      <c r="E6" s="57" t="s">
        <v>1445</v>
      </c>
      <c r="F6" s="57" t="s">
        <v>1335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8" t="str">
        <f t="shared" si="0"/>
        <v>Gestão</v>
      </c>
      <c r="M6" s="58" t="str">
        <f t="shared" si="0"/>
        <v>Informação</v>
      </c>
      <c r="N6" s="58" t="str">
        <f t="shared" si="1"/>
        <v>Contêineres</v>
      </c>
      <c r="O6" s="58" t="str">
        <f t="shared" si="1"/>
        <v>Requisito Sistemas</v>
      </c>
      <c r="P6" s="37" t="s">
        <v>1452</v>
      </c>
      <c r="Q6" s="37" t="s">
        <v>1447</v>
      </c>
      <c r="R6" s="37" t="s">
        <v>638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1331</v>
      </c>
      <c r="W6" s="65" t="str">
        <f t="shared" si="4"/>
        <v>Key-ABNT-6</v>
      </c>
      <c r="X6" s="37" t="s">
        <v>638</v>
      </c>
      <c r="Y6" s="37" t="s">
        <v>638</v>
      </c>
      <c r="Z6" s="37" t="s">
        <v>638</v>
      </c>
      <c r="AA6" s="37" t="str">
        <f t="shared" si="3"/>
        <v>Defines an information container in accordance with the NBR 19650-1 standard. Building Systems Requirements for the Project.</v>
      </c>
    </row>
    <row r="7" spans="1:27" ht="7.3" customHeight="1" x14ac:dyDescent="0.3">
      <c r="A7" s="55">
        <v>7</v>
      </c>
      <c r="B7" s="56" t="s">
        <v>1518</v>
      </c>
      <c r="C7" s="31" t="s">
        <v>1519</v>
      </c>
      <c r="D7" s="31" t="s">
        <v>1274</v>
      </c>
      <c r="E7" s="31" t="s">
        <v>1363</v>
      </c>
      <c r="F7" s="13" t="s">
        <v>1379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ref="O7:O19" si="5">F7</f>
        <v>NBR.0M</v>
      </c>
      <c r="P7" s="58" t="s">
        <v>1453</v>
      </c>
      <c r="Q7" s="58" t="s">
        <v>1454</v>
      </c>
      <c r="R7" s="37" t="s">
        <v>638</v>
      </c>
      <c r="S7" s="59" t="str">
        <f t="shared" ref="S7:U19" si="6">SUBSTITUTE(C7, "_", " ")</f>
        <v>Normativos</v>
      </c>
      <c r="T7" s="59" t="str">
        <f t="shared" si="6"/>
        <v>ABNT</v>
      </c>
      <c r="U7" s="58" t="str">
        <f t="shared" si="6"/>
        <v>NBR.Parte</v>
      </c>
      <c r="V7" s="37" t="s">
        <v>1331</v>
      </c>
      <c r="W7" s="65" t="str">
        <f t="shared" si="4"/>
        <v>Key-ABNT-7</v>
      </c>
      <c r="X7" s="37" t="s">
        <v>638</v>
      </c>
      <c r="Y7" s="37" t="s">
        <v>638</v>
      </c>
      <c r="Z7" s="37" t="s">
        <v>1336</v>
      </c>
      <c r="AA7" s="60" t="s">
        <v>1455</v>
      </c>
    </row>
    <row r="8" spans="1:27" ht="7.3" customHeight="1" x14ac:dyDescent="0.3">
      <c r="A8" s="55">
        <v>8</v>
      </c>
      <c r="B8" s="56" t="s">
        <v>1518</v>
      </c>
      <c r="C8" s="31" t="s">
        <v>1519</v>
      </c>
      <c r="D8" s="31" t="s">
        <v>1274</v>
      </c>
      <c r="E8" s="31" t="s">
        <v>1363</v>
      </c>
      <c r="F8" s="13" t="s">
        <v>1380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5"/>
        <v>NBR.0P</v>
      </c>
      <c r="P8" s="58" t="s">
        <v>1456</v>
      </c>
      <c r="Q8" s="58" t="s">
        <v>1457</v>
      </c>
      <c r="R8" s="37" t="s">
        <v>638</v>
      </c>
      <c r="S8" s="59" t="str">
        <f t="shared" si="6"/>
        <v>Normativos</v>
      </c>
      <c r="T8" s="59" t="str">
        <f t="shared" si="6"/>
        <v>ABNT</v>
      </c>
      <c r="U8" s="58" t="str">
        <f t="shared" si="6"/>
        <v>NBR.Parte</v>
      </c>
      <c r="V8" s="37" t="s">
        <v>1331</v>
      </c>
      <c r="W8" s="65" t="str">
        <f t="shared" si="4"/>
        <v>Key-ABNT-8</v>
      </c>
      <c r="X8" s="37" t="s">
        <v>638</v>
      </c>
      <c r="Y8" s="37" t="s">
        <v>638</v>
      </c>
      <c r="Z8" s="37" t="s">
        <v>1337</v>
      </c>
      <c r="AA8" s="60" t="s">
        <v>1458</v>
      </c>
    </row>
    <row r="9" spans="1:27" ht="7.3" customHeight="1" x14ac:dyDescent="0.3">
      <c r="A9" s="55">
        <v>9</v>
      </c>
      <c r="B9" s="56" t="s">
        <v>1518</v>
      </c>
      <c r="C9" s="31" t="s">
        <v>1519</v>
      </c>
      <c r="D9" s="31" t="s">
        <v>1274</v>
      </c>
      <c r="E9" s="31" t="s">
        <v>1363</v>
      </c>
      <c r="F9" s="13" t="s">
        <v>1381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5"/>
        <v>NBR.1D</v>
      </c>
      <c r="P9" s="58" t="s">
        <v>1459</v>
      </c>
      <c r="Q9" s="58" t="s">
        <v>1460</v>
      </c>
      <c r="R9" s="37" t="s">
        <v>638</v>
      </c>
      <c r="S9" s="59" t="str">
        <f t="shared" si="6"/>
        <v>Normativos</v>
      </c>
      <c r="T9" s="59" t="str">
        <f t="shared" si="6"/>
        <v>ABNT</v>
      </c>
      <c r="U9" s="58" t="str">
        <f t="shared" si="6"/>
        <v>NBR.Parte</v>
      </c>
      <c r="V9" s="37" t="s">
        <v>1331</v>
      </c>
      <c r="W9" s="65" t="str">
        <f t="shared" si="4"/>
        <v>Key-ABNT-9</v>
      </c>
      <c r="X9" s="37" t="s">
        <v>638</v>
      </c>
      <c r="Y9" s="37" t="s">
        <v>638</v>
      </c>
      <c r="Z9" s="37" t="s">
        <v>1338</v>
      </c>
      <c r="AA9" s="60" t="s">
        <v>1461</v>
      </c>
    </row>
    <row r="10" spans="1:27" ht="7.3" customHeight="1" x14ac:dyDescent="0.3">
      <c r="A10" s="55">
        <v>10</v>
      </c>
      <c r="B10" s="56" t="s">
        <v>1518</v>
      </c>
      <c r="C10" s="31" t="s">
        <v>1519</v>
      </c>
      <c r="D10" s="31" t="s">
        <v>1274</v>
      </c>
      <c r="E10" s="31" t="s">
        <v>1363</v>
      </c>
      <c r="F10" s="13" t="s">
        <v>1382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5"/>
        <v>NBR.1F</v>
      </c>
      <c r="P10" s="58" t="s">
        <v>1462</v>
      </c>
      <c r="Q10" s="58" t="s">
        <v>1463</v>
      </c>
      <c r="R10" s="37" t="s">
        <v>638</v>
      </c>
      <c r="S10" s="59" t="str">
        <f t="shared" si="6"/>
        <v>Normativos</v>
      </c>
      <c r="T10" s="59" t="str">
        <f t="shared" si="6"/>
        <v>ABNT</v>
      </c>
      <c r="U10" s="58" t="str">
        <f t="shared" si="6"/>
        <v>NBR.Parte</v>
      </c>
      <c r="V10" s="37" t="s">
        <v>1331</v>
      </c>
      <c r="W10" s="65" t="str">
        <f t="shared" si="4"/>
        <v>Key-ABNT-10</v>
      </c>
      <c r="X10" s="37" t="s">
        <v>638</v>
      </c>
      <c r="Y10" s="37" t="s">
        <v>638</v>
      </c>
      <c r="Z10" s="37" t="s">
        <v>1339</v>
      </c>
      <c r="AA10" s="60" t="s">
        <v>1464</v>
      </c>
    </row>
    <row r="11" spans="1:27" ht="7.3" customHeight="1" x14ac:dyDescent="0.3">
      <c r="A11" s="55">
        <v>11</v>
      </c>
      <c r="B11" s="56" t="s">
        <v>1518</v>
      </c>
      <c r="C11" s="31" t="s">
        <v>1519</v>
      </c>
      <c r="D11" s="31" t="s">
        <v>1274</v>
      </c>
      <c r="E11" s="31" t="s">
        <v>1363</v>
      </c>
      <c r="F11" s="13" t="s">
        <v>1383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5"/>
        <v>NBR.1S</v>
      </c>
      <c r="P11" s="58" t="s">
        <v>1465</v>
      </c>
      <c r="Q11" s="58" t="s">
        <v>1466</v>
      </c>
      <c r="R11" s="37" t="s">
        <v>638</v>
      </c>
      <c r="S11" s="59" t="str">
        <f t="shared" si="6"/>
        <v>Normativos</v>
      </c>
      <c r="T11" s="59" t="str">
        <f t="shared" si="6"/>
        <v>ABNT</v>
      </c>
      <c r="U11" s="58" t="str">
        <f t="shared" si="6"/>
        <v>NBR.Parte</v>
      </c>
      <c r="V11" s="37" t="s">
        <v>1331</v>
      </c>
      <c r="W11" s="65" t="str">
        <f t="shared" si="4"/>
        <v>Key-ABNT-11</v>
      </c>
      <c r="X11" s="37" t="s">
        <v>638</v>
      </c>
      <c r="Y11" s="37" t="s">
        <v>638</v>
      </c>
      <c r="Z11" s="37" t="s">
        <v>1340</v>
      </c>
      <c r="AA11" s="60" t="s">
        <v>1467</v>
      </c>
    </row>
    <row r="12" spans="1:27" ht="7.3" customHeight="1" x14ac:dyDescent="0.3">
      <c r="A12" s="55">
        <v>12</v>
      </c>
      <c r="B12" s="56" t="s">
        <v>1518</v>
      </c>
      <c r="C12" s="31" t="s">
        <v>1519</v>
      </c>
      <c r="D12" s="31" t="s">
        <v>1274</v>
      </c>
      <c r="E12" s="31" t="s">
        <v>1363</v>
      </c>
      <c r="F12" s="13" t="s">
        <v>1384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5"/>
        <v>NBR.2C</v>
      </c>
      <c r="P12" s="58" t="s">
        <v>1468</v>
      </c>
      <c r="Q12" s="58" t="s">
        <v>1469</v>
      </c>
      <c r="R12" s="37" t="s">
        <v>638</v>
      </c>
      <c r="S12" s="59" t="str">
        <f t="shared" si="6"/>
        <v>Normativos</v>
      </c>
      <c r="T12" s="59" t="str">
        <f t="shared" si="6"/>
        <v>ABNT</v>
      </c>
      <c r="U12" s="58" t="str">
        <f t="shared" si="6"/>
        <v>NBR.Parte</v>
      </c>
      <c r="V12" s="37" t="s">
        <v>1331</v>
      </c>
      <c r="W12" s="65" t="str">
        <f t="shared" si="4"/>
        <v>Key-ABNT-12</v>
      </c>
      <c r="X12" s="37" t="s">
        <v>638</v>
      </c>
      <c r="Y12" s="37" t="s">
        <v>638</v>
      </c>
      <c r="Z12" s="37" t="s">
        <v>1341</v>
      </c>
      <c r="AA12" s="60" t="s">
        <v>1470</v>
      </c>
    </row>
    <row r="13" spans="1:27" ht="7.3" customHeight="1" x14ac:dyDescent="0.3">
      <c r="A13" s="55">
        <v>13</v>
      </c>
      <c r="B13" s="56" t="s">
        <v>1518</v>
      </c>
      <c r="C13" s="31" t="s">
        <v>1519</v>
      </c>
      <c r="D13" s="31" t="s">
        <v>1274</v>
      </c>
      <c r="E13" s="31" t="s">
        <v>1363</v>
      </c>
      <c r="F13" s="13" t="s">
        <v>1385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5"/>
        <v>NBR.2N</v>
      </c>
      <c r="P13" s="58" t="s">
        <v>1471</v>
      </c>
      <c r="Q13" s="58" t="s">
        <v>1472</v>
      </c>
      <c r="R13" s="37" t="s">
        <v>638</v>
      </c>
      <c r="S13" s="59" t="str">
        <f t="shared" si="6"/>
        <v>Normativos</v>
      </c>
      <c r="T13" s="59" t="str">
        <f t="shared" si="6"/>
        <v>ABNT</v>
      </c>
      <c r="U13" s="58" t="str">
        <f t="shared" si="6"/>
        <v>NBR.Parte</v>
      </c>
      <c r="V13" s="37" t="s">
        <v>1331</v>
      </c>
      <c r="W13" s="65" t="str">
        <f t="shared" si="4"/>
        <v>Key-ABNT-13</v>
      </c>
      <c r="X13" s="37" t="s">
        <v>638</v>
      </c>
      <c r="Y13" s="37" t="s">
        <v>638</v>
      </c>
      <c r="Z13" s="37" t="s">
        <v>1342</v>
      </c>
      <c r="AA13" s="60" t="s">
        <v>1473</v>
      </c>
    </row>
    <row r="14" spans="1:27" ht="7.3" customHeight="1" x14ac:dyDescent="0.3">
      <c r="A14" s="55">
        <v>14</v>
      </c>
      <c r="B14" s="56" t="s">
        <v>1518</v>
      </c>
      <c r="C14" s="31" t="s">
        <v>1519</v>
      </c>
      <c r="D14" s="31" t="s">
        <v>1274</v>
      </c>
      <c r="E14" s="31" t="s">
        <v>1363</v>
      </c>
      <c r="F14" s="13" t="s">
        <v>1362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5"/>
        <v>NBR.2Q</v>
      </c>
      <c r="P14" s="58" t="s">
        <v>1474</v>
      </c>
      <c r="Q14" s="58" t="s">
        <v>1475</v>
      </c>
      <c r="R14" s="37" t="s">
        <v>638</v>
      </c>
      <c r="S14" s="59" t="str">
        <f t="shared" si="6"/>
        <v>Normativos</v>
      </c>
      <c r="T14" s="59" t="str">
        <f t="shared" si="6"/>
        <v>ABNT</v>
      </c>
      <c r="U14" s="58" t="str">
        <f t="shared" si="6"/>
        <v>NBR.Parte</v>
      </c>
      <c r="V14" s="37" t="s">
        <v>1331</v>
      </c>
      <c r="W14" s="65" t="str">
        <f t="shared" si="4"/>
        <v>Key-ABNT-14</v>
      </c>
      <c r="X14" s="37" t="s">
        <v>638</v>
      </c>
      <c r="Y14" s="37" t="s">
        <v>638</v>
      </c>
      <c r="Z14" s="37" t="s">
        <v>1243</v>
      </c>
      <c r="AA14" s="60" t="s">
        <v>1476</v>
      </c>
    </row>
    <row r="15" spans="1:27" ht="7.3" customHeight="1" x14ac:dyDescent="0.3">
      <c r="A15" s="55">
        <v>15</v>
      </c>
      <c r="B15" s="56" t="s">
        <v>1518</v>
      </c>
      <c r="C15" s="31" t="s">
        <v>1519</v>
      </c>
      <c r="D15" s="31" t="s">
        <v>1274</v>
      </c>
      <c r="E15" s="31" t="s">
        <v>1363</v>
      </c>
      <c r="F15" s="13" t="s">
        <v>1386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8" t="str">
        <f t="shared" si="0"/>
        <v>Normativos</v>
      </c>
      <c r="M15" s="58" t="str">
        <f t="shared" si="0"/>
        <v>ABNT</v>
      </c>
      <c r="N15" s="58" t="str">
        <f t="shared" si="0"/>
        <v>NBR.Parte</v>
      </c>
      <c r="O15" s="58" t="str">
        <f t="shared" si="5"/>
        <v>NBR.3E</v>
      </c>
      <c r="P15" s="58" t="s">
        <v>1477</v>
      </c>
      <c r="Q15" s="58" t="s">
        <v>1478</v>
      </c>
      <c r="R15" s="37" t="s">
        <v>638</v>
      </c>
      <c r="S15" s="59" t="str">
        <f t="shared" si="6"/>
        <v>Normativos</v>
      </c>
      <c r="T15" s="59" t="str">
        <f t="shared" si="6"/>
        <v>ABNT</v>
      </c>
      <c r="U15" s="58" t="str">
        <f t="shared" si="6"/>
        <v>NBR.Parte</v>
      </c>
      <c r="V15" s="37" t="s">
        <v>1331</v>
      </c>
      <c r="W15" s="65" t="str">
        <f t="shared" si="4"/>
        <v>Key-ABNT-15</v>
      </c>
      <c r="X15" s="37" t="s">
        <v>638</v>
      </c>
      <c r="Y15" s="37" t="s">
        <v>638</v>
      </c>
      <c r="Z15" s="37" t="s">
        <v>1343</v>
      </c>
      <c r="AA15" s="60" t="s">
        <v>1479</v>
      </c>
    </row>
    <row r="16" spans="1:27" ht="7.3" customHeight="1" x14ac:dyDescent="0.3">
      <c r="A16" s="55">
        <v>16</v>
      </c>
      <c r="B16" s="56" t="s">
        <v>1518</v>
      </c>
      <c r="C16" s="31" t="s">
        <v>1519</v>
      </c>
      <c r="D16" s="31" t="s">
        <v>1274</v>
      </c>
      <c r="E16" s="31" t="s">
        <v>1363</v>
      </c>
      <c r="F16" s="13" t="s">
        <v>1387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8" t="str">
        <f t="shared" si="0"/>
        <v>Normativos</v>
      </c>
      <c r="M16" s="58" t="str">
        <f t="shared" si="0"/>
        <v>ABNT</v>
      </c>
      <c r="N16" s="58" t="str">
        <f t="shared" si="0"/>
        <v>NBR.Parte</v>
      </c>
      <c r="O16" s="58" t="str">
        <f t="shared" si="5"/>
        <v>NBR.3R</v>
      </c>
      <c r="P16" s="58" t="s">
        <v>1480</v>
      </c>
      <c r="Q16" s="58" t="s">
        <v>1481</v>
      </c>
      <c r="R16" s="37" t="s">
        <v>638</v>
      </c>
      <c r="S16" s="59" t="str">
        <f t="shared" si="6"/>
        <v>Normativos</v>
      </c>
      <c r="T16" s="59" t="str">
        <f t="shared" si="6"/>
        <v>ABNT</v>
      </c>
      <c r="U16" s="58" t="str">
        <f t="shared" si="6"/>
        <v>NBR.Parte</v>
      </c>
      <c r="V16" s="37" t="s">
        <v>1331</v>
      </c>
      <c r="W16" s="65" t="str">
        <f t="shared" si="4"/>
        <v>Key-ABNT-16</v>
      </c>
      <c r="X16" s="37" t="s">
        <v>638</v>
      </c>
      <c r="Y16" s="37" t="s">
        <v>638</v>
      </c>
      <c r="Z16" s="37" t="s">
        <v>1344</v>
      </c>
      <c r="AA16" s="60" t="s">
        <v>1482</v>
      </c>
    </row>
    <row r="17" spans="1:27" ht="7.3" customHeight="1" x14ac:dyDescent="0.3">
      <c r="A17" s="55">
        <v>17</v>
      </c>
      <c r="B17" s="56" t="s">
        <v>1518</v>
      </c>
      <c r="C17" s="31" t="s">
        <v>1519</v>
      </c>
      <c r="D17" s="31" t="s">
        <v>1274</v>
      </c>
      <c r="E17" s="31" t="s">
        <v>1363</v>
      </c>
      <c r="F17" s="13" t="s">
        <v>1388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8" t="str">
        <f t="shared" si="0"/>
        <v>Normativos</v>
      </c>
      <c r="M17" s="58" t="str">
        <f t="shared" si="0"/>
        <v>ABNT</v>
      </c>
      <c r="N17" s="58" t="str">
        <f t="shared" si="0"/>
        <v>NBR.Parte</v>
      </c>
      <c r="O17" s="58" t="str">
        <f t="shared" si="5"/>
        <v>NBR.4A</v>
      </c>
      <c r="P17" s="58" t="s">
        <v>1483</v>
      </c>
      <c r="Q17" s="58" t="s">
        <v>1484</v>
      </c>
      <c r="R17" s="37" t="s">
        <v>638</v>
      </c>
      <c r="S17" s="59" t="str">
        <f t="shared" si="6"/>
        <v>Normativos</v>
      </c>
      <c r="T17" s="59" t="str">
        <f t="shared" si="6"/>
        <v>ABNT</v>
      </c>
      <c r="U17" s="58" t="str">
        <f t="shared" si="6"/>
        <v>NBR.Parte</v>
      </c>
      <c r="V17" s="37" t="s">
        <v>1331</v>
      </c>
      <c r="W17" s="65" t="str">
        <f t="shared" si="4"/>
        <v>Key-ABNT-17</v>
      </c>
      <c r="X17" s="37" t="s">
        <v>638</v>
      </c>
      <c r="Y17" s="37" t="s">
        <v>638</v>
      </c>
      <c r="Z17" s="37" t="s">
        <v>1345</v>
      </c>
      <c r="AA17" s="60" t="s">
        <v>1485</v>
      </c>
    </row>
    <row r="18" spans="1:27" ht="7.3" customHeight="1" x14ac:dyDescent="0.3">
      <c r="A18" s="55">
        <v>18</v>
      </c>
      <c r="B18" s="56" t="s">
        <v>1518</v>
      </c>
      <c r="C18" s="31" t="s">
        <v>1519</v>
      </c>
      <c r="D18" s="31" t="s">
        <v>1274</v>
      </c>
      <c r="E18" s="31" t="s">
        <v>1363</v>
      </c>
      <c r="F18" s="13" t="s">
        <v>1389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8" t="str">
        <f t="shared" ref="L18:N19" si="7">CONCATENATE("", C18)</f>
        <v>Normativos</v>
      </c>
      <c r="M18" s="58" t="str">
        <f t="shared" si="7"/>
        <v>ABNT</v>
      </c>
      <c r="N18" s="58" t="str">
        <f t="shared" si="7"/>
        <v>NBR.Parte</v>
      </c>
      <c r="O18" s="58" t="str">
        <f t="shared" si="5"/>
        <v>NBR.4U</v>
      </c>
      <c r="P18" s="58" t="s">
        <v>1486</v>
      </c>
      <c r="Q18" s="58" t="s">
        <v>1487</v>
      </c>
      <c r="R18" s="37" t="s">
        <v>638</v>
      </c>
      <c r="S18" s="59" t="str">
        <f t="shared" si="6"/>
        <v>Normativos</v>
      </c>
      <c r="T18" s="59" t="str">
        <f t="shared" si="6"/>
        <v>ABNT</v>
      </c>
      <c r="U18" s="58" t="str">
        <f t="shared" si="6"/>
        <v>NBR.Parte</v>
      </c>
      <c r="V18" s="37" t="s">
        <v>1331</v>
      </c>
      <c r="W18" s="65" t="str">
        <f t="shared" si="4"/>
        <v>Key-ABNT-18</v>
      </c>
      <c r="X18" s="37" t="s">
        <v>638</v>
      </c>
      <c r="Y18" s="37" t="s">
        <v>638</v>
      </c>
      <c r="Z18" s="37" t="s">
        <v>1346</v>
      </c>
      <c r="AA18" s="60" t="s">
        <v>1488</v>
      </c>
    </row>
    <row r="19" spans="1:27" ht="7.3" customHeight="1" x14ac:dyDescent="0.3">
      <c r="A19" s="55">
        <v>19</v>
      </c>
      <c r="B19" s="56" t="s">
        <v>1518</v>
      </c>
      <c r="C19" s="31" t="s">
        <v>1519</v>
      </c>
      <c r="D19" s="31" t="s">
        <v>1274</v>
      </c>
      <c r="E19" s="31" t="s">
        <v>1363</v>
      </c>
      <c r="F19" s="13" t="s">
        <v>1390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8" t="str">
        <f t="shared" si="7"/>
        <v>Normativos</v>
      </c>
      <c r="M19" s="58" t="str">
        <f t="shared" si="7"/>
        <v>ABNT</v>
      </c>
      <c r="N19" s="58" t="str">
        <f t="shared" si="7"/>
        <v>NBR.Parte</v>
      </c>
      <c r="O19" s="58" t="str">
        <f t="shared" si="5"/>
        <v>NBR.5I</v>
      </c>
      <c r="P19" s="58" t="s">
        <v>1489</v>
      </c>
      <c r="Q19" s="58" t="s">
        <v>1490</v>
      </c>
      <c r="R19" s="37" t="s">
        <v>638</v>
      </c>
      <c r="S19" s="59" t="str">
        <f t="shared" si="6"/>
        <v>Normativos</v>
      </c>
      <c r="T19" s="59" t="str">
        <f t="shared" si="6"/>
        <v>ABNT</v>
      </c>
      <c r="U19" s="58" t="str">
        <f t="shared" si="6"/>
        <v>NBR.Parte</v>
      </c>
      <c r="V19" s="37" t="s">
        <v>1331</v>
      </c>
      <c r="W19" s="65" t="str">
        <f t="shared" si="4"/>
        <v>Key-ABNT-19</v>
      </c>
      <c r="X19" s="37" t="s">
        <v>638</v>
      </c>
      <c r="Y19" s="37" t="s">
        <v>638</v>
      </c>
      <c r="Z19" s="37" t="s">
        <v>1347</v>
      </c>
      <c r="AA19" s="60" t="s">
        <v>1491</v>
      </c>
    </row>
    <row r="20" spans="1:27" ht="7.3" customHeight="1" x14ac:dyDescent="0.3">
      <c r="A20" s="55">
        <v>20</v>
      </c>
      <c r="B20" s="56" t="s">
        <v>1518</v>
      </c>
      <c r="C20" s="31" t="s">
        <v>1519</v>
      </c>
      <c r="D20" s="31" t="s">
        <v>1520</v>
      </c>
      <c r="E20" s="31" t="s">
        <v>1437</v>
      </c>
      <c r="F20" s="25" t="s">
        <v>1438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8" t="str">
        <f t="shared" ref="L20:N20" si="8">CONCATENATE("", C20)</f>
        <v>Normativos</v>
      </c>
      <c r="M20" s="58" t="str">
        <f t="shared" si="8"/>
        <v>NBR.Temáticas</v>
      </c>
      <c r="N20" s="58" t="str">
        <f t="shared" si="8"/>
        <v>NBR.Equipamentos</v>
      </c>
      <c r="O20" s="58" t="str">
        <f t="shared" ref="O20" si="9">F20</f>
        <v>NBR.Q.Ferramenta.Hardware</v>
      </c>
      <c r="P20" s="58" t="s">
        <v>1440</v>
      </c>
      <c r="Q20" s="58" t="str">
        <f>_xlfn.TRANSLATE(P20,"pt","es")</f>
        <v>Herramientas de diseño, gráficos y hardware de TI</v>
      </c>
      <c r="R20" s="37" t="s">
        <v>638</v>
      </c>
      <c r="S20" s="59" t="str">
        <f t="shared" ref="S20:U20" si="10">SUBSTITUTE(C20, "_", " ")</f>
        <v>Normativos</v>
      </c>
      <c r="T20" s="59" t="str">
        <f t="shared" si="10"/>
        <v>NBR.Temáticas</v>
      </c>
      <c r="U20" s="58" t="str">
        <f t="shared" si="10"/>
        <v>NBR.Equipamentos</v>
      </c>
      <c r="V20" s="37" t="s">
        <v>1331</v>
      </c>
      <c r="W20" s="65" t="str">
        <f t="shared" si="4"/>
        <v>Key-ABNT-20</v>
      </c>
      <c r="X20" s="37" t="s">
        <v>638</v>
      </c>
      <c r="Y20" s="37" t="s">
        <v>638</v>
      </c>
      <c r="Z20" s="64" t="s">
        <v>1369</v>
      </c>
      <c r="AA20" s="60" t="str">
        <f>_xlfn.TRANSLATE(P20,"pt","en")</f>
        <v>Design, Graphic, and IT Hardware Tools</v>
      </c>
    </row>
    <row r="21" spans="1:27" ht="7.3" customHeight="1" x14ac:dyDescent="0.3">
      <c r="A21" s="55">
        <v>21</v>
      </c>
      <c r="B21" s="56" t="s">
        <v>1518</v>
      </c>
      <c r="C21" s="31" t="s">
        <v>1519</v>
      </c>
      <c r="D21" s="31" t="s">
        <v>1520</v>
      </c>
      <c r="E21" s="31" t="s">
        <v>1437</v>
      </c>
      <c r="F21" s="25" t="s">
        <v>1442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8" t="str">
        <f t="shared" ref="L21:L31" si="11">CONCATENATE("", C21)</f>
        <v>Normativos</v>
      </c>
      <c r="M21" s="58" t="str">
        <f t="shared" ref="M21:M31" si="12">CONCATENATE("", D21)</f>
        <v>NBR.Temáticas</v>
      </c>
      <c r="N21" s="58" t="str">
        <f t="shared" ref="N21:N31" si="13">CONCATENATE("", E21)</f>
        <v>NBR.Equipamentos</v>
      </c>
      <c r="O21" s="58" t="str">
        <f t="shared" ref="O21:O31" si="14">F21</f>
        <v>NBR.Q.Ferramenta.TI.Rede</v>
      </c>
      <c r="P21" s="58" t="s">
        <v>1443</v>
      </c>
      <c r="Q21" s="58" t="str">
        <f>_xlfn.TRANSLATE(P21,"pt","es")</f>
        <v>Herramientas de Red TI</v>
      </c>
      <c r="R21" s="37" t="s">
        <v>638</v>
      </c>
      <c r="S21" s="59" t="str">
        <f t="shared" ref="S21" si="15">SUBSTITUTE(C21, "_", " ")</f>
        <v>Normativos</v>
      </c>
      <c r="T21" s="59" t="str">
        <f t="shared" ref="T21" si="16">SUBSTITUTE(D21, "_", " ")</f>
        <v>NBR.Temáticas</v>
      </c>
      <c r="U21" s="58" t="str">
        <f t="shared" ref="U21" si="17">SUBSTITUTE(E21, "_", " ")</f>
        <v>NBR.Equipamentos</v>
      </c>
      <c r="V21" s="37" t="s">
        <v>1331</v>
      </c>
      <c r="W21" s="65" t="str">
        <f t="shared" si="4"/>
        <v>Key-ABNT-21</v>
      </c>
      <c r="X21" s="37" t="s">
        <v>638</v>
      </c>
      <c r="Y21" s="37" t="s">
        <v>638</v>
      </c>
      <c r="Z21" s="64" t="s">
        <v>1444</v>
      </c>
      <c r="AA21" s="60" t="str">
        <f>_xlfn.TRANSLATE(P21,"pt","en")</f>
        <v>IT Network Tools</v>
      </c>
    </row>
    <row r="22" spans="1:27" ht="7.3" customHeight="1" x14ac:dyDescent="0.3">
      <c r="A22" s="55">
        <v>22</v>
      </c>
      <c r="B22" s="56" t="s">
        <v>1518</v>
      </c>
      <c r="C22" s="31" t="s">
        <v>1519</v>
      </c>
      <c r="D22" s="31" t="s">
        <v>1520</v>
      </c>
      <c r="E22" s="31" t="s">
        <v>1437</v>
      </c>
      <c r="F22" s="25" t="s">
        <v>1439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8" t="str">
        <f t="shared" si="11"/>
        <v>Normativos</v>
      </c>
      <c r="M22" s="58" t="str">
        <f t="shared" si="12"/>
        <v>NBR.Temáticas</v>
      </c>
      <c r="N22" s="58" t="str">
        <f t="shared" si="13"/>
        <v>NBR.Equipamentos</v>
      </c>
      <c r="O22" s="58" t="str">
        <f t="shared" si="14"/>
        <v>NBR.Q.Ferramenta.Software</v>
      </c>
      <c r="P22" s="58" t="s">
        <v>1441</v>
      </c>
      <c r="Q22" s="58" t="str">
        <f t="shared" ref="Q22:Q31" si="18">_xlfn.TRANSLATE(P22,"pt","es")</f>
        <v>Herramientas de software para diseño, gráficos o gestión</v>
      </c>
      <c r="R22" s="37" t="s">
        <v>638</v>
      </c>
      <c r="S22" s="59" t="str">
        <f t="shared" ref="S22:S31" si="19">SUBSTITUTE(C22, "_", " ")</f>
        <v>Normativos</v>
      </c>
      <c r="T22" s="59" t="str">
        <f t="shared" ref="T22:T31" si="20">SUBSTITUTE(D22, "_", " ")</f>
        <v>NBR.Temáticas</v>
      </c>
      <c r="U22" s="58" t="str">
        <f t="shared" ref="U22:U31" si="21">SUBSTITUTE(E22, "_", " ")</f>
        <v>NBR.Equipamentos</v>
      </c>
      <c r="V22" s="37" t="s">
        <v>1331</v>
      </c>
      <c r="W22" s="65" t="str">
        <f t="shared" si="4"/>
        <v>Key-ABNT-22</v>
      </c>
      <c r="X22" s="37" t="s">
        <v>638</v>
      </c>
      <c r="Y22" s="37" t="s">
        <v>638</v>
      </c>
      <c r="Z22" s="64" t="s">
        <v>1370</v>
      </c>
      <c r="AA22" s="60" t="str">
        <f t="shared" ref="AA22:AA39" si="22">_xlfn.TRANSLATE(P22,"pt","en")</f>
        <v>Software tools for design, graphics or management</v>
      </c>
    </row>
    <row r="23" spans="1:27" ht="7.3" customHeight="1" x14ac:dyDescent="0.3">
      <c r="A23" s="55">
        <v>23</v>
      </c>
      <c r="B23" s="56" t="s">
        <v>1518</v>
      </c>
      <c r="C23" s="31" t="s">
        <v>1519</v>
      </c>
      <c r="D23" s="31" t="s">
        <v>1520</v>
      </c>
      <c r="E23" s="31" t="s">
        <v>1437</v>
      </c>
      <c r="F23" s="25" t="s">
        <v>1404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8" t="str">
        <f t="shared" si="11"/>
        <v>Normativos</v>
      </c>
      <c r="M23" s="58" t="str">
        <f t="shared" si="12"/>
        <v>NBR.Temáticas</v>
      </c>
      <c r="N23" s="58" t="str">
        <f t="shared" si="13"/>
        <v>NBR.Equipamentos</v>
      </c>
      <c r="O23" s="58" t="str">
        <f t="shared" si="14"/>
        <v>NBR.Q.Ferramenta.de.Medição</v>
      </c>
      <c r="P23" s="58" t="s">
        <v>1391</v>
      </c>
      <c r="Q23" s="58" t="str">
        <f t="shared" si="18"/>
        <v>Herramientas de medición</v>
      </c>
      <c r="R23" s="37" t="s">
        <v>638</v>
      </c>
      <c r="S23" s="59" t="str">
        <f t="shared" si="19"/>
        <v>Normativos</v>
      </c>
      <c r="T23" s="59" t="str">
        <f t="shared" si="20"/>
        <v>NBR.Temáticas</v>
      </c>
      <c r="U23" s="58" t="str">
        <f t="shared" si="21"/>
        <v>NBR.Equipamentos</v>
      </c>
      <c r="V23" s="37" t="s">
        <v>1331</v>
      </c>
      <c r="W23" s="65" t="str">
        <f t="shared" si="4"/>
        <v>Key-ABNT-23</v>
      </c>
      <c r="X23" s="37" t="s">
        <v>638</v>
      </c>
      <c r="Y23" s="37" t="s">
        <v>638</v>
      </c>
      <c r="Z23" s="64" t="s">
        <v>1371</v>
      </c>
      <c r="AA23" s="60" t="str">
        <f t="shared" si="22"/>
        <v>Measurement Tools</v>
      </c>
    </row>
    <row r="24" spans="1:27" ht="7.3" customHeight="1" x14ac:dyDescent="0.3">
      <c r="A24" s="55">
        <v>24</v>
      </c>
      <c r="B24" s="56" t="s">
        <v>1518</v>
      </c>
      <c r="C24" s="31" t="s">
        <v>1519</v>
      </c>
      <c r="D24" s="31" t="s">
        <v>1520</v>
      </c>
      <c r="E24" s="31" t="s">
        <v>1437</v>
      </c>
      <c r="F24" s="25" t="s">
        <v>1405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8" t="str">
        <f t="shared" si="11"/>
        <v>Normativos</v>
      </c>
      <c r="M24" s="58" t="str">
        <f t="shared" si="12"/>
        <v>NBR.Temáticas</v>
      </c>
      <c r="N24" s="58" t="str">
        <f t="shared" si="13"/>
        <v>NBR.Equipamentos</v>
      </c>
      <c r="O24" s="58" t="str">
        <f t="shared" si="14"/>
        <v>NBR.Q.Ferramenta.de.Monitoração</v>
      </c>
      <c r="P24" s="58" t="s">
        <v>1429</v>
      </c>
      <c r="Q24" s="58" t="str">
        <f t="shared" si="18"/>
        <v>Herramientas de monitorización</v>
      </c>
      <c r="R24" s="37" t="s">
        <v>638</v>
      </c>
      <c r="S24" s="59" t="str">
        <f t="shared" si="19"/>
        <v>Normativos</v>
      </c>
      <c r="T24" s="59" t="str">
        <f t="shared" si="20"/>
        <v>NBR.Temáticas</v>
      </c>
      <c r="U24" s="58" t="str">
        <f t="shared" si="21"/>
        <v>NBR.Equipamentos</v>
      </c>
      <c r="V24" s="37" t="s">
        <v>1331</v>
      </c>
      <c r="W24" s="65" t="str">
        <f t="shared" si="4"/>
        <v>Key-ABNT-24</v>
      </c>
      <c r="X24" s="37" t="s">
        <v>638</v>
      </c>
      <c r="Y24" s="37" t="s">
        <v>638</v>
      </c>
      <c r="Z24" s="64" t="s">
        <v>1372</v>
      </c>
      <c r="AA24" s="60" t="str">
        <f t="shared" si="22"/>
        <v>Monitoring Tools</v>
      </c>
    </row>
    <row r="25" spans="1:27" ht="7.3" customHeight="1" x14ac:dyDescent="0.3">
      <c r="A25" s="55">
        <v>25</v>
      </c>
      <c r="B25" s="56" t="s">
        <v>1518</v>
      </c>
      <c r="C25" s="31" t="s">
        <v>1519</v>
      </c>
      <c r="D25" s="31" t="s">
        <v>1520</v>
      </c>
      <c r="E25" s="31" t="s">
        <v>1437</v>
      </c>
      <c r="F25" s="25" t="s">
        <v>1406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8" t="str">
        <f t="shared" si="11"/>
        <v>Normativos</v>
      </c>
      <c r="M25" s="58" t="str">
        <f t="shared" si="12"/>
        <v>NBR.Temáticas</v>
      </c>
      <c r="N25" s="58" t="str">
        <f t="shared" si="13"/>
        <v>NBR.Equipamentos</v>
      </c>
      <c r="O25" s="58" t="str">
        <f t="shared" si="14"/>
        <v>NBR.Q.Ferramenta.de.Teste</v>
      </c>
      <c r="P25" s="58" t="s">
        <v>1392</v>
      </c>
      <c r="Q25" s="58" t="str">
        <f t="shared" si="18"/>
        <v>Herramientas de prueba</v>
      </c>
      <c r="R25" s="37" t="s">
        <v>638</v>
      </c>
      <c r="S25" s="59" t="str">
        <f t="shared" si="19"/>
        <v>Normativos</v>
      </c>
      <c r="T25" s="59" t="str">
        <f t="shared" si="20"/>
        <v>NBR.Temáticas</v>
      </c>
      <c r="U25" s="58" t="str">
        <f t="shared" si="21"/>
        <v>NBR.Equipamentos</v>
      </c>
      <c r="V25" s="37" t="s">
        <v>1331</v>
      </c>
      <c r="W25" s="65" t="str">
        <f t="shared" si="4"/>
        <v>Key-ABNT-25</v>
      </c>
      <c r="X25" s="37" t="s">
        <v>638</v>
      </c>
      <c r="Y25" s="37" t="s">
        <v>638</v>
      </c>
      <c r="Z25" s="64" t="s">
        <v>1373</v>
      </c>
      <c r="AA25" s="60" t="str">
        <f t="shared" si="22"/>
        <v>Testing Tools</v>
      </c>
    </row>
    <row r="26" spans="1:27" ht="7.3" customHeight="1" x14ac:dyDescent="0.3">
      <c r="A26" s="55">
        <v>26</v>
      </c>
      <c r="B26" s="56" t="s">
        <v>1518</v>
      </c>
      <c r="C26" s="31" t="s">
        <v>1519</v>
      </c>
      <c r="D26" s="31" t="s">
        <v>1520</v>
      </c>
      <c r="E26" s="31" t="s">
        <v>1437</v>
      </c>
      <c r="F26" s="25" t="s">
        <v>1396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8" t="str">
        <f t="shared" si="11"/>
        <v>Normativos</v>
      </c>
      <c r="M26" s="58" t="str">
        <f t="shared" si="12"/>
        <v>NBR.Temáticas</v>
      </c>
      <c r="N26" s="58" t="str">
        <f t="shared" si="13"/>
        <v>NBR.Equipamentos</v>
      </c>
      <c r="O26" s="58" t="str">
        <f t="shared" si="14"/>
        <v>NBR.Q.Ferramenta.de.Construção</v>
      </c>
      <c r="P26" s="58" t="s">
        <v>1393</v>
      </c>
      <c r="Q26" s="58" t="str">
        <f t="shared" si="18"/>
        <v>Herramientas de construcción</v>
      </c>
      <c r="R26" s="37" t="s">
        <v>638</v>
      </c>
      <c r="S26" s="59" t="str">
        <f t="shared" si="19"/>
        <v>Normativos</v>
      </c>
      <c r="T26" s="59" t="str">
        <f t="shared" si="20"/>
        <v>NBR.Temáticas</v>
      </c>
      <c r="U26" s="58" t="str">
        <f t="shared" si="21"/>
        <v>NBR.Equipamentos</v>
      </c>
      <c r="V26" s="37" t="s">
        <v>1331</v>
      </c>
      <c r="W26" s="65" t="str">
        <f t="shared" si="4"/>
        <v>Key-ABNT-26</v>
      </c>
      <c r="X26" s="37" t="s">
        <v>638</v>
      </c>
      <c r="Y26" s="37" t="s">
        <v>638</v>
      </c>
      <c r="Z26" s="64" t="s">
        <v>1374</v>
      </c>
      <c r="AA26" s="60" t="str">
        <f t="shared" si="22"/>
        <v>Construction Tools</v>
      </c>
    </row>
    <row r="27" spans="1:27" ht="7.3" customHeight="1" x14ac:dyDescent="0.3">
      <c r="A27" s="55">
        <v>27</v>
      </c>
      <c r="B27" s="56" t="s">
        <v>1518</v>
      </c>
      <c r="C27" s="31" t="s">
        <v>1519</v>
      </c>
      <c r="D27" s="31" t="s">
        <v>1520</v>
      </c>
      <c r="E27" s="31" t="s">
        <v>1437</v>
      </c>
      <c r="F27" s="25" t="s">
        <v>1398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8" t="str">
        <f t="shared" si="11"/>
        <v>Normativos</v>
      </c>
      <c r="M27" s="58" t="str">
        <f t="shared" si="12"/>
        <v>NBR.Temáticas</v>
      </c>
      <c r="N27" s="58" t="str">
        <f t="shared" si="13"/>
        <v>NBR.Equipamentos</v>
      </c>
      <c r="O27" s="58" t="str">
        <f t="shared" si="14"/>
        <v>NBR.Q.Ferramenta.de.Acabamento</v>
      </c>
      <c r="P27" s="58" t="s">
        <v>1430</v>
      </c>
      <c r="Q27" s="58" t="str">
        <f t="shared" si="18"/>
        <v>Herramientas de acabado</v>
      </c>
      <c r="R27" s="37" t="s">
        <v>638</v>
      </c>
      <c r="S27" s="59" t="str">
        <f t="shared" si="19"/>
        <v>Normativos</v>
      </c>
      <c r="T27" s="59" t="str">
        <f t="shared" si="20"/>
        <v>NBR.Temáticas</v>
      </c>
      <c r="U27" s="58" t="str">
        <f t="shared" si="21"/>
        <v>NBR.Equipamentos</v>
      </c>
      <c r="V27" s="37" t="s">
        <v>1331</v>
      </c>
      <c r="W27" s="65" t="str">
        <f t="shared" si="4"/>
        <v>Key-ABNT-27</v>
      </c>
      <c r="X27" s="37" t="s">
        <v>638</v>
      </c>
      <c r="Y27" s="37" t="s">
        <v>638</v>
      </c>
      <c r="Z27" s="64" t="s">
        <v>1414</v>
      </c>
      <c r="AA27" s="60" t="str">
        <f t="shared" si="22"/>
        <v>Finishing Tools</v>
      </c>
    </row>
    <row r="28" spans="1:27" ht="7.3" customHeight="1" x14ac:dyDescent="0.3">
      <c r="A28" s="55">
        <v>28</v>
      </c>
      <c r="B28" s="56" t="s">
        <v>1518</v>
      </c>
      <c r="C28" s="31" t="s">
        <v>1519</v>
      </c>
      <c r="D28" s="31" t="s">
        <v>1520</v>
      </c>
      <c r="E28" s="31" t="s">
        <v>1437</v>
      </c>
      <c r="F28" s="25" t="s">
        <v>1399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8" t="str">
        <f t="shared" si="11"/>
        <v>Normativos</v>
      </c>
      <c r="M28" s="58" t="str">
        <f t="shared" si="12"/>
        <v>NBR.Temáticas</v>
      </c>
      <c r="N28" s="58" t="str">
        <f t="shared" si="13"/>
        <v>NBR.Equipamentos</v>
      </c>
      <c r="O28" s="58" t="str">
        <f t="shared" si="14"/>
        <v>NBR.Q.Ferramenta.de.Transporte</v>
      </c>
      <c r="P28" s="58" t="s">
        <v>1431</v>
      </c>
      <c r="Q28" s="58" t="str">
        <f t="shared" si="18"/>
        <v>Herramientas de transporte</v>
      </c>
      <c r="R28" s="37" t="s">
        <v>638</v>
      </c>
      <c r="S28" s="59" t="str">
        <f t="shared" si="19"/>
        <v>Normativos</v>
      </c>
      <c r="T28" s="59" t="str">
        <f t="shared" si="20"/>
        <v>NBR.Temáticas</v>
      </c>
      <c r="U28" s="58" t="str">
        <f t="shared" si="21"/>
        <v>NBR.Equipamentos</v>
      </c>
      <c r="V28" s="37" t="s">
        <v>1331</v>
      </c>
      <c r="W28" s="65" t="str">
        <f t="shared" si="4"/>
        <v>Key-ABNT-28</v>
      </c>
      <c r="X28" s="37" t="s">
        <v>638</v>
      </c>
      <c r="Y28" s="37" t="s">
        <v>638</v>
      </c>
      <c r="Z28" s="64" t="s">
        <v>1415</v>
      </c>
      <c r="AA28" s="60" t="str">
        <f t="shared" si="22"/>
        <v>Transportation Tools</v>
      </c>
    </row>
    <row r="29" spans="1:27" ht="7.3" customHeight="1" x14ac:dyDescent="0.3">
      <c r="A29" s="55">
        <v>29</v>
      </c>
      <c r="B29" s="56" t="s">
        <v>1518</v>
      </c>
      <c r="C29" s="31" t="s">
        <v>1519</v>
      </c>
      <c r="D29" s="31" t="s">
        <v>1520</v>
      </c>
      <c r="E29" s="31" t="s">
        <v>1437</v>
      </c>
      <c r="F29" s="25" t="s">
        <v>1400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8" t="str">
        <f t="shared" si="11"/>
        <v>Normativos</v>
      </c>
      <c r="M29" s="58" t="str">
        <f t="shared" si="12"/>
        <v>NBR.Temáticas</v>
      </c>
      <c r="N29" s="58" t="str">
        <f t="shared" si="13"/>
        <v>NBR.Equipamentos</v>
      </c>
      <c r="O29" s="58" t="str">
        <f t="shared" si="14"/>
        <v>NBR.Q.Ferramenta.Motorizada</v>
      </c>
      <c r="P29" s="58" t="s">
        <v>1435</v>
      </c>
      <c r="Q29" s="58" t="str">
        <f t="shared" si="18"/>
        <v>Herramientas eléctricas</v>
      </c>
      <c r="R29" s="37" t="s">
        <v>638</v>
      </c>
      <c r="S29" s="59" t="str">
        <f t="shared" si="19"/>
        <v>Normativos</v>
      </c>
      <c r="T29" s="59" t="str">
        <f t="shared" si="20"/>
        <v>NBR.Temáticas</v>
      </c>
      <c r="U29" s="58" t="str">
        <f t="shared" si="21"/>
        <v>NBR.Equipamentos</v>
      </c>
      <c r="V29" s="37" t="s">
        <v>1331</v>
      </c>
      <c r="W29" s="65" t="str">
        <f t="shared" si="4"/>
        <v>Key-ABNT-29</v>
      </c>
      <c r="X29" s="37" t="s">
        <v>638</v>
      </c>
      <c r="Y29" s="37" t="s">
        <v>638</v>
      </c>
      <c r="Z29" s="64" t="s">
        <v>1416</v>
      </c>
      <c r="AA29" s="60" t="str">
        <f t="shared" si="22"/>
        <v>Power Tools</v>
      </c>
    </row>
    <row r="30" spans="1:27" ht="7.3" customHeight="1" x14ac:dyDescent="0.3">
      <c r="A30" s="55">
        <v>30</v>
      </c>
      <c r="B30" s="56" t="s">
        <v>1518</v>
      </c>
      <c r="C30" s="31" t="s">
        <v>1519</v>
      </c>
      <c r="D30" s="31" t="s">
        <v>1520</v>
      </c>
      <c r="E30" s="31" t="s">
        <v>1437</v>
      </c>
      <c r="F30" s="25" t="s">
        <v>1401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8" t="str">
        <f t="shared" si="11"/>
        <v>Normativos</v>
      </c>
      <c r="M30" s="58" t="str">
        <f t="shared" si="12"/>
        <v>NBR.Temáticas</v>
      </c>
      <c r="N30" s="58" t="str">
        <f t="shared" si="13"/>
        <v>NBR.Equipamentos</v>
      </c>
      <c r="O30" s="58" t="str">
        <f t="shared" si="14"/>
        <v>NBR.Q.Ferramenta.de.Controle</v>
      </c>
      <c r="P30" s="58" t="s">
        <v>1432</v>
      </c>
      <c r="Q30" s="58" t="str">
        <f t="shared" si="18"/>
        <v>Herramientas de control</v>
      </c>
      <c r="R30" s="37" t="s">
        <v>638</v>
      </c>
      <c r="S30" s="59" t="str">
        <f t="shared" si="19"/>
        <v>Normativos</v>
      </c>
      <c r="T30" s="59" t="str">
        <f t="shared" si="20"/>
        <v>NBR.Temáticas</v>
      </c>
      <c r="U30" s="58" t="str">
        <f t="shared" si="21"/>
        <v>NBR.Equipamentos</v>
      </c>
      <c r="V30" s="37" t="s">
        <v>1331</v>
      </c>
      <c r="W30" s="65" t="str">
        <f t="shared" si="4"/>
        <v>Key-ABNT-30</v>
      </c>
      <c r="X30" s="37" t="s">
        <v>638</v>
      </c>
      <c r="Y30" s="37" t="s">
        <v>638</v>
      </c>
      <c r="Z30" s="64" t="s">
        <v>1417</v>
      </c>
      <c r="AA30" s="60" t="str">
        <f t="shared" si="22"/>
        <v>Control Tools</v>
      </c>
    </row>
    <row r="31" spans="1:27" ht="7.3" customHeight="1" x14ac:dyDescent="0.3">
      <c r="A31" s="55">
        <v>31</v>
      </c>
      <c r="B31" s="56" t="s">
        <v>1518</v>
      </c>
      <c r="C31" s="31" t="s">
        <v>1519</v>
      </c>
      <c r="D31" s="31" t="s">
        <v>1520</v>
      </c>
      <c r="E31" s="31" t="s">
        <v>1437</v>
      </c>
      <c r="F31" s="25" t="s">
        <v>1402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8" t="str">
        <f t="shared" si="11"/>
        <v>Normativos</v>
      </c>
      <c r="M31" s="58" t="str">
        <f t="shared" si="12"/>
        <v>NBR.Temáticas</v>
      </c>
      <c r="N31" s="58" t="str">
        <f t="shared" si="13"/>
        <v>NBR.Equipamentos</v>
      </c>
      <c r="O31" s="58" t="str">
        <f t="shared" si="14"/>
        <v>NBR.Q.Ferramenta.de.EPI</v>
      </c>
      <c r="P31" s="58" t="s">
        <v>1436</v>
      </c>
      <c r="Q31" s="58" t="str">
        <f t="shared" si="18"/>
        <v>Herramientas de protección individual individual (EPP)</v>
      </c>
      <c r="R31" s="37" t="s">
        <v>638</v>
      </c>
      <c r="S31" s="59" t="str">
        <f t="shared" si="19"/>
        <v>Normativos</v>
      </c>
      <c r="T31" s="59" t="str">
        <f t="shared" si="20"/>
        <v>NBR.Temáticas</v>
      </c>
      <c r="U31" s="58" t="str">
        <f t="shared" si="21"/>
        <v>NBR.Equipamentos</v>
      </c>
      <c r="V31" s="37" t="s">
        <v>1331</v>
      </c>
      <c r="W31" s="65" t="str">
        <f t="shared" si="4"/>
        <v>Key-ABNT-31</v>
      </c>
      <c r="X31" s="37" t="s">
        <v>638</v>
      </c>
      <c r="Y31" s="37" t="s">
        <v>638</v>
      </c>
      <c r="Z31" s="64" t="s">
        <v>1418</v>
      </c>
      <c r="AA31" s="60" t="str">
        <f t="shared" si="22"/>
        <v>PPE Personal Protective Tools</v>
      </c>
    </row>
    <row r="32" spans="1:27" ht="7.3" customHeight="1" x14ac:dyDescent="0.3">
      <c r="A32" s="55">
        <v>32</v>
      </c>
      <c r="B32" s="56" t="s">
        <v>1518</v>
      </c>
      <c r="C32" s="31" t="s">
        <v>1519</v>
      </c>
      <c r="D32" s="31" t="s">
        <v>1520</v>
      </c>
      <c r="E32" s="31" t="s">
        <v>1437</v>
      </c>
      <c r="F32" s="25" t="s">
        <v>1403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8" t="str">
        <f t="shared" ref="L32:L39" si="23">CONCATENATE("", C32)</f>
        <v>Normativos</v>
      </c>
      <c r="M32" s="58" t="str">
        <f t="shared" ref="M32:M39" si="24">CONCATENATE("", D32)</f>
        <v>NBR.Temáticas</v>
      </c>
      <c r="N32" s="58" t="str">
        <f t="shared" ref="N32:N39" si="25">CONCATENATE("", E32)</f>
        <v>NBR.Equipamentos</v>
      </c>
      <c r="O32" s="58" t="str">
        <f t="shared" ref="O32:O39" si="26">F32</f>
        <v>NBR.Q.Ferramenta.de.Construção.Geral</v>
      </c>
      <c r="P32" s="58" t="s">
        <v>1433</v>
      </c>
      <c r="Q32" s="58" t="str">
        <f t="shared" ref="Q32:Q39" si="27">_xlfn.TRANSLATE(P32,"pt","es")</f>
        <v>Herramientas generales de construcción</v>
      </c>
      <c r="R32" s="37" t="s">
        <v>638</v>
      </c>
      <c r="S32" s="59" t="str">
        <f t="shared" ref="S32:S39" si="28">SUBSTITUTE(C32, "_", " ")</f>
        <v>Normativos</v>
      </c>
      <c r="T32" s="59" t="str">
        <f t="shared" ref="T32:T39" si="29">SUBSTITUTE(D32, "_", " ")</f>
        <v>NBR.Temáticas</v>
      </c>
      <c r="U32" s="58" t="str">
        <f t="shared" ref="U32:U39" si="30">SUBSTITUTE(E32, "_", " ")</f>
        <v>NBR.Equipamentos</v>
      </c>
      <c r="V32" s="37" t="s">
        <v>1331</v>
      </c>
      <c r="W32" s="65" t="str">
        <f t="shared" si="4"/>
        <v>Key-ABNT-32</v>
      </c>
      <c r="X32" s="37" t="s">
        <v>638</v>
      </c>
      <c r="Y32" s="37" t="s">
        <v>638</v>
      </c>
      <c r="Z32" s="64" t="s">
        <v>1419</v>
      </c>
      <c r="AA32" s="60" t="str">
        <f t="shared" si="22"/>
        <v>General Construction Tools</v>
      </c>
    </row>
    <row r="33" spans="1:27" ht="7.3" customHeight="1" x14ac:dyDescent="0.3">
      <c r="A33" s="55">
        <v>33</v>
      </c>
      <c r="B33" s="56" t="s">
        <v>1518</v>
      </c>
      <c r="C33" s="31" t="s">
        <v>1519</v>
      </c>
      <c r="D33" s="31" t="s">
        <v>1520</v>
      </c>
      <c r="E33" s="31" t="s">
        <v>1437</v>
      </c>
      <c r="F33" s="25" t="s">
        <v>1397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8" t="str">
        <f t="shared" si="23"/>
        <v>Normativos</v>
      </c>
      <c r="M33" s="58" t="str">
        <f t="shared" si="24"/>
        <v>NBR.Temáticas</v>
      </c>
      <c r="N33" s="58" t="str">
        <f t="shared" si="25"/>
        <v>NBR.Equipamentos</v>
      </c>
      <c r="O33" s="58" t="str">
        <f t="shared" si="26"/>
        <v>NBR.Q.Ferramenta.de.Canteiro</v>
      </c>
      <c r="P33" s="58" t="s">
        <v>1434</v>
      </c>
      <c r="Q33" s="58" t="str">
        <f t="shared" si="27"/>
        <v>Herramientas para obras</v>
      </c>
      <c r="R33" s="37" t="s">
        <v>638</v>
      </c>
      <c r="S33" s="59" t="str">
        <f t="shared" si="28"/>
        <v>Normativos</v>
      </c>
      <c r="T33" s="59" t="str">
        <f t="shared" si="29"/>
        <v>NBR.Temáticas</v>
      </c>
      <c r="U33" s="58" t="str">
        <f t="shared" si="30"/>
        <v>NBR.Equipamentos</v>
      </c>
      <c r="V33" s="37" t="s">
        <v>1331</v>
      </c>
      <c r="W33" s="65" t="str">
        <f t="shared" si="4"/>
        <v>Key-ABNT-33</v>
      </c>
      <c r="X33" s="37" t="s">
        <v>638</v>
      </c>
      <c r="Y33" s="37" t="s">
        <v>638</v>
      </c>
      <c r="Z33" s="64" t="s">
        <v>1420</v>
      </c>
      <c r="AA33" s="60" t="str">
        <f t="shared" si="22"/>
        <v>Construction Site Tools</v>
      </c>
    </row>
    <row r="34" spans="1:27" ht="7.3" customHeight="1" x14ac:dyDescent="0.3">
      <c r="A34" s="55">
        <v>34</v>
      </c>
      <c r="B34" s="56" t="s">
        <v>1518</v>
      </c>
      <c r="C34" s="31" t="s">
        <v>1519</v>
      </c>
      <c r="D34" s="31" t="s">
        <v>1520</v>
      </c>
      <c r="E34" s="31" t="s">
        <v>1437</v>
      </c>
      <c r="F34" s="25" t="s">
        <v>1413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8" t="str">
        <f t="shared" si="23"/>
        <v>Normativos</v>
      </c>
      <c r="M34" s="58" t="str">
        <f t="shared" si="24"/>
        <v>NBR.Temáticas</v>
      </c>
      <c r="N34" s="58" t="str">
        <f t="shared" si="25"/>
        <v>NBR.Equipamentos</v>
      </c>
      <c r="O34" s="58" t="str">
        <f t="shared" si="26"/>
        <v>NBR.Q.Ferramenta.de.Suporte</v>
      </c>
      <c r="P34" s="58" t="s">
        <v>1428</v>
      </c>
      <c r="Q34" s="58" t="str">
        <f t="shared" si="27"/>
        <v>Herramientas de soporte</v>
      </c>
      <c r="R34" s="37" t="s">
        <v>638</v>
      </c>
      <c r="S34" s="59" t="str">
        <f t="shared" si="28"/>
        <v>Normativos</v>
      </c>
      <c r="T34" s="59" t="str">
        <f t="shared" si="29"/>
        <v>NBR.Temáticas</v>
      </c>
      <c r="U34" s="58" t="str">
        <f t="shared" si="30"/>
        <v>NBR.Equipamentos</v>
      </c>
      <c r="V34" s="37" t="s">
        <v>1331</v>
      </c>
      <c r="W34" s="65" t="str">
        <f t="shared" si="4"/>
        <v>Key-ABNT-34</v>
      </c>
      <c r="X34" s="37" t="s">
        <v>638</v>
      </c>
      <c r="Y34" s="37" t="s">
        <v>638</v>
      </c>
      <c r="Z34" s="64" t="s">
        <v>1421</v>
      </c>
      <c r="AA34" s="60" t="str">
        <f t="shared" si="22"/>
        <v>Support Tools</v>
      </c>
    </row>
    <row r="35" spans="1:27" ht="7.3" customHeight="1" x14ac:dyDescent="0.3">
      <c r="A35" s="55">
        <v>35</v>
      </c>
      <c r="B35" s="56" t="s">
        <v>1518</v>
      </c>
      <c r="C35" s="31" t="s">
        <v>1519</v>
      </c>
      <c r="D35" s="31" t="s">
        <v>1520</v>
      </c>
      <c r="E35" s="31" t="s">
        <v>1437</v>
      </c>
      <c r="F35" s="25" t="s">
        <v>1368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8" t="str">
        <f t="shared" si="23"/>
        <v>Normativos</v>
      </c>
      <c r="M35" s="58" t="str">
        <f t="shared" si="24"/>
        <v>NBR.Temáticas</v>
      </c>
      <c r="N35" s="58" t="str">
        <f t="shared" si="25"/>
        <v>NBR.Equipamentos</v>
      </c>
      <c r="O35" s="58" t="str">
        <f t="shared" si="26"/>
        <v>NBR.Q.Bombear.Tunelar</v>
      </c>
      <c r="P35" s="58" t="s">
        <v>1423</v>
      </c>
      <c r="Q35" s="58" t="str">
        <f t="shared" si="27"/>
        <v>Equipos de bombeo y túneles</v>
      </c>
      <c r="R35" s="37" t="s">
        <v>638</v>
      </c>
      <c r="S35" s="59" t="str">
        <f t="shared" si="28"/>
        <v>Normativos</v>
      </c>
      <c r="T35" s="59" t="str">
        <f t="shared" si="29"/>
        <v>NBR.Temáticas</v>
      </c>
      <c r="U35" s="58" t="str">
        <f t="shared" si="30"/>
        <v>NBR.Equipamentos</v>
      </c>
      <c r="V35" s="37" t="s">
        <v>1331</v>
      </c>
      <c r="W35" s="65" t="str">
        <f t="shared" si="4"/>
        <v>Key-ABNT-35</v>
      </c>
      <c r="X35" s="37" t="s">
        <v>638</v>
      </c>
      <c r="Y35" s="37" t="s">
        <v>638</v>
      </c>
      <c r="Z35" s="64" t="s">
        <v>1422</v>
      </c>
      <c r="AA35" s="60" t="str">
        <f t="shared" si="22"/>
        <v>Pumping and Tunneling Equipment</v>
      </c>
    </row>
    <row r="36" spans="1:27" ht="7.3" customHeight="1" x14ac:dyDescent="0.3">
      <c r="A36" s="55">
        <v>36</v>
      </c>
      <c r="B36" s="56" t="s">
        <v>1518</v>
      </c>
      <c r="C36" s="31" t="s">
        <v>1519</v>
      </c>
      <c r="D36" s="31" t="s">
        <v>1520</v>
      </c>
      <c r="E36" s="31" t="s">
        <v>1437</v>
      </c>
      <c r="F36" s="25" t="s">
        <v>1367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8" t="str">
        <f t="shared" si="23"/>
        <v>Normativos</v>
      </c>
      <c r="M36" s="58" t="str">
        <f t="shared" si="24"/>
        <v>NBR.Temáticas</v>
      </c>
      <c r="N36" s="58" t="str">
        <f t="shared" si="25"/>
        <v>NBR.Equipamentos</v>
      </c>
      <c r="O36" s="58" t="str">
        <f t="shared" si="26"/>
        <v>NBR.Q.Produzir.Concreto</v>
      </c>
      <c r="P36" s="58" t="s">
        <v>1424</v>
      </c>
      <c r="Q36" s="58" t="str">
        <f t="shared" si="27"/>
        <v>Equipos de producción de hormigón</v>
      </c>
      <c r="R36" s="37" t="s">
        <v>638</v>
      </c>
      <c r="S36" s="59" t="str">
        <f t="shared" si="28"/>
        <v>Normativos</v>
      </c>
      <c r="T36" s="59" t="str">
        <f t="shared" si="29"/>
        <v>NBR.Temáticas</v>
      </c>
      <c r="U36" s="58" t="str">
        <f t="shared" si="30"/>
        <v>NBR.Equipamentos</v>
      </c>
      <c r="V36" s="37" t="s">
        <v>1331</v>
      </c>
      <c r="W36" s="65" t="str">
        <f t="shared" si="4"/>
        <v>Key-ABNT-36</v>
      </c>
      <c r="X36" s="37" t="s">
        <v>638</v>
      </c>
      <c r="Y36" s="37" t="s">
        <v>638</v>
      </c>
      <c r="Z36" s="64" t="s">
        <v>1375</v>
      </c>
      <c r="AA36" s="60" t="str">
        <f t="shared" si="22"/>
        <v>Concrete Production Equipment</v>
      </c>
    </row>
    <row r="37" spans="1:27" ht="7.3" customHeight="1" x14ac:dyDescent="0.3">
      <c r="A37" s="55">
        <v>37</v>
      </c>
      <c r="B37" s="56" t="s">
        <v>1518</v>
      </c>
      <c r="C37" s="31" t="s">
        <v>1519</v>
      </c>
      <c r="D37" s="31" t="s">
        <v>1520</v>
      </c>
      <c r="E37" s="31" t="s">
        <v>1437</v>
      </c>
      <c r="F37" s="25" t="s">
        <v>1364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8" t="str">
        <f t="shared" si="23"/>
        <v>Normativos</v>
      </c>
      <c r="M37" s="58" t="str">
        <f t="shared" si="24"/>
        <v>NBR.Temáticas</v>
      </c>
      <c r="N37" s="58" t="str">
        <f t="shared" si="25"/>
        <v>NBR.Equipamentos</v>
      </c>
      <c r="O37" s="58" t="str">
        <f t="shared" si="26"/>
        <v>NBR.Q.Perfurar.Cortar</v>
      </c>
      <c r="P37" s="58" t="s">
        <v>1425</v>
      </c>
      <c r="Q37" s="58" t="str">
        <f t="shared" si="27"/>
        <v>Equipos de perforación y corte</v>
      </c>
      <c r="R37" s="37" t="s">
        <v>638</v>
      </c>
      <c r="S37" s="59" t="str">
        <f t="shared" si="28"/>
        <v>Normativos</v>
      </c>
      <c r="T37" s="59" t="str">
        <f t="shared" si="29"/>
        <v>NBR.Temáticas</v>
      </c>
      <c r="U37" s="58" t="str">
        <f t="shared" si="30"/>
        <v>NBR.Equipamentos</v>
      </c>
      <c r="V37" s="37" t="s">
        <v>1331</v>
      </c>
      <c r="W37" s="65" t="str">
        <f t="shared" si="4"/>
        <v>Key-ABNT-37</v>
      </c>
      <c r="X37" s="37" t="s">
        <v>638</v>
      </c>
      <c r="Y37" s="37" t="s">
        <v>638</v>
      </c>
      <c r="Z37" s="64" t="s">
        <v>1376</v>
      </c>
      <c r="AA37" s="60" t="str">
        <f t="shared" si="22"/>
        <v>Drilling &amp; Cutting Equipment</v>
      </c>
    </row>
    <row r="38" spans="1:27" ht="7.3" customHeight="1" x14ac:dyDescent="0.3">
      <c r="A38" s="55">
        <v>38</v>
      </c>
      <c r="B38" s="56" t="s">
        <v>1518</v>
      </c>
      <c r="C38" s="31" t="s">
        <v>1519</v>
      </c>
      <c r="D38" s="31" t="s">
        <v>1520</v>
      </c>
      <c r="E38" s="31" t="s">
        <v>1437</v>
      </c>
      <c r="F38" s="25" t="s">
        <v>1365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8" t="str">
        <f t="shared" si="23"/>
        <v>Normativos</v>
      </c>
      <c r="M38" s="58" t="str">
        <f t="shared" si="24"/>
        <v>NBR.Temáticas</v>
      </c>
      <c r="N38" s="58" t="str">
        <f t="shared" si="25"/>
        <v>NBR.Equipamentos</v>
      </c>
      <c r="O38" s="58" t="str">
        <f t="shared" si="26"/>
        <v>NBR.Q.Demolir.Terraplanar</v>
      </c>
      <c r="P38" s="58" t="s">
        <v>1426</v>
      </c>
      <c r="Q38" s="58" t="str">
        <f t="shared" si="27"/>
        <v>Equipos para demolición y movimiento de tierras</v>
      </c>
      <c r="R38" s="37" t="s">
        <v>638</v>
      </c>
      <c r="S38" s="59" t="str">
        <f t="shared" si="28"/>
        <v>Normativos</v>
      </c>
      <c r="T38" s="59" t="str">
        <f t="shared" si="29"/>
        <v>NBR.Temáticas</v>
      </c>
      <c r="U38" s="58" t="str">
        <f t="shared" si="30"/>
        <v>NBR.Equipamentos</v>
      </c>
      <c r="V38" s="37" t="s">
        <v>1331</v>
      </c>
      <c r="W38" s="65" t="str">
        <f t="shared" si="4"/>
        <v>Key-ABNT-38</v>
      </c>
      <c r="X38" s="37" t="s">
        <v>638</v>
      </c>
      <c r="Y38" s="37" t="s">
        <v>638</v>
      </c>
      <c r="Z38" s="64" t="s">
        <v>1377</v>
      </c>
      <c r="AA38" s="60" t="str">
        <f t="shared" si="22"/>
        <v>Equipment for Demolition and Earthmoving</v>
      </c>
    </row>
    <row r="39" spans="1:27" ht="7.3" customHeight="1" x14ac:dyDescent="0.3">
      <c r="A39" s="55">
        <v>39</v>
      </c>
      <c r="B39" s="56" t="s">
        <v>1518</v>
      </c>
      <c r="C39" s="31" t="s">
        <v>1519</v>
      </c>
      <c r="D39" s="31" t="s">
        <v>1520</v>
      </c>
      <c r="E39" s="31" t="s">
        <v>1437</v>
      </c>
      <c r="F39" s="25" t="s">
        <v>1366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8" t="str">
        <f t="shared" si="23"/>
        <v>Normativos</v>
      </c>
      <c r="M39" s="58" t="str">
        <f t="shared" si="24"/>
        <v>NBR.Temáticas</v>
      </c>
      <c r="N39" s="58" t="str">
        <f t="shared" si="25"/>
        <v>NBR.Equipamentos</v>
      </c>
      <c r="O39" s="58" t="str">
        <f t="shared" si="26"/>
        <v>NBR.Q.Limpar.Fachada</v>
      </c>
      <c r="P39" s="58" t="s">
        <v>1427</v>
      </c>
      <c r="Q39" s="58" t="str">
        <f t="shared" si="27"/>
        <v>Equipos para la limpieza y mantenimiento de fachadas</v>
      </c>
      <c r="R39" s="37" t="s">
        <v>638</v>
      </c>
      <c r="S39" s="59" t="str">
        <f t="shared" si="28"/>
        <v>Normativos</v>
      </c>
      <c r="T39" s="59" t="str">
        <f t="shared" si="29"/>
        <v>NBR.Temáticas</v>
      </c>
      <c r="U39" s="58" t="str">
        <f t="shared" si="30"/>
        <v>NBR.Equipamentos</v>
      </c>
      <c r="V39" s="37" t="s">
        <v>1331</v>
      </c>
      <c r="W39" s="65" t="str">
        <f t="shared" si="4"/>
        <v>Key-ABNT-39</v>
      </c>
      <c r="X39" s="37" t="s">
        <v>638</v>
      </c>
      <c r="Y39" s="37" t="s">
        <v>638</v>
      </c>
      <c r="Z39" s="64" t="s">
        <v>1378</v>
      </c>
      <c r="AA39" s="60" t="str">
        <f t="shared" si="22"/>
        <v>Equipment for Cleaning and Maintenance of Facades</v>
      </c>
    </row>
  </sheetData>
  <conditionalFormatting sqref="A2:B39">
    <cfRule type="cellIs" dxfId="9" priority="1" operator="equal">
      <formula>"null"</formula>
    </cfRule>
  </conditionalFormatting>
  <conditionalFormatting sqref="F3:F6">
    <cfRule type="duplicateValues" dxfId="8" priority="5"/>
    <cfRule type="duplicateValues" dxfId="7" priority="6"/>
    <cfRule type="duplicateValues" dxfId="6" priority="7"/>
    <cfRule type="duplicateValues" dxfId="5" priority="8"/>
  </conditionalFormatting>
  <conditionalFormatting sqref="F7:F19">
    <cfRule type="duplicateValues" dxfId="4" priority="3"/>
  </conditionalFormatting>
  <conditionalFormatting sqref="AA1:AA39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40:XFD1048576 AB1:XFD1 AB22:XFD31 AB32:XFD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3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1296</v>
      </c>
      <c r="C1" s="18" t="s">
        <v>1297</v>
      </c>
    </row>
    <row r="2" spans="1:3" x14ac:dyDescent="0.3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tabSelected="1" zoomScale="190" zoomScaleNormal="190" workbookViewId="0">
      <pane ySplit="1" topLeftCell="A2" activePane="bottomLeft" state="frozen"/>
      <selection pane="bottomLeft" activeCell="C13" sqref="C13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23.19921875" style="20" customWidth="1"/>
    <col min="4" max="4" width="10.19921875" style="20" bestFit="1" customWidth="1"/>
    <col min="5" max="5" width="7.69921875" style="20" bestFit="1" customWidth="1"/>
    <col min="6" max="6" width="5" style="20" bestFit="1" customWidth="1"/>
    <col min="7" max="7" width="9.19921875" style="20" customWidth="1"/>
    <col min="8" max="8" width="5" style="20" bestFit="1" customWidth="1"/>
    <col min="9" max="9" width="6.796875" style="20" bestFit="1" customWidth="1"/>
    <col min="10" max="10" width="4.19921875" style="20" customWidth="1"/>
    <col min="11" max="11" width="9.69921875" style="20" customWidth="1"/>
    <col min="12" max="12" width="5.796875" style="20" customWidth="1"/>
    <col min="13" max="13" width="19.796875" style="20" customWidth="1"/>
    <col min="14" max="14" width="7" style="20" bestFit="1" customWidth="1"/>
    <col min="15" max="15" width="49.19921875" style="2" bestFit="1" customWidth="1"/>
    <col min="16" max="16" width="7.796875" style="20" customWidth="1"/>
    <col min="17" max="17" width="5.296875" style="20" customWidth="1"/>
    <col min="18" max="19" width="5.796875" style="20" customWidth="1"/>
    <col min="20" max="25" width="4.69921875" style="20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5">
      <c r="A2" s="43">
        <v>2</v>
      </c>
      <c r="B2" s="44" t="s">
        <v>1246</v>
      </c>
      <c r="C2" s="45" t="s">
        <v>1519</v>
      </c>
      <c r="D2" s="62" t="s">
        <v>638</v>
      </c>
      <c r="E2" s="63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1357</v>
      </c>
      <c r="L2" s="46" t="s">
        <v>1312</v>
      </c>
      <c r="M2" s="47" t="s">
        <v>1358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5">
      <c r="A3" s="43">
        <v>3</v>
      </c>
      <c r="B3" s="23" t="s">
        <v>1247</v>
      </c>
      <c r="C3" s="21" t="s">
        <v>1363</v>
      </c>
      <c r="D3" s="62" t="s">
        <v>1361</v>
      </c>
      <c r="E3" s="63" t="s">
        <v>1246</v>
      </c>
      <c r="F3" s="51" t="s">
        <v>1248</v>
      </c>
      <c r="G3" s="22" t="s">
        <v>1249</v>
      </c>
      <c r="H3" s="48" t="s">
        <v>1241</v>
      </c>
      <c r="I3" s="61" t="s">
        <v>1244</v>
      </c>
      <c r="J3" s="46" t="s">
        <v>1242</v>
      </c>
      <c r="K3" s="47" t="s">
        <v>1357</v>
      </c>
      <c r="L3" s="46" t="s">
        <v>1312</v>
      </c>
      <c r="M3" s="47" t="s">
        <v>1394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5">
      <c r="A4" s="43">
        <v>4</v>
      </c>
      <c r="B4" s="23" t="s">
        <v>1243</v>
      </c>
      <c r="C4" s="25" t="s">
        <v>1362</v>
      </c>
      <c r="D4" s="62" t="s">
        <v>1361</v>
      </c>
      <c r="E4" s="63" t="s">
        <v>1247</v>
      </c>
      <c r="F4" s="51" t="s">
        <v>1248</v>
      </c>
      <c r="G4" s="22" t="s">
        <v>1249</v>
      </c>
      <c r="H4" s="48" t="s">
        <v>1241</v>
      </c>
      <c r="I4" s="61" t="s">
        <v>1244</v>
      </c>
      <c r="J4" s="46" t="s">
        <v>1242</v>
      </c>
      <c r="K4" s="47" t="s">
        <v>1357</v>
      </c>
      <c r="L4" s="46" t="s">
        <v>1312</v>
      </c>
      <c r="M4" s="47" t="s">
        <v>1395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5">
      <c r="A5" s="43">
        <v>5</v>
      </c>
      <c r="B5" s="26" t="s">
        <v>645</v>
      </c>
      <c r="C5" s="25" t="s">
        <v>1438</v>
      </c>
      <c r="D5" s="62" t="s">
        <v>1361</v>
      </c>
      <c r="E5" s="63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1348</v>
      </c>
      <c r="N5" s="52" t="s">
        <v>1</v>
      </c>
      <c r="O5" s="27" t="s">
        <v>18</v>
      </c>
      <c r="P5" s="46" t="s">
        <v>1313</v>
      </c>
      <c r="Q5" s="47" t="s">
        <v>1356</v>
      </c>
      <c r="R5" s="46" t="s">
        <v>1314</v>
      </c>
      <c r="S5" s="47" t="s">
        <v>1356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5">
      <c r="A6" s="43">
        <v>6</v>
      </c>
      <c r="B6" s="26" t="s">
        <v>646</v>
      </c>
      <c r="C6" s="25" t="s">
        <v>1438</v>
      </c>
      <c r="D6" s="62" t="s">
        <v>1361</v>
      </c>
      <c r="E6" s="63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1348</v>
      </c>
      <c r="N6" s="52" t="s">
        <v>1</v>
      </c>
      <c r="O6" s="28" t="s">
        <v>19</v>
      </c>
      <c r="P6" s="46" t="s">
        <v>1313</v>
      </c>
      <c r="Q6" s="47" t="s">
        <v>1356</v>
      </c>
      <c r="R6" s="46" t="s">
        <v>1314</v>
      </c>
      <c r="S6" s="47" t="s">
        <v>1356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5">
      <c r="A7" s="43">
        <v>7</v>
      </c>
      <c r="B7" s="26" t="s">
        <v>647</v>
      </c>
      <c r="C7" s="25" t="s">
        <v>1438</v>
      </c>
      <c r="D7" s="62" t="s">
        <v>1361</v>
      </c>
      <c r="E7" s="63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1348</v>
      </c>
      <c r="N7" s="52" t="s">
        <v>1</v>
      </c>
      <c r="O7" s="28" t="s">
        <v>20</v>
      </c>
      <c r="P7" s="46" t="s">
        <v>1313</v>
      </c>
      <c r="Q7" s="47" t="s">
        <v>1356</v>
      </c>
      <c r="R7" s="46" t="s">
        <v>1314</v>
      </c>
      <c r="S7" s="47" t="s">
        <v>1356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5">
      <c r="A8" s="43">
        <v>8</v>
      </c>
      <c r="B8" s="26" t="s">
        <v>648</v>
      </c>
      <c r="C8" s="25" t="s">
        <v>1438</v>
      </c>
      <c r="D8" s="62" t="s">
        <v>1361</v>
      </c>
      <c r="E8" s="63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1348</v>
      </c>
      <c r="N8" s="52" t="s">
        <v>1</v>
      </c>
      <c r="O8" s="28" t="s">
        <v>21</v>
      </c>
      <c r="P8" s="46" t="s">
        <v>1313</v>
      </c>
      <c r="Q8" s="47" t="s">
        <v>1356</v>
      </c>
      <c r="R8" s="46" t="s">
        <v>1314</v>
      </c>
      <c r="S8" s="47" t="s">
        <v>1356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5">
      <c r="A9" s="43">
        <v>9</v>
      </c>
      <c r="B9" s="26" t="s">
        <v>649</v>
      </c>
      <c r="C9" s="25" t="s">
        <v>1438</v>
      </c>
      <c r="D9" s="62" t="s">
        <v>1361</v>
      </c>
      <c r="E9" s="63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1348</v>
      </c>
      <c r="N9" s="52" t="s">
        <v>1</v>
      </c>
      <c r="O9" s="28" t="s">
        <v>22</v>
      </c>
      <c r="P9" s="46" t="s">
        <v>1313</v>
      </c>
      <c r="Q9" s="47" t="s">
        <v>1356</v>
      </c>
      <c r="R9" s="46" t="s">
        <v>1314</v>
      </c>
      <c r="S9" s="47" t="s">
        <v>1356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5">
      <c r="A10" s="43">
        <v>10</v>
      </c>
      <c r="B10" s="26" t="s">
        <v>650</v>
      </c>
      <c r="C10" s="25" t="s">
        <v>1438</v>
      </c>
      <c r="D10" s="62" t="s">
        <v>1361</v>
      </c>
      <c r="E10" s="63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1348</v>
      </c>
      <c r="N10" s="52" t="s">
        <v>1</v>
      </c>
      <c r="O10" s="28" t="s">
        <v>23</v>
      </c>
      <c r="P10" s="46" t="s">
        <v>1313</v>
      </c>
      <c r="Q10" s="47" t="s">
        <v>1356</v>
      </c>
      <c r="R10" s="46" t="s">
        <v>1314</v>
      </c>
      <c r="S10" s="47" t="s">
        <v>1356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5">
      <c r="A11" s="43">
        <v>11</v>
      </c>
      <c r="B11" s="26" t="s">
        <v>651</v>
      </c>
      <c r="C11" s="25" t="s">
        <v>1438</v>
      </c>
      <c r="D11" s="62" t="s">
        <v>1361</v>
      </c>
      <c r="E11" s="63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1348</v>
      </c>
      <c r="N11" s="52" t="s">
        <v>1</v>
      </c>
      <c r="O11" s="28" t="s">
        <v>24</v>
      </c>
      <c r="P11" s="46" t="s">
        <v>1313</v>
      </c>
      <c r="Q11" s="47" t="s">
        <v>1356</v>
      </c>
      <c r="R11" s="46" t="s">
        <v>1314</v>
      </c>
      <c r="S11" s="47" t="s">
        <v>1356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5">
      <c r="A12" s="43">
        <v>12</v>
      </c>
      <c r="B12" s="26" t="s">
        <v>652</v>
      </c>
      <c r="C12" s="25" t="s">
        <v>1438</v>
      </c>
      <c r="D12" s="62" t="s">
        <v>1361</v>
      </c>
      <c r="E12" s="63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1348</v>
      </c>
      <c r="N12" s="52" t="s">
        <v>1</v>
      </c>
      <c r="O12" s="28" t="s">
        <v>25</v>
      </c>
      <c r="P12" s="46" t="s">
        <v>1313</v>
      </c>
      <c r="Q12" s="47" t="s">
        <v>1356</v>
      </c>
      <c r="R12" s="46" t="s">
        <v>1314</v>
      </c>
      <c r="S12" s="47" t="s">
        <v>1356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5">
      <c r="A13" s="43">
        <v>13</v>
      </c>
      <c r="B13" s="26" t="s">
        <v>653</v>
      </c>
      <c r="C13" s="25" t="s">
        <v>1438</v>
      </c>
      <c r="D13" s="62" t="s">
        <v>1361</v>
      </c>
      <c r="E13" s="63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1348</v>
      </c>
      <c r="N13" s="52" t="s">
        <v>1</v>
      </c>
      <c r="O13" s="28" t="s">
        <v>26</v>
      </c>
      <c r="P13" s="46" t="s">
        <v>1313</v>
      </c>
      <c r="Q13" s="47" t="s">
        <v>1356</v>
      </c>
      <c r="R13" s="46" t="s">
        <v>1314</v>
      </c>
      <c r="S13" s="47" t="s">
        <v>1356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5">
      <c r="A14" s="43">
        <v>14</v>
      </c>
      <c r="B14" s="26" t="s">
        <v>654</v>
      </c>
      <c r="C14" s="25" t="s">
        <v>1438</v>
      </c>
      <c r="D14" s="62" t="s">
        <v>1361</v>
      </c>
      <c r="E14" s="63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1348</v>
      </c>
      <c r="N14" s="52" t="s">
        <v>1</v>
      </c>
      <c r="O14" s="28" t="s">
        <v>27</v>
      </c>
      <c r="P14" s="46" t="s">
        <v>1313</v>
      </c>
      <c r="Q14" s="47" t="s">
        <v>1356</v>
      </c>
      <c r="R14" s="46" t="s">
        <v>1314</v>
      </c>
      <c r="S14" s="47" t="s">
        <v>1356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5">
      <c r="A15" s="43">
        <v>15</v>
      </c>
      <c r="B15" s="26" t="s">
        <v>655</v>
      </c>
      <c r="C15" s="25" t="s">
        <v>1438</v>
      </c>
      <c r="D15" s="62" t="s">
        <v>1361</v>
      </c>
      <c r="E15" s="63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1348</v>
      </c>
      <c r="N15" s="52" t="s">
        <v>1</v>
      </c>
      <c r="O15" s="28" t="s">
        <v>28</v>
      </c>
      <c r="P15" s="46" t="s">
        <v>1313</v>
      </c>
      <c r="Q15" s="47" t="s">
        <v>1356</v>
      </c>
      <c r="R15" s="46" t="s">
        <v>1314</v>
      </c>
      <c r="S15" s="47" t="s">
        <v>1356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5">
      <c r="A16" s="43">
        <v>16</v>
      </c>
      <c r="B16" s="26" t="s">
        <v>656</v>
      </c>
      <c r="C16" s="25" t="s">
        <v>1438</v>
      </c>
      <c r="D16" s="62" t="s">
        <v>1361</v>
      </c>
      <c r="E16" s="63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1348</v>
      </c>
      <c r="N16" s="52" t="s">
        <v>1</v>
      </c>
      <c r="O16" s="28" t="s">
        <v>29</v>
      </c>
      <c r="P16" s="46" t="s">
        <v>1313</v>
      </c>
      <c r="Q16" s="47" t="s">
        <v>1356</v>
      </c>
      <c r="R16" s="46" t="s">
        <v>1314</v>
      </c>
      <c r="S16" s="47" t="s">
        <v>1356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5">
      <c r="A17" s="43">
        <v>17</v>
      </c>
      <c r="B17" s="26" t="s">
        <v>657</v>
      </c>
      <c r="C17" s="25" t="s">
        <v>1438</v>
      </c>
      <c r="D17" s="62" t="s">
        <v>1361</v>
      </c>
      <c r="E17" s="63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1348</v>
      </c>
      <c r="N17" s="52" t="s">
        <v>1</v>
      </c>
      <c r="O17" s="28" t="s">
        <v>30</v>
      </c>
      <c r="P17" s="46" t="s">
        <v>1313</v>
      </c>
      <c r="Q17" s="47" t="s">
        <v>1356</v>
      </c>
      <c r="R17" s="46" t="s">
        <v>1314</v>
      </c>
      <c r="S17" s="47" t="s">
        <v>1356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5">
      <c r="A18" s="43">
        <v>18</v>
      </c>
      <c r="B18" s="26" t="s">
        <v>658</v>
      </c>
      <c r="C18" s="25" t="s">
        <v>1438</v>
      </c>
      <c r="D18" s="62" t="s">
        <v>1361</v>
      </c>
      <c r="E18" s="63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1348</v>
      </c>
      <c r="N18" s="52" t="s">
        <v>1</v>
      </c>
      <c r="O18" s="27" t="s">
        <v>31</v>
      </c>
      <c r="P18" s="46" t="s">
        <v>1313</v>
      </c>
      <c r="Q18" s="47" t="s">
        <v>1356</v>
      </c>
      <c r="R18" s="46" t="s">
        <v>1314</v>
      </c>
      <c r="S18" s="47" t="s">
        <v>1356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5">
      <c r="A19" s="43">
        <v>19</v>
      </c>
      <c r="B19" s="26" t="s">
        <v>659</v>
      </c>
      <c r="C19" s="25" t="s">
        <v>1438</v>
      </c>
      <c r="D19" s="62" t="s">
        <v>1361</v>
      </c>
      <c r="E19" s="63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1348</v>
      </c>
      <c r="N19" s="52" t="s">
        <v>1</v>
      </c>
      <c r="O19" s="28" t="s">
        <v>32</v>
      </c>
      <c r="P19" s="46" t="s">
        <v>1313</v>
      </c>
      <c r="Q19" s="47" t="s">
        <v>1356</v>
      </c>
      <c r="R19" s="46" t="s">
        <v>1314</v>
      </c>
      <c r="S19" s="47" t="s">
        <v>1356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5">
      <c r="A20" s="43">
        <v>20</v>
      </c>
      <c r="B20" s="26" t="s">
        <v>660</v>
      </c>
      <c r="C20" s="25" t="s">
        <v>1438</v>
      </c>
      <c r="D20" s="62" t="s">
        <v>1361</v>
      </c>
      <c r="E20" s="63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1348</v>
      </c>
      <c r="N20" s="52" t="s">
        <v>1</v>
      </c>
      <c r="O20" s="28" t="s">
        <v>33</v>
      </c>
      <c r="P20" s="46" t="s">
        <v>1313</v>
      </c>
      <c r="Q20" s="47" t="s">
        <v>1356</v>
      </c>
      <c r="R20" s="46" t="s">
        <v>1314</v>
      </c>
      <c r="S20" s="47" t="s">
        <v>1356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5">
      <c r="A21" s="43">
        <v>21</v>
      </c>
      <c r="B21" s="26" t="s">
        <v>661</v>
      </c>
      <c r="C21" s="25" t="s">
        <v>1438</v>
      </c>
      <c r="D21" s="62" t="s">
        <v>1361</v>
      </c>
      <c r="E21" s="63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1348</v>
      </c>
      <c r="N21" s="52" t="s">
        <v>1</v>
      </c>
      <c r="O21" s="28" t="s">
        <v>34</v>
      </c>
      <c r="P21" s="46" t="s">
        <v>1313</v>
      </c>
      <c r="Q21" s="47" t="s">
        <v>1356</v>
      </c>
      <c r="R21" s="46" t="s">
        <v>1314</v>
      </c>
      <c r="S21" s="47" t="s">
        <v>1356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5">
      <c r="A22" s="43">
        <v>22</v>
      </c>
      <c r="B22" s="26" t="s">
        <v>662</v>
      </c>
      <c r="C22" s="25" t="s">
        <v>1438</v>
      </c>
      <c r="D22" s="62" t="s">
        <v>1361</v>
      </c>
      <c r="E22" s="63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1348</v>
      </c>
      <c r="N22" s="52" t="s">
        <v>1</v>
      </c>
      <c r="O22" s="28" t="s">
        <v>35</v>
      </c>
      <c r="P22" s="46" t="s">
        <v>1313</v>
      </c>
      <c r="Q22" s="47" t="s">
        <v>1356</v>
      </c>
      <c r="R22" s="46" t="s">
        <v>1314</v>
      </c>
      <c r="S22" s="47" t="s">
        <v>1356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5">
      <c r="A23" s="43">
        <v>23</v>
      </c>
      <c r="B23" s="26" t="s">
        <v>663</v>
      </c>
      <c r="C23" s="25" t="s">
        <v>1438</v>
      </c>
      <c r="D23" s="62" t="s">
        <v>1361</v>
      </c>
      <c r="E23" s="63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1348</v>
      </c>
      <c r="N23" s="52" t="s">
        <v>1</v>
      </c>
      <c r="O23" s="28" t="s">
        <v>36</v>
      </c>
      <c r="P23" s="46" t="s">
        <v>1313</v>
      </c>
      <c r="Q23" s="47" t="s">
        <v>1356</v>
      </c>
      <c r="R23" s="46" t="s">
        <v>1314</v>
      </c>
      <c r="S23" s="47" t="s">
        <v>1356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5">
      <c r="A24" s="43">
        <v>24</v>
      </c>
      <c r="B24" s="26" t="s">
        <v>664</v>
      </c>
      <c r="C24" s="25" t="s">
        <v>1438</v>
      </c>
      <c r="D24" s="62" t="s">
        <v>1361</v>
      </c>
      <c r="E24" s="63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1348</v>
      </c>
      <c r="N24" s="52" t="s">
        <v>1</v>
      </c>
      <c r="O24" s="28" t="s">
        <v>37</v>
      </c>
      <c r="P24" s="46" t="s">
        <v>1313</v>
      </c>
      <c r="Q24" s="47" t="s">
        <v>1356</v>
      </c>
      <c r="R24" s="46" t="s">
        <v>1314</v>
      </c>
      <c r="S24" s="47" t="s">
        <v>1356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5">
      <c r="A25" s="43">
        <v>25</v>
      </c>
      <c r="B25" s="26" t="s">
        <v>665</v>
      </c>
      <c r="C25" s="25" t="s">
        <v>1438</v>
      </c>
      <c r="D25" s="62" t="s">
        <v>1361</v>
      </c>
      <c r="E25" s="63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1348</v>
      </c>
      <c r="N25" s="52" t="s">
        <v>1</v>
      </c>
      <c r="O25" s="28" t="s">
        <v>38</v>
      </c>
      <c r="P25" s="46" t="s">
        <v>1313</v>
      </c>
      <c r="Q25" s="47" t="s">
        <v>1356</v>
      </c>
      <c r="R25" s="46" t="s">
        <v>1314</v>
      </c>
      <c r="S25" s="47" t="s">
        <v>1356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5">
      <c r="A26" s="43">
        <v>26</v>
      </c>
      <c r="B26" s="26" t="s">
        <v>666</v>
      </c>
      <c r="C26" s="25" t="s">
        <v>1438</v>
      </c>
      <c r="D26" s="62" t="s">
        <v>1361</v>
      </c>
      <c r="E26" s="63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1348</v>
      </c>
      <c r="N26" s="52" t="s">
        <v>1</v>
      </c>
      <c r="O26" s="28" t="s">
        <v>39</v>
      </c>
      <c r="P26" s="46" t="s">
        <v>1313</v>
      </c>
      <c r="Q26" s="47" t="s">
        <v>1356</v>
      </c>
      <c r="R26" s="46" t="s">
        <v>1314</v>
      </c>
      <c r="S26" s="47" t="s">
        <v>1356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5">
      <c r="A27" s="43">
        <v>27</v>
      </c>
      <c r="B27" s="26" t="s">
        <v>667</v>
      </c>
      <c r="C27" s="25" t="s">
        <v>1438</v>
      </c>
      <c r="D27" s="62" t="s">
        <v>1361</v>
      </c>
      <c r="E27" s="63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1348</v>
      </c>
      <c r="N27" s="52" t="s">
        <v>1</v>
      </c>
      <c r="O27" s="28" t="s">
        <v>40</v>
      </c>
      <c r="P27" s="46" t="s">
        <v>1313</v>
      </c>
      <c r="Q27" s="47" t="s">
        <v>1356</v>
      </c>
      <c r="R27" s="46" t="s">
        <v>1314</v>
      </c>
      <c r="S27" s="47" t="s">
        <v>1356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5">
      <c r="A28" s="43">
        <v>28</v>
      </c>
      <c r="B28" s="26" t="s">
        <v>668</v>
      </c>
      <c r="C28" s="25" t="s">
        <v>1438</v>
      </c>
      <c r="D28" s="62" t="s">
        <v>1361</v>
      </c>
      <c r="E28" s="63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1348</v>
      </c>
      <c r="N28" s="52" t="s">
        <v>1</v>
      </c>
      <c r="O28" s="28" t="s">
        <v>41</v>
      </c>
      <c r="P28" s="46" t="s">
        <v>1313</v>
      </c>
      <c r="Q28" s="47" t="s">
        <v>1356</v>
      </c>
      <c r="R28" s="46" t="s">
        <v>1314</v>
      </c>
      <c r="S28" s="47" t="s">
        <v>1356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5">
      <c r="A29" s="43">
        <v>29</v>
      </c>
      <c r="B29" s="26" t="s">
        <v>669</v>
      </c>
      <c r="C29" s="25" t="s">
        <v>1438</v>
      </c>
      <c r="D29" s="62" t="s">
        <v>1361</v>
      </c>
      <c r="E29" s="63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1348</v>
      </c>
      <c r="N29" s="52" t="s">
        <v>1</v>
      </c>
      <c r="O29" s="28" t="s">
        <v>42</v>
      </c>
      <c r="P29" s="46" t="s">
        <v>1313</v>
      </c>
      <c r="Q29" s="47" t="s">
        <v>1356</v>
      </c>
      <c r="R29" s="46" t="s">
        <v>1314</v>
      </c>
      <c r="S29" s="47" t="s">
        <v>1356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5">
      <c r="A30" s="43">
        <v>30</v>
      </c>
      <c r="B30" s="26" t="s">
        <v>1318</v>
      </c>
      <c r="C30" s="25" t="s">
        <v>1438</v>
      </c>
      <c r="D30" s="62" t="s">
        <v>1361</v>
      </c>
      <c r="E30" s="63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1348</v>
      </c>
      <c r="N30" s="52" t="s">
        <v>1</v>
      </c>
      <c r="O30" s="28" t="s">
        <v>43</v>
      </c>
      <c r="P30" s="46" t="s">
        <v>1313</v>
      </c>
      <c r="Q30" s="47" t="s">
        <v>1356</v>
      </c>
      <c r="R30" s="46" t="s">
        <v>1314</v>
      </c>
      <c r="S30" s="47" t="s">
        <v>1356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5">
      <c r="A31" s="43">
        <v>31</v>
      </c>
      <c r="B31" s="26" t="s">
        <v>670</v>
      </c>
      <c r="C31" s="25" t="s">
        <v>1438</v>
      </c>
      <c r="D31" s="62" t="s">
        <v>1361</v>
      </c>
      <c r="E31" s="63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1348</v>
      </c>
      <c r="N31" s="52" t="s">
        <v>1</v>
      </c>
      <c r="O31" s="28" t="s">
        <v>44</v>
      </c>
      <c r="P31" s="46" t="s">
        <v>1313</v>
      </c>
      <c r="Q31" s="47" t="s">
        <v>1356</v>
      </c>
      <c r="R31" s="46" t="s">
        <v>1314</v>
      </c>
      <c r="S31" s="47" t="s">
        <v>1356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5">
      <c r="A32" s="43">
        <v>32</v>
      </c>
      <c r="B32" s="26" t="s">
        <v>671</v>
      </c>
      <c r="C32" s="25" t="s">
        <v>1438</v>
      </c>
      <c r="D32" s="62" t="s">
        <v>1361</v>
      </c>
      <c r="E32" s="63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1348</v>
      </c>
      <c r="N32" s="52" t="s">
        <v>1</v>
      </c>
      <c r="O32" s="28" t="s">
        <v>45</v>
      </c>
      <c r="P32" s="46" t="s">
        <v>1313</v>
      </c>
      <c r="Q32" s="47" t="s">
        <v>1356</v>
      </c>
      <c r="R32" s="46" t="s">
        <v>1314</v>
      </c>
      <c r="S32" s="47" t="s">
        <v>1356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5">
      <c r="A33" s="43">
        <v>33</v>
      </c>
      <c r="B33" s="26" t="s">
        <v>672</v>
      </c>
      <c r="C33" s="25" t="s">
        <v>1438</v>
      </c>
      <c r="D33" s="62" t="s">
        <v>1361</v>
      </c>
      <c r="E33" s="63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1348</v>
      </c>
      <c r="N33" s="52" t="s">
        <v>1</v>
      </c>
      <c r="O33" s="28" t="s">
        <v>46</v>
      </c>
      <c r="P33" s="46" t="s">
        <v>1313</v>
      </c>
      <c r="Q33" s="47" t="s">
        <v>1356</v>
      </c>
      <c r="R33" s="46" t="s">
        <v>1314</v>
      </c>
      <c r="S33" s="47" t="s">
        <v>1356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5">
      <c r="A34" s="43">
        <v>34</v>
      </c>
      <c r="B34" s="26" t="s">
        <v>673</v>
      </c>
      <c r="C34" s="25" t="s">
        <v>1438</v>
      </c>
      <c r="D34" s="62" t="s">
        <v>1361</v>
      </c>
      <c r="E34" s="63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1348</v>
      </c>
      <c r="N34" s="52" t="s">
        <v>1</v>
      </c>
      <c r="O34" s="28" t="s">
        <v>47</v>
      </c>
      <c r="P34" s="46" t="s">
        <v>1313</v>
      </c>
      <c r="Q34" s="47" t="s">
        <v>1356</v>
      </c>
      <c r="R34" s="46" t="s">
        <v>1314</v>
      </c>
      <c r="S34" s="47" t="s">
        <v>1356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5">
      <c r="A35" s="43">
        <v>35</v>
      </c>
      <c r="B35" s="26" t="s">
        <v>674</v>
      </c>
      <c r="C35" s="25" t="s">
        <v>1438</v>
      </c>
      <c r="D35" s="62" t="s">
        <v>1361</v>
      </c>
      <c r="E35" s="63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1348</v>
      </c>
      <c r="N35" s="52" t="s">
        <v>1</v>
      </c>
      <c r="O35" s="28" t="s">
        <v>48</v>
      </c>
      <c r="P35" s="46" t="s">
        <v>1313</v>
      </c>
      <c r="Q35" s="47" t="s">
        <v>1356</v>
      </c>
      <c r="R35" s="46" t="s">
        <v>1314</v>
      </c>
      <c r="S35" s="47" t="s">
        <v>1356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5">
      <c r="A36" s="43">
        <v>36</v>
      </c>
      <c r="B36" s="26" t="s">
        <v>675</v>
      </c>
      <c r="C36" s="25" t="s">
        <v>1438</v>
      </c>
      <c r="D36" s="62" t="s">
        <v>1361</v>
      </c>
      <c r="E36" s="63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1348</v>
      </c>
      <c r="N36" s="52" t="s">
        <v>1</v>
      </c>
      <c r="O36" s="28" t="s">
        <v>49</v>
      </c>
      <c r="P36" s="46" t="s">
        <v>1313</v>
      </c>
      <c r="Q36" s="47" t="s">
        <v>1356</v>
      </c>
      <c r="R36" s="46" t="s">
        <v>1314</v>
      </c>
      <c r="S36" s="47" t="s">
        <v>1356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5">
      <c r="A37" s="43">
        <v>37</v>
      </c>
      <c r="B37" s="26" t="s">
        <v>676</v>
      </c>
      <c r="C37" s="25" t="s">
        <v>1438</v>
      </c>
      <c r="D37" s="62" t="s">
        <v>1361</v>
      </c>
      <c r="E37" s="63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1348</v>
      </c>
      <c r="N37" s="52" t="s">
        <v>1</v>
      </c>
      <c r="O37" s="28" t="s">
        <v>50</v>
      </c>
      <c r="P37" s="46" t="s">
        <v>1313</v>
      </c>
      <c r="Q37" s="47" t="s">
        <v>1356</v>
      </c>
      <c r="R37" s="46" t="s">
        <v>1314</v>
      </c>
      <c r="S37" s="47" t="s">
        <v>1356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5">
      <c r="A38" s="43">
        <v>38</v>
      </c>
      <c r="B38" s="26" t="s">
        <v>677</v>
      </c>
      <c r="C38" s="25" t="s">
        <v>1438</v>
      </c>
      <c r="D38" s="62" t="s">
        <v>1361</v>
      </c>
      <c r="E38" s="63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1348</v>
      </c>
      <c r="N38" s="52" t="s">
        <v>1</v>
      </c>
      <c r="O38" s="28" t="s">
        <v>51</v>
      </c>
      <c r="P38" s="46" t="s">
        <v>1313</v>
      </c>
      <c r="Q38" s="47" t="s">
        <v>1356</v>
      </c>
      <c r="R38" s="46" t="s">
        <v>1314</v>
      </c>
      <c r="S38" s="47" t="s">
        <v>1356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5">
      <c r="A39" s="43">
        <v>39</v>
      </c>
      <c r="B39" s="26" t="s">
        <v>678</v>
      </c>
      <c r="C39" s="25" t="s">
        <v>1442</v>
      </c>
      <c r="D39" s="62" t="s">
        <v>1361</v>
      </c>
      <c r="E39" s="63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1348</v>
      </c>
      <c r="N39" s="52" t="s">
        <v>1</v>
      </c>
      <c r="O39" s="28" t="s">
        <v>52</v>
      </c>
      <c r="P39" s="46" t="s">
        <v>1313</v>
      </c>
      <c r="Q39" s="47" t="s">
        <v>1356</v>
      </c>
      <c r="R39" s="46" t="s">
        <v>1314</v>
      </c>
      <c r="S39" s="47" t="s">
        <v>1356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5">
      <c r="A40" s="43">
        <v>40</v>
      </c>
      <c r="B40" s="26" t="s">
        <v>679</v>
      </c>
      <c r="C40" s="25" t="s">
        <v>1442</v>
      </c>
      <c r="D40" s="62" t="s">
        <v>1361</v>
      </c>
      <c r="E40" s="63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1348</v>
      </c>
      <c r="N40" s="52" t="s">
        <v>1</v>
      </c>
      <c r="O40" s="28" t="s">
        <v>53</v>
      </c>
      <c r="P40" s="46" t="s">
        <v>1313</v>
      </c>
      <c r="Q40" s="47" t="s">
        <v>1356</v>
      </c>
      <c r="R40" s="46" t="s">
        <v>1314</v>
      </c>
      <c r="S40" s="47" t="s">
        <v>1356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5">
      <c r="A41" s="43">
        <v>41</v>
      </c>
      <c r="B41" s="26" t="s">
        <v>680</v>
      </c>
      <c r="C41" s="25" t="s">
        <v>1442</v>
      </c>
      <c r="D41" s="62" t="s">
        <v>1361</v>
      </c>
      <c r="E41" s="63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1348</v>
      </c>
      <c r="N41" s="52" t="s">
        <v>1</v>
      </c>
      <c r="O41" s="28" t="s">
        <v>54</v>
      </c>
      <c r="P41" s="46" t="s">
        <v>1313</v>
      </c>
      <c r="Q41" s="47" t="s">
        <v>1356</v>
      </c>
      <c r="R41" s="46" t="s">
        <v>1314</v>
      </c>
      <c r="S41" s="47" t="s">
        <v>1356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5">
      <c r="A42" s="43">
        <v>42</v>
      </c>
      <c r="B42" s="26" t="s">
        <v>681</v>
      </c>
      <c r="C42" s="25" t="s">
        <v>1442</v>
      </c>
      <c r="D42" s="62" t="s">
        <v>1361</v>
      </c>
      <c r="E42" s="63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1348</v>
      </c>
      <c r="N42" s="52" t="s">
        <v>1</v>
      </c>
      <c r="O42" s="28" t="s">
        <v>55</v>
      </c>
      <c r="P42" s="46" t="s">
        <v>1313</v>
      </c>
      <c r="Q42" s="47" t="s">
        <v>1356</v>
      </c>
      <c r="R42" s="46" t="s">
        <v>1314</v>
      </c>
      <c r="S42" s="47" t="s">
        <v>1356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5">
      <c r="A43" s="43">
        <v>43</v>
      </c>
      <c r="B43" s="26" t="s">
        <v>682</v>
      </c>
      <c r="C43" s="25" t="s">
        <v>1439</v>
      </c>
      <c r="D43" s="62" t="s">
        <v>1361</v>
      </c>
      <c r="E43" s="63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1356</v>
      </c>
      <c r="R43" s="46" t="s">
        <v>1314</v>
      </c>
      <c r="S43" s="47" t="s">
        <v>1356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5">
      <c r="A44" s="43">
        <v>44</v>
      </c>
      <c r="B44" s="26" t="s">
        <v>683</v>
      </c>
      <c r="C44" s="25" t="s">
        <v>1439</v>
      </c>
      <c r="D44" s="62" t="s">
        <v>1361</v>
      </c>
      <c r="E44" s="63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1356</v>
      </c>
      <c r="R44" s="46" t="s">
        <v>1314</v>
      </c>
      <c r="S44" s="47" t="s">
        <v>1356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5">
      <c r="A45" s="43">
        <v>45</v>
      </c>
      <c r="B45" s="26" t="s">
        <v>684</v>
      </c>
      <c r="C45" s="25" t="s">
        <v>1439</v>
      </c>
      <c r="D45" s="62" t="s">
        <v>1361</v>
      </c>
      <c r="E45" s="63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1356</v>
      </c>
      <c r="R45" s="46" t="s">
        <v>1314</v>
      </c>
      <c r="S45" s="47" t="s">
        <v>1356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5">
      <c r="A46" s="43">
        <v>46</v>
      </c>
      <c r="B46" s="26" t="s">
        <v>685</v>
      </c>
      <c r="C46" s="25" t="s">
        <v>1439</v>
      </c>
      <c r="D46" s="62" t="s">
        <v>1361</v>
      </c>
      <c r="E46" s="63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1356</v>
      </c>
      <c r="R46" s="46" t="s">
        <v>1314</v>
      </c>
      <c r="S46" s="47" t="s">
        <v>1356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5">
      <c r="A47" s="43">
        <v>47</v>
      </c>
      <c r="B47" s="26" t="s">
        <v>686</v>
      </c>
      <c r="C47" s="25" t="s">
        <v>1439</v>
      </c>
      <c r="D47" s="62" t="s">
        <v>1361</v>
      </c>
      <c r="E47" s="63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1356</v>
      </c>
      <c r="R47" s="46" t="s">
        <v>1314</v>
      </c>
      <c r="S47" s="47" t="s">
        <v>1356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5">
      <c r="A48" s="43">
        <v>48</v>
      </c>
      <c r="B48" s="26" t="s">
        <v>687</v>
      </c>
      <c r="C48" s="25" t="s">
        <v>1439</v>
      </c>
      <c r="D48" s="62" t="s">
        <v>1361</v>
      </c>
      <c r="E48" s="63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1356</v>
      </c>
      <c r="R48" s="46" t="s">
        <v>1314</v>
      </c>
      <c r="S48" s="47" t="s">
        <v>1356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5">
      <c r="A49" s="43">
        <v>49</v>
      </c>
      <c r="B49" s="26" t="s">
        <v>688</v>
      </c>
      <c r="C49" s="25" t="s">
        <v>1439</v>
      </c>
      <c r="D49" s="62" t="s">
        <v>1361</v>
      </c>
      <c r="E49" s="63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1356</v>
      </c>
      <c r="R49" s="46" t="s">
        <v>1314</v>
      </c>
      <c r="S49" s="47" t="s">
        <v>1356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5">
      <c r="A50" s="43">
        <v>50</v>
      </c>
      <c r="B50" s="26" t="s">
        <v>689</v>
      </c>
      <c r="C50" s="25" t="s">
        <v>1439</v>
      </c>
      <c r="D50" s="62" t="s">
        <v>1361</v>
      </c>
      <c r="E50" s="63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1356</v>
      </c>
      <c r="R50" s="46" t="s">
        <v>1314</v>
      </c>
      <c r="S50" s="47" t="s">
        <v>1356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5">
      <c r="A51" s="43">
        <v>51</v>
      </c>
      <c r="B51" s="26" t="s">
        <v>690</v>
      </c>
      <c r="C51" s="25" t="s">
        <v>1439</v>
      </c>
      <c r="D51" s="62" t="s">
        <v>1361</v>
      </c>
      <c r="E51" s="63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1356</v>
      </c>
      <c r="R51" s="46" t="s">
        <v>1314</v>
      </c>
      <c r="S51" s="47" t="s">
        <v>1356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5">
      <c r="A52" s="43">
        <v>52</v>
      </c>
      <c r="B52" s="26" t="s">
        <v>691</v>
      </c>
      <c r="C52" s="25" t="s">
        <v>1439</v>
      </c>
      <c r="D52" s="62" t="s">
        <v>1361</v>
      </c>
      <c r="E52" s="63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1356</v>
      </c>
      <c r="R52" s="46" t="s">
        <v>1314</v>
      </c>
      <c r="S52" s="47" t="s">
        <v>1356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5">
      <c r="A53" s="43">
        <v>53</v>
      </c>
      <c r="B53" s="26" t="s">
        <v>692</v>
      </c>
      <c r="C53" s="25" t="s">
        <v>1439</v>
      </c>
      <c r="D53" s="62" t="s">
        <v>1361</v>
      </c>
      <c r="E53" s="63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1356</v>
      </c>
      <c r="R53" s="46" t="s">
        <v>1314</v>
      </c>
      <c r="S53" s="47" t="s">
        <v>1356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5">
      <c r="A54" s="43">
        <v>54</v>
      </c>
      <c r="B54" s="26" t="s">
        <v>693</v>
      </c>
      <c r="C54" s="25" t="s">
        <v>1439</v>
      </c>
      <c r="D54" s="62" t="s">
        <v>1361</v>
      </c>
      <c r="E54" s="63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1356</v>
      </c>
      <c r="R54" s="46" t="s">
        <v>1314</v>
      </c>
      <c r="S54" s="47" t="s">
        <v>1356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5">
      <c r="A55" s="43">
        <v>55</v>
      </c>
      <c r="B55" s="26" t="s">
        <v>694</v>
      </c>
      <c r="C55" s="25" t="s">
        <v>1439</v>
      </c>
      <c r="D55" s="62" t="s">
        <v>1361</v>
      </c>
      <c r="E55" s="63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1356</v>
      </c>
      <c r="R55" s="46" t="s">
        <v>1314</v>
      </c>
      <c r="S55" s="47" t="s">
        <v>1356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5">
      <c r="A56" s="43">
        <v>56</v>
      </c>
      <c r="B56" s="26" t="s">
        <v>695</v>
      </c>
      <c r="C56" s="25" t="s">
        <v>1439</v>
      </c>
      <c r="D56" s="62" t="s">
        <v>1361</v>
      </c>
      <c r="E56" s="63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1356</v>
      </c>
      <c r="R56" s="46" t="s">
        <v>1314</v>
      </c>
      <c r="S56" s="47" t="s">
        <v>1356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5">
      <c r="A57" s="43">
        <v>57</v>
      </c>
      <c r="B57" s="26" t="s">
        <v>696</v>
      </c>
      <c r="C57" s="25" t="s">
        <v>1439</v>
      </c>
      <c r="D57" s="62" t="s">
        <v>1361</v>
      </c>
      <c r="E57" s="63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1356</v>
      </c>
      <c r="R57" s="46" t="s">
        <v>1314</v>
      </c>
      <c r="S57" s="47" t="s">
        <v>1356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5">
      <c r="A58" s="43">
        <v>58</v>
      </c>
      <c r="B58" s="26" t="s">
        <v>697</v>
      </c>
      <c r="C58" s="25" t="s">
        <v>1439</v>
      </c>
      <c r="D58" s="62" t="s">
        <v>1361</v>
      </c>
      <c r="E58" s="63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1356</v>
      </c>
      <c r="R58" s="46" t="s">
        <v>1314</v>
      </c>
      <c r="S58" s="47" t="s">
        <v>1356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5">
      <c r="A59" s="43">
        <v>59</v>
      </c>
      <c r="B59" s="26" t="s">
        <v>698</v>
      </c>
      <c r="C59" s="25" t="s">
        <v>1439</v>
      </c>
      <c r="D59" s="62" t="s">
        <v>1361</v>
      </c>
      <c r="E59" s="63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1356</v>
      </c>
      <c r="R59" s="46" t="s">
        <v>1314</v>
      </c>
      <c r="S59" s="47" t="s">
        <v>1356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5">
      <c r="A60" s="43">
        <v>60</v>
      </c>
      <c r="B60" s="26" t="s">
        <v>699</v>
      </c>
      <c r="C60" s="25" t="s">
        <v>1439</v>
      </c>
      <c r="D60" s="62" t="s">
        <v>1361</v>
      </c>
      <c r="E60" s="63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1356</v>
      </c>
      <c r="R60" s="46" t="s">
        <v>1314</v>
      </c>
      <c r="S60" s="47" t="s">
        <v>1356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5">
      <c r="A61" s="43">
        <v>61</v>
      </c>
      <c r="B61" s="26" t="s">
        <v>700</v>
      </c>
      <c r="C61" s="25" t="s">
        <v>1439</v>
      </c>
      <c r="D61" s="62" t="s">
        <v>1361</v>
      </c>
      <c r="E61" s="63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1356</v>
      </c>
      <c r="R61" s="46" t="s">
        <v>1314</v>
      </c>
      <c r="S61" s="47" t="s">
        <v>1356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5">
      <c r="A62" s="43">
        <v>62</v>
      </c>
      <c r="B62" s="26" t="s">
        <v>701</v>
      </c>
      <c r="C62" s="25" t="s">
        <v>1439</v>
      </c>
      <c r="D62" s="62" t="s">
        <v>1361</v>
      </c>
      <c r="E62" s="63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1356</v>
      </c>
      <c r="R62" s="46" t="s">
        <v>1314</v>
      </c>
      <c r="S62" s="47" t="s">
        <v>1356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5">
      <c r="A63" s="43">
        <v>63</v>
      </c>
      <c r="B63" s="26" t="s">
        <v>702</v>
      </c>
      <c r="C63" s="25" t="s">
        <v>1439</v>
      </c>
      <c r="D63" s="62" t="s">
        <v>1361</v>
      </c>
      <c r="E63" s="63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1356</v>
      </c>
      <c r="R63" s="46" t="s">
        <v>1314</v>
      </c>
      <c r="S63" s="47" t="s">
        <v>1356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5">
      <c r="A64" s="43">
        <v>64</v>
      </c>
      <c r="B64" s="26" t="s">
        <v>703</v>
      </c>
      <c r="C64" s="25" t="s">
        <v>1439</v>
      </c>
      <c r="D64" s="62" t="s">
        <v>1361</v>
      </c>
      <c r="E64" s="63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1356</v>
      </c>
      <c r="R64" s="46" t="s">
        <v>1314</v>
      </c>
      <c r="S64" s="47" t="s">
        <v>1356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5">
      <c r="A65" s="43">
        <v>65</v>
      </c>
      <c r="B65" s="26" t="s">
        <v>704</v>
      </c>
      <c r="C65" s="25" t="s">
        <v>1439</v>
      </c>
      <c r="D65" s="62" t="s">
        <v>1361</v>
      </c>
      <c r="E65" s="63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1356</v>
      </c>
      <c r="R65" s="46" t="s">
        <v>1314</v>
      </c>
      <c r="S65" s="47" t="s">
        <v>1356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5">
      <c r="A66" s="43">
        <v>66</v>
      </c>
      <c r="B66" s="26" t="s">
        <v>705</v>
      </c>
      <c r="C66" s="25" t="s">
        <v>1439</v>
      </c>
      <c r="D66" s="62" t="s">
        <v>1361</v>
      </c>
      <c r="E66" s="63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1356</v>
      </c>
      <c r="R66" s="46" t="s">
        <v>1314</v>
      </c>
      <c r="S66" s="47" t="s">
        <v>1356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5">
      <c r="A67" s="43">
        <v>67</v>
      </c>
      <c r="B67" s="26" t="s">
        <v>706</v>
      </c>
      <c r="C67" s="25" t="s">
        <v>1439</v>
      </c>
      <c r="D67" s="62" t="s">
        <v>1361</v>
      </c>
      <c r="E67" s="63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1356</v>
      </c>
      <c r="R67" s="46" t="s">
        <v>1314</v>
      </c>
      <c r="S67" s="47" t="s">
        <v>1356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5">
      <c r="A68" s="43">
        <v>68</v>
      </c>
      <c r="B68" s="26" t="s">
        <v>707</v>
      </c>
      <c r="C68" s="25" t="s">
        <v>1439</v>
      </c>
      <c r="D68" s="62" t="s">
        <v>1361</v>
      </c>
      <c r="E68" s="63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1356</v>
      </c>
      <c r="R68" s="46" t="s">
        <v>1314</v>
      </c>
      <c r="S68" s="47" t="s">
        <v>1356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5">
      <c r="A69" s="43">
        <v>69</v>
      </c>
      <c r="B69" s="26" t="s">
        <v>708</v>
      </c>
      <c r="C69" s="25" t="s">
        <v>1439</v>
      </c>
      <c r="D69" s="62" t="s">
        <v>1361</v>
      </c>
      <c r="E69" s="63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1356</v>
      </c>
      <c r="R69" s="46" t="s">
        <v>1314</v>
      </c>
      <c r="S69" s="47" t="s">
        <v>1356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5">
      <c r="A70" s="43">
        <v>70</v>
      </c>
      <c r="B70" s="26" t="s">
        <v>709</v>
      </c>
      <c r="C70" s="25" t="s">
        <v>1439</v>
      </c>
      <c r="D70" s="62" t="s">
        <v>1361</v>
      </c>
      <c r="E70" s="63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1356</v>
      </c>
      <c r="R70" s="46" t="s">
        <v>1314</v>
      </c>
      <c r="S70" s="47" t="s">
        <v>1356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5">
      <c r="A71" s="43">
        <v>71</v>
      </c>
      <c r="B71" s="26" t="s">
        <v>710</v>
      </c>
      <c r="C71" s="25" t="s">
        <v>1439</v>
      </c>
      <c r="D71" s="62" t="s">
        <v>1361</v>
      </c>
      <c r="E71" s="63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1356</v>
      </c>
      <c r="R71" s="46" t="s">
        <v>1314</v>
      </c>
      <c r="S71" s="47" t="s">
        <v>1356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5">
      <c r="A72" s="43">
        <v>72</v>
      </c>
      <c r="B72" s="26" t="s">
        <v>711</v>
      </c>
      <c r="C72" s="25" t="s">
        <v>1404</v>
      </c>
      <c r="D72" s="62" t="s">
        <v>1361</v>
      </c>
      <c r="E72" s="63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1349</v>
      </c>
      <c r="N72" s="52" t="s">
        <v>1</v>
      </c>
      <c r="O72" s="27" t="s">
        <v>85</v>
      </c>
      <c r="P72" s="46" t="s">
        <v>1313</v>
      </c>
      <c r="Q72" s="47" t="s">
        <v>1356</v>
      </c>
      <c r="R72" s="46" t="s">
        <v>1314</v>
      </c>
      <c r="S72" s="47" t="s">
        <v>1356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5">
      <c r="A73" s="43">
        <v>73</v>
      </c>
      <c r="B73" s="26" t="s">
        <v>712</v>
      </c>
      <c r="C73" s="25" t="s">
        <v>1404</v>
      </c>
      <c r="D73" s="62" t="s">
        <v>1361</v>
      </c>
      <c r="E73" s="63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1349</v>
      </c>
      <c r="N73" s="52" t="s">
        <v>1</v>
      </c>
      <c r="O73" s="28" t="s">
        <v>86</v>
      </c>
      <c r="P73" s="46" t="s">
        <v>1313</v>
      </c>
      <c r="Q73" s="47" t="s">
        <v>1356</v>
      </c>
      <c r="R73" s="46" t="s">
        <v>1314</v>
      </c>
      <c r="S73" s="47" t="s">
        <v>1356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5">
      <c r="A74" s="43">
        <v>74</v>
      </c>
      <c r="B74" s="26" t="s">
        <v>713</v>
      </c>
      <c r="C74" s="25" t="s">
        <v>1404</v>
      </c>
      <c r="D74" s="62" t="s">
        <v>1361</v>
      </c>
      <c r="E74" s="63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1349</v>
      </c>
      <c r="N74" s="52" t="s">
        <v>1</v>
      </c>
      <c r="O74" s="28" t="s">
        <v>87</v>
      </c>
      <c r="P74" s="46" t="s">
        <v>1313</v>
      </c>
      <c r="Q74" s="47" t="s">
        <v>1356</v>
      </c>
      <c r="R74" s="46" t="s">
        <v>1314</v>
      </c>
      <c r="S74" s="47" t="s">
        <v>1356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5">
      <c r="A75" s="43">
        <v>75</v>
      </c>
      <c r="B75" s="26" t="s">
        <v>714</v>
      </c>
      <c r="C75" s="25" t="s">
        <v>1404</v>
      </c>
      <c r="D75" s="62" t="s">
        <v>1361</v>
      </c>
      <c r="E75" s="63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1349</v>
      </c>
      <c r="N75" s="52" t="s">
        <v>1</v>
      </c>
      <c r="O75" s="28" t="s">
        <v>88</v>
      </c>
      <c r="P75" s="46" t="s">
        <v>1313</v>
      </c>
      <c r="Q75" s="47" t="s">
        <v>1356</v>
      </c>
      <c r="R75" s="46" t="s">
        <v>1314</v>
      </c>
      <c r="S75" s="47" t="s">
        <v>1356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5">
      <c r="A76" s="43">
        <v>76</v>
      </c>
      <c r="B76" s="26" t="s">
        <v>715</v>
      </c>
      <c r="C76" s="25" t="s">
        <v>1404</v>
      </c>
      <c r="D76" s="62" t="s">
        <v>1361</v>
      </c>
      <c r="E76" s="63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1349</v>
      </c>
      <c r="N76" s="52" t="s">
        <v>1</v>
      </c>
      <c r="O76" s="28" t="s">
        <v>89</v>
      </c>
      <c r="P76" s="46" t="s">
        <v>1313</v>
      </c>
      <c r="Q76" s="47" t="s">
        <v>1356</v>
      </c>
      <c r="R76" s="46" t="s">
        <v>1314</v>
      </c>
      <c r="S76" s="47" t="s">
        <v>1356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5">
      <c r="A77" s="43">
        <v>77</v>
      </c>
      <c r="B77" s="26" t="s">
        <v>716</v>
      </c>
      <c r="C77" s="25" t="s">
        <v>1404</v>
      </c>
      <c r="D77" s="62" t="s">
        <v>1361</v>
      </c>
      <c r="E77" s="63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1349</v>
      </c>
      <c r="N77" s="52" t="s">
        <v>1</v>
      </c>
      <c r="O77" s="28" t="s">
        <v>90</v>
      </c>
      <c r="P77" s="46" t="s">
        <v>1313</v>
      </c>
      <c r="Q77" s="47" t="s">
        <v>1356</v>
      </c>
      <c r="R77" s="46" t="s">
        <v>1314</v>
      </c>
      <c r="S77" s="47" t="s">
        <v>1356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5">
      <c r="A78" s="43">
        <v>78</v>
      </c>
      <c r="B78" s="26" t="s">
        <v>717</v>
      </c>
      <c r="C78" s="25" t="s">
        <v>1404</v>
      </c>
      <c r="D78" s="62" t="s">
        <v>1361</v>
      </c>
      <c r="E78" s="63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1349</v>
      </c>
      <c r="N78" s="52" t="s">
        <v>1</v>
      </c>
      <c r="O78" s="28" t="s">
        <v>91</v>
      </c>
      <c r="P78" s="46" t="s">
        <v>1313</v>
      </c>
      <c r="Q78" s="47" t="s">
        <v>1356</v>
      </c>
      <c r="R78" s="46" t="s">
        <v>1314</v>
      </c>
      <c r="S78" s="47" t="s">
        <v>1356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5">
      <c r="A79" s="43">
        <v>79</v>
      </c>
      <c r="B79" s="26" t="s">
        <v>718</v>
      </c>
      <c r="C79" s="25" t="s">
        <v>1404</v>
      </c>
      <c r="D79" s="62" t="s">
        <v>1361</v>
      </c>
      <c r="E79" s="63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1349</v>
      </c>
      <c r="N79" s="52" t="s">
        <v>1</v>
      </c>
      <c r="O79" s="28" t="s">
        <v>92</v>
      </c>
      <c r="P79" s="46" t="s">
        <v>1313</v>
      </c>
      <c r="Q79" s="47" t="s">
        <v>1356</v>
      </c>
      <c r="R79" s="46" t="s">
        <v>1314</v>
      </c>
      <c r="S79" s="47" t="s">
        <v>1356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5">
      <c r="A80" s="43">
        <v>80</v>
      </c>
      <c r="B80" s="26" t="s">
        <v>719</v>
      </c>
      <c r="C80" s="25" t="s">
        <v>1404</v>
      </c>
      <c r="D80" s="62" t="s">
        <v>1361</v>
      </c>
      <c r="E80" s="63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1349</v>
      </c>
      <c r="N80" s="52" t="s">
        <v>1</v>
      </c>
      <c r="O80" s="28" t="s">
        <v>93</v>
      </c>
      <c r="P80" s="46" t="s">
        <v>1313</v>
      </c>
      <c r="Q80" s="47" t="s">
        <v>1356</v>
      </c>
      <c r="R80" s="46" t="s">
        <v>1314</v>
      </c>
      <c r="S80" s="47" t="s">
        <v>1356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5">
      <c r="A81" s="43">
        <v>81</v>
      </c>
      <c r="B81" s="26" t="s">
        <v>720</v>
      </c>
      <c r="C81" s="25" t="s">
        <v>1404</v>
      </c>
      <c r="D81" s="62" t="s">
        <v>1361</v>
      </c>
      <c r="E81" s="63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1349</v>
      </c>
      <c r="N81" s="52" t="s">
        <v>1</v>
      </c>
      <c r="O81" s="28" t="s">
        <v>94</v>
      </c>
      <c r="P81" s="46" t="s">
        <v>1313</v>
      </c>
      <c r="Q81" s="47" t="s">
        <v>1356</v>
      </c>
      <c r="R81" s="46" t="s">
        <v>1314</v>
      </c>
      <c r="S81" s="47" t="s">
        <v>1356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5">
      <c r="A82" s="43">
        <v>82</v>
      </c>
      <c r="B82" s="26" t="s">
        <v>721</v>
      </c>
      <c r="C82" s="25" t="s">
        <v>1404</v>
      </c>
      <c r="D82" s="62" t="s">
        <v>1361</v>
      </c>
      <c r="E82" s="63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1349</v>
      </c>
      <c r="N82" s="52" t="s">
        <v>1</v>
      </c>
      <c r="O82" s="28" t="s">
        <v>95</v>
      </c>
      <c r="P82" s="46" t="s">
        <v>1313</v>
      </c>
      <c r="Q82" s="47" t="s">
        <v>1356</v>
      </c>
      <c r="R82" s="46" t="s">
        <v>1314</v>
      </c>
      <c r="S82" s="47" t="s">
        <v>1356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5">
      <c r="A83" s="43">
        <v>83</v>
      </c>
      <c r="B83" s="26" t="s">
        <v>722</v>
      </c>
      <c r="C83" s="25" t="s">
        <v>1404</v>
      </c>
      <c r="D83" s="62" t="s">
        <v>1361</v>
      </c>
      <c r="E83" s="63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1349</v>
      </c>
      <c r="N83" s="52" t="s">
        <v>1</v>
      </c>
      <c r="O83" s="28" t="s">
        <v>96</v>
      </c>
      <c r="P83" s="46" t="s">
        <v>1313</v>
      </c>
      <c r="Q83" s="47" t="s">
        <v>1356</v>
      </c>
      <c r="R83" s="46" t="s">
        <v>1314</v>
      </c>
      <c r="S83" s="47" t="s">
        <v>1356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5">
      <c r="A84" s="43">
        <v>84</v>
      </c>
      <c r="B84" s="26" t="s">
        <v>723</v>
      </c>
      <c r="C84" s="25" t="s">
        <v>1404</v>
      </c>
      <c r="D84" s="62" t="s">
        <v>1361</v>
      </c>
      <c r="E84" s="63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1349</v>
      </c>
      <c r="N84" s="52" t="s">
        <v>1</v>
      </c>
      <c r="O84" s="28" t="s">
        <v>97</v>
      </c>
      <c r="P84" s="46" t="s">
        <v>1313</v>
      </c>
      <c r="Q84" s="47" t="s">
        <v>1356</v>
      </c>
      <c r="R84" s="46" t="s">
        <v>1314</v>
      </c>
      <c r="S84" s="47" t="s">
        <v>1356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5">
      <c r="A85" s="43">
        <v>85</v>
      </c>
      <c r="B85" s="26" t="s">
        <v>724</v>
      </c>
      <c r="C85" s="25" t="s">
        <v>1404</v>
      </c>
      <c r="D85" s="62" t="s">
        <v>1361</v>
      </c>
      <c r="E85" s="63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1349</v>
      </c>
      <c r="N85" s="52" t="s">
        <v>1</v>
      </c>
      <c r="O85" s="28" t="s">
        <v>98</v>
      </c>
      <c r="P85" s="46" t="s">
        <v>1313</v>
      </c>
      <c r="Q85" s="47" t="s">
        <v>1356</v>
      </c>
      <c r="R85" s="46" t="s">
        <v>1314</v>
      </c>
      <c r="S85" s="47" t="s">
        <v>1356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5">
      <c r="A86" s="43">
        <v>86</v>
      </c>
      <c r="B86" s="26" t="s">
        <v>725</v>
      </c>
      <c r="C86" s="25" t="s">
        <v>1404</v>
      </c>
      <c r="D86" s="62" t="s">
        <v>1361</v>
      </c>
      <c r="E86" s="63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1349</v>
      </c>
      <c r="N86" s="52" t="s">
        <v>1</v>
      </c>
      <c r="O86" s="28" t="s">
        <v>99</v>
      </c>
      <c r="P86" s="46" t="s">
        <v>1313</v>
      </c>
      <c r="Q86" s="47" t="s">
        <v>1356</v>
      </c>
      <c r="R86" s="46" t="s">
        <v>1314</v>
      </c>
      <c r="S86" s="47" t="s">
        <v>1356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5">
      <c r="A87" s="43">
        <v>87</v>
      </c>
      <c r="B87" s="26" t="s">
        <v>726</v>
      </c>
      <c r="C87" s="25" t="s">
        <v>1404</v>
      </c>
      <c r="D87" s="62" t="s">
        <v>1361</v>
      </c>
      <c r="E87" s="63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1349</v>
      </c>
      <c r="N87" s="52" t="s">
        <v>1</v>
      </c>
      <c r="O87" s="28" t="s">
        <v>100</v>
      </c>
      <c r="P87" s="46" t="s">
        <v>1313</v>
      </c>
      <c r="Q87" s="47" t="s">
        <v>1356</v>
      </c>
      <c r="R87" s="46" t="s">
        <v>1314</v>
      </c>
      <c r="S87" s="47" t="s">
        <v>1356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5">
      <c r="A88" s="43">
        <v>88</v>
      </c>
      <c r="B88" s="26" t="s">
        <v>727</v>
      </c>
      <c r="C88" s="25" t="s">
        <v>1404</v>
      </c>
      <c r="D88" s="62" t="s">
        <v>1361</v>
      </c>
      <c r="E88" s="63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1349</v>
      </c>
      <c r="N88" s="52" t="s">
        <v>1</v>
      </c>
      <c r="O88" s="28" t="s">
        <v>101</v>
      </c>
      <c r="P88" s="46" t="s">
        <v>1313</v>
      </c>
      <c r="Q88" s="47" t="s">
        <v>1356</v>
      </c>
      <c r="R88" s="46" t="s">
        <v>1314</v>
      </c>
      <c r="S88" s="47" t="s">
        <v>1356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5">
      <c r="A89" s="43">
        <v>89</v>
      </c>
      <c r="B89" s="26" t="s">
        <v>728</v>
      </c>
      <c r="C89" s="25" t="s">
        <v>1404</v>
      </c>
      <c r="D89" s="62" t="s">
        <v>1361</v>
      </c>
      <c r="E89" s="63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1349</v>
      </c>
      <c r="N89" s="52" t="s">
        <v>1</v>
      </c>
      <c r="O89" s="28" t="s">
        <v>102</v>
      </c>
      <c r="P89" s="46" t="s">
        <v>1313</v>
      </c>
      <c r="Q89" s="47" t="s">
        <v>1356</v>
      </c>
      <c r="R89" s="46" t="s">
        <v>1314</v>
      </c>
      <c r="S89" s="47" t="s">
        <v>1356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5">
      <c r="A90" s="43">
        <v>90</v>
      </c>
      <c r="B90" s="26" t="s">
        <v>729</v>
      </c>
      <c r="C90" s="25" t="s">
        <v>1404</v>
      </c>
      <c r="D90" s="62" t="s">
        <v>1361</v>
      </c>
      <c r="E90" s="63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1349</v>
      </c>
      <c r="N90" s="52" t="s">
        <v>1</v>
      </c>
      <c r="O90" s="28" t="s">
        <v>103</v>
      </c>
      <c r="P90" s="46" t="s">
        <v>1313</v>
      </c>
      <c r="Q90" s="47" t="s">
        <v>1356</v>
      </c>
      <c r="R90" s="46" t="s">
        <v>1314</v>
      </c>
      <c r="S90" s="47" t="s">
        <v>1356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5">
      <c r="A91" s="43">
        <v>91</v>
      </c>
      <c r="B91" s="26" t="s">
        <v>730</v>
      </c>
      <c r="C91" s="25" t="s">
        <v>1404</v>
      </c>
      <c r="D91" s="62" t="s">
        <v>1361</v>
      </c>
      <c r="E91" s="63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1349</v>
      </c>
      <c r="N91" s="52" t="s">
        <v>1</v>
      </c>
      <c r="O91" s="28" t="s">
        <v>104</v>
      </c>
      <c r="P91" s="46" t="s">
        <v>1313</v>
      </c>
      <c r="Q91" s="47" t="s">
        <v>1356</v>
      </c>
      <c r="R91" s="46" t="s">
        <v>1314</v>
      </c>
      <c r="S91" s="47" t="s">
        <v>1356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5">
      <c r="A92" s="43">
        <v>92</v>
      </c>
      <c r="B92" s="26" t="s">
        <v>731</v>
      </c>
      <c r="C92" s="25" t="s">
        <v>1404</v>
      </c>
      <c r="D92" s="62" t="s">
        <v>1361</v>
      </c>
      <c r="E92" s="63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1349</v>
      </c>
      <c r="N92" s="52" t="s">
        <v>1</v>
      </c>
      <c r="O92" s="28" t="s">
        <v>105</v>
      </c>
      <c r="P92" s="46" t="s">
        <v>1313</v>
      </c>
      <c r="Q92" s="47" t="s">
        <v>1356</v>
      </c>
      <c r="R92" s="46" t="s">
        <v>1314</v>
      </c>
      <c r="S92" s="47" t="s">
        <v>1356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5">
      <c r="A93" s="43">
        <v>93</v>
      </c>
      <c r="B93" s="26" t="s">
        <v>732</v>
      </c>
      <c r="C93" s="25" t="s">
        <v>1405</v>
      </c>
      <c r="D93" s="62" t="s">
        <v>1361</v>
      </c>
      <c r="E93" s="63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1350</v>
      </c>
      <c r="N93" s="52" t="s">
        <v>1</v>
      </c>
      <c r="O93" s="27" t="s">
        <v>106</v>
      </c>
      <c r="P93" s="46" t="s">
        <v>1313</v>
      </c>
      <c r="Q93" s="47" t="s">
        <v>1356</v>
      </c>
      <c r="R93" s="46" t="s">
        <v>1314</v>
      </c>
      <c r="S93" s="47" t="s">
        <v>1356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5">
      <c r="A94" s="43">
        <v>94</v>
      </c>
      <c r="B94" s="26" t="s">
        <v>733</v>
      </c>
      <c r="C94" s="25" t="s">
        <v>1405</v>
      </c>
      <c r="D94" s="62" t="s">
        <v>1361</v>
      </c>
      <c r="E94" s="63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1350</v>
      </c>
      <c r="N94" s="52" t="s">
        <v>1</v>
      </c>
      <c r="O94" s="28" t="s">
        <v>107</v>
      </c>
      <c r="P94" s="46" t="s">
        <v>1313</v>
      </c>
      <c r="Q94" s="47" t="s">
        <v>1356</v>
      </c>
      <c r="R94" s="46" t="s">
        <v>1314</v>
      </c>
      <c r="S94" s="47" t="s">
        <v>1356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5">
      <c r="A95" s="43">
        <v>95</v>
      </c>
      <c r="B95" s="26" t="s">
        <v>734</v>
      </c>
      <c r="C95" s="25" t="s">
        <v>1405</v>
      </c>
      <c r="D95" s="62" t="s">
        <v>1361</v>
      </c>
      <c r="E95" s="63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1350</v>
      </c>
      <c r="N95" s="52" t="s">
        <v>1</v>
      </c>
      <c r="O95" s="28" t="s">
        <v>108</v>
      </c>
      <c r="P95" s="46" t="s">
        <v>1313</v>
      </c>
      <c r="Q95" s="47" t="s">
        <v>1356</v>
      </c>
      <c r="R95" s="46" t="s">
        <v>1314</v>
      </c>
      <c r="S95" s="47" t="s">
        <v>1356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5">
      <c r="A96" s="43">
        <v>96</v>
      </c>
      <c r="B96" s="26" t="s">
        <v>735</v>
      </c>
      <c r="C96" s="25" t="s">
        <v>1405</v>
      </c>
      <c r="D96" s="62" t="s">
        <v>1361</v>
      </c>
      <c r="E96" s="63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1350</v>
      </c>
      <c r="N96" s="52" t="s">
        <v>1</v>
      </c>
      <c r="O96" s="28" t="s">
        <v>109</v>
      </c>
      <c r="P96" s="46" t="s">
        <v>1313</v>
      </c>
      <c r="Q96" s="47" t="s">
        <v>1356</v>
      </c>
      <c r="R96" s="46" t="s">
        <v>1314</v>
      </c>
      <c r="S96" s="47" t="s">
        <v>1356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5">
      <c r="A97" s="43">
        <v>97</v>
      </c>
      <c r="B97" s="26" t="s">
        <v>736</v>
      </c>
      <c r="C97" s="25" t="s">
        <v>1405</v>
      </c>
      <c r="D97" s="62" t="s">
        <v>1361</v>
      </c>
      <c r="E97" s="63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1350</v>
      </c>
      <c r="N97" s="52" t="s">
        <v>1</v>
      </c>
      <c r="O97" s="28" t="s">
        <v>110</v>
      </c>
      <c r="P97" s="46" t="s">
        <v>1313</v>
      </c>
      <c r="Q97" s="47" t="s">
        <v>1356</v>
      </c>
      <c r="R97" s="46" t="s">
        <v>1314</v>
      </c>
      <c r="S97" s="47" t="s">
        <v>1356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5">
      <c r="A98" s="43">
        <v>98</v>
      </c>
      <c r="B98" s="26" t="s">
        <v>737</v>
      </c>
      <c r="C98" s="25" t="s">
        <v>1405</v>
      </c>
      <c r="D98" s="62" t="s">
        <v>1361</v>
      </c>
      <c r="E98" s="63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1350</v>
      </c>
      <c r="N98" s="52" t="s">
        <v>1</v>
      </c>
      <c r="O98" s="28" t="s">
        <v>111</v>
      </c>
      <c r="P98" s="46" t="s">
        <v>1313</v>
      </c>
      <c r="Q98" s="47" t="s">
        <v>1356</v>
      </c>
      <c r="R98" s="46" t="s">
        <v>1314</v>
      </c>
      <c r="S98" s="47" t="s">
        <v>1356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5">
      <c r="A99" s="43">
        <v>99</v>
      </c>
      <c r="B99" s="26" t="s">
        <v>738</v>
      </c>
      <c r="C99" s="25" t="s">
        <v>1405</v>
      </c>
      <c r="D99" s="62" t="s">
        <v>1361</v>
      </c>
      <c r="E99" s="63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1350</v>
      </c>
      <c r="N99" s="52" t="s">
        <v>1</v>
      </c>
      <c r="O99" s="28" t="s">
        <v>112</v>
      </c>
      <c r="P99" s="46" t="s">
        <v>1313</v>
      </c>
      <c r="Q99" s="47" t="s">
        <v>1356</v>
      </c>
      <c r="R99" s="46" t="s">
        <v>1314</v>
      </c>
      <c r="S99" s="47" t="s">
        <v>1356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5">
      <c r="A100" s="43">
        <v>100</v>
      </c>
      <c r="B100" s="26" t="s">
        <v>739</v>
      </c>
      <c r="C100" s="25" t="s">
        <v>1405</v>
      </c>
      <c r="D100" s="62" t="s">
        <v>1361</v>
      </c>
      <c r="E100" s="63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1350</v>
      </c>
      <c r="N100" s="52" t="s">
        <v>1</v>
      </c>
      <c r="O100" s="28" t="s">
        <v>113</v>
      </c>
      <c r="P100" s="46" t="s">
        <v>1313</v>
      </c>
      <c r="Q100" s="47" t="s">
        <v>1356</v>
      </c>
      <c r="R100" s="46" t="s">
        <v>1314</v>
      </c>
      <c r="S100" s="47" t="s">
        <v>1356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5">
      <c r="A101" s="43">
        <v>101</v>
      </c>
      <c r="B101" s="26" t="s">
        <v>740</v>
      </c>
      <c r="C101" s="25" t="s">
        <v>1405</v>
      </c>
      <c r="D101" s="62" t="s">
        <v>1361</v>
      </c>
      <c r="E101" s="63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1350</v>
      </c>
      <c r="N101" s="52" t="s">
        <v>1</v>
      </c>
      <c r="O101" s="28" t="s">
        <v>114</v>
      </c>
      <c r="P101" s="46" t="s">
        <v>1313</v>
      </c>
      <c r="Q101" s="47" t="s">
        <v>1356</v>
      </c>
      <c r="R101" s="46" t="s">
        <v>1314</v>
      </c>
      <c r="S101" s="47" t="s">
        <v>1356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5">
      <c r="A102" s="43">
        <v>102</v>
      </c>
      <c r="B102" s="26" t="s">
        <v>741</v>
      </c>
      <c r="C102" s="25" t="s">
        <v>1405</v>
      </c>
      <c r="D102" s="62" t="s">
        <v>1361</v>
      </c>
      <c r="E102" s="63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1350</v>
      </c>
      <c r="N102" s="52" t="s">
        <v>1</v>
      </c>
      <c r="O102" s="28" t="s">
        <v>115</v>
      </c>
      <c r="P102" s="46" t="s">
        <v>1313</v>
      </c>
      <c r="Q102" s="47" t="s">
        <v>1356</v>
      </c>
      <c r="R102" s="46" t="s">
        <v>1314</v>
      </c>
      <c r="S102" s="47" t="s">
        <v>1356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5">
      <c r="A103" s="43">
        <v>103</v>
      </c>
      <c r="B103" s="26" t="s">
        <v>742</v>
      </c>
      <c r="C103" s="25" t="s">
        <v>1405</v>
      </c>
      <c r="D103" s="62" t="s">
        <v>1361</v>
      </c>
      <c r="E103" s="63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1350</v>
      </c>
      <c r="N103" s="52" t="s">
        <v>1</v>
      </c>
      <c r="O103" s="28" t="s">
        <v>116</v>
      </c>
      <c r="P103" s="46" t="s">
        <v>1313</v>
      </c>
      <c r="Q103" s="47" t="s">
        <v>1356</v>
      </c>
      <c r="R103" s="46" t="s">
        <v>1314</v>
      </c>
      <c r="S103" s="47" t="s">
        <v>1356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5">
      <c r="A104" s="43">
        <v>104</v>
      </c>
      <c r="B104" s="26" t="s">
        <v>743</v>
      </c>
      <c r="C104" s="25" t="s">
        <v>1405</v>
      </c>
      <c r="D104" s="62" t="s">
        <v>1361</v>
      </c>
      <c r="E104" s="63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1350</v>
      </c>
      <c r="N104" s="52" t="s">
        <v>1</v>
      </c>
      <c r="O104" s="28" t="s">
        <v>117</v>
      </c>
      <c r="P104" s="46" t="s">
        <v>1313</v>
      </c>
      <c r="Q104" s="47" t="s">
        <v>1356</v>
      </c>
      <c r="R104" s="46" t="s">
        <v>1314</v>
      </c>
      <c r="S104" s="47" t="s">
        <v>1356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5">
      <c r="A105" s="43">
        <v>105</v>
      </c>
      <c r="B105" s="26" t="s">
        <v>744</v>
      </c>
      <c r="C105" s="25" t="s">
        <v>1405</v>
      </c>
      <c r="D105" s="62" t="s">
        <v>1361</v>
      </c>
      <c r="E105" s="63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1350</v>
      </c>
      <c r="N105" s="52" t="s">
        <v>1</v>
      </c>
      <c r="O105" s="28" t="s">
        <v>118</v>
      </c>
      <c r="P105" s="46" t="s">
        <v>1313</v>
      </c>
      <c r="Q105" s="47" t="s">
        <v>1356</v>
      </c>
      <c r="R105" s="46" t="s">
        <v>1314</v>
      </c>
      <c r="S105" s="47" t="s">
        <v>1356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5">
      <c r="A106" s="43">
        <v>106</v>
      </c>
      <c r="B106" s="26" t="s">
        <v>745</v>
      </c>
      <c r="C106" s="25" t="s">
        <v>1405</v>
      </c>
      <c r="D106" s="62" t="s">
        <v>1361</v>
      </c>
      <c r="E106" s="63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1350</v>
      </c>
      <c r="N106" s="52" t="s">
        <v>1</v>
      </c>
      <c r="O106" s="28" t="s">
        <v>119</v>
      </c>
      <c r="P106" s="46" t="s">
        <v>1313</v>
      </c>
      <c r="Q106" s="47" t="s">
        <v>1356</v>
      </c>
      <c r="R106" s="46" t="s">
        <v>1314</v>
      </c>
      <c r="S106" s="47" t="s">
        <v>1356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5">
      <c r="A107" s="43">
        <v>107</v>
      </c>
      <c r="B107" s="26" t="s">
        <v>746</v>
      </c>
      <c r="C107" s="25" t="s">
        <v>1405</v>
      </c>
      <c r="D107" s="62" t="s">
        <v>1361</v>
      </c>
      <c r="E107" s="63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1350</v>
      </c>
      <c r="N107" s="52" t="s">
        <v>1</v>
      </c>
      <c r="O107" s="28" t="s">
        <v>120</v>
      </c>
      <c r="P107" s="46" t="s">
        <v>1313</v>
      </c>
      <c r="Q107" s="47" t="s">
        <v>1356</v>
      </c>
      <c r="R107" s="46" t="s">
        <v>1314</v>
      </c>
      <c r="S107" s="47" t="s">
        <v>1356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5">
      <c r="A108" s="43">
        <v>108</v>
      </c>
      <c r="B108" s="26" t="s">
        <v>747</v>
      </c>
      <c r="C108" s="25" t="s">
        <v>1405</v>
      </c>
      <c r="D108" s="62" t="s">
        <v>1361</v>
      </c>
      <c r="E108" s="63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1350</v>
      </c>
      <c r="N108" s="52" t="s">
        <v>1</v>
      </c>
      <c r="O108" s="28" t="s">
        <v>121</v>
      </c>
      <c r="P108" s="46" t="s">
        <v>1313</v>
      </c>
      <c r="Q108" s="47" t="s">
        <v>1356</v>
      </c>
      <c r="R108" s="46" t="s">
        <v>1314</v>
      </c>
      <c r="S108" s="47" t="s">
        <v>1356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5">
      <c r="A109" s="43">
        <v>109</v>
      </c>
      <c r="B109" s="26" t="s">
        <v>748</v>
      </c>
      <c r="C109" s="25" t="s">
        <v>1405</v>
      </c>
      <c r="D109" s="62" t="s">
        <v>1361</v>
      </c>
      <c r="E109" s="63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1350</v>
      </c>
      <c r="N109" s="52" t="s">
        <v>1</v>
      </c>
      <c r="O109" s="28" t="s">
        <v>122</v>
      </c>
      <c r="P109" s="46" t="s">
        <v>1313</v>
      </c>
      <c r="Q109" s="47" t="s">
        <v>1356</v>
      </c>
      <c r="R109" s="46" t="s">
        <v>1314</v>
      </c>
      <c r="S109" s="47" t="s">
        <v>1356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5">
      <c r="A110" s="43">
        <v>110</v>
      </c>
      <c r="B110" s="26" t="s">
        <v>749</v>
      </c>
      <c r="C110" s="25" t="s">
        <v>1405</v>
      </c>
      <c r="D110" s="62" t="s">
        <v>1361</v>
      </c>
      <c r="E110" s="63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1350</v>
      </c>
      <c r="N110" s="52" t="s">
        <v>1</v>
      </c>
      <c r="O110" s="28" t="s">
        <v>123</v>
      </c>
      <c r="P110" s="46" t="s">
        <v>1313</v>
      </c>
      <c r="Q110" s="47" t="s">
        <v>1356</v>
      </c>
      <c r="R110" s="46" t="s">
        <v>1314</v>
      </c>
      <c r="S110" s="47" t="s">
        <v>1356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5">
      <c r="A111" s="43">
        <v>111</v>
      </c>
      <c r="B111" s="26" t="s">
        <v>750</v>
      </c>
      <c r="C111" s="25" t="s">
        <v>1405</v>
      </c>
      <c r="D111" s="62" t="s">
        <v>1361</v>
      </c>
      <c r="E111" s="63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1350</v>
      </c>
      <c r="N111" s="52" t="s">
        <v>1</v>
      </c>
      <c r="O111" s="28" t="s">
        <v>124</v>
      </c>
      <c r="P111" s="46" t="s">
        <v>1313</v>
      </c>
      <c r="Q111" s="47" t="s">
        <v>1356</v>
      </c>
      <c r="R111" s="46" t="s">
        <v>1314</v>
      </c>
      <c r="S111" s="47" t="s">
        <v>1356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5">
      <c r="A112" s="43">
        <v>112</v>
      </c>
      <c r="B112" s="26" t="s">
        <v>751</v>
      </c>
      <c r="C112" s="25" t="s">
        <v>1406</v>
      </c>
      <c r="D112" s="62" t="s">
        <v>1361</v>
      </c>
      <c r="E112" s="63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1351</v>
      </c>
      <c r="N112" s="52" t="s">
        <v>1</v>
      </c>
      <c r="O112" s="27" t="s">
        <v>125</v>
      </c>
      <c r="P112" s="46" t="s">
        <v>1313</v>
      </c>
      <c r="Q112" s="47" t="s">
        <v>1356</v>
      </c>
      <c r="R112" s="46" t="s">
        <v>1314</v>
      </c>
      <c r="S112" s="47" t="s">
        <v>1356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5">
      <c r="A113" s="43">
        <v>113</v>
      </c>
      <c r="B113" s="26" t="s">
        <v>752</v>
      </c>
      <c r="C113" s="25" t="s">
        <v>1406</v>
      </c>
      <c r="D113" s="62" t="s">
        <v>1361</v>
      </c>
      <c r="E113" s="63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1351</v>
      </c>
      <c r="N113" s="52" t="s">
        <v>1</v>
      </c>
      <c r="O113" s="28" t="s">
        <v>126</v>
      </c>
      <c r="P113" s="46" t="s">
        <v>1313</v>
      </c>
      <c r="Q113" s="47" t="s">
        <v>1356</v>
      </c>
      <c r="R113" s="46" t="s">
        <v>1314</v>
      </c>
      <c r="S113" s="47" t="s">
        <v>1356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5">
      <c r="A114" s="43">
        <v>114</v>
      </c>
      <c r="B114" s="26" t="s">
        <v>753</v>
      </c>
      <c r="C114" s="25" t="s">
        <v>1406</v>
      </c>
      <c r="D114" s="62" t="s">
        <v>1361</v>
      </c>
      <c r="E114" s="63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1351</v>
      </c>
      <c r="N114" s="52" t="s">
        <v>1</v>
      </c>
      <c r="O114" s="28" t="s">
        <v>127</v>
      </c>
      <c r="P114" s="46" t="s">
        <v>1313</v>
      </c>
      <c r="Q114" s="47" t="s">
        <v>1356</v>
      </c>
      <c r="R114" s="46" t="s">
        <v>1314</v>
      </c>
      <c r="S114" s="47" t="s">
        <v>1356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5">
      <c r="A115" s="43">
        <v>115</v>
      </c>
      <c r="B115" s="26" t="s">
        <v>754</v>
      </c>
      <c r="C115" s="25" t="s">
        <v>1406</v>
      </c>
      <c r="D115" s="62" t="s">
        <v>1361</v>
      </c>
      <c r="E115" s="63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1351</v>
      </c>
      <c r="N115" s="52" t="s">
        <v>1</v>
      </c>
      <c r="O115" s="28" t="s">
        <v>128</v>
      </c>
      <c r="P115" s="46" t="s">
        <v>1313</v>
      </c>
      <c r="Q115" s="47" t="s">
        <v>1356</v>
      </c>
      <c r="R115" s="46" t="s">
        <v>1314</v>
      </c>
      <c r="S115" s="47" t="s">
        <v>1356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5">
      <c r="A116" s="43">
        <v>116</v>
      </c>
      <c r="B116" s="26" t="s">
        <v>755</v>
      </c>
      <c r="C116" s="25" t="s">
        <v>1406</v>
      </c>
      <c r="D116" s="62" t="s">
        <v>1361</v>
      </c>
      <c r="E116" s="63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1351</v>
      </c>
      <c r="N116" s="52" t="s">
        <v>1</v>
      </c>
      <c r="O116" s="28" t="s">
        <v>129</v>
      </c>
      <c r="P116" s="46" t="s">
        <v>1313</v>
      </c>
      <c r="Q116" s="47" t="s">
        <v>1356</v>
      </c>
      <c r="R116" s="46" t="s">
        <v>1314</v>
      </c>
      <c r="S116" s="47" t="s">
        <v>1356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5">
      <c r="A117" s="43">
        <v>117</v>
      </c>
      <c r="B117" s="26" t="s">
        <v>756</v>
      </c>
      <c r="C117" s="25" t="s">
        <v>1406</v>
      </c>
      <c r="D117" s="62" t="s">
        <v>1361</v>
      </c>
      <c r="E117" s="63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1351</v>
      </c>
      <c r="N117" s="52" t="s">
        <v>1</v>
      </c>
      <c r="O117" s="28" t="s">
        <v>130</v>
      </c>
      <c r="P117" s="46" t="s">
        <v>1313</v>
      </c>
      <c r="Q117" s="47" t="s">
        <v>1356</v>
      </c>
      <c r="R117" s="46" t="s">
        <v>1314</v>
      </c>
      <c r="S117" s="47" t="s">
        <v>1356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5">
      <c r="A118" s="43">
        <v>118</v>
      </c>
      <c r="B118" s="26" t="s">
        <v>757</v>
      </c>
      <c r="C118" s="25" t="s">
        <v>1406</v>
      </c>
      <c r="D118" s="62" t="s">
        <v>1361</v>
      </c>
      <c r="E118" s="63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1351</v>
      </c>
      <c r="N118" s="52" t="s">
        <v>1</v>
      </c>
      <c r="O118" s="28" t="s">
        <v>131</v>
      </c>
      <c r="P118" s="46" t="s">
        <v>1313</v>
      </c>
      <c r="Q118" s="47" t="s">
        <v>1356</v>
      </c>
      <c r="R118" s="46" t="s">
        <v>1314</v>
      </c>
      <c r="S118" s="47" t="s">
        <v>1356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5">
      <c r="A119" s="43">
        <v>119</v>
      </c>
      <c r="B119" s="26" t="s">
        <v>758</v>
      </c>
      <c r="C119" s="25" t="s">
        <v>1406</v>
      </c>
      <c r="D119" s="62" t="s">
        <v>1361</v>
      </c>
      <c r="E119" s="63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1351</v>
      </c>
      <c r="N119" s="52" t="s">
        <v>1</v>
      </c>
      <c r="O119" s="28" t="s">
        <v>132</v>
      </c>
      <c r="P119" s="46" t="s">
        <v>1313</v>
      </c>
      <c r="Q119" s="47" t="s">
        <v>1356</v>
      </c>
      <c r="R119" s="46" t="s">
        <v>1314</v>
      </c>
      <c r="S119" s="47" t="s">
        <v>1356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5">
      <c r="A120" s="43">
        <v>120</v>
      </c>
      <c r="B120" s="26" t="s">
        <v>759</v>
      </c>
      <c r="C120" s="25" t="s">
        <v>1406</v>
      </c>
      <c r="D120" s="62" t="s">
        <v>1361</v>
      </c>
      <c r="E120" s="63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1351</v>
      </c>
      <c r="N120" s="52" t="s">
        <v>1</v>
      </c>
      <c r="O120" s="28" t="s">
        <v>133</v>
      </c>
      <c r="P120" s="46" t="s">
        <v>1313</v>
      </c>
      <c r="Q120" s="47" t="s">
        <v>1356</v>
      </c>
      <c r="R120" s="46" t="s">
        <v>1314</v>
      </c>
      <c r="S120" s="47" t="s">
        <v>1356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5">
      <c r="A121" s="43">
        <v>121</v>
      </c>
      <c r="B121" s="26" t="s">
        <v>760</v>
      </c>
      <c r="C121" s="25" t="s">
        <v>1406</v>
      </c>
      <c r="D121" s="62" t="s">
        <v>1361</v>
      </c>
      <c r="E121" s="63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1351</v>
      </c>
      <c r="N121" s="52" t="s">
        <v>1</v>
      </c>
      <c r="O121" s="28" t="s">
        <v>134</v>
      </c>
      <c r="P121" s="46" t="s">
        <v>1313</v>
      </c>
      <c r="Q121" s="47" t="s">
        <v>1356</v>
      </c>
      <c r="R121" s="46" t="s">
        <v>1314</v>
      </c>
      <c r="S121" s="47" t="s">
        <v>1356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5">
      <c r="A122" s="43">
        <v>122</v>
      </c>
      <c r="B122" s="26" t="s">
        <v>761</v>
      </c>
      <c r="C122" s="25" t="s">
        <v>1406</v>
      </c>
      <c r="D122" s="62" t="s">
        <v>1361</v>
      </c>
      <c r="E122" s="63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1351</v>
      </c>
      <c r="N122" s="52" t="s">
        <v>1</v>
      </c>
      <c r="O122" s="28" t="s">
        <v>135</v>
      </c>
      <c r="P122" s="46" t="s">
        <v>1313</v>
      </c>
      <c r="Q122" s="47" t="s">
        <v>1356</v>
      </c>
      <c r="R122" s="46" t="s">
        <v>1314</v>
      </c>
      <c r="S122" s="47" t="s">
        <v>1356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5">
      <c r="A123" s="43">
        <v>123</v>
      </c>
      <c r="B123" s="26" t="s">
        <v>762</v>
      </c>
      <c r="C123" s="25" t="s">
        <v>1406</v>
      </c>
      <c r="D123" s="62" t="s">
        <v>1361</v>
      </c>
      <c r="E123" s="63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1351</v>
      </c>
      <c r="N123" s="52" t="s">
        <v>1</v>
      </c>
      <c r="O123" s="28" t="s">
        <v>136</v>
      </c>
      <c r="P123" s="46" t="s">
        <v>1313</v>
      </c>
      <c r="Q123" s="47" t="s">
        <v>1356</v>
      </c>
      <c r="R123" s="46" t="s">
        <v>1314</v>
      </c>
      <c r="S123" s="47" t="s">
        <v>1356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5">
      <c r="A124" s="43">
        <v>124</v>
      </c>
      <c r="B124" s="26" t="s">
        <v>763</v>
      </c>
      <c r="C124" s="25" t="s">
        <v>1396</v>
      </c>
      <c r="D124" s="62" t="s">
        <v>1361</v>
      </c>
      <c r="E124" s="63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1352</v>
      </c>
      <c r="N124" s="52" t="s">
        <v>1</v>
      </c>
      <c r="O124" s="27" t="s">
        <v>137</v>
      </c>
      <c r="P124" s="46" t="s">
        <v>1313</v>
      </c>
      <c r="Q124" s="47" t="s">
        <v>1356</v>
      </c>
      <c r="R124" s="46" t="s">
        <v>1314</v>
      </c>
      <c r="S124" s="47" t="s">
        <v>1356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5">
      <c r="A125" s="43">
        <v>125</v>
      </c>
      <c r="B125" s="26" t="s">
        <v>1319</v>
      </c>
      <c r="C125" s="25" t="s">
        <v>1396</v>
      </c>
      <c r="D125" s="62" t="s">
        <v>1361</v>
      </c>
      <c r="E125" s="63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1352</v>
      </c>
      <c r="N125" s="52" t="s">
        <v>1</v>
      </c>
      <c r="O125" s="28" t="s">
        <v>138</v>
      </c>
      <c r="P125" s="46" t="s">
        <v>1313</v>
      </c>
      <c r="Q125" s="47" t="s">
        <v>1356</v>
      </c>
      <c r="R125" s="46" t="s">
        <v>1314</v>
      </c>
      <c r="S125" s="47" t="s">
        <v>1356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5">
      <c r="A126" s="43">
        <v>126</v>
      </c>
      <c r="B126" s="26" t="s">
        <v>1320</v>
      </c>
      <c r="C126" s="25" t="s">
        <v>1396</v>
      </c>
      <c r="D126" s="62" t="s">
        <v>1361</v>
      </c>
      <c r="E126" s="63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1352</v>
      </c>
      <c r="N126" s="52" t="s">
        <v>1</v>
      </c>
      <c r="O126" s="28" t="s">
        <v>139</v>
      </c>
      <c r="P126" s="46" t="s">
        <v>1313</v>
      </c>
      <c r="Q126" s="47" t="s">
        <v>1356</v>
      </c>
      <c r="R126" s="46" t="s">
        <v>1314</v>
      </c>
      <c r="S126" s="47" t="s">
        <v>1356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5">
      <c r="A127" s="43">
        <v>127</v>
      </c>
      <c r="B127" s="26" t="s">
        <v>764</v>
      </c>
      <c r="C127" s="25" t="s">
        <v>1396</v>
      </c>
      <c r="D127" s="62" t="s">
        <v>1361</v>
      </c>
      <c r="E127" s="63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1352</v>
      </c>
      <c r="N127" s="52" t="s">
        <v>1</v>
      </c>
      <c r="O127" s="28" t="s">
        <v>140</v>
      </c>
      <c r="P127" s="46" t="s">
        <v>1313</v>
      </c>
      <c r="Q127" s="47" t="s">
        <v>1356</v>
      </c>
      <c r="R127" s="46" t="s">
        <v>1314</v>
      </c>
      <c r="S127" s="47" t="s">
        <v>1356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5">
      <c r="A128" s="43">
        <v>128</v>
      </c>
      <c r="B128" s="26" t="s">
        <v>765</v>
      </c>
      <c r="C128" s="25" t="s">
        <v>1396</v>
      </c>
      <c r="D128" s="62" t="s">
        <v>1361</v>
      </c>
      <c r="E128" s="63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1352</v>
      </c>
      <c r="N128" s="52" t="s">
        <v>1</v>
      </c>
      <c r="O128" s="28" t="s">
        <v>141</v>
      </c>
      <c r="P128" s="46" t="s">
        <v>1313</v>
      </c>
      <c r="Q128" s="47" t="s">
        <v>1356</v>
      </c>
      <c r="R128" s="46" t="s">
        <v>1314</v>
      </c>
      <c r="S128" s="47" t="s">
        <v>1356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5">
      <c r="A129" s="43">
        <v>129</v>
      </c>
      <c r="B129" s="26" t="s">
        <v>766</v>
      </c>
      <c r="C129" s="25" t="s">
        <v>1396</v>
      </c>
      <c r="D129" s="62" t="s">
        <v>1361</v>
      </c>
      <c r="E129" s="63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1352</v>
      </c>
      <c r="N129" s="52" t="s">
        <v>1</v>
      </c>
      <c r="O129" s="28" t="s">
        <v>142</v>
      </c>
      <c r="P129" s="46" t="s">
        <v>1313</v>
      </c>
      <c r="Q129" s="47" t="s">
        <v>1356</v>
      </c>
      <c r="R129" s="46" t="s">
        <v>1314</v>
      </c>
      <c r="S129" s="47" t="s">
        <v>1356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5">
      <c r="A130" s="43">
        <v>130</v>
      </c>
      <c r="B130" s="26" t="s">
        <v>767</v>
      </c>
      <c r="C130" s="25" t="s">
        <v>1396</v>
      </c>
      <c r="D130" s="62" t="s">
        <v>1361</v>
      </c>
      <c r="E130" s="63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1352</v>
      </c>
      <c r="N130" s="52" t="s">
        <v>1</v>
      </c>
      <c r="O130" s="28" t="s">
        <v>143</v>
      </c>
      <c r="P130" s="46" t="s">
        <v>1313</v>
      </c>
      <c r="Q130" s="47" t="s">
        <v>1356</v>
      </c>
      <c r="R130" s="46" t="s">
        <v>1314</v>
      </c>
      <c r="S130" s="47" t="s">
        <v>1356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5">
      <c r="A131" s="43">
        <v>131</v>
      </c>
      <c r="B131" s="26" t="s">
        <v>768</v>
      </c>
      <c r="C131" s="25" t="s">
        <v>1396</v>
      </c>
      <c r="D131" s="62" t="s">
        <v>1361</v>
      </c>
      <c r="E131" s="63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1352</v>
      </c>
      <c r="N131" s="52" t="s">
        <v>1</v>
      </c>
      <c r="O131" s="28" t="s">
        <v>144</v>
      </c>
      <c r="P131" s="46" t="s">
        <v>1313</v>
      </c>
      <c r="Q131" s="47" t="s">
        <v>1356</v>
      </c>
      <c r="R131" s="46" t="s">
        <v>1314</v>
      </c>
      <c r="S131" s="47" t="s">
        <v>1356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5">
      <c r="A132" s="43">
        <v>132</v>
      </c>
      <c r="B132" s="26" t="s">
        <v>769</v>
      </c>
      <c r="C132" s="25" t="s">
        <v>1396</v>
      </c>
      <c r="D132" s="62" t="s">
        <v>1361</v>
      </c>
      <c r="E132" s="63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1352</v>
      </c>
      <c r="N132" s="52" t="s">
        <v>1</v>
      </c>
      <c r="O132" s="28" t="s">
        <v>145</v>
      </c>
      <c r="P132" s="46" t="s">
        <v>1313</v>
      </c>
      <c r="Q132" s="47" t="s">
        <v>1356</v>
      </c>
      <c r="R132" s="46" t="s">
        <v>1314</v>
      </c>
      <c r="S132" s="47" t="s">
        <v>1356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5">
      <c r="A133" s="43">
        <v>133</v>
      </c>
      <c r="B133" s="26" t="s">
        <v>770</v>
      </c>
      <c r="C133" s="25" t="s">
        <v>1396</v>
      </c>
      <c r="D133" s="62" t="s">
        <v>1361</v>
      </c>
      <c r="E133" s="63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1352</v>
      </c>
      <c r="N133" s="52" t="s">
        <v>1</v>
      </c>
      <c r="O133" s="28" t="s">
        <v>146</v>
      </c>
      <c r="P133" s="46" t="s">
        <v>1313</v>
      </c>
      <c r="Q133" s="47" t="s">
        <v>1356</v>
      </c>
      <c r="R133" s="46" t="s">
        <v>1314</v>
      </c>
      <c r="S133" s="47" t="s">
        <v>1356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5">
      <c r="A134" s="43">
        <v>134</v>
      </c>
      <c r="B134" s="26" t="s">
        <v>771</v>
      </c>
      <c r="C134" s="25" t="s">
        <v>1396</v>
      </c>
      <c r="D134" s="62" t="s">
        <v>1361</v>
      </c>
      <c r="E134" s="63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1352</v>
      </c>
      <c r="N134" s="52" t="s">
        <v>1</v>
      </c>
      <c r="O134" s="28" t="s">
        <v>147</v>
      </c>
      <c r="P134" s="46" t="s">
        <v>1313</v>
      </c>
      <c r="Q134" s="47" t="s">
        <v>1356</v>
      </c>
      <c r="R134" s="46" t="s">
        <v>1314</v>
      </c>
      <c r="S134" s="47" t="s">
        <v>1356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5">
      <c r="A135" s="43">
        <v>135</v>
      </c>
      <c r="B135" s="26" t="s">
        <v>772</v>
      </c>
      <c r="C135" s="25" t="s">
        <v>1396</v>
      </c>
      <c r="D135" s="62" t="s">
        <v>1361</v>
      </c>
      <c r="E135" s="63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1352</v>
      </c>
      <c r="N135" s="52" t="s">
        <v>1</v>
      </c>
      <c r="O135" s="28" t="s">
        <v>148</v>
      </c>
      <c r="P135" s="46" t="s">
        <v>1313</v>
      </c>
      <c r="Q135" s="47" t="s">
        <v>1356</v>
      </c>
      <c r="R135" s="46" t="s">
        <v>1314</v>
      </c>
      <c r="S135" s="47" t="s">
        <v>1356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5">
      <c r="A136" s="43">
        <v>136</v>
      </c>
      <c r="B136" s="26" t="s">
        <v>773</v>
      </c>
      <c r="C136" s="25" t="s">
        <v>1396</v>
      </c>
      <c r="D136" s="62" t="s">
        <v>1361</v>
      </c>
      <c r="E136" s="63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1352</v>
      </c>
      <c r="N136" s="52" t="s">
        <v>1</v>
      </c>
      <c r="O136" s="28" t="s">
        <v>149</v>
      </c>
      <c r="P136" s="46" t="s">
        <v>1313</v>
      </c>
      <c r="Q136" s="47" t="s">
        <v>1356</v>
      </c>
      <c r="R136" s="46" t="s">
        <v>1314</v>
      </c>
      <c r="S136" s="47" t="s">
        <v>1356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5">
      <c r="A137" s="43">
        <v>137</v>
      </c>
      <c r="B137" s="26" t="s">
        <v>774</v>
      </c>
      <c r="C137" s="25" t="s">
        <v>1396</v>
      </c>
      <c r="D137" s="62" t="s">
        <v>1361</v>
      </c>
      <c r="E137" s="63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1352</v>
      </c>
      <c r="N137" s="52" t="s">
        <v>1</v>
      </c>
      <c r="O137" s="28" t="s">
        <v>150</v>
      </c>
      <c r="P137" s="46" t="s">
        <v>1313</v>
      </c>
      <c r="Q137" s="47" t="s">
        <v>1356</v>
      </c>
      <c r="R137" s="46" t="s">
        <v>1314</v>
      </c>
      <c r="S137" s="47" t="s">
        <v>1356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5">
      <c r="A138" s="43">
        <v>138</v>
      </c>
      <c r="B138" s="26" t="s">
        <v>775</v>
      </c>
      <c r="C138" s="25" t="s">
        <v>1396</v>
      </c>
      <c r="D138" s="62" t="s">
        <v>1361</v>
      </c>
      <c r="E138" s="63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1352</v>
      </c>
      <c r="N138" s="52" t="s">
        <v>1</v>
      </c>
      <c r="O138" s="28" t="s">
        <v>151</v>
      </c>
      <c r="P138" s="46" t="s">
        <v>1313</v>
      </c>
      <c r="Q138" s="47" t="s">
        <v>1356</v>
      </c>
      <c r="R138" s="46" t="s">
        <v>1314</v>
      </c>
      <c r="S138" s="47" t="s">
        <v>1356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5">
      <c r="A139" s="43">
        <v>139</v>
      </c>
      <c r="B139" s="26" t="s">
        <v>776</v>
      </c>
      <c r="C139" s="25" t="s">
        <v>1396</v>
      </c>
      <c r="D139" s="62" t="s">
        <v>1361</v>
      </c>
      <c r="E139" s="63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1352</v>
      </c>
      <c r="N139" s="52" t="s">
        <v>1</v>
      </c>
      <c r="O139" s="28" t="s">
        <v>152</v>
      </c>
      <c r="P139" s="46" t="s">
        <v>1313</v>
      </c>
      <c r="Q139" s="47" t="s">
        <v>1356</v>
      </c>
      <c r="R139" s="46" t="s">
        <v>1314</v>
      </c>
      <c r="S139" s="47" t="s">
        <v>1356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5">
      <c r="A140" s="43">
        <v>140</v>
      </c>
      <c r="B140" s="26" t="s">
        <v>777</v>
      </c>
      <c r="C140" s="25" t="s">
        <v>1396</v>
      </c>
      <c r="D140" s="62" t="s">
        <v>1361</v>
      </c>
      <c r="E140" s="63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1352</v>
      </c>
      <c r="N140" s="52" t="s">
        <v>1</v>
      </c>
      <c r="O140" s="28" t="s">
        <v>153</v>
      </c>
      <c r="P140" s="46" t="s">
        <v>1313</v>
      </c>
      <c r="Q140" s="47" t="s">
        <v>1356</v>
      </c>
      <c r="R140" s="46" t="s">
        <v>1314</v>
      </c>
      <c r="S140" s="47" t="s">
        <v>1356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5">
      <c r="A141" s="43">
        <v>141</v>
      </c>
      <c r="B141" s="26" t="s">
        <v>778</v>
      </c>
      <c r="C141" s="25" t="s">
        <v>1396</v>
      </c>
      <c r="D141" s="62" t="s">
        <v>1361</v>
      </c>
      <c r="E141" s="63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1352</v>
      </c>
      <c r="N141" s="52" t="s">
        <v>1</v>
      </c>
      <c r="O141" s="28" t="s">
        <v>154</v>
      </c>
      <c r="P141" s="46" t="s">
        <v>1313</v>
      </c>
      <c r="Q141" s="47" t="s">
        <v>1356</v>
      </c>
      <c r="R141" s="46" t="s">
        <v>1314</v>
      </c>
      <c r="S141" s="47" t="s">
        <v>1356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5">
      <c r="A142" s="43">
        <v>142</v>
      </c>
      <c r="B142" s="26" t="s">
        <v>779</v>
      </c>
      <c r="C142" s="25" t="s">
        <v>1396</v>
      </c>
      <c r="D142" s="62" t="s">
        <v>1361</v>
      </c>
      <c r="E142" s="63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1352</v>
      </c>
      <c r="N142" s="52" t="s">
        <v>1</v>
      </c>
      <c r="O142" s="28" t="s">
        <v>155</v>
      </c>
      <c r="P142" s="46" t="s">
        <v>1313</v>
      </c>
      <c r="Q142" s="47" t="s">
        <v>1356</v>
      </c>
      <c r="R142" s="46" t="s">
        <v>1314</v>
      </c>
      <c r="S142" s="47" t="s">
        <v>1356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5">
      <c r="A143" s="43">
        <v>143</v>
      </c>
      <c r="B143" s="26" t="s">
        <v>780</v>
      </c>
      <c r="C143" s="25" t="s">
        <v>1396</v>
      </c>
      <c r="D143" s="62" t="s">
        <v>1361</v>
      </c>
      <c r="E143" s="63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1352</v>
      </c>
      <c r="N143" s="52" t="s">
        <v>1</v>
      </c>
      <c r="O143" s="28" t="s">
        <v>156</v>
      </c>
      <c r="P143" s="46" t="s">
        <v>1313</v>
      </c>
      <c r="Q143" s="47" t="s">
        <v>1356</v>
      </c>
      <c r="R143" s="46" t="s">
        <v>1314</v>
      </c>
      <c r="S143" s="47" t="s">
        <v>1356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5">
      <c r="A144" s="43">
        <v>144</v>
      </c>
      <c r="B144" s="26" t="s">
        <v>781</v>
      </c>
      <c r="C144" s="25" t="s">
        <v>1396</v>
      </c>
      <c r="D144" s="62" t="s">
        <v>1361</v>
      </c>
      <c r="E144" s="63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1352</v>
      </c>
      <c r="N144" s="52" t="s">
        <v>1</v>
      </c>
      <c r="O144" s="28" t="s">
        <v>157</v>
      </c>
      <c r="P144" s="46" t="s">
        <v>1313</v>
      </c>
      <c r="Q144" s="47" t="s">
        <v>1356</v>
      </c>
      <c r="R144" s="46" t="s">
        <v>1314</v>
      </c>
      <c r="S144" s="47" t="s">
        <v>1356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5">
      <c r="A145" s="43">
        <v>145</v>
      </c>
      <c r="B145" s="26" t="s">
        <v>782</v>
      </c>
      <c r="C145" s="25" t="s">
        <v>1396</v>
      </c>
      <c r="D145" s="62" t="s">
        <v>1361</v>
      </c>
      <c r="E145" s="63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1352</v>
      </c>
      <c r="N145" s="52" t="s">
        <v>1</v>
      </c>
      <c r="O145" s="28" t="s">
        <v>158</v>
      </c>
      <c r="P145" s="46" t="s">
        <v>1313</v>
      </c>
      <c r="Q145" s="47" t="s">
        <v>1356</v>
      </c>
      <c r="R145" s="46" t="s">
        <v>1314</v>
      </c>
      <c r="S145" s="47" t="s">
        <v>1356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5">
      <c r="A146" s="43">
        <v>146</v>
      </c>
      <c r="B146" s="26" t="s">
        <v>783</v>
      </c>
      <c r="C146" s="25" t="s">
        <v>1396</v>
      </c>
      <c r="D146" s="62" t="s">
        <v>1361</v>
      </c>
      <c r="E146" s="63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1352</v>
      </c>
      <c r="N146" s="52" t="s">
        <v>1</v>
      </c>
      <c r="O146" s="28" t="s">
        <v>159</v>
      </c>
      <c r="P146" s="46" t="s">
        <v>1313</v>
      </c>
      <c r="Q146" s="47" t="s">
        <v>1356</v>
      </c>
      <c r="R146" s="46" t="s">
        <v>1314</v>
      </c>
      <c r="S146" s="47" t="s">
        <v>1356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5">
      <c r="A147" s="43">
        <v>147</v>
      </c>
      <c r="B147" s="26" t="s">
        <v>784</v>
      </c>
      <c r="C147" s="25" t="s">
        <v>1396</v>
      </c>
      <c r="D147" s="62" t="s">
        <v>1361</v>
      </c>
      <c r="E147" s="63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1352</v>
      </c>
      <c r="N147" s="52" t="s">
        <v>1</v>
      </c>
      <c r="O147" s="28" t="s">
        <v>160</v>
      </c>
      <c r="P147" s="46" t="s">
        <v>1313</v>
      </c>
      <c r="Q147" s="47" t="s">
        <v>1356</v>
      </c>
      <c r="R147" s="46" t="s">
        <v>1314</v>
      </c>
      <c r="S147" s="47" t="s">
        <v>1356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5">
      <c r="A148" s="43">
        <v>148</v>
      </c>
      <c r="B148" s="26" t="s">
        <v>785</v>
      </c>
      <c r="C148" s="25" t="s">
        <v>1396</v>
      </c>
      <c r="D148" s="62" t="s">
        <v>1361</v>
      </c>
      <c r="E148" s="63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1352</v>
      </c>
      <c r="N148" s="52" t="s">
        <v>1</v>
      </c>
      <c r="O148" s="28" t="s">
        <v>161</v>
      </c>
      <c r="P148" s="46" t="s">
        <v>1313</v>
      </c>
      <c r="Q148" s="47" t="s">
        <v>1356</v>
      </c>
      <c r="R148" s="46" t="s">
        <v>1314</v>
      </c>
      <c r="S148" s="47" t="s">
        <v>1356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5">
      <c r="A149" s="43">
        <v>149</v>
      </c>
      <c r="B149" s="26" t="s">
        <v>786</v>
      </c>
      <c r="C149" s="25" t="s">
        <v>1396</v>
      </c>
      <c r="D149" s="62" t="s">
        <v>1361</v>
      </c>
      <c r="E149" s="63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1352</v>
      </c>
      <c r="N149" s="52" t="s">
        <v>1</v>
      </c>
      <c r="O149" s="28" t="s">
        <v>162</v>
      </c>
      <c r="P149" s="46" t="s">
        <v>1313</v>
      </c>
      <c r="Q149" s="47" t="s">
        <v>1356</v>
      </c>
      <c r="R149" s="46" t="s">
        <v>1314</v>
      </c>
      <c r="S149" s="47" t="s">
        <v>1356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5">
      <c r="A150" s="43">
        <v>150</v>
      </c>
      <c r="B150" s="26" t="s">
        <v>787</v>
      </c>
      <c r="C150" s="25" t="s">
        <v>1396</v>
      </c>
      <c r="D150" s="62" t="s">
        <v>1361</v>
      </c>
      <c r="E150" s="63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1352</v>
      </c>
      <c r="N150" s="52" t="s">
        <v>1</v>
      </c>
      <c r="O150" s="28" t="s">
        <v>163</v>
      </c>
      <c r="P150" s="46" t="s">
        <v>1313</v>
      </c>
      <c r="Q150" s="47" t="s">
        <v>1356</v>
      </c>
      <c r="R150" s="46" t="s">
        <v>1314</v>
      </c>
      <c r="S150" s="47" t="s">
        <v>1356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5">
      <c r="A151" s="43">
        <v>151</v>
      </c>
      <c r="B151" s="26" t="s">
        <v>788</v>
      </c>
      <c r="C151" s="25" t="s">
        <v>1396</v>
      </c>
      <c r="D151" s="62" t="s">
        <v>1361</v>
      </c>
      <c r="E151" s="63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1352</v>
      </c>
      <c r="N151" s="52" t="s">
        <v>1</v>
      </c>
      <c r="O151" s="28" t="s">
        <v>164</v>
      </c>
      <c r="P151" s="46" t="s">
        <v>1313</v>
      </c>
      <c r="Q151" s="47" t="s">
        <v>1356</v>
      </c>
      <c r="R151" s="46" t="s">
        <v>1314</v>
      </c>
      <c r="S151" s="47" t="s">
        <v>1356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5">
      <c r="A152" s="43">
        <v>152</v>
      </c>
      <c r="B152" s="26" t="s">
        <v>789</v>
      </c>
      <c r="C152" s="25" t="s">
        <v>1396</v>
      </c>
      <c r="D152" s="62" t="s">
        <v>1361</v>
      </c>
      <c r="E152" s="63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1352</v>
      </c>
      <c r="N152" s="52" t="s">
        <v>1</v>
      </c>
      <c r="O152" s="28" t="s">
        <v>165</v>
      </c>
      <c r="P152" s="46" t="s">
        <v>1313</v>
      </c>
      <c r="Q152" s="47" t="s">
        <v>1356</v>
      </c>
      <c r="R152" s="46" t="s">
        <v>1314</v>
      </c>
      <c r="S152" s="47" t="s">
        <v>1356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5">
      <c r="A153" s="43">
        <v>153</v>
      </c>
      <c r="B153" s="26" t="s">
        <v>790</v>
      </c>
      <c r="C153" s="25" t="s">
        <v>1396</v>
      </c>
      <c r="D153" s="62" t="s">
        <v>1361</v>
      </c>
      <c r="E153" s="63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1352</v>
      </c>
      <c r="N153" s="52" t="s">
        <v>1</v>
      </c>
      <c r="O153" s="28" t="s">
        <v>166</v>
      </c>
      <c r="P153" s="46" t="s">
        <v>1313</v>
      </c>
      <c r="Q153" s="47" t="s">
        <v>1356</v>
      </c>
      <c r="R153" s="46" t="s">
        <v>1314</v>
      </c>
      <c r="S153" s="47" t="s">
        <v>1356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5">
      <c r="A154" s="43">
        <v>154</v>
      </c>
      <c r="B154" s="26" t="s">
        <v>791</v>
      </c>
      <c r="C154" s="25" t="s">
        <v>1396</v>
      </c>
      <c r="D154" s="62" t="s">
        <v>1361</v>
      </c>
      <c r="E154" s="63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1352</v>
      </c>
      <c r="N154" s="52" t="s">
        <v>1</v>
      </c>
      <c r="O154" s="28" t="s">
        <v>167</v>
      </c>
      <c r="P154" s="46" t="s">
        <v>1313</v>
      </c>
      <c r="Q154" s="47" t="s">
        <v>1356</v>
      </c>
      <c r="R154" s="46" t="s">
        <v>1314</v>
      </c>
      <c r="S154" s="47" t="s">
        <v>1356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5">
      <c r="A155" s="43">
        <v>155</v>
      </c>
      <c r="B155" s="26" t="s">
        <v>792</v>
      </c>
      <c r="C155" s="25" t="s">
        <v>1396</v>
      </c>
      <c r="D155" s="62" t="s">
        <v>1361</v>
      </c>
      <c r="E155" s="63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1352</v>
      </c>
      <c r="N155" s="52" t="s">
        <v>1</v>
      </c>
      <c r="O155" s="28" t="s">
        <v>168</v>
      </c>
      <c r="P155" s="46" t="s">
        <v>1313</v>
      </c>
      <c r="Q155" s="47" t="s">
        <v>1356</v>
      </c>
      <c r="R155" s="46" t="s">
        <v>1314</v>
      </c>
      <c r="S155" s="47" t="s">
        <v>1356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5">
      <c r="A156" s="43">
        <v>156</v>
      </c>
      <c r="B156" s="26" t="s">
        <v>793</v>
      </c>
      <c r="C156" s="25" t="s">
        <v>1398</v>
      </c>
      <c r="D156" s="62" t="s">
        <v>1361</v>
      </c>
      <c r="E156" s="63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1407</v>
      </c>
      <c r="N156" s="52" t="s">
        <v>1</v>
      </c>
      <c r="O156" s="28" t="s">
        <v>169</v>
      </c>
      <c r="P156" s="46" t="s">
        <v>1313</v>
      </c>
      <c r="Q156" s="47" t="s">
        <v>1356</v>
      </c>
      <c r="R156" s="46" t="s">
        <v>1314</v>
      </c>
      <c r="S156" s="47" t="s">
        <v>1356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5">
      <c r="A157" s="43">
        <v>157</v>
      </c>
      <c r="B157" s="26" t="s">
        <v>794</v>
      </c>
      <c r="C157" s="25" t="s">
        <v>1398</v>
      </c>
      <c r="D157" s="62" t="s">
        <v>1361</v>
      </c>
      <c r="E157" s="63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1407</v>
      </c>
      <c r="N157" s="52" t="s">
        <v>1</v>
      </c>
      <c r="O157" s="28" t="s">
        <v>170</v>
      </c>
      <c r="P157" s="46" t="s">
        <v>1313</v>
      </c>
      <c r="Q157" s="47" t="s">
        <v>1356</v>
      </c>
      <c r="R157" s="46" t="s">
        <v>1314</v>
      </c>
      <c r="S157" s="47" t="s">
        <v>1356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5">
      <c r="A158" s="43">
        <v>158</v>
      </c>
      <c r="B158" s="26" t="s">
        <v>795</v>
      </c>
      <c r="C158" s="25" t="s">
        <v>1398</v>
      </c>
      <c r="D158" s="62" t="s">
        <v>1361</v>
      </c>
      <c r="E158" s="63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1407</v>
      </c>
      <c r="N158" s="52" t="s">
        <v>1</v>
      </c>
      <c r="O158" s="28" t="s">
        <v>171</v>
      </c>
      <c r="P158" s="46" t="s">
        <v>1313</v>
      </c>
      <c r="Q158" s="47" t="s">
        <v>1356</v>
      </c>
      <c r="R158" s="46" t="s">
        <v>1314</v>
      </c>
      <c r="S158" s="47" t="s">
        <v>1356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5">
      <c r="A159" s="43">
        <v>159</v>
      </c>
      <c r="B159" s="26" t="s">
        <v>796</v>
      </c>
      <c r="C159" s="25" t="s">
        <v>1398</v>
      </c>
      <c r="D159" s="62" t="s">
        <v>1361</v>
      </c>
      <c r="E159" s="63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1407</v>
      </c>
      <c r="N159" s="52" t="s">
        <v>1</v>
      </c>
      <c r="O159" s="28" t="s">
        <v>172</v>
      </c>
      <c r="P159" s="46" t="s">
        <v>1313</v>
      </c>
      <c r="Q159" s="47" t="s">
        <v>1356</v>
      </c>
      <c r="R159" s="46" t="s">
        <v>1314</v>
      </c>
      <c r="S159" s="47" t="s">
        <v>1356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5">
      <c r="A160" s="43">
        <v>160</v>
      </c>
      <c r="B160" s="26" t="s">
        <v>797</v>
      </c>
      <c r="C160" s="25" t="s">
        <v>1398</v>
      </c>
      <c r="D160" s="62" t="s">
        <v>1361</v>
      </c>
      <c r="E160" s="63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1407</v>
      </c>
      <c r="N160" s="52" t="s">
        <v>1</v>
      </c>
      <c r="O160" s="28" t="s">
        <v>173</v>
      </c>
      <c r="P160" s="46" t="s">
        <v>1313</v>
      </c>
      <c r="Q160" s="47" t="s">
        <v>1356</v>
      </c>
      <c r="R160" s="46" t="s">
        <v>1314</v>
      </c>
      <c r="S160" s="47" t="s">
        <v>1356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5">
      <c r="A161" s="43">
        <v>161</v>
      </c>
      <c r="B161" s="26" t="s">
        <v>798</v>
      </c>
      <c r="C161" s="25" t="s">
        <v>1398</v>
      </c>
      <c r="D161" s="62" t="s">
        <v>1361</v>
      </c>
      <c r="E161" s="63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1407</v>
      </c>
      <c r="N161" s="52" t="s">
        <v>1</v>
      </c>
      <c r="O161" s="28" t="s">
        <v>174</v>
      </c>
      <c r="P161" s="46" t="s">
        <v>1313</v>
      </c>
      <c r="Q161" s="47" t="s">
        <v>1356</v>
      </c>
      <c r="R161" s="46" t="s">
        <v>1314</v>
      </c>
      <c r="S161" s="47" t="s">
        <v>1356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5">
      <c r="A162" s="43">
        <v>162</v>
      </c>
      <c r="B162" s="26" t="s">
        <v>799</v>
      </c>
      <c r="C162" s="25" t="s">
        <v>1399</v>
      </c>
      <c r="D162" s="62" t="s">
        <v>1361</v>
      </c>
      <c r="E162" s="63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1408</v>
      </c>
      <c r="N162" s="52" t="s">
        <v>1</v>
      </c>
      <c r="O162" s="28" t="s">
        <v>175</v>
      </c>
      <c r="P162" s="46" t="s">
        <v>1313</v>
      </c>
      <c r="Q162" s="47" t="s">
        <v>1356</v>
      </c>
      <c r="R162" s="46" t="s">
        <v>1314</v>
      </c>
      <c r="S162" s="47" t="s">
        <v>1356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5">
      <c r="A163" s="43">
        <v>163</v>
      </c>
      <c r="B163" s="26" t="s">
        <v>800</v>
      </c>
      <c r="C163" s="25" t="s">
        <v>1399</v>
      </c>
      <c r="D163" s="62" t="s">
        <v>1361</v>
      </c>
      <c r="E163" s="63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1408</v>
      </c>
      <c r="N163" s="52" t="s">
        <v>1</v>
      </c>
      <c r="O163" s="28" t="s">
        <v>176</v>
      </c>
      <c r="P163" s="46" t="s">
        <v>1313</v>
      </c>
      <c r="Q163" s="47" t="s">
        <v>1356</v>
      </c>
      <c r="R163" s="46" t="s">
        <v>1314</v>
      </c>
      <c r="S163" s="47" t="s">
        <v>1356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5">
      <c r="A164" s="43">
        <v>164</v>
      </c>
      <c r="B164" s="26" t="s">
        <v>801</v>
      </c>
      <c r="C164" s="25" t="s">
        <v>1399</v>
      </c>
      <c r="D164" s="62" t="s">
        <v>1361</v>
      </c>
      <c r="E164" s="63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1408</v>
      </c>
      <c r="N164" s="52" t="s">
        <v>1</v>
      </c>
      <c r="O164" s="28" t="s">
        <v>177</v>
      </c>
      <c r="P164" s="46" t="s">
        <v>1313</v>
      </c>
      <c r="Q164" s="47" t="s">
        <v>1356</v>
      </c>
      <c r="R164" s="46" t="s">
        <v>1314</v>
      </c>
      <c r="S164" s="47" t="s">
        <v>1356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5">
      <c r="A165" s="43">
        <v>165</v>
      </c>
      <c r="B165" s="26" t="s">
        <v>802</v>
      </c>
      <c r="C165" s="25" t="s">
        <v>1399</v>
      </c>
      <c r="D165" s="62" t="s">
        <v>1361</v>
      </c>
      <c r="E165" s="63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1408</v>
      </c>
      <c r="N165" s="52" t="s">
        <v>1</v>
      </c>
      <c r="O165" s="28" t="s">
        <v>178</v>
      </c>
      <c r="P165" s="46" t="s">
        <v>1313</v>
      </c>
      <c r="Q165" s="47" t="s">
        <v>1356</v>
      </c>
      <c r="R165" s="46" t="s">
        <v>1314</v>
      </c>
      <c r="S165" s="47" t="s">
        <v>1356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5">
      <c r="A166" s="43">
        <v>166</v>
      </c>
      <c r="B166" s="26" t="s">
        <v>803</v>
      </c>
      <c r="C166" s="25" t="s">
        <v>1400</v>
      </c>
      <c r="D166" s="62" t="s">
        <v>1361</v>
      </c>
      <c r="E166" s="63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1356</v>
      </c>
      <c r="R166" s="46" t="s">
        <v>1314</v>
      </c>
      <c r="S166" s="47" t="s">
        <v>1356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5">
      <c r="A167" s="43">
        <v>167</v>
      </c>
      <c r="B167" s="26" t="s">
        <v>804</v>
      </c>
      <c r="C167" s="25" t="s">
        <v>1400</v>
      </c>
      <c r="D167" s="62" t="s">
        <v>1361</v>
      </c>
      <c r="E167" s="63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1356</v>
      </c>
      <c r="R167" s="46" t="s">
        <v>1314</v>
      </c>
      <c r="S167" s="47" t="s">
        <v>1356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5">
      <c r="A168" s="43">
        <v>168</v>
      </c>
      <c r="B168" s="26" t="s">
        <v>805</v>
      </c>
      <c r="C168" s="25" t="s">
        <v>1400</v>
      </c>
      <c r="D168" s="62" t="s">
        <v>1361</v>
      </c>
      <c r="E168" s="63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1356</v>
      </c>
      <c r="R168" s="46" t="s">
        <v>1314</v>
      </c>
      <c r="S168" s="47" t="s">
        <v>1356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5">
      <c r="A169" s="43">
        <v>169</v>
      </c>
      <c r="B169" s="26" t="s">
        <v>806</v>
      </c>
      <c r="C169" s="25" t="s">
        <v>1400</v>
      </c>
      <c r="D169" s="62" t="s">
        <v>1361</v>
      </c>
      <c r="E169" s="63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1356</v>
      </c>
      <c r="R169" s="46" t="s">
        <v>1314</v>
      </c>
      <c r="S169" s="47" t="s">
        <v>1356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5">
      <c r="A170" s="43">
        <v>170</v>
      </c>
      <c r="B170" s="26" t="s">
        <v>807</v>
      </c>
      <c r="C170" s="25" t="s">
        <v>1400</v>
      </c>
      <c r="D170" s="62" t="s">
        <v>1361</v>
      </c>
      <c r="E170" s="63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1356</v>
      </c>
      <c r="R170" s="46" t="s">
        <v>1314</v>
      </c>
      <c r="S170" s="47" t="s">
        <v>1356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5">
      <c r="A171" s="43">
        <v>171</v>
      </c>
      <c r="B171" s="26" t="s">
        <v>808</v>
      </c>
      <c r="C171" s="25" t="s">
        <v>1400</v>
      </c>
      <c r="D171" s="62" t="s">
        <v>1361</v>
      </c>
      <c r="E171" s="63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1356</v>
      </c>
      <c r="R171" s="46" t="s">
        <v>1314</v>
      </c>
      <c r="S171" s="47" t="s">
        <v>1356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5">
      <c r="A172" s="43">
        <v>172</v>
      </c>
      <c r="B172" s="26" t="s">
        <v>809</v>
      </c>
      <c r="C172" s="25" t="s">
        <v>1400</v>
      </c>
      <c r="D172" s="62" t="s">
        <v>1361</v>
      </c>
      <c r="E172" s="63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1356</v>
      </c>
      <c r="R172" s="46" t="s">
        <v>1314</v>
      </c>
      <c r="S172" s="47" t="s">
        <v>1356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5">
      <c r="A173" s="43">
        <v>173</v>
      </c>
      <c r="B173" s="26" t="s">
        <v>810</v>
      </c>
      <c r="C173" s="25" t="s">
        <v>1400</v>
      </c>
      <c r="D173" s="62" t="s">
        <v>1361</v>
      </c>
      <c r="E173" s="63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1356</v>
      </c>
      <c r="R173" s="46" t="s">
        <v>1314</v>
      </c>
      <c r="S173" s="47" t="s">
        <v>1356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5">
      <c r="A174" s="43">
        <v>174</v>
      </c>
      <c r="B174" s="26" t="s">
        <v>811</v>
      </c>
      <c r="C174" s="25" t="s">
        <v>1400</v>
      </c>
      <c r="D174" s="62" t="s">
        <v>1361</v>
      </c>
      <c r="E174" s="63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1356</v>
      </c>
      <c r="R174" s="46" t="s">
        <v>1314</v>
      </c>
      <c r="S174" s="47" t="s">
        <v>1356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5">
      <c r="A175" s="43">
        <v>175</v>
      </c>
      <c r="B175" s="26" t="s">
        <v>812</v>
      </c>
      <c r="C175" s="25" t="s">
        <v>1400</v>
      </c>
      <c r="D175" s="62" t="s">
        <v>1361</v>
      </c>
      <c r="E175" s="63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1356</v>
      </c>
      <c r="R175" s="46" t="s">
        <v>1314</v>
      </c>
      <c r="S175" s="47" t="s">
        <v>1356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5">
      <c r="A176" s="43">
        <v>176</v>
      </c>
      <c r="B176" s="26" t="s">
        <v>813</v>
      </c>
      <c r="C176" s="25" t="s">
        <v>1400</v>
      </c>
      <c r="D176" s="62" t="s">
        <v>1361</v>
      </c>
      <c r="E176" s="63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1356</v>
      </c>
      <c r="R176" s="46" t="s">
        <v>1314</v>
      </c>
      <c r="S176" s="47" t="s">
        <v>1356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5">
      <c r="A177" s="43">
        <v>177</v>
      </c>
      <c r="B177" s="26" t="s">
        <v>814</v>
      </c>
      <c r="C177" s="25" t="s">
        <v>1400</v>
      </c>
      <c r="D177" s="62" t="s">
        <v>1361</v>
      </c>
      <c r="E177" s="63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1356</v>
      </c>
      <c r="R177" s="46" t="s">
        <v>1314</v>
      </c>
      <c r="S177" s="47" t="s">
        <v>1356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5">
      <c r="A178" s="43">
        <v>178</v>
      </c>
      <c r="B178" s="26" t="s">
        <v>815</v>
      </c>
      <c r="C178" s="25" t="s">
        <v>1400</v>
      </c>
      <c r="D178" s="62" t="s">
        <v>1361</v>
      </c>
      <c r="E178" s="63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1356</v>
      </c>
      <c r="R178" s="46" t="s">
        <v>1314</v>
      </c>
      <c r="S178" s="47" t="s">
        <v>1356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5">
      <c r="A179" s="43">
        <v>179</v>
      </c>
      <c r="B179" s="26" t="s">
        <v>816</v>
      </c>
      <c r="C179" s="25" t="s">
        <v>1400</v>
      </c>
      <c r="D179" s="62" t="s">
        <v>1361</v>
      </c>
      <c r="E179" s="63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1356</v>
      </c>
      <c r="R179" s="46" t="s">
        <v>1314</v>
      </c>
      <c r="S179" s="47" t="s">
        <v>1356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5">
      <c r="A180" s="43">
        <v>180</v>
      </c>
      <c r="B180" s="26" t="s">
        <v>817</v>
      </c>
      <c r="C180" s="25" t="s">
        <v>1400</v>
      </c>
      <c r="D180" s="62" t="s">
        <v>1361</v>
      </c>
      <c r="E180" s="63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1356</v>
      </c>
      <c r="R180" s="46" t="s">
        <v>1314</v>
      </c>
      <c r="S180" s="47" t="s">
        <v>1356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5">
      <c r="A181" s="43">
        <v>181</v>
      </c>
      <c r="B181" s="26" t="s">
        <v>818</v>
      </c>
      <c r="C181" s="25" t="s">
        <v>1400</v>
      </c>
      <c r="D181" s="62" t="s">
        <v>1361</v>
      </c>
      <c r="E181" s="63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1356</v>
      </c>
      <c r="R181" s="46" t="s">
        <v>1314</v>
      </c>
      <c r="S181" s="47" t="s">
        <v>1356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5">
      <c r="A182" s="43">
        <v>182</v>
      </c>
      <c r="B182" s="26" t="s">
        <v>819</v>
      </c>
      <c r="C182" s="25" t="s">
        <v>1400</v>
      </c>
      <c r="D182" s="62" t="s">
        <v>1361</v>
      </c>
      <c r="E182" s="63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1356</v>
      </c>
      <c r="R182" s="46" t="s">
        <v>1314</v>
      </c>
      <c r="S182" s="47" t="s">
        <v>1356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5">
      <c r="A183" s="43">
        <v>183</v>
      </c>
      <c r="B183" s="26" t="s">
        <v>820</v>
      </c>
      <c r="C183" s="25" t="s">
        <v>1400</v>
      </c>
      <c r="D183" s="62" t="s">
        <v>1361</v>
      </c>
      <c r="E183" s="63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1356</v>
      </c>
      <c r="R183" s="46" t="s">
        <v>1314</v>
      </c>
      <c r="S183" s="47" t="s">
        <v>1356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5">
      <c r="A184" s="43">
        <v>184</v>
      </c>
      <c r="B184" s="26" t="s">
        <v>821</v>
      </c>
      <c r="C184" s="25" t="s">
        <v>1400</v>
      </c>
      <c r="D184" s="62" t="s">
        <v>1361</v>
      </c>
      <c r="E184" s="63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1356</v>
      </c>
      <c r="R184" s="46" t="s">
        <v>1314</v>
      </c>
      <c r="S184" s="47" t="s">
        <v>1356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5">
      <c r="A185" s="43">
        <v>185</v>
      </c>
      <c r="B185" s="26" t="s">
        <v>822</v>
      </c>
      <c r="C185" s="25" t="s">
        <v>1400</v>
      </c>
      <c r="D185" s="62" t="s">
        <v>1361</v>
      </c>
      <c r="E185" s="63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1356</v>
      </c>
      <c r="R185" s="46" t="s">
        <v>1314</v>
      </c>
      <c r="S185" s="47" t="s">
        <v>1356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5">
      <c r="A186" s="43">
        <v>186</v>
      </c>
      <c r="B186" s="26" t="s">
        <v>823</v>
      </c>
      <c r="C186" s="25" t="s">
        <v>1400</v>
      </c>
      <c r="D186" s="62" t="s">
        <v>1361</v>
      </c>
      <c r="E186" s="63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1356</v>
      </c>
      <c r="R186" s="46" t="s">
        <v>1314</v>
      </c>
      <c r="S186" s="47" t="s">
        <v>1356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5">
      <c r="A187" s="43">
        <v>187</v>
      </c>
      <c r="B187" s="26" t="s">
        <v>824</v>
      </c>
      <c r="C187" s="25" t="s">
        <v>1400</v>
      </c>
      <c r="D187" s="62" t="s">
        <v>1361</v>
      </c>
      <c r="E187" s="63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1356</v>
      </c>
      <c r="R187" s="46" t="s">
        <v>1314</v>
      </c>
      <c r="S187" s="47" t="s">
        <v>1356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5">
      <c r="A188" s="43">
        <v>188</v>
      </c>
      <c r="B188" s="26" t="s">
        <v>825</v>
      </c>
      <c r="C188" s="25" t="s">
        <v>1400</v>
      </c>
      <c r="D188" s="62" t="s">
        <v>1361</v>
      </c>
      <c r="E188" s="63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1356</v>
      </c>
      <c r="R188" s="46" t="s">
        <v>1314</v>
      </c>
      <c r="S188" s="47" t="s">
        <v>1356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5">
      <c r="A189" s="43">
        <v>189</v>
      </c>
      <c r="B189" s="26" t="s">
        <v>826</v>
      </c>
      <c r="C189" s="25" t="s">
        <v>1400</v>
      </c>
      <c r="D189" s="62" t="s">
        <v>1361</v>
      </c>
      <c r="E189" s="63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1356</v>
      </c>
      <c r="R189" s="46" t="s">
        <v>1314</v>
      </c>
      <c r="S189" s="47" t="s">
        <v>1356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5">
      <c r="A190" s="43">
        <v>190</v>
      </c>
      <c r="B190" s="26" t="s">
        <v>827</v>
      </c>
      <c r="C190" s="25" t="s">
        <v>1400</v>
      </c>
      <c r="D190" s="62" t="s">
        <v>1361</v>
      </c>
      <c r="E190" s="63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1356</v>
      </c>
      <c r="R190" s="46" t="s">
        <v>1314</v>
      </c>
      <c r="S190" s="47" t="s">
        <v>1356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5">
      <c r="A191" s="43">
        <v>191</v>
      </c>
      <c r="B191" s="26" t="s">
        <v>828</v>
      </c>
      <c r="C191" s="25" t="s">
        <v>1400</v>
      </c>
      <c r="D191" s="62" t="s">
        <v>1361</v>
      </c>
      <c r="E191" s="63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1356</v>
      </c>
      <c r="R191" s="46" t="s">
        <v>1314</v>
      </c>
      <c r="S191" s="47" t="s">
        <v>1356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5">
      <c r="A192" s="43">
        <v>192</v>
      </c>
      <c r="B192" s="26" t="s">
        <v>829</v>
      </c>
      <c r="C192" s="25" t="s">
        <v>1400</v>
      </c>
      <c r="D192" s="62" t="s">
        <v>1361</v>
      </c>
      <c r="E192" s="63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1356</v>
      </c>
      <c r="R192" s="46" t="s">
        <v>1314</v>
      </c>
      <c r="S192" s="47" t="s">
        <v>1356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5">
      <c r="A193" s="43">
        <v>193</v>
      </c>
      <c r="B193" s="26" t="s">
        <v>830</v>
      </c>
      <c r="C193" s="25" t="s">
        <v>1400</v>
      </c>
      <c r="D193" s="62" t="s">
        <v>1361</v>
      </c>
      <c r="E193" s="63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1356</v>
      </c>
      <c r="R193" s="46" t="s">
        <v>1314</v>
      </c>
      <c r="S193" s="47" t="s">
        <v>1356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5">
      <c r="A194" s="43">
        <v>194</v>
      </c>
      <c r="B194" s="26" t="s">
        <v>831</v>
      </c>
      <c r="C194" s="25" t="s">
        <v>1400</v>
      </c>
      <c r="D194" s="62" t="s">
        <v>1361</v>
      </c>
      <c r="E194" s="63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1356</v>
      </c>
      <c r="R194" s="46" t="s">
        <v>1314</v>
      </c>
      <c r="S194" s="47" t="s">
        <v>1356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5">
      <c r="A195" s="43">
        <v>195</v>
      </c>
      <c r="B195" s="26" t="s">
        <v>832</v>
      </c>
      <c r="C195" s="25" t="s">
        <v>1400</v>
      </c>
      <c r="D195" s="62" t="s">
        <v>1361</v>
      </c>
      <c r="E195" s="63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1356</v>
      </c>
      <c r="R195" s="46" t="s">
        <v>1314</v>
      </c>
      <c r="S195" s="47" t="s">
        <v>1356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5">
      <c r="A196" s="43">
        <v>196</v>
      </c>
      <c r="B196" s="26" t="s">
        <v>833</v>
      </c>
      <c r="C196" s="25" t="s">
        <v>1400</v>
      </c>
      <c r="D196" s="62" t="s">
        <v>1361</v>
      </c>
      <c r="E196" s="63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1356</v>
      </c>
      <c r="R196" s="46" t="s">
        <v>1314</v>
      </c>
      <c r="S196" s="47" t="s">
        <v>1356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5">
      <c r="A197" s="43">
        <v>197</v>
      </c>
      <c r="B197" s="26" t="s">
        <v>834</v>
      </c>
      <c r="C197" s="25" t="s">
        <v>1400</v>
      </c>
      <c r="D197" s="62" t="s">
        <v>1361</v>
      </c>
      <c r="E197" s="63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1356</v>
      </c>
      <c r="R197" s="46" t="s">
        <v>1314</v>
      </c>
      <c r="S197" s="47" t="s">
        <v>1356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5">
      <c r="A198" s="43">
        <v>198</v>
      </c>
      <c r="B198" s="26" t="s">
        <v>835</v>
      </c>
      <c r="C198" s="25" t="s">
        <v>1400</v>
      </c>
      <c r="D198" s="62" t="s">
        <v>1361</v>
      </c>
      <c r="E198" s="63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1356</v>
      </c>
      <c r="R198" s="46" t="s">
        <v>1314</v>
      </c>
      <c r="S198" s="47" t="s">
        <v>1356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5">
      <c r="A199" s="43">
        <v>199</v>
      </c>
      <c r="B199" s="26" t="s">
        <v>836</v>
      </c>
      <c r="C199" s="25" t="s">
        <v>1400</v>
      </c>
      <c r="D199" s="62" t="s">
        <v>1361</v>
      </c>
      <c r="E199" s="63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1356</v>
      </c>
      <c r="R199" s="46" t="s">
        <v>1314</v>
      </c>
      <c r="S199" s="47" t="s">
        <v>1356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5">
      <c r="A200" s="43">
        <v>200</v>
      </c>
      <c r="B200" s="26" t="s">
        <v>837</v>
      </c>
      <c r="C200" s="25" t="s">
        <v>1400</v>
      </c>
      <c r="D200" s="62" t="s">
        <v>1361</v>
      </c>
      <c r="E200" s="63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1356</v>
      </c>
      <c r="R200" s="46" t="s">
        <v>1314</v>
      </c>
      <c r="S200" s="47" t="s">
        <v>1356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5">
      <c r="A201" s="43">
        <v>201</v>
      </c>
      <c r="B201" s="26" t="s">
        <v>838</v>
      </c>
      <c r="C201" s="25" t="s">
        <v>1401</v>
      </c>
      <c r="D201" s="62" t="s">
        <v>1361</v>
      </c>
      <c r="E201" s="63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1409</v>
      </c>
      <c r="N201" s="52" t="s">
        <v>1</v>
      </c>
      <c r="O201" s="28" t="s">
        <v>214</v>
      </c>
      <c r="P201" s="46" t="s">
        <v>1313</v>
      </c>
      <c r="Q201" s="47" t="s">
        <v>1356</v>
      </c>
      <c r="R201" s="46" t="s">
        <v>1314</v>
      </c>
      <c r="S201" s="47" t="s">
        <v>1356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5">
      <c r="A202" s="43">
        <v>202</v>
      </c>
      <c r="B202" s="26" t="s">
        <v>839</v>
      </c>
      <c r="C202" s="25" t="s">
        <v>1401</v>
      </c>
      <c r="D202" s="62" t="s">
        <v>1361</v>
      </c>
      <c r="E202" s="63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1409</v>
      </c>
      <c r="N202" s="52" t="s">
        <v>1</v>
      </c>
      <c r="O202" s="28" t="s">
        <v>215</v>
      </c>
      <c r="P202" s="46" t="s">
        <v>1313</v>
      </c>
      <c r="Q202" s="47" t="s">
        <v>1356</v>
      </c>
      <c r="R202" s="46" t="s">
        <v>1314</v>
      </c>
      <c r="S202" s="47" t="s">
        <v>1356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5">
      <c r="A203" s="43">
        <v>203</v>
      </c>
      <c r="B203" s="26" t="s">
        <v>840</v>
      </c>
      <c r="C203" s="25" t="s">
        <v>1401</v>
      </c>
      <c r="D203" s="62" t="s">
        <v>1361</v>
      </c>
      <c r="E203" s="63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1409</v>
      </c>
      <c r="N203" s="52" t="s">
        <v>1</v>
      </c>
      <c r="O203" s="28" t="s">
        <v>216</v>
      </c>
      <c r="P203" s="46" t="s">
        <v>1313</v>
      </c>
      <c r="Q203" s="47" t="s">
        <v>1356</v>
      </c>
      <c r="R203" s="46" t="s">
        <v>1314</v>
      </c>
      <c r="S203" s="47" t="s">
        <v>1356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5">
      <c r="A204" s="43">
        <v>204</v>
      </c>
      <c r="B204" s="26" t="s">
        <v>841</v>
      </c>
      <c r="C204" s="25" t="s">
        <v>1401</v>
      </c>
      <c r="D204" s="62" t="s">
        <v>1361</v>
      </c>
      <c r="E204" s="63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1409</v>
      </c>
      <c r="N204" s="52" t="s">
        <v>1</v>
      </c>
      <c r="O204" s="28" t="s">
        <v>217</v>
      </c>
      <c r="P204" s="46" t="s">
        <v>1313</v>
      </c>
      <c r="Q204" s="47" t="s">
        <v>1356</v>
      </c>
      <c r="R204" s="46" t="s">
        <v>1314</v>
      </c>
      <c r="S204" s="47" t="s">
        <v>1356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5">
      <c r="A205" s="43">
        <v>205</v>
      </c>
      <c r="B205" s="26" t="s">
        <v>842</v>
      </c>
      <c r="C205" s="25" t="s">
        <v>1401</v>
      </c>
      <c r="D205" s="62" t="s">
        <v>1361</v>
      </c>
      <c r="E205" s="63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1409</v>
      </c>
      <c r="N205" s="52" t="s">
        <v>1</v>
      </c>
      <c r="O205" s="28" t="s">
        <v>218</v>
      </c>
      <c r="P205" s="46" t="s">
        <v>1313</v>
      </c>
      <c r="Q205" s="47" t="s">
        <v>1356</v>
      </c>
      <c r="R205" s="46" t="s">
        <v>1314</v>
      </c>
      <c r="S205" s="47" t="s">
        <v>1356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5">
      <c r="A206" s="43">
        <v>206</v>
      </c>
      <c r="B206" s="26" t="s">
        <v>843</v>
      </c>
      <c r="C206" s="25" t="s">
        <v>1401</v>
      </c>
      <c r="D206" s="62" t="s">
        <v>1361</v>
      </c>
      <c r="E206" s="63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1409</v>
      </c>
      <c r="N206" s="52" t="s">
        <v>1</v>
      </c>
      <c r="O206" s="28" t="s">
        <v>219</v>
      </c>
      <c r="P206" s="46" t="s">
        <v>1313</v>
      </c>
      <c r="Q206" s="47" t="s">
        <v>1356</v>
      </c>
      <c r="R206" s="46" t="s">
        <v>1314</v>
      </c>
      <c r="S206" s="47" t="s">
        <v>1356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5">
      <c r="A207" s="43">
        <v>207</v>
      </c>
      <c r="B207" s="26" t="s">
        <v>844</v>
      </c>
      <c r="C207" s="25" t="s">
        <v>1401</v>
      </c>
      <c r="D207" s="62" t="s">
        <v>1361</v>
      </c>
      <c r="E207" s="63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1409</v>
      </c>
      <c r="N207" s="52" t="s">
        <v>1</v>
      </c>
      <c r="O207" s="28" t="s">
        <v>220</v>
      </c>
      <c r="P207" s="46" t="s">
        <v>1313</v>
      </c>
      <c r="Q207" s="47" t="s">
        <v>1356</v>
      </c>
      <c r="R207" s="46" t="s">
        <v>1314</v>
      </c>
      <c r="S207" s="47" t="s">
        <v>1356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5">
      <c r="A208" s="43">
        <v>208</v>
      </c>
      <c r="B208" s="26" t="s">
        <v>845</v>
      </c>
      <c r="C208" s="25" t="s">
        <v>1401</v>
      </c>
      <c r="D208" s="62" t="s">
        <v>1361</v>
      </c>
      <c r="E208" s="63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1409</v>
      </c>
      <c r="N208" s="52" t="s">
        <v>1</v>
      </c>
      <c r="O208" s="28" t="s">
        <v>221</v>
      </c>
      <c r="P208" s="46" t="s">
        <v>1313</v>
      </c>
      <c r="Q208" s="47" t="s">
        <v>1356</v>
      </c>
      <c r="R208" s="46" t="s">
        <v>1314</v>
      </c>
      <c r="S208" s="47" t="s">
        <v>1356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5">
      <c r="A209" s="43">
        <v>209</v>
      </c>
      <c r="B209" s="26" t="s">
        <v>846</v>
      </c>
      <c r="C209" s="25" t="s">
        <v>1401</v>
      </c>
      <c r="D209" s="62" t="s">
        <v>1361</v>
      </c>
      <c r="E209" s="63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1409</v>
      </c>
      <c r="N209" s="52" t="s">
        <v>1</v>
      </c>
      <c r="O209" s="28" t="s">
        <v>222</v>
      </c>
      <c r="P209" s="46" t="s">
        <v>1313</v>
      </c>
      <c r="Q209" s="47" t="s">
        <v>1356</v>
      </c>
      <c r="R209" s="46" t="s">
        <v>1314</v>
      </c>
      <c r="S209" s="47" t="s">
        <v>1356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5">
      <c r="A210" s="43">
        <v>210</v>
      </c>
      <c r="B210" s="26" t="s">
        <v>847</v>
      </c>
      <c r="C210" s="25" t="s">
        <v>1401</v>
      </c>
      <c r="D210" s="62" t="s">
        <v>1361</v>
      </c>
      <c r="E210" s="63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1409</v>
      </c>
      <c r="N210" s="52" t="s">
        <v>1</v>
      </c>
      <c r="O210" s="28" t="s">
        <v>223</v>
      </c>
      <c r="P210" s="46" t="s">
        <v>1313</v>
      </c>
      <c r="Q210" s="47" t="s">
        <v>1356</v>
      </c>
      <c r="R210" s="46" t="s">
        <v>1314</v>
      </c>
      <c r="S210" s="47" t="s">
        <v>1356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5">
      <c r="A211" s="43">
        <v>211</v>
      </c>
      <c r="B211" s="26" t="s">
        <v>848</v>
      </c>
      <c r="C211" s="25" t="s">
        <v>1401</v>
      </c>
      <c r="D211" s="62" t="s">
        <v>1361</v>
      </c>
      <c r="E211" s="63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1409</v>
      </c>
      <c r="N211" s="52" t="s">
        <v>1</v>
      </c>
      <c r="O211" s="28" t="s">
        <v>224</v>
      </c>
      <c r="P211" s="46" t="s">
        <v>1313</v>
      </c>
      <c r="Q211" s="47" t="s">
        <v>1356</v>
      </c>
      <c r="R211" s="46" t="s">
        <v>1314</v>
      </c>
      <c r="S211" s="47" t="s">
        <v>1356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5">
      <c r="A212" s="43">
        <v>212</v>
      </c>
      <c r="B212" s="26" t="s">
        <v>849</v>
      </c>
      <c r="C212" s="25" t="s">
        <v>1401</v>
      </c>
      <c r="D212" s="62" t="s">
        <v>1361</v>
      </c>
      <c r="E212" s="63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1409</v>
      </c>
      <c r="N212" s="52" t="s">
        <v>1</v>
      </c>
      <c r="O212" s="28" t="s">
        <v>225</v>
      </c>
      <c r="P212" s="46" t="s">
        <v>1313</v>
      </c>
      <c r="Q212" s="47" t="s">
        <v>1356</v>
      </c>
      <c r="R212" s="46" t="s">
        <v>1314</v>
      </c>
      <c r="S212" s="47" t="s">
        <v>1356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5">
      <c r="A213" s="43">
        <v>213</v>
      </c>
      <c r="B213" s="26" t="s">
        <v>850</v>
      </c>
      <c r="C213" s="25" t="s">
        <v>1401</v>
      </c>
      <c r="D213" s="62" t="s">
        <v>1361</v>
      </c>
      <c r="E213" s="63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1409</v>
      </c>
      <c r="N213" s="52" t="s">
        <v>1</v>
      </c>
      <c r="O213" s="28" t="s">
        <v>226</v>
      </c>
      <c r="P213" s="46" t="s">
        <v>1313</v>
      </c>
      <c r="Q213" s="47" t="s">
        <v>1356</v>
      </c>
      <c r="R213" s="46" t="s">
        <v>1314</v>
      </c>
      <c r="S213" s="47" t="s">
        <v>1356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5">
      <c r="A214" s="43">
        <v>214</v>
      </c>
      <c r="B214" s="26" t="s">
        <v>851</v>
      </c>
      <c r="C214" s="25" t="s">
        <v>1402</v>
      </c>
      <c r="D214" s="62" t="s">
        <v>1361</v>
      </c>
      <c r="E214" s="63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1410</v>
      </c>
      <c r="N214" s="52" t="s">
        <v>1</v>
      </c>
      <c r="O214" s="28" t="s">
        <v>227</v>
      </c>
      <c r="P214" s="46" t="s">
        <v>1313</v>
      </c>
      <c r="Q214" s="47" t="s">
        <v>1356</v>
      </c>
      <c r="R214" s="46" t="s">
        <v>1314</v>
      </c>
      <c r="S214" s="47" t="s">
        <v>1356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5">
      <c r="A215" s="43">
        <v>215</v>
      </c>
      <c r="B215" s="26" t="s">
        <v>852</v>
      </c>
      <c r="C215" s="25" t="s">
        <v>1402</v>
      </c>
      <c r="D215" s="62" t="s">
        <v>1361</v>
      </c>
      <c r="E215" s="63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1410</v>
      </c>
      <c r="N215" s="52" t="s">
        <v>1</v>
      </c>
      <c r="O215" s="28" t="s">
        <v>228</v>
      </c>
      <c r="P215" s="46" t="s">
        <v>1313</v>
      </c>
      <c r="Q215" s="47" t="s">
        <v>1356</v>
      </c>
      <c r="R215" s="46" t="s">
        <v>1314</v>
      </c>
      <c r="S215" s="47" t="s">
        <v>1356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5">
      <c r="A216" s="43">
        <v>216</v>
      </c>
      <c r="B216" s="26" t="s">
        <v>853</v>
      </c>
      <c r="C216" s="25" t="s">
        <v>1402</v>
      </c>
      <c r="D216" s="62" t="s">
        <v>1361</v>
      </c>
      <c r="E216" s="63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1410</v>
      </c>
      <c r="N216" s="52" t="s">
        <v>1</v>
      </c>
      <c r="O216" s="28" t="s">
        <v>229</v>
      </c>
      <c r="P216" s="46" t="s">
        <v>1313</v>
      </c>
      <c r="Q216" s="47" t="s">
        <v>1356</v>
      </c>
      <c r="R216" s="46" t="s">
        <v>1314</v>
      </c>
      <c r="S216" s="47" t="s">
        <v>1356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5">
      <c r="A217" s="43">
        <v>217</v>
      </c>
      <c r="B217" s="26" t="s">
        <v>854</v>
      </c>
      <c r="C217" s="25" t="s">
        <v>1402</v>
      </c>
      <c r="D217" s="62" t="s">
        <v>1361</v>
      </c>
      <c r="E217" s="63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1410</v>
      </c>
      <c r="N217" s="52" t="s">
        <v>1</v>
      </c>
      <c r="O217" s="28" t="s">
        <v>230</v>
      </c>
      <c r="P217" s="46" t="s">
        <v>1313</v>
      </c>
      <c r="Q217" s="47" t="s">
        <v>1356</v>
      </c>
      <c r="R217" s="46" t="s">
        <v>1314</v>
      </c>
      <c r="S217" s="47" t="s">
        <v>1356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5">
      <c r="A218" s="43">
        <v>218</v>
      </c>
      <c r="B218" s="26" t="s">
        <v>855</v>
      </c>
      <c r="C218" s="25" t="s">
        <v>1402</v>
      </c>
      <c r="D218" s="62" t="s">
        <v>1361</v>
      </c>
      <c r="E218" s="63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1410</v>
      </c>
      <c r="N218" s="52" t="s">
        <v>1</v>
      </c>
      <c r="O218" s="28" t="s">
        <v>231</v>
      </c>
      <c r="P218" s="46" t="s">
        <v>1313</v>
      </c>
      <c r="Q218" s="47" t="s">
        <v>1356</v>
      </c>
      <c r="R218" s="46" t="s">
        <v>1314</v>
      </c>
      <c r="S218" s="47" t="s">
        <v>1356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5">
      <c r="A219" s="43">
        <v>219</v>
      </c>
      <c r="B219" s="26" t="s">
        <v>856</v>
      </c>
      <c r="C219" s="25" t="s">
        <v>1402</v>
      </c>
      <c r="D219" s="62" t="s">
        <v>1361</v>
      </c>
      <c r="E219" s="63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1410</v>
      </c>
      <c r="N219" s="52" t="s">
        <v>1</v>
      </c>
      <c r="O219" s="28" t="s">
        <v>232</v>
      </c>
      <c r="P219" s="46" t="s">
        <v>1313</v>
      </c>
      <c r="Q219" s="47" t="s">
        <v>1356</v>
      </c>
      <c r="R219" s="46" t="s">
        <v>1314</v>
      </c>
      <c r="S219" s="47" t="s">
        <v>1356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5">
      <c r="A220" s="43">
        <v>220</v>
      </c>
      <c r="B220" s="26" t="s">
        <v>857</v>
      </c>
      <c r="C220" s="25" t="s">
        <v>1402</v>
      </c>
      <c r="D220" s="62" t="s">
        <v>1361</v>
      </c>
      <c r="E220" s="63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1410</v>
      </c>
      <c r="N220" s="52" t="s">
        <v>1</v>
      </c>
      <c r="O220" s="28" t="s">
        <v>233</v>
      </c>
      <c r="P220" s="46" t="s">
        <v>1313</v>
      </c>
      <c r="Q220" s="47" t="s">
        <v>1356</v>
      </c>
      <c r="R220" s="46" t="s">
        <v>1314</v>
      </c>
      <c r="S220" s="47" t="s">
        <v>1356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5">
      <c r="A221" s="43">
        <v>221</v>
      </c>
      <c r="B221" s="26" t="s">
        <v>858</v>
      </c>
      <c r="C221" s="25" t="s">
        <v>1402</v>
      </c>
      <c r="D221" s="62" t="s">
        <v>1361</v>
      </c>
      <c r="E221" s="63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1410</v>
      </c>
      <c r="N221" s="52" t="s">
        <v>1</v>
      </c>
      <c r="O221" s="28" t="s">
        <v>234</v>
      </c>
      <c r="P221" s="46" t="s">
        <v>1313</v>
      </c>
      <c r="Q221" s="47" t="s">
        <v>1356</v>
      </c>
      <c r="R221" s="46" t="s">
        <v>1314</v>
      </c>
      <c r="S221" s="47" t="s">
        <v>1356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5">
      <c r="A222" s="43">
        <v>222</v>
      </c>
      <c r="B222" s="26" t="s">
        <v>859</v>
      </c>
      <c r="C222" s="25" t="s">
        <v>1402</v>
      </c>
      <c r="D222" s="62" t="s">
        <v>1361</v>
      </c>
      <c r="E222" s="63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1410</v>
      </c>
      <c r="N222" s="52" t="s">
        <v>1</v>
      </c>
      <c r="O222" s="28" t="s">
        <v>235</v>
      </c>
      <c r="P222" s="46" t="s">
        <v>1313</v>
      </c>
      <c r="Q222" s="47" t="s">
        <v>1356</v>
      </c>
      <c r="R222" s="46" t="s">
        <v>1314</v>
      </c>
      <c r="S222" s="47" t="s">
        <v>1356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5">
      <c r="A223" s="43">
        <v>223</v>
      </c>
      <c r="B223" s="26" t="s">
        <v>860</v>
      </c>
      <c r="C223" s="25" t="s">
        <v>1402</v>
      </c>
      <c r="D223" s="62" t="s">
        <v>1361</v>
      </c>
      <c r="E223" s="63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1410</v>
      </c>
      <c r="N223" s="52" t="s">
        <v>1</v>
      </c>
      <c r="O223" s="28" t="s">
        <v>236</v>
      </c>
      <c r="P223" s="46" t="s">
        <v>1313</v>
      </c>
      <c r="Q223" s="47" t="s">
        <v>1356</v>
      </c>
      <c r="R223" s="46" t="s">
        <v>1314</v>
      </c>
      <c r="S223" s="47" t="s">
        <v>1356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5">
      <c r="A224" s="43">
        <v>224</v>
      </c>
      <c r="B224" s="26" t="s">
        <v>861</v>
      </c>
      <c r="C224" s="25" t="s">
        <v>1403</v>
      </c>
      <c r="D224" s="62" t="s">
        <v>1361</v>
      </c>
      <c r="E224" s="63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1352</v>
      </c>
      <c r="N224" s="52" t="s">
        <v>1</v>
      </c>
      <c r="O224" s="28" t="s">
        <v>237</v>
      </c>
      <c r="P224" s="46" t="s">
        <v>1313</v>
      </c>
      <c r="Q224" s="47" t="s">
        <v>1356</v>
      </c>
      <c r="R224" s="46" t="s">
        <v>1314</v>
      </c>
      <c r="S224" s="47" t="s">
        <v>1356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5">
      <c r="A225" s="43">
        <v>225</v>
      </c>
      <c r="B225" s="26" t="s">
        <v>862</v>
      </c>
      <c r="C225" s="25" t="s">
        <v>1403</v>
      </c>
      <c r="D225" s="62" t="s">
        <v>1361</v>
      </c>
      <c r="E225" s="63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1352</v>
      </c>
      <c r="N225" s="52" t="s">
        <v>1</v>
      </c>
      <c r="O225" s="28" t="s">
        <v>238</v>
      </c>
      <c r="P225" s="46" t="s">
        <v>1313</v>
      </c>
      <c r="Q225" s="47" t="s">
        <v>1356</v>
      </c>
      <c r="R225" s="46" t="s">
        <v>1314</v>
      </c>
      <c r="S225" s="47" t="s">
        <v>1356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5">
      <c r="A226" s="43">
        <v>226</v>
      </c>
      <c r="B226" s="26" t="s">
        <v>863</v>
      </c>
      <c r="C226" s="25" t="s">
        <v>1403</v>
      </c>
      <c r="D226" s="62" t="s">
        <v>1361</v>
      </c>
      <c r="E226" s="63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1352</v>
      </c>
      <c r="N226" s="52" t="s">
        <v>1</v>
      </c>
      <c r="O226" s="28" t="s">
        <v>239</v>
      </c>
      <c r="P226" s="46" t="s">
        <v>1313</v>
      </c>
      <c r="Q226" s="47" t="s">
        <v>1356</v>
      </c>
      <c r="R226" s="46" t="s">
        <v>1314</v>
      </c>
      <c r="S226" s="47" t="s">
        <v>1356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5">
      <c r="A227" s="43">
        <v>227</v>
      </c>
      <c r="B227" s="26" t="s">
        <v>864</v>
      </c>
      <c r="C227" s="25" t="s">
        <v>1403</v>
      </c>
      <c r="D227" s="62" t="s">
        <v>1361</v>
      </c>
      <c r="E227" s="63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1352</v>
      </c>
      <c r="N227" s="52" t="s">
        <v>1</v>
      </c>
      <c r="O227" s="28" t="s">
        <v>240</v>
      </c>
      <c r="P227" s="46" t="s">
        <v>1313</v>
      </c>
      <c r="Q227" s="47" t="s">
        <v>1356</v>
      </c>
      <c r="R227" s="46" t="s">
        <v>1314</v>
      </c>
      <c r="S227" s="47" t="s">
        <v>1356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5">
      <c r="A228" s="43">
        <v>228</v>
      </c>
      <c r="B228" s="26" t="s">
        <v>865</v>
      </c>
      <c r="C228" s="25" t="s">
        <v>1403</v>
      </c>
      <c r="D228" s="62" t="s">
        <v>1361</v>
      </c>
      <c r="E228" s="63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1352</v>
      </c>
      <c r="N228" s="52" t="s">
        <v>1</v>
      </c>
      <c r="O228" s="28" t="s">
        <v>241</v>
      </c>
      <c r="P228" s="46" t="s">
        <v>1313</v>
      </c>
      <c r="Q228" s="47" t="s">
        <v>1356</v>
      </c>
      <c r="R228" s="46" t="s">
        <v>1314</v>
      </c>
      <c r="S228" s="47" t="s">
        <v>1356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5">
      <c r="A229" s="43">
        <v>229</v>
      </c>
      <c r="B229" s="26" t="s">
        <v>866</v>
      </c>
      <c r="C229" s="25" t="s">
        <v>1403</v>
      </c>
      <c r="D229" s="62" t="s">
        <v>1361</v>
      </c>
      <c r="E229" s="63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1352</v>
      </c>
      <c r="N229" s="52" t="s">
        <v>1</v>
      </c>
      <c r="O229" s="28" t="s">
        <v>242</v>
      </c>
      <c r="P229" s="46" t="s">
        <v>1313</v>
      </c>
      <c r="Q229" s="47" t="s">
        <v>1356</v>
      </c>
      <c r="R229" s="46" t="s">
        <v>1314</v>
      </c>
      <c r="S229" s="47" t="s">
        <v>1356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5">
      <c r="A230" s="43">
        <v>230</v>
      </c>
      <c r="B230" s="26" t="s">
        <v>867</v>
      </c>
      <c r="C230" s="25" t="s">
        <v>1403</v>
      </c>
      <c r="D230" s="62" t="s">
        <v>1361</v>
      </c>
      <c r="E230" s="63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1352</v>
      </c>
      <c r="N230" s="52" t="s">
        <v>1</v>
      </c>
      <c r="O230" s="28" t="s">
        <v>243</v>
      </c>
      <c r="P230" s="46" t="s">
        <v>1313</v>
      </c>
      <c r="Q230" s="47" t="s">
        <v>1356</v>
      </c>
      <c r="R230" s="46" t="s">
        <v>1314</v>
      </c>
      <c r="S230" s="47" t="s">
        <v>1356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5">
      <c r="A231" s="43">
        <v>231</v>
      </c>
      <c r="B231" s="26" t="s">
        <v>868</v>
      </c>
      <c r="C231" s="25" t="s">
        <v>1403</v>
      </c>
      <c r="D231" s="62" t="s">
        <v>1361</v>
      </c>
      <c r="E231" s="63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1352</v>
      </c>
      <c r="N231" s="52" t="s">
        <v>1</v>
      </c>
      <c r="O231" s="28" t="s">
        <v>244</v>
      </c>
      <c r="P231" s="46" t="s">
        <v>1313</v>
      </c>
      <c r="Q231" s="47" t="s">
        <v>1356</v>
      </c>
      <c r="R231" s="46" t="s">
        <v>1314</v>
      </c>
      <c r="S231" s="47" t="s">
        <v>1356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5">
      <c r="A232" s="43">
        <v>232</v>
      </c>
      <c r="B232" s="26" t="s">
        <v>869</v>
      </c>
      <c r="C232" s="25" t="s">
        <v>1403</v>
      </c>
      <c r="D232" s="62" t="s">
        <v>1361</v>
      </c>
      <c r="E232" s="63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1352</v>
      </c>
      <c r="N232" s="52" t="s">
        <v>1</v>
      </c>
      <c r="O232" s="28" t="s">
        <v>245</v>
      </c>
      <c r="P232" s="46" t="s">
        <v>1313</v>
      </c>
      <c r="Q232" s="47" t="s">
        <v>1356</v>
      </c>
      <c r="R232" s="46" t="s">
        <v>1314</v>
      </c>
      <c r="S232" s="47" t="s">
        <v>1356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5">
      <c r="A233" s="43">
        <v>233</v>
      </c>
      <c r="B233" s="26" t="s">
        <v>870</v>
      </c>
      <c r="C233" s="25" t="s">
        <v>1403</v>
      </c>
      <c r="D233" s="62" t="s">
        <v>1361</v>
      </c>
      <c r="E233" s="63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1352</v>
      </c>
      <c r="N233" s="52" t="s">
        <v>1</v>
      </c>
      <c r="O233" s="28" t="s">
        <v>246</v>
      </c>
      <c r="P233" s="46" t="s">
        <v>1313</v>
      </c>
      <c r="Q233" s="47" t="s">
        <v>1356</v>
      </c>
      <c r="R233" s="46" t="s">
        <v>1314</v>
      </c>
      <c r="S233" s="47" t="s">
        <v>1356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5">
      <c r="A234" s="43">
        <v>234</v>
      </c>
      <c r="B234" s="26" t="s">
        <v>871</v>
      </c>
      <c r="C234" s="25" t="s">
        <v>1403</v>
      </c>
      <c r="D234" s="62" t="s">
        <v>1361</v>
      </c>
      <c r="E234" s="63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1352</v>
      </c>
      <c r="N234" s="52" t="s">
        <v>1</v>
      </c>
      <c r="O234" s="28" t="s">
        <v>247</v>
      </c>
      <c r="P234" s="46" t="s">
        <v>1313</v>
      </c>
      <c r="Q234" s="47" t="s">
        <v>1356</v>
      </c>
      <c r="R234" s="46" t="s">
        <v>1314</v>
      </c>
      <c r="S234" s="47" t="s">
        <v>1356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5">
      <c r="A235" s="43">
        <v>235</v>
      </c>
      <c r="B235" s="26" t="s">
        <v>872</v>
      </c>
      <c r="C235" s="25" t="s">
        <v>1403</v>
      </c>
      <c r="D235" s="62" t="s">
        <v>1361</v>
      </c>
      <c r="E235" s="63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1352</v>
      </c>
      <c r="N235" s="52" t="s">
        <v>1</v>
      </c>
      <c r="O235" s="28" t="s">
        <v>248</v>
      </c>
      <c r="P235" s="46" t="s">
        <v>1313</v>
      </c>
      <c r="Q235" s="47" t="s">
        <v>1356</v>
      </c>
      <c r="R235" s="46" t="s">
        <v>1314</v>
      </c>
      <c r="S235" s="47" t="s">
        <v>1356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5">
      <c r="A236" s="43">
        <v>236</v>
      </c>
      <c r="B236" s="26" t="s">
        <v>873</v>
      </c>
      <c r="C236" s="25" t="s">
        <v>1403</v>
      </c>
      <c r="D236" s="62" t="s">
        <v>1361</v>
      </c>
      <c r="E236" s="63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1352</v>
      </c>
      <c r="N236" s="52" t="s">
        <v>1</v>
      </c>
      <c r="O236" s="28" t="s">
        <v>249</v>
      </c>
      <c r="P236" s="46" t="s">
        <v>1313</v>
      </c>
      <c r="Q236" s="47" t="s">
        <v>1356</v>
      </c>
      <c r="R236" s="46" t="s">
        <v>1314</v>
      </c>
      <c r="S236" s="47" t="s">
        <v>1356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5">
      <c r="A237" s="43">
        <v>237</v>
      </c>
      <c r="B237" s="26" t="s">
        <v>874</v>
      </c>
      <c r="C237" s="25" t="s">
        <v>1403</v>
      </c>
      <c r="D237" s="62" t="s">
        <v>1361</v>
      </c>
      <c r="E237" s="63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1352</v>
      </c>
      <c r="N237" s="52" t="s">
        <v>1</v>
      </c>
      <c r="O237" s="28" t="s">
        <v>250</v>
      </c>
      <c r="P237" s="46" t="s">
        <v>1313</v>
      </c>
      <c r="Q237" s="47" t="s">
        <v>1356</v>
      </c>
      <c r="R237" s="46" t="s">
        <v>1314</v>
      </c>
      <c r="S237" s="47" t="s">
        <v>1356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5">
      <c r="A238" s="43">
        <v>238</v>
      </c>
      <c r="B238" s="26" t="s">
        <v>875</v>
      </c>
      <c r="C238" s="25" t="s">
        <v>1403</v>
      </c>
      <c r="D238" s="62" t="s">
        <v>1361</v>
      </c>
      <c r="E238" s="63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1352</v>
      </c>
      <c r="N238" s="52" t="s">
        <v>1</v>
      </c>
      <c r="O238" s="28" t="s">
        <v>251</v>
      </c>
      <c r="P238" s="46" t="s">
        <v>1313</v>
      </c>
      <c r="Q238" s="47" t="s">
        <v>1356</v>
      </c>
      <c r="R238" s="46" t="s">
        <v>1314</v>
      </c>
      <c r="S238" s="47" t="s">
        <v>1356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5">
      <c r="A239" s="43">
        <v>239</v>
      </c>
      <c r="B239" s="26" t="s">
        <v>876</v>
      </c>
      <c r="C239" s="25" t="s">
        <v>1403</v>
      </c>
      <c r="D239" s="62" t="s">
        <v>1361</v>
      </c>
      <c r="E239" s="63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1352</v>
      </c>
      <c r="N239" s="52" t="s">
        <v>1</v>
      </c>
      <c r="O239" s="28" t="s">
        <v>252</v>
      </c>
      <c r="P239" s="46" t="s">
        <v>1313</v>
      </c>
      <c r="Q239" s="47" t="s">
        <v>1356</v>
      </c>
      <c r="R239" s="46" t="s">
        <v>1314</v>
      </c>
      <c r="S239" s="47" t="s">
        <v>1356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5">
      <c r="A240" s="43">
        <v>240</v>
      </c>
      <c r="B240" s="26" t="s">
        <v>877</v>
      </c>
      <c r="C240" s="25" t="s">
        <v>1403</v>
      </c>
      <c r="D240" s="62" t="s">
        <v>1361</v>
      </c>
      <c r="E240" s="63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1352</v>
      </c>
      <c r="N240" s="52" t="s">
        <v>1</v>
      </c>
      <c r="O240" s="28" t="s">
        <v>253</v>
      </c>
      <c r="P240" s="46" t="s">
        <v>1313</v>
      </c>
      <c r="Q240" s="47" t="s">
        <v>1356</v>
      </c>
      <c r="R240" s="46" t="s">
        <v>1314</v>
      </c>
      <c r="S240" s="47" t="s">
        <v>1356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5">
      <c r="A241" s="43">
        <v>241</v>
      </c>
      <c r="B241" s="26" t="s">
        <v>878</v>
      </c>
      <c r="C241" s="25" t="s">
        <v>1397</v>
      </c>
      <c r="D241" s="62" t="s">
        <v>1361</v>
      </c>
      <c r="E241" s="63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1411</v>
      </c>
      <c r="N241" s="52" t="s">
        <v>1</v>
      </c>
      <c r="O241" s="27" t="s">
        <v>254</v>
      </c>
      <c r="P241" s="46" t="s">
        <v>1313</v>
      </c>
      <c r="Q241" s="47" t="s">
        <v>1356</v>
      </c>
      <c r="R241" s="46" t="s">
        <v>1314</v>
      </c>
      <c r="S241" s="47" t="s">
        <v>1356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5">
      <c r="A242" s="43">
        <v>242</v>
      </c>
      <c r="B242" s="26" t="s">
        <v>879</v>
      </c>
      <c r="C242" s="25" t="s">
        <v>1397</v>
      </c>
      <c r="D242" s="62" t="s">
        <v>1361</v>
      </c>
      <c r="E242" s="63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1411</v>
      </c>
      <c r="N242" s="52" t="s">
        <v>1</v>
      </c>
      <c r="O242" s="28" t="s">
        <v>255</v>
      </c>
      <c r="P242" s="46" t="s">
        <v>1313</v>
      </c>
      <c r="Q242" s="47" t="s">
        <v>1356</v>
      </c>
      <c r="R242" s="46" t="s">
        <v>1314</v>
      </c>
      <c r="S242" s="47" t="s">
        <v>1356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5">
      <c r="A243" s="43">
        <v>243</v>
      </c>
      <c r="B243" s="26" t="s">
        <v>880</v>
      </c>
      <c r="C243" s="25" t="s">
        <v>1397</v>
      </c>
      <c r="D243" s="62" t="s">
        <v>1361</v>
      </c>
      <c r="E243" s="63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1411</v>
      </c>
      <c r="N243" s="52" t="s">
        <v>1</v>
      </c>
      <c r="O243" s="28" t="s">
        <v>256</v>
      </c>
      <c r="P243" s="46" t="s">
        <v>1313</v>
      </c>
      <c r="Q243" s="47" t="s">
        <v>1356</v>
      </c>
      <c r="R243" s="46" t="s">
        <v>1314</v>
      </c>
      <c r="S243" s="47" t="s">
        <v>1356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5">
      <c r="A244" s="43">
        <v>244</v>
      </c>
      <c r="B244" s="26" t="s">
        <v>881</v>
      </c>
      <c r="C244" s="25" t="s">
        <v>1397</v>
      </c>
      <c r="D244" s="62" t="s">
        <v>1361</v>
      </c>
      <c r="E244" s="63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1411</v>
      </c>
      <c r="N244" s="52" t="s">
        <v>1</v>
      </c>
      <c r="O244" s="28" t="s">
        <v>257</v>
      </c>
      <c r="P244" s="46" t="s">
        <v>1313</v>
      </c>
      <c r="Q244" s="47" t="s">
        <v>1356</v>
      </c>
      <c r="R244" s="46" t="s">
        <v>1314</v>
      </c>
      <c r="S244" s="47" t="s">
        <v>1356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5">
      <c r="A245" s="43">
        <v>245</v>
      </c>
      <c r="B245" s="26" t="s">
        <v>882</v>
      </c>
      <c r="C245" s="25" t="s">
        <v>1397</v>
      </c>
      <c r="D245" s="62" t="s">
        <v>1361</v>
      </c>
      <c r="E245" s="63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1411</v>
      </c>
      <c r="N245" s="52" t="s">
        <v>1</v>
      </c>
      <c r="O245" s="28" t="s">
        <v>258</v>
      </c>
      <c r="P245" s="46" t="s">
        <v>1313</v>
      </c>
      <c r="Q245" s="47" t="s">
        <v>1356</v>
      </c>
      <c r="R245" s="46" t="s">
        <v>1314</v>
      </c>
      <c r="S245" s="47" t="s">
        <v>1356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5">
      <c r="A246" s="43">
        <v>246</v>
      </c>
      <c r="B246" s="26" t="s">
        <v>883</v>
      </c>
      <c r="C246" s="25" t="s">
        <v>1397</v>
      </c>
      <c r="D246" s="62" t="s">
        <v>1361</v>
      </c>
      <c r="E246" s="63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1411</v>
      </c>
      <c r="N246" s="52" t="s">
        <v>1</v>
      </c>
      <c r="O246" s="28" t="s">
        <v>259</v>
      </c>
      <c r="P246" s="46" t="s">
        <v>1313</v>
      </c>
      <c r="Q246" s="47" t="s">
        <v>1356</v>
      </c>
      <c r="R246" s="46" t="s">
        <v>1314</v>
      </c>
      <c r="S246" s="47" t="s">
        <v>1356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5">
      <c r="A247" s="43">
        <v>247</v>
      </c>
      <c r="B247" s="26" t="s">
        <v>884</v>
      </c>
      <c r="C247" s="25" t="s">
        <v>1397</v>
      </c>
      <c r="D247" s="62" t="s">
        <v>1361</v>
      </c>
      <c r="E247" s="63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1411</v>
      </c>
      <c r="N247" s="52" t="s">
        <v>1</v>
      </c>
      <c r="O247" s="28" t="s">
        <v>260</v>
      </c>
      <c r="P247" s="46" t="s">
        <v>1313</v>
      </c>
      <c r="Q247" s="47" t="s">
        <v>1356</v>
      </c>
      <c r="R247" s="46" t="s">
        <v>1314</v>
      </c>
      <c r="S247" s="47" t="s">
        <v>1356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5">
      <c r="A248" s="43">
        <v>248</v>
      </c>
      <c r="B248" s="26" t="s">
        <v>885</v>
      </c>
      <c r="C248" s="25" t="s">
        <v>1397</v>
      </c>
      <c r="D248" s="62" t="s">
        <v>1361</v>
      </c>
      <c r="E248" s="63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1411</v>
      </c>
      <c r="N248" s="52" t="s">
        <v>1</v>
      </c>
      <c r="O248" s="28" t="s">
        <v>261</v>
      </c>
      <c r="P248" s="46" t="s">
        <v>1313</v>
      </c>
      <c r="Q248" s="47" t="s">
        <v>1356</v>
      </c>
      <c r="R248" s="46" t="s">
        <v>1314</v>
      </c>
      <c r="S248" s="47" t="s">
        <v>1356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5">
      <c r="A249" s="43">
        <v>249</v>
      </c>
      <c r="B249" s="26" t="s">
        <v>886</v>
      </c>
      <c r="C249" s="25" t="s">
        <v>1397</v>
      </c>
      <c r="D249" s="62" t="s">
        <v>1361</v>
      </c>
      <c r="E249" s="63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1411</v>
      </c>
      <c r="N249" s="52" t="s">
        <v>1</v>
      </c>
      <c r="O249" s="28" t="s">
        <v>262</v>
      </c>
      <c r="P249" s="46" t="s">
        <v>1313</v>
      </c>
      <c r="Q249" s="47" t="s">
        <v>1356</v>
      </c>
      <c r="R249" s="46" t="s">
        <v>1314</v>
      </c>
      <c r="S249" s="47" t="s">
        <v>1356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5">
      <c r="A250" s="43">
        <v>250</v>
      </c>
      <c r="B250" s="26" t="s">
        <v>887</v>
      </c>
      <c r="C250" s="25" t="s">
        <v>1397</v>
      </c>
      <c r="D250" s="62" t="s">
        <v>1361</v>
      </c>
      <c r="E250" s="63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1411</v>
      </c>
      <c r="N250" s="52" t="s">
        <v>1</v>
      </c>
      <c r="O250" s="28" t="s">
        <v>263</v>
      </c>
      <c r="P250" s="46" t="s">
        <v>1313</v>
      </c>
      <c r="Q250" s="47" t="s">
        <v>1356</v>
      </c>
      <c r="R250" s="46" t="s">
        <v>1314</v>
      </c>
      <c r="S250" s="47" t="s">
        <v>1356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5">
      <c r="A251" s="43">
        <v>251</v>
      </c>
      <c r="B251" s="26" t="s">
        <v>888</v>
      </c>
      <c r="C251" s="25" t="s">
        <v>1397</v>
      </c>
      <c r="D251" s="62" t="s">
        <v>1361</v>
      </c>
      <c r="E251" s="63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1411</v>
      </c>
      <c r="N251" s="52" t="s">
        <v>1</v>
      </c>
      <c r="O251" s="28" t="s">
        <v>264</v>
      </c>
      <c r="P251" s="46" t="s">
        <v>1313</v>
      </c>
      <c r="Q251" s="47" t="s">
        <v>1356</v>
      </c>
      <c r="R251" s="46" t="s">
        <v>1314</v>
      </c>
      <c r="S251" s="47" t="s">
        <v>1356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5">
      <c r="A252" s="43">
        <v>252</v>
      </c>
      <c r="B252" s="26" t="s">
        <v>889</v>
      </c>
      <c r="C252" s="25" t="s">
        <v>1397</v>
      </c>
      <c r="D252" s="62" t="s">
        <v>1361</v>
      </c>
      <c r="E252" s="63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1411</v>
      </c>
      <c r="N252" s="52" t="s">
        <v>1</v>
      </c>
      <c r="O252" s="28" t="s">
        <v>265</v>
      </c>
      <c r="P252" s="46" t="s">
        <v>1313</v>
      </c>
      <c r="Q252" s="47" t="s">
        <v>1356</v>
      </c>
      <c r="R252" s="46" t="s">
        <v>1314</v>
      </c>
      <c r="S252" s="47" t="s">
        <v>1356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5">
      <c r="A253" s="43">
        <v>253</v>
      </c>
      <c r="B253" s="26" t="s">
        <v>890</v>
      </c>
      <c r="C253" s="25" t="s">
        <v>1397</v>
      </c>
      <c r="D253" s="62" t="s">
        <v>1361</v>
      </c>
      <c r="E253" s="63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1411</v>
      </c>
      <c r="N253" s="52" t="s">
        <v>1</v>
      </c>
      <c r="O253" s="28" t="s">
        <v>266</v>
      </c>
      <c r="P253" s="46" t="s">
        <v>1313</v>
      </c>
      <c r="Q253" s="47" t="s">
        <v>1356</v>
      </c>
      <c r="R253" s="46" t="s">
        <v>1314</v>
      </c>
      <c r="S253" s="47" t="s">
        <v>1356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5">
      <c r="A254" s="43">
        <v>254</v>
      </c>
      <c r="B254" s="26" t="s">
        <v>891</v>
      </c>
      <c r="C254" s="25" t="s">
        <v>1397</v>
      </c>
      <c r="D254" s="62" t="s">
        <v>1361</v>
      </c>
      <c r="E254" s="63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1411</v>
      </c>
      <c r="N254" s="52" t="s">
        <v>1</v>
      </c>
      <c r="O254" s="28" t="s">
        <v>267</v>
      </c>
      <c r="P254" s="46" t="s">
        <v>1313</v>
      </c>
      <c r="Q254" s="47" t="s">
        <v>1356</v>
      </c>
      <c r="R254" s="46" t="s">
        <v>1314</v>
      </c>
      <c r="S254" s="47" t="s">
        <v>1356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5">
      <c r="A255" s="43">
        <v>255</v>
      </c>
      <c r="B255" s="26" t="s">
        <v>892</v>
      </c>
      <c r="C255" s="25" t="s">
        <v>1397</v>
      </c>
      <c r="D255" s="62" t="s">
        <v>1361</v>
      </c>
      <c r="E255" s="63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1411</v>
      </c>
      <c r="N255" s="52" t="s">
        <v>1</v>
      </c>
      <c r="O255" s="28" t="s">
        <v>268</v>
      </c>
      <c r="P255" s="46" t="s">
        <v>1313</v>
      </c>
      <c r="Q255" s="47" t="s">
        <v>1356</v>
      </c>
      <c r="R255" s="46" t="s">
        <v>1314</v>
      </c>
      <c r="S255" s="47" t="s">
        <v>1356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5">
      <c r="A256" s="43">
        <v>256</v>
      </c>
      <c r="B256" s="26" t="s">
        <v>893</v>
      </c>
      <c r="C256" s="25" t="s">
        <v>1413</v>
      </c>
      <c r="D256" s="62" t="s">
        <v>1361</v>
      </c>
      <c r="E256" s="63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1412</v>
      </c>
      <c r="N256" s="52" t="s">
        <v>1</v>
      </c>
      <c r="O256" s="27" t="s">
        <v>269</v>
      </c>
      <c r="P256" s="46" t="s">
        <v>1313</v>
      </c>
      <c r="Q256" s="47" t="s">
        <v>1356</v>
      </c>
      <c r="R256" s="46" t="s">
        <v>1314</v>
      </c>
      <c r="S256" s="47" t="s">
        <v>1356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5">
      <c r="A257" s="43">
        <v>257</v>
      </c>
      <c r="B257" s="26" t="s">
        <v>894</v>
      </c>
      <c r="C257" s="25" t="s">
        <v>1413</v>
      </c>
      <c r="D257" s="62" t="s">
        <v>1361</v>
      </c>
      <c r="E257" s="63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1412</v>
      </c>
      <c r="N257" s="52" t="s">
        <v>1</v>
      </c>
      <c r="O257" s="28" t="s">
        <v>270</v>
      </c>
      <c r="P257" s="46" t="s">
        <v>1313</v>
      </c>
      <c r="Q257" s="47" t="s">
        <v>1356</v>
      </c>
      <c r="R257" s="46" t="s">
        <v>1314</v>
      </c>
      <c r="S257" s="47" t="s">
        <v>1356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5">
      <c r="A258" s="43">
        <v>258</v>
      </c>
      <c r="B258" s="26" t="s">
        <v>895</v>
      </c>
      <c r="C258" s="25" t="s">
        <v>1413</v>
      </c>
      <c r="D258" s="62" t="s">
        <v>1361</v>
      </c>
      <c r="E258" s="63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1412</v>
      </c>
      <c r="N258" s="52" t="s">
        <v>1</v>
      </c>
      <c r="O258" s="28" t="s">
        <v>271</v>
      </c>
      <c r="P258" s="46" t="s">
        <v>1313</v>
      </c>
      <c r="Q258" s="47" t="s">
        <v>1356</v>
      </c>
      <c r="R258" s="46" t="s">
        <v>1314</v>
      </c>
      <c r="S258" s="47" t="s">
        <v>1356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5">
      <c r="A259" s="43">
        <v>259</v>
      </c>
      <c r="B259" s="26" t="s">
        <v>896</v>
      </c>
      <c r="C259" s="25" t="s">
        <v>1413</v>
      </c>
      <c r="D259" s="62" t="s">
        <v>1361</v>
      </c>
      <c r="E259" s="63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1412</v>
      </c>
      <c r="N259" s="52" t="s">
        <v>1</v>
      </c>
      <c r="O259" s="28" t="s">
        <v>272</v>
      </c>
      <c r="P259" s="46" t="s">
        <v>1313</v>
      </c>
      <c r="Q259" s="47" t="s">
        <v>1356</v>
      </c>
      <c r="R259" s="46" t="s">
        <v>1314</v>
      </c>
      <c r="S259" s="47" t="s">
        <v>1356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5">
      <c r="A260" s="43">
        <v>260</v>
      </c>
      <c r="B260" s="26" t="s">
        <v>897</v>
      </c>
      <c r="C260" s="25" t="s">
        <v>1413</v>
      </c>
      <c r="D260" s="62" t="s">
        <v>1361</v>
      </c>
      <c r="E260" s="63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1412</v>
      </c>
      <c r="N260" s="52" t="s">
        <v>1</v>
      </c>
      <c r="O260" s="28" t="s">
        <v>273</v>
      </c>
      <c r="P260" s="46" t="s">
        <v>1313</v>
      </c>
      <c r="Q260" s="47" t="s">
        <v>1356</v>
      </c>
      <c r="R260" s="46" t="s">
        <v>1314</v>
      </c>
      <c r="S260" s="47" t="s">
        <v>1356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5">
      <c r="A261" s="43">
        <v>261</v>
      </c>
      <c r="B261" s="26" t="s">
        <v>898</v>
      </c>
      <c r="C261" s="25" t="s">
        <v>1413</v>
      </c>
      <c r="D261" s="62" t="s">
        <v>1361</v>
      </c>
      <c r="E261" s="63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1412</v>
      </c>
      <c r="N261" s="52" t="s">
        <v>1</v>
      </c>
      <c r="O261" s="28" t="s">
        <v>274</v>
      </c>
      <c r="P261" s="46" t="s">
        <v>1313</v>
      </c>
      <c r="Q261" s="47" t="s">
        <v>1356</v>
      </c>
      <c r="R261" s="46" t="s">
        <v>1314</v>
      </c>
      <c r="S261" s="47" t="s">
        <v>1356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5">
      <c r="A262" s="43">
        <v>262</v>
      </c>
      <c r="B262" s="26" t="s">
        <v>899</v>
      </c>
      <c r="C262" s="25" t="s">
        <v>1413</v>
      </c>
      <c r="D262" s="62" t="s">
        <v>1361</v>
      </c>
      <c r="E262" s="63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1412</v>
      </c>
      <c r="N262" s="52" t="s">
        <v>1</v>
      </c>
      <c r="O262" s="28" t="s">
        <v>275</v>
      </c>
      <c r="P262" s="46" t="s">
        <v>1313</v>
      </c>
      <c r="Q262" s="47" t="s">
        <v>1356</v>
      </c>
      <c r="R262" s="46" t="s">
        <v>1314</v>
      </c>
      <c r="S262" s="47" t="s">
        <v>1356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5">
      <c r="A263" s="43">
        <v>263</v>
      </c>
      <c r="B263" s="26" t="s">
        <v>900</v>
      </c>
      <c r="C263" s="25" t="s">
        <v>1413</v>
      </c>
      <c r="D263" s="62" t="s">
        <v>1361</v>
      </c>
      <c r="E263" s="63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1412</v>
      </c>
      <c r="N263" s="52" t="s">
        <v>1</v>
      </c>
      <c r="O263" s="28" t="s">
        <v>276</v>
      </c>
      <c r="P263" s="46" t="s">
        <v>1313</v>
      </c>
      <c r="Q263" s="47" t="s">
        <v>1356</v>
      </c>
      <c r="R263" s="46" t="s">
        <v>1314</v>
      </c>
      <c r="S263" s="47" t="s">
        <v>1356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5">
      <c r="A264" s="43">
        <v>264</v>
      </c>
      <c r="B264" s="26" t="s">
        <v>901</v>
      </c>
      <c r="C264" s="25" t="s">
        <v>1413</v>
      </c>
      <c r="D264" s="62" t="s">
        <v>1361</v>
      </c>
      <c r="E264" s="63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1412</v>
      </c>
      <c r="N264" s="52" t="s">
        <v>1</v>
      </c>
      <c r="O264" s="28" t="s">
        <v>277</v>
      </c>
      <c r="P264" s="46" t="s">
        <v>1313</v>
      </c>
      <c r="Q264" s="47" t="s">
        <v>1356</v>
      </c>
      <c r="R264" s="46" t="s">
        <v>1314</v>
      </c>
      <c r="S264" s="47" t="s">
        <v>1356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5">
      <c r="A265" s="43">
        <v>265</v>
      </c>
      <c r="B265" s="26" t="s">
        <v>902</v>
      </c>
      <c r="C265" s="25" t="s">
        <v>1413</v>
      </c>
      <c r="D265" s="62" t="s">
        <v>1361</v>
      </c>
      <c r="E265" s="63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1412</v>
      </c>
      <c r="N265" s="52" t="s">
        <v>1</v>
      </c>
      <c r="O265" s="28" t="s">
        <v>278</v>
      </c>
      <c r="P265" s="46" t="s">
        <v>1313</v>
      </c>
      <c r="Q265" s="47" t="s">
        <v>1356</v>
      </c>
      <c r="R265" s="46" t="s">
        <v>1314</v>
      </c>
      <c r="S265" s="47" t="s">
        <v>1356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5">
      <c r="A266" s="43">
        <v>266</v>
      </c>
      <c r="B266" s="26" t="s">
        <v>903</v>
      </c>
      <c r="C266" s="25" t="s">
        <v>1413</v>
      </c>
      <c r="D266" s="62" t="s">
        <v>1361</v>
      </c>
      <c r="E266" s="63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1412</v>
      </c>
      <c r="N266" s="52" t="s">
        <v>1</v>
      </c>
      <c r="O266" s="28" t="s">
        <v>279</v>
      </c>
      <c r="P266" s="46" t="s">
        <v>1313</v>
      </c>
      <c r="Q266" s="47" t="s">
        <v>1356</v>
      </c>
      <c r="R266" s="46" t="s">
        <v>1314</v>
      </c>
      <c r="S266" s="47" t="s">
        <v>1356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5">
      <c r="A267" s="43">
        <v>267</v>
      </c>
      <c r="B267" s="26" t="s">
        <v>904</v>
      </c>
      <c r="C267" s="25" t="s">
        <v>1413</v>
      </c>
      <c r="D267" s="62" t="s">
        <v>1361</v>
      </c>
      <c r="E267" s="63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1412</v>
      </c>
      <c r="N267" s="52" t="s">
        <v>1</v>
      </c>
      <c r="O267" s="28" t="s">
        <v>280</v>
      </c>
      <c r="P267" s="46" t="s">
        <v>1313</v>
      </c>
      <c r="Q267" s="47" t="s">
        <v>1356</v>
      </c>
      <c r="R267" s="46" t="s">
        <v>1314</v>
      </c>
      <c r="S267" s="47" t="s">
        <v>1356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5">
      <c r="A268" s="43">
        <v>268</v>
      </c>
      <c r="B268" s="26" t="s">
        <v>905</v>
      </c>
      <c r="C268" s="25" t="s">
        <v>1413</v>
      </c>
      <c r="D268" s="62" t="s">
        <v>1361</v>
      </c>
      <c r="E268" s="63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1412</v>
      </c>
      <c r="N268" s="52" t="s">
        <v>1</v>
      </c>
      <c r="O268" s="28" t="s">
        <v>281</v>
      </c>
      <c r="P268" s="46" t="s">
        <v>1313</v>
      </c>
      <c r="Q268" s="47" t="s">
        <v>1356</v>
      </c>
      <c r="R268" s="46" t="s">
        <v>1314</v>
      </c>
      <c r="S268" s="47" t="s">
        <v>1356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5">
      <c r="A269" s="43">
        <v>269</v>
      </c>
      <c r="B269" s="26" t="s">
        <v>906</v>
      </c>
      <c r="C269" s="25" t="s">
        <v>1413</v>
      </c>
      <c r="D269" s="62" t="s">
        <v>1361</v>
      </c>
      <c r="E269" s="63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1412</v>
      </c>
      <c r="N269" s="52" t="s">
        <v>1</v>
      </c>
      <c r="O269" s="28" t="s">
        <v>282</v>
      </c>
      <c r="P269" s="46" t="s">
        <v>1313</v>
      </c>
      <c r="Q269" s="47" t="s">
        <v>1356</v>
      </c>
      <c r="R269" s="46" t="s">
        <v>1314</v>
      </c>
      <c r="S269" s="47" t="s">
        <v>1356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5">
      <c r="A270" s="43">
        <v>270</v>
      </c>
      <c r="B270" s="26" t="s">
        <v>907</v>
      </c>
      <c r="C270" s="25" t="s">
        <v>1413</v>
      </c>
      <c r="D270" s="62" t="s">
        <v>1361</v>
      </c>
      <c r="E270" s="63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1412</v>
      </c>
      <c r="N270" s="52" t="s">
        <v>1</v>
      </c>
      <c r="O270" s="28" t="s">
        <v>283</v>
      </c>
      <c r="P270" s="46" t="s">
        <v>1313</v>
      </c>
      <c r="Q270" s="47" t="s">
        <v>1356</v>
      </c>
      <c r="R270" s="46" t="s">
        <v>1314</v>
      </c>
      <c r="S270" s="47" t="s">
        <v>1356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5">
      <c r="A271" s="43">
        <v>271</v>
      </c>
      <c r="B271" s="26" t="s">
        <v>908</v>
      </c>
      <c r="C271" s="25" t="s">
        <v>1413</v>
      </c>
      <c r="D271" s="62" t="s">
        <v>1361</v>
      </c>
      <c r="E271" s="63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1412</v>
      </c>
      <c r="N271" s="52" t="s">
        <v>1</v>
      </c>
      <c r="O271" s="28" t="s">
        <v>284</v>
      </c>
      <c r="P271" s="46" t="s">
        <v>1313</v>
      </c>
      <c r="Q271" s="47" t="s">
        <v>1356</v>
      </c>
      <c r="R271" s="46" t="s">
        <v>1314</v>
      </c>
      <c r="S271" s="47" t="s">
        <v>1356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5">
      <c r="A272" s="43">
        <v>272</v>
      </c>
      <c r="B272" s="26" t="s">
        <v>909</v>
      </c>
      <c r="C272" s="25" t="s">
        <v>1413</v>
      </c>
      <c r="D272" s="62" t="s">
        <v>1361</v>
      </c>
      <c r="E272" s="63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1412</v>
      </c>
      <c r="N272" s="52" t="s">
        <v>1</v>
      </c>
      <c r="O272" s="28" t="s">
        <v>285</v>
      </c>
      <c r="P272" s="46" t="s">
        <v>1313</v>
      </c>
      <c r="Q272" s="47" t="s">
        <v>1356</v>
      </c>
      <c r="R272" s="46" t="s">
        <v>1314</v>
      </c>
      <c r="S272" s="47" t="s">
        <v>1356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5">
      <c r="A273" s="43">
        <v>273</v>
      </c>
      <c r="B273" s="26" t="s">
        <v>910</v>
      </c>
      <c r="C273" s="25" t="s">
        <v>1413</v>
      </c>
      <c r="D273" s="62" t="s">
        <v>1361</v>
      </c>
      <c r="E273" s="63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1412</v>
      </c>
      <c r="N273" s="52" t="s">
        <v>1</v>
      </c>
      <c r="O273" s="28" t="s">
        <v>286</v>
      </c>
      <c r="P273" s="46" t="s">
        <v>1313</v>
      </c>
      <c r="Q273" s="47" t="s">
        <v>1356</v>
      </c>
      <c r="R273" s="46" t="s">
        <v>1314</v>
      </c>
      <c r="S273" s="47" t="s">
        <v>1356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5">
      <c r="A274" s="43">
        <v>274</v>
      </c>
      <c r="B274" s="26" t="s">
        <v>911</v>
      </c>
      <c r="C274" s="25" t="s">
        <v>1413</v>
      </c>
      <c r="D274" s="62" t="s">
        <v>1361</v>
      </c>
      <c r="E274" s="63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1412</v>
      </c>
      <c r="N274" s="52" t="s">
        <v>1</v>
      </c>
      <c r="O274" s="28" t="s">
        <v>287</v>
      </c>
      <c r="P274" s="46" t="s">
        <v>1313</v>
      </c>
      <c r="Q274" s="47" t="s">
        <v>1356</v>
      </c>
      <c r="R274" s="46" t="s">
        <v>1314</v>
      </c>
      <c r="S274" s="47" t="s">
        <v>1356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5">
      <c r="A275" s="43">
        <v>275</v>
      </c>
      <c r="B275" s="26" t="s">
        <v>912</v>
      </c>
      <c r="C275" s="25" t="s">
        <v>1413</v>
      </c>
      <c r="D275" s="62" t="s">
        <v>1361</v>
      </c>
      <c r="E275" s="63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1412</v>
      </c>
      <c r="N275" s="52" t="s">
        <v>1</v>
      </c>
      <c r="O275" s="28" t="s">
        <v>288</v>
      </c>
      <c r="P275" s="46" t="s">
        <v>1313</v>
      </c>
      <c r="Q275" s="47" t="s">
        <v>1356</v>
      </c>
      <c r="R275" s="46" t="s">
        <v>1314</v>
      </c>
      <c r="S275" s="47" t="s">
        <v>1356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5">
      <c r="A276" s="43">
        <v>276</v>
      </c>
      <c r="B276" s="26" t="s">
        <v>913</v>
      </c>
      <c r="C276" s="25" t="s">
        <v>1413</v>
      </c>
      <c r="D276" s="62" t="s">
        <v>1361</v>
      </c>
      <c r="E276" s="63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1412</v>
      </c>
      <c r="N276" s="52" t="s">
        <v>1</v>
      </c>
      <c r="O276" s="28" t="s">
        <v>289</v>
      </c>
      <c r="P276" s="46" t="s">
        <v>1313</v>
      </c>
      <c r="Q276" s="47" t="s">
        <v>1356</v>
      </c>
      <c r="R276" s="46" t="s">
        <v>1314</v>
      </c>
      <c r="S276" s="47" t="s">
        <v>1356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5">
      <c r="A277" s="43">
        <v>277</v>
      </c>
      <c r="B277" s="26" t="s">
        <v>914</v>
      </c>
      <c r="C277" s="25" t="s">
        <v>1413</v>
      </c>
      <c r="D277" s="62" t="s">
        <v>1361</v>
      </c>
      <c r="E277" s="63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1412</v>
      </c>
      <c r="N277" s="52" t="s">
        <v>1</v>
      </c>
      <c r="O277" s="28" t="s">
        <v>290</v>
      </c>
      <c r="P277" s="46" t="s">
        <v>1313</v>
      </c>
      <c r="Q277" s="47" t="s">
        <v>1356</v>
      </c>
      <c r="R277" s="46" t="s">
        <v>1314</v>
      </c>
      <c r="S277" s="47" t="s">
        <v>1356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5">
      <c r="A278" s="43">
        <v>278</v>
      </c>
      <c r="B278" s="26" t="s">
        <v>915</v>
      </c>
      <c r="C278" s="25" t="s">
        <v>1413</v>
      </c>
      <c r="D278" s="62" t="s">
        <v>1361</v>
      </c>
      <c r="E278" s="63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1412</v>
      </c>
      <c r="N278" s="52" t="s">
        <v>1</v>
      </c>
      <c r="O278" s="28" t="s">
        <v>291</v>
      </c>
      <c r="P278" s="46" t="s">
        <v>1313</v>
      </c>
      <c r="Q278" s="47" t="s">
        <v>1356</v>
      </c>
      <c r="R278" s="46" t="s">
        <v>1314</v>
      </c>
      <c r="S278" s="47" t="s">
        <v>1356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5">
      <c r="A279" s="43">
        <v>279</v>
      </c>
      <c r="B279" s="26" t="s">
        <v>916</v>
      </c>
      <c r="C279" s="25" t="s">
        <v>1413</v>
      </c>
      <c r="D279" s="62" t="s">
        <v>1361</v>
      </c>
      <c r="E279" s="63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1412</v>
      </c>
      <c r="N279" s="52" t="s">
        <v>1</v>
      </c>
      <c r="O279" s="28" t="s">
        <v>292</v>
      </c>
      <c r="P279" s="46" t="s">
        <v>1313</v>
      </c>
      <c r="Q279" s="47" t="s">
        <v>1356</v>
      </c>
      <c r="R279" s="46" t="s">
        <v>1314</v>
      </c>
      <c r="S279" s="47" t="s">
        <v>1356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5">
      <c r="A280" s="43">
        <v>280</v>
      </c>
      <c r="B280" s="26" t="s">
        <v>917</v>
      </c>
      <c r="C280" s="25" t="s">
        <v>1413</v>
      </c>
      <c r="D280" s="62" t="s">
        <v>1361</v>
      </c>
      <c r="E280" s="63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1412</v>
      </c>
      <c r="N280" s="52" t="s">
        <v>1</v>
      </c>
      <c r="O280" s="28" t="s">
        <v>293</v>
      </c>
      <c r="P280" s="46" t="s">
        <v>1313</v>
      </c>
      <c r="Q280" s="47" t="s">
        <v>1356</v>
      </c>
      <c r="R280" s="46" t="s">
        <v>1314</v>
      </c>
      <c r="S280" s="47" t="s">
        <v>1356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5">
      <c r="A281" s="43">
        <v>281</v>
      </c>
      <c r="B281" s="26" t="s">
        <v>918</v>
      </c>
      <c r="C281" s="25" t="s">
        <v>1413</v>
      </c>
      <c r="D281" s="62" t="s">
        <v>1361</v>
      </c>
      <c r="E281" s="63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1412</v>
      </c>
      <c r="N281" s="52" t="s">
        <v>1</v>
      </c>
      <c r="O281" s="28" t="s">
        <v>294</v>
      </c>
      <c r="P281" s="46" t="s">
        <v>1313</v>
      </c>
      <c r="Q281" s="47" t="s">
        <v>1356</v>
      </c>
      <c r="R281" s="46" t="s">
        <v>1314</v>
      </c>
      <c r="S281" s="47" t="s">
        <v>1356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5">
      <c r="A282" s="43">
        <v>282</v>
      </c>
      <c r="B282" s="26" t="s">
        <v>919</v>
      </c>
      <c r="C282" s="25" t="s">
        <v>1368</v>
      </c>
      <c r="D282" s="62" t="s">
        <v>1361</v>
      </c>
      <c r="E282" s="63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1353</v>
      </c>
      <c r="N282" s="52" t="s">
        <v>1</v>
      </c>
      <c r="O282" s="27" t="s">
        <v>295</v>
      </c>
      <c r="P282" s="46" t="s">
        <v>1313</v>
      </c>
      <c r="Q282" s="47" t="s">
        <v>1356</v>
      </c>
      <c r="R282" s="46" t="s">
        <v>1314</v>
      </c>
      <c r="S282" s="47" t="s">
        <v>1356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5">
      <c r="A283" s="43">
        <v>283</v>
      </c>
      <c r="B283" s="26" t="s">
        <v>920</v>
      </c>
      <c r="C283" s="25" t="s">
        <v>1368</v>
      </c>
      <c r="D283" s="62" t="s">
        <v>1361</v>
      </c>
      <c r="E283" s="63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1353</v>
      </c>
      <c r="N283" s="52" t="s">
        <v>1</v>
      </c>
      <c r="O283" s="28" t="s">
        <v>296</v>
      </c>
      <c r="P283" s="46" t="s">
        <v>1313</v>
      </c>
      <c r="Q283" s="47" t="s">
        <v>1356</v>
      </c>
      <c r="R283" s="46" t="s">
        <v>1314</v>
      </c>
      <c r="S283" s="47" t="s">
        <v>1356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5">
      <c r="A284" s="43">
        <v>284</v>
      </c>
      <c r="B284" s="26" t="s">
        <v>921</v>
      </c>
      <c r="C284" s="25" t="s">
        <v>1368</v>
      </c>
      <c r="D284" s="62" t="s">
        <v>1361</v>
      </c>
      <c r="E284" s="63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1353</v>
      </c>
      <c r="N284" s="52" t="s">
        <v>1</v>
      </c>
      <c r="O284" s="28" t="s">
        <v>297</v>
      </c>
      <c r="P284" s="46" t="s">
        <v>1313</v>
      </c>
      <c r="Q284" s="47" t="s">
        <v>1356</v>
      </c>
      <c r="R284" s="46" t="s">
        <v>1314</v>
      </c>
      <c r="S284" s="47" t="s">
        <v>1356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5">
      <c r="A285" s="43">
        <v>285</v>
      </c>
      <c r="B285" s="26" t="s">
        <v>922</v>
      </c>
      <c r="C285" s="25" t="s">
        <v>1368</v>
      </c>
      <c r="D285" s="62" t="s">
        <v>1361</v>
      </c>
      <c r="E285" s="63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1353</v>
      </c>
      <c r="N285" s="52" t="s">
        <v>1</v>
      </c>
      <c r="O285" s="28" t="s">
        <v>298</v>
      </c>
      <c r="P285" s="46" t="s">
        <v>1313</v>
      </c>
      <c r="Q285" s="47" t="s">
        <v>1356</v>
      </c>
      <c r="R285" s="46" t="s">
        <v>1314</v>
      </c>
      <c r="S285" s="47" t="s">
        <v>1356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5">
      <c r="A286" s="43">
        <v>286</v>
      </c>
      <c r="B286" s="26" t="s">
        <v>923</v>
      </c>
      <c r="C286" s="25" t="s">
        <v>1368</v>
      </c>
      <c r="D286" s="62" t="s">
        <v>1361</v>
      </c>
      <c r="E286" s="63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1353</v>
      </c>
      <c r="N286" s="52" t="s">
        <v>1</v>
      </c>
      <c r="O286" s="28" t="s">
        <v>299</v>
      </c>
      <c r="P286" s="46" t="s">
        <v>1313</v>
      </c>
      <c r="Q286" s="47" t="s">
        <v>1356</v>
      </c>
      <c r="R286" s="46" t="s">
        <v>1314</v>
      </c>
      <c r="S286" s="47" t="s">
        <v>1356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5">
      <c r="A287" s="43">
        <v>287</v>
      </c>
      <c r="B287" s="26" t="s">
        <v>924</v>
      </c>
      <c r="C287" s="25" t="s">
        <v>1368</v>
      </c>
      <c r="D287" s="62" t="s">
        <v>1361</v>
      </c>
      <c r="E287" s="63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1353</v>
      </c>
      <c r="N287" s="52" t="s">
        <v>1</v>
      </c>
      <c r="O287" s="28" t="s">
        <v>300</v>
      </c>
      <c r="P287" s="46" t="s">
        <v>1313</v>
      </c>
      <c r="Q287" s="47" t="s">
        <v>1356</v>
      </c>
      <c r="R287" s="46" t="s">
        <v>1314</v>
      </c>
      <c r="S287" s="47" t="s">
        <v>1356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5">
      <c r="A288" s="43">
        <v>288</v>
      </c>
      <c r="B288" s="26" t="s">
        <v>925</v>
      </c>
      <c r="C288" s="25" t="s">
        <v>1368</v>
      </c>
      <c r="D288" s="62" t="s">
        <v>1361</v>
      </c>
      <c r="E288" s="63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1353</v>
      </c>
      <c r="N288" s="52" t="s">
        <v>1</v>
      </c>
      <c r="O288" s="28" t="s">
        <v>301</v>
      </c>
      <c r="P288" s="46" t="s">
        <v>1313</v>
      </c>
      <c r="Q288" s="47" t="s">
        <v>1356</v>
      </c>
      <c r="R288" s="46" t="s">
        <v>1314</v>
      </c>
      <c r="S288" s="47" t="s">
        <v>1356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5">
      <c r="A289" s="43">
        <v>289</v>
      </c>
      <c r="B289" s="26" t="s">
        <v>926</v>
      </c>
      <c r="C289" s="25" t="s">
        <v>1368</v>
      </c>
      <c r="D289" s="62" t="s">
        <v>1361</v>
      </c>
      <c r="E289" s="63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1353</v>
      </c>
      <c r="N289" s="52" t="s">
        <v>1</v>
      </c>
      <c r="O289" s="28" t="s">
        <v>302</v>
      </c>
      <c r="P289" s="46" t="s">
        <v>1313</v>
      </c>
      <c r="Q289" s="47" t="s">
        <v>1356</v>
      </c>
      <c r="R289" s="46" t="s">
        <v>1314</v>
      </c>
      <c r="S289" s="47" t="s">
        <v>1356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5">
      <c r="A290" s="43">
        <v>290</v>
      </c>
      <c r="B290" s="26" t="s">
        <v>927</v>
      </c>
      <c r="C290" s="25" t="s">
        <v>1368</v>
      </c>
      <c r="D290" s="62" t="s">
        <v>1361</v>
      </c>
      <c r="E290" s="63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1353</v>
      </c>
      <c r="N290" s="52" t="s">
        <v>1</v>
      </c>
      <c r="O290" s="28" t="s">
        <v>303</v>
      </c>
      <c r="P290" s="46" t="s">
        <v>1313</v>
      </c>
      <c r="Q290" s="47" t="s">
        <v>1356</v>
      </c>
      <c r="R290" s="46" t="s">
        <v>1314</v>
      </c>
      <c r="S290" s="47" t="s">
        <v>1356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5">
      <c r="A291" s="43">
        <v>291</v>
      </c>
      <c r="B291" s="26" t="s">
        <v>928</v>
      </c>
      <c r="C291" s="25" t="s">
        <v>1368</v>
      </c>
      <c r="D291" s="62" t="s">
        <v>1361</v>
      </c>
      <c r="E291" s="63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1353</v>
      </c>
      <c r="N291" s="52" t="s">
        <v>1</v>
      </c>
      <c r="O291" s="28" t="s">
        <v>304</v>
      </c>
      <c r="P291" s="46" t="s">
        <v>1313</v>
      </c>
      <c r="Q291" s="47" t="s">
        <v>1356</v>
      </c>
      <c r="R291" s="46" t="s">
        <v>1314</v>
      </c>
      <c r="S291" s="47" t="s">
        <v>1356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5">
      <c r="A292" s="43">
        <v>292</v>
      </c>
      <c r="B292" s="26" t="s">
        <v>929</v>
      </c>
      <c r="C292" s="25" t="s">
        <v>1368</v>
      </c>
      <c r="D292" s="62" t="s">
        <v>1361</v>
      </c>
      <c r="E292" s="63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1353</v>
      </c>
      <c r="N292" s="52" t="s">
        <v>1</v>
      </c>
      <c r="O292" s="28" t="s">
        <v>305</v>
      </c>
      <c r="P292" s="46" t="s">
        <v>1313</v>
      </c>
      <c r="Q292" s="47" t="s">
        <v>1356</v>
      </c>
      <c r="R292" s="46" t="s">
        <v>1314</v>
      </c>
      <c r="S292" s="47" t="s">
        <v>1356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5">
      <c r="A293" s="43">
        <v>293</v>
      </c>
      <c r="B293" s="26" t="s">
        <v>930</v>
      </c>
      <c r="C293" s="25" t="s">
        <v>1368</v>
      </c>
      <c r="D293" s="62" t="s">
        <v>1361</v>
      </c>
      <c r="E293" s="63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1353</v>
      </c>
      <c r="N293" s="52" t="s">
        <v>1</v>
      </c>
      <c r="O293" s="28" t="s">
        <v>306</v>
      </c>
      <c r="P293" s="46" t="s">
        <v>1313</v>
      </c>
      <c r="Q293" s="47" t="s">
        <v>1356</v>
      </c>
      <c r="R293" s="46" t="s">
        <v>1314</v>
      </c>
      <c r="S293" s="47" t="s">
        <v>1356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5">
      <c r="A294" s="43">
        <v>294</v>
      </c>
      <c r="B294" s="26" t="s">
        <v>931</v>
      </c>
      <c r="C294" s="25" t="s">
        <v>1368</v>
      </c>
      <c r="D294" s="62" t="s">
        <v>1361</v>
      </c>
      <c r="E294" s="63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1353</v>
      </c>
      <c r="N294" s="52" t="s">
        <v>1</v>
      </c>
      <c r="O294" s="28" t="s">
        <v>307</v>
      </c>
      <c r="P294" s="46" t="s">
        <v>1313</v>
      </c>
      <c r="Q294" s="47" t="s">
        <v>1356</v>
      </c>
      <c r="R294" s="46" t="s">
        <v>1314</v>
      </c>
      <c r="S294" s="47" t="s">
        <v>1356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5">
      <c r="A295" s="43">
        <v>295</v>
      </c>
      <c r="B295" s="26" t="s">
        <v>932</v>
      </c>
      <c r="C295" s="25" t="s">
        <v>1368</v>
      </c>
      <c r="D295" s="62" t="s">
        <v>1361</v>
      </c>
      <c r="E295" s="63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1353</v>
      </c>
      <c r="N295" s="52" t="s">
        <v>1</v>
      </c>
      <c r="O295" s="28" t="s">
        <v>308</v>
      </c>
      <c r="P295" s="46" t="s">
        <v>1313</v>
      </c>
      <c r="Q295" s="47" t="s">
        <v>1356</v>
      </c>
      <c r="R295" s="46" t="s">
        <v>1314</v>
      </c>
      <c r="S295" s="47" t="s">
        <v>1356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5">
      <c r="A296" s="43">
        <v>296</v>
      </c>
      <c r="B296" s="26" t="s">
        <v>933</v>
      </c>
      <c r="C296" s="25" t="s">
        <v>1368</v>
      </c>
      <c r="D296" s="62" t="s">
        <v>1361</v>
      </c>
      <c r="E296" s="63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1353</v>
      </c>
      <c r="N296" s="52" t="s">
        <v>1</v>
      </c>
      <c r="O296" s="28" t="s">
        <v>309</v>
      </c>
      <c r="P296" s="46" t="s">
        <v>1313</v>
      </c>
      <c r="Q296" s="47" t="s">
        <v>1356</v>
      </c>
      <c r="R296" s="46" t="s">
        <v>1314</v>
      </c>
      <c r="S296" s="47" t="s">
        <v>1356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5">
      <c r="A297" s="43">
        <v>297</v>
      </c>
      <c r="B297" s="26" t="s">
        <v>934</v>
      </c>
      <c r="C297" s="25" t="s">
        <v>1368</v>
      </c>
      <c r="D297" s="62" t="s">
        <v>1361</v>
      </c>
      <c r="E297" s="63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1353</v>
      </c>
      <c r="N297" s="52" t="s">
        <v>1</v>
      </c>
      <c r="O297" s="28" t="s">
        <v>310</v>
      </c>
      <c r="P297" s="46" t="s">
        <v>1313</v>
      </c>
      <c r="Q297" s="47" t="s">
        <v>1356</v>
      </c>
      <c r="R297" s="46" t="s">
        <v>1314</v>
      </c>
      <c r="S297" s="47" t="s">
        <v>1356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5">
      <c r="A298" s="43">
        <v>298</v>
      </c>
      <c r="B298" s="26" t="s">
        <v>935</v>
      </c>
      <c r="C298" s="25" t="s">
        <v>1368</v>
      </c>
      <c r="D298" s="62" t="s">
        <v>1361</v>
      </c>
      <c r="E298" s="63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1353</v>
      </c>
      <c r="N298" s="52" t="s">
        <v>1</v>
      </c>
      <c r="O298" s="28" t="s">
        <v>311</v>
      </c>
      <c r="P298" s="46" t="s">
        <v>1313</v>
      </c>
      <c r="Q298" s="47" t="s">
        <v>1356</v>
      </c>
      <c r="R298" s="46" t="s">
        <v>1314</v>
      </c>
      <c r="S298" s="47" t="s">
        <v>1356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5">
      <c r="A299" s="43">
        <v>299</v>
      </c>
      <c r="B299" s="26" t="s">
        <v>936</v>
      </c>
      <c r="C299" s="25" t="s">
        <v>1368</v>
      </c>
      <c r="D299" s="62" t="s">
        <v>1361</v>
      </c>
      <c r="E299" s="63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1353</v>
      </c>
      <c r="N299" s="52" t="s">
        <v>1</v>
      </c>
      <c r="O299" s="28" t="s">
        <v>312</v>
      </c>
      <c r="P299" s="46" t="s">
        <v>1313</v>
      </c>
      <c r="Q299" s="47" t="s">
        <v>1356</v>
      </c>
      <c r="R299" s="46" t="s">
        <v>1314</v>
      </c>
      <c r="S299" s="47" t="s">
        <v>1356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5">
      <c r="A300" s="43">
        <v>300</v>
      </c>
      <c r="B300" s="26" t="s">
        <v>937</v>
      </c>
      <c r="C300" s="25" t="s">
        <v>1368</v>
      </c>
      <c r="D300" s="62" t="s">
        <v>1361</v>
      </c>
      <c r="E300" s="63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1353</v>
      </c>
      <c r="N300" s="52" t="s">
        <v>1</v>
      </c>
      <c r="O300" s="28" t="s">
        <v>313</v>
      </c>
      <c r="P300" s="46" t="s">
        <v>1313</v>
      </c>
      <c r="Q300" s="47" t="s">
        <v>1356</v>
      </c>
      <c r="R300" s="46" t="s">
        <v>1314</v>
      </c>
      <c r="S300" s="47" t="s">
        <v>1356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5">
      <c r="A301" s="43">
        <v>301</v>
      </c>
      <c r="B301" s="26" t="s">
        <v>938</v>
      </c>
      <c r="C301" s="25" t="s">
        <v>1368</v>
      </c>
      <c r="D301" s="62" t="s">
        <v>1361</v>
      </c>
      <c r="E301" s="63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1353</v>
      </c>
      <c r="N301" s="52" t="s">
        <v>1</v>
      </c>
      <c r="O301" s="28" t="s">
        <v>314</v>
      </c>
      <c r="P301" s="46" t="s">
        <v>1313</v>
      </c>
      <c r="Q301" s="47" t="s">
        <v>1356</v>
      </c>
      <c r="R301" s="46" t="s">
        <v>1314</v>
      </c>
      <c r="S301" s="47" t="s">
        <v>1356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5">
      <c r="A302" s="43">
        <v>302</v>
      </c>
      <c r="B302" s="26" t="s">
        <v>939</v>
      </c>
      <c r="C302" s="25" t="s">
        <v>1368</v>
      </c>
      <c r="D302" s="62" t="s">
        <v>1361</v>
      </c>
      <c r="E302" s="63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1353</v>
      </c>
      <c r="N302" s="52" t="s">
        <v>1</v>
      </c>
      <c r="O302" s="28" t="s">
        <v>315</v>
      </c>
      <c r="P302" s="46" t="s">
        <v>1313</v>
      </c>
      <c r="Q302" s="47" t="s">
        <v>1356</v>
      </c>
      <c r="R302" s="46" t="s">
        <v>1314</v>
      </c>
      <c r="S302" s="47" t="s">
        <v>1356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5">
      <c r="A303" s="43">
        <v>303</v>
      </c>
      <c r="B303" s="26" t="s">
        <v>940</v>
      </c>
      <c r="C303" s="25" t="s">
        <v>1368</v>
      </c>
      <c r="D303" s="62" t="s">
        <v>1361</v>
      </c>
      <c r="E303" s="63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1353</v>
      </c>
      <c r="N303" s="52" t="s">
        <v>1</v>
      </c>
      <c r="O303" s="28" t="s">
        <v>316</v>
      </c>
      <c r="P303" s="46" t="s">
        <v>1313</v>
      </c>
      <c r="Q303" s="47" t="s">
        <v>1356</v>
      </c>
      <c r="R303" s="46" t="s">
        <v>1314</v>
      </c>
      <c r="S303" s="47" t="s">
        <v>1356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5">
      <c r="A304" s="43">
        <v>304</v>
      </c>
      <c r="B304" s="26" t="s">
        <v>941</v>
      </c>
      <c r="C304" s="25" t="s">
        <v>1368</v>
      </c>
      <c r="D304" s="62" t="s">
        <v>1361</v>
      </c>
      <c r="E304" s="63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1353</v>
      </c>
      <c r="N304" s="52" t="s">
        <v>1</v>
      </c>
      <c r="O304" s="28" t="s">
        <v>317</v>
      </c>
      <c r="P304" s="46" t="s">
        <v>1313</v>
      </c>
      <c r="Q304" s="47" t="s">
        <v>1356</v>
      </c>
      <c r="R304" s="46" t="s">
        <v>1314</v>
      </c>
      <c r="S304" s="47" t="s">
        <v>1356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5">
      <c r="A305" s="43">
        <v>305</v>
      </c>
      <c r="B305" s="26" t="s">
        <v>942</v>
      </c>
      <c r="C305" s="25" t="s">
        <v>1368</v>
      </c>
      <c r="D305" s="62" t="s">
        <v>1361</v>
      </c>
      <c r="E305" s="63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1353</v>
      </c>
      <c r="N305" s="52" t="s">
        <v>1</v>
      </c>
      <c r="O305" s="28" t="s">
        <v>318</v>
      </c>
      <c r="P305" s="46" t="s">
        <v>1313</v>
      </c>
      <c r="Q305" s="47" t="s">
        <v>1356</v>
      </c>
      <c r="R305" s="46" t="s">
        <v>1314</v>
      </c>
      <c r="S305" s="47" t="s">
        <v>1356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5">
      <c r="A306" s="43">
        <v>306</v>
      </c>
      <c r="B306" s="26" t="s">
        <v>943</v>
      </c>
      <c r="C306" s="25" t="s">
        <v>1368</v>
      </c>
      <c r="D306" s="62" t="s">
        <v>1361</v>
      </c>
      <c r="E306" s="63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1353</v>
      </c>
      <c r="N306" s="52" t="s">
        <v>1</v>
      </c>
      <c r="O306" s="28" t="s">
        <v>319</v>
      </c>
      <c r="P306" s="46" t="s">
        <v>1313</v>
      </c>
      <c r="Q306" s="47" t="s">
        <v>1356</v>
      </c>
      <c r="R306" s="46" t="s">
        <v>1314</v>
      </c>
      <c r="S306" s="47" t="s">
        <v>1356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5">
      <c r="A307" s="43">
        <v>307</v>
      </c>
      <c r="B307" s="26" t="s">
        <v>944</v>
      </c>
      <c r="C307" s="25" t="s">
        <v>1368</v>
      </c>
      <c r="D307" s="62" t="s">
        <v>1361</v>
      </c>
      <c r="E307" s="63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1353</v>
      </c>
      <c r="N307" s="52" t="s">
        <v>1</v>
      </c>
      <c r="O307" s="28" t="s">
        <v>320</v>
      </c>
      <c r="P307" s="46" t="s">
        <v>1313</v>
      </c>
      <c r="Q307" s="47" t="s">
        <v>1356</v>
      </c>
      <c r="R307" s="46" t="s">
        <v>1314</v>
      </c>
      <c r="S307" s="47" t="s">
        <v>1356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5">
      <c r="A308" s="43">
        <v>308</v>
      </c>
      <c r="B308" s="26" t="s">
        <v>945</v>
      </c>
      <c r="C308" s="25" t="s">
        <v>1368</v>
      </c>
      <c r="D308" s="62" t="s">
        <v>1361</v>
      </c>
      <c r="E308" s="63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1353</v>
      </c>
      <c r="N308" s="52" t="s">
        <v>1</v>
      </c>
      <c r="O308" s="28" t="s">
        <v>321</v>
      </c>
      <c r="P308" s="46" t="s">
        <v>1313</v>
      </c>
      <c r="Q308" s="47" t="s">
        <v>1356</v>
      </c>
      <c r="R308" s="46" t="s">
        <v>1314</v>
      </c>
      <c r="S308" s="47" t="s">
        <v>1356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5">
      <c r="A309" s="43">
        <v>309</v>
      </c>
      <c r="B309" s="26" t="s">
        <v>946</v>
      </c>
      <c r="C309" s="25" t="s">
        <v>1368</v>
      </c>
      <c r="D309" s="62" t="s">
        <v>1361</v>
      </c>
      <c r="E309" s="63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1353</v>
      </c>
      <c r="N309" s="52" t="s">
        <v>1</v>
      </c>
      <c r="O309" s="28" t="s">
        <v>322</v>
      </c>
      <c r="P309" s="46" t="s">
        <v>1313</v>
      </c>
      <c r="Q309" s="47" t="s">
        <v>1356</v>
      </c>
      <c r="R309" s="46" t="s">
        <v>1314</v>
      </c>
      <c r="S309" s="47" t="s">
        <v>1356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5">
      <c r="A310" s="43">
        <v>310</v>
      </c>
      <c r="B310" s="26" t="s">
        <v>947</v>
      </c>
      <c r="C310" s="25" t="s">
        <v>1368</v>
      </c>
      <c r="D310" s="62" t="s">
        <v>1361</v>
      </c>
      <c r="E310" s="63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1353</v>
      </c>
      <c r="N310" s="52" t="s">
        <v>1</v>
      </c>
      <c r="O310" s="28" t="s">
        <v>323</v>
      </c>
      <c r="P310" s="46" t="s">
        <v>1313</v>
      </c>
      <c r="Q310" s="47" t="s">
        <v>1356</v>
      </c>
      <c r="R310" s="46" t="s">
        <v>1314</v>
      </c>
      <c r="S310" s="47" t="s">
        <v>1356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5">
      <c r="A311" s="43">
        <v>311</v>
      </c>
      <c r="B311" s="26" t="s">
        <v>948</v>
      </c>
      <c r="C311" s="25" t="s">
        <v>1368</v>
      </c>
      <c r="D311" s="62" t="s">
        <v>1361</v>
      </c>
      <c r="E311" s="63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1353</v>
      </c>
      <c r="N311" s="52" t="s">
        <v>1</v>
      </c>
      <c r="O311" s="28" t="s">
        <v>324</v>
      </c>
      <c r="P311" s="46" t="s">
        <v>1313</v>
      </c>
      <c r="Q311" s="47" t="s">
        <v>1356</v>
      </c>
      <c r="R311" s="46" t="s">
        <v>1314</v>
      </c>
      <c r="S311" s="47" t="s">
        <v>1356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5">
      <c r="A312" s="43">
        <v>312</v>
      </c>
      <c r="B312" s="26" t="s">
        <v>949</v>
      </c>
      <c r="C312" s="25" t="s">
        <v>1368</v>
      </c>
      <c r="D312" s="62" t="s">
        <v>1361</v>
      </c>
      <c r="E312" s="63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1353</v>
      </c>
      <c r="N312" s="52" t="s">
        <v>1</v>
      </c>
      <c r="O312" s="28" t="s">
        <v>325</v>
      </c>
      <c r="P312" s="46" t="s">
        <v>1313</v>
      </c>
      <c r="Q312" s="47" t="s">
        <v>1356</v>
      </c>
      <c r="R312" s="46" t="s">
        <v>1314</v>
      </c>
      <c r="S312" s="47" t="s">
        <v>1356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5">
      <c r="A313" s="43">
        <v>313</v>
      </c>
      <c r="B313" s="26" t="s">
        <v>950</v>
      </c>
      <c r="C313" s="25" t="s">
        <v>1367</v>
      </c>
      <c r="D313" s="62" t="s">
        <v>1361</v>
      </c>
      <c r="E313" s="63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1354</v>
      </c>
      <c r="N313" s="52" t="s">
        <v>1</v>
      </c>
      <c r="O313" s="28" t="s">
        <v>326</v>
      </c>
      <c r="P313" s="46" t="s">
        <v>1313</v>
      </c>
      <c r="Q313" s="47" t="s">
        <v>1356</v>
      </c>
      <c r="R313" s="46" t="s">
        <v>1314</v>
      </c>
      <c r="S313" s="47" t="s">
        <v>1356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5">
      <c r="A314" s="43">
        <v>314</v>
      </c>
      <c r="B314" s="26" t="s">
        <v>951</v>
      </c>
      <c r="C314" s="25" t="s">
        <v>1367</v>
      </c>
      <c r="D314" s="62" t="s">
        <v>1361</v>
      </c>
      <c r="E314" s="63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1354</v>
      </c>
      <c r="N314" s="52" t="s">
        <v>1</v>
      </c>
      <c r="O314" s="28" t="s">
        <v>327</v>
      </c>
      <c r="P314" s="46" t="s">
        <v>1313</v>
      </c>
      <c r="Q314" s="47" t="s">
        <v>1356</v>
      </c>
      <c r="R314" s="46" t="s">
        <v>1314</v>
      </c>
      <c r="S314" s="47" t="s">
        <v>1356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5">
      <c r="A315" s="43">
        <v>315</v>
      </c>
      <c r="B315" s="26" t="s">
        <v>952</v>
      </c>
      <c r="C315" s="25" t="s">
        <v>1367</v>
      </c>
      <c r="D315" s="62" t="s">
        <v>1361</v>
      </c>
      <c r="E315" s="63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1354</v>
      </c>
      <c r="N315" s="52" t="s">
        <v>1</v>
      </c>
      <c r="O315" s="28" t="s">
        <v>328</v>
      </c>
      <c r="P315" s="46" t="s">
        <v>1313</v>
      </c>
      <c r="Q315" s="47" t="s">
        <v>1356</v>
      </c>
      <c r="R315" s="46" t="s">
        <v>1314</v>
      </c>
      <c r="S315" s="47" t="s">
        <v>1356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5">
      <c r="A316" s="43">
        <v>316</v>
      </c>
      <c r="B316" s="26" t="s">
        <v>953</v>
      </c>
      <c r="C316" s="25" t="s">
        <v>1367</v>
      </c>
      <c r="D316" s="62" t="s">
        <v>1361</v>
      </c>
      <c r="E316" s="63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1354</v>
      </c>
      <c r="N316" s="52" t="s">
        <v>1</v>
      </c>
      <c r="O316" s="28" t="s">
        <v>329</v>
      </c>
      <c r="P316" s="46" t="s">
        <v>1313</v>
      </c>
      <c r="Q316" s="47" t="s">
        <v>1356</v>
      </c>
      <c r="R316" s="46" t="s">
        <v>1314</v>
      </c>
      <c r="S316" s="47" t="s">
        <v>1356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5">
      <c r="A317" s="43">
        <v>317</v>
      </c>
      <c r="B317" s="26" t="s">
        <v>954</v>
      </c>
      <c r="C317" s="25" t="s">
        <v>1367</v>
      </c>
      <c r="D317" s="62" t="s">
        <v>1361</v>
      </c>
      <c r="E317" s="63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1354</v>
      </c>
      <c r="N317" s="52" t="s">
        <v>1</v>
      </c>
      <c r="O317" s="28" t="s">
        <v>330</v>
      </c>
      <c r="P317" s="46" t="s">
        <v>1313</v>
      </c>
      <c r="Q317" s="47" t="s">
        <v>1356</v>
      </c>
      <c r="R317" s="46" t="s">
        <v>1314</v>
      </c>
      <c r="S317" s="47" t="s">
        <v>1356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5">
      <c r="A318" s="43">
        <v>318</v>
      </c>
      <c r="B318" s="26" t="s">
        <v>955</v>
      </c>
      <c r="C318" s="25" t="s">
        <v>1367</v>
      </c>
      <c r="D318" s="62" t="s">
        <v>1361</v>
      </c>
      <c r="E318" s="63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1354</v>
      </c>
      <c r="N318" s="52" t="s">
        <v>1</v>
      </c>
      <c r="O318" s="28" t="s">
        <v>331</v>
      </c>
      <c r="P318" s="46" t="s">
        <v>1313</v>
      </c>
      <c r="Q318" s="47" t="s">
        <v>1356</v>
      </c>
      <c r="R318" s="46" t="s">
        <v>1314</v>
      </c>
      <c r="S318" s="47" t="s">
        <v>1356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5">
      <c r="A319" s="43">
        <v>319</v>
      </c>
      <c r="B319" s="26" t="s">
        <v>956</v>
      </c>
      <c r="C319" s="25" t="s">
        <v>1367</v>
      </c>
      <c r="D319" s="62" t="s">
        <v>1361</v>
      </c>
      <c r="E319" s="63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1354</v>
      </c>
      <c r="N319" s="52" t="s">
        <v>1</v>
      </c>
      <c r="O319" s="28" t="s">
        <v>332</v>
      </c>
      <c r="P319" s="46" t="s">
        <v>1313</v>
      </c>
      <c r="Q319" s="47" t="s">
        <v>1356</v>
      </c>
      <c r="R319" s="46" t="s">
        <v>1314</v>
      </c>
      <c r="S319" s="47" t="s">
        <v>1356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5">
      <c r="A320" s="43">
        <v>320</v>
      </c>
      <c r="B320" s="26" t="s">
        <v>957</v>
      </c>
      <c r="C320" s="25" t="s">
        <v>1367</v>
      </c>
      <c r="D320" s="62" t="s">
        <v>1361</v>
      </c>
      <c r="E320" s="63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1354</v>
      </c>
      <c r="N320" s="52" t="s">
        <v>1</v>
      </c>
      <c r="O320" s="28" t="s">
        <v>333</v>
      </c>
      <c r="P320" s="46" t="s">
        <v>1313</v>
      </c>
      <c r="Q320" s="47" t="s">
        <v>1356</v>
      </c>
      <c r="R320" s="46" t="s">
        <v>1314</v>
      </c>
      <c r="S320" s="47" t="s">
        <v>1356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5">
      <c r="A321" s="43">
        <v>321</v>
      </c>
      <c r="B321" s="26" t="s">
        <v>958</v>
      </c>
      <c r="C321" s="25" t="s">
        <v>1367</v>
      </c>
      <c r="D321" s="62" t="s">
        <v>1361</v>
      </c>
      <c r="E321" s="63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1354</v>
      </c>
      <c r="N321" s="52" t="s">
        <v>1</v>
      </c>
      <c r="O321" s="28" t="s">
        <v>334</v>
      </c>
      <c r="P321" s="46" t="s">
        <v>1313</v>
      </c>
      <c r="Q321" s="47" t="s">
        <v>1356</v>
      </c>
      <c r="R321" s="46" t="s">
        <v>1314</v>
      </c>
      <c r="S321" s="47" t="s">
        <v>1356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5">
      <c r="A322" s="43">
        <v>322</v>
      </c>
      <c r="B322" s="26" t="s">
        <v>959</v>
      </c>
      <c r="C322" s="25" t="s">
        <v>1367</v>
      </c>
      <c r="D322" s="62" t="s">
        <v>1361</v>
      </c>
      <c r="E322" s="63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1354</v>
      </c>
      <c r="N322" s="52" t="s">
        <v>1</v>
      </c>
      <c r="O322" s="28" t="s">
        <v>335</v>
      </c>
      <c r="P322" s="46" t="s">
        <v>1313</v>
      </c>
      <c r="Q322" s="47" t="s">
        <v>1356</v>
      </c>
      <c r="R322" s="46" t="s">
        <v>1314</v>
      </c>
      <c r="S322" s="47" t="s">
        <v>1356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5">
      <c r="A323" s="43">
        <v>323</v>
      </c>
      <c r="B323" s="26" t="s">
        <v>960</v>
      </c>
      <c r="C323" s="25" t="s">
        <v>1367</v>
      </c>
      <c r="D323" s="62" t="s">
        <v>1361</v>
      </c>
      <c r="E323" s="63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1354</v>
      </c>
      <c r="N323" s="52" t="s">
        <v>1</v>
      </c>
      <c r="O323" s="28" t="s">
        <v>336</v>
      </c>
      <c r="P323" s="46" t="s">
        <v>1313</v>
      </c>
      <c r="Q323" s="47" t="s">
        <v>1356</v>
      </c>
      <c r="R323" s="46" t="s">
        <v>1314</v>
      </c>
      <c r="S323" s="47" t="s">
        <v>1356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5">
      <c r="A324" s="43">
        <v>324</v>
      </c>
      <c r="B324" s="26" t="s">
        <v>961</v>
      </c>
      <c r="C324" s="25" t="s">
        <v>1367</v>
      </c>
      <c r="D324" s="62" t="s">
        <v>1361</v>
      </c>
      <c r="E324" s="63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1354</v>
      </c>
      <c r="N324" s="52" t="s">
        <v>1</v>
      </c>
      <c r="O324" s="28" t="s">
        <v>337</v>
      </c>
      <c r="P324" s="46" t="s">
        <v>1313</v>
      </c>
      <c r="Q324" s="47" t="s">
        <v>1356</v>
      </c>
      <c r="R324" s="46" t="s">
        <v>1314</v>
      </c>
      <c r="S324" s="47" t="s">
        <v>1356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5">
      <c r="A325" s="43">
        <v>325</v>
      </c>
      <c r="B325" s="26" t="s">
        <v>962</v>
      </c>
      <c r="C325" s="25" t="s">
        <v>1367</v>
      </c>
      <c r="D325" s="62" t="s">
        <v>1361</v>
      </c>
      <c r="E325" s="63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1354</v>
      </c>
      <c r="N325" s="52" t="s">
        <v>1</v>
      </c>
      <c r="O325" s="28" t="s">
        <v>338</v>
      </c>
      <c r="P325" s="46" t="s">
        <v>1313</v>
      </c>
      <c r="Q325" s="47" t="s">
        <v>1356</v>
      </c>
      <c r="R325" s="46" t="s">
        <v>1314</v>
      </c>
      <c r="S325" s="47" t="s">
        <v>1356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5">
      <c r="A326" s="43">
        <v>326</v>
      </c>
      <c r="B326" s="26" t="s">
        <v>963</v>
      </c>
      <c r="C326" s="25" t="s">
        <v>1367</v>
      </c>
      <c r="D326" s="62" t="s">
        <v>1361</v>
      </c>
      <c r="E326" s="63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1354</v>
      </c>
      <c r="N326" s="52" t="s">
        <v>1</v>
      </c>
      <c r="O326" s="28" t="s">
        <v>339</v>
      </c>
      <c r="P326" s="46" t="s">
        <v>1313</v>
      </c>
      <c r="Q326" s="47" t="s">
        <v>1356</v>
      </c>
      <c r="R326" s="46" t="s">
        <v>1314</v>
      </c>
      <c r="S326" s="47" t="s">
        <v>1356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5">
      <c r="A327" s="43">
        <v>327</v>
      </c>
      <c r="B327" s="26" t="s">
        <v>964</v>
      </c>
      <c r="C327" s="25" t="s">
        <v>1367</v>
      </c>
      <c r="D327" s="62" t="s">
        <v>1361</v>
      </c>
      <c r="E327" s="63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1354</v>
      </c>
      <c r="N327" s="52" t="s">
        <v>1</v>
      </c>
      <c r="O327" s="28" t="s">
        <v>340</v>
      </c>
      <c r="P327" s="46" t="s">
        <v>1313</v>
      </c>
      <c r="Q327" s="47" t="s">
        <v>1356</v>
      </c>
      <c r="R327" s="46" t="s">
        <v>1314</v>
      </c>
      <c r="S327" s="47" t="s">
        <v>1356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5">
      <c r="A328" s="43">
        <v>328</v>
      </c>
      <c r="B328" s="26" t="s">
        <v>965</v>
      </c>
      <c r="C328" s="25" t="s">
        <v>1367</v>
      </c>
      <c r="D328" s="62" t="s">
        <v>1361</v>
      </c>
      <c r="E328" s="63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1354</v>
      </c>
      <c r="N328" s="52" t="s">
        <v>1</v>
      </c>
      <c r="O328" s="28" t="s">
        <v>341</v>
      </c>
      <c r="P328" s="46" t="s">
        <v>1313</v>
      </c>
      <c r="Q328" s="47" t="s">
        <v>1356</v>
      </c>
      <c r="R328" s="46" t="s">
        <v>1314</v>
      </c>
      <c r="S328" s="47" t="s">
        <v>1356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5">
      <c r="A329" s="43">
        <v>329</v>
      </c>
      <c r="B329" s="26" t="s">
        <v>966</v>
      </c>
      <c r="C329" s="25" t="s">
        <v>1367</v>
      </c>
      <c r="D329" s="62" t="s">
        <v>1361</v>
      </c>
      <c r="E329" s="63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1354</v>
      </c>
      <c r="N329" s="52" t="s">
        <v>1</v>
      </c>
      <c r="O329" s="28" t="s">
        <v>342</v>
      </c>
      <c r="P329" s="46" t="s">
        <v>1313</v>
      </c>
      <c r="Q329" s="47" t="s">
        <v>1356</v>
      </c>
      <c r="R329" s="46" t="s">
        <v>1314</v>
      </c>
      <c r="S329" s="47" t="s">
        <v>1356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5">
      <c r="A330" s="43">
        <v>330</v>
      </c>
      <c r="B330" s="26" t="s">
        <v>967</v>
      </c>
      <c r="C330" s="25" t="s">
        <v>1367</v>
      </c>
      <c r="D330" s="62" t="s">
        <v>1361</v>
      </c>
      <c r="E330" s="63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1354</v>
      </c>
      <c r="N330" s="52" t="s">
        <v>1</v>
      </c>
      <c r="O330" s="28" t="s">
        <v>343</v>
      </c>
      <c r="P330" s="46" t="s">
        <v>1313</v>
      </c>
      <c r="Q330" s="47" t="s">
        <v>1356</v>
      </c>
      <c r="R330" s="46" t="s">
        <v>1314</v>
      </c>
      <c r="S330" s="47" t="s">
        <v>1356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5">
      <c r="A331" s="43">
        <v>331</v>
      </c>
      <c r="B331" s="26" t="s">
        <v>968</v>
      </c>
      <c r="C331" s="25" t="s">
        <v>1367</v>
      </c>
      <c r="D331" s="62" t="s">
        <v>1361</v>
      </c>
      <c r="E331" s="63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1354</v>
      </c>
      <c r="N331" s="52" t="s">
        <v>1</v>
      </c>
      <c r="O331" s="28" t="s">
        <v>344</v>
      </c>
      <c r="P331" s="46" t="s">
        <v>1313</v>
      </c>
      <c r="Q331" s="47" t="s">
        <v>1356</v>
      </c>
      <c r="R331" s="46" t="s">
        <v>1314</v>
      </c>
      <c r="S331" s="47" t="s">
        <v>1356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5">
      <c r="A332" s="43">
        <v>332</v>
      </c>
      <c r="B332" s="26" t="s">
        <v>969</v>
      </c>
      <c r="C332" s="25" t="s">
        <v>1367</v>
      </c>
      <c r="D332" s="62" t="s">
        <v>1361</v>
      </c>
      <c r="E332" s="63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1354</v>
      </c>
      <c r="N332" s="52" t="s">
        <v>1</v>
      </c>
      <c r="O332" s="28" t="s">
        <v>345</v>
      </c>
      <c r="P332" s="46" t="s">
        <v>1313</v>
      </c>
      <c r="Q332" s="47" t="s">
        <v>1356</v>
      </c>
      <c r="R332" s="46" t="s">
        <v>1314</v>
      </c>
      <c r="S332" s="47" t="s">
        <v>1356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5">
      <c r="A333" s="43">
        <v>333</v>
      </c>
      <c r="B333" s="26" t="s">
        <v>970</v>
      </c>
      <c r="C333" s="25" t="s">
        <v>1367</v>
      </c>
      <c r="D333" s="62" t="s">
        <v>1361</v>
      </c>
      <c r="E333" s="63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1354</v>
      </c>
      <c r="N333" s="52" t="s">
        <v>1</v>
      </c>
      <c r="O333" s="28" t="s">
        <v>346</v>
      </c>
      <c r="P333" s="46" t="s">
        <v>1313</v>
      </c>
      <c r="Q333" s="47" t="s">
        <v>1356</v>
      </c>
      <c r="R333" s="46" t="s">
        <v>1314</v>
      </c>
      <c r="S333" s="47" t="s">
        <v>1356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5">
      <c r="A334" s="43">
        <v>334</v>
      </c>
      <c r="B334" s="26" t="s">
        <v>971</v>
      </c>
      <c r="C334" s="25" t="s">
        <v>1367</v>
      </c>
      <c r="D334" s="62" t="s">
        <v>1361</v>
      </c>
      <c r="E334" s="63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1354</v>
      </c>
      <c r="N334" s="52" t="s">
        <v>1</v>
      </c>
      <c r="O334" s="28" t="s">
        <v>347</v>
      </c>
      <c r="P334" s="46" t="s">
        <v>1313</v>
      </c>
      <c r="Q334" s="47" t="s">
        <v>1356</v>
      </c>
      <c r="R334" s="46" t="s">
        <v>1314</v>
      </c>
      <c r="S334" s="47" t="s">
        <v>1356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5">
      <c r="A335" s="43">
        <v>335</v>
      </c>
      <c r="B335" s="26" t="s">
        <v>972</v>
      </c>
      <c r="C335" s="25" t="s">
        <v>1367</v>
      </c>
      <c r="D335" s="62" t="s">
        <v>1361</v>
      </c>
      <c r="E335" s="63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1354</v>
      </c>
      <c r="N335" s="52" t="s">
        <v>1</v>
      </c>
      <c r="O335" s="28" t="s">
        <v>348</v>
      </c>
      <c r="P335" s="46" t="s">
        <v>1313</v>
      </c>
      <c r="Q335" s="47" t="s">
        <v>1356</v>
      </c>
      <c r="R335" s="46" t="s">
        <v>1314</v>
      </c>
      <c r="S335" s="47" t="s">
        <v>1356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5">
      <c r="A336" s="43">
        <v>336</v>
      </c>
      <c r="B336" s="26" t="s">
        <v>973</v>
      </c>
      <c r="C336" s="25" t="s">
        <v>1367</v>
      </c>
      <c r="D336" s="62" t="s">
        <v>1361</v>
      </c>
      <c r="E336" s="63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1354</v>
      </c>
      <c r="N336" s="52" t="s">
        <v>1</v>
      </c>
      <c r="O336" s="28" t="s">
        <v>349</v>
      </c>
      <c r="P336" s="46" t="s">
        <v>1313</v>
      </c>
      <c r="Q336" s="47" t="s">
        <v>1356</v>
      </c>
      <c r="R336" s="46" t="s">
        <v>1314</v>
      </c>
      <c r="S336" s="47" t="s">
        <v>1356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5">
      <c r="A337" s="43">
        <v>337</v>
      </c>
      <c r="B337" s="26" t="s">
        <v>974</v>
      </c>
      <c r="C337" s="25" t="s">
        <v>1367</v>
      </c>
      <c r="D337" s="62" t="s">
        <v>1361</v>
      </c>
      <c r="E337" s="63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1354</v>
      </c>
      <c r="N337" s="52" t="s">
        <v>1</v>
      </c>
      <c r="O337" s="28" t="s">
        <v>350</v>
      </c>
      <c r="P337" s="46" t="s">
        <v>1313</v>
      </c>
      <c r="Q337" s="47" t="s">
        <v>1356</v>
      </c>
      <c r="R337" s="46" t="s">
        <v>1314</v>
      </c>
      <c r="S337" s="47" t="s">
        <v>1356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5">
      <c r="A338" s="43">
        <v>338</v>
      </c>
      <c r="B338" s="26" t="s">
        <v>975</v>
      </c>
      <c r="C338" s="25" t="s">
        <v>1367</v>
      </c>
      <c r="D338" s="62" t="s">
        <v>1361</v>
      </c>
      <c r="E338" s="63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1354</v>
      </c>
      <c r="N338" s="52" t="s">
        <v>1</v>
      </c>
      <c r="O338" s="28" t="s">
        <v>351</v>
      </c>
      <c r="P338" s="46" t="s">
        <v>1313</v>
      </c>
      <c r="Q338" s="47" t="s">
        <v>1356</v>
      </c>
      <c r="R338" s="46" t="s">
        <v>1314</v>
      </c>
      <c r="S338" s="47" t="s">
        <v>1356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5">
      <c r="A339" s="43">
        <v>339</v>
      </c>
      <c r="B339" s="26" t="s">
        <v>976</v>
      </c>
      <c r="C339" s="25" t="s">
        <v>1367</v>
      </c>
      <c r="D339" s="62" t="s">
        <v>1361</v>
      </c>
      <c r="E339" s="63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1354</v>
      </c>
      <c r="N339" s="52" t="s">
        <v>1</v>
      </c>
      <c r="O339" s="28" t="s">
        <v>352</v>
      </c>
      <c r="P339" s="46" t="s">
        <v>1313</v>
      </c>
      <c r="Q339" s="47" t="s">
        <v>1356</v>
      </c>
      <c r="R339" s="46" t="s">
        <v>1314</v>
      </c>
      <c r="S339" s="47" t="s">
        <v>1356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5">
      <c r="A340" s="43">
        <v>340</v>
      </c>
      <c r="B340" s="26" t="s">
        <v>977</v>
      </c>
      <c r="C340" s="25" t="s">
        <v>1367</v>
      </c>
      <c r="D340" s="62" t="s">
        <v>1361</v>
      </c>
      <c r="E340" s="63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1354</v>
      </c>
      <c r="N340" s="52" t="s">
        <v>1</v>
      </c>
      <c r="O340" s="28" t="s">
        <v>353</v>
      </c>
      <c r="P340" s="46" t="s">
        <v>1313</v>
      </c>
      <c r="Q340" s="47" t="s">
        <v>1356</v>
      </c>
      <c r="R340" s="46" t="s">
        <v>1314</v>
      </c>
      <c r="S340" s="47" t="s">
        <v>1356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5">
      <c r="A341" s="43">
        <v>341</v>
      </c>
      <c r="B341" s="26" t="s">
        <v>978</v>
      </c>
      <c r="C341" s="25" t="s">
        <v>1367</v>
      </c>
      <c r="D341" s="62" t="s">
        <v>1361</v>
      </c>
      <c r="E341" s="63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1354</v>
      </c>
      <c r="N341" s="52" t="s">
        <v>1</v>
      </c>
      <c r="O341" s="28" t="s">
        <v>354</v>
      </c>
      <c r="P341" s="46" t="s">
        <v>1313</v>
      </c>
      <c r="Q341" s="47" t="s">
        <v>1356</v>
      </c>
      <c r="R341" s="46" t="s">
        <v>1314</v>
      </c>
      <c r="S341" s="47" t="s">
        <v>1356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5">
      <c r="A342" s="43">
        <v>342</v>
      </c>
      <c r="B342" s="26" t="s">
        <v>979</v>
      </c>
      <c r="C342" s="25" t="s">
        <v>1367</v>
      </c>
      <c r="D342" s="62" t="s">
        <v>1361</v>
      </c>
      <c r="E342" s="63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1354</v>
      </c>
      <c r="N342" s="52" t="s">
        <v>1</v>
      </c>
      <c r="O342" s="28" t="s">
        <v>355</v>
      </c>
      <c r="P342" s="46" t="s">
        <v>1313</v>
      </c>
      <c r="Q342" s="47" t="s">
        <v>1356</v>
      </c>
      <c r="R342" s="46" t="s">
        <v>1314</v>
      </c>
      <c r="S342" s="47" t="s">
        <v>1356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5">
      <c r="A343" s="43">
        <v>343</v>
      </c>
      <c r="B343" s="26" t="s">
        <v>980</v>
      </c>
      <c r="C343" s="25" t="s">
        <v>1367</v>
      </c>
      <c r="D343" s="62" t="s">
        <v>1361</v>
      </c>
      <c r="E343" s="63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1354</v>
      </c>
      <c r="N343" s="52" t="s">
        <v>1</v>
      </c>
      <c r="O343" s="28" t="s">
        <v>356</v>
      </c>
      <c r="P343" s="46" t="s">
        <v>1313</v>
      </c>
      <c r="Q343" s="47" t="s">
        <v>1356</v>
      </c>
      <c r="R343" s="46" t="s">
        <v>1314</v>
      </c>
      <c r="S343" s="47" t="s">
        <v>1356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5">
      <c r="A344" s="43">
        <v>344</v>
      </c>
      <c r="B344" s="26" t="s">
        <v>981</v>
      </c>
      <c r="C344" s="25" t="s">
        <v>1367</v>
      </c>
      <c r="D344" s="62" t="s">
        <v>1361</v>
      </c>
      <c r="E344" s="63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1354</v>
      </c>
      <c r="N344" s="52" t="s">
        <v>1</v>
      </c>
      <c r="O344" s="28" t="s">
        <v>357</v>
      </c>
      <c r="P344" s="46" t="s">
        <v>1313</v>
      </c>
      <c r="Q344" s="47" t="s">
        <v>1356</v>
      </c>
      <c r="R344" s="46" t="s">
        <v>1314</v>
      </c>
      <c r="S344" s="47" t="s">
        <v>1356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5">
      <c r="A345" s="43">
        <v>345</v>
      </c>
      <c r="B345" s="26" t="s">
        <v>982</v>
      </c>
      <c r="C345" s="25" t="s">
        <v>1367</v>
      </c>
      <c r="D345" s="62" t="s">
        <v>1361</v>
      </c>
      <c r="E345" s="63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1354</v>
      </c>
      <c r="N345" s="52" t="s">
        <v>1</v>
      </c>
      <c r="O345" s="28" t="s">
        <v>358</v>
      </c>
      <c r="P345" s="46" t="s">
        <v>1313</v>
      </c>
      <c r="Q345" s="47" t="s">
        <v>1356</v>
      </c>
      <c r="R345" s="46" t="s">
        <v>1314</v>
      </c>
      <c r="S345" s="47" t="s">
        <v>1356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5">
      <c r="A346" s="43">
        <v>346</v>
      </c>
      <c r="B346" s="26" t="s">
        <v>983</v>
      </c>
      <c r="C346" s="25" t="s">
        <v>1367</v>
      </c>
      <c r="D346" s="62" t="s">
        <v>1361</v>
      </c>
      <c r="E346" s="63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1354</v>
      </c>
      <c r="N346" s="52" t="s">
        <v>1</v>
      </c>
      <c r="O346" s="28" t="s">
        <v>359</v>
      </c>
      <c r="P346" s="46" t="s">
        <v>1313</v>
      </c>
      <c r="Q346" s="47" t="s">
        <v>1356</v>
      </c>
      <c r="R346" s="46" t="s">
        <v>1314</v>
      </c>
      <c r="S346" s="47" t="s">
        <v>1356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5">
      <c r="A347" s="43">
        <v>347</v>
      </c>
      <c r="B347" s="26" t="s">
        <v>984</v>
      </c>
      <c r="C347" s="25" t="s">
        <v>1367</v>
      </c>
      <c r="D347" s="62" t="s">
        <v>1361</v>
      </c>
      <c r="E347" s="63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1354</v>
      </c>
      <c r="N347" s="52" t="s">
        <v>1</v>
      </c>
      <c r="O347" s="28" t="s">
        <v>360</v>
      </c>
      <c r="P347" s="46" t="s">
        <v>1313</v>
      </c>
      <c r="Q347" s="47" t="s">
        <v>1356</v>
      </c>
      <c r="R347" s="46" t="s">
        <v>1314</v>
      </c>
      <c r="S347" s="47" t="s">
        <v>1356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5">
      <c r="A348" s="43">
        <v>348</v>
      </c>
      <c r="B348" s="26" t="s">
        <v>985</v>
      </c>
      <c r="C348" s="25" t="s">
        <v>1367</v>
      </c>
      <c r="D348" s="62" t="s">
        <v>1361</v>
      </c>
      <c r="E348" s="63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1354</v>
      </c>
      <c r="N348" s="52" t="s">
        <v>1</v>
      </c>
      <c r="O348" s="28" t="s">
        <v>361</v>
      </c>
      <c r="P348" s="46" t="s">
        <v>1313</v>
      </c>
      <c r="Q348" s="47" t="s">
        <v>1356</v>
      </c>
      <c r="R348" s="46" t="s">
        <v>1314</v>
      </c>
      <c r="S348" s="47" t="s">
        <v>1356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5">
      <c r="A349" s="43">
        <v>349</v>
      </c>
      <c r="B349" s="26" t="s">
        <v>986</v>
      </c>
      <c r="C349" s="25" t="s">
        <v>1367</v>
      </c>
      <c r="D349" s="62" t="s">
        <v>1361</v>
      </c>
      <c r="E349" s="63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1354</v>
      </c>
      <c r="N349" s="52" t="s">
        <v>1</v>
      </c>
      <c r="O349" s="28" t="s">
        <v>362</v>
      </c>
      <c r="P349" s="46" t="s">
        <v>1313</v>
      </c>
      <c r="Q349" s="47" t="s">
        <v>1356</v>
      </c>
      <c r="R349" s="46" t="s">
        <v>1314</v>
      </c>
      <c r="S349" s="47" t="s">
        <v>1356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5">
      <c r="A350" s="43">
        <v>350</v>
      </c>
      <c r="B350" s="26" t="s">
        <v>987</v>
      </c>
      <c r="C350" s="25" t="s">
        <v>1367</v>
      </c>
      <c r="D350" s="62" t="s">
        <v>1361</v>
      </c>
      <c r="E350" s="63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1354</v>
      </c>
      <c r="N350" s="52" t="s">
        <v>1</v>
      </c>
      <c r="O350" s="28" t="s">
        <v>363</v>
      </c>
      <c r="P350" s="46" t="s">
        <v>1313</v>
      </c>
      <c r="Q350" s="47" t="s">
        <v>1356</v>
      </c>
      <c r="R350" s="46" t="s">
        <v>1314</v>
      </c>
      <c r="S350" s="47" t="s">
        <v>1356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5">
      <c r="A351" s="43">
        <v>351</v>
      </c>
      <c r="B351" s="26" t="s">
        <v>988</v>
      </c>
      <c r="C351" s="25" t="s">
        <v>1367</v>
      </c>
      <c r="D351" s="62" t="s">
        <v>1361</v>
      </c>
      <c r="E351" s="63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1354</v>
      </c>
      <c r="N351" s="52" t="s">
        <v>1</v>
      </c>
      <c r="O351" s="28" t="s">
        <v>364</v>
      </c>
      <c r="P351" s="46" t="s">
        <v>1313</v>
      </c>
      <c r="Q351" s="47" t="s">
        <v>1356</v>
      </c>
      <c r="R351" s="46" t="s">
        <v>1314</v>
      </c>
      <c r="S351" s="47" t="s">
        <v>1356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5">
      <c r="A352" s="43">
        <v>352</v>
      </c>
      <c r="B352" s="26" t="s">
        <v>989</v>
      </c>
      <c r="C352" s="25" t="s">
        <v>1367</v>
      </c>
      <c r="D352" s="62" t="s">
        <v>1361</v>
      </c>
      <c r="E352" s="63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1354</v>
      </c>
      <c r="N352" s="52" t="s">
        <v>1</v>
      </c>
      <c r="O352" s="28" t="s">
        <v>365</v>
      </c>
      <c r="P352" s="46" t="s">
        <v>1313</v>
      </c>
      <c r="Q352" s="47" t="s">
        <v>1356</v>
      </c>
      <c r="R352" s="46" t="s">
        <v>1314</v>
      </c>
      <c r="S352" s="47" t="s">
        <v>1356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5">
      <c r="A353" s="43">
        <v>353</v>
      </c>
      <c r="B353" s="26" t="s">
        <v>990</v>
      </c>
      <c r="C353" s="25" t="s">
        <v>1367</v>
      </c>
      <c r="D353" s="62" t="s">
        <v>1361</v>
      </c>
      <c r="E353" s="63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1354</v>
      </c>
      <c r="N353" s="52" t="s">
        <v>1</v>
      </c>
      <c r="O353" s="28" t="s">
        <v>366</v>
      </c>
      <c r="P353" s="46" t="s">
        <v>1313</v>
      </c>
      <c r="Q353" s="47" t="s">
        <v>1356</v>
      </c>
      <c r="R353" s="46" t="s">
        <v>1314</v>
      </c>
      <c r="S353" s="47" t="s">
        <v>1356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5">
      <c r="A354" s="43">
        <v>354</v>
      </c>
      <c r="B354" s="26" t="s">
        <v>991</v>
      </c>
      <c r="C354" s="25" t="s">
        <v>1367</v>
      </c>
      <c r="D354" s="62" t="s">
        <v>1361</v>
      </c>
      <c r="E354" s="63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1354</v>
      </c>
      <c r="N354" s="52" t="s">
        <v>1</v>
      </c>
      <c r="O354" s="28" t="s">
        <v>367</v>
      </c>
      <c r="P354" s="46" t="s">
        <v>1313</v>
      </c>
      <c r="Q354" s="47" t="s">
        <v>1356</v>
      </c>
      <c r="R354" s="46" t="s">
        <v>1314</v>
      </c>
      <c r="S354" s="47" t="s">
        <v>1356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5">
      <c r="A355" s="43">
        <v>355</v>
      </c>
      <c r="B355" s="26" t="s">
        <v>992</v>
      </c>
      <c r="C355" s="25" t="s">
        <v>1367</v>
      </c>
      <c r="D355" s="62" t="s">
        <v>1361</v>
      </c>
      <c r="E355" s="63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1354</v>
      </c>
      <c r="N355" s="52" t="s">
        <v>1</v>
      </c>
      <c r="O355" s="28" t="s">
        <v>368</v>
      </c>
      <c r="P355" s="46" t="s">
        <v>1313</v>
      </c>
      <c r="Q355" s="47" t="s">
        <v>1356</v>
      </c>
      <c r="R355" s="46" t="s">
        <v>1314</v>
      </c>
      <c r="S355" s="47" t="s">
        <v>1356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5">
      <c r="A356" s="43">
        <v>356</v>
      </c>
      <c r="B356" s="26" t="s">
        <v>993</v>
      </c>
      <c r="C356" s="25" t="s">
        <v>1367</v>
      </c>
      <c r="D356" s="62" t="s">
        <v>1361</v>
      </c>
      <c r="E356" s="63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1354</v>
      </c>
      <c r="N356" s="52" t="s">
        <v>1</v>
      </c>
      <c r="O356" s="28" t="s">
        <v>369</v>
      </c>
      <c r="P356" s="46" t="s">
        <v>1313</v>
      </c>
      <c r="Q356" s="47" t="s">
        <v>1356</v>
      </c>
      <c r="R356" s="46" t="s">
        <v>1314</v>
      </c>
      <c r="S356" s="47" t="s">
        <v>1356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5">
      <c r="A357" s="43">
        <v>357</v>
      </c>
      <c r="B357" s="26" t="s">
        <v>994</v>
      </c>
      <c r="C357" s="25" t="s">
        <v>1367</v>
      </c>
      <c r="D357" s="62" t="s">
        <v>1361</v>
      </c>
      <c r="E357" s="63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1354</v>
      </c>
      <c r="N357" s="52" t="s">
        <v>1</v>
      </c>
      <c r="O357" s="28" t="s">
        <v>370</v>
      </c>
      <c r="P357" s="46" t="s">
        <v>1313</v>
      </c>
      <c r="Q357" s="47" t="s">
        <v>1356</v>
      </c>
      <c r="R357" s="46" t="s">
        <v>1314</v>
      </c>
      <c r="S357" s="47" t="s">
        <v>1356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5">
      <c r="A358" s="43">
        <v>358</v>
      </c>
      <c r="B358" s="26" t="s">
        <v>995</v>
      </c>
      <c r="C358" s="25" t="s">
        <v>1367</v>
      </c>
      <c r="D358" s="62" t="s">
        <v>1361</v>
      </c>
      <c r="E358" s="63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1354</v>
      </c>
      <c r="N358" s="52" t="s">
        <v>1</v>
      </c>
      <c r="O358" s="28" t="s">
        <v>371</v>
      </c>
      <c r="P358" s="46" t="s">
        <v>1313</v>
      </c>
      <c r="Q358" s="47" t="s">
        <v>1356</v>
      </c>
      <c r="R358" s="46" t="s">
        <v>1314</v>
      </c>
      <c r="S358" s="47" t="s">
        <v>1356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5">
      <c r="A359" s="43">
        <v>359</v>
      </c>
      <c r="B359" s="26" t="s">
        <v>996</v>
      </c>
      <c r="C359" s="25" t="s">
        <v>1367</v>
      </c>
      <c r="D359" s="62" t="s">
        <v>1361</v>
      </c>
      <c r="E359" s="63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1354</v>
      </c>
      <c r="N359" s="52" t="s">
        <v>1</v>
      </c>
      <c r="O359" s="28" t="s">
        <v>372</v>
      </c>
      <c r="P359" s="46" t="s">
        <v>1313</v>
      </c>
      <c r="Q359" s="47" t="s">
        <v>1356</v>
      </c>
      <c r="R359" s="46" t="s">
        <v>1314</v>
      </c>
      <c r="S359" s="47" t="s">
        <v>1356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5">
      <c r="A360" s="43">
        <v>360</v>
      </c>
      <c r="B360" s="26" t="s">
        <v>997</v>
      </c>
      <c r="C360" s="25" t="s">
        <v>1367</v>
      </c>
      <c r="D360" s="62" t="s">
        <v>1361</v>
      </c>
      <c r="E360" s="63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1354</v>
      </c>
      <c r="N360" s="52" t="s">
        <v>1</v>
      </c>
      <c r="O360" s="28" t="s">
        <v>373</v>
      </c>
      <c r="P360" s="46" t="s">
        <v>1313</v>
      </c>
      <c r="Q360" s="47" t="s">
        <v>1356</v>
      </c>
      <c r="R360" s="46" t="s">
        <v>1314</v>
      </c>
      <c r="S360" s="47" t="s">
        <v>1356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5">
      <c r="A361" s="43">
        <v>361</v>
      </c>
      <c r="B361" s="26" t="s">
        <v>998</v>
      </c>
      <c r="C361" s="25" t="s">
        <v>1367</v>
      </c>
      <c r="D361" s="62" t="s">
        <v>1361</v>
      </c>
      <c r="E361" s="63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1354</v>
      </c>
      <c r="N361" s="52" t="s">
        <v>1</v>
      </c>
      <c r="O361" s="28" t="s">
        <v>374</v>
      </c>
      <c r="P361" s="46" t="s">
        <v>1313</v>
      </c>
      <c r="Q361" s="47" t="s">
        <v>1356</v>
      </c>
      <c r="R361" s="46" t="s">
        <v>1314</v>
      </c>
      <c r="S361" s="47" t="s">
        <v>1356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5">
      <c r="A362" s="43">
        <v>362</v>
      </c>
      <c r="B362" s="26" t="s">
        <v>999</v>
      </c>
      <c r="C362" s="25" t="s">
        <v>1367</v>
      </c>
      <c r="D362" s="62" t="s">
        <v>1361</v>
      </c>
      <c r="E362" s="63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1354</v>
      </c>
      <c r="N362" s="52" t="s">
        <v>1</v>
      </c>
      <c r="O362" s="28" t="s">
        <v>375</v>
      </c>
      <c r="P362" s="46" t="s">
        <v>1313</v>
      </c>
      <c r="Q362" s="47" t="s">
        <v>1356</v>
      </c>
      <c r="R362" s="46" t="s">
        <v>1314</v>
      </c>
      <c r="S362" s="47" t="s">
        <v>1356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5">
      <c r="A363" s="43">
        <v>363</v>
      </c>
      <c r="B363" s="26" t="s">
        <v>1000</v>
      </c>
      <c r="C363" s="25" t="s">
        <v>1367</v>
      </c>
      <c r="D363" s="62" t="s">
        <v>1361</v>
      </c>
      <c r="E363" s="63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1354</v>
      </c>
      <c r="N363" s="52" t="s">
        <v>1</v>
      </c>
      <c r="O363" s="28" t="s">
        <v>376</v>
      </c>
      <c r="P363" s="46" t="s">
        <v>1313</v>
      </c>
      <c r="Q363" s="47" t="s">
        <v>1356</v>
      </c>
      <c r="R363" s="46" t="s">
        <v>1314</v>
      </c>
      <c r="S363" s="47" t="s">
        <v>1356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5">
      <c r="A364" s="43">
        <v>364</v>
      </c>
      <c r="B364" s="26" t="s">
        <v>1001</v>
      </c>
      <c r="C364" s="25" t="s">
        <v>1367</v>
      </c>
      <c r="D364" s="62" t="s">
        <v>1361</v>
      </c>
      <c r="E364" s="63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1354</v>
      </c>
      <c r="N364" s="52" t="s">
        <v>1</v>
      </c>
      <c r="O364" s="28" t="s">
        <v>377</v>
      </c>
      <c r="P364" s="46" t="s">
        <v>1313</v>
      </c>
      <c r="Q364" s="47" t="s">
        <v>1356</v>
      </c>
      <c r="R364" s="46" t="s">
        <v>1314</v>
      </c>
      <c r="S364" s="47" t="s">
        <v>1356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5">
      <c r="A365" s="43">
        <v>365</v>
      </c>
      <c r="B365" s="26" t="s">
        <v>1002</v>
      </c>
      <c r="C365" s="25" t="s">
        <v>1367</v>
      </c>
      <c r="D365" s="62" t="s">
        <v>1361</v>
      </c>
      <c r="E365" s="63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1354</v>
      </c>
      <c r="N365" s="52" t="s">
        <v>1</v>
      </c>
      <c r="O365" s="28" t="s">
        <v>378</v>
      </c>
      <c r="P365" s="46" t="s">
        <v>1313</v>
      </c>
      <c r="Q365" s="47" t="s">
        <v>1356</v>
      </c>
      <c r="R365" s="46" t="s">
        <v>1314</v>
      </c>
      <c r="S365" s="47" t="s">
        <v>1356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5">
      <c r="A366" s="43">
        <v>366</v>
      </c>
      <c r="B366" s="26" t="s">
        <v>1003</v>
      </c>
      <c r="C366" s="25" t="s">
        <v>1367</v>
      </c>
      <c r="D366" s="62" t="s">
        <v>1361</v>
      </c>
      <c r="E366" s="63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1354</v>
      </c>
      <c r="N366" s="52" t="s">
        <v>1</v>
      </c>
      <c r="O366" s="28" t="s">
        <v>379</v>
      </c>
      <c r="P366" s="46" t="s">
        <v>1313</v>
      </c>
      <c r="Q366" s="47" t="s">
        <v>1356</v>
      </c>
      <c r="R366" s="46" t="s">
        <v>1314</v>
      </c>
      <c r="S366" s="47" t="s">
        <v>1356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5">
      <c r="A367" s="43">
        <v>367</v>
      </c>
      <c r="B367" s="26" t="s">
        <v>1004</v>
      </c>
      <c r="C367" s="25" t="s">
        <v>1367</v>
      </c>
      <c r="D367" s="62" t="s">
        <v>1361</v>
      </c>
      <c r="E367" s="63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1354</v>
      </c>
      <c r="N367" s="52" t="s">
        <v>1</v>
      </c>
      <c r="O367" s="28" t="s">
        <v>380</v>
      </c>
      <c r="P367" s="46" t="s">
        <v>1313</v>
      </c>
      <c r="Q367" s="47" t="s">
        <v>1356</v>
      </c>
      <c r="R367" s="46" t="s">
        <v>1314</v>
      </c>
      <c r="S367" s="47" t="s">
        <v>1356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5">
      <c r="A368" s="43">
        <v>368</v>
      </c>
      <c r="B368" s="26" t="s">
        <v>1005</v>
      </c>
      <c r="C368" s="25" t="s">
        <v>1367</v>
      </c>
      <c r="D368" s="62" t="s">
        <v>1361</v>
      </c>
      <c r="E368" s="63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1354</v>
      </c>
      <c r="N368" s="52" t="s">
        <v>1</v>
      </c>
      <c r="O368" s="28" t="s">
        <v>381</v>
      </c>
      <c r="P368" s="46" t="s">
        <v>1313</v>
      </c>
      <c r="Q368" s="47" t="s">
        <v>1356</v>
      </c>
      <c r="R368" s="46" t="s">
        <v>1314</v>
      </c>
      <c r="S368" s="47" t="s">
        <v>1356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5">
      <c r="A369" s="43">
        <v>369</v>
      </c>
      <c r="B369" s="26" t="s">
        <v>1006</v>
      </c>
      <c r="C369" s="25" t="s">
        <v>1364</v>
      </c>
      <c r="D369" s="62" t="s">
        <v>1361</v>
      </c>
      <c r="E369" s="63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1355</v>
      </c>
      <c r="N369" s="52" t="s">
        <v>1</v>
      </c>
      <c r="O369" s="28" t="s">
        <v>382</v>
      </c>
      <c r="P369" s="46" t="s">
        <v>1313</v>
      </c>
      <c r="Q369" s="47" t="s">
        <v>1356</v>
      </c>
      <c r="R369" s="46" t="s">
        <v>1314</v>
      </c>
      <c r="S369" s="47" t="s">
        <v>1356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5">
      <c r="A370" s="43">
        <v>370</v>
      </c>
      <c r="B370" s="26" t="s">
        <v>1007</v>
      </c>
      <c r="C370" s="25" t="s">
        <v>1364</v>
      </c>
      <c r="D370" s="62" t="s">
        <v>1361</v>
      </c>
      <c r="E370" s="63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1355</v>
      </c>
      <c r="N370" s="52" t="s">
        <v>1</v>
      </c>
      <c r="O370" s="28" t="s">
        <v>383</v>
      </c>
      <c r="P370" s="46" t="s">
        <v>1313</v>
      </c>
      <c r="Q370" s="47" t="s">
        <v>1356</v>
      </c>
      <c r="R370" s="46" t="s">
        <v>1314</v>
      </c>
      <c r="S370" s="47" t="s">
        <v>1356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5">
      <c r="A371" s="43">
        <v>371</v>
      </c>
      <c r="B371" s="26" t="s">
        <v>1008</v>
      </c>
      <c r="C371" s="25" t="s">
        <v>1364</v>
      </c>
      <c r="D371" s="62" t="s">
        <v>1361</v>
      </c>
      <c r="E371" s="63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1355</v>
      </c>
      <c r="N371" s="52" t="s">
        <v>1</v>
      </c>
      <c r="O371" s="28" t="s">
        <v>384</v>
      </c>
      <c r="P371" s="46" t="s">
        <v>1313</v>
      </c>
      <c r="Q371" s="47" t="s">
        <v>1356</v>
      </c>
      <c r="R371" s="46" t="s">
        <v>1314</v>
      </c>
      <c r="S371" s="47" t="s">
        <v>1356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5">
      <c r="A372" s="43">
        <v>372</v>
      </c>
      <c r="B372" s="26" t="s">
        <v>1009</v>
      </c>
      <c r="C372" s="25" t="s">
        <v>1364</v>
      </c>
      <c r="D372" s="62" t="s">
        <v>1361</v>
      </c>
      <c r="E372" s="63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1355</v>
      </c>
      <c r="N372" s="52" t="s">
        <v>1</v>
      </c>
      <c r="O372" s="28" t="s">
        <v>385</v>
      </c>
      <c r="P372" s="46" t="s">
        <v>1313</v>
      </c>
      <c r="Q372" s="47" t="s">
        <v>1356</v>
      </c>
      <c r="R372" s="46" t="s">
        <v>1314</v>
      </c>
      <c r="S372" s="47" t="s">
        <v>1356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5">
      <c r="A373" s="43">
        <v>373</v>
      </c>
      <c r="B373" s="26" t="s">
        <v>1010</v>
      </c>
      <c r="C373" s="25" t="s">
        <v>1364</v>
      </c>
      <c r="D373" s="62" t="s">
        <v>1361</v>
      </c>
      <c r="E373" s="63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1355</v>
      </c>
      <c r="N373" s="52" t="s">
        <v>1</v>
      </c>
      <c r="O373" s="28" t="s">
        <v>386</v>
      </c>
      <c r="P373" s="46" t="s">
        <v>1313</v>
      </c>
      <c r="Q373" s="47" t="s">
        <v>1356</v>
      </c>
      <c r="R373" s="46" t="s">
        <v>1314</v>
      </c>
      <c r="S373" s="47" t="s">
        <v>1356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5">
      <c r="A374" s="43">
        <v>374</v>
      </c>
      <c r="B374" s="26" t="s">
        <v>1011</v>
      </c>
      <c r="C374" s="25" t="s">
        <v>1364</v>
      </c>
      <c r="D374" s="62" t="s">
        <v>1361</v>
      </c>
      <c r="E374" s="63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1355</v>
      </c>
      <c r="N374" s="52" t="s">
        <v>1</v>
      </c>
      <c r="O374" s="28" t="s">
        <v>387</v>
      </c>
      <c r="P374" s="46" t="s">
        <v>1313</v>
      </c>
      <c r="Q374" s="47" t="s">
        <v>1356</v>
      </c>
      <c r="R374" s="46" t="s">
        <v>1314</v>
      </c>
      <c r="S374" s="47" t="s">
        <v>1356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5">
      <c r="A375" s="43">
        <v>375</v>
      </c>
      <c r="B375" s="26" t="s">
        <v>1012</v>
      </c>
      <c r="C375" s="25" t="s">
        <v>1364</v>
      </c>
      <c r="D375" s="62" t="s">
        <v>1361</v>
      </c>
      <c r="E375" s="63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1355</v>
      </c>
      <c r="N375" s="52" t="s">
        <v>1</v>
      </c>
      <c r="O375" s="28" t="s">
        <v>388</v>
      </c>
      <c r="P375" s="46" t="s">
        <v>1313</v>
      </c>
      <c r="Q375" s="47" t="s">
        <v>1356</v>
      </c>
      <c r="R375" s="46" t="s">
        <v>1314</v>
      </c>
      <c r="S375" s="47" t="s">
        <v>1356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5">
      <c r="A376" s="43">
        <v>376</v>
      </c>
      <c r="B376" s="26" t="s">
        <v>1013</v>
      </c>
      <c r="C376" s="25" t="s">
        <v>1364</v>
      </c>
      <c r="D376" s="62" t="s">
        <v>1361</v>
      </c>
      <c r="E376" s="63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1355</v>
      </c>
      <c r="N376" s="52" t="s">
        <v>1</v>
      </c>
      <c r="O376" s="28" t="s">
        <v>389</v>
      </c>
      <c r="P376" s="46" t="s">
        <v>1313</v>
      </c>
      <c r="Q376" s="47" t="s">
        <v>1356</v>
      </c>
      <c r="R376" s="46" t="s">
        <v>1314</v>
      </c>
      <c r="S376" s="47" t="s">
        <v>1356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5">
      <c r="A377" s="43">
        <v>377</v>
      </c>
      <c r="B377" s="26" t="s">
        <v>1014</v>
      </c>
      <c r="C377" s="25" t="s">
        <v>1364</v>
      </c>
      <c r="D377" s="62" t="s">
        <v>1361</v>
      </c>
      <c r="E377" s="63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1355</v>
      </c>
      <c r="N377" s="52" t="s">
        <v>1</v>
      </c>
      <c r="O377" s="28" t="s">
        <v>390</v>
      </c>
      <c r="P377" s="46" t="s">
        <v>1313</v>
      </c>
      <c r="Q377" s="47" t="s">
        <v>1356</v>
      </c>
      <c r="R377" s="46" t="s">
        <v>1314</v>
      </c>
      <c r="S377" s="47" t="s">
        <v>1356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5">
      <c r="A378" s="43">
        <v>378</v>
      </c>
      <c r="B378" s="26" t="s">
        <v>1015</v>
      </c>
      <c r="C378" s="25" t="s">
        <v>1364</v>
      </c>
      <c r="D378" s="62" t="s">
        <v>1361</v>
      </c>
      <c r="E378" s="63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1355</v>
      </c>
      <c r="N378" s="52" t="s">
        <v>1</v>
      </c>
      <c r="O378" s="28" t="s">
        <v>391</v>
      </c>
      <c r="P378" s="46" t="s">
        <v>1313</v>
      </c>
      <c r="Q378" s="47" t="s">
        <v>1356</v>
      </c>
      <c r="R378" s="46" t="s">
        <v>1314</v>
      </c>
      <c r="S378" s="47" t="s">
        <v>1356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5">
      <c r="A379" s="43">
        <v>379</v>
      </c>
      <c r="B379" s="26" t="s">
        <v>1016</v>
      </c>
      <c r="C379" s="25" t="s">
        <v>1364</v>
      </c>
      <c r="D379" s="62" t="s">
        <v>1361</v>
      </c>
      <c r="E379" s="63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1355</v>
      </c>
      <c r="N379" s="52" t="s">
        <v>1</v>
      </c>
      <c r="O379" s="28" t="s">
        <v>392</v>
      </c>
      <c r="P379" s="46" t="s">
        <v>1313</v>
      </c>
      <c r="Q379" s="47" t="s">
        <v>1356</v>
      </c>
      <c r="R379" s="46" t="s">
        <v>1314</v>
      </c>
      <c r="S379" s="47" t="s">
        <v>1356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5">
      <c r="A380" s="43">
        <v>380</v>
      </c>
      <c r="B380" s="26" t="s">
        <v>1017</v>
      </c>
      <c r="C380" s="25" t="s">
        <v>1364</v>
      </c>
      <c r="D380" s="62" t="s">
        <v>1361</v>
      </c>
      <c r="E380" s="63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1355</v>
      </c>
      <c r="N380" s="52" t="s">
        <v>1</v>
      </c>
      <c r="O380" s="28" t="s">
        <v>393</v>
      </c>
      <c r="P380" s="46" t="s">
        <v>1313</v>
      </c>
      <c r="Q380" s="47" t="s">
        <v>1356</v>
      </c>
      <c r="R380" s="46" t="s">
        <v>1314</v>
      </c>
      <c r="S380" s="47" t="s">
        <v>1356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5">
      <c r="A381" s="43">
        <v>381</v>
      </c>
      <c r="B381" s="26" t="s">
        <v>1018</v>
      </c>
      <c r="C381" s="25" t="s">
        <v>1364</v>
      </c>
      <c r="D381" s="62" t="s">
        <v>1361</v>
      </c>
      <c r="E381" s="63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1355</v>
      </c>
      <c r="N381" s="52" t="s">
        <v>1</v>
      </c>
      <c r="O381" s="28" t="s">
        <v>394</v>
      </c>
      <c r="P381" s="46" t="s">
        <v>1313</v>
      </c>
      <c r="Q381" s="47" t="s">
        <v>1356</v>
      </c>
      <c r="R381" s="46" t="s">
        <v>1314</v>
      </c>
      <c r="S381" s="47" t="s">
        <v>1356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5">
      <c r="A382" s="43">
        <v>382</v>
      </c>
      <c r="B382" s="26" t="s">
        <v>1019</v>
      </c>
      <c r="C382" s="25" t="s">
        <v>1364</v>
      </c>
      <c r="D382" s="62" t="s">
        <v>1361</v>
      </c>
      <c r="E382" s="63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1355</v>
      </c>
      <c r="N382" s="52" t="s">
        <v>1</v>
      </c>
      <c r="O382" s="28" t="s">
        <v>395</v>
      </c>
      <c r="P382" s="46" t="s">
        <v>1313</v>
      </c>
      <c r="Q382" s="47" t="s">
        <v>1356</v>
      </c>
      <c r="R382" s="46" t="s">
        <v>1314</v>
      </c>
      <c r="S382" s="47" t="s">
        <v>1356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5">
      <c r="A383" s="43">
        <v>383</v>
      </c>
      <c r="B383" s="26" t="s">
        <v>1020</v>
      </c>
      <c r="C383" s="25" t="s">
        <v>1364</v>
      </c>
      <c r="D383" s="62" t="s">
        <v>1361</v>
      </c>
      <c r="E383" s="63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1355</v>
      </c>
      <c r="N383" s="52" t="s">
        <v>1</v>
      </c>
      <c r="O383" s="28" t="s">
        <v>396</v>
      </c>
      <c r="P383" s="46" t="s">
        <v>1313</v>
      </c>
      <c r="Q383" s="47" t="s">
        <v>1356</v>
      </c>
      <c r="R383" s="46" t="s">
        <v>1314</v>
      </c>
      <c r="S383" s="47" t="s">
        <v>1356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5">
      <c r="A384" s="43">
        <v>384</v>
      </c>
      <c r="B384" s="26" t="s">
        <v>1021</v>
      </c>
      <c r="C384" s="25" t="s">
        <v>1364</v>
      </c>
      <c r="D384" s="62" t="s">
        <v>1361</v>
      </c>
      <c r="E384" s="63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1355</v>
      </c>
      <c r="N384" s="52" t="s">
        <v>1</v>
      </c>
      <c r="O384" s="28" t="s">
        <v>397</v>
      </c>
      <c r="P384" s="46" t="s">
        <v>1313</v>
      </c>
      <c r="Q384" s="47" t="s">
        <v>1356</v>
      </c>
      <c r="R384" s="46" t="s">
        <v>1314</v>
      </c>
      <c r="S384" s="47" t="s">
        <v>1356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5">
      <c r="A385" s="43">
        <v>385</v>
      </c>
      <c r="B385" s="26" t="s">
        <v>1022</v>
      </c>
      <c r="C385" s="25" t="s">
        <v>1364</v>
      </c>
      <c r="D385" s="62" t="s">
        <v>1361</v>
      </c>
      <c r="E385" s="63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1355</v>
      </c>
      <c r="N385" s="52" t="s">
        <v>1</v>
      </c>
      <c r="O385" s="28" t="s">
        <v>398</v>
      </c>
      <c r="P385" s="46" t="s">
        <v>1313</v>
      </c>
      <c r="Q385" s="47" t="s">
        <v>1356</v>
      </c>
      <c r="R385" s="46" t="s">
        <v>1314</v>
      </c>
      <c r="S385" s="47" t="s">
        <v>1356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5">
      <c r="A386" s="43">
        <v>386</v>
      </c>
      <c r="B386" s="26" t="s">
        <v>1023</v>
      </c>
      <c r="C386" s="25" t="s">
        <v>1364</v>
      </c>
      <c r="D386" s="62" t="s">
        <v>1361</v>
      </c>
      <c r="E386" s="63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1355</v>
      </c>
      <c r="N386" s="52" t="s">
        <v>1</v>
      </c>
      <c r="O386" s="28" t="s">
        <v>399</v>
      </c>
      <c r="P386" s="46" t="s">
        <v>1313</v>
      </c>
      <c r="Q386" s="47" t="s">
        <v>1356</v>
      </c>
      <c r="R386" s="46" t="s">
        <v>1314</v>
      </c>
      <c r="S386" s="47" t="s">
        <v>1356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5">
      <c r="A387" s="43">
        <v>387</v>
      </c>
      <c r="B387" s="26" t="s">
        <v>1024</v>
      </c>
      <c r="C387" s="25" t="s">
        <v>1364</v>
      </c>
      <c r="D387" s="62" t="s">
        <v>1361</v>
      </c>
      <c r="E387" s="63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1355</v>
      </c>
      <c r="N387" s="52" t="s">
        <v>1</v>
      </c>
      <c r="O387" s="28" t="s">
        <v>400</v>
      </c>
      <c r="P387" s="46" t="s">
        <v>1313</v>
      </c>
      <c r="Q387" s="47" t="s">
        <v>1356</v>
      </c>
      <c r="R387" s="46" t="s">
        <v>1314</v>
      </c>
      <c r="S387" s="47" t="s">
        <v>1356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5">
      <c r="A388" s="43">
        <v>388</v>
      </c>
      <c r="B388" s="26" t="s">
        <v>1025</v>
      </c>
      <c r="C388" s="25" t="s">
        <v>1364</v>
      </c>
      <c r="D388" s="62" t="s">
        <v>1361</v>
      </c>
      <c r="E388" s="63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1355</v>
      </c>
      <c r="N388" s="52" t="s">
        <v>1</v>
      </c>
      <c r="O388" s="28" t="s">
        <v>401</v>
      </c>
      <c r="P388" s="46" t="s">
        <v>1313</v>
      </c>
      <c r="Q388" s="47" t="s">
        <v>1356</v>
      </c>
      <c r="R388" s="46" t="s">
        <v>1314</v>
      </c>
      <c r="S388" s="47" t="s">
        <v>1356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5">
      <c r="A389" s="43">
        <v>389</v>
      </c>
      <c r="B389" s="26" t="s">
        <v>1026</v>
      </c>
      <c r="C389" s="25" t="s">
        <v>1364</v>
      </c>
      <c r="D389" s="62" t="s">
        <v>1361</v>
      </c>
      <c r="E389" s="63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1355</v>
      </c>
      <c r="N389" s="52" t="s">
        <v>1</v>
      </c>
      <c r="O389" s="28" t="s">
        <v>402</v>
      </c>
      <c r="P389" s="46" t="s">
        <v>1313</v>
      </c>
      <c r="Q389" s="47" t="s">
        <v>1356</v>
      </c>
      <c r="R389" s="46" t="s">
        <v>1314</v>
      </c>
      <c r="S389" s="47" t="s">
        <v>1356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5">
      <c r="A390" s="43">
        <v>390</v>
      </c>
      <c r="B390" s="26" t="s">
        <v>1027</v>
      </c>
      <c r="C390" s="25" t="s">
        <v>1364</v>
      </c>
      <c r="D390" s="62" t="s">
        <v>1361</v>
      </c>
      <c r="E390" s="63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1355</v>
      </c>
      <c r="N390" s="52" t="s">
        <v>1</v>
      </c>
      <c r="O390" s="28" t="s">
        <v>403</v>
      </c>
      <c r="P390" s="46" t="s">
        <v>1313</v>
      </c>
      <c r="Q390" s="47" t="s">
        <v>1356</v>
      </c>
      <c r="R390" s="46" t="s">
        <v>1314</v>
      </c>
      <c r="S390" s="47" t="s">
        <v>1356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5">
      <c r="A391" s="43">
        <v>391</v>
      </c>
      <c r="B391" s="26" t="s">
        <v>1028</v>
      </c>
      <c r="C391" s="25" t="s">
        <v>1364</v>
      </c>
      <c r="D391" s="62" t="s">
        <v>1361</v>
      </c>
      <c r="E391" s="63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1355</v>
      </c>
      <c r="N391" s="52" t="s">
        <v>1</v>
      </c>
      <c r="O391" s="28" t="s">
        <v>404</v>
      </c>
      <c r="P391" s="46" t="s">
        <v>1313</v>
      </c>
      <c r="Q391" s="47" t="s">
        <v>1356</v>
      </c>
      <c r="R391" s="46" t="s">
        <v>1314</v>
      </c>
      <c r="S391" s="47" t="s">
        <v>1356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5">
      <c r="A392" s="43">
        <v>392</v>
      </c>
      <c r="B392" s="26" t="s">
        <v>1029</v>
      </c>
      <c r="C392" s="25" t="s">
        <v>1364</v>
      </c>
      <c r="D392" s="62" t="s">
        <v>1361</v>
      </c>
      <c r="E392" s="63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1355</v>
      </c>
      <c r="N392" s="52" t="s">
        <v>1</v>
      </c>
      <c r="O392" s="28" t="s">
        <v>405</v>
      </c>
      <c r="P392" s="46" t="s">
        <v>1313</v>
      </c>
      <c r="Q392" s="47" t="s">
        <v>1356</v>
      </c>
      <c r="R392" s="46" t="s">
        <v>1314</v>
      </c>
      <c r="S392" s="47" t="s">
        <v>1356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5">
      <c r="A393" s="43">
        <v>393</v>
      </c>
      <c r="B393" s="26" t="s">
        <v>1030</v>
      </c>
      <c r="C393" s="25" t="s">
        <v>1364</v>
      </c>
      <c r="D393" s="62" t="s">
        <v>1361</v>
      </c>
      <c r="E393" s="63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1355</v>
      </c>
      <c r="N393" s="52" t="s">
        <v>1</v>
      </c>
      <c r="O393" s="28" t="s">
        <v>406</v>
      </c>
      <c r="P393" s="46" t="s">
        <v>1313</v>
      </c>
      <c r="Q393" s="47" t="s">
        <v>1356</v>
      </c>
      <c r="R393" s="46" t="s">
        <v>1314</v>
      </c>
      <c r="S393" s="47" t="s">
        <v>1356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5">
      <c r="A394" s="43">
        <v>394</v>
      </c>
      <c r="B394" s="26" t="s">
        <v>1031</v>
      </c>
      <c r="C394" s="25" t="s">
        <v>1364</v>
      </c>
      <c r="D394" s="62" t="s">
        <v>1361</v>
      </c>
      <c r="E394" s="63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1355</v>
      </c>
      <c r="N394" s="52" t="s">
        <v>1</v>
      </c>
      <c r="O394" s="28" t="s">
        <v>407</v>
      </c>
      <c r="P394" s="46" t="s">
        <v>1313</v>
      </c>
      <c r="Q394" s="47" t="s">
        <v>1356</v>
      </c>
      <c r="R394" s="46" t="s">
        <v>1314</v>
      </c>
      <c r="S394" s="47" t="s">
        <v>1356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5">
      <c r="A395" s="43">
        <v>395</v>
      </c>
      <c r="B395" s="26" t="s">
        <v>1032</v>
      </c>
      <c r="C395" s="25" t="s">
        <v>1364</v>
      </c>
      <c r="D395" s="62" t="s">
        <v>1361</v>
      </c>
      <c r="E395" s="63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1355</v>
      </c>
      <c r="N395" s="52" t="s">
        <v>1</v>
      </c>
      <c r="O395" s="28" t="s">
        <v>408</v>
      </c>
      <c r="P395" s="46" t="s">
        <v>1313</v>
      </c>
      <c r="Q395" s="47" t="s">
        <v>1356</v>
      </c>
      <c r="R395" s="46" t="s">
        <v>1314</v>
      </c>
      <c r="S395" s="47" t="s">
        <v>1356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5">
      <c r="A396" s="43">
        <v>396</v>
      </c>
      <c r="B396" s="26" t="s">
        <v>1033</v>
      </c>
      <c r="C396" s="25" t="s">
        <v>1364</v>
      </c>
      <c r="D396" s="62" t="s">
        <v>1361</v>
      </c>
      <c r="E396" s="63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1355</v>
      </c>
      <c r="N396" s="52" t="s">
        <v>1</v>
      </c>
      <c r="O396" s="28" t="s">
        <v>409</v>
      </c>
      <c r="P396" s="46" t="s">
        <v>1313</v>
      </c>
      <c r="Q396" s="47" t="s">
        <v>1356</v>
      </c>
      <c r="R396" s="46" t="s">
        <v>1314</v>
      </c>
      <c r="S396" s="47" t="s">
        <v>1356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5">
      <c r="A397" s="43">
        <v>397</v>
      </c>
      <c r="B397" s="26" t="s">
        <v>1034</v>
      </c>
      <c r="C397" s="25" t="s">
        <v>1364</v>
      </c>
      <c r="D397" s="62" t="s">
        <v>1361</v>
      </c>
      <c r="E397" s="63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1355</v>
      </c>
      <c r="N397" s="52" t="s">
        <v>1</v>
      </c>
      <c r="O397" s="28" t="s">
        <v>410</v>
      </c>
      <c r="P397" s="46" t="s">
        <v>1313</v>
      </c>
      <c r="Q397" s="47" t="s">
        <v>1356</v>
      </c>
      <c r="R397" s="46" t="s">
        <v>1314</v>
      </c>
      <c r="S397" s="47" t="s">
        <v>1356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5">
      <c r="A398" s="43">
        <v>398</v>
      </c>
      <c r="B398" s="26" t="s">
        <v>1035</v>
      </c>
      <c r="C398" s="25" t="s">
        <v>1364</v>
      </c>
      <c r="D398" s="62" t="s">
        <v>1361</v>
      </c>
      <c r="E398" s="63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1355</v>
      </c>
      <c r="N398" s="52" t="s">
        <v>1</v>
      </c>
      <c r="O398" s="28" t="s">
        <v>411</v>
      </c>
      <c r="P398" s="46" t="s">
        <v>1313</v>
      </c>
      <c r="Q398" s="47" t="s">
        <v>1356</v>
      </c>
      <c r="R398" s="46" t="s">
        <v>1314</v>
      </c>
      <c r="S398" s="47" t="s">
        <v>1356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5">
      <c r="A399" s="43">
        <v>399</v>
      </c>
      <c r="B399" s="26" t="s">
        <v>1036</v>
      </c>
      <c r="C399" s="25" t="s">
        <v>1364</v>
      </c>
      <c r="D399" s="62" t="s">
        <v>1361</v>
      </c>
      <c r="E399" s="63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1355</v>
      </c>
      <c r="N399" s="52" t="s">
        <v>1</v>
      </c>
      <c r="O399" s="28" t="s">
        <v>412</v>
      </c>
      <c r="P399" s="46" t="s">
        <v>1313</v>
      </c>
      <c r="Q399" s="47" t="s">
        <v>1356</v>
      </c>
      <c r="R399" s="46" t="s">
        <v>1314</v>
      </c>
      <c r="S399" s="47" t="s">
        <v>1356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5">
      <c r="A400" s="43">
        <v>400</v>
      </c>
      <c r="B400" s="26" t="s">
        <v>1037</v>
      </c>
      <c r="C400" s="25" t="s">
        <v>1364</v>
      </c>
      <c r="D400" s="62" t="s">
        <v>1361</v>
      </c>
      <c r="E400" s="63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1355</v>
      </c>
      <c r="N400" s="52" t="s">
        <v>1</v>
      </c>
      <c r="O400" s="28" t="s">
        <v>413</v>
      </c>
      <c r="P400" s="46" t="s">
        <v>1313</v>
      </c>
      <c r="Q400" s="47" t="s">
        <v>1356</v>
      </c>
      <c r="R400" s="46" t="s">
        <v>1314</v>
      </c>
      <c r="S400" s="47" t="s">
        <v>1356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5">
      <c r="A401" s="43">
        <v>401</v>
      </c>
      <c r="B401" s="26" t="s">
        <v>1038</v>
      </c>
      <c r="C401" s="25" t="s">
        <v>1364</v>
      </c>
      <c r="D401" s="62" t="s">
        <v>1361</v>
      </c>
      <c r="E401" s="63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1355</v>
      </c>
      <c r="N401" s="52" t="s">
        <v>1</v>
      </c>
      <c r="O401" s="28" t="s">
        <v>414</v>
      </c>
      <c r="P401" s="46" t="s">
        <v>1313</v>
      </c>
      <c r="Q401" s="47" t="s">
        <v>1356</v>
      </c>
      <c r="R401" s="46" t="s">
        <v>1314</v>
      </c>
      <c r="S401" s="47" t="s">
        <v>1356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5">
      <c r="A402" s="43">
        <v>402</v>
      </c>
      <c r="B402" s="26" t="s">
        <v>1039</v>
      </c>
      <c r="C402" s="25" t="s">
        <v>1364</v>
      </c>
      <c r="D402" s="62" t="s">
        <v>1361</v>
      </c>
      <c r="E402" s="63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1355</v>
      </c>
      <c r="N402" s="52" t="s">
        <v>1</v>
      </c>
      <c r="O402" s="28" t="s">
        <v>415</v>
      </c>
      <c r="P402" s="46" t="s">
        <v>1313</v>
      </c>
      <c r="Q402" s="47" t="s">
        <v>1356</v>
      </c>
      <c r="R402" s="46" t="s">
        <v>1314</v>
      </c>
      <c r="S402" s="47" t="s">
        <v>1356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5">
      <c r="A403" s="43">
        <v>403</v>
      </c>
      <c r="B403" s="26" t="s">
        <v>1040</v>
      </c>
      <c r="C403" s="25" t="s">
        <v>1364</v>
      </c>
      <c r="D403" s="62" t="s">
        <v>1361</v>
      </c>
      <c r="E403" s="63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1355</v>
      </c>
      <c r="N403" s="52" t="s">
        <v>1</v>
      </c>
      <c r="O403" s="28" t="s">
        <v>416</v>
      </c>
      <c r="P403" s="46" t="s">
        <v>1313</v>
      </c>
      <c r="Q403" s="47" t="s">
        <v>1356</v>
      </c>
      <c r="R403" s="46" t="s">
        <v>1314</v>
      </c>
      <c r="S403" s="47" t="s">
        <v>1356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5">
      <c r="A404" s="43">
        <v>404</v>
      </c>
      <c r="B404" s="26" t="s">
        <v>1041</v>
      </c>
      <c r="C404" s="25" t="s">
        <v>1364</v>
      </c>
      <c r="D404" s="62" t="s">
        <v>1361</v>
      </c>
      <c r="E404" s="63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1355</v>
      </c>
      <c r="N404" s="52" t="s">
        <v>1</v>
      </c>
      <c r="O404" s="28" t="s">
        <v>417</v>
      </c>
      <c r="P404" s="46" t="s">
        <v>1313</v>
      </c>
      <c r="Q404" s="47" t="s">
        <v>1356</v>
      </c>
      <c r="R404" s="46" t="s">
        <v>1314</v>
      </c>
      <c r="S404" s="47" t="s">
        <v>1356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5">
      <c r="A405" s="43">
        <v>405</v>
      </c>
      <c r="B405" s="26" t="s">
        <v>1042</v>
      </c>
      <c r="C405" s="25" t="s">
        <v>1364</v>
      </c>
      <c r="D405" s="62" t="s">
        <v>1361</v>
      </c>
      <c r="E405" s="63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1355</v>
      </c>
      <c r="N405" s="52" t="s">
        <v>1</v>
      </c>
      <c r="O405" s="28" t="s">
        <v>418</v>
      </c>
      <c r="P405" s="46" t="s">
        <v>1313</v>
      </c>
      <c r="Q405" s="47" t="s">
        <v>1356</v>
      </c>
      <c r="R405" s="46" t="s">
        <v>1314</v>
      </c>
      <c r="S405" s="47" t="s">
        <v>1356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5">
      <c r="A406" s="43">
        <v>406</v>
      </c>
      <c r="B406" s="26" t="s">
        <v>1043</v>
      </c>
      <c r="C406" s="25" t="s">
        <v>1364</v>
      </c>
      <c r="D406" s="62" t="s">
        <v>1361</v>
      </c>
      <c r="E406" s="63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1355</v>
      </c>
      <c r="N406" s="52" t="s">
        <v>1</v>
      </c>
      <c r="O406" s="28" t="s">
        <v>419</v>
      </c>
      <c r="P406" s="46" t="s">
        <v>1313</v>
      </c>
      <c r="Q406" s="47" t="s">
        <v>1356</v>
      </c>
      <c r="R406" s="46" t="s">
        <v>1314</v>
      </c>
      <c r="S406" s="47" t="s">
        <v>1356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5">
      <c r="A407" s="43">
        <v>407</v>
      </c>
      <c r="B407" s="26" t="s">
        <v>1044</v>
      </c>
      <c r="C407" s="25" t="s">
        <v>1364</v>
      </c>
      <c r="D407" s="62" t="s">
        <v>1361</v>
      </c>
      <c r="E407" s="63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1355</v>
      </c>
      <c r="N407" s="52" t="s">
        <v>1</v>
      </c>
      <c r="O407" s="28" t="s">
        <v>420</v>
      </c>
      <c r="P407" s="46" t="s">
        <v>1313</v>
      </c>
      <c r="Q407" s="47" t="s">
        <v>1356</v>
      </c>
      <c r="R407" s="46" t="s">
        <v>1314</v>
      </c>
      <c r="S407" s="47" t="s">
        <v>1356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5">
      <c r="A408" s="43">
        <v>408</v>
      </c>
      <c r="B408" s="26" t="s">
        <v>1045</v>
      </c>
      <c r="C408" s="25" t="s">
        <v>1364</v>
      </c>
      <c r="D408" s="62" t="s">
        <v>1361</v>
      </c>
      <c r="E408" s="63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1355</v>
      </c>
      <c r="N408" s="52" t="s">
        <v>1</v>
      </c>
      <c r="O408" s="28" t="s">
        <v>421</v>
      </c>
      <c r="P408" s="46" t="s">
        <v>1313</v>
      </c>
      <c r="Q408" s="47" t="s">
        <v>1356</v>
      </c>
      <c r="R408" s="46" t="s">
        <v>1314</v>
      </c>
      <c r="S408" s="47" t="s">
        <v>1356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5">
      <c r="A409" s="43">
        <v>409</v>
      </c>
      <c r="B409" s="26" t="s">
        <v>1046</v>
      </c>
      <c r="C409" s="25" t="s">
        <v>1364</v>
      </c>
      <c r="D409" s="62" t="s">
        <v>1361</v>
      </c>
      <c r="E409" s="63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1355</v>
      </c>
      <c r="N409" s="52" t="s">
        <v>1</v>
      </c>
      <c r="O409" s="28" t="s">
        <v>422</v>
      </c>
      <c r="P409" s="46" t="s">
        <v>1313</v>
      </c>
      <c r="Q409" s="47" t="s">
        <v>1356</v>
      </c>
      <c r="R409" s="46" t="s">
        <v>1314</v>
      </c>
      <c r="S409" s="47" t="s">
        <v>1356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5">
      <c r="A410" s="43">
        <v>410</v>
      </c>
      <c r="B410" s="26" t="s">
        <v>1047</v>
      </c>
      <c r="C410" s="25" t="s">
        <v>1364</v>
      </c>
      <c r="D410" s="62" t="s">
        <v>1361</v>
      </c>
      <c r="E410" s="63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1355</v>
      </c>
      <c r="N410" s="52" t="s">
        <v>1</v>
      </c>
      <c r="O410" s="28" t="s">
        <v>423</v>
      </c>
      <c r="P410" s="46" t="s">
        <v>1313</v>
      </c>
      <c r="Q410" s="47" t="s">
        <v>1356</v>
      </c>
      <c r="R410" s="46" t="s">
        <v>1314</v>
      </c>
      <c r="S410" s="47" t="s">
        <v>1356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5">
      <c r="A411" s="43">
        <v>411</v>
      </c>
      <c r="B411" s="26" t="s">
        <v>1048</v>
      </c>
      <c r="C411" s="25" t="s">
        <v>1364</v>
      </c>
      <c r="D411" s="62" t="s">
        <v>1361</v>
      </c>
      <c r="E411" s="63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1355</v>
      </c>
      <c r="N411" s="52" t="s">
        <v>1</v>
      </c>
      <c r="O411" s="28" t="s">
        <v>424</v>
      </c>
      <c r="P411" s="46" t="s">
        <v>1313</v>
      </c>
      <c r="Q411" s="47" t="s">
        <v>1356</v>
      </c>
      <c r="R411" s="46" t="s">
        <v>1314</v>
      </c>
      <c r="S411" s="47" t="s">
        <v>1356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5">
      <c r="A412" s="43">
        <v>412</v>
      </c>
      <c r="B412" s="26" t="s">
        <v>1049</v>
      </c>
      <c r="C412" s="25" t="s">
        <v>1364</v>
      </c>
      <c r="D412" s="62" t="s">
        <v>1361</v>
      </c>
      <c r="E412" s="63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1355</v>
      </c>
      <c r="N412" s="52" t="s">
        <v>1</v>
      </c>
      <c r="O412" s="28" t="s">
        <v>425</v>
      </c>
      <c r="P412" s="46" t="s">
        <v>1313</v>
      </c>
      <c r="Q412" s="47" t="s">
        <v>1356</v>
      </c>
      <c r="R412" s="46" t="s">
        <v>1314</v>
      </c>
      <c r="S412" s="47" t="s">
        <v>1356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5">
      <c r="A413" s="43">
        <v>413</v>
      </c>
      <c r="B413" s="26" t="s">
        <v>1050</v>
      </c>
      <c r="C413" s="25" t="s">
        <v>1364</v>
      </c>
      <c r="D413" s="62" t="s">
        <v>1361</v>
      </c>
      <c r="E413" s="63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1355</v>
      </c>
      <c r="N413" s="52" t="s">
        <v>1</v>
      </c>
      <c r="O413" s="28" t="s">
        <v>426</v>
      </c>
      <c r="P413" s="46" t="s">
        <v>1313</v>
      </c>
      <c r="Q413" s="47" t="s">
        <v>1356</v>
      </c>
      <c r="R413" s="46" t="s">
        <v>1314</v>
      </c>
      <c r="S413" s="47" t="s">
        <v>1356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5">
      <c r="A414" s="43">
        <v>414</v>
      </c>
      <c r="B414" s="26" t="s">
        <v>1051</v>
      </c>
      <c r="C414" s="25" t="s">
        <v>1364</v>
      </c>
      <c r="D414" s="62" t="s">
        <v>1361</v>
      </c>
      <c r="E414" s="63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1355</v>
      </c>
      <c r="N414" s="52" t="s">
        <v>1</v>
      </c>
      <c r="O414" s="28" t="s">
        <v>427</v>
      </c>
      <c r="P414" s="46" t="s">
        <v>1313</v>
      </c>
      <c r="Q414" s="47" t="s">
        <v>1356</v>
      </c>
      <c r="R414" s="46" t="s">
        <v>1314</v>
      </c>
      <c r="S414" s="47" t="s">
        <v>1356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5">
      <c r="A415" s="43">
        <v>415</v>
      </c>
      <c r="B415" s="26" t="s">
        <v>1052</v>
      </c>
      <c r="C415" s="25" t="s">
        <v>1364</v>
      </c>
      <c r="D415" s="62" t="s">
        <v>1361</v>
      </c>
      <c r="E415" s="63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1355</v>
      </c>
      <c r="N415" s="52" t="s">
        <v>1</v>
      </c>
      <c r="O415" s="28" t="s">
        <v>428</v>
      </c>
      <c r="P415" s="46" t="s">
        <v>1313</v>
      </c>
      <c r="Q415" s="47" t="s">
        <v>1356</v>
      </c>
      <c r="R415" s="46" t="s">
        <v>1314</v>
      </c>
      <c r="S415" s="47" t="s">
        <v>1356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5">
      <c r="A416" s="43">
        <v>416</v>
      </c>
      <c r="B416" s="26" t="s">
        <v>1053</v>
      </c>
      <c r="C416" s="25" t="s">
        <v>1364</v>
      </c>
      <c r="D416" s="62" t="s">
        <v>1361</v>
      </c>
      <c r="E416" s="63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1355</v>
      </c>
      <c r="N416" s="52" t="s">
        <v>1</v>
      </c>
      <c r="O416" s="28" t="s">
        <v>429</v>
      </c>
      <c r="P416" s="46" t="s">
        <v>1313</v>
      </c>
      <c r="Q416" s="47" t="s">
        <v>1356</v>
      </c>
      <c r="R416" s="46" t="s">
        <v>1314</v>
      </c>
      <c r="S416" s="47" t="s">
        <v>1356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5">
      <c r="A417" s="43">
        <v>417</v>
      </c>
      <c r="B417" s="26" t="s">
        <v>1054</v>
      </c>
      <c r="C417" s="25" t="s">
        <v>1364</v>
      </c>
      <c r="D417" s="62" t="s">
        <v>1361</v>
      </c>
      <c r="E417" s="63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1355</v>
      </c>
      <c r="N417" s="52" t="s">
        <v>1</v>
      </c>
      <c r="O417" s="28" t="s">
        <v>430</v>
      </c>
      <c r="P417" s="46" t="s">
        <v>1313</v>
      </c>
      <c r="Q417" s="47" t="s">
        <v>1356</v>
      </c>
      <c r="R417" s="46" t="s">
        <v>1314</v>
      </c>
      <c r="S417" s="47" t="s">
        <v>1356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5">
      <c r="A418" s="43">
        <v>418</v>
      </c>
      <c r="B418" s="26" t="s">
        <v>1055</v>
      </c>
      <c r="C418" s="25" t="s">
        <v>1364</v>
      </c>
      <c r="D418" s="62" t="s">
        <v>1361</v>
      </c>
      <c r="E418" s="63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1355</v>
      </c>
      <c r="N418" s="52" t="s">
        <v>1</v>
      </c>
      <c r="O418" s="28" t="s">
        <v>431</v>
      </c>
      <c r="P418" s="46" t="s">
        <v>1313</v>
      </c>
      <c r="Q418" s="47" t="s">
        <v>1356</v>
      </c>
      <c r="R418" s="46" t="s">
        <v>1314</v>
      </c>
      <c r="S418" s="47" t="s">
        <v>1356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5">
      <c r="A419" s="43">
        <v>419</v>
      </c>
      <c r="B419" s="26" t="s">
        <v>1056</v>
      </c>
      <c r="C419" s="25" t="s">
        <v>1364</v>
      </c>
      <c r="D419" s="62" t="s">
        <v>1361</v>
      </c>
      <c r="E419" s="63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1355</v>
      </c>
      <c r="N419" s="52" t="s">
        <v>1</v>
      </c>
      <c r="O419" s="28" t="s">
        <v>432</v>
      </c>
      <c r="P419" s="46" t="s">
        <v>1313</v>
      </c>
      <c r="Q419" s="47" t="s">
        <v>1356</v>
      </c>
      <c r="R419" s="46" t="s">
        <v>1314</v>
      </c>
      <c r="S419" s="47" t="s">
        <v>1356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5">
      <c r="A420" s="43">
        <v>420</v>
      </c>
      <c r="B420" s="26" t="s">
        <v>1057</v>
      </c>
      <c r="C420" s="25" t="s">
        <v>1364</v>
      </c>
      <c r="D420" s="62" t="s">
        <v>1361</v>
      </c>
      <c r="E420" s="63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1355</v>
      </c>
      <c r="N420" s="52" t="s">
        <v>1</v>
      </c>
      <c r="O420" s="28" t="s">
        <v>433</v>
      </c>
      <c r="P420" s="46" t="s">
        <v>1313</v>
      </c>
      <c r="Q420" s="47" t="s">
        <v>1356</v>
      </c>
      <c r="R420" s="46" t="s">
        <v>1314</v>
      </c>
      <c r="S420" s="47" t="s">
        <v>1356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5">
      <c r="A421" s="43">
        <v>421</v>
      </c>
      <c r="B421" s="54" t="s">
        <v>1321</v>
      </c>
      <c r="C421" s="25" t="s">
        <v>1364</v>
      </c>
      <c r="D421" s="62" t="s">
        <v>1361</v>
      </c>
      <c r="E421" s="63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1355</v>
      </c>
      <c r="N421" s="52" t="s">
        <v>1</v>
      </c>
      <c r="O421" s="28" t="s">
        <v>434</v>
      </c>
      <c r="P421" s="46" t="s">
        <v>1313</v>
      </c>
      <c r="Q421" s="47" t="s">
        <v>1356</v>
      </c>
      <c r="R421" s="46" t="s">
        <v>1314</v>
      </c>
      <c r="S421" s="47" t="s">
        <v>1356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5">
      <c r="A422" s="43">
        <v>422</v>
      </c>
      <c r="B422" s="54" t="s">
        <v>1322</v>
      </c>
      <c r="C422" s="25" t="s">
        <v>1364</v>
      </c>
      <c r="D422" s="62" t="s">
        <v>1361</v>
      </c>
      <c r="E422" s="63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1355</v>
      </c>
      <c r="N422" s="52" t="s">
        <v>1</v>
      </c>
      <c r="O422" s="28" t="s">
        <v>435</v>
      </c>
      <c r="P422" s="46" t="s">
        <v>1313</v>
      </c>
      <c r="Q422" s="47" t="s">
        <v>1356</v>
      </c>
      <c r="R422" s="46" t="s">
        <v>1314</v>
      </c>
      <c r="S422" s="47" t="s">
        <v>1356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5">
      <c r="A423" s="43">
        <v>423</v>
      </c>
      <c r="B423" s="26" t="s">
        <v>1058</v>
      </c>
      <c r="C423" s="25" t="s">
        <v>1365</v>
      </c>
      <c r="D423" s="62" t="s">
        <v>1361</v>
      </c>
      <c r="E423" s="63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1359</v>
      </c>
      <c r="N423" s="52" t="s">
        <v>1</v>
      </c>
      <c r="O423" s="27" t="s">
        <v>436</v>
      </c>
      <c r="P423" s="46" t="s">
        <v>1313</v>
      </c>
      <c r="Q423" s="47" t="s">
        <v>1356</v>
      </c>
      <c r="R423" s="46" t="s">
        <v>1314</v>
      </c>
      <c r="S423" s="47" t="s">
        <v>1356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5">
      <c r="A424" s="43">
        <v>424</v>
      </c>
      <c r="B424" s="26" t="s">
        <v>1059</v>
      </c>
      <c r="C424" s="25" t="s">
        <v>1365</v>
      </c>
      <c r="D424" s="62" t="s">
        <v>1361</v>
      </c>
      <c r="E424" s="63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1359</v>
      </c>
      <c r="N424" s="52" t="s">
        <v>1</v>
      </c>
      <c r="O424" s="28" t="s">
        <v>437</v>
      </c>
      <c r="P424" s="46" t="s">
        <v>1313</v>
      </c>
      <c r="Q424" s="47" t="s">
        <v>1356</v>
      </c>
      <c r="R424" s="46" t="s">
        <v>1314</v>
      </c>
      <c r="S424" s="47" t="s">
        <v>1356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5">
      <c r="A425" s="43">
        <v>425</v>
      </c>
      <c r="B425" s="26" t="s">
        <v>1060</v>
      </c>
      <c r="C425" s="25" t="s">
        <v>1365</v>
      </c>
      <c r="D425" s="62" t="s">
        <v>1361</v>
      </c>
      <c r="E425" s="63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1359</v>
      </c>
      <c r="N425" s="52" t="s">
        <v>1</v>
      </c>
      <c r="O425" s="28" t="s">
        <v>438</v>
      </c>
      <c r="P425" s="46" t="s">
        <v>1313</v>
      </c>
      <c r="Q425" s="47" t="s">
        <v>1356</v>
      </c>
      <c r="R425" s="46" t="s">
        <v>1314</v>
      </c>
      <c r="S425" s="47" t="s">
        <v>1356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5">
      <c r="A426" s="43">
        <v>426</v>
      </c>
      <c r="B426" s="26" t="s">
        <v>1061</v>
      </c>
      <c r="C426" s="25" t="s">
        <v>1365</v>
      </c>
      <c r="D426" s="62" t="s">
        <v>1361</v>
      </c>
      <c r="E426" s="63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1359</v>
      </c>
      <c r="N426" s="52" t="s">
        <v>1</v>
      </c>
      <c r="O426" s="28" t="s">
        <v>439</v>
      </c>
      <c r="P426" s="46" t="s">
        <v>1313</v>
      </c>
      <c r="Q426" s="47" t="s">
        <v>1356</v>
      </c>
      <c r="R426" s="46" t="s">
        <v>1314</v>
      </c>
      <c r="S426" s="47" t="s">
        <v>1356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5">
      <c r="A427" s="43">
        <v>427</v>
      </c>
      <c r="B427" s="26" t="s">
        <v>1062</v>
      </c>
      <c r="C427" s="25" t="s">
        <v>1365</v>
      </c>
      <c r="D427" s="62" t="s">
        <v>1361</v>
      </c>
      <c r="E427" s="63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1359</v>
      </c>
      <c r="N427" s="52" t="s">
        <v>1</v>
      </c>
      <c r="O427" s="28" t="s">
        <v>440</v>
      </c>
      <c r="P427" s="46" t="s">
        <v>1313</v>
      </c>
      <c r="Q427" s="47" t="s">
        <v>1356</v>
      </c>
      <c r="R427" s="46" t="s">
        <v>1314</v>
      </c>
      <c r="S427" s="47" t="s">
        <v>1356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5">
      <c r="A428" s="43">
        <v>428</v>
      </c>
      <c r="B428" s="26" t="s">
        <v>1063</v>
      </c>
      <c r="C428" s="25" t="s">
        <v>1365</v>
      </c>
      <c r="D428" s="62" t="s">
        <v>1361</v>
      </c>
      <c r="E428" s="63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1359</v>
      </c>
      <c r="N428" s="52" t="s">
        <v>1</v>
      </c>
      <c r="O428" s="28" t="s">
        <v>441</v>
      </c>
      <c r="P428" s="46" t="s">
        <v>1313</v>
      </c>
      <c r="Q428" s="47" t="s">
        <v>1356</v>
      </c>
      <c r="R428" s="46" t="s">
        <v>1314</v>
      </c>
      <c r="S428" s="47" t="s">
        <v>1356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5">
      <c r="A429" s="43">
        <v>429</v>
      </c>
      <c r="B429" s="26" t="s">
        <v>1064</v>
      </c>
      <c r="C429" s="25" t="s">
        <v>1365</v>
      </c>
      <c r="D429" s="62" t="s">
        <v>1361</v>
      </c>
      <c r="E429" s="63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1359</v>
      </c>
      <c r="N429" s="52" t="s">
        <v>1</v>
      </c>
      <c r="O429" s="28" t="s">
        <v>442</v>
      </c>
      <c r="P429" s="46" t="s">
        <v>1313</v>
      </c>
      <c r="Q429" s="47" t="s">
        <v>1356</v>
      </c>
      <c r="R429" s="46" t="s">
        <v>1314</v>
      </c>
      <c r="S429" s="47" t="s">
        <v>1356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5">
      <c r="A430" s="43">
        <v>430</v>
      </c>
      <c r="B430" s="26" t="s">
        <v>1065</v>
      </c>
      <c r="C430" s="25" t="s">
        <v>1365</v>
      </c>
      <c r="D430" s="62" t="s">
        <v>1361</v>
      </c>
      <c r="E430" s="63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1359</v>
      </c>
      <c r="N430" s="52" t="s">
        <v>1</v>
      </c>
      <c r="O430" s="28" t="s">
        <v>443</v>
      </c>
      <c r="P430" s="46" t="s">
        <v>1313</v>
      </c>
      <c r="Q430" s="47" t="s">
        <v>1356</v>
      </c>
      <c r="R430" s="46" t="s">
        <v>1314</v>
      </c>
      <c r="S430" s="47" t="s">
        <v>1356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5">
      <c r="A431" s="43">
        <v>431</v>
      </c>
      <c r="B431" s="26" t="s">
        <v>1066</v>
      </c>
      <c r="C431" s="25" t="s">
        <v>1365</v>
      </c>
      <c r="D431" s="62" t="s">
        <v>1361</v>
      </c>
      <c r="E431" s="63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1359</v>
      </c>
      <c r="N431" s="52" t="s">
        <v>1</v>
      </c>
      <c r="O431" s="28" t="s">
        <v>444</v>
      </c>
      <c r="P431" s="46" t="s">
        <v>1313</v>
      </c>
      <c r="Q431" s="47" t="s">
        <v>1356</v>
      </c>
      <c r="R431" s="46" t="s">
        <v>1314</v>
      </c>
      <c r="S431" s="47" t="s">
        <v>1356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5">
      <c r="A432" s="43">
        <v>432</v>
      </c>
      <c r="B432" s="26" t="s">
        <v>1067</v>
      </c>
      <c r="C432" s="25" t="s">
        <v>1365</v>
      </c>
      <c r="D432" s="62" t="s">
        <v>1361</v>
      </c>
      <c r="E432" s="63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1359</v>
      </c>
      <c r="N432" s="52" t="s">
        <v>1</v>
      </c>
      <c r="O432" s="28" t="s">
        <v>445</v>
      </c>
      <c r="P432" s="46" t="s">
        <v>1313</v>
      </c>
      <c r="Q432" s="47" t="s">
        <v>1356</v>
      </c>
      <c r="R432" s="46" t="s">
        <v>1314</v>
      </c>
      <c r="S432" s="47" t="s">
        <v>1356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5">
      <c r="A433" s="43">
        <v>433</v>
      </c>
      <c r="B433" s="26" t="s">
        <v>1068</v>
      </c>
      <c r="C433" s="25" t="s">
        <v>1365</v>
      </c>
      <c r="D433" s="62" t="s">
        <v>1361</v>
      </c>
      <c r="E433" s="63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1359</v>
      </c>
      <c r="N433" s="52" t="s">
        <v>1</v>
      </c>
      <c r="O433" s="28" t="s">
        <v>446</v>
      </c>
      <c r="P433" s="46" t="s">
        <v>1313</v>
      </c>
      <c r="Q433" s="47" t="s">
        <v>1356</v>
      </c>
      <c r="R433" s="46" t="s">
        <v>1314</v>
      </c>
      <c r="S433" s="47" t="s">
        <v>1356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5">
      <c r="A434" s="43">
        <v>434</v>
      </c>
      <c r="B434" s="26" t="s">
        <v>1069</v>
      </c>
      <c r="C434" s="25" t="s">
        <v>1365</v>
      </c>
      <c r="D434" s="62" t="s">
        <v>1361</v>
      </c>
      <c r="E434" s="63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1359</v>
      </c>
      <c r="N434" s="52" t="s">
        <v>1</v>
      </c>
      <c r="O434" s="28" t="s">
        <v>447</v>
      </c>
      <c r="P434" s="46" t="s">
        <v>1313</v>
      </c>
      <c r="Q434" s="47" t="s">
        <v>1356</v>
      </c>
      <c r="R434" s="46" t="s">
        <v>1314</v>
      </c>
      <c r="S434" s="47" t="s">
        <v>1356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5">
      <c r="A435" s="43">
        <v>435</v>
      </c>
      <c r="B435" s="26" t="s">
        <v>1070</v>
      </c>
      <c r="C435" s="25" t="s">
        <v>1365</v>
      </c>
      <c r="D435" s="62" t="s">
        <v>1361</v>
      </c>
      <c r="E435" s="63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1359</v>
      </c>
      <c r="N435" s="52" t="s">
        <v>1</v>
      </c>
      <c r="O435" s="28" t="s">
        <v>448</v>
      </c>
      <c r="P435" s="46" t="s">
        <v>1313</v>
      </c>
      <c r="Q435" s="47" t="s">
        <v>1356</v>
      </c>
      <c r="R435" s="46" t="s">
        <v>1314</v>
      </c>
      <c r="S435" s="47" t="s">
        <v>1356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5">
      <c r="A436" s="43">
        <v>436</v>
      </c>
      <c r="B436" s="26" t="s">
        <v>1071</v>
      </c>
      <c r="C436" s="25" t="s">
        <v>1365</v>
      </c>
      <c r="D436" s="62" t="s">
        <v>1361</v>
      </c>
      <c r="E436" s="63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1359</v>
      </c>
      <c r="N436" s="52" t="s">
        <v>1</v>
      </c>
      <c r="O436" s="28" t="s">
        <v>449</v>
      </c>
      <c r="P436" s="46" t="s">
        <v>1313</v>
      </c>
      <c r="Q436" s="47" t="s">
        <v>1356</v>
      </c>
      <c r="R436" s="46" t="s">
        <v>1314</v>
      </c>
      <c r="S436" s="47" t="s">
        <v>1356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5">
      <c r="A437" s="43">
        <v>437</v>
      </c>
      <c r="B437" s="26" t="s">
        <v>1072</v>
      </c>
      <c r="C437" s="25" t="s">
        <v>1365</v>
      </c>
      <c r="D437" s="62" t="s">
        <v>1361</v>
      </c>
      <c r="E437" s="63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1359</v>
      </c>
      <c r="N437" s="52" t="s">
        <v>1</v>
      </c>
      <c r="O437" s="28" t="s">
        <v>450</v>
      </c>
      <c r="P437" s="46" t="s">
        <v>1313</v>
      </c>
      <c r="Q437" s="47" t="s">
        <v>1356</v>
      </c>
      <c r="R437" s="46" t="s">
        <v>1314</v>
      </c>
      <c r="S437" s="47" t="s">
        <v>1356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5">
      <c r="A438" s="43">
        <v>438</v>
      </c>
      <c r="B438" s="26" t="s">
        <v>1073</v>
      </c>
      <c r="C438" s="25" t="s">
        <v>1365</v>
      </c>
      <c r="D438" s="62" t="s">
        <v>1361</v>
      </c>
      <c r="E438" s="63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1359</v>
      </c>
      <c r="N438" s="52" t="s">
        <v>1</v>
      </c>
      <c r="O438" s="28" t="s">
        <v>451</v>
      </c>
      <c r="P438" s="46" t="s">
        <v>1313</v>
      </c>
      <c r="Q438" s="47" t="s">
        <v>1356</v>
      </c>
      <c r="R438" s="46" t="s">
        <v>1314</v>
      </c>
      <c r="S438" s="47" t="s">
        <v>1356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5">
      <c r="A439" s="43">
        <v>439</v>
      </c>
      <c r="B439" s="26" t="s">
        <v>1074</v>
      </c>
      <c r="C439" s="25" t="s">
        <v>1365</v>
      </c>
      <c r="D439" s="62" t="s">
        <v>1361</v>
      </c>
      <c r="E439" s="63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1359</v>
      </c>
      <c r="N439" s="52" t="s">
        <v>1</v>
      </c>
      <c r="O439" s="28" t="s">
        <v>452</v>
      </c>
      <c r="P439" s="46" t="s">
        <v>1313</v>
      </c>
      <c r="Q439" s="47" t="s">
        <v>1356</v>
      </c>
      <c r="R439" s="46" t="s">
        <v>1314</v>
      </c>
      <c r="S439" s="47" t="s">
        <v>1356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5">
      <c r="A440" s="43">
        <v>440</v>
      </c>
      <c r="B440" s="26" t="s">
        <v>1075</v>
      </c>
      <c r="C440" s="25" t="s">
        <v>1365</v>
      </c>
      <c r="D440" s="62" t="s">
        <v>1361</v>
      </c>
      <c r="E440" s="63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1359</v>
      </c>
      <c r="N440" s="52" t="s">
        <v>1</v>
      </c>
      <c r="O440" s="28" t="s">
        <v>453</v>
      </c>
      <c r="P440" s="46" t="s">
        <v>1313</v>
      </c>
      <c r="Q440" s="47" t="s">
        <v>1356</v>
      </c>
      <c r="R440" s="46" t="s">
        <v>1314</v>
      </c>
      <c r="S440" s="47" t="s">
        <v>1356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5">
      <c r="A441" s="43">
        <v>441</v>
      </c>
      <c r="B441" s="26" t="s">
        <v>1076</v>
      </c>
      <c r="C441" s="25" t="s">
        <v>1365</v>
      </c>
      <c r="D441" s="62" t="s">
        <v>1361</v>
      </c>
      <c r="E441" s="63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1359</v>
      </c>
      <c r="N441" s="52" t="s">
        <v>1</v>
      </c>
      <c r="O441" s="28" t="s">
        <v>454</v>
      </c>
      <c r="P441" s="46" t="s">
        <v>1313</v>
      </c>
      <c r="Q441" s="47" t="s">
        <v>1356</v>
      </c>
      <c r="R441" s="46" t="s">
        <v>1314</v>
      </c>
      <c r="S441" s="47" t="s">
        <v>1356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5">
      <c r="A442" s="43">
        <v>442</v>
      </c>
      <c r="B442" s="26" t="s">
        <v>1077</v>
      </c>
      <c r="C442" s="25" t="s">
        <v>1365</v>
      </c>
      <c r="D442" s="62" t="s">
        <v>1361</v>
      </c>
      <c r="E442" s="63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1359</v>
      </c>
      <c r="N442" s="52" t="s">
        <v>1</v>
      </c>
      <c r="O442" s="28" t="s">
        <v>455</v>
      </c>
      <c r="P442" s="46" t="s">
        <v>1313</v>
      </c>
      <c r="Q442" s="47" t="s">
        <v>1356</v>
      </c>
      <c r="R442" s="46" t="s">
        <v>1314</v>
      </c>
      <c r="S442" s="47" t="s">
        <v>1356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5">
      <c r="A443" s="43">
        <v>443</v>
      </c>
      <c r="B443" s="26" t="s">
        <v>1078</v>
      </c>
      <c r="C443" s="25" t="s">
        <v>1365</v>
      </c>
      <c r="D443" s="62" t="s">
        <v>1361</v>
      </c>
      <c r="E443" s="63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1359</v>
      </c>
      <c r="N443" s="52" t="s">
        <v>1</v>
      </c>
      <c r="O443" s="28" t="s">
        <v>456</v>
      </c>
      <c r="P443" s="46" t="s">
        <v>1313</v>
      </c>
      <c r="Q443" s="47" t="s">
        <v>1356</v>
      </c>
      <c r="R443" s="46" t="s">
        <v>1314</v>
      </c>
      <c r="S443" s="47" t="s">
        <v>1356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5">
      <c r="A444" s="43">
        <v>444</v>
      </c>
      <c r="B444" s="26" t="s">
        <v>1079</v>
      </c>
      <c r="C444" s="25" t="s">
        <v>1365</v>
      </c>
      <c r="D444" s="62" t="s">
        <v>1361</v>
      </c>
      <c r="E444" s="63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1359</v>
      </c>
      <c r="N444" s="52" t="s">
        <v>1</v>
      </c>
      <c r="O444" s="28" t="s">
        <v>457</v>
      </c>
      <c r="P444" s="46" t="s">
        <v>1313</v>
      </c>
      <c r="Q444" s="47" t="s">
        <v>1356</v>
      </c>
      <c r="R444" s="46" t="s">
        <v>1314</v>
      </c>
      <c r="S444" s="47" t="s">
        <v>1356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5">
      <c r="A445" s="43">
        <v>445</v>
      </c>
      <c r="B445" s="26" t="s">
        <v>1080</v>
      </c>
      <c r="C445" s="25" t="s">
        <v>1365</v>
      </c>
      <c r="D445" s="62" t="s">
        <v>1361</v>
      </c>
      <c r="E445" s="63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1359</v>
      </c>
      <c r="N445" s="52" t="s">
        <v>1</v>
      </c>
      <c r="O445" s="28" t="s">
        <v>458</v>
      </c>
      <c r="P445" s="46" t="s">
        <v>1313</v>
      </c>
      <c r="Q445" s="47" t="s">
        <v>1356</v>
      </c>
      <c r="R445" s="46" t="s">
        <v>1314</v>
      </c>
      <c r="S445" s="47" t="s">
        <v>1356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5">
      <c r="A446" s="43">
        <v>446</v>
      </c>
      <c r="B446" s="26" t="s">
        <v>1081</v>
      </c>
      <c r="C446" s="25" t="s">
        <v>1365</v>
      </c>
      <c r="D446" s="62" t="s">
        <v>1361</v>
      </c>
      <c r="E446" s="63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1359</v>
      </c>
      <c r="N446" s="52" t="s">
        <v>1</v>
      </c>
      <c r="O446" s="28" t="s">
        <v>459</v>
      </c>
      <c r="P446" s="46" t="s">
        <v>1313</v>
      </c>
      <c r="Q446" s="47" t="s">
        <v>1356</v>
      </c>
      <c r="R446" s="46" t="s">
        <v>1314</v>
      </c>
      <c r="S446" s="47" t="s">
        <v>1356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5">
      <c r="A447" s="43">
        <v>447</v>
      </c>
      <c r="B447" s="26" t="s">
        <v>1082</v>
      </c>
      <c r="C447" s="25" t="s">
        <v>1365</v>
      </c>
      <c r="D447" s="62" t="s">
        <v>1361</v>
      </c>
      <c r="E447" s="63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1359</v>
      </c>
      <c r="N447" s="52" t="s">
        <v>1</v>
      </c>
      <c r="O447" s="28" t="s">
        <v>460</v>
      </c>
      <c r="P447" s="46" t="s">
        <v>1313</v>
      </c>
      <c r="Q447" s="47" t="s">
        <v>1356</v>
      </c>
      <c r="R447" s="46" t="s">
        <v>1314</v>
      </c>
      <c r="S447" s="47" t="s">
        <v>1356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5">
      <c r="A448" s="43">
        <v>448</v>
      </c>
      <c r="B448" s="26" t="s">
        <v>1083</v>
      </c>
      <c r="C448" s="25" t="s">
        <v>1365</v>
      </c>
      <c r="D448" s="62" t="s">
        <v>1361</v>
      </c>
      <c r="E448" s="63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1359</v>
      </c>
      <c r="N448" s="52" t="s">
        <v>1</v>
      </c>
      <c r="O448" s="28" t="s">
        <v>461</v>
      </c>
      <c r="P448" s="46" t="s">
        <v>1313</v>
      </c>
      <c r="Q448" s="47" t="s">
        <v>1356</v>
      </c>
      <c r="R448" s="46" t="s">
        <v>1314</v>
      </c>
      <c r="S448" s="47" t="s">
        <v>1356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5">
      <c r="A449" s="43">
        <v>449</v>
      </c>
      <c r="B449" s="26" t="s">
        <v>1084</v>
      </c>
      <c r="C449" s="25" t="s">
        <v>1365</v>
      </c>
      <c r="D449" s="62" t="s">
        <v>1361</v>
      </c>
      <c r="E449" s="63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1359</v>
      </c>
      <c r="N449" s="52" t="s">
        <v>1</v>
      </c>
      <c r="O449" s="28" t="s">
        <v>462</v>
      </c>
      <c r="P449" s="46" t="s">
        <v>1313</v>
      </c>
      <c r="Q449" s="47" t="s">
        <v>1356</v>
      </c>
      <c r="R449" s="46" t="s">
        <v>1314</v>
      </c>
      <c r="S449" s="47" t="s">
        <v>1356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5">
      <c r="A450" s="43">
        <v>450</v>
      </c>
      <c r="B450" s="26" t="s">
        <v>1085</v>
      </c>
      <c r="C450" s="25" t="s">
        <v>1365</v>
      </c>
      <c r="D450" s="62" t="s">
        <v>1361</v>
      </c>
      <c r="E450" s="63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1359</v>
      </c>
      <c r="N450" s="52" t="s">
        <v>1</v>
      </c>
      <c r="O450" s="28" t="s">
        <v>463</v>
      </c>
      <c r="P450" s="46" t="s">
        <v>1313</v>
      </c>
      <c r="Q450" s="47" t="s">
        <v>1356</v>
      </c>
      <c r="R450" s="46" t="s">
        <v>1314</v>
      </c>
      <c r="S450" s="47" t="s">
        <v>1356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5">
      <c r="A451" s="43">
        <v>451</v>
      </c>
      <c r="B451" s="26" t="s">
        <v>1086</v>
      </c>
      <c r="C451" s="25" t="s">
        <v>1365</v>
      </c>
      <c r="D451" s="62" t="s">
        <v>1361</v>
      </c>
      <c r="E451" s="63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1359</v>
      </c>
      <c r="N451" s="52" t="s">
        <v>1</v>
      </c>
      <c r="O451" s="28" t="s">
        <v>464</v>
      </c>
      <c r="P451" s="46" t="s">
        <v>1313</v>
      </c>
      <c r="Q451" s="47" t="s">
        <v>1356</v>
      </c>
      <c r="R451" s="46" t="s">
        <v>1314</v>
      </c>
      <c r="S451" s="47" t="s">
        <v>1356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5">
      <c r="A452" s="43">
        <v>452</v>
      </c>
      <c r="B452" s="26" t="s">
        <v>1087</v>
      </c>
      <c r="C452" s="25" t="s">
        <v>1365</v>
      </c>
      <c r="D452" s="62" t="s">
        <v>1361</v>
      </c>
      <c r="E452" s="63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1359</v>
      </c>
      <c r="N452" s="52" t="s">
        <v>1</v>
      </c>
      <c r="O452" s="28" t="s">
        <v>465</v>
      </c>
      <c r="P452" s="46" t="s">
        <v>1313</v>
      </c>
      <c r="Q452" s="47" t="s">
        <v>1356</v>
      </c>
      <c r="R452" s="46" t="s">
        <v>1314</v>
      </c>
      <c r="S452" s="47" t="s">
        <v>1356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5">
      <c r="A453" s="43">
        <v>453</v>
      </c>
      <c r="B453" s="26" t="s">
        <v>1088</v>
      </c>
      <c r="C453" s="25" t="s">
        <v>1365</v>
      </c>
      <c r="D453" s="62" t="s">
        <v>1361</v>
      </c>
      <c r="E453" s="63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1359</v>
      </c>
      <c r="N453" s="52" t="s">
        <v>1</v>
      </c>
      <c r="O453" s="28" t="s">
        <v>466</v>
      </c>
      <c r="P453" s="46" t="s">
        <v>1313</v>
      </c>
      <c r="Q453" s="47" t="s">
        <v>1356</v>
      </c>
      <c r="R453" s="46" t="s">
        <v>1314</v>
      </c>
      <c r="S453" s="47" t="s">
        <v>1356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5">
      <c r="A454" s="43">
        <v>454</v>
      </c>
      <c r="B454" s="26" t="s">
        <v>1089</v>
      </c>
      <c r="C454" s="25" t="s">
        <v>1365</v>
      </c>
      <c r="D454" s="62" t="s">
        <v>1361</v>
      </c>
      <c r="E454" s="63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1359</v>
      </c>
      <c r="N454" s="52" t="s">
        <v>1</v>
      </c>
      <c r="O454" s="28" t="s">
        <v>467</v>
      </c>
      <c r="P454" s="46" t="s">
        <v>1313</v>
      </c>
      <c r="Q454" s="47" t="s">
        <v>1356</v>
      </c>
      <c r="R454" s="46" t="s">
        <v>1314</v>
      </c>
      <c r="S454" s="47" t="s">
        <v>1356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5">
      <c r="A455" s="43">
        <v>455</v>
      </c>
      <c r="B455" s="26" t="s">
        <v>1090</v>
      </c>
      <c r="C455" s="25" t="s">
        <v>1365</v>
      </c>
      <c r="D455" s="62" t="s">
        <v>1361</v>
      </c>
      <c r="E455" s="63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1359</v>
      </c>
      <c r="N455" s="52" t="s">
        <v>1</v>
      </c>
      <c r="O455" s="28" t="s">
        <v>468</v>
      </c>
      <c r="P455" s="46" t="s">
        <v>1313</v>
      </c>
      <c r="Q455" s="47" t="s">
        <v>1356</v>
      </c>
      <c r="R455" s="46" t="s">
        <v>1314</v>
      </c>
      <c r="S455" s="47" t="s">
        <v>1356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5">
      <c r="A456" s="43">
        <v>456</v>
      </c>
      <c r="B456" s="26" t="s">
        <v>1091</v>
      </c>
      <c r="C456" s="25" t="s">
        <v>1365</v>
      </c>
      <c r="D456" s="62" t="s">
        <v>1361</v>
      </c>
      <c r="E456" s="63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1359</v>
      </c>
      <c r="N456" s="52" t="s">
        <v>1</v>
      </c>
      <c r="O456" s="28" t="s">
        <v>469</v>
      </c>
      <c r="P456" s="46" t="s">
        <v>1313</v>
      </c>
      <c r="Q456" s="47" t="s">
        <v>1356</v>
      </c>
      <c r="R456" s="46" t="s">
        <v>1314</v>
      </c>
      <c r="S456" s="47" t="s">
        <v>1356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5">
      <c r="A457" s="43">
        <v>457</v>
      </c>
      <c r="B457" s="26" t="s">
        <v>1092</v>
      </c>
      <c r="C457" s="25" t="s">
        <v>1365</v>
      </c>
      <c r="D457" s="62" t="s">
        <v>1361</v>
      </c>
      <c r="E457" s="63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1359</v>
      </c>
      <c r="N457" s="52" t="s">
        <v>1</v>
      </c>
      <c r="O457" s="28" t="s">
        <v>470</v>
      </c>
      <c r="P457" s="46" t="s">
        <v>1313</v>
      </c>
      <c r="Q457" s="47" t="s">
        <v>1356</v>
      </c>
      <c r="R457" s="46" t="s">
        <v>1314</v>
      </c>
      <c r="S457" s="47" t="s">
        <v>1356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5">
      <c r="A458" s="43">
        <v>458</v>
      </c>
      <c r="B458" s="26" t="s">
        <v>1093</v>
      </c>
      <c r="C458" s="25" t="s">
        <v>1365</v>
      </c>
      <c r="D458" s="62" t="s">
        <v>1361</v>
      </c>
      <c r="E458" s="63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1359</v>
      </c>
      <c r="N458" s="52" t="s">
        <v>1</v>
      </c>
      <c r="O458" s="28" t="s">
        <v>471</v>
      </c>
      <c r="P458" s="46" t="s">
        <v>1313</v>
      </c>
      <c r="Q458" s="47" t="s">
        <v>1356</v>
      </c>
      <c r="R458" s="46" t="s">
        <v>1314</v>
      </c>
      <c r="S458" s="47" t="s">
        <v>1356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5">
      <c r="A459" s="43">
        <v>459</v>
      </c>
      <c r="B459" s="26" t="s">
        <v>1094</v>
      </c>
      <c r="C459" s="25" t="s">
        <v>1365</v>
      </c>
      <c r="D459" s="62" t="s">
        <v>1361</v>
      </c>
      <c r="E459" s="63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1359</v>
      </c>
      <c r="N459" s="52" t="s">
        <v>1</v>
      </c>
      <c r="O459" s="28" t="s">
        <v>472</v>
      </c>
      <c r="P459" s="46" t="s">
        <v>1313</v>
      </c>
      <c r="Q459" s="47" t="s">
        <v>1356</v>
      </c>
      <c r="R459" s="46" t="s">
        <v>1314</v>
      </c>
      <c r="S459" s="47" t="s">
        <v>1356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5">
      <c r="A460" s="43">
        <v>460</v>
      </c>
      <c r="B460" s="26" t="s">
        <v>1095</v>
      </c>
      <c r="C460" s="25" t="s">
        <v>1365</v>
      </c>
      <c r="D460" s="62" t="s">
        <v>1361</v>
      </c>
      <c r="E460" s="63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1359</v>
      </c>
      <c r="N460" s="52" t="s">
        <v>1</v>
      </c>
      <c r="O460" s="28" t="s">
        <v>473</v>
      </c>
      <c r="P460" s="46" t="s">
        <v>1313</v>
      </c>
      <c r="Q460" s="47" t="s">
        <v>1356</v>
      </c>
      <c r="R460" s="46" t="s">
        <v>1314</v>
      </c>
      <c r="S460" s="47" t="s">
        <v>1356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5">
      <c r="A461" s="43">
        <v>461</v>
      </c>
      <c r="B461" s="26" t="s">
        <v>1096</v>
      </c>
      <c r="C461" s="25" t="s">
        <v>1365</v>
      </c>
      <c r="D461" s="62" t="s">
        <v>1361</v>
      </c>
      <c r="E461" s="63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1359</v>
      </c>
      <c r="N461" s="52" t="s">
        <v>1</v>
      </c>
      <c r="O461" s="28" t="s">
        <v>474</v>
      </c>
      <c r="P461" s="46" t="s">
        <v>1313</v>
      </c>
      <c r="Q461" s="47" t="s">
        <v>1356</v>
      </c>
      <c r="R461" s="46" t="s">
        <v>1314</v>
      </c>
      <c r="S461" s="47" t="s">
        <v>1356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5">
      <c r="A462" s="43">
        <v>462</v>
      </c>
      <c r="B462" s="26" t="s">
        <v>1097</v>
      </c>
      <c r="C462" s="25" t="s">
        <v>1365</v>
      </c>
      <c r="D462" s="62" t="s">
        <v>1361</v>
      </c>
      <c r="E462" s="63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1359</v>
      </c>
      <c r="N462" s="52" t="s">
        <v>1</v>
      </c>
      <c r="O462" s="28" t="s">
        <v>475</v>
      </c>
      <c r="P462" s="46" t="s">
        <v>1313</v>
      </c>
      <c r="Q462" s="47" t="s">
        <v>1356</v>
      </c>
      <c r="R462" s="46" t="s">
        <v>1314</v>
      </c>
      <c r="S462" s="47" t="s">
        <v>1356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5">
      <c r="A463" s="43">
        <v>463</v>
      </c>
      <c r="B463" s="26" t="s">
        <v>1098</v>
      </c>
      <c r="C463" s="25" t="s">
        <v>1365</v>
      </c>
      <c r="D463" s="62" t="s">
        <v>1361</v>
      </c>
      <c r="E463" s="63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1359</v>
      </c>
      <c r="N463" s="52" t="s">
        <v>1</v>
      </c>
      <c r="O463" s="28" t="s">
        <v>476</v>
      </c>
      <c r="P463" s="46" t="s">
        <v>1313</v>
      </c>
      <c r="Q463" s="47" t="s">
        <v>1356</v>
      </c>
      <c r="R463" s="46" t="s">
        <v>1314</v>
      </c>
      <c r="S463" s="47" t="s">
        <v>1356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5">
      <c r="A464" s="43">
        <v>464</v>
      </c>
      <c r="B464" s="26" t="s">
        <v>1099</v>
      </c>
      <c r="C464" s="25" t="s">
        <v>1365</v>
      </c>
      <c r="D464" s="62" t="s">
        <v>1361</v>
      </c>
      <c r="E464" s="63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1359</v>
      </c>
      <c r="N464" s="52" t="s">
        <v>1</v>
      </c>
      <c r="O464" s="28" t="s">
        <v>477</v>
      </c>
      <c r="P464" s="46" t="s">
        <v>1313</v>
      </c>
      <c r="Q464" s="47" t="s">
        <v>1356</v>
      </c>
      <c r="R464" s="46" t="s">
        <v>1314</v>
      </c>
      <c r="S464" s="47" t="s">
        <v>1356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5">
      <c r="A465" s="43">
        <v>465</v>
      </c>
      <c r="B465" s="26" t="s">
        <v>1100</v>
      </c>
      <c r="C465" s="25" t="s">
        <v>1365</v>
      </c>
      <c r="D465" s="62" t="s">
        <v>1361</v>
      </c>
      <c r="E465" s="63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1359</v>
      </c>
      <c r="N465" s="52" t="s">
        <v>1</v>
      </c>
      <c r="O465" s="28" t="s">
        <v>478</v>
      </c>
      <c r="P465" s="46" t="s">
        <v>1313</v>
      </c>
      <c r="Q465" s="47" t="s">
        <v>1356</v>
      </c>
      <c r="R465" s="46" t="s">
        <v>1314</v>
      </c>
      <c r="S465" s="47" t="s">
        <v>1356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5">
      <c r="A466" s="43">
        <v>466</v>
      </c>
      <c r="B466" s="26" t="s">
        <v>1101</v>
      </c>
      <c r="C466" s="25" t="s">
        <v>1365</v>
      </c>
      <c r="D466" s="62" t="s">
        <v>1361</v>
      </c>
      <c r="E466" s="63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1359</v>
      </c>
      <c r="N466" s="52" t="s">
        <v>1</v>
      </c>
      <c r="O466" s="28" t="s">
        <v>479</v>
      </c>
      <c r="P466" s="46" t="s">
        <v>1313</v>
      </c>
      <c r="Q466" s="47" t="s">
        <v>1356</v>
      </c>
      <c r="R466" s="46" t="s">
        <v>1314</v>
      </c>
      <c r="S466" s="47" t="s">
        <v>1356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5">
      <c r="A467" s="43">
        <v>467</v>
      </c>
      <c r="B467" s="26" t="s">
        <v>1102</v>
      </c>
      <c r="C467" s="25" t="s">
        <v>1365</v>
      </c>
      <c r="D467" s="62" t="s">
        <v>1361</v>
      </c>
      <c r="E467" s="63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1359</v>
      </c>
      <c r="N467" s="52" t="s">
        <v>1</v>
      </c>
      <c r="O467" s="28" t="s">
        <v>480</v>
      </c>
      <c r="P467" s="46" t="s">
        <v>1313</v>
      </c>
      <c r="Q467" s="47" t="s">
        <v>1356</v>
      </c>
      <c r="R467" s="46" t="s">
        <v>1314</v>
      </c>
      <c r="S467" s="47" t="s">
        <v>1356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5">
      <c r="A468" s="43">
        <v>468</v>
      </c>
      <c r="B468" s="26" t="s">
        <v>1103</v>
      </c>
      <c r="C468" s="25" t="s">
        <v>1365</v>
      </c>
      <c r="D468" s="62" t="s">
        <v>1361</v>
      </c>
      <c r="E468" s="63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1359</v>
      </c>
      <c r="N468" s="52" t="s">
        <v>1</v>
      </c>
      <c r="O468" s="28" t="s">
        <v>481</v>
      </c>
      <c r="P468" s="46" t="s">
        <v>1313</v>
      </c>
      <c r="Q468" s="47" t="s">
        <v>1356</v>
      </c>
      <c r="R468" s="46" t="s">
        <v>1314</v>
      </c>
      <c r="S468" s="47" t="s">
        <v>1356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5">
      <c r="A469" s="43">
        <v>469</v>
      </c>
      <c r="B469" s="26" t="s">
        <v>1104</v>
      </c>
      <c r="C469" s="25" t="s">
        <v>1365</v>
      </c>
      <c r="D469" s="62" t="s">
        <v>1361</v>
      </c>
      <c r="E469" s="63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1359</v>
      </c>
      <c r="N469" s="52" t="s">
        <v>1</v>
      </c>
      <c r="O469" s="28" t="s">
        <v>482</v>
      </c>
      <c r="P469" s="46" t="s">
        <v>1313</v>
      </c>
      <c r="Q469" s="47" t="s">
        <v>1356</v>
      </c>
      <c r="R469" s="46" t="s">
        <v>1314</v>
      </c>
      <c r="S469" s="47" t="s">
        <v>1356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5">
      <c r="A470" s="43">
        <v>470</v>
      </c>
      <c r="B470" s="26" t="s">
        <v>1105</v>
      </c>
      <c r="C470" s="25" t="s">
        <v>1365</v>
      </c>
      <c r="D470" s="62" t="s">
        <v>1361</v>
      </c>
      <c r="E470" s="63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1359</v>
      </c>
      <c r="N470" s="52" t="s">
        <v>1</v>
      </c>
      <c r="O470" s="28" t="s">
        <v>483</v>
      </c>
      <c r="P470" s="46" t="s">
        <v>1313</v>
      </c>
      <c r="Q470" s="47" t="s">
        <v>1356</v>
      </c>
      <c r="R470" s="46" t="s">
        <v>1314</v>
      </c>
      <c r="S470" s="47" t="s">
        <v>1356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5">
      <c r="A471" s="43">
        <v>471</v>
      </c>
      <c r="B471" s="26" t="s">
        <v>1106</v>
      </c>
      <c r="C471" s="25" t="s">
        <v>1365</v>
      </c>
      <c r="D471" s="62" t="s">
        <v>1361</v>
      </c>
      <c r="E471" s="63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1359</v>
      </c>
      <c r="N471" s="52" t="s">
        <v>1</v>
      </c>
      <c r="O471" s="28" t="s">
        <v>484</v>
      </c>
      <c r="P471" s="46" t="s">
        <v>1313</v>
      </c>
      <c r="Q471" s="47" t="s">
        <v>1356</v>
      </c>
      <c r="R471" s="46" t="s">
        <v>1314</v>
      </c>
      <c r="S471" s="47" t="s">
        <v>1356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5">
      <c r="A472" s="43">
        <v>472</v>
      </c>
      <c r="B472" s="26" t="s">
        <v>1107</v>
      </c>
      <c r="C472" s="25" t="s">
        <v>1365</v>
      </c>
      <c r="D472" s="62" t="s">
        <v>1361</v>
      </c>
      <c r="E472" s="63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1359</v>
      </c>
      <c r="N472" s="52" t="s">
        <v>1</v>
      </c>
      <c r="O472" s="28" t="s">
        <v>485</v>
      </c>
      <c r="P472" s="46" t="s">
        <v>1313</v>
      </c>
      <c r="Q472" s="47" t="s">
        <v>1356</v>
      </c>
      <c r="R472" s="46" t="s">
        <v>1314</v>
      </c>
      <c r="S472" s="47" t="s">
        <v>1356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5">
      <c r="A473" s="43">
        <v>473</v>
      </c>
      <c r="B473" s="26" t="s">
        <v>1108</v>
      </c>
      <c r="C473" s="25" t="s">
        <v>1365</v>
      </c>
      <c r="D473" s="62" t="s">
        <v>1361</v>
      </c>
      <c r="E473" s="63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1359</v>
      </c>
      <c r="N473" s="52" t="s">
        <v>1</v>
      </c>
      <c r="O473" s="28" t="s">
        <v>486</v>
      </c>
      <c r="P473" s="46" t="s">
        <v>1313</v>
      </c>
      <c r="Q473" s="47" t="s">
        <v>1356</v>
      </c>
      <c r="R473" s="46" t="s">
        <v>1314</v>
      </c>
      <c r="S473" s="47" t="s">
        <v>1356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5">
      <c r="A474" s="43">
        <v>474</v>
      </c>
      <c r="B474" s="54" t="s">
        <v>1109</v>
      </c>
      <c r="C474" s="25" t="s">
        <v>1365</v>
      </c>
      <c r="D474" s="62" t="s">
        <v>1361</v>
      </c>
      <c r="E474" s="63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1359</v>
      </c>
      <c r="N474" s="52" t="s">
        <v>1</v>
      </c>
      <c r="O474" s="28" t="s">
        <v>487</v>
      </c>
      <c r="P474" s="46" t="s">
        <v>1313</v>
      </c>
      <c r="Q474" s="47" t="s">
        <v>1356</v>
      </c>
      <c r="R474" s="46" t="s">
        <v>1314</v>
      </c>
      <c r="S474" s="47" t="s">
        <v>1356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5">
      <c r="A475" s="43">
        <v>475</v>
      </c>
      <c r="B475" s="54" t="s">
        <v>1323</v>
      </c>
      <c r="C475" s="25" t="s">
        <v>1365</v>
      </c>
      <c r="D475" s="62" t="s">
        <v>1361</v>
      </c>
      <c r="E475" s="63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1359</v>
      </c>
      <c r="N475" s="52" t="s">
        <v>1</v>
      </c>
      <c r="O475" s="28" t="s">
        <v>488</v>
      </c>
      <c r="P475" s="46" t="s">
        <v>1313</v>
      </c>
      <c r="Q475" s="47" t="s">
        <v>1356</v>
      </c>
      <c r="R475" s="46" t="s">
        <v>1314</v>
      </c>
      <c r="S475" s="47" t="s">
        <v>1356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5">
      <c r="A476" s="43">
        <v>476</v>
      </c>
      <c r="B476" s="54" t="s">
        <v>1324</v>
      </c>
      <c r="C476" s="25" t="s">
        <v>1365</v>
      </c>
      <c r="D476" s="62" t="s">
        <v>1361</v>
      </c>
      <c r="E476" s="63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1359</v>
      </c>
      <c r="N476" s="52" t="s">
        <v>1</v>
      </c>
      <c r="O476" s="28" t="s">
        <v>489</v>
      </c>
      <c r="P476" s="46" t="s">
        <v>1313</v>
      </c>
      <c r="Q476" s="47" t="s">
        <v>1356</v>
      </c>
      <c r="R476" s="46" t="s">
        <v>1314</v>
      </c>
      <c r="S476" s="47" t="s">
        <v>1356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5">
      <c r="A477" s="43">
        <v>477</v>
      </c>
      <c r="B477" s="54" t="s">
        <v>1325</v>
      </c>
      <c r="C477" s="25" t="s">
        <v>1365</v>
      </c>
      <c r="D477" s="62" t="s">
        <v>1361</v>
      </c>
      <c r="E477" s="63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1359</v>
      </c>
      <c r="N477" s="52" t="s">
        <v>1</v>
      </c>
      <c r="O477" s="28" t="s">
        <v>490</v>
      </c>
      <c r="P477" s="46" t="s">
        <v>1313</v>
      </c>
      <c r="Q477" s="47" t="s">
        <v>1356</v>
      </c>
      <c r="R477" s="46" t="s">
        <v>1314</v>
      </c>
      <c r="S477" s="47" t="s">
        <v>1356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5">
      <c r="A478" s="43">
        <v>478</v>
      </c>
      <c r="B478" s="54" t="s">
        <v>1326</v>
      </c>
      <c r="C478" s="25" t="s">
        <v>1365</v>
      </c>
      <c r="D478" s="62" t="s">
        <v>1361</v>
      </c>
      <c r="E478" s="63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1359</v>
      </c>
      <c r="N478" s="52" t="s">
        <v>1</v>
      </c>
      <c r="O478" s="28" t="s">
        <v>491</v>
      </c>
      <c r="P478" s="46" t="s">
        <v>1313</v>
      </c>
      <c r="Q478" s="47" t="s">
        <v>1356</v>
      </c>
      <c r="R478" s="46" t="s">
        <v>1314</v>
      </c>
      <c r="S478" s="47" t="s">
        <v>1356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5">
      <c r="A479" s="43">
        <v>479</v>
      </c>
      <c r="B479" s="26" t="s">
        <v>1110</v>
      </c>
      <c r="C479" s="25" t="s">
        <v>1365</v>
      </c>
      <c r="D479" s="62" t="s">
        <v>1361</v>
      </c>
      <c r="E479" s="63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1359</v>
      </c>
      <c r="N479" s="52" t="s">
        <v>1</v>
      </c>
      <c r="O479" s="28" t="s">
        <v>492</v>
      </c>
      <c r="P479" s="46" t="s">
        <v>1313</v>
      </c>
      <c r="Q479" s="47" t="s">
        <v>1356</v>
      </c>
      <c r="R479" s="46" t="s">
        <v>1314</v>
      </c>
      <c r="S479" s="47" t="s">
        <v>1356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5">
      <c r="A480" s="43">
        <v>480</v>
      </c>
      <c r="B480" s="26" t="s">
        <v>1111</v>
      </c>
      <c r="C480" s="25" t="s">
        <v>1365</v>
      </c>
      <c r="D480" s="62" t="s">
        <v>1361</v>
      </c>
      <c r="E480" s="63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1359</v>
      </c>
      <c r="N480" s="52" t="s">
        <v>1</v>
      </c>
      <c r="O480" s="28" t="s">
        <v>493</v>
      </c>
      <c r="P480" s="46" t="s">
        <v>1313</v>
      </c>
      <c r="Q480" s="47" t="s">
        <v>1356</v>
      </c>
      <c r="R480" s="46" t="s">
        <v>1314</v>
      </c>
      <c r="S480" s="47" t="s">
        <v>1356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5">
      <c r="A481" s="43">
        <v>481</v>
      </c>
      <c r="B481" s="26" t="s">
        <v>1112</v>
      </c>
      <c r="C481" s="25" t="s">
        <v>1365</v>
      </c>
      <c r="D481" s="62" t="s">
        <v>1361</v>
      </c>
      <c r="E481" s="63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1359</v>
      </c>
      <c r="N481" s="52" t="s">
        <v>1</v>
      </c>
      <c r="O481" s="28" t="s">
        <v>494</v>
      </c>
      <c r="P481" s="46" t="s">
        <v>1313</v>
      </c>
      <c r="Q481" s="47" t="s">
        <v>1356</v>
      </c>
      <c r="R481" s="46" t="s">
        <v>1314</v>
      </c>
      <c r="S481" s="47" t="s">
        <v>1356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5">
      <c r="A482" s="43">
        <v>482</v>
      </c>
      <c r="B482" s="26" t="s">
        <v>1113</v>
      </c>
      <c r="C482" s="25" t="s">
        <v>1365</v>
      </c>
      <c r="D482" s="62" t="s">
        <v>1361</v>
      </c>
      <c r="E482" s="63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1359</v>
      </c>
      <c r="N482" s="52" t="s">
        <v>1</v>
      </c>
      <c r="O482" s="28" t="s">
        <v>495</v>
      </c>
      <c r="P482" s="46" t="s">
        <v>1313</v>
      </c>
      <c r="Q482" s="47" t="s">
        <v>1356</v>
      </c>
      <c r="R482" s="46" t="s">
        <v>1314</v>
      </c>
      <c r="S482" s="47" t="s">
        <v>1356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5">
      <c r="A483" s="43">
        <v>483</v>
      </c>
      <c r="B483" s="26" t="s">
        <v>1114</v>
      </c>
      <c r="C483" s="25" t="s">
        <v>1365</v>
      </c>
      <c r="D483" s="62" t="s">
        <v>1361</v>
      </c>
      <c r="E483" s="63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1359</v>
      </c>
      <c r="N483" s="52" t="s">
        <v>1</v>
      </c>
      <c r="O483" s="28" t="s">
        <v>496</v>
      </c>
      <c r="P483" s="46" t="s">
        <v>1313</v>
      </c>
      <c r="Q483" s="47" t="s">
        <v>1356</v>
      </c>
      <c r="R483" s="46" t="s">
        <v>1314</v>
      </c>
      <c r="S483" s="47" t="s">
        <v>1356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5">
      <c r="A484" s="43">
        <v>484</v>
      </c>
      <c r="B484" s="26" t="s">
        <v>1115</v>
      </c>
      <c r="C484" s="25" t="s">
        <v>1365</v>
      </c>
      <c r="D484" s="62" t="s">
        <v>1361</v>
      </c>
      <c r="E484" s="63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1359</v>
      </c>
      <c r="N484" s="52" t="s">
        <v>1</v>
      </c>
      <c r="O484" s="28" t="s">
        <v>497</v>
      </c>
      <c r="P484" s="46" t="s">
        <v>1313</v>
      </c>
      <c r="Q484" s="47" t="s">
        <v>1356</v>
      </c>
      <c r="R484" s="46" t="s">
        <v>1314</v>
      </c>
      <c r="S484" s="47" t="s">
        <v>1356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5">
      <c r="A485" s="43">
        <v>485</v>
      </c>
      <c r="B485" s="26" t="s">
        <v>1116</v>
      </c>
      <c r="C485" s="25" t="s">
        <v>1365</v>
      </c>
      <c r="D485" s="62" t="s">
        <v>1361</v>
      </c>
      <c r="E485" s="63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1359</v>
      </c>
      <c r="N485" s="52" t="s">
        <v>1</v>
      </c>
      <c r="O485" s="28" t="s">
        <v>498</v>
      </c>
      <c r="P485" s="46" t="s">
        <v>1313</v>
      </c>
      <c r="Q485" s="47" t="s">
        <v>1356</v>
      </c>
      <c r="R485" s="46" t="s">
        <v>1314</v>
      </c>
      <c r="S485" s="47" t="s">
        <v>1356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5">
      <c r="A486" s="43">
        <v>486</v>
      </c>
      <c r="B486" s="26" t="s">
        <v>1117</v>
      </c>
      <c r="C486" s="25" t="s">
        <v>1365</v>
      </c>
      <c r="D486" s="62" t="s">
        <v>1361</v>
      </c>
      <c r="E486" s="63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1359</v>
      </c>
      <c r="N486" s="52" t="s">
        <v>1</v>
      </c>
      <c r="O486" s="28" t="s">
        <v>499</v>
      </c>
      <c r="P486" s="46" t="s">
        <v>1313</v>
      </c>
      <c r="Q486" s="47" t="s">
        <v>1356</v>
      </c>
      <c r="R486" s="46" t="s">
        <v>1314</v>
      </c>
      <c r="S486" s="47" t="s">
        <v>1356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5">
      <c r="A487" s="43">
        <v>487</v>
      </c>
      <c r="B487" s="26" t="s">
        <v>1118</v>
      </c>
      <c r="C487" s="25" t="s">
        <v>1365</v>
      </c>
      <c r="D487" s="62" t="s">
        <v>1361</v>
      </c>
      <c r="E487" s="63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1359</v>
      </c>
      <c r="N487" s="52" t="s">
        <v>1</v>
      </c>
      <c r="O487" s="28" t="s">
        <v>500</v>
      </c>
      <c r="P487" s="46" t="s">
        <v>1313</v>
      </c>
      <c r="Q487" s="47" t="s">
        <v>1356</v>
      </c>
      <c r="R487" s="46" t="s">
        <v>1314</v>
      </c>
      <c r="S487" s="47" t="s">
        <v>1356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5">
      <c r="A488" s="43">
        <v>488</v>
      </c>
      <c r="B488" s="26" t="s">
        <v>1119</v>
      </c>
      <c r="C488" s="25" t="s">
        <v>1365</v>
      </c>
      <c r="D488" s="62" t="s">
        <v>1361</v>
      </c>
      <c r="E488" s="63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1359</v>
      </c>
      <c r="N488" s="52" t="s">
        <v>1</v>
      </c>
      <c r="O488" s="28" t="s">
        <v>501</v>
      </c>
      <c r="P488" s="46" t="s">
        <v>1313</v>
      </c>
      <c r="Q488" s="47" t="s">
        <v>1356</v>
      </c>
      <c r="R488" s="46" t="s">
        <v>1314</v>
      </c>
      <c r="S488" s="47" t="s">
        <v>1356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5">
      <c r="A489" s="43">
        <v>489</v>
      </c>
      <c r="B489" s="26" t="s">
        <v>1120</v>
      </c>
      <c r="C489" s="25" t="s">
        <v>1365</v>
      </c>
      <c r="D489" s="62" t="s">
        <v>1361</v>
      </c>
      <c r="E489" s="63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1359</v>
      </c>
      <c r="N489" s="52" t="s">
        <v>1</v>
      </c>
      <c r="O489" s="28" t="s">
        <v>502</v>
      </c>
      <c r="P489" s="46" t="s">
        <v>1313</v>
      </c>
      <c r="Q489" s="47" t="s">
        <v>1356</v>
      </c>
      <c r="R489" s="46" t="s">
        <v>1314</v>
      </c>
      <c r="S489" s="47" t="s">
        <v>1356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5">
      <c r="A490" s="43">
        <v>490</v>
      </c>
      <c r="B490" s="26" t="s">
        <v>1121</v>
      </c>
      <c r="C490" s="25" t="s">
        <v>1365</v>
      </c>
      <c r="D490" s="62" t="s">
        <v>1361</v>
      </c>
      <c r="E490" s="63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1359</v>
      </c>
      <c r="N490" s="52" t="s">
        <v>1</v>
      </c>
      <c r="O490" s="28" t="s">
        <v>503</v>
      </c>
      <c r="P490" s="46" t="s">
        <v>1313</v>
      </c>
      <c r="Q490" s="47" t="s">
        <v>1356</v>
      </c>
      <c r="R490" s="46" t="s">
        <v>1314</v>
      </c>
      <c r="S490" s="47" t="s">
        <v>1356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5">
      <c r="A491" s="43">
        <v>491</v>
      </c>
      <c r="B491" s="26" t="s">
        <v>1122</v>
      </c>
      <c r="C491" s="25" t="s">
        <v>1365</v>
      </c>
      <c r="D491" s="62" t="s">
        <v>1361</v>
      </c>
      <c r="E491" s="63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1359</v>
      </c>
      <c r="N491" s="52" t="s">
        <v>1</v>
      </c>
      <c r="O491" s="28" t="s">
        <v>504</v>
      </c>
      <c r="P491" s="46" t="s">
        <v>1313</v>
      </c>
      <c r="Q491" s="47" t="s">
        <v>1356</v>
      </c>
      <c r="R491" s="46" t="s">
        <v>1314</v>
      </c>
      <c r="S491" s="47" t="s">
        <v>1356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5">
      <c r="A492" s="43">
        <v>492</v>
      </c>
      <c r="B492" s="26" t="s">
        <v>1123</v>
      </c>
      <c r="C492" s="25" t="s">
        <v>1365</v>
      </c>
      <c r="D492" s="62" t="s">
        <v>1361</v>
      </c>
      <c r="E492" s="63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1359</v>
      </c>
      <c r="N492" s="52" t="s">
        <v>1</v>
      </c>
      <c r="O492" s="28" t="s">
        <v>505</v>
      </c>
      <c r="P492" s="46" t="s">
        <v>1313</v>
      </c>
      <c r="Q492" s="47" t="s">
        <v>1356</v>
      </c>
      <c r="R492" s="46" t="s">
        <v>1314</v>
      </c>
      <c r="S492" s="47" t="s">
        <v>1356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5">
      <c r="A493" s="43">
        <v>493</v>
      </c>
      <c r="B493" s="26" t="s">
        <v>1124</v>
      </c>
      <c r="C493" s="25" t="s">
        <v>1365</v>
      </c>
      <c r="D493" s="62" t="s">
        <v>1361</v>
      </c>
      <c r="E493" s="63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1359</v>
      </c>
      <c r="N493" s="52" t="s">
        <v>1</v>
      </c>
      <c r="O493" s="28" t="s">
        <v>506</v>
      </c>
      <c r="P493" s="46" t="s">
        <v>1313</v>
      </c>
      <c r="Q493" s="47" t="s">
        <v>1356</v>
      </c>
      <c r="R493" s="46" t="s">
        <v>1314</v>
      </c>
      <c r="S493" s="47" t="s">
        <v>1356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5">
      <c r="A494" s="43">
        <v>494</v>
      </c>
      <c r="B494" s="26" t="s">
        <v>1125</v>
      </c>
      <c r="C494" s="25" t="s">
        <v>1365</v>
      </c>
      <c r="D494" s="62" t="s">
        <v>1361</v>
      </c>
      <c r="E494" s="63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1359</v>
      </c>
      <c r="N494" s="52" t="s">
        <v>1</v>
      </c>
      <c r="O494" s="28" t="s">
        <v>507</v>
      </c>
      <c r="P494" s="46" t="s">
        <v>1313</v>
      </c>
      <c r="Q494" s="47" t="s">
        <v>1356</v>
      </c>
      <c r="R494" s="46" t="s">
        <v>1314</v>
      </c>
      <c r="S494" s="47" t="s">
        <v>1356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5">
      <c r="A495" s="43">
        <v>495</v>
      </c>
      <c r="B495" s="26" t="s">
        <v>1126</v>
      </c>
      <c r="C495" s="25" t="s">
        <v>1365</v>
      </c>
      <c r="D495" s="62" t="s">
        <v>1361</v>
      </c>
      <c r="E495" s="63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1359</v>
      </c>
      <c r="N495" s="52" t="s">
        <v>1</v>
      </c>
      <c r="O495" s="28" t="s">
        <v>508</v>
      </c>
      <c r="P495" s="46" t="s">
        <v>1313</v>
      </c>
      <c r="Q495" s="47" t="s">
        <v>1356</v>
      </c>
      <c r="R495" s="46" t="s">
        <v>1314</v>
      </c>
      <c r="S495" s="47" t="s">
        <v>1356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5">
      <c r="A496" s="43">
        <v>496</v>
      </c>
      <c r="B496" s="26" t="s">
        <v>1127</v>
      </c>
      <c r="C496" s="25" t="s">
        <v>1365</v>
      </c>
      <c r="D496" s="62" t="s">
        <v>1361</v>
      </c>
      <c r="E496" s="63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1359</v>
      </c>
      <c r="N496" s="52" t="s">
        <v>1</v>
      </c>
      <c r="O496" s="28" t="s">
        <v>509</v>
      </c>
      <c r="P496" s="46" t="s">
        <v>1313</v>
      </c>
      <c r="Q496" s="47" t="s">
        <v>1356</v>
      </c>
      <c r="R496" s="46" t="s">
        <v>1314</v>
      </c>
      <c r="S496" s="47" t="s">
        <v>1356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5">
      <c r="A497" s="43">
        <v>497</v>
      </c>
      <c r="B497" s="26" t="s">
        <v>1128</v>
      </c>
      <c r="C497" s="25" t="s">
        <v>1365</v>
      </c>
      <c r="D497" s="62" t="s">
        <v>1361</v>
      </c>
      <c r="E497" s="63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1359</v>
      </c>
      <c r="N497" s="52" t="s">
        <v>1</v>
      </c>
      <c r="O497" s="28" t="s">
        <v>510</v>
      </c>
      <c r="P497" s="46" t="s">
        <v>1313</v>
      </c>
      <c r="Q497" s="47" t="s">
        <v>1356</v>
      </c>
      <c r="R497" s="46" t="s">
        <v>1314</v>
      </c>
      <c r="S497" s="47" t="s">
        <v>1356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5">
      <c r="A498" s="43">
        <v>498</v>
      </c>
      <c r="B498" s="26" t="s">
        <v>1129</v>
      </c>
      <c r="C498" s="25" t="s">
        <v>1365</v>
      </c>
      <c r="D498" s="62" t="s">
        <v>1361</v>
      </c>
      <c r="E498" s="63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1359</v>
      </c>
      <c r="N498" s="52" t="s">
        <v>1</v>
      </c>
      <c r="O498" s="28" t="s">
        <v>511</v>
      </c>
      <c r="P498" s="46" t="s">
        <v>1313</v>
      </c>
      <c r="Q498" s="47" t="s">
        <v>1356</v>
      </c>
      <c r="R498" s="46" t="s">
        <v>1314</v>
      </c>
      <c r="S498" s="47" t="s">
        <v>1356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5">
      <c r="A499" s="43">
        <v>499</v>
      </c>
      <c r="B499" s="26" t="s">
        <v>1130</v>
      </c>
      <c r="C499" s="25" t="s">
        <v>1365</v>
      </c>
      <c r="D499" s="62" t="s">
        <v>1361</v>
      </c>
      <c r="E499" s="63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1359</v>
      </c>
      <c r="N499" s="52" t="s">
        <v>1</v>
      </c>
      <c r="O499" s="28" t="s">
        <v>512</v>
      </c>
      <c r="P499" s="46" t="s">
        <v>1313</v>
      </c>
      <c r="Q499" s="47" t="s">
        <v>1356</v>
      </c>
      <c r="R499" s="46" t="s">
        <v>1314</v>
      </c>
      <c r="S499" s="47" t="s">
        <v>1356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5">
      <c r="A500" s="43">
        <v>500</v>
      </c>
      <c r="B500" s="26" t="s">
        <v>1131</v>
      </c>
      <c r="C500" s="25" t="s">
        <v>1365</v>
      </c>
      <c r="D500" s="62" t="s">
        <v>1361</v>
      </c>
      <c r="E500" s="63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1359</v>
      </c>
      <c r="N500" s="52" t="s">
        <v>1</v>
      </c>
      <c r="O500" s="28" t="s">
        <v>513</v>
      </c>
      <c r="P500" s="46" t="s">
        <v>1313</v>
      </c>
      <c r="Q500" s="47" t="s">
        <v>1356</v>
      </c>
      <c r="R500" s="46" t="s">
        <v>1314</v>
      </c>
      <c r="S500" s="47" t="s">
        <v>1356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5">
      <c r="A501" s="43">
        <v>501</v>
      </c>
      <c r="B501" s="26" t="s">
        <v>1132</v>
      </c>
      <c r="C501" s="25" t="s">
        <v>1365</v>
      </c>
      <c r="D501" s="62" t="s">
        <v>1361</v>
      </c>
      <c r="E501" s="63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1359</v>
      </c>
      <c r="N501" s="52" t="s">
        <v>1</v>
      </c>
      <c r="O501" s="28" t="s">
        <v>514</v>
      </c>
      <c r="P501" s="46" t="s">
        <v>1313</v>
      </c>
      <c r="Q501" s="47" t="s">
        <v>1356</v>
      </c>
      <c r="R501" s="46" t="s">
        <v>1314</v>
      </c>
      <c r="S501" s="47" t="s">
        <v>1356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5">
      <c r="A502" s="43">
        <v>502</v>
      </c>
      <c r="B502" s="26" t="s">
        <v>1133</v>
      </c>
      <c r="C502" s="25" t="s">
        <v>1365</v>
      </c>
      <c r="D502" s="62" t="s">
        <v>1361</v>
      </c>
      <c r="E502" s="63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1359</v>
      </c>
      <c r="N502" s="52" t="s">
        <v>1</v>
      </c>
      <c r="O502" s="28" t="s">
        <v>515</v>
      </c>
      <c r="P502" s="46" t="s">
        <v>1313</v>
      </c>
      <c r="Q502" s="47" t="s">
        <v>1356</v>
      </c>
      <c r="R502" s="46" t="s">
        <v>1314</v>
      </c>
      <c r="S502" s="47" t="s">
        <v>1356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5">
      <c r="A503" s="43">
        <v>503</v>
      </c>
      <c r="B503" s="26" t="s">
        <v>1134</v>
      </c>
      <c r="C503" s="25" t="s">
        <v>1365</v>
      </c>
      <c r="D503" s="62" t="s">
        <v>1361</v>
      </c>
      <c r="E503" s="63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1359</v>
      </c>
      <c r="N503" s="52" t="s">
        <v>1</v>
      </c>
      <c r="O503" s="28" t="s">
        <v>516</v>
      </c>
      <c r="P503" s="46" t="s">
        <v>1313</v>
      </c>
      <c r="Q503" s="47" t="s">
        <v>1356</v>
      </c>
      <c r="R503" s="46" t="s">
        <v>1314</v>
      </c>
      <c r="S503" s="47" t="s">
        <v>1356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5">
      <c r="A504" s="43">
        <v>504</v>
      </c>
      <c r="B504" s="26" t="s">
        <v>1135</v>
      </c>
      <c r="C504" s="25" t="s">
        <v>1365</v>
      </c>
      <c r="D504" s="62" t="s">
        <v>1361</v>
      </c>
      <c r="E504" s="63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1359</v>
      </c>
      <c r="N504" s="52" t="s">
        <v>1</v>
      </c>
      <c r="O504" s="28" t="s">
        <v>517</v>
      </c>
      <c r="P504" s="46" t="s">
        <v>1313</v>
      </c>
      <c r="Q504" s="47" t="s">
        <v>1356</v>
      </c>
      <c r="R504" s="46" t="s">
        <v>1314</v>
      </c>
      <c r="S504" s="47" t="s">
        <v>1356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5">
      <c r="A505" s="43">
        <v>505</v>
      </c>
      <c r="B505" s="26" t="s">
        <v>1136</v>
      </c>
      <c r="C505" s="25" t="s">
        <v>1365</v>
      </c>
      <c r="D505" s="62" t="s">
        <v>1361</v>
      </c>
      <c r="E505" s="63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1359</v>
      </c>
      <c r="N505" s="52" t="s">
        <v>1</v>
      </c>
      <c r="O505" s="28" t="s">
        <v>518</v>
      </c>
      <c r="P505" s="46" t="s">
        <v>1313</v>
      </c>
      <c r="Q505" s="47" t="s">
        <v>1356</v>
      </c>
      <c r="R505" s="46" t="s">
        <v>1314</v>
      </c>
      <c r="S505" s="47" t="s">
        <v>1356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5">
      <c r="A506" s="43">
        <v>506</v>
      </c>
      <c r="B506" s="54" t="s">
        <v>1327</v>
      </c>
      <c r="C506" s="25" t="s">
        <v>1365</v>
      </c>
      <c r="D506" s="62" t="s">
        <v>1361</v>
      </c>
      <c r="E506" s="63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1359</v>
      </c>
      <c r="N506" s="52" t="s">
        <v>1</v>
      </c>
      <c r="O506" s="29" t="s">
        <v>519</v>
      </c>
      <c r="P506" s="46" t="s">
        <v>1313</v>
      </c>
      <c r="Q506" s="47" t="s">
        <v>1356</v>
      </c>
      <c r="R506" s="46" t="s">
        <v>1314</v>
      </c>
      <c r="S506" s="47" t="s">
        <v>1356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5">
      <c r="A507" s="43">
        <v>507</v>
      </c>
      <c r="B507" s="26" t="s">
        <v>1137</v>
      </c>
      <c r="C507" s="25" t="s">
        <v>1365</v>
      </c>
      <c r="D507" s="62" t="s">
        <v>1361</v>
      </c>
      <c r="E507" s="63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1359</v>
      </c>
      <c r="N507" s="52" t="s">
        <v>1</v>
      </c>
      <c r="O507" s="28" t="s">
        <v>520</v>
      </c>
      <c r="P507" s="46" t="s">
        <v>1313</v>
      </c>
      <c r="Q507" s="47" t="s">
        <v>1356</v>
      </c>
      <c r="R507" s="46" t="s">
        <v>1314</v>
      </c>
      <c r="S507" s="47" t="s">
        <v>1356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5">
      <c r="A508" s="43">
        <v>508</v>
      </c>
      <c r="B508" s="26" t="s">
        <v>1138</v>
      </c>
      <c r="C508" s="25" t="s">
        <v>1365</v>
      </c>
      <c r="D508" s="62" t="s">
        <v>1361</v>
      </c>
      <c r="E508" s="63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1359</v>
      </c>
      <c r="N508" s="52" t="s">
        <v>1</v>
      </c>
      <c r="O508" s="28" t="s">
        <v>521</v>
      </c>
      <c r="P508" s="46" t="s">
        <v>1313</v>
      </c>
      <c r="Q508" s="47" t="s">
        <v>1356</v>
      </c>
      <c r="R508" s="46" t="s">
        <v>1314</v>
      </c>
      <c r="S508" s="47" t="s">
        <v>1356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5">
      <c r="A509" s="43">
        <v>509</v>
      </c>
      <c r="B509" s="26" t="s">
        <v>1139</v>
      </c>
      <c r="C509" s="25" t="s">
        <v>1365</v>
      </c>
      <c r="D509" s="62" t="s">
        <v>1361</v>
      </c>
      <c r="E509" s="63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1359</v>
      </c>
      <c r="N509" s="52" t="s">
        <v>1</v>
      </c>
      <c r="O509" s="28" t="s">
        <v>522</v>
      </c>
      <c r="P509" s="46" t="s">
        <v>1313</v>
      </c>
      <c r="Q509" s="47" t="s">
        <v>1356</v>
      </c>
      <c r="R509" s="46" t="s">
        <v>1314</v>
      </c>
      <c r="S509" s="47" t="s">
        <v>1356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5">
      <c r="A510" s="43">
        <v>510</v>
      </c>
      <c r="B510" s="26" t="s">
        <v>1140</v>
      </c>
      <c r="C510" s="25" t="s">
        <v>1365</v>
      </c>
      <c r="D510" s="62" t="s">
        <v>1361</v>
      </c>
      <c r="E510" s="63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1359</v>
      </c>
      <c r="N510" s="52" t="s">
        <v>1</v>
      </c>
      <c r="O510" s="28" t="s">
        <v>523</v>
      </c>
      <c r="P510" s="46" t="s">
        <v>1313</v>
      </c>
      <c r="Q510" s="47" t="s">
        <v>1356</v>
      </c>
      <c r="R510" s="46" t="s">
        <v>1314</v>
      </c>
      <c r="S510" s="47" t="s">
        <v>1356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5">
      <c r="A511" s="43">
        <v>511</v>
      </c>
      <c r="B511" s="26" t="s">
        <v>1141</v>
      </c>
      <c r="C511" s="25" t="s">
        <v>1365</v>
      </c>
      <c r="D511" s="62" t="s">
        <v>1361</v>
      </c>
      <c r="E511" s="63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1359</v>
      </c>
      <c r="N511" s="52" t="s">
        <v>1</v>
      </c>
      <c r="O511" s="28" t="s">
        <v>524</v>
      </c>
      <c r="P511" s="46" t="s">
        <v>1313</v>
      </c>
      <c r="Q511" s="47" t="s">
        <v>1356</v>
      </c>
      <c r="R511" s="46" t="s">
        <v>1314</v>
      </c>
      <c r="S511" s="47" t="s">
        <v>1356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5">
      <c r="A512" s="43">
        <v>512</v>
      </c>
      <c r="B512" s="26" t="s">
        <v>1142</v>
      </c>
      <c r="C512" s="25" t="s">
        <v>1365</v>
      </c>
      <c r="D512" s="62" t="s">
        <v>1361</v>
      </c>
      <c r="E512" s="63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1359</v>
      </c>
      <c r="N512" s="52" t="s">
        <v>1</v>
      </c>
      <c r="O512" s="28" t="s">
        <v>470</v>
      </c>
      <c r="P512" s="46" t="s">
        <v>1313</v>
      </c>
      <c r="Q512" s="47" t="s">
        <v>1356</v>
      </c>
      <c r="R512" s="46" t="s">
        <v>1314</v>
      </c>
      <c r="S512" s="47" t="s">
        <v>1356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5">
      <c r="A513" s="43">
        <v>513</v>
      </c>
      <c r="B513" s="26" t="s">
        <v>1143</v>
      </c>
      <c r="C513" s="25" t="s">
        <v>1365</v>
      </c>
      <c r="D513" s="62" t="s">
        <v>1361</v>
      </c>
      <c r="E513" s="63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1359</v>
      </c>
      <c r="N513" s="52" t="s">
        <v>1</v>
      </c>
      <c r="O513" s="28" t="s">
        <v>525</v>
      </c>
      <c r="P513" s="46" t="s">
        <v>1313</v>
      </c>
      <c r="Q513" s="47" t="s">
        <v>1356</v>
      </c>
      <c r="R513" s="46" t="s">
        <v>1314</v>
      </c>
      <c r="S513" s="47" t="s">
        <v>1356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5">
      <c r="A514" s="43">
        <v>514</v>
      </c>
      <c r="B514" s="26" t="s">
        <v>1144</v>
      </c>
      <c r="C514" s="25" t="s">
        <v>1365</v>
      </c>
      <c r="D514" s="62" t="s">
        <v>1361</v>
      </c>
      <c r="E514" s="63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1359</v>
      </c>
      <c r="N514" s="52" t="s">
        <v>1</v>
      </c>
      <c r="O514" s="28" t="s">
        <v>526</v>
      </c>
      <c r="P514" s="46" t="s">
        <v>1313</v>
      </c>
      <c r="Q514" s="47" t="s">
        <v>1356</v>
      </c>
      <c r="R514" s="46" t="s">
        <v>1314</v>
      </c>
      <c r="S514" s="47" t="s">
        <v>1356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5">
      <c r="A515" s="43">
        <v>515</v>
      </c>
      <c r="B515" s="26" t="s">
        <v>1145</v>
      </c>
      <c r="C515" s="25" t="s">
        <v>1365</v>
      </c>
      <c r="D515" s="62" t="s">
        <v>1361</v>
      </c>
      <c r="E515" s="63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1359</v>
      </c>
      <c r="N515" s="52" t="s">
        <v>1</v>
      </c>
      <c r="O515" s="28" t="s">
        <v>527</v>
      </c>
      <c r="P515" s="46" t="s">
        <v>1313</v>
      </c>
      <c r="Q515" s="47" t="s">
        <v>1356</v>
      </c>
      <c r="R515" s="46" t="s">
        <v>1314</v>
      </c>
      <c r="S515" s="47" t="s">
        <v>1356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5">
      <c r="A516" s="43">
        <v>516</v>
      </c>
      <c r="B516" s="26" t="s">
        <v>1146</v>
      </c>
      <c r="C516" s="25" t="s">
        <v>1365</v>
      </c>
      <c r="D516" s="62" t="s">
        <v>1361</v>
      </c>
      <c r="E516" s="63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1359</v>
      </c>
      <c r="N516" s="52" t="s">
        <v>1</v>
      </c>
      <c r="O516" s="28" t="s">
        <v>528</v>
      </c>
      <c r="P516" s="46" t="s">
        <v>1313</v>
      </c>
      <c r="Q516" s="47" t="s">
        <v>1356</v>
      </c>
      <c r="R516" s="46" t="s">
        <v>1314</v>
      </c>
      <c r="S516" s="47" t="s">
        <v>1356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5">
      <c r="A517" s="43">
        <v>517</v>
      </c>
      <c r="B517" s="26" t="s">
        <v>1147</v>
      </c>
      <c r="C517" s="25" t="s">
        <v>1365</v>
      </c>
      <c r="D517" s="62" t="s">
        <v>1361</v>
      </c>
      <c r="E517" s="63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1359</v>
      </c>
      <c r="N517" s="52" t="s">
        <v>1</v>
      </c>
      <c r="O517" s="28" t="s">
        <v>529</v>
      </c>
      <c r="P517" s="46" t="s">
        <v>1313</v>
      </c>
      <c r="Q517" s="47" t="s">
        <v>1356</v>
      </c>
      <c r="R517" s="46" t="s">
        <v>1314</v>
      </c>
      <c r="S517" s="47" t="s">
        <v>1356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5">
      <c r="A518" s="43">
        <v>518</v>
      </c>
      <c r="B518" s="26" t="s">
        <v>1148</v>
      </c>
      <c r="C518" s="25" t="s">
        <v>1365</v>
      </c>
      <c r="D518" s="62" t="s">
        <v>1361</v>
      </c>
      <c r="E518" s="63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1359</v>
      </c>
      <c r="N518" s="52" t="s">
        <v>1</v>
      </c>
      <c r="O518" s="28" t="s">
        <v>530</v>
      </c>
      <c r="P518" s="46" t="s">
        <v>1313</v>
      </c>
      <c r="Q518" s="47" t="s">
        <v>1356</v>
      </c>
      <c r="R518" s="46" t="s">
        <v>1314</v>
      </c>
      <c r="S518" s="47" t="s">
        <v>1356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5">
      <c r="A519" s="43">
        <v>519</v>
      </c>
      <c r="B519" s="26" t="s">
        <v>1149</v>
      </c>
      <c r="C519" s="25" t="s">
        <v>1365</v>
      </c>
      <c r="D519" s="62" t="s">
        <v>1361</v>
      </c>
      <c r="E519" s="63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1359</v>
      </c>
      <c r="N519" s="52" t="s">
        <v>1</v>
      </c>
      <c r="O519" s="28" t="s">
        <v>531</v>
      </c>
      <c r="P519" s="46" t="s">
        <v>1313</v>
      </c>
      <c r="Q519" s="47" t="s">
        <v>1356</v>
      </c>
      <c r="R519" s="46" t="s">
        <v>1314</v>
      </c>
      <c r="S519" s="47" t="s">
        <v>1356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5">
      <c r="A520" s="43">
        <v>520</v>
      </c>
      <c r="B520" s="26" t="s">
        <v>1150</v>
      </c>
      <c r="C520" s="25" t="s">
        <v>1365</v>
      </c>
      <c r="D520" s="62" t="s">
        <v>1361</v>
      </c>
      <c r="E520" s="63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1359</v>
      </c>
      <c r="N520" s="52" t="s">
        <v>1</v>
      </c>
      <c r="O520" s="28" t="s">
        <v>532</v>
      </c>
      <c r="P520" s="46" t="s">
        <v>1313</v>
      </c>
      <c r="Q520" s="47" t="s">
        <v>1356</v>
      </c>
      <c r="R520" s="46" t="s">
        <v>1314</v>
      </c>
      <c r="S520" s="47" t="s">
        <v>1356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5">
      <c r="A521" s="43">
        <v>521</v>
      </c>
      <c r="B521" s="26" t="s">
        <v>1151</v>
      </c>
      <c r="C521" s="25" t="s">
        <v>1365</v>
      </c>
      <c r="D521" s="62" t="s">
        <v>1361</v>
      </c>
      <c r="E521" s="63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1359</v>
      </c>
      <c r="N521" s="52" t="s">
        <v>1</v>
      </c>
      <c r="O521" s="28" t="s">
        <v>533</v>
      </c>
      <c r="P521" s="46" t="s">
        <v>1313</v>
      </c>
      <c r="Q521" s="47" t="s">
        <v>1356</v>
      </c>
      <c r="R521" s="46" t="s">
        <v>1314</v>
      </c>
      <c r="S521" s="47" t="s">
        <v>1356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5">
      <c r="A522" s="43">
        <v>522</v>
      </c>
      <c r="B522" s="26" t="s">
        <v>1152</v>
      </c>
      <c r="C522" s="25" t="s">
        <v>1365</v>
      </c>
      <c r="D522" s="62" t="s">
        <v>1361</v>
      </c>
      <c r="E522" s="63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1359</v>
      </c>
      <c r="N522" s="52" t="s">
        <v>1</v>
      </c>
      <c r="O522" s="28" t="s">
        <v>534</v>
      </c>
      <c r="P522" s="46" t="s">
        <v>1313</v>
      </c>
      <c r="Q522" s="47" t="s">
        <v>1356</v>
      </c>
      <c r="R522" s="46" t="s">
        <v>1314</v>
      </c>
      <c r="S522" s="47" t="s">
        <v>1356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5">
      <c r="A523" s="43">
        <v>523</v>
      </c>
      <c r="B523" s="26" t="s">
        <v>1153</v>
      </c>
      <c r="C523" s="25" t="s">
        <v>1365</v>
      </c>
      <c r="D523" s="62" t="s">
        <v>1361</v>
      </c>
      <c r="E523" s="63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1359</v>
      </c>
      <c r="N523" s="52" t="s">
        <v>1</v>
      </c>
      <c r="O523" s="28" t="s">
        <v>535</v>
      </c>
      <c r="P523" s="46" t="s">
        <v>1313</v>
      </c>
      <c r="Q523" s="47" t="s">
        <v>1356</v>
      </c>
      <c r="R523" s="46" t="s">
        <v>1314</v>
      </c>
      <c r="S523" s="47" t="s">
        <v>1356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5">
      <c r="A524" s="43">
        <v>524</v>
      </c>
      <c r="B524" s="26" t="s">
        <v>1154</v>
      </c>
      <c r="C524" s="25" t="s">
        <v>1365</v>
      </c>
      <c r="D524" s="62" t="s">
        <v>1361</v>
      </c>
      <c r="E524" s="63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1359</v>
      </c>
      <c r="N524" s="52" t="s">
        <v>1</v>
      </c>
      <c r="O524" s="28" t="s">
        <v>536</v>
      </c>
      <c r="P524" s="46" t="s">
        <v>1313</v>
      </c>
      <c r="Q524" s="47" t="s">
        <v>1356</v>
      </c>
      <c r="R524" s="46" t="s">
        <v>1314</v>
      </c>
      <c r="S524" s="47" t="s">
        <v>1356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5">
      <c r="A525" s="43">
        <v>525</v>
      </c>
      <c r="B525" s="26" t="s">
        <v>1155</v>
      </c>
      <c r="C525" s="25" t="s">
        <v>1365</v>
      </c>
      <c r="D525" s="62" t="s">
        <v>1361</v>
      </c>
      <c r="E525" s="63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1359</v>
      </c>
      <c r="N525" s="52" t="s">
        <v>1</v>
      </c>
      <c r="O525" s="28" t="s">
        <v>537</v>
      </c>
      <c r="P525" s="46" t="s">
        <v>1313</v>
      </c>
      <c r="Q525" s="47" t="s">
        <v>1356</v>
      </c>
      <c r="R525" s="46" t="s">
        <v>1314</v>
      </c>
      <c r="S525" s="47" t="s">
        <v>1356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5">
      <c r="A526" s="43">
        <v>526</v>
      </c>
      <c r="B526" s="26" t="s">
        <v>1156</v>
      </c>
      <c r="C526" s="25" t="s">
        <v>1365</v>
      </c>
      <c r="D526" s="62" t="s">
        <v>1361</v>
      </c>
      <c r="E526" s="63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1359</v>
      </c>
      <c r="N526" s="52" t="s">
        <v>1</v>
      </c>
      <c r="O526" s="28" t="s">
        <v>251</v>
      </c>
      <c r="P526" s="46" t="s">
        <v>1313</v>
      </c>
      <c r="Q526" s="47" t="s">
        <v>1356</v>
      </c>
      <c r="R526" s="46" t="s">
        <v>1314</v>
      </c>
      <c r="S526" s="47" t="s">
        <v>1356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5">
      <c r="A527" s="43">
        <v>527</v>
      </c>
      <c r="B527" s="26" t="s">
        <v>1157</v>
      </c>
      <c r="C527" s="25" t="s">
        <v>1365</v>
      </c>
      <c r="D527" s="62" t="s">
        <v>1361</v>
      </c>
      <c r="E527" s="63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1359</v>
      </c>
      <c r="N527" s="52" t="s">
        <v>1</v>
      </c>
      <c r="O527" s="27" t="s">
        <v>538</v>
      </c>
      <c r="P527" s="46" t="s">
        <v>1313</v>
      </c>
      <c r="Q527" s="47" t="s">
        <v>1356</v>
      </c>
      <c r="R527" s="46" t="s">
        <v>1314</v>
      </c>
      <c r="S527" s="47" t="s">
        <v>1356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5">
      <c r="A528" s="43">
        <v>528</v>
      </c>
      <c r="B528" s="26" t="s">
        <v>1158</v>
      </c>
      <c r="C528" s="25" t="s">
        <v>1365</v>
      </c>
      <c r="D528" s="62" t="s">
        <v>1361</v>
      </c>
      <c r="E528" s="63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1359</v>
      </c>
      <c r="N528" s="52" t="s">
        <v>1</v>
      </c>
      <c r="O528" s="28" t="s">
        <v>539</v>
      </c>
      <c r="P528" s="46" t="s">
        <v>1313</v>
      </c>
      <c r="Q528" s="47" t="s">
        <v>1356</v>
      </c>
      <c r="R528" s="46" t="s">
        <v>1314</v>
      </c>
      <c r="S528" s="47" t="s">
        <v>1356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5">
      <c r="A529" s="43">
        <v>529</v>
      </c>
      <c r="B529" s="26" t="s">
        <v>1159</v>
      </c>
      <c r="C529" s="25" t="s">
        <v>1365</v>
      </c>
      <c r="D529" s="62" t="s">
        <v>1361</v>
      </c>
      <c r="E529" s="63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1359</v>
      </c>
      <c r="N529" s="52" t="s">
        <v>1</v>
      </c>
      <c r="O529" s="28" t="s">
        <v>540</v>
      </c>
      <c r="P529" s="46" t="s">
        <v>1313</v>
      </c>
      <c r="Q529" s="47" t="s">
        <v>1356</v>
      </c>
      <c r="R529" s="46" t="s">
        <v>1314</v>
      </c>
      <c r="S529" s="47" t="s">
        <v>1356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5">
      <c r="A530" s="43">
        <v>530</v>
      </c>
      <c r="B530" s="26" t="s">
        <v>1160</v>
      </c>
      <c r="C530" s="25" t="s">
        <v>1365</v>
      </c>
      <c r="D530" s="62" t="s">
        <v>1361</v>
      </c>
      <c r="E530" s="63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1359</v>
      </c>
      <c r="N530" s="52" t="s">
        <v>1</v>
      </c>
      <c r="O530" s="28" t="s">
        <v>541</v>
      </c>
      <c r="P530" s="46" t="s">
        <v>1313</v>
      </c>
      <c r="Q530" s="47" t="s">
        <v>1356</v>
      </c>
      <c r="R530" s="46" t="s">
        <v>1314</v>
      </c>
      <c r="S530" s="47" t="s">
        <v>1356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5">
      <c r="A531" s="43">
        <v>531</v>
      </c>
      <c r="B531" s="26" t="s">
        <v>1161</v>
      </c>
      <c r="C531" s="25" t="s">
        <v>1365</v>
      </c>
      <c r="D531" s="62" t="s">
        <v>1361</v>
      </c>
      <c r="E531" s="63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1359</v>
      </c>
      <c r="N531" s="52" t="s">
        <v>1</v>
      </c>
      <c r="O531" s="28" t="s">
        <v>542</v>
      </c>
      <c r="P531" s="46" t="s">
        <v>1313</v>
      </c>
      <c r="Q531" s="47" t="s">
        <v>1356</v>
      </c>
      <c r="R531" s="46" t="s">
        <v>1314</v>
      </c>
      <c r="S531" s="47" t="s">
        <v>1356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5">
      <c r="A532" s="43">
        <v>532</v>
      </c>
      <c r="B532" s="26" t="s">
        <v>1162</v>
      </c>
      <c r="C532" s="25" t="s">
        <v>1365</v>
      </c>
      <c r="D532" s="62" t="s">
        <v>1361</v>
      </c>
      <c r="E532" s="63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1359</v>
      </c>
      <c r="N532" s="52" t="s">
        <v>1</v>
      </c>
      <c r="O532" s="28" t="s">
        <v>543</v>
      </c>
      <c r="P532" s="46" t="s">
        <v>1313</v>
      </c>
      <c r="Q532" s="47" t="s">
        <v>1356</v>
      </c>
      <c r="R532" s="46" t="s">
        <v>1314</v>
      </c>
      <c r="S532" s="47" t="s">
        <v>1356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5">
      <c r="A533" s="43">
        <v>533</v>
      </c>
      <c r="B533" s="26" t="s">
        <v>1163</v>
      </c>
      <c r="C533" s="25" t="s">
        <v>1365</v>
      </c>
      <c r="D533" s="62" t="s">
        <v>1361</v>
      </c>
      <c r="E533" s="63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1359</v>
      </c>
      <c r="N533" s="52" t="s">
        <v>1</v>
      </c>
      <c r="O533" s="28" t="s">
        <v>544</v>
      </c>
      <c r="P533" s="46" t="s">
        <v>1313</v>
      </c>
      <c r="Q533" s="47" t="s">
        <v>1356</v>
      </c>
      <c r="R533" s="46" t="s">
        <v>1314</v>
      </c>
      <c r="S533" s="47" t="s">
        <v>1356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5">
      <c r="A534" s="43">
        <v>534</v>
      </c>
      <c r="B534" s="26" t="s">
        <v>1164</v>
      </c>
      <c r="C534" s="25" t="s">
        <v>1365</v>
      </c>
      <c r="D534" s="62" t="s">
        <v>1361</v>
      </c>
      <c r="E534" s="63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1359</v>
      </c>
      <c r="N534" s="52" t="s">
        <v>1</v>
      </c>
      <c r="O534" s="28" t="s">
        <v>545</v>
      </c>
      <c r="P534" s="46" t="s">
        <v>1313</v>
      </c>
      <c r="Q534" s="47" t="s">
        <v>1356</v>
      </c>
      <c r="R534" s="46" t="s">
        <v>1314</v>
      </c>
      <c r="S534" s="47" t="s">
        <v>1356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5">
      <c r="A535" s="43">
        <v>535</v>
      </c>
      <c r="B535" s="26" t="s">
        <v>1165</v>
      </c>
      <c r="C535" s="25" t="s">
        <v>1365</v>
      </c>
      <c r="D535" s="62" t="s">
        <v>1361</v>
      </c>
      <c r="E535" s="63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1359</v>
      </c>
      <c r="N535" s="52" t="s">
        <v>1</v>
      </c>
      <c r="O535" s="28" t="s">
        <v>546</v>
      </c>
      <c r="P535" s="46" t="s">
        <v>1313</v>
      </c>
      <c r="Q535" s="47" t="s">
        <v>1356</v>
      </c>
      <c r="R535" s="46" t="s">
        <v>1314</v>
      </c>
      <c r="S535" s="47" t="s">
        <v>1356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5">
      <c r="A536" s="43">
        <v>536</v>
      </c>
      <c r="B536" s="26" t="s">
        <v>1166</v>
      </c>
      <c r="C536" s="25" t="s">
        <v>1365</v>
      </c>
      <c r="D536" s="62" t="s">
        <v>1361</v>
      </c>
      <c r="E536" s="63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1359</v>
      </c>
      <c r="N536" s="52" t="s">
        <v>1</v>
      </c>
      <c r="O536" s="28" t="s">
        <v>547</v>
      </c>
      <c r="P536" s="46" t="s">
        <v>1313</v>
      </c>
      <c r="Q536" s="47" t="s">
        <v>1356</v>
      </c>
      <c r="R536" s="46" t="s">
        <v>1314</v>
      </c>
      <c r="S536" s="47" t="s">
        <v>1356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5">
      <c r="A537" s="43">
        <v>537</v>
      </c>
      <c r="B537" s="26" t="s">
        <v>1167</v>
      </c>
      <c r="C537" s="25" t="s">
        <v>1365</v>
      </c>
      <c r="D537" s="62" t="s">
        <v>1361</v>
      </c>
      <c r="E537" s="63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1359</v>
      </c>
      <c r="N537" s="52" t="s">
        <v>1</v>
      </c>
      <c r="O537" s="28" t="s">
        <v>548</v>
      </c>
      <c r="P537" s="46" t="s">
        <v>1313</v>
      </c>
      <c r="Q537" s="47" t="s">
        <v>1356</v>
      </c>
      <c r="R537" s="46" t="s">
        <v>1314</v>
      </c>
      <c r="S537" s="47" t="s">
        <v>1356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5">
      <c r="A538" s="43">
        <v>538</v>
      </c>
      <c r="B538" s="26" t="s">
        <v>1168</v>
      </c>
      <c r="C538" s="25" t="s">
        <v>1365</v>
      </c>
      <c r="D538" s="62" t="s">
        <v>1361</v>
      </c>
      <c r="E538" s="63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1359</v>
      </c>
      <c r="N538" s="52" t="s">
        <v>1</v>
      </c>
      <c r="O538" s="28" t="s">
        <v>549</v>
      </c>
      <c r="P538" s="46" t="s">
        <v>1313</v>
      </c>
      <c r="Q538" s="47" t="s">
        <v>1356</v>
      </c>
      <c r="R538" s="46" t="s">
        <v>1314</v>
      </c>
      <c r="S538" s="47" t="s">
        <v>1356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5">
      <c r="A539" s="43">
        <v>539</v>
      </c>
      <c r="B539" s="26" t="s">
        <v>1169</v>
      </c>
      <c r="C539" s="25" t="s">
        <v>1365</v>
      </c>
      <c r="D539" s="62" t="s">
        <v>1361</v>
      </c>
      <c r="E539" s="63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1359</v>
      </c>
      <c r="N539" s="52" t="s">
        <v>1</v>
      </c>
      <c r="O539" s="28" t="s">
        <v>550</v>
      </c>
      <c r="P539" s="46" t="s">
        <v>1313</v>
      </c>
      <c r="Q539" s="47" t="s">
        <v>1356</v>
      </c>
      <c r="R539" s="46" t="s">
        <v>1314</v>
      </c>
      <c r="S539" s="47" t="s">
        <v>1356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5">
      <c r="A540" s="43">
        <v>540</v>
      </c>
      <c r="B540" s="26" t="s">
        <v>1170</v>
      </c>
      <c r="C540" s="25" t="s">
        <v>1365</v>
      </c>
      <c r="D540" s="62" t="s">
        <v>1361</v>
      </c>
      <c r="E540" s="63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1359</v>
      </c>
      <c r="N540" s="52" t="s">
        <v>1</v>
      </c>
      <c r="O540" s="28" t="s">
        <v>551</v>
      </c>
      <c r="P540" s="46" t="s">
        <v>1313</v>
      </c>
      <c r="Q540" s="47" t="s">
        <v>1356</v>
      </c>
      <c r="R540" s="46" t="s">
        <v>1314</v>
      </c>
      <c r="S540" s="47" t="s">
        <v>1356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5">
      <c r="A541" s="43">
        <v>541</v>
      </c>
      <c r="B541" s="26" t="s">
        <v>1171</v>
      </c>
      <c r="C541" s="25" t="s">
        <v>1365</v>
      </c>
      <c r="D541" s="62" t="s">
        <v>1361</v>
      </c>
      <c r="E541" s="63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1359</v>
      </c>
      <c r="N541" s="52" t="s">
        <v>1</v>
      </c>
      <c r="O541" s="28" t="s">
        <v>552</v>
      </c>
      <c r="P541" s="46" t="s">
        <v>1313</v>
      </c>
      <c r="Q541" s="47" t="s">
        <v>1356</v>
      </c>
      <c r="R541" s="46" t="s">
        <v>1314</v>
      </c>
      <c r="S541" s="47" t="s">
        <v>1356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5">
      <c r="A542" s="43">
        <v>542</v>
      </c>
      <c r="B542" s="26" t="s">
        <v>1172</v>
      </c>
      <c r="C542" s="25" t="s">
        <v>1365</v>
      </c>
      <c r="D542" s="62" t="s">
        <v>1361</v>
      </c>
      <c r="E542" s="63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1359</v>
      </c>
      <c r="N542" s="52" t="s">
        <v>1</v>
      </c>
      <c r="O542" s="28" t="s">
        <v>553</v>
      </c>
      <c r="P542" s="46" t="s">
        <v>1313</v>
      </c>
      <c r="Q542" s="47" t="s">
        <v>1356</v>
      </c>
      <c r="R542" s="46" t="s">
        <v>1314</v>
      </c>
      <c r="S542" s="47" t="s">
        <v>1356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5">
      <c r="A543" s="43">
        <v>543</v>
      </c>
      <c r="B543" s="26" t="s">
        <v>1173</v>
      </c>
      <c r="C543" s="25" t="s">
        <v>1365</v>
      </c>
      <c r="D543" s="62" t="s">
        <v>1361</v>
      </c>
      <c r="E543" s="63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1359</v>
      </c>
      <c r="N543" s="52" t="s">
        <v>1</v>
      </c>
      <c r="O543" s="28" t="s">
        <v>554</v>
      </c>
      <c r="P543" s="46" t="s">
        <v>1313</v>
      </c>
      <c r="Q543" s="47" t="s">
        <v>1356</v>
      </c>
      <c r="R543" s="46" t="s">
        <v>1314</v>
      </c>
      <c r="S543" s="47" t="s">
        <v>1356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5">
      <c r="A544" s="43">
        <v>544</v>
      </c>
      <c r="B544" s="26" t="s">
        <v>1174</v>
      </c>
      <c r="C544" s="25" t="s">
        <v>1365</v>
      </c>
      <c r="D544" s="62" t="s">
        <v>1361</v>
      </c>
      <c r="E544" s="63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1359</v>
      </c>
      <c r="N544" s="52" t="s">
        <v>1</v>
      </c>
      <c r="O544" s="28" t="s">
        <v>555</v>
      </c>
      <c r="P544" s="46" t="s">
        <v>1313</v>
      </c>
      <c r="Q544" s="47" t="s">
        <v>1356</v>
      </c>
      <c r="R544" s="46" t="s">
        <v>1314</v>
      </c>
      <c r="S544" s="47" t="s">
        <v>1356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5">
      <c r="A545" s="43">
        <v>545</v>
      </c>
      <c r="B545" s="26" t="s">
        <v>1175</v>
      </c>
      <c r="C545" s="25" t="s">
        <v>1365</v>
      </c>
      <c r="D545" s="62" t="s">
        <v>1361</v>
      </c>
      <c r="E545" s="63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1359</v>
      </c>
      <c r="N545" s="52" t="s">
        <v>1</v>
      </c>
      <c r="O545" s="28" t="s">
        <v>556</v>
      </c>
      <c r="P545" s="46" t="s">
        <v>1313</v>
      </c>
      <c r="Q545" s="47" t="s">
        <v>1356</v>
      </c>
      <c r="R545" s="46" t="s">
        <v>1314</v>
      </c>
      <c r="S545" s="47" t="s">
        <v>1356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5">
      <c r="A546" s="43">
        <v>546</v>
      </c>
      <c r="B546" s="26" t="s">
        <v>1176</v>
      </c>
      <c r="C546" s="25" t="s">
        <v>1365</v>
      </c>
      <c r="D546" s="62" t="s">
        <v>1361</v>
      </c>
      <c r="E546" s="63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1359</v>
      </c>
      <c r="N546" s="52" t="s">
        <v>1</v>
      </c>
      <c r="O546" s="28" t="s">
        <v>557</v>
      </c>
      <c r="P546" s="46" t="s">
        <v>1313</v>
      </c>
      <c r="Q546" s="47" t="s">
        <v>1356</v>
      </c>
      <c r="R546" s="46" t="s">
        <v>1314</v>
      </c>
      <c r="S546" s="47" t="s">
        <v>1356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5">
      <c r="A547" s="43">
        <v>547</v>
      </c>
      <c r="B547" s="26" t="s">
        <v>1177</v>
      </c>
      <c r="C547" s="25" t="s">
        <v>1365</v>
      </c>
      <c r="D547" s="62" t="s">
        <v>1361</v>
      </c>
      <c r="E547" s="63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1359</v>
      </c>
      <c r="N547" s="52" t="s">
        <v>1</v>
      </c>
      <c r="O547" s="28" t="s">
        <v>558</v>
      </c>
      <c r="P547" s="46" t="s">
        <v>1313</v>
      </c>
      <c r="Q547" s="47" t="s">
        <v>1356</v>
      </c>
      <c r="R547" s="46" t="s">
        <v>1314</v>
      </c>
      <c r="S547" s="47" t="s">
        <v>1356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5">
      <c r="A548" s="43">
        <v>548</v>
      </c>
      <c r="B548" s="26" t="s">
        <v>1178</v>
      </c>
      <c r="C548" s="25" t="s">
        <v>1365</v>
      </c>
      <c r="D548" s="62" t="s">
        <v>1361</v>
      </c>
      <c r="E548" s="63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1359</v>
      </c>
      <c r="N548" s="52" t="s">
        <v>1</v>
      </c>
      <c r="O548" s="28" t="s">
        <v>559</v>
      </c>
      <c r="P548" s="46" t="s">
        <v>1313</v>
      </c>
      <c r="Q548" s="47" t="s">
        <v>1356</v>
      </c>
      <c r="R548" s="46" t="s">
        <v>1314</v>
      </c>
      <c r="S548" s="47" t="s">
        <v>1356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5">
      <c r="A549" s="43">
        <v>549</v>
      </c>
      <c r="B549" s="26" t="s">
        <v>1179</v>
      </c>
      <c r="C549" s="25" t="s">
        <v>1365</v>
      </c>
      <c r="D549" s="62" t="s">
        <v>1361</v>
      </c>
      <c r="E549" s="63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1359</v>
      </c>
      <c r="N549" s="52" t="s">
        <v>1</v>
      </c>
      <c r="O549" s="28" t="s">
        <v>560</v>
      </c>
      <c r="P549" s="46" t="s">
        <v>1313</v>
      </c>
      <c r="Q549" s="47" t="s">
        <v>1356</v>
      </c>
      <c r="R549" s="46" t="s">
        <v>1314</v>
      </c>
      <c r="S549" s="47" t="s">
        <v>1356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5">
      <c r="A550" s="43">
        <v>550</v>
      </c>
      <c r="B550" s="26" t="s">
        <v>1180</v>
      </c>
      <c r="C550" s="25" t="s">
        <v>1365</v>
      </c>
      <c r="D550" s="62" t="s">
        <v>1361</v>
      </c>
      <c r="E550" s="63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1359</v>
      </c>
      <c r="N550" s="52" t="s">
        <v>1</v>
      </c>
      <c r="O550" s="28" t="s">
        <v>561</v>
      </c>
      <c r="P550" s="46" t="s">
        <v>1313</v>
      </c>
      <c r="Q550" s="47" t="s">
        <v>1356</v>
      </c>
      <c r="R550" s="46" t="s">
        <v>1314</v>
      </c>
      <c r="S550" s="47" t="s">
        <v>1356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5">
      <c r="A551" s="43">
        <v>551</v>
      </c>
      <c r="B551" s="26" t="s">
        <v>1181</v>
      </c>
      <c r="C551" s="25" t="s">
        <v>1365</v>
      </c>
      <c r="D551" s="62" t="s">
        <v>1361</v>
      </c>
      <c r="E551" s="63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1359</v>
      </c>
      <c r="N551" s="52" t="s">
        <v>1</v>
      </c>
      <c r="O551" s="28" t="s">
        <v>562</v>
      </c>
      <c r="P551" s="46" t="s">
        <v>1313</v>
      </c>
      <c r="Q551" s="47" t="s">
        <v>1356</v>
      </c>
      <c r="R551" s="46" t="s">
        <v>1314</v>
      </c>
      <c r="S551" s="47" t="s">
        <v>1356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5">
      <c r="A552" s="43">
        <v>552</v>
      </c>
      <c r="B552" s="26" t="s">
        <v>1182</v>
      </c>
      <c r="C552" s="25" t="s">
        <v>1365</v>
      </c>
      <c r="D552" s="62" t="s">
        <v>1361</v>
      </c>
      <c r="E552" s="63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1359</v>
      </c>
      <c r="N552" s="52" t="s">
        <v>1</v>
      </c>
      <c r="O552" s="28" t="s">
        <v>563</v>
      </c>
      <c r="P552" s="46" t="s">
        <v>1313</v>
      </c>
      <c r="Q552" s="47" t="s">
        <v>1356</v>
      </c>
      <c r="R552" s="46" t="s">
        <v>1314</v>
      </c>
      <c r="S552" s="47" t="s">
        <v>1356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5">
      <c r="A553" s="43">
        <v>553</v>
      </c>
      <c r="B553" s="26" t="s">
        <v>1183</v>
      </c>
      <c r="C553" s="25" t="s">
        <v>1365</v>
      </c>
      <c r="D553" s="62" t="s">
        <v>1361</v>
      </c>
      <c r="E553" s="63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1359</v>
      </c>
      <c r="N553" s="52" t="s">
        <v>1</v>
      </c>
      <c r="O553" s="28" t="s">
        <v>564</v>
      </c>
      <c r="P553" s="46" t="s">
        <v>1313</v>
      </c>
      <c r="Q553" s="47" t="s">
        <v>1356</v>
      </c>
      <c r="R553" s="46" t="s">
        <v>1314</v>
      </c>
      <c r="S553" s="47" t="s">
        <v>1356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5">
      <c r="A554" s="43">
        <v>554</v>
      </c>
      <c r="B554" s="26" t="s">
        <v>1184</v>
      </c>
      <c r="C554" s="25" t="s">
        <v>1365</v>
      </c>
      <c r="D554" s="62" t="s">
        <v>1361</v>
      </c>
      <c r="E554" s="63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1359</v>
      </c>
      <c r="N554" s="52" t="s">
        <v>1</v>
      </c>
      <c r="O554" s="28" t="s">
        <v>565</v>
      </c>
      <c r="P554" s="46" t="s">
        <v>1313</v>
      </c>
      <c r="Q554" s="47" t="s">
        <v>1356</v>
      </c>
      <c r="R554" s="46" t="s">
        <v>1314</v>
      </c>
      <c r="S554" s="47" t="s">
        <v>1356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5">
      <c r="A555" s="43">
        <v>555</v>
      </c>
      <c r="B555" s="26" t="s">
        <v>1185</v>
      </c>
      <c r="C555" s="25" t="s">
        <v>1365</v>
      </c>
      <c r="D555" s="62" t="s">
        <v>1361</v>
      </c>
      <c r="E555" s="63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1359</v>
      </c>
      <c r="N555" s="52" t="s">
        <v>1</v>
      </c>
      <c r="O555" s="28" t="s">
        <v>566</v>
      </c>
      <c r="P555" s="46" t="s">
        <v>1313</v>
      </c>
      <c r="Q555" s="47" t="s">
        <v>1356</v>
      </c>
      <c r="R555" s="46" t="s">
        <v>1314</v>
      </c>
      <c r="S555" s="47" t="s">
        <v>1356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5">
      <c r="A556" s="43">
        <v>556</v>
      </c>
      <c r="B556" s="26" t="s">
        <v>1186</v>
      </c>
      <c r="C556" s="25" t="s">
        <v>1365</v>
      </c>
      <c r="D556" s="62" t="s">
        <v>1361</v>
      </c>
      <c r="E556" s="63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1359</v>
      </c>
      <c r="N556" s="52" t="s">
        <v>1</v>
      </c>
      <c r="O556" s="28" t="s">
        <v>567</v>
      </c>
      <c r="P556" s="46" t="s">
        <v>1313</v>
      </c>
      <c r="Q556" s="47" t="s">
        <v>1356</v>
      </c>
      <c r="R556" s="46" t="s">
        <v>1314</v>
      </c>
      <c r="S556" s="47" t="s">
        <v>1356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5">
      <c r="A557" s="43">
        <v>557</v>
      </c>
      <c r="B557" s="26" t="s">
        <v>1187</v>
      </c>
      <c r="C557" s="25" t="s">
        <v>1365</v>
      </c>
      <c r="D557" s="62" t="s">
        <v>1361</v>
      </c>
      <c r="E557" s="63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1359</v>
      </c>
      <c r="N557" s="52" t="s">
        <v>1</v>
      </c>
      <c r="O557" s="28" t="s">
        <v>568</v>
      </c>
      <c r="P557" s="46" t="s">
        <v>1313</v>
      </c>
      <c r="Q557" s="47" t="s">
        <v>1356</v>
      </c>
      <c r="R557" s="46" t="s">
        <v>1314</v>
      </c>
      <c r="S557" s="47" t="s">
        <v>1356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5">
      <c r="A558" s="43">
        <v>558</v>
      </c>
      <c r="B558" s="26" t="s">
        <v>1188</v>
      </c>
      <c r="C558" s="25" t="s">
        <v>1365</v>
      </c>
      <c r="D558" s="62" t="s">
        <v>1361</v>
      </c>
      <c r="E558" s="63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1359</v>
      </c>
      <c r="N558" s="52" t="s">
        <v>1</v>
      </c>
      <c r="O558" s="28" t="s">
        <v>569</v>
      </c>
      <c r="P558" s="46" t="s">
        <v>1313</v>
      </c>
      <c r="Q558" s="47" t="s">
        <v>1356</v>
      </c>
      <c r="R558" s="46" t="s">
        <v>1314</v>
      </c>
      <c r="S558" s="47" t="s">
        <v>1356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5">
      <c r="A559" s="43">
        <v>559</v>
      </c>
      <c r="B559" s="26" t="s">
        <v>1189</v>
      </c>
      <c r="C559" s="25" t="s">
        <v>1365</v>
      </c>
      <c r="D559" s="62" t="s">
        <v>1361</v>
      </c>
      <c r="E559" s="63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1359</v>
      </c>
      <c r="N559" s="52" t="s">
        <v>1</v>
      </c>
      <c r="O559" s="28" t="s">
        <v>570</v>
      </c>
      <c r="P559" s="46" t="s">
        <v>1313</v>
      </c>
      <c r="Q559" s="47" t="s">
        <v>1356</v>
      </c>
      <c r="R559" s="46" t="s">
        <v>1314</v>
      </c>
      <c r="S559" s="47" t="s">
        <v>1356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5">
      <c r="A560" s="43">
        <v>560</v>
      </c>
      <c r="B560" s="26" t="s">
        <v>1190</v>
      </c>
      <c r="C560" s="25" t="s">
        <v>1365</v>
      </c>
      <c r="D560" s="62" t="s">
        <v>1361</v>
      </c>
      <c r="E560" s="63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1359</v>
      </c>
      <c r="N560" s="52" t="s">
        <v>1</v>
      </c>
      <c r="O560" s="28" t="s">
        <v>571</v>
      </c>
      <c r="P560" s="46" t="s">
        <v>1313</v>
      </c>
      <c r="Q560" s="47" t="s">
        <v>1356</v>
      </c>
      <c r="R560" s="46" t="s">
        <v>1314</v>
      </c>
      <c r="S560" s="47" t="s">
        <v>1356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5">
      <c r="A561" s="43">
        <v>561</v>
      </c>
      <c r="B561" s="26" t="s">
        <v>1191</v>
      </c>
      <c r="C561" s="25" t="s">
        <v>1365</v>
      </c>
      <c r="D561" s="62" t="s">
        <v>1361</v>
      </c>
      <c r="E561" s="63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1359</v>
      </c>
      <c r="N561" s="52" t="s">
        <v>1</v>
      </c>
      <c r="O561" s="28" t="s">
        <v>572</v>
      </c>
      <c r="P561" s="46" t="s">
        <v>1313</v>
      </c>
      <c r="Q561" s="47" t="s">
        <v>1356</v>
      </c>
      <c r="R561" s="46" t="s">
        <v>1314</v>
      </c>
      <c r="S561" s="47" t="s">
        <v>1356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5">
      <c r="A562" s="43">
        <v>562</v>
      </c>
      <c r="B562" s="26" t="s">
        <v>1192</v>
      </c>
      <c r="C562" s="25" t="s">
        <v>1365</v>
      </c>
      <c r="D562" s="62" t="s">
        <v>1361</v>
      </c>
      <c r="E562" s="63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1359</v>
      </c>
      <c r="N562" s="52" t="s">
        <v>1</v>
      </c>
      <c r="O562" s="28" t="s">
        <v>573</v>
      </c>
      <c r="P562" s="46" t="s">
        <v>1313</v>
      </c>
      <c r="Q562" s="47" t="s">
        <v>1356</v>
      </c>
      <c r="R562" s="46" t="s">
        <v>1314</v>
      </c>
      <c r="S562" s="47" t="s">
        <v>1356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5">
      <c r="A563" s="43">
        <v>563</v>
      </c>
      <c r="B563" s="26" t="s">
        <v>1193</v>
      </c>
      <c r="C563" s="25" t="s">
        <v>1365</v>
      </c>
      <c r="D563" s="62" t="s">
        <v>1361</v>
      </c>
      <c r="E563" s="63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1359</v>
      </c>
      <c r="N563" s="52" t="s">
        <v>1</v>
      </c>
      <c r="O563" s="28" t="s">
        <v>574</v>
      </c>
      <c r="P563" s="46" t="s">
        <v>1313</v>
      </c>
      <c r="Q563" s="47" t="s">
        <v>1356</v>
      </c>
      <c r="R563" s="46" t="s">
        <v>1314</v>
      </c>
      <c r="S563" s="47" t="s">
        <v>1356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5">
      <c r="A564" s="43">
        <v>564</v>
      </c>
      <c r="B564" s="26" t="s">
        <v>1194</v>
      </c>
      <c r="C564" s="25" t="s">
        <v>1365</v>
      </c>
      <c r="D564" s="62" t="s">
        <v>1361</v>
      </c>
      <c r="E564" s="63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1359</v>
      </c>
      <c r="N564" s="52" t="s">
        <v>1</v>
      </c>
      <c r="O564" s="28" t="s">
        <v>575</v>
      </c>
      <c r="P564" s="46" t="s">
        <v>1313</v>
      </c>
      <c r="Q564" s="47" t="s">
        <v>1356</v>
      </c>
      <c r="R564" s="46" t="s">
        <v>1314</v>
      </c>
      <c r="S564" s="47" t="s">
        <v>1356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5">
      <c r="A565" s="43">
        <v>565</v>
      </c>
      <c r="B565" s="26" t="s">
        <v>1195</v>
      </c>
      <c r="C565" s="25" t="s">
        <v>1365</v>
      </c>
      <c r="D565" s="62" t="s">
        <v>1361</v>
      </c>
      <c r="E565" s="63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1359</v>
      </c>
      <c r="N565" s="52" t="s">
        <v>1</v>
      </c>
      <c r="O565" s="28" t="s">
        <v>576</v>
      </c>
      <c r="P565" s="46" t="s">
        <v>1313</v>
      </c>
      <c r="Q565" s="47" t="s">
        <v>1356</v>
      </c>
      <c r="R565" s="46" t="s">
        <v>1314</v>
      </c>
      <c r="S565" s="47" t="s">
        <v>1356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5">
      <c r="A566" s="43">
        <v>566</v>
      </c>
      <c r="B566" s="26" t="s">
        <v>1196</v>
      </c>
      <c r="C566" s="25" t="s">
        <v>1365</v>
      </c>
      <c r="D566" s="62" t="s">
        <v>1361</v>
      </c>
      <c r="E566" s="63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1359</v>
      </c>
      <c r="N566" s="52" t="s">
        <v>1</v>
      </c>
      <c r="O566" s="28" t="s">
        <v>577</v>
      </c>
      <c r="P566" s="46" t="s">
        <v>1313</v>
      </c>
      <c r="Q566" s="47" t="s">
        <v>1356</v>
      </c>
      <c r="R566" s="46" t="s">
        <v>1314</v>
      </c>
      <c r="S566" s="47" t="s">
        <v>1356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5">
      <c r="A567" s="43">
        <v>567</v>
      </c>
      <c r="B567" s="26" t="s">
        <v>1197</v>
      </c>
      <c r="C567" s="25" t="s">
        <v>1365</v>
      </c>
      <c r="D567" s="62" t="s">
        <v>1361</v>
      </c>
      <c r="E567" s="63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1359</v>
      </c>
      <c r="N567" s="52" t="s">
        <v>1</v>
      </c>
      <c r="O567" s="28" t="s">
        <v>578</v>
      </c>
      <c r="P567" s="46" t="s">
        <v>1313</v>
      </c>
      <c r="Q567" s="47" t="s">
        <v>1356</v>
      </c>
      <c r="R567" s="46" t="s">
        <v>1314</v>
      </c>
      <c r="S567" s="47" t="s">
        <v>1356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5">
      <c r="A568" s="43">
        <v>568</v>
      </c>
      <c r="B568" s="26" t="s">
        <v>1198</v>
      </c>
      <c r="C568" s="25" t="s">
        <v>1365</v>
      </c>
      <c r="D568" s="62" t="s">
        <v>1361</v>
      </c>
      <c r="E568" s="63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1359</v>
      </c>
      <c r="N568" s="52" t="s">
        <v>1</v>
      </c>
      <c r="O568" s="28" t="s">
        <v>579</v>
      </c>
      <c r="P568" s="46" t="s">
        <v>1313</v>
      </c>
      <c r="Q568" s="47" t="s">
        <v>1356</v>
      </c>
      <c r="R568" s="46" t="s">
        <v>1314</v>
      </c>
      <c r="S568" s="47" t="s">
        <v>1356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5">
      <c r="A569" s="43">
        <v>569</v>
      </c>
      <c r="B569" s="26" t="s">
        <v>1199</v>
      </c>
      <c r="C569" s="25" t="s">
        <v>1365</v>
      </c>
      <c r="D569" s="62" t="s">
        <v>1361</v>
      </c>
      <c r="E569" s="63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1359</v>
      </c>
      <c r="N569" s="52" t="s">
        <v>1</v>
      </c>
      <c r="O569" s="28" t="s">
        <v>580</v>
      </c>
      <c r="P569" s="46" t="s">
        <v>1313</v>
      </c>
      <c r="Q569" s="47" t="s">
        <v>1356</v>
      </c>
      <c r="R569" s="46" t="s">
        <v>1314</v>
      </c>
      <c r="S569" s="47" t="s">
        <v>1356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5">
      <c r="A570" s="43">
        <v>570</v>
      </c>
      <c r="B570" s="26" t="s">
        <v>1200</v>
      </c>
      <c r="C570" s="25" t="s">
        <v>1365</v>
      </c>
      <c r="D570" s="62" t="s">
        <v>1361</v>
      </c>
      <c r="E570" s="63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1359</v>
      </c>
      <c r="N570" s="52" t="s">
        <v>1</v>
      </c>
      <c r="O570" s="28" t="s">
        <v>581</v>
      </c>
      <c r="P570" s="46" t="s">
        <v>1313</v>
      </c>
      <c r="Q570" s="47" t="s">
        <v>1356</v>
      </c>
      <c r="R570" s="46" t="s">
        <v>1314</v>
      </c>
      <c r="S570" s="47" t="s">
        <v>1356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5">
      <c r="A571" s="43">
        <v>571</v>
      </c>
      <c r="B571" s="26" t="s">
        <v>1201</v>
      </c>
      <c r="C571" s="25" t="s">
        <v>1365</v>
      </c>
      <c r="D571" s="62" t="s">
        <v>1361</v>
      </c>
      <c r="E571" s="63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1359</v>
      </c>
      <c r="N571" s="52" t="s">
        <v>1</v>
      </c>
      <c r="O571" s="28" t="s">
        <v>582</v>
      </c>
      <c r="P571" s="46" t="s">
        <v>1313</v>
      </c>
      <c r="Q571" s="47" t="s">
        <v>1356</v>
      </c>
      <c r="R571" s="46" t="s">
        <v>1314</v>
      </c>
      <c r="S571" s="47" t="s">
        <v>1356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5">
      <c r="A572" s="43">
        <v>572</v>
      </c>
      <c r="B572" s="26" t="s">
        <v>1202</v>
      </c>
      <c r="C572" s="25" t="s">
        <v>1365</v>
      </c>
      <c r="D572" s="62" t="s">
        <v>1361</v>
      </c>
      <c r="E572" s="63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1359</v>
      </c>
      <c r="N572" s="52" t="s">
        <v>1</v>
      </c>
      <c r="O572" s="28" t="s">
        <v>583</v>
      </c>
      <c r="P572" s="46" t="s">
        <v>1313</v>
      </c>
      <c r="Q572" s="47" t="s">
        <v>1356</v>
      </c>
      <c r="R572" s="46" t="s">
        <v>1314</v>
      </c>
      <c r="S572" s="47" t="s">
        <v>1356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5">
      <c r="A573" s="43">
        <v>573</v>
      </c>
      <c r="B573" s="26" t="s">
        <v>1203</v>
      </c>
      <c r="C573" s="25" t="s">
        <v>1365</v>
      </c>
      <c r="D573" s="62" t="s">
        <v>1361</v>
      </c>
      <c r="E573" s="63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1359</v>
      </c>
      <c r="N573" s="52" t="s">
        <v>1</v>
      </c>
      <c r="O573" s="28" t="s">
        <v>584</v>
      </c>
      <c r="P573" s="46" t="s">
        <v>1313</v>
      </c>
      <c r="Q573" s="47" t="s">
        <v>1356</v>
      </c>
      <c r="R573" s="46" t="s">
        <v>1314</v>
      </c>
      <c r="S573" s="47" t="s">
        <v>1356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5">
      <c r="A574" s="43">
        <v>574</v>
      </c>
      <c r="B574" s="26" t="s">
        <v>1204</v>
      </c>
      <c r="C574" s="25" t="s">
        <v>1365</v>
      </c>
      <c r="D574" s="62" t="s">
        <v>1361</v>
      </c>
      <c r="E574" s="63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1359</v>
      </c>
      <c r="N574" s="52" t="s">
        <v>1</v>
      </c>
      <c r="O574" s="28" t="s">
        <v>585</v>
      </c>
      <c r="P574" s="46" t="s">
        <v>1313</v>
      </c>
      <c r="Q574" s="47" t="s">
        <v>1356</v>
      </c>
      <c r="R574" s="46" t="s">
        <v>1314</v>
      </c>
      <c r="S574" s="47" t="s">
        <v>1356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5">
      <c r="A575" s="43">
        <v>575</v>
      </c>
      <c r="B575" s="26" t="s">
        <v>1205</v>
      </c>
      <c r="C575" s="25" t="s">
        <v>1365</v>
      </c>
      <c r="D575" s="62" t="s">
        <v>1361</v>
      </c>
      <c r="E575" s="63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1359</v>
      </c>
      <c r="N575" s="52" t="s">
        <v>1</v>
      </c>
      <c r="O575" s="28" t="s">
        <v>586</v>
      </c>
      <c r="P575" s="46" t="s">
        <v>1313</v>
      </c>
      <c r="Q575" s="47" t="s">
        <v>1356</v>
      </c>
      <c r="R575" s="46" t="s">
        <v>1314</v>
      </c>
      <c r="S575" s="47" t="s">
        <v>1356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5">
      <c r="A576" s="43">
        <v>576</v>
      </c>
      <c r="B576" s="26" t="s">
        <v>1206</v>
      </c>
      <c r="C576" s="25" t="s">
        <v>1365</v>
      </c>
      <c r="D576" s="62" t="s">
        <v>1361</v>
      </c>
      <c r="E576" s="63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1359</v>
      </c>
      <c r="N576" s="52" t="s">
        <v>1</v>
      </c>
      <c r="O576" s="28" t="s">
        <v>587</v>
      </c>
      <c r="P576" s="46" t="s">
        <v>1313</v>
      </c>
      <c r="Q576" s="47" t="s">
        <v>1356</v>
      </c>
      <c r="R576" s="46" t="s">
        <v>1314</v>
      </c>
      <c r="S576" s="47" t="s">
        <v>1356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5">
      <c r="A577" s="43">
        <v>577</v>
      </c>
      <c r="B577" s="26" t="s">
        <v>1207</v>
      </c>
      <c r="C577" s="25" t="s">
        <v>1365</v>
      </c>
      <c r="D577" s="62" t="s">
        <v>1361</v>
      </c>
      <c r="E577" s="63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1359</v>
      </c>
      <c r="N577" s="52" t="s">
        <v>1</v>
      </c>
      <c r="O577" s="28" t="s">
        <v>588</v>
      </c>
      <c r="P577" s="46" t="s">
        <v>1313</v>
      </c>
      <c r="Q577" s="47" t="s">
        <v>1356</v>
      </c>
      <c r="R577" s="46" t="s">
        <v>1314</v>
      </c>
      <c r="S577" s="47" t="s">
        <v>1356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5">
      <c r="A578" s="43">
        <v>578</v>
      </c>
      <c r="B578" s="26" t="s">
        <v>1208</v>
      </c>
      <c r="C578" s="25" t="s">
        <v>1365</v>
      </c>
      <c r="D578" s="62" t="s">
        <v>1361</v>
      </c>
      <c r="E578" s="63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1359</v>
      </c>
      <c r="N578" s="52" t="s">
        <v>1</v>
      </c>
      <c r="O578" s="28" t="s">
        <v>589</v>
      </c>
      <c r="P578" s="46" t="s">
        <v>1313</v>
      </c>
      <c r="Q578" s="47" t="s">
        <v>1356</v>
      </c>
      <c r="R578" s="46" t="s">
        <v>1314</v>
      </c>
      <c r="S578" s="47" t="s">
        <v>1356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5">
      <c r="A579" s="43">
        <v>579</v>
      </c>
      <c r="B579" s="26" t="s">
        <v>1209</v>
      </c>
      <c r="C579" s="25" t="s">
        <v>1365</v>
      </c>
      <c r="D579" s="62" t="s">
        <v>1361</v>
      </c>
      <c r="E579" s="63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1359</v>
      </c>
      <c r="N579" s="52" t="s">
        <v>1</v>
      </c>
      <c r="O579" s="28" t="s">
        <v>590</v>
      </c>
      <c r="P579" s="46" t="s">
        <v>1313</v>
      </c>
      <c r="Q579" s="47" t="s">
        <v>1356</v>
      </c>
      <c r="R579" s="46" t="s">
        <v>1314</v>
      </c>
      <c r="S579" s="47" t="s">
        <v>1356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5">
      <c r="A580" s="43">
        <v>580</v>
      </c>
      <c r="B580" s="26" t="s">
        <v>1210</v>
      </c>
      <c r="C580" s="25" t="s">
        <v>1365</v>
      </c>
      <c r="D580" s="62" t="s">
        <v>1361</v>
      </c>
      <c r="E580" s="63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1359</v>
      </c>
      <c r="N580" s="52" t="s">
        <v>1</v>
      </c>
      <c r="O580" s="28" t="s">
        <v>591</v>
      </c>
      <c r="P580" s="46" t="s">
        <v>1313</v>
      </c>
      <c r="Q580" s="47" t="s">
        <v>1356</v>
      </c>
      <c r="R580" s="46" t="s">
        <v>1314</v>
      </c>
      <c r="S580" s="47" t="s">
        <v>1356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5">
      <c r="A581" s="43">
        <v>581</v>
      </c>
      <c r="B581" s="26" t="s">
        <v>1211</v>
      </c>
      <c r="C581" s="25" t="s">
        <v>1365</v>
      </c>
      <c r="D581" s="62" t="s">
        <v>1361</v>
      </c>
      <c r="E581" s="63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1359</v>
      </c>
      <c r="N581" s="52" t="s">
        <v>1</v>
      </c>
      <c r="O581" s="28" t="s">
        <v>592</v>
      </c>
      <c r="P581" s="46" t="s">
        <v>1313</v>
      </c>
      <c r="Q581" s="47" t="s">
        <v>1356</v>
      </c>
      <c r="R581" s="46" t="s">
        <v>1314</v>
      </c>
      <c r="S581" s="47" t="s">
        <v>1356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5">
      <c r="A582" s="43">
        <v>582</v>
      </c>
      <c r="B582" s="26" t="s">
        <v>1212</v>
      </c>
      <c r="C582" s="25" t="s">
        <v>1365</v>
      </c>
      <c r="D582" s="62" t="s">
        <v>1361</v>
      </c>
      <c r="E582" s="63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1359</v>
      </c>
      <c r="N582" s="52" t="s">
        <v>1</v>
      </c>
      <c r="O582" s="28" t="s">
        <v>593</v>
      </c>
      <c r="P582" s="46" t="s">
        <v>1313</v>
      </c>
      <c r="Q582" s="47" t="s">
        <v>1356</v>
      </c>
      <c r="R582" s="46" t="s">
        <v>1314</v>
      </c>
      <c r="S582" s="47" t="s">
        <v>1356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5">
      <c r="A583" s="43">
        <v>583</v>
      </c>
      <c r="B583" s="26" t="s">
        <v>1213</v>
      </c>
      <c r="C583" s="25" t="s">
        <v>1365</v>
      </c>
      <c r="D583" s="62" t="s">
        <v>1361</v>
      </c>
      <c r="E583" s="63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1359</v>
      </c>
      <c r="N583" s="52" t="s">
        <v>1</v>
      </c>
      <c r="O583" s="28" t="s">
        <v>594</v>
      </c>
      <c r="P583" s="46" t="s">
        <v>1313</v>
      </c>
      <c r="Q583" s="47" t="s">
        <v>1356</v>
      </c>
      <c r="R583" s="46" t="s">
        <v>1314</v>
      </c>
      <c r="S583" s="47" t="s">
        <v>1356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5">
      <c r="A584" s="43">
        <v>584</v>
      </c>
      <c r="B584" s="26" t="s">
        <v>1214</v>
      </c>
      <c r="C584" s="25" t="s">
        <v>1365</v>
      </c>
      <c r="D584" s="62" t="s">
        <v>1361</v>
      </c>
      <c r="E584" s="63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1359</v>
      </c>
      <c r="N584" s="52" t="s">
        <v>1</v>
      </c>
      <c r="O584" s="28" t="s">
        <v>595</v>
      </c>
      <c r="P584" s="46" t="s">
        <v>1313</v>
      </c>
      <c r="Q584" s="47" t="s">
        <v>1356</v>
      </c>
      <c r="R584" s="46" t="s">
        <v>1314</v>
      </c>
      <c r="S584" s="47" t="s">
        <v>1356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5">
      <c r="A585" s="43">
        <v>585</v>
      </c>
      <c r="B585" s="26" t="s">
        <v>1215</v>
      </c>
      <c r="C585" s="25" t="s">
        <v>1365</v>
      </c>
      <c r="D585" s="62" t="s">
        <v>1361</v>
      </c>
      <c r="E585" s="63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1359</v>
      </c>
      <c r="N585" s="52" t="s">
        <v>1</v>
      </c>
      <c r="O585" s="28" t="s">
        <v>596</v>
      </c>
      <c r="P585" s="46" t="s">
        <v>1313</v>
      </c>
      <c r="Q585" s="47" t="s">
        <v>1356</v>
      </c>
      <c r="R585" s="46" t="s">
        <v>1314</v>
      </c>
      <c r="S585" s="47" t="s">
        <v>1356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5">
      <c r="A586" s="43">
        <v>586</v>
      </c>
      <c r="B586" s="26" t="s">
        <v>1216</v>
      </c>
      <c r="C586" s="25" t="s">
        <v>1365</v>
      </c>
      <c r="D586" s="62" t="s">
        <v>1361</v>
      </c>
      <c r="E586" s="63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1359</v>
      </c>
      <c r="N586" s="52" t="s">
        <v>1</v>
      </c>
      <c r="O586" s="28" t="s">
        <v>597</v>
      </c>
      <c r="P586" s="46" t="s">
        <v>1313</v>
      </c>
      <c r="Q586" s="47" t="s">
        <v>1356</v>
      </c>
      <c r="R586" s="46" t="s">
        <v>1314</v>
      </c>
      <c r="S586" s="47" t="s">
        <v>1356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5">
      <c r="A587" s="43">
        <v>587</v>
      </c>
      <c r="B587" s="26" t="s">
        <v>1217</v>
      </c>
      <c r="C587" s="25" t="s">
        <v>1365</v>
      </c>
      <c r="D587" s="62" t="s">
        <v>1361</v>
      </c>
      <c r="E587" s="63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1359</v>
      </c>
      <c r="N587" s="52" t="s">
        <v>1</v>
      </c>
      <c r="O587" s="28" t="s">
        <v>598</v>
      </c>
      <c r="P587" s="46" t="s">
        <v>1313</v>
      </c>
      <c r="Q587" s="47" t="s">
        <v>1356</v>
      </c>
      <c r="R587" s="46" t="s">
        <v>1314</v>
      </c>
      <c r="S587" s="47" t="s">
        <v>1356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5">
      <c r="A588" s="43">
        <v>588</v>
      </c>
      <c r="B588" s="26" t="s">
        <v>1218</v>
      </c>
      <c r="C588" s="25" t="s">
        <v>1365</v>
      </c>
      <c r="D588" s="62" t="s">
        <v>1361</v>
      </c>
      <c r="E588" s="63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1359</v>
      </c>
      <c r="N588" s="52" t="s">
        <v>1</v>
      </c>
      <c r="O588" s="28" t="s">
        <v>599</v>
      </c>
      <c r="P588" s="46" t="s">
        <v>1313</v>
      </c>
      <c r="Q588" s="47" t="s">
        <v>1356</v>
      </c>
      <c r="R588" s="46" t="s">
        <v>1314</v>
      </c>
      <c r="S588" s="47" t="s">
        <v>1356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5">
      <c r="A589" s="43">
        <v>589</v>
      </c>
      <c r="B589" s="26" t="s">
        <v>1219</v>
      </c>
      <c r="C589" s="25" t="s">
        <v>1365</v>
      </c>
      <c r="D589" s="62" t="s">
        <v>1361</v>
      </c>
      <c r="E589" s="63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1359</v>
      </c>
      <c r="N589" s="52" t="s">
        <v>1</v>
      </c>
      <c r="O589" s="28" t="s">
        <v>600</v>
      </c>
      <c r="P589" s="46" t="s">
        <v>1313</v>
      </c>
      <c r="Q589" s="47" t="s">
        <v>1356</v>
      </c>
      <c r="R589" s="46" t="s">
        <v>1314</v>
      </c>
      <c r="S589" s="47" t="s">
        <v>1356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5">
      <c r="A590" s="43">
        <v>590</v>
      </c>
      <c r="B590" s="26" t="s">
        <v>1220</v>
      </c>
      <c r="C590" s="25" t="s">
        <v>1365</v>
      </c>
      <c r="D590" s="62" t="s">
        <v>1361</v>
      </c>
      <c r="E590" s="63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1359</v>
      </c>
      <c r="N590" s="52" t="s">
        <v>1</v>
      </c>
      <c r="O590" s="28" t="s">
        <v>601</v>
      </c>
      <c r="P590" s="46" t="s">
        <v>1313</v>
      </c>
      <c r="Q590" s="47" t="s">
        <v>1356</v>
      </c>
      <c r="R590" s="46" t="s">
        <v>1314</v>
      </c>
      <c r="S590" s="47" t="s">
        <v>1356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5">
      <c r="A591" s="43">
        <v>591</v>
      </c>
      <c r="B591" s="26" t="s">
        <v>1221</v>
      </c>
      <c r="C591" s="25" t="s">
        <v>1365</v>
      </c>
      <c r="D591" s="62" t="s">
        <v>1361</v>
      </c>
      <c r="E591" s="63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1359</v>
      </c>
      <c r="N591" s="52" t="s">
        <v>1</v>
      </c>
      <c r="O591" s="27" t="s">
        <v>602</v>
      </c>
      <c r="P591" s="46" t="s">
        <v>1313</v>
      </c>
      <c r="Q591" s="47" t="s">
        <v>1356</v>
      </c>
      <c r="R591" s="46" t="s">
        <v>1314</v>
      </c>
      <c r="S591" s="47" t="s">
        <v>1356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5">
      <c r="A592" s="43">
        <v>592</v>
      </c>
      <c r="B592" s="26" t="s">
        <v>1222</v>
      </c>
      <c r="C592" s="25" t="s">
        <v>1365</v>
      </c>
      <c r="D592" s="62" t="s">
        <v>1361</v>
      </c>
      <c r="E592" s="63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1359</v>
      </c>
      <c r="N592" s="52" t="s">
        <v>1</v>
      </c>
      <c r="O592" s="28" t="s">
        <v>603</v>
      </c>
      <c r="P592" s="46" t="s">
        <v>1313</v>
      </c>
      <c r="Q592" s="47" t="s">
        <v>1356</v>
      </c>
      <c r="R592" s="46" t="s">
        <v>1314</v>
      </c>
      <c r="S592" s="47" t="s">
        <v>1356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5">
      <c r="A593" s="43">
        <v>593</v>
      </c>
      <c r="B593" s="26" t="s">
        <v>1223</v>
      </c>
      <c r="C593" s="25" t="s">
        <v>1365</v>
      </c>
      <c r="D593" s="62" t="s">
        <v>1361</v>
      </c>
      <c r="E593" s="63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1359</v>
      </c>
      <c r="N593" s="52" t="s">
        <v>1</v>
      </c>
      <c r="O593" s="28" t="s">
        <v>604</v>
      </c>
      <c r="P593" s="46" t="s">
        <v>1313</v>
      </c>
      <c r="Q593" s="47" t="s">
        <v>1356</v>
      </c>
      <c r="R593" s="46" t="s">
        <v>1314</v>
      </c>
      <c r="S593" s="47" t="s">
        <v>1356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5">
      <c r="A594" s="43">
        <v>594</v>
      </c>
      <c r="B594" s="26" t="s">
        <v>1224</v>
      </c>
      <c r="C594" s="25" t="s">
        <v>1365</v>
      </c>
      <c r="D594" s="62" t="s">
        <v>1361</v>
      </c>
      <c r="E594" s="63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1359</v>
      </c>
      <c r="N594" s="52" t="s">
        <v>1</v>
      </c>
      <c r="O594" s="28" t="s">
        <v>605</v>
      </c>
      <c r="P594" s="46" t="s">
        <v>1313</v>
      </c>
      <c r="Q594" s="47" t="s">
        <v>1356</v>
      </c>
      <c r="R594" s="46" t="s">
        <v>1314</v>
      </c>
      <c r="S594" s="47" t="s">
        <v>1356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5">
      <c r="A595" s="43">
        <v>595</v>
      </c>
      <c r="B595" s="26" t="s">
        <v>1225</v>
      </c>
      <c r="C595" s="25" t="s">
        <v>1365</v>
      </c>
      <c r="D595" s="62" t="s">
        <v>1361</v>
      </c>
      <c r="E595" s="63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1359</v>
      </c>
      <c r="N595" s="52" t="s">
        <v>1</v>
      </c>
      <c r="O595" s="28" t="s">
        <v>606</v>
      </c>
      <c r="P595" s="46" t="s">
        <v>1313</v>
      </c>
      <c r="Q595" s="47" t="s">
        <v>1356</v>
      </c>
      <c r="R595" s="46" t="s">
        <v>1314</v>
      </c>
      <c r="S595" s="47" t="s">
        <v>1356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5">
      <c r="A596" s="43">
        <v>596</v>
      </c>
      <c r="B596" s="26" t="s">
        <v>1226</v>
      </c>
      <c r="C596" s="25" t="s">
        <v>1366</v>
      </c>
      <c r="D596" s="62" t="s">
        <v>1361</v>
      </c>
      <c r="E596" s="63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1360</v>
      </c>
      <c r="N596" s="52" t="s">
        <v>1</v>
      </c>
      <c r="O596" s="28" t="s">
        <v>607</v>
      </c>
      <c r="P596" s="46" t="s">
        <v>1313</v>
      </c>
      <c r="Q596" s="47" t="s">
        <v>1356</v>
      </c>
      <c r="R596" s="46" t="s">
        <v>1314</v>
      </c>
      <c r="S596" s="47" t="s">
        <v>1356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5">
      <c r="A597" s="43">
        <v>597</v>
      </c>
      <c r="B597" s="26" t="s">
        <v>1227</v>
      </c>
      <c r="C597" s="25" t="s">
        <v>1366</v>
      </c>
      <c r="D597" s="62" t="s">
        <v>1361</v>
      </c>
      <c r="E597" s="63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1360</v>
      </c>
      <c r="N597" s="52" t="s">
        <v>1</v>
      </c>
      <c r="O597" s="28" t="s">
        <v>608</v>
      </c>
      <c r="P597" s="46" t="s">
        <v>1313</v>
      </c>
      <c r="Q597" s="47" t="s">
        <v>1356</v>
      </c>
      <c r="R597" s="46" t="s">
        <v>1314</v>
      </c>
      <c r="S597" s="47" t="s">
        <v>1356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5">
      <c r="A598" s="43">
        <v>598</v>
      </c>
      <c r="B598" s="26" t="s">
        <v>1228</v>
      </c>
      <c r="C598" s="25" t="s">
        <v>1366</v>
      </c>
      <c r="D598" s="62" t="s">
        <v>1361</v>
      </c>
      <c r="E598" s="63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1360</v>
      </c>
      <c r="N598" s="52" t="s">
        <v>1</v>
      </c>
      <c r="O598" s="28" t="s">
        <v>609</v>
      </c>
      <c r="P598" s="46" t="s">
        <v>1313</v>
      </c>
      <c r="Q598" s="47" t="s">
        <v>1356</v>
      </c>
      <c r="R598" s="46" t="s">
        <v>1314</v>
      </c>
      <c r="S598" s="47" t="s">
        <v>1356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5">
      <c r="A599" s="43">
        <v>599</v>
      </c>
      <c r="B599" s="26" t="s">
        <v>1229</v>
      </c>
      <c r="C599" s="25" t="s">
        <v>1366</v>
      </c>
      <c r="D599" s="62" t="s">
        <v>1361</v>
      </c>
      <c r="E599" s="63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1360</v>
      </c>
      <c r="N599" s="52" t="s">
        <v>1</v>
      </c>
      <c r="O599" s="28" t="s">
        <v>610</v>
      </c>
      <c r="P599" s="46" t="s">
        <v>1313</v>
      </c>
      <c r="Q599" s="47" t="s">
        <v>1356</v>
      </c>
      <c r="R599" s="46" t="s">
        <v>1314</v>
      </c>
      <c r="S599" s="47" t="s">
        <v>1356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5">
      <c r="A600" s="43">
        <v>600</v>
      </c>
      <c r="B600" s="26" t="s">
        <v>1230</v>
      </c>
      <c r="C600" s="25" t="s">
        <v>1366</v>
      </c>
      <c r="D600" s="62" t="s">
        <v>1361</v>
      </c>
      <c r="E600" s="63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1360</v>
      </c>
      <c r="N600" s="52" t="s">
        <v>1</v>
      </c>
      <c r="O600" s="28" t="s">
        <v>611</v>
      </c>
      <c r="P600" s="46" t="s">
        <v>1313</v>
      </c>
      <c r="Q600" s="47" t="s">
        <v>1356</v>
      </c>
      <c r="R600" s="46" t="s">
        <v>1314</v>
      </c>
      <c r="S600" s="47" t="s">
        <v>1356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5">
      <c r="A601" s="43">
        <v>601</v>
      </c>
      <c r="B601" s="26" t="s">
        <v>1231</v>
      </c>
      <c r="C601" s="25" t="s">
        <v>1366</v>
      </c>
      <c r="D601" s="62" t="s">
        <v>1361</v>
      </c>
      <c r="E601" s="63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1360</v>
      </c>
      <c r="N601" s="52" t="s">
        <v>1</v>
      </c>
      <c r="O601" s="28" t="s">
        <v>612</v>
      </c>
      <c r="P601" s="46" t="s">
        <v>1313</v>
      </c>
      <c r="Q601" s="47" t="s">
        <v>1356</v>
      </c>
      <c r="R601" s="46" t="s">
        <v>1314</v>
      </c>
      <c r="S601" s="47" t="s">
        <v>1356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5">
      <c r="A602" s="43">
        <v>602</v>
      </c>
      <c r="B602" s="26" t="s">
        <v>1232</v>
      </c>
      <c r="C602" s="25" t="s">
        <v>1366</v>
      </c>
      <c r="D602" s="62" t="s">
        <v>1361</v>
      </c>
      <c r="E602" s="63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1360</v>
      </c>
      <c r="N602" s="52" t="s">
        <v>1</v>
      </c>
      <c r="O602" s="28" t="s">
        <v>613</v>
      </c>
      <c r="P602" s="46" t="s">
        <v>1313</v>
      </c>
      <c r="Q602" s="47" t="s">
        <v>1356</v>
      </c>
      <c r="R602" s="46" t="s">
        <v>1314</v>
      </c>
      <c r="S602" s="47" t="s">
        <v>1356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5">
      <c r="A603" s="43">
        <v>603</v>
      </c>
      <c r="B603" s="26" t="s">
        <v>1233</v>
      </c>
      <c r="C603" s="25" t="s">
        <v>1366</v>
      </c>
      <c r="D603" s="62" t="s">
        <v>1361</v>
      </c>
      <c r="E603" s="63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1360</v>
      </c>
      <c r="N603" s="52" t="s">
        <v>1</v>
      </c>
      <c r="O603" s="28" t="s">
        <v>614</v>
      </c>
      <c r="P603" s="46" t="s">
        <v>1313</v>
      </c>
      <c r="Q603" s="47" t="s">
        <v>1356</v>
      </c>
      <c r="R603" s="46" t="s">
        <v>1314</v>
      </c>
      <c r="S603" s="47" t="s">
        <v>1356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5">
      <c r="A604" s="43">
        <v>604</v>
      </c>
      <c r="B604" s="26" t="s">
        <v>1234</v>
      </c>
      <c r="C604" s="25" t="s">
        <v>1366</v>
      </c>
      <c r="D604" s="62" t="s">
        <v>1361</v>
      </c>
      <c r="E604" s="63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1360</v>
      </c>
      <c r="N604" s="52" t="s">
        <v>1</v>
      </c>
      <c r="O604" s="28" t="s">
        <v>615</v>
      </c>
      <c r="P604" s="46" t="s">
        <v>1313</v>
      </c>
      <c r="Q604" s="47" t="s">
        <v>1356</v>
      </c>
      <c r="R604" s="46" t="s">
        <v>1314</v>
      </c>
      <c r="S604" s="47" t="s">
        <v>1356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5">
      <c r="A605" s="43">
        <v>605</v>
      </c>
      <c r="B605" s="26" t="s">
        <v>1235</v>
      </c>
      <c r="C605" s="25" t="s">
        <v>1366</v>
      </c>
      <c r="D605" s="62" t="s">
        <v>1361</v>
      </c>
      <c r="E605" s="63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1360</v>
      </c>
      <c r="N605" s="52" t="s">
        <v>1</v>
      </c>
      <c r="O605" s="28" t="s">
        <v>616</v>
      </c>
      <c r="P605" s="46" t="s">
        <v>1313</v>
      </c>
      <c r="Q605" s="47" t="s">
        <v>1356</v>
      </c>
      <c r="R605" s="46" t="s">
        <v>1314</v>
      </c>
      <c r="S605" s="47" t="s">
        <v>1356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5">
      <c r="A606" s="43">
        <v>606</v>
      </c>
      <c r="B606" s="26" t="s">
        <v>1236</v>
      </c>
      <c r="C606" s="25" t="s">
        <v>1366</v>
      </c>
      <c r="D606" s="62" t="s">
        <v>1361</v>
      </c>
      <c r="E606" s="63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1360</v>
      </c>
      <c r="N606" s="52" t="s">
        <v>1</v>
      </c>
      <c r="O606" s="28" t="s">
        <v>617</v>
      </c>
      <c r="P606" s="46" t="s">
        <v>1313</v>
      </c>
      <c r="Q606" s="47" t="s">
        <v>1356</v>
      </c>
      <c r="R606" s="46" t="s">
        <v>1314</v>
      </c>
      <c r="S606" s="47" t="s">
        <v>1356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5">
      <c r="A607" s="43">
        <v>607</v>
      </c>
      <c r="B607" s="26" t="s">
        <v>1237</v>
      </c>
      <c r="C607" s="25" t="s">
        <v>1366</v>
      </c>
      <c r="D607" s="62" t="s">
        <v>1361</v>
      </c>
      <c r="E607" s="63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1360</v>
      </c>
      <c r="N607" s="52" t="s">
        <v>1</v>
      </c>
      <c r="O607" s="28" t="s">
        <v>618</v>
      </c>
      <c r="P607" s="46" t="s">
        <v>1313</v>
      </c>
      <c r="Q607" s="47" t="s">
        <v>1356</v>
      </c>
      <c r="R607" s="46" t="s">
        <v>1314</v>
      </c>
      <c r="S607" s="47" t="s">
        <v>1356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5">
      <c r="A608" s="43">
        <v>608</v>
      </c>
      <c r="B608" s="26" t="s">
        <v>1238</v>
      </c>
      <c r="C608" s="25" t="s">
        <v>1366</v>
      </c>
      <c r="D608" s="62" t="s">
        <v>1361</v>
      </c>
      <c r="E608" s="63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1360</v>
      </c>
      <c r="N608" s="52" t="s">
        <v>1</v>
      </c>
      <c r="O608" s="28" t="s">
        <v>619</v>
      </c>
      <c r="P608" s="46" t="s">
        <v>1313</v>
      </c>
      <c r="Q608" s="47" t="s">
        <v>1356</v>
      </c>
      <c r="R608" s="46" t="s">
        <v>1314</v>
      </c>
      <c r="S608" s="47" t="s">
        <v>1356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5">
      <c r="A609" s="43">
        <v>609</v>
      </c>
      <c r="B609" s="26" t="s">
        <v>1239</v>
      </c>
      <c r="C609" s="25" t="s">
        <v>1366</v>
      </c>
      <c r="D609" s="62" t="s">
        <v>1361</v>
      </c>
      <c r="E609" s="63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1360</v>
      </c>
      <c r="N609" s="52" t="s">
        <v>1</v>
      </c>
      <c r="O609" s="28" t="s">
        <v>620</v>
      </c>
      <c r="P609" s="46" t="s">
        <v>1313</v>
      </c>
      <c r="Q609" s="47" t="s">
        <v>1356</v>
      </c>
      <c r="R609" s="46" t="s">
        <v>1314</v>
      </c>
      <c r="S609" s="47" t="s">
        <v>1356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5">
      <c r="A610" s="43">
        <v>610</v>
      </c>
      <c r="B610" s="30" t="s">
        <v>1240</v>
      </c>
      <c r="C610" s="25" t="s">
        <v>1366</v>
      </c>
      <c r="D610" s="62" t="s">
        <v>1361</v>
      </c>
      <c r="E610" s="63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1360</v>
      </c>
      <c r="N610" s="48" t="s">
        <v>1</v>
      </c>
      <c r="O610" s="32" t="s">
        <v>621</v>
      </c>
      <c r="P610" s="46" t="s">
        <v>1313</v>
      </c>
      <c r="Q610" s="47" t="s">
        <v>1356</v>
      </c>
      <c r="R610" s="46" t="s">
        <v>1314</v>
      </c>
      <c r="S610" s="47" t="s">
        <v>1356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2026-08-09T16:26:07Z</dcterms:modified>
</cp:coreProperties>
</file>