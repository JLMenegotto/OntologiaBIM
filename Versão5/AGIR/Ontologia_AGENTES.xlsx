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GIR\"/>
    </mc:Choice>
  </mc:AlternateContent>
  <xr:revisionPtr revIDLastSave="0" documentId="13_ncr:1_{CACBBA2B-D62A-4C0A-906F-20B015D07F1D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9" r:id="rId2"/>
    <sheet name="Disjunt" sheetId="3" r:id="rId3"/>
    <sheet name="Interop" sheetId="15" r:id="rId4"/>
    <sheet name="FatosIn" sheetId="17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9" l="1"/>
  <c r="W4" i="9"/>
  <c r="W5" i="9"/>
  <c r="W6" i="9"/>
  <c r="W7" i="9"/>
  <c r="W8" i="9"/>
  <c r="W9" i="9"/>
  <c r="W2" i="9"/>
  <c r="U6" i="9"/>
  <c r="T6" i="9"/>
  <c r="S6" i="9"/>
  <c r="O6" i="9"/>
  <c r="N6" i="9"/>
  <c r="M6" i="9"/>
  <c r="L6" i="9"/>
  <c r="U5" i="9"/>
  <c r="T5" i="9"/>
  <c r="S5" i="9"/>
  <c r="O5" i="9"/>
  <c r="N5" i="9"/>
  <c r="M5" i="9"/>
  <c r="L5" i="9"/>
  <c r="U4" i="9"/>
  <c r="T4" i="9"/>
  <c r="S4" i="9"/>
  <c r="O4" i="9"/>
  <c r="N4" i="9"/>
  <c r="M4" i="9"/>
  <c r="L4" i="9"/>
  <c r="U3" i="9"/>
  <c r="T3" i="9"/>
  <c r="S3" i="9"/>
  <c r="O3" i="9"/>
  <c r="N3" i="9"/>
  <c r="M3" i="9"/>
  <c r="L3" i="9"/>
  <c r="U2" i="9"/>
  <c r="T2" i="9"/>
  <c r="S2" i="9"/>
  <c r="O2" i="9"/>
  <c r="N2" i="9"/>
  <c r="M2" i="9"/>
  <c r="L2" i="9"/>
  <c r="U9" i="9"/>
  <c r="T9" i="9"/>
  <c r="S9" i="9"/>
  <c r="O9" i="9"/>
  <c r="N9" i="9"/>
  <c r="M9" i="9"/>
  <c r="L9" i="9"/>
  <c r="B25" i="13"/>
  <c r="Q9" i="9"/>
  <c r="AA6" i="9"/>
  <c r="AA5" i="9"/>
  <c r="AA4" i="9"/>
  <c r="AA3" i="9"/>
  <c r="AA2" i="9"/>
  <c r="S8" i="9" l="1"/>
  <c r="T8" i="9"/>
  <c r="U8" i="9"/>
  <c r="L7" i="9"/>
  <c r="M7" i="9"/>
  <c r="N7" i="9"/>
  <c r="O7" i="9"/>
  <c r="S7" i="9"/>
  <c r="T7" i="9"/>
  <c r="U7" i="9"/>
  <c r="B21" i="13" l="1"/>
  <c r="B20" i="13"/>
  <c r="B26" i="13"/>
  <c r="O8" i="9" l="1"/>
  <c r="N8" i="9"/>
  <c r="M8" i="9"/>
  <c r="L8" i="9"/>
  <c r="B18" i="13" l="1"/>
  <c r="B6" i="13"/>
  <c r="B5" i="13"/>
</calcChain>
</file>

<file path=xl/sharedStrings.xml><?xml version="1.0" encoding="utf-8"?>
<sst xmlns="http://schemas.openxmlformats.org/spreadsheetml/2006/main" count="441" uniqueCount="174">
  <si>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</si>
  <si>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</si>
  <si>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</si>
  <si>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</si>
  <si>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</si>
  <si>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</si>
  <si>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</si>
  <si>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</si>
  <si>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</si>
  <si>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</si>
  <si>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</si>
  <si>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</si>
  <si>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</si>
  <si>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</si>
  <si>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</si>
  <si>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</si>
  <si>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</si>
  <si>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</si>
  <si>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</si>
  <si>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</si>
  <si>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</si>
  <si>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</si>
  <si>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</si>
  <si>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</si>
  <si>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</si>
  <si>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</si>
  <si>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</si>
  <si>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</si>
  <si>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</si>
  <si>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</si>
  <si>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</si>
  <si>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</si>
  <si>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</si>
  <si>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</si>
  <si>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</si>
  <si>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</si>
  <si>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</si>
  <si>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</si>
  <si>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</si>
  <si>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</si>
  <si>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Interoperabilidade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</si>
  <si>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</si>
  <si>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</si>
  <si>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</si>
  <si>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</si>
  <si>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</si>
  <si>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</si>
  <si>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</si>
  <si>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</si>
  <si>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</si>
  <si>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</si>
  <si>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</si>
  <si>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</si>
  <si>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</si>
  <si>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</si>
  <si>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</si>
  <si>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</si>
  <si>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</si>
  <si>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</si>
  <si>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</si>
  <si>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</si>
  <si>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</si>
  <si>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</si>
  <si>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</si>
  <si>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</si>
  <si>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</si>
  <si>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</si>
  <si>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</si>
  <si>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</si>
  <si>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</si>
  <si>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</si>
  <si>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</si>
  <si>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</si>
  <si>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</si>
  <si>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</si>
  <si>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</si>
  <si>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descrição</t>
  </si>
  <si>
    <t>nome</t>
  </si>
  <si>
    <t>Val</t>
  </si>
  <si>
    <t>Equivalente a</t>
  </si>
  <si>
    <t>órgão</t>
  </si>
  <si>
    <t>"UFRJ"</t>
  </si>
  <si>
    <t>Projeto.01</t>
  </si>
  <si>
    <t>"UFRJ - Cidade Universitária - RJ"</t>
  </si>
  <si>
    <t>CategoriaRvt</t>
  </si>
  <si>
    <t>ClasseIfc</t>
  </si>
  <si>
    <t>ABNT</t>
  </si>
  <si>
    <t>000 Translate Classe 5</t>
  </si>
  <si>
    <t>Prof. José Luis Menegotto - DEG/POLI/UFRJ</t>
  </si>
  <si>
    <t>Explanation</t>
  </si>
  <si>
    <t>Idioma</t>
  </si>
  <si>
    <t>pt</t>
  </si>
  <si>
    <t>es</t>
  </si>
  <si>
    <t>en</t>
  </si>
  <si>
    <t>Advertência</t>
  </si>
  <si>
    <t>Aviso</t>
  </si>
  <si>
    <t>Alert</t>
  </si>
  <si>
    <t>Traduções al español e inglês incorporadas. As traduções devem ser constantemente revisadas</t>
  </si>
  <si>
    <t>Informação</t>
  </si>
  <si>
    <t>Contêiner</t>
  </si>
  <si>
    <t>"Contêiner do Inventário de todas as informações espaciais do Projeto"</t>
  </si>
  <si>
    <t>Requisito.Espacial</t>
  </si>
  <si>
    <t>Requisito.Mobiliário</t>
  </si>
  <si>
    <t>Requisito.Equipamento</t>
  </si>
  <si>
    <t>Requisito.Sistemas</t>
  </si>
  <si>
    <t>Gestão</t>
  </si>
  <si>
    <t>"Instituição de Ensino Superior"</t>
  </si>
  <si>
    <t>Agentes</t>
  </si>
  <si>
    <t>Definições de agentes</t>
  </si>
  <si>
    <t>Formalizar as classes de agentes.</t>
  </si>
  <si>
    <t>Agente.Humano</t>
  </si>
  <si>
    <t>AG-01</t>
  </si>
  <si>
    <t>AG-02</t>
  </si>
  <si>
    <t>AG-03</t>
  </si>
  <si>
    <t>Agente.Artificial</t>
  </si>
  <si>
    <t>Gherkin</t>
  </si>
  <si>
    <t>Declara a um Agente Humano</t>
  </si>
  <si>
    <t>Declara a um Agente Artificial</t>
  </si>
  <si>
    <t>Declares to a Human Agent</t>
  </si>
  <si>
    <t>Declares to an Artificial Agent</t>
  </si>
  <si>
    <t>Declara a un agente humano</t>
  </si>
  <si>
    <t>Declara a un agente artificial</t>
  </si>
  <si>
    <t>é.agente.de</t>
  </si>
  <si>
    <t>"Claude"</t>
  </si>
  <si>
    <t>"Gemini"</t>
  </si>
  <si>
    <t>"ChatGPT"</t>
  </si>
  <si>
    <t>"Google DeepMind"</t>
  </si>
  <si>
    <t>"Open AI"</t>
  </si>
  <si>
    <t>"Anthropic"</t>
  </si>
  <si>
    <t>tipo</t>
  </si>
  <si>
    <t>"Multimodal"</t>
  </si>
  <si>
    <t>AG-04</t>
  </si>
  <si>
    <t>"Gherkin"</t>
  </si>
  <si>
    <t>"NLP"</t>
  </si>
  <si>
    <t>"Aslak Hellesøy"</t>
  </si>
  <si>
    <t>"Multimodal nativo"</t>
  </si>
  <si>
    <t>"Textual"</t>
  </si>
  <si>
    <t>"Opus 4.7"</t>
  </si>
  <si>
    <t>"Haiku"</t>
  </si>
  <si>
    <t>"Sonnet"</t>
  </si>
  <si>
    <t>"Agente de IA de baixo custo e capacidade limitada"</t>
  </si>
  <si>
    <t>"Agente de IA de custo médio e capacidade de produção"</t>
  </si>
  <si>
    <t>"Agente de IA de alto custo e capacidade máxima"</t>
  </si>
  <si>
    <t>"GPT 5.5 Instant"</t>
  </si>
  <si>
    <t>"Gemini 3.5"</t>
  </si>
  <si>
    <t>"Agente de IA da Google"</t>
  </si>
  <si>
    <t>"Agente de IA da Open"</t>
  </si>
  <si>
    <t>Humanos</t>
  </si>
  <si>
    <t>Artificiais</t>
  </si>
  <si>
    <t>"Verificar requisitos"</t>
  </si>
  <si>
    <t>"Distribuir luminárias"</t>
  </si>
  <si>
    <t>"Verificar áreas"</t>
  </si>
  <si>
    <t>"Colocar mobiliário"</t>
  </si>
  <si>
    <t>"-"</t>
  </si>
  <si>
    <t>Declara a linguagem Gherkin, para processos BDD (Behaviour-Driven Development).</t>
  </si>
  <si>
    <t>Declares the Gherkin language, for BDD (Behaviour-Driven Development) processes.</t>
  </si>
  <si>
    <t>Linguagens</t>
  </si>
  <si>
    <t>"Linguagem de BDD Desenvolvimento Dirigido por Comportamento. Auxilia equipes a identificar erros de requisitos."</t>
  </si>
  <si>
    <t>AG-05</t>
  </si>
  <si>
    <t>AG-06</t>
  </si>
  <si>
    <t>agente.modelo.usado</t>
  </si>
  <si>
    <t>agente.finalidade</t>
  </si>
  <si>
    <t>quem.criou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</si>
  <si>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</si>
  <si>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</si>
  <si>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</si>
  <si>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</si>
  <si>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</si>
  <si>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</si>
  <si>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</si>
  <si>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</si>
  <si>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Interdisciplinar</t>
  </si>
  <si>
    <t>Conceitos</t>
  </si>
  <si>
    <t>Agênticos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</si>
</sst>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5" borderId="4" xfId="0" applyFont="1" applyFill="1" applyBorder="1" applyAlignment="1">
      <alignment vertical="center" wrapText="1"/>
    </xf>
    <xf numFmtId="0" fontId="2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1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9" fillId="1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2" fillId="20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16"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6"/>
  <sheetViews>
    <sheetView zoomScale="265" zoomScaleNormal="265" workbookViewId="0">
      <pane ySplit="1" topLeftCell="A2" activePane="bottomLeft" state="frozen"/>
      <selection pane="bottomLeft" activeCell="B26" sqref="B26"/>
    </sheetView>
  </sheetViews>
  <sheetFormatPr defaultColWidth="9.3046875" defaultRowHeight="9" customHeight="1" x14ac:dyDescent="0.4"/>
  <cols>
    <col min="1" max="1" width="9.3046875" style="61" customWidth="1"/>
    <col min="2" max="2" width="51.69140625" style="61" bestFit="1" customWidth="1"/>
    <col min="3" max="3" width="3.3828125" style="53" bestFit="1" customWidth="1"/>
    <col min="4" max="16384" width="9.3046875" style="61"/>
  </cols>
  <sheetData>
    <row r="1" spans="1:3" ht="14.25" customHeight="1" x14ac:dyDescent="0.4">
      <c r="A1" s="18" t="s">
        <v>46</v>
      </c>
      <c r="B1" s="18" t="s">
        <v>47</v>
      </c>
      <c r="C1" s="51" t="s">
        <v>90</v>
      </c>
    </row>
    <row r="2" spans="1:3" ht="9" customHeight="1" x14ac:dyDescent="0.4">
      <c r="A2" s="19" t="s">
        <v>48</v>
      </c>
      <c r="B2" s="19" t="s">
        <v>49</v>
      </c>
      <c r="C2" s="52" t="s">
        <v>91</v>
      </c>
    </row>
    <row r="3" spans="1:3" ht="9" customHeight="1" x14ac:dyDescent="0.4">
      <c r="A3" s="19" t="s">
        <v>50</v>
      </c>
      <c r="B3" s="19" t="s">
        <v>107</v>
      </c>
      <c r="C3" s="52" t="s">
        <v>91</v>
      </c>
    </row>
    <row r="4" spans="1:3" ht="9" customHeight="1" x14ac:dyDescent="0.4">
      <c r="A4" s="20" t="s">
        <v>51</v>
      </c>
      <c r="B4" s="20" t="s">
        <v>33</v>
      </c>
      <c r="C4" s="52" t="s">
        <v>91</v>
      </c>
    </row>
    <row r="5" spans="1:3" ht="9" customHeight="1" x14ac:dyDescent="0.4">
      <c r="A5" s="20" t="s">
        <v>52</v>
      </c>
      <c r="B5" s="20" t="str">
        <f>_xlfn.CONCAT(B4,"Prop")</f>
        <v>BIMProp</v>
      </c>
      <c r="C5" s="52" t="s">
        <v>91</v>
      </c>
    </row>
    <row r="6" spans="1:3" ht="9" customHeight="1" x14ac:dyDescent="0.4">
      <c r="A6" s="20" t="s">
        <v>53</v>
      </c>
      <c r="B6" s="20" t="str">
        <f>_xlfn.CONCAT(B4,"Data")</f>
        <v>BIMData</v>
      </c>
      <c r="C6" s="52" t="s">
        <v>91</v>
      </c>
    </row>
    <row r="7" spans="1:3" ht="9" customHeight="1" x14ac:dyDescent="0.4">
      <c r="A7" s="20" t="s">
        <v>54</v>
      </c>
      <c r="B7" s="20" t="s">
        <v>55</v>
      </c>
      <c r="C7" s="52" t="s">
        <v>91</v>
      </c>
    </row>
    <row r="8" spans="1:3" ht="9" customHeight="1" x14ac:dyDescent="0.4">
      <c r="A8" s="20" t="s">
        <v>56</v>
      </c>
      <c r="B8" s="20" t="s">
        <v>88</v>
      </c>
      <c r="C8" s="52" t="s">
        <v>91</v>
      </c>
    </row>
    <row r="9" spans="1:3" ht="9" customHeight="1" x14ac:dyDescent="0.4">
      <c r="A9" s="20" t="s">
        <v>57</v>
      </c>
      <c r="B9" s="20" t="s">
        <v>58</v>
      </c>
      <c r="C9" s="52" t="s">
        <v>91</v>
      </c>
    </row>
    <row r="10" spans="1:3" ht="9" customHeight="1" x14ac:dyDescent="0.4">
      <c r="A10" s="20" t="s">
        <v>59</v>
      </c>
      <c r="B10" s="20" t="s">
        <v>60</v>
      </c>
      <c r="C10" s="52" t="s">
        <v>91</v>
      </c>
    </row>
    <row r="11" spans="1:3" ht="9" customHeight="1" x14ac:dyDescent="0.4">
      <c r="A11" s="20" t="s">
        <v>61</v>
      </c>
      <c r="B11" s="20" t="s">
        <v>60</v>
      </c>
      <c r="C11" s="52" t="s">
        <v>91</v>
      </c>
    </row>
    <row r="12" spans="1:3" ht="9" customHeight="1" x14ac:dyDescent="0.4">
      <c r="A12" s="20" t="s">
        <v>62</v>
      </c>
      <c r="B12" s="20" t="s">
        <v>60</v>
      </c>
      <c r="C12" s="52" t="s">
        <v>91</v>
      </c>
    </row>
    <row r="13" spans="1:3" ht="9" customHeight="1" x14ac:dyDescent="0.4">
      <c r="A13" s="20" t="s">
        <v>63</v>
      </c>
      <c r="B13" s="20" t="s">
        <v>60</v>
      </c>
      <c r="C13" s="52" t="s">
        <v>91</v>
      </c>
    </row>
    <row r="14" spans="1:3" ht="9" customHeight="1" x14ac:dyDescent="0.4">
      <c r="A14" s="20" t="s">
        <v>64</v>
      </c>
      <c r="B14" s="20" t="s">
        <v>60</v>
      </c>
      <c r="C14" s="52" t="s">
        <v>91</v>
      </c>
    </row>
    <row r="15" spans="1:3" ht="9" customHeight="1" x14ac:dyDescent="0.4">
      <c r="A15" s="20" t="s">
        <v>65</v>
      </c>
      <c r="B15" s="20" t="s">
        <v>60</v>
      </c>
      <c r="C15" s="52" t="s">
        <v>91</v>
      </c>
    </row>
    <row r="16" spans="1:3" ht="9" customHeight="1" x14ac:dyDescent="0.4">
      <c r="A16" s="20" t="s">
        <v>66</v>
      </c>
      <c r="B16" s="20" t="s">
        <v>60</v>
      </c>
      <c r="C16" s="52" t="s">
        <v>91</v>
      </c>
    </row>
    <row r="17" spans="1:3" ht="9" customHeight="1" x14ac:dyDescent="0.4">
      <c r="A17" s="20" t="s">
        <v>67</v>
      </c>
      <c r="B17" s="20" t="s">
        <v>108</v>
      </c>
      <c r="C17" s="52" t="s">
        <v>91</v>
      </c>
    </row>
    <row r="18" spans="1:3" ht="9" customHeight="1" x14ac:dyDescent="0.4">
      <c r="A18" s="20" t="s">
        <v>68</v>
      </c>
      <c r="B18" s="21">
        <f ca="1">NOW()</f>
        <v>46243.449320254629</v>
      </c>
      <c r="C18" s="52" t="s">
        <v>91</v>
      </c>
    </row>
    <row r="19" spans="1:3" ht="9" customHeight="1" x14ac:dyDescent="0.4">
      <c r="A19" s="20" t="s">
        <v>94</v>
      </c>
      <c r="B19" s="21" t="s">
        <v>97</v>
      </c>
      <c r="C19" s="52" t="s">
        <v>91</v>
      </c>
    </row>
    <row r="20" spans="1:3" ht="9" customHeight="1" x14ac:dyDescent="0.4">
      <c r="A20" s="20" t="s">
        <v>95</v>
      </c>
      <c r="B20" s="21" t="str">
        <f>_xlfn.TRANSLATE(B19,"pt","es")</f>
        <v>Traducciones al español e inglés incorporadas. Las traducciones deben revisarse constantemente</v>
      </c>
      <c r="C20" s="52" t="s">
        <v>92</v>
      </c>
    </row>
    <row r="21" spans="1:3" ht="9" customHeight="1" x14ac:dyDescent="0.4">
      <c r="A21" s="20" t="s">
        <v>96</v>
      </c>
      <c r="B21" s="21" t="str">
        <f>_xlfn.TRANSLATE(B19,"pt","es")</f>
        <v>Traducciones al español e inglés incorporadas. Las traducciones deben revisarse constantemente</v>
      </c>
      <c r="C21" s="52" t="s">
        <v>93</v>
      </c>
    </row>
    <row r="22" spans="1:3" ht="9" customHeight="1" x14ac:dyDescent="0.4">
      <c r="A22" s="20" t="s">
        <v>69</v>
      </c>
      <c r="B22" s="20" t="s">
        <v>60</v>
      </c>
      <c r="C22" s="52" t="s">
        <v>91</v>
      </c>
    </row>
    <row r="23" spans="1:3" ht="9" customHeight="1" x14ac:dyDescent="0.4">
      <c r="A23" s="20" t="s">
        <v>70</v>
      </c>
      <c r="B23" s="20" t="s">
        <v>60</v>
      </c>
      <c r="C23" s="52" t="s">
        <v>91</v>
      </c>
    </row>
    <row r="24" spans="1:3" ht="9" customHeight="1" x14ac:dyDescent="0.4">
      <c r="A24" s="20" t="s">
        <v>71</v>
      </c>
      <c r="B24" s="22" t="s">
        <v>109</v>
      </c>
      <c r="C24" s="52" t="s">
        <v>91</v>
      </c>
    </row>
    <row r="25" spans="1:3" ht="9" customHeight="1" x14ac:dyDescent="0.4">
      <c r="A25" s="20" t="s">
        <v>72</v>
      </c>
      <c r="B25" s="22" t="str">
        <f>_xlfn.TRANSLATE(B24,"pt","es")</f>
        <v>Formaliza las clases para agentes.</v>
      </c>
      <c r="C25" s="52" t="s">
        <v>92</v>
      </c>
    </row>
    <row r="26" spans="1:3" ht="9" customHeight="1" x14ac:dyDescent="0.4">
      <c r="A26" s="20" t="s">
        <v>89</v>
      </c>
      <c r="B26" s="22" t="str">
        <f>_xlfn.TRANSLATE(B24,"pt","en")</f>
        <v>Formalize agent classes.</v>
      </c>
      <c r="C26" s="52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A9"/>
  <sheetViews>
    <sheetView tabSelected="1" zoomScale="220" zoomScaleNormal="220" workbookViewId="0">
      <pane ySplit="1" topLeftCell="A2" activePane="bottomLeft" state="frozen"/>
      <selection pane="bottomLeft" activeCell="R1" sqref="R1:R1048576"/>
    </sheetView>
  </sheetViews>
  <sheetFormatPr defaultColWidth="9.15234375" defaultRowHeight="8.25" customHeight="1" x14ac:dyDescent="0.35"/>
  <cols>
    <col min="1" max="1" width="2.15234375" style="2" bestFit="1" customWidth="1"/>
    <col min="2" max="2" width="5.69140625" style="14" bestFit="1" customWidth="1"/>
    <col min="3" max="3" width="5.3828125" style="2" bestFit="1" customWidth="1"/>
    <col min="4" max="4" width="6.69140625" style="14" bestFit="1" customWidth="1"/>
    <col min="5" max="5" width="6.69140625" style="2" bestFit="1" customWidth="1"/>
    <col min="6" max="6" width="9.3046875" style="14" bestFit="1" customWidth="1"/>
    <col min="7" max="11" width="8.53515625" style="2" bestFit="1" customWidth="1"/>
    <col min="12" max="12" width="6.53515625" style="14" bestFit="1" customWidth="1"/>
    <col min="13" max="13" width="6.69140625" style="13" bestFit="1" customWidth="1"/>
    <col min="14" max="14" width="7.15234375" style="2" bestFit="1" customWidth="1"/>
    <col min="15" max="15" width="13.15234375" style="2" bestFit="1" customWidth="1"/>
    <col min="16" max="16" width="64.53515625" style="14" bestFit="1" customWidth="1"/>
    <col min="17" max="17" width="51.53515625" style="14" bestFit="1" customWidth="1"/>
    <col min="18" max="18" width="8.61328125" style="2" bestFit="1" customWidth="1"/>
    <col min="19" max="19" width="7" style="2" bestFit="1" customWidth="1"/>
    <col min="20" max="20" width="6.69140625" style="14" bestFit="1" customWidth="1"/>
    <col min="21" max="21" width="7.15234375" style="2" bestFit="1" customWidth="1"/>
    <col min="22" max="22" width="6.07421875" style="14" bestFit="1" customWidth="1"/>
    <col min="23" max="23" width="7.69140625" style="60" bestFit="1" customWidth="1"/>
    <col min="24" max="25" width="6.53515625" style="35" bestFit="1" customWidth="1"/>
    <col min="26" max="26" width="4.3046875" style="34" bestFit="1" customWidth="1"/>
    <col min="27" max="27" width="67.69140625" style="2" bestFit="1" customWidth="1"/>
    <col min="28" max="16384" width="9.15234375" style="2"/>
  </cols>
  <sheetData>
    <row r="1" spans="1:27" s="31" customFormat="1" ht="48" customHeight="1" x14ac:dyDescent="0.4">
      <c r="A1" s="28">
        <v>0</v>
      </c>
      <c r="B1" s="29" t="s">
        <v>44</v>
      </c>
      <c r="C1" s="29" t="s">
        <v>42</v>
      </c>
      <c r="D1" s="29" t="s">
        <v>43</v>
      </c>
      <c r="E1" s="29" t="s">
        <v>41</v>
      </c>
      <c r="F1" s="29" t="s">
        <v>37</v>
      </c>
      <c r="G1" s="30" t="s">
        <v>0</v>
      </c>
      <c r="H1" s="30" t="s">
        <v>1</v>
      </c>
      <c r="I1" s="30" t="s">
        <v>2</v>
      </c>
      <c r="J1" s="30" t="s">
        <v>3</v>
      </c>
      <c r="K1" s="30" t="s">
        <v>4</v>
      </c>
      <c r="L1" s="17" t="s">
        <v>5</v>
      </c>
      <c r="M1" s="17" t="s">
        <v>6</v>
      </c>
      <c r="N1" s="17" t="s">
        <v>7</v>
      </c>
      <c r="O1" s="17" t="s">
        <v>8</v>
      </c>
      <c r="P1" s="17" t="s">
        <v>38</v>
      </c>
      <c r="Q1" s="17" t="s">
        <v>45</v>
      </c>
      <c r="R1" s="62" t="s">
        <v>40</v>
      </c>
      <c r="S1" s="17" t="s">
        <v>34</v>
      </c>
      <c r="T1" s="17" t="s">
        <v>39</v>
      </c>
      <c r="U1" s="17" t="s">
        <v>36</v>
      </c>
      <c r="V1" s="17" t="s">
        <v>35</v>
      </c>
      <c r="W1" s="58" t="s">
        <v>9</v>
      </c>
      <c r="X1" s="33" t="s">
        <v>84</v>
      </c>
      <c r="Y1" s="33" t="s">
        <v>85</v>
      </c>
      <c r="Z1" s="54" t="s">
        <v>86</v>
      </c>
      <c r="AA1" s="50" t="s">
        <v>87</v>
      </c>
    </row>
    <row r="2" spans="1:27" customFormat="1" ht="7.5" customHeight="1" x14ac:dyDescent="0.4">
      <c r="A2" s="36">
        <v>2</v>
      </c>
      <c r="B2" s="37" t="s">
        <v>172</v>
      </c>
      <c r="C2" s="37" t="s">
        <v>105</v>
      </c>
      <c r="D2" s="37" t="s">
        <v>98</v>
      </c>
      <c r="E2" s="38" t="s">
        <v>163</v>
      </c>
      <c r="F2" s="38" t="s">
        <v>99</v>
      </c>
      <c r="G2" s="39" t="s">
        <v>10</v>
      </c>
      <c r="H2" s="39" t="s">
        <v>10</v>
      </c>
      <c r="I2" s="39" t="s">
        <v>10</v>
      </c>
      <c r="J2" s="39" t="s">
        <v>10</v>
      </c>
      <c r="K2" s="39" t="s">
        <v>10</v>
      </c>
      <c r="L2" s="40" t="str">
        <f t="shared" ref="L2:M6" si="0">CONCATENATE("", C2)</f>
        <v>Gestão</v>
      </c>
      <c r="M2" s="40" t="str">
        <f t="shared" si="0"/>
        <v>Informação</v>
      </c>
      <c r="N2" s="40" t="str">
        <f t="shared" ref="N2:O6" si="1">(SUBSTITUTE(SUBSTITUTE(CONCATENATE("",E2),"."," ")," De "," de "))</f>
        <v>Contêineres</v>
      </c>
      <c r="O2" s="40" t="str">
        <f t="shared" si="1"/>
        <v>Contêiner</v>
      </c>
      <c r="P2" s="41" t="s">
        <v>164</v>
      </c>
      <c r="Q2" s="41" t="s">
        <v>165</v>
      </c>
      <c r="R2" s="43" t="s">
        <v>10</v>
      </c>
      <c r="S2" s="43" t="str">
        <f t="shared" ref="S2:U6" si="2">SUBSTITUTE(C2, ".", " ")</f>
        <v>Gestão</v>
      </c>
      <c r="T2" s="43" t="str">
        <f t="shared" si="2"/>
        <v>Informação</v>
      </c>
      <c r="U2" s="43" t="str">
        <f t="shared" si="2"/>
        <v>Contêineres</v>
      </c>
      <c r="V2" s="41" t="s">
        <v>171</v>
      </c>
      <c r="W2" s="59" t="str">
        <f>CONCATENATE("Key-AGEN-",A2)</f>
        <v>Key-AGEN-2</v>
      </c>
      <c r="X2" s="41" t="s">
        <v>10</v>
      </c>
      <c r="Y2" s="41" t="s">
        <v>10</v>
      </c>
      <c r="Z2" s="42" t="s">
        <v>166</v>
      </c>
      <c r="AA2" s="41" t="str">
        <f t="shared" ref="AA2:AA6" si="3">_xlfn.TRANSLATE(P2,"pt","en")</f>
        <v>Defines an information container in accordance with the NBR 19650-1 standard. Project Definition.</v>
      </c>
    </row>
    <row r="3" spans="1:27" customFormat="1" ht="7.5" customHeight="1" x14ac:dyDescent="0.4">
      <c r="A3" s="36">
        <v>3</v>
      </c>
      <c r="B3" s="37" t="s">
        <v>172</v>
      </c>
      <c r="C3" s="37" t="s">
        <v>105</v>
      </c>
      <c r="D3" s="37" t="s">
        <v>98</v>
      </c>
      <c r="E3" s="38" t="s">
        <v>163</v>
      </c>
      <c r="F3" s="38" t="s">
        <v>101</v>
      </c>
      <c r="G3" s="39" t="s">
        <v>10</v>
      </c>
      <c r="H3" s="39" t="s">
        <v>10</v>
      </c>
      <c r="I3" s="39" t="s">
        <v>10</v>
      </c>
      <c r="J3" s="39" t="s">
        <v>10</v>
      </c>
      <c r="K3" s="39" t="s">
        <v>10</v>
      </c>
      <c r="L3" s="40" t="str">
        <f t="shared" si="0"/>
        <v>Gestão</v>
      </c>
      <c r="M3" s="40" t="str">
        <f t="shared" si="0"/>
        <v>Informação</v>
      </c>
      <c r="N3" s="40" t="str">
        <f t="shared" si="1"/>
        <v>Contêineres</v>
      </c>
      <c r="O3" s="40" t="str">
        <f t="shared" si="1"/>
        <v>Requisito Espacial</v>
      </c>
      <c r="P3" s="41" t="s">
        <v>167</v>
      </c>
      <c r="Q3" s="41" t="s">
        <v>165</v>
      </c>
      <c r="R3" s="43" t="s">
        <v>10</v>
      </c>
      <c r="S3" s="43" t="str">
        <f t="shared" si="2"/>
        <v>Gestão</v>
      </c>
      <c r="T3" s="43" t="str">
        <f t="shared" si="2"/>
        <v>Informação</v>
      </c>
      <c r="U3" s="43" t="str">
        <f t="shared" si="2"/>
        <v>Contêineres</v>
      </c>
      <c r="V3" s="41" t="s">
        <v>171</v>
      </c>
      <c r="W3" s="59" t="str">
        <f t="shared" ref="W3:W9" si="4">CONCATENATE("Key-AGEN-",A3)</f>
        <v>Key-AGEN-3</v>
      </c>
      <c r="X3" s="41" t="s">
        <v>10</v>
      </c>
      <c r="Y3" s="43" t="s">
        <v>10</v>
      </c>
      <c r="Z3" s="42" t="s">
        <v>10</v>
      </c>
      <c r="AA3" s="41" t="str">
        <f t="shared" si="3"/>
        <v>Defines an information container in accordance with the NBR 19650-1 standard. Spatial Requirements for the Project.</v>
      </c>
    </row>
    <row r="4" spans="1:27" customFormat="1" ht="7.5" customHeight="1" x14ac:dyDescent="0.4">
      <c r="A4" s="36">
        <v>4</v>
      </c>
      <c r="B4" s="37" t="s">
        <v>172</v>
      </c>
      <c r="C4" s="37" t="s">
        <v>105</v>
      </c>
      <c r="D4" s="37" t="s">
        <v>98</v>
      </c>
      <c r="E4" s="38" t="s">
        <v>163</v>
      </c>
      <c r="F4" s="38" t="s">
        <v>102</v>
      </c>
      <c r="G4" s="39" t="s">
        <v>10</v>
      </c>
      <c r="H4" s="39" t="s">
        <v>10</v>
      </c>
      <c r="I4" s="39" t="s">
        <v>10</v>
      </c>
      <c r="J4" s="39" t="s">
        <v>10</v>
      </c>
      <c r="K4" s="39" t="s">
        <v>10</v>
      </c>
      <c r="L4" s="40" t="str">
        <f t="shared" si="0"/>
        <v>Gestão</v>
      </c>
      <c r="M4" s="40" t="str">
        <f t="shared" si="0"/>
        <v>Informação</v>
      </c>
      <c r="N4" s="40" t="str">
        <f t="shared" si="1"/>
        <v>Contêineres</v>
      </c>
      <c r="O4" s="40" t="str">
        <f t="shared" si="1"/>
        <v>Requisito Mobiliário</v>
      </c>
      <c r="P4" s="41" t="s">
        <v>168</v>
      </c>
      <c r="Q4" s="41" t="s">
        <v>165</v>
      </c>
      <c r="R4" s="43" t="s">
        <v>10</v>
      </c>
      <c r="S4" s="43" t="str">
        <f t="shared" si="2"/>
        <v>Gestão</v>
      </c>
      <c r="T4" s="43" t="str">
        <f t="shared" si="2"/>
        <v>Informação</v>
      </c>
      <c r="U4" s="43" t="str">
        <f t="shared" si="2"/>
        <v>Contêineres</v>
      </c>
      <c r="V4" s="41" t="s">
        <v>171</v>
      </c>
      <c r="W4" s="59" t="str">
        <f t="shared" si="4"/>
        <v>Key-AGEN-4</v>
      </c>
      <c r="X4" s="41" t="s">
        <v>10</v>
      </c>
      <c r="Y4" s="43" t="s">
        <v>10</v>
      </c>
      <c r="Z4" s="42" t="s">
        <v>10</v>
      </c>
      <c r="AA4" s="41" t="str">
        <f t="shared" si="3"/>
        <v>Defines an information container in accordance with the NBR 19650-1 standard. Furniture Requirements for the Project.</v>
      </c>
    </row>
    <row r="5" spans="1:27" customFormat="1" ht="7.5" customHeight="1" x14ac:dyDescent="0.4">
      <c r="A5" s="36">
        <v>5</v>
      </c>
      <c r="B5" s="37" t="s">
        <v>172</v>
      </c>
      <c r="C5" s="37" t="s">
        <v>105</v>
      </c>
      <c r="D5" s="37" t="s">
        <v>98</v>
      </c>
      <c r="E5" s="38" t="s">
        <v>163</v>
      </c>
      <c r="F5" s="38" t="s">
        <v>103</v>
      </c>
      <c r="G5" s="39" t="s">
        <v>10</v>
      </c>
      <c r="H5" s="39" t="s">
        <v>10</v>
      </c>
      <c r="I5" s="39" t="s">
        <v>10</v>
      </c>
      <c r="J5" s="39" t="s">
        <v>10</v>
      </c>
      <c r="K5" s="39" t="s">
        <v>10</v>
      </c>
      <c r="L5" s="40" t="str">
        <f t="shared" si="0"/>
        <v>Gestão</v>
      </c>
      <c r="M5" s="40" t="str">
        <f t="shared" si="0"/>
        <v>Informação</v>
      </c>
      <c r="N5" s="40" t="str">
        <f t="shared" si="1"/>
        <v>Contêineres</v>
      </c>
      <c r="O5" s="40" t="str">
        <f t="shared" si="1"/>
        <v>Requisito Equipamento</v>
      </c>
      <c r="P5" s="41" t="s">
        <v>169</v>
      </c>
      <c r="Q5" s="41" t="s">
        <v>165</v>
      </c>
      <c r="R5" s="43" t="s">
        <v>10</v>
      </c>
      <c r="S5" s="43" t="str">
        <f t="shared" si="2"/>
        <v>Gestão</v>
      </c>
      <c r="T5" s="43" t="str">
        <f t="shared" si="2"/>
        <v>Informação</v>
      </c>
      <c r="U5" s="43" t="str">
        <f t="shared" si="2"/>
        <v>Contêineres</v>
      </c>
      <c r="V5" s="41" t="s">
        <v>171</v>
      </c>
      <c r="W5" s="59" t="str">
        <f t="shared" si="4"/>
        <v>Key-AGEN-5</v>
      </c>
      <c r="X5" s="41" t="s">
        <v>10</v>
      </c>
      <c r="Y5" s="43" t="s">
        <v>10</v>
      </c>
      <c r="Z5" s="42" t="s">
        <v>10</v>
      </c>
      <c r="AA5" s="41" t="str">
        <f t="shared" si="3"/>
        <v>Defines an information container in accordance with the NBR 19650-1 standard. Equipment Requirements for the Project.</v>
      </c>
    </row>
    <row r="6" spans="1:27" customFormat="1" ht="7.5" customHeight="1" x14ac:dyDescent="0.4">
      <c r="A6" s="36">
        <v>6</v>
      </c>
      <c r="B6" s="37" t="s">
        <v>172</v>
      </c>
      <c r="C6" s="37" t="s">
        <v>105</v>
      </c>
      <c r="D6" s="37" t="s">
        <v>98</v>
      </c>
      <c r="E6" s="38" t="s">
        <v>163</v>
      </c>
      <c r="F6" s="38" t="s">
        <v>104</v>
      </c>
      <c r="G6" s="39" t="s">
        <v>10</v>
      </c>
      <c r="H6" s="39" t="s">
        <v>10</v>
      </c>
      <c r="I6" s="39" t="s">
        <v>10</v>
      </c>
      <c r="J6" s="39" t="s">
        <v>10</v>
      </c>
      <c r="K6" s="39" t="s">
        <v>10</v>
      </c>
      <c r="L6" s="40" t="str">
        <f t="shared" si="0"/>
        <v>Gestão</v>
      </c>
      <c r="M6" s="40" t="str">
        <f t="shared" si="0"/>
        <v>Informação</v>
      </c>
      <c r="N6" s="40" t="str">
        <f t="shared" si="1"/>
        <v>Contêineres</v>
      </c>
      <c r="O6" s="40" t="str">
        <f t="shared" si="1"/>
        <v>Requisito Sistemas</v>
      </c>
      <c r="P6" s="41" t="s">
        <v>170</v>
      </c>
      <c r="Q6" s="41" t="s">
        <v>165</v>
      </c>
      <c r="R6" s="43" t="s">
        <v>10</v>
      </c>
      <c r="S6" s="43" t="str">
        <f t="shared" si="2"/>
        <v>Gestão</v>
      </c>
      <c r="T6" s="43" t="str">
        <f t="shared" si="2"/>
        <v>Informação</v>
      </c>
      <c r="U6" s="43" t="str">
        <f t="shared" si="2"/>
        <v>Contêineres</v>
      </c>
      <c r="V6" s="41" t="s">
        <v>171</v>
      </c>
      <c r="W6" s="59" t="str">
        <f t="shared" si="4"/>
        <v>Key-AGEN-6</v>
      </c>
      <c r="X6" s="41" t="s">
        <v>10</v>
      </c>
      <c r="Y6" s="43" t="s">
        <v>10</v>
      </c>
      <c r="Z6" s="42" t="s">
        <v>10</v>
      </c>
      <c r="AA6" s="41" t="str">
        <f t="shared" si="3"/>
        <v>Defines an information container in accordance with the NBR 19650-1 standard. Building Systems Requirements for the Project.</v>
      </c>
    </row>
    <row r="7" spans="1:27" customFormat="1" ht="7.5" customHeight="1" x14ac:dyDescent="0.4">
      <c r="A7" s="36">
        <v>7</v>
      </c>
      <c r="B7" s="37" t="s">
        <v>172</v>
      </c>
      <c r="C7" s="37" t="s">
        <v>173</v>
      </c>
      <c r="D7" s="37" t="s">
        <v>107</v>
      </c>
      <c r="E7" s="37" t="s">
        <v>147</v>
      </c>
      <c r="F7" s="38" t="s">
        <v>110</v>
      </c>
      <c r="G7" s="39" t="s">
        <v>10</v>
      </c>
      <c r="H7" s="39" t="s">
        <v>10</v>
      </c>
      <c r="I7" s="39" t="s">
        <v>10</v>
      </c>
      <c r="J7" s="39" t="s">
        <v>10</v>
      </c>
      <c r="K7" s="39" t="s">
        <v>10</v>
      </c>
      <c r="L7" s="40" t="str">
        <f t="shared" ref="L7" si="5">CONCATENATE("", C7)</f>
        <v>Agênticos</v>
      </c>
      <c r="M7" s="40" t="str">
        <f t="shared" ref="M7" si="6">CONCATENATE("", D7)</f>
        <v>Agentes</v>
      </c>
      <c r="N7" s="40" t="str">
        <f t="shared" ref="N7:O7" si="7">(SUBSTITUTE(SUBSTITUTE(CONCATENATE("",E7),"."," ")," De "," de "))</f>
        <v>Humanos</v>
      </c>
      <c r="O7" s="40" t="str">
        <f t="shared" si="7"/>
        <v>Agente Humano</v>
      </c>
      <c r="P7" s="41" t="s">
        <v>116</v>
      </c>
      <c r="Q7" s="41" t="s">
        <v>120</v>
      </c>
      <c r="R7" s="43" t="s">
        <v>10</v>
      </c>
      <c r="S7" s="43" t="str">
        <f t="shared" ref="S7:U7" si="8">SUBSTITUTE(C7, ".", " ")</f>
        <v>Agênticos</v>
      </c>
      <c r="T7" s="43" t="str">
        <f t="shared" si="8"/>
        <v>Agentes</v>
      </c>
      <c r="U7" s="43" t="str">
        <f t="shared" si="8"/>
        <v>Humanos</v>
      </c>
      <c r="V7" s="41" t="s">
        <v>171</v>
      </c>
      <c r="W7" s="59" t="str">
        <f t="shared" si="4"/>
        <v>Key-AGEN-7</v>
      </c>
      <c r="X7" s="41" t="s">
        <v>10</v>
      </c>
      <c r="Y7" s="41" t="s">
        <v>10</v>
      </c>
      <c r="Z7" s="42" t="s">
        <v>10</v>
      </c>
      <c r="AA7" s="41" t="s">
        <v>118</v>
      </c>
    </row>
    <row r="8" spans="1:27" customFormat="1" ht="7.5" customHeight="1" x14ac:dyDescent="0.4">
      <c r="A8" s="36">
        <v>8</v>
      </c>
      <c r="B8" s="37" t="s">
        <v>172</v>
      </c>
      <c r="C8" s="37" t="s">
        <v>173</v>
      </c>
      <c r="D8" s="37" t="s">
        <v>107</v>
      </c>
      <c r="E8" s="37" t="s">
        <v>148</v>
      </c>
      <c r="F8" s="38" t="s">
        <v>114</v>
      </c>
      <c r="G8" s="39" t="s">
        <v>10</v>
      </c>
      <c r="H8" s="39" t="s">
        <v>10</v>
      </c>
      <c r="I8" s="39" t="s">
        <v>10</v>
      </c>
      <c r="J8" s="39" t="s">
        <v>10</v>
      </c>
      <c r="K8" s="39" t="s">
        <v>10</v>
      </c>
      <c r="L8" s="40" t="str">
        <f t="shared" ref="L8:M8" si="9">CONCATENATE("", C8)</f>
        <v>Agênticos</v>
      </c>
      <c r="M8" s="40" t="str">
        <f t="shared" si="9"/>
        <v>Agentes</v>
      </c>
      <c r="N8" s="40" t="str">
        <f t="shared" ref="N8:O8" si="10">(SUBSTITUTE(SUBSTITUTE(CONCATENATE("",E8),"."," ")," De "," de "))</f>
        <v>Artificiais</v>
      </c>
      <c r="O8" s="40" t="str">
        <f t="shared" si="10"/>
        <v>Agente Artificial</v>
      </c>
      <c r="P8" s="41" t="s">
        <v>117</v>
      </c>
      <c r="Q8" s="41" t="s">
        <v>121</v>
      </c>
      <c r="R8" s="43" t="s">
        <v>10</v>
      </c>
      <c r="S8" s="43" t="str">
        <f t="shared" ref="S8" si="11">SUBSTITUTE(C8, ".", " ")</f>
        <v>Agênticos</v>
      </c>
      <c r="T8" s="43" t="str">
        <f t="shared" ref="T8" si="12">SUBSTITUTE(D8, ".", " ")</f>
        <v>Agentes</v>
      </c>
      <c r="U8" s="43" t="str">
        <f t="shared" ref="U8" si="13">SUBSTITUTE(E8, ".", " ")</f>
        <v>Artificiais</v>
      </c>
      <c r="V8" s="41" t="s">
        <v>171</v>
      </c>
      <c r="W8" s="59" t="str">
        <f t="shared" si="4"/>
        <v>Key-AGEN-8</v>
      </c>
      <c r="X8" s="41" t="s">
        <v>10</v>
      </c>
      <c r="Y8" s="41" t="s">
        <v>10</v>
      </c>
      <c r="Z8" s="42" t="s">
        <v>10</v>
      </c>
      <c r="AA8" s="41" t="s">
        <v>119</v>
      </c>
    </row>
    <row r="9" spans="1:27" customFormat="1" ht="7.5" customHeight="1" x14ac:dyDescent="0.4">
      <c r="A9" s="36">
        <v>9</v>
      </c>
      <c r="B9" s="37" t="s">
        <v>172</v>
      </c>
      <c r="C9" s="37" t="s">
        <v>173</v>
      </c>
      <c r="D9" s="37" t="s">
        <v>107</v>
      </c>
      <c r="E9" s="37" t="s">
        <v>156</v>
      </c>
      <c r="F9" s="38" t="s">
        <v>115</v>
      </c>
      <c r="G9" s="39" t="s">
        <v>10</v>
      </c>
      <c r="H9" s="39" t="s">
        <v>10</v>
      </c>
      <c r="I9" s="39" t="s">
        <v>10</v>
      </c>
      <c r="J9" s="39" t="s">
        <v>10</v>
      </c>
      <c r="K9" s="39" t="s">
        <v>10</v>
      </c>
      <c r="L9" s="40" t="str">
        <f t="shared" ref="L9" si="14">CONCATENATE("", C9)</f>
        <v>Agênticos</v>
      </c>
      <c r="M9" s="40" t="str">
        <f t="shared" ref="M9" si="15">CONCATENATE("", D9)</f>
        <v>Agentes</v>
      </c>
      <c r="N9" s="40" t="str">
        <f t="shared" ref="N9" si="16">(SUBSTITUTE(SUBSTITUTE(CONCATENATE("",E9),"."," ")," De "," de "))</f>
        <v>Linguagens</v>
      </c>
      <c r="O9" s="40" t="str">
        <f t="shared" ref="O9" si="17">(SUBSTITUTE(SUBSTITUTE(CONCATENATE("",F9),"."," ")," De "," de "))</f>
        <v>Gherkin</v>
      </c>
      <c r="P9" s="41" t="s">
        <v>154</v>
      </c>
      <c r="Q9" s="41" t="str">
        <f>_xlfn.TRANSLATE(P9,"pt","es")</f>
        <v>Declara el lenguaje Gherkin, para procesos BDD (Desarrollo Impulsado por el Comportamiento).</v>
      </c>
      <c r="R9" s="43" t="s">
        <v>10</v>
      </c>
      <c r="S9" s="43" t="str">
        <f t="shared" ref="S9" si="18">SUBSTITUTE(C9, ".", " ")</f>
        <v>Agênticos</v>
      </c>
      <c r="T9" s="43" t="str">
        <f t="shared" ref="T9" si="19">SUBSTITUTE(D9, ".", " ")</f>
        <v>Agentes</v>
      </c>
      <c r="U9" s="43" t="str">
        <f t="shared" ref="U9" si="20">SUBSTITUTE(E9, ".", " ")</f>
        <v>Linguagens</v>
      </c>
      <c r="V9" s="41" t="s">
        <v>171</v>
      </c>
      <c r="W9" s="59" t="str">
        <f t="shared" si="4"/>
        <v>Key-AGEN-9</v>
      </c>
      <c r="X9" s="41" t="s">
        <v>10</v>
      </c>
      <c r="Y9" s="41" t="s">
        <v>10</v>
      </c>
      <c r="Z9" s="42" t="s">
        <v>10</v>
      </c>
      <c r="AA9" s="41" t="s">
        <v>155</v>
      </c>
    </row>
  </sheetData>
  <phoneticPr fontId="1" type="noConversion"/>
  <conditionalFormatting sqref="A2:B9">
    <cfRule type="cellIs" dxfId="15" priority="6" operator="equal">
      <formula>"null"</formula>
    </cfRule>
  </conditionalFormatting>
  <conditionalFormatting sqref="F1 F7:F1048576">
    <cfRule type="duplicateValues" dxfId="14" priority="14"/>
  </conditionalFormatting>
  <conditionalFormatting sqref="F3:F6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F7:F9 AA8:XFD8 L8:O9 AB9:XFD9">
    <cfRule type="cellIs" dxfId="9" priority="71" operator="equal">
      <formula>"null"</formula>
    </cfRule>
  </conditionalFormatting>
  <conditionalFormatting sqref="F7:F9">
    <cfRule type="duplicateValues" dxfId="8" priority="626"/>
    <cfRule type="duplicateValues" dxfId="7" priority="658"/>
    <cfRule type="duplicateValues" dxfId="6" priority="659"/>
    <cfRule type="duplicateValues" dxfId="5" priority="660"/>
    <cfRule type="duplicateValues" dxfId="4" priority="661"/>
    <cfRule type="duplicateValues" dxfId="3" priority="662"/>
    <cfRule type="duplicateValues" dxfId="2" priority="668"/>
  </conditionalFormatting>
  <conditionalFormatting sqref="AA1:AA7">
    <cfRule type="cellIs" dxfId="1" priority="5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S11" sqref="S11"/>
    </sheetView>
  </sheetViews>
  <sheetFormatPr defaultColWidth="11.15234375" defaultRowHeight="7.75" x14ac:dyDescent="0.2"/>
  <cols>
    <col min="1" max="1" width="2.53515625" style="11" bestFit="1" customWidth="1"/>
    <col min="2" max="10" width="6" style="12" bestFit="1" customWidth="1"/>
    <col min="11" max="21" width="6" style="10" bestFit="1" customWidth="1"/>
    <col min="22" max="16384" width="11.15234375" style="10"/>
  </cols>
  <sheetData>
    <row r="1" spans="1:21" s="5" customFormat="1" x14ac:dyDescent="0.2">
      <c r="A1" s="3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6" t="s">
        <v>32</v>
      </c>
    </row>
    <row r="2" spans="1:21" s="5" customFormat="1" ht="10.5" customHeight="1" x14ac:dyDescent="0.2">
      <c r="A2" s="7">
        <v>2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8" t="s">
        <v>10</v>
      </c>
      <c r="J2" s="8" t="s">
        <v>10</v>
      </c>
      <c r="K2" s="8" t="s">
        <v>10</v>
      </c>
      <c r="L2" s="8" t="s">
        <v>10</v>
      </c>
      <c r="M2" s="8" t="s">
        <v>10</v>
      </c>
      <c r="N2" s="8" t="s">
        <v>10</v>
      </c>
      <c r="O2" s="8" t="s">
        <v>10</v>
      </c>
      <c r="P2" s="8" t="s">
        <v>10</v>
      </c>
      <c r="Q2" s="8" t="s">
        <v>10</v>
      </c>
      <c r="R2" s="8" t="s">
        <v>10</v>
      </c>
      <c r="S2" s="8" t="s">
        <v>10</v>
      </c>
      <c r="T2" s="8" t="s">
        <v>10</v>
      </c>
      <c r="U2" s="8" t="s">
        <v>10</v>
      </c>
    </row>
    <row r="3" spans="1:21" ht="10.5" customHeight="1" x14ac:dyDescent="0.2">
      <c r="A3" s="7">
        <v>3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</v>
      </c>
      <c r="M3" s="8" t="s">
        <v>10</v>
      </c>
      <c r="N3" s="8" t="s">
        <v>10</v>
      </c>
      <c r="O3" s="8" t="s">
        <v>10</v>
      </c>
      <c r="P3" s="8" t="s">
        <v>10</v>
      </c>
      <c r="Q3" s="8" t="s">
        <v>10</v>
      </c>
      <c r="R3" s="8" t="s">
        <v>10</v>
      </c>
      <c r="S3" s="8" t="s">
        <v>10</v>
      </c>
      <c r="T3" s="8" t="s">
        <v>10</v>
      </c>
      <c r="U3" s="9" t="s">
        <v>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9E44-CC41-4C47-93B0-FF411236635D}">
  <sheetPr codeName="Planilha4"/>
  <dimension ref="A1:E4"/>
  <sheetViews>
    <sheetView zoomScale="250" zoomScaleNormal="250" workbookViewId="0">
      <pane ySplit="1" topLeftCell="A2" activePane="bottomLeft" state="frozen"/>
      <selection pane="bottomLeft" activeCell="D6" sqref="D6"/>
    </sheetView>
  </sheetViews>
  <sheetFormatPr defaultRowHeight="8.5" customHeight="1" x14ac:dyDescent="0.4"/>
  <cols>
    <col min="1" max="1" width="2.69140625" bestFit="1" customWidth="1"/>
    <col min="2" max="2" width="8.15234375" customWidth="1"/>
    <col min="3" max="3" width="10.69140625" customWidth="1"/>
    <col min="4" max="4" width="8.3046875" customWidth="1"/>
    <col min="5" max="5" width="9.84375" customWidth="1"/>
  </cols>
  <sheetData>
    <row r="1" spans="1:5" ht="18" customHeight="1" x14ac:dyDescent="0.4">
      <c r="A1" s="15">
        <v>1</v>
      </c>
      <c r="B1" s="16" t="s">
        <v>74</v>
      </c>
      <c r="C1" s="16" t="s">
        <v>79</v>
      </c>
      <c r="D1" s="16" t="s">
        <v>79</v>
      </c>
      <c r="E1" s="16" t="s">
        <v>79</v>
      </c>
    </row>
    <row r="2" spans="1:5" ht="8.5" customHeight="1" x14ac:dyDescent="0.4">
      <c r="A2" s="27">
        <v>2</v>
      </c>
      <c r="B2" s="1" t="s">
        <v>10</v>
      </c>
      <c r="C2" s="1" t="s">
        <v>10</v>
      </c>
      <c r="D2" s="1" t="s">
        <v>10</v>
      </c>
      <c r="E2" s="1" t="s">
        <v>10</v>
      </c>
    </row>
    <row r="3" spans="1:5" ht="8.5" customHeight="1" x14ac:dyDescent="0.4">
      <c r="A3" s="27">
        <v>3</v>
      </c>
      <c r="B3" s="1" t="s">
        <v>10</v>
      </c>
      <c r="C3" s="1" t="s">
        <v>10</v>
      </c>
      <c r="D3" s="1" t="s">
        <v>10</v>
      </c>
      <c r="E3" s="1" t="s">
        <v>10</v>
      </c>
    </row>
    <row r="4" spans="1:5" ht="8.5" customHeight="1" x14ac:dyDescent="0.4">
      <c r="A4" s="27">
        <v>4</v>
      </c>
      <c r="B4" s="1" t="s">
        <v>10</v>
      </c>
      <c r="C4" s="1" t="s">
        <v>10</v>
      </c>
      <c r="D4" s="1" t="s">
        <v>10</v>
      </c>
      <c r="E4" s="1" t="s">
        <v>10</v>
      </c>
    </row>
  </sheetData>
  <conditionalFormatting sqref="A1">
    <cfRule type="cellIs" dxfId="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F343-F8A9-4565-8E75-460BD2B52D7E}">
  <sheetPr codeName="Planilha5"/>
  <dimension ref="A1:Q8"/>
  <sheetViews>
    <sheetView zoomScale="265" zoomScaleNormal="265" workbookViewId="0">
      <pane ySplit="1" topLeftCell="A2" activePane="bottomLeft" state="frozen"/>
      <selection pane="bottomLeft" activeCell="T10" sqref="T10"/>
    </sheetView>
  </sheetViews>
  <sheetFormatPr defaultColWidth="9.3046875" defaultRowHeight="7.4" customHeight="1" x14ac:dyDescent="0.4"/>
  <cols>
    <col min="1" max="1" width="2.53515625" style="57" bestFit="1" customWidth="1"/>
    <col min="2" max="2" width="6.15234375" style="49" customWidth="1"/>
    <col min="3" max="3" width="7.69140625" style="47" customWidth="1"/>
    <col min="4" max="4" width="5.84375" style="47" customWidth="1"/>
    <col min="5" max="5" width="5.3046875" style="47" customWidth="1"/>
    <col min="6" max="6" width="3.69140625" style="47" bestFit="1" customWidth="1"/>
    <col min="7" max="7" width="15.15234375" style="47" customWidth="1"/>
    <col min="8" max="8" width="6.53515625" style="47" bestFit="1" customWidth="1"/>
    <col min="9" max="9" width="9.69140625" style="47" customWidth="1"/>
    <col min="10" max="10" width="10.15234375" style="47" customWidth="1"/>
    <col min="11" max="11" width="9.84375" style="47" bestFit="1" customWidth="1"/>
    <col min="12" max="12" width="9.69140625" style="47" bestFit="1" customWidth="1"/>
    <col min="13" max="13" width="10.3046875" style="47" customWidth="1"/>
    <col min="14" max="14" width="3.15234375" style="47" customWidth="1"/>
    <col min="15" max="15" width="14.15234375" style="47" customWidth="1"/>
    <col min="16" max="16" width="5.15234375" style="47" customWidth="1"/>
    <col min="17" max="17" width="49.53515625" style="47" customWidth="1"/>
    <col min="18" max="16384" width="9.3046875" style="47"/>
  </cols>
  <sheetData>
    <row r="1" spans="1:17" ht="20.7" customHeight="1" x14ac:dyDescent="0.4">
      <c r="A1" s="55" t="s">
        <v>11</v>
      </c>
      <c r="B1" s="23" t="s">
        <v>73</v>
      </c>
      <c r="C1" s="23" t="s">
        <v>74</v>
      </c>
      <c r="D1" s="23" t="s">
        <v>75</v>
      </c>
      <c r="E1" s="23" t="s">
        <v>78</v>
      </c>
      <c r="F1" s="26" t="s">
        <v>75</v>
      </c>
      <c r="G1" s="23" t="s">
        <v>78</v>
      </c>
      <c r="H1" s="23" t="s">
        <v>75</v>
      </c>
      <c r="I1" s="23" t="s">
        <v>78</v>
      </c>
      <c r="J1" s="23" t="s">
        <v>75</v>
      </c>
      <c r="K1" s="23" t="s">
        <v>78</v>
      </c>
      <c r="L1" s="23" t="s">
        <v>75</v>
      </c>
      <c r="M1" s="23" t="s">
        <v>78</v>
      </c>
      <c r="N1" s="23" t="s">
        <v>75</v>
      </c>
      <c r="O1" s="23" t="s">
        <v>78</v>
      </c>
      <c r="P1" s="23" t="s">
        <v>75</v>
      </c>
      <c r="Q1" s="23" t="s">
        <v>78</v>
      </c>
    </row>
    <row r="2" spans="1:17" ht="7.4" customHeight="1" x14ac:dyDescent="0.4">
      <c r="A2" s="56">
        <v>1</v>
      </c>
      <c r="B2" s="48" t="s">
        <v>82</v>
      </c>
      <c r="C2" s="44" t="s">
        <v>99</v>
      </c>
      <c r="D2" s="45" t="s">
        <v>10</v>
      </c>
      <c r="E2" s="46" t="s">
        <v>10</v>
      </c>
      <c r="F2" s="32" t="s">
        <v>77</v>
      </c>
      <c r="G2" s="25" t="s">
        <v>83</v>
      </c>
      <c r="H2" s="32" t="s">
        <v>80</v>
      </c>
      <c r="I2" s="25" t="s">
        <v>81</v>
      </c>
      <c r="J2" s="32" t="s">
        <v>10</v>
      </c>
      <c r="K2" s="25" t="s">
        <v>10</v>
      </c>
      <c r="L2" s="32" t="s">
        <v>10</v>
      </c>
      <c r="M2" s="25" t="s">
        <v>10</v>
      </c>
      <c r="N2" s="32" t="s">
        <v>129</v>
      </c>
      <c r="O2" s="25" t="s">
        <v>106</v>
      </c>
      <c r="P2" s="32" t="s">
        <v>76</v>
      </c>
      <c r="Q2" s="24" t="s">
        <v>100</v>
      </c>
    </row>
    <row r="3" spans="1:17" ht="7.4" customHeight="1" x14ac:dyDescent="0.4">
      <c r="A3" s="56">
        <v>2</v>
      </c>
      <c r="B3" s="48" t="s">
        <v>111</v>
      </c>
      <c r="C3" s="38" t="s">
        <v>114</v>
      </c>
      <c r="D3" s="45" t="s">
        <v>122</v>
      </c>
      <c r="E3" s="46" t="s">
        <v>82</v>
      </c>
      <c r="F3" s="32" t="s">
        <v>77</v>
      </c>
      <c r="G3" s="25" t="s">
        <v>123</v>
      </c>
      <c r="H3" s="32" t="s">
        <v>162</v>
      </c>
      <c r="I3" s="25" t="s">
        <v>128</v>
      </c>
      <c r="J3" s="32" t="s">
        <v>160</v>
      </c>
      <c r="K3" s="25" t="s">
        <v>138</v>
      </c>
      <c r="L3" s="32" t="s">
        <v>161</v>
      </c>
      <c r="M3" s="25" t="s">
        <v>150</v>
      </c>
      <c r="N3" s="32" t="s">
        <v>129</v>
      </c>
      <c r="O3" s="25" t="s">
        <v>136</v>
      </c>
      <c r="P3" s="32" t="s">
        <v>76</v>
      </c>
      <c r="Q3" s="25" t="s">
        <v>140</v>
      </c>
    </row>
    <row r="4" spans="1:17" ht="7.4" customHeight="1" x14ac:dyDescent="0.4">
      <c r="A4" s="56">
        <v>3</v>
      </c>
      <c r="B4" s="48" t="s">
        <v>112</v>
      </c>
      <c r="C4" s="38" t="s">
        <v>114</v>
      </c>
      <c r="D4" s="45" t="s">
        <v>122</v>
      </c>
      <c r="E4" s="46" t="s">
        <v>82</v>
      </c>
      <c r="F4" s="32" t="s">
        <v>77</v>
      </c>
      <c r="G4" s="25" t="s">
        <v>123</v>
      </c>
      <c r="H4" s="32" t="s">
        <v>162</v>
      </c>
      <c r="I4" s="25" t="s">
        <v>128</v>
      </c>
      <c r="J4" s="32" t="s">
        <v>160</v>
      </c>
      <c r="K4" s="25" t="s">
        <v>139</v>
      </c>
      <c r="L4" s="32" t="s">
        <v>161</v>
      </c>
      <c r="M4" s="25" t="s">
        <v>151</v>
      </c>
      <c r="N4" s="32" t="s">
        <v>129</v>
      </c>
      <c r="O4" s="25" t="s">
        <v>136</v>
      </c>
      <c r="P4" s="32" t="s">
        <v>76</v>
      </c>
      <c r="Q4" s="25" t="s">
        <v>141</v>
      </c>
    </row>
    <row r="5" spans="1:17" ht="7.4" customHeight="1" x14ac:dyDescent="0.4">
      <c r="A5" s="56">
        <v>4</v>
      </c>
      <c r="B5" s="48" t="s">
        <v>113</v>
      </c>
      <c r="C5" s="38" t="s">
        <v>114</v>
      </c>
      <c r="D5" s="45" t="s">
        <v>122</v>
      </c>
      <c r="E5" s="46" t="s">
        <v>82</v>
      </c>
      <c r="F5" s="32" t="s">
        <v>77</v>
      </c>
      <c r="G5" s="25" t="s">
        <v>123</v>
      </c>
      <c r="H5" s="32" t="s">
        <v>162</v>
      </c>
      <c r="I5" s="25" t="s">
        <v>128</v>
      </c>
      <c r="J5" s="32" t="s">
        <v>160</v>
      </c>
      <c r="K5" s="25" t="s">
        <v>137</v>
      </c>
      <c r="L5" s="32" t="s">
        <v>161</v>
      </c>
      <c r="M5" s="25" t="s">
        <v>152</v>
      </c>
      <c r="N5" s="32" t="s">
        <v>129</v>
      </c>
      <c r="O5" s="25" t="s">
        <v>136</v>
      </c>
      <c r="P5" s="32" t="s">
        <v>76</v>
      </c>
      <c r="Q5" s="25" t="s">
        <v>142</v>
      </c>
    </row>
    <row r="6" spans="1:17" ht="7.4" customHeight="1" x14ac:dyDescent="0.4">
      <c r="A6" s="56">
        <v>5</v>
      </c>
      <c r="B6" s="48" t="s">
        <v>131</v>
      </c>
      <c r="C6" s="38" t="s">
        <v>114</v>
      </c>
      <c r="D6" s="45" t="s">
        <v>122</v>
      </c>
      <c r="E6" s="46" t="s">
        <v>82</v>
      </c>
      <c r="F6" s="32" t="s">
        <v>77</v>
      </c>
      <c r="G6" s="25" t="s">
        <v>124</v>
      </c>
      <c r="H6" s="32" t="s">
        <v>162</v>
      </c>
      <c r="I6" s="25" t="s">
        <v>126</v>
      </c>
      <c r="J6" s="32" t="s">
        <v>160</v>
      </c>
      <c r="K6" s="25" t="s">
        <v>144</v>
      </c>
      <c r="L6" s="32" t="s">
        <v>161</v>
      </c>
      <c r="M6" s="25" t="s">
        <v>153</v>
      </c>
      <c r="N6" s="32" t="s">
        <v>129</v>
      </c>
      <c r="O6" s="25" t="s">
        <v>135</v>
      </c>
      <c r="P6" s="32" t="s">
        <v>76</v>
      </c>
      <c r="Q6" s="25" t="s">
        <v>145</v>
      </c>
    </row>
    <row r="7" spans="1:17" ht="7.4" customHeight="1" x14ac:dyDescent="0.4">
      <c r="A7" s="56">
        <v>6</v>
      </c>
      <c r="B7" s="48" t="s">
        <v>158</v>
      </c>
      <c r="C7" s="38" t="s">
        <v>114</v>
      </c>
      <c r="D7" s="45" t="s">
        <v>122</v>
      </c>
      <c r="E7" s="46" t="s">
        <v>82</v>
      </c>
      <c r="F7" s="32" t="s">
        <v>77</v>
      </c>
      <c r="G7" s="25" t="s">
        <v>125</v>
      </c>
      <c r="H7" s="32" t="s">
        <v>162</v>
      </c>
      <c r="I7" s="25" t="s">
        <v>127</v>
      </c>
      <c r="J7" s="32" t="s">
        <v>160</v>
      </c>
      <c r="K7" s="25" t="s">
        <v>143</v>
      </c>
      <c r="L7" s="32" t="s">
        <v>161</v>
      </c>
      <c r="M7" s="25" t="s">
        <v>153</v>
      </c>
      <c r="N7" s="32" t="s">
        <v>129</v>
      </c>
      <c r="O7" s="25" t="s">
        <v>130</v>
      </c>
      <c r="P7" s="32" t="s">
        <v>76</v>
      </c>
      <c r="Q7" s="25" t="s">
        <v>146</v>
      </c>
    </row>
    <row r="8" spans="1:17" ht="7.4" customHeight="1" x14ac:dyDescent="0.4">
      <c r="A8" s="56">
        <v>7</v>
      </c>
      <c r="B8" s="48" t="s">
        <v>159</v>
      </c>
      <c r="C8" s="38" t="s">
        <v>114</v>
      </c>
      <c r="D8" s="45" t="s">
        <v>122</v>
      </c>
      <c r="E8" s="46" t="s">
        <v>82</v>
      </c>
      <c r="F8" s="32" t="s">
        <v>77</v>
      </c>
      <c r="G8" s="25" t="s">
        <v>132</v>
      </c>
      <c r="H8" s="32" t="s">
        <v>162</v>
      </c>
      <c r="I8" s="25" t="s">
        <v>134</v>
      </c>
      <c r="J8" s="32" t="s">
        <v>10</v>
      </c>
      <c r="K8" s="25" t="s">
        <v>10</v>
      </c>
      <c r="L8" s="32" t="s">
        <v>161</v>
      </c>
      <c r="M8" s="25" t="s">
        <v>149</v>
      </c>
      <c r="N8" s="32" t="s">
        <v>129</v>
      </c>
      <c r="O8" s="25" t="s">
        <v>133</v>
      </c>
      <c r="P8" s="32" t="s">
        <v>76</v>
      </c>
      <c r="Q8" s="25" t="s">
        <v>157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2026-08-09T13:47:21Z</dcterms:modified>
  <dc:language>pt-BR</dc:language>
</cp:coreProperties>
</file>