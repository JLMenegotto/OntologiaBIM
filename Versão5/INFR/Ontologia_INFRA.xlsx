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Construtor_Onto\INFR\"/>
    </mc:Choice>
  </mc:AlternateContent>
  <xr:revisionPtr revIDLastSave="0" documentId="13_ncr:1_{9D1764E9-D735-4AF5-90B0-4991365B182D}" xr6:coauthVersionLast="47" xr6:coauthVersionMax="47" xr10:uidLastSave="{00000000-0000-0000-0000-000000000000}"/>
  <bookViews>
    <workbookView xWindow="-103" yWindow="-103" windowWidth="22149" windowHeight="13200" tabRatio="587" activeTab="4" xr2:uid="{6AA21774-678E-47D1-B8DD-6444A2CEB00E}"/>
  </bookViews>
  <sheets>
    <sheet name="Projeto" sheetId="26" r:id="rId1"/>
    <sheet name="Classes" sheetId="31" r:id="rId2"/>
    <sheet name="Disjunt" sheetId="3" r:id="rId3"/>
    <sheet name="Interop" sheetId="27" r:id="rId4"/>
    <sheet name="FatosIn" sheetId="3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31" l="1"/>
  <c r="W4" i="31"/>
  <c r="W5" i="31"/>
  <c r="W6" i="31"/>
  <c r="W7" i="31"/>
  <c r="W8" i="31"/>
  <c r="W9" i="31"/>
  <c r="W10" i="31"/>
  <c r="W11" i="31"/>
  <c r="W12" i="31"/>
  <c r="W13" i="31"/>
  <c r="W14" i="31"/>
  <c r="W15" i="31"/>
  <c r="W16" i="31"/>
  <c r="W17" i="31"/>
  <c r="W18" i="31"/>
  <c r="W19" i="31"/>
  <c r="W20" i="31"/>
  <c r="W21" i="31"/>
  <c r="W22" i="31"/>
  <c r="W23" i="31"/>
  <c r="W24" i="31"/>
  <c r="W25" i="31"/>
  <c r="W26" i="31"/>
  <c r="W27" i="31"/>
  <c r="W28" i="31"/>
  <c r="W29" i="31"/>
  <c r="W30" i="31"/>
  <c r="W31" i="31"/>
  <c r="W32" i="31"/>
  <c r="W33" i="31"/>
  <c r="W34" i="31"/>
  <c r="W35" i="31"/>
  <c r="W36" i="31"/>
  <c r="W37" i="31"/>
  <c r="W38" i="31"/>
  <c r="W39" i="31"/>
  <c r="W40" i="31"/>
  <c r="W41" i="31"/>
  <c r="W42" i="31"/>
  <c r="W43" i="31"/>
  <c r="W44" i="31"/>
  <c r="W45" i="31"/>
  <c r="W46" i="31"/>
  <c r="W47" i="31"/>
  <c r="W48" i="31"/>
  <c r="W49" i="31"/>
  <c r="W50" i="31"/>
  <c r="W51" i="31"/>
  <c r="W52" i="31"/>
  <c r="W53" i="31"/>
  <c r="W54" i="31"/>
  <c r="W55" i="31"/>
  <c r="W56" i="31"/>
  <c r="W57" i="31"/>
  <c r="W58" i="31"/>
  <c r="W59" i="31"/>
  <c r="W60" i="31"/>
  <c r="W61" i="31"/>
  <c r="W62" i="31"/>
  <c r="W63" i="31"/>
  <c r="W64" i="31"/>
  <c r="W65" i="31"/>
  <c r="W66" i="31"/>
  <c r="W67" i="31"/>
  <c r="W68" i="31"/>
  <c r="W69" i="31"/>
  <c r="W70" i="31"/>
  <c r="W71" i="31"/>
  <c r="W72" i="31"/>
  <c r="W73" i="31"/>
  <c r="W74" i="31"/>
  <c r="W75" i="31"/>
  <c r="W76" i="31"/>
  <c r="W77" i="31"/>
  <c r="W78" i="31"/>
  <c r="W79" i="31"/>
  <c r="W80" i="31"/>
  <c r="W81" i="31"/>
  <c r="W82" i="31"/>
  <c r="W83" i="31"/>
  <c r="W84" i="31"/>
  <c r="W85" i="31"/>
  <c r="W86" i="31"/>
  <c r="W87" i="31"/>
  <c r="W88" i="31"/>
  <c r="W89" i="31"/>
  <c r="W90" i="31"/>
  <c r="W91" i="31"/>
  <c r="W92" i="31"/>
  <c r="W93" i="31"/>
  <c r="W94" i="31"/>
  <c r="W95" i="31"/>
  <c r="W96" i="31"/>
  <c r="W97" i="31"/>
  <c r="W98" i="31"/>
  <c r="W99" i="31"/>
  <c r="W100" i="31"/>
  <c r="W101" i="31"/>
  <c r="W102" i="31"/>
  <c r="W103" i="31"/>
  <c r="W104" i="31"/>
  <c r="W105" i="31"/>
  <c r="W106" i="31"/>
  <c r="W107" i="31"/>
  <c r="W108" i="31"/>
  <c r="W109" i="31"/>
  <c r="W110" i="31"/>
  <c r="W111" i="31"/>
  <c r="W112" i="31"/>
  <c r="W113" i="31"/>
  <c r="W114" i="31"/>
  <c r="W115" i="31"/>
  <c r="W116" i="31"/>
  <c r="W117" i="31"/>
  <c r="W118" i="31"/>
  <c r="W119" i="31"/>
  <c r="W120" i="31"/>
  <c r="W121" i="31"/>
  <c r="W122" i="31"/>
  <c r="W123" i="31"/>
  <c r="W124" i="31"/>
  <c r="W125" i="31"/>
  <c r="W126" i="31"/>
  <c r="W127" i="31"/>
  <c r="W128" i="31"/>
  <c r="W129" i="31"/>
  <c r="W130" i="31"/>
  <c r="W131" i="31"/>
  <c r="W132" i="31"/>
  <c r="W133" i="31"/>
  <c r="W134" i="31"/>
  <c r="W135" i="31"/>
  <c r="W136" i="31"/>
  <c r="W137" i="31"/>
  <c r="W138" i="31"/>
  <c r="W139" i="31"/>
  <c r="W140" i="31"/>
  <c r="W141" i="31"/>
  <c r="W142" i="31"/>
  <c r="W143" i="31"/>
  <c r="W144" i="31"/>
  <c r="W145" i="31"/>
  <c r="W146" i="31"/>
  <c r="W147" i="31"/>
  <c r="W148" i="31"/>
  <c r="W149" i="31"/>
  <c r="W150" i="31"/>
  <c r="W151" i="31"/>
  <c r="W152" i="31"/>
  <c r="W153" i="31"/>
  <c r="W154" i="31"/>
  <c r="W155" i="31"/>
  <c r="W156" i="31"/>
  <c r="W157" i="31"/>
  <c r="W158" i="31"/>
  <c r="W159" i="31"/>
  <c r="W160" i="31"/>
  <c r="W161" i="31"/>
  <c r="W162" i="31"/>
  <c r="W163" i="31"/>
  <c r="W164" i="31"/>
  <c r="W165" i="31"/>
  <c r="W166" i="31"/>
  <c r="W167" i="31"/>
  <c r="W168" i="31"/>
  <c r="W169" i="31"/>
  <c r="W170" i="31"/>
  <c r="W171" i="31"/>
  <c r="W172" i="31"/>
  <c r="W173" i="31"/>
  <c r="W174" i="31"/>
  <c r="W175" i="31"/>
  <c r="W176" i="31"/>
  <c r="W177" i="31"/>
  <c r="W178" i="31"/>
  <c r="W179" i="31"/>
  <c r="W180" i="31"/>
  <c r="W181" i="31"/>
  <c r="W182" i="31"/>
  <c r="W183" i="31"/>
  <c r="W184" i="31"/>
  <c r="W185" i="31"/>
  <c r="W186" i="31"/>
  <c r="W187" i="31"/>
  <c r="W188" i="31"/>
  <c r="W189" i="31"/>
  <c r="W190" i="31"/>
  <c r="W191" i="31"/>
  <c r="W192" i="31"/>
  <c r="W193" i="31"/>
  <c r="W194" i="31"/>
  <c r="W195" i="31"/>
  <c r="W196" i="31"/>
  <c r="W197" i="31"/>
  <c r="W198" i="31"/>
  <c r="W199" i="31"/>
  <c r="W200" i="31"/>
  <c r="W201" i="31"/>
  <c r="W202" i="31"/>
  <c r="W203" i="31"/>
  <c r="W204" i="31"/>
  <c r="W205" i="31"/>
  <c r="W206" i="31"/>
  <c r="W207" i="31"/>
  <c r="W208" i="31"/>
  <c r="W209" i="31"/>
  <c r="W210" i="31"/>
  <c r="W211" i="31"/>
  <c r="W212" i="31"/>
  <c r="W213" i="31"/>
  <c r="W214" i="31"/>
  <c r="W215" i="31"/>
  <c r="W216" i="31"/>
  <c r="W217" i="31"/>
  <c r="W218" i="31"/>
  <c r="W219" i="31"/>
  <c r="W220" i="31"/>
  <c r="W221" i="31"/>
  <c r="W222" i="31"/>
  <c r="W223" i="31"/>
  <c r="W224" i="31"/>
  <c r="W225" i="31"/>
  <c r="W226" i="31"/>
  <c r="W227" i="31"/>
  <c r="W228" i="31"/>
  <c r="W229" i="31"/>
  <c r="W230" i="31"/>
  <c r="W231" i="31"/>
  <c r="W232" i="31"/>
  <c r="W233" i="31"/>
  <c r="W234" i="31"/>
  <c r="W235" i="31"/>
  <c r="W236" i="31"/>
  <c r="W237" i="31"/>
  <c r="W238" i="31"/>
  <c r="W239" i="31"/>
  <c r="W240" i="31"/>
  <c r="W241" i="31"/>
  <c r="W242" i="31"/>
  <c r="W243" i="31"/>
  <c r="W244" i="31"/>
  <c r="W245" i="31"/>
  <c r="W246" i="31"/>
  <c r="W247" i="31"/>
  <c r="W248" i="31"/>
  <c r="W249" i="31"/>
  <c r="W250" i="31"/>
  <c r="W251" i="31"/>
  <c r="W252" i="31"/>
  <c r="W253" i="31"/>
  <c r="W254" i="31"/>
  <c r="W255" i="31"/>
  <c r="W256" i="31"/>
  <c r="W257" i="31"/>
  <c r="W258" i="31"/>
  <c r="W259" i="31"/>
  <c r="W260" i="31"/>
  <c r="W261" i="31"/>
  <c r="W262" i="31"/>
  <c r="W263" i="31"/>
  <c r="W264" i="31"/>
  <c r="W265" i="31"/>
  <c r="W266" i="31"/>
  <c r="W267" i="31"/>
  <c r="W268" i="31"/>
  <c r="W269" i="31"/>
  <c r="W270" i="31"/>
  <c r="W271" i="31"/>
  <c r="W272" i="31"/>
  <c r="W273" i="31"/>
  <c r="W274" i="31"/>
  <c r="W275" i="31"/>
  <c r="W276" i="31"/>
  <c r="W277" i="31"/>
  <c r="W278" i="31"/>
  <c r="W279" i="31"/>
  <c r="W280" i="31"/>
  <c r="W281" i="31"/>
  <c r="W282" i="31"/>
  <c r="W283" i="31"/>
  <c r="W284" i="31"/>
  <c r="W285" i="31"/>
  <c r="W286" i="31"/>
  <c r="W287" i="31"/>
  <c r="W288" i="31"/>
  <c r="W289" i="31"/>
  <c r="W290" i="31"/>
  <c r="W291" i="31"/>
  <c r="W292" i="31"/>
  <c r="W293" i="31"/>
  <c r="W294" i="31"/>
  <c r="W295" i="31"/>
  <c r="W296" i="31"/>
  <c r="W297" i="31"/>
  <c r="W298" i="31"/>
  <c r="W299" i="31"/>
  <c r="W300" i="31"/>
  <c r="W301" i="31"/>
  <c r="W302" i="31"/>
  <c r="W303" i="31"/>
  <c r="W304" i="31"/>
  <c r="W305" i="31"/>
  <c r="W306" i="31"/>
  <c r="W307" i="31"/>
  <c r="W308" i="31"/>
  <c r="W309" i="31"/>
  <c r="W310" i="31"/>
  <c r="W311" i="31"/>
  <c r="W312" i="31"/>
  <c r="W313" i="31"/>
  <c r="W314" i="31"/>
  <c r="W315" i="31"/>
  <c r="W316" i="31"/>
  <c r="W317" i="31"/>
  <c r="W318" i="31"/>
  <c r="W319" i="31"/>
  <c r="W320" i="31"/>
  <c r="W321" i="31"/>
  <c r="W322" i="31"/>
  <c r="W323" i="31"/>
  <c r="W324" i="31"/>
  <c r="W325" i="31"/>
  <c r="W326" i="31"/>
  <c r="W327" i="31"/>
  <c r="W328" i="31"/>
  <c r="W329" i="31"/>
  <c r="W330" i="31"/>
  <c r="W331" i="31"/>
  <c r="W332" i="31"/>
  <c r="W333" i="31"/>
  <c r="W334" i="31"/>
  <c r="W335" i="31"/>
  <c r="W336" i="31"/>
  <c r="W337" i="31"/>
  <c r="W338" i="31"/>
  <c r="W339" i="31"/>
  <c r="W340" i="31"/>
  <c r="W341" i="31"/>
  <c r="W342" i="31"/>
  <c r="W343" i="31"/>
  <c r="W344" i="31"/>
  <c r="W345" i="31"/>
  <c r="W346" i="31"/>
  <c r="W347" i="31"/>
  <c r="W348" i="31"/>
  <c r="W349" i="31"/>
  <c r="W350" i="31"/>
  <c r="W351" i="31"/>
  <c r="W352" i="31"/>
  <c r="W353" i="31"/>
  <c r="W354" i="31"/>
  <c r="W355" i="31"/>
  <c r="W356" i="31"/>
  <c r="W357" i="31"/>
  <c r="W358" i="31"/>
  <c r="W359" i="31"/>
  <c r="W360" i="31"/>
  <c r="W361" i="31"/>
  <c r="W362" i="31"/>
  <c r="W363" i="31"/>
  <c r="W364" i="31"/>
  <c r="W365" i="31"/>
  <c r="W366" i="31"/>
  <c r="W367" i="31"/>
  <c r="W368" i="31"/>
  <c r="W369" i="31"/>
  <c r="W370" i="31"/>
  <c r="W371" i="31"/>
  <c r="W372" i="31"/>
  <c r="W373" i="31"/>
  <c r="W374" i="31"/>
  <c r="W375" i="31"/>
  <c r="W376" i="31"/>
  <c r="W377" i="31"/>
  <c r="W378" i="31"/>
  <c r="W379" i="31"/>
  <c r="W380" i="31"/>
  <c r="W381" i="31"/>
  <c r="W382" i="31"/>
  <c r="W383" i="31"/>
  <c r="W384" i="31"/>
  <c r="W385" i="31"/>
  <c r="W386" i="31"/>
  <c r="W387" i="31"/>
  <c r="W388" i="31"/>
  <c r="W389" i="31"/>
  <c r="W390" i="31"/>
  <c r="W391" i="31"/>
  <c r="W392" i="31"/>
  <c r="W393" i="31"/>
  <c r="W2" i="31"/>
  <c r="U6" i="31"/>
  <c r="T6" i="31"/>
  <c r="S6" i="31"/>
  <c r="O6" i="31"/>
  <c r="N6" i="31"/>
  <c r="M6" i="31"/>
  <c r="L6" i="31"/>
  <c r="U5" i="31"/>
  <c r="T5" i="31"/>
  <c r="S5" i="31"/>
  <c r="O5" i="31"/>
  <c r="N5" i="31"/>
  <c r="M5" i="31"/>
  <c r="L5" i="31"/>
  <c r="U4" i="31"/>
  <c r="T4" i="31"/>
  <c r="S4" i="31"/>
  <c r="O4" i="31"/>
  <c r="N4" i="31"/>
  <c r="M4" i="31"/>
  <c r="L4" i="31"/>
  <c r="U3" i="31"/>
  <c r="T3" i="31"/>
  <c r="S3" i="31"/>
  <c r="O3" i="31"/>
  <c r="N3" i="31"/>
  <c r="M3" i="31"/>
  <c r="L3" i="31"/>
  <c r="U2" i="31"/>
  <c r="T2" i="31"/>
  <c r="S2" i="31"/>
  <c r="O2" i="31"/>
  <c r="N2" i="31"/>
  <c r="M2" i="31"/>
  <c r="L2" i="31"/>
  <c r="AA6" i="31"/>
  <c r="AA5" i="31"/>
  <c r="AA4" i="31"/>
  <c r="AA3" i="31"/>
  <c r="AA2" i="31"/>
  <c r="BE109" i="32" l="1"/>
  <c r="O109" i="32"/>
  <c r="BE108" i="32"/>
  <c r="O108" i="32"/>
  <c r="BE107" i="32"/>
  <c r="O107" i="32"/>
  <c r="BE106" i="32"/>
  <c r="O106" i="32"/>
  <c r="BE105" i="32"/>
  <c r="O105" i="32"/>
  <c r="BE104" i="32"/>
  <c r="O104" i="32"/>
  <c r="BE103" i="32"/>
  <c r="O103" i="32"/>
  <c r="BE102" i="32"/>
  <c r="O102" i="32"/>
  <c r="BE101" i="32"/>
  <c r="O101" i="32"/>
  <c r="BE100" i="32"/>
  <c r="O100" i="32"/>
  <c r="BE99" i="32"/>
  <c r="O99" i="32"/>
  <c r="BE98" i="32"/>
  <c r="O98" i="32"/>
  <c r="BE97" i="32"/>
  <c r="O97" i="32"/>
  <c r="BE96" i="32"/>
  <c r="O96" i="32"/>
  <c r="BE95" i="32"/>
  <c r="O95" i="32"/>
  <c r="BE94" i="32"/>
  <c r="O94" i="32"/>
  <c r="BE93" i="32"/>
  <c r="O93" i="32"/>
  <c r="BE92" i="32"/>
  <c r="O92" i="32"/>
  <c r="BE91" i="32"/>
  <c r="O91" i="32"/>
  <c r="BE90" i="32"/>
  <c r="O90" i="32"/>
  <c r="BE89" i="32"/>
  <c r="O89" i="32"/>
  <c r="BE88" i="32"/>
  <c r="O88" i="32"/>
  <c r="BE87" i="32"/>
  <c r="O87" i="32"/>
  <c r="BE86" i="32"/>
  <c r="O86" i="32"/>
  <c r="BE85" i="32"/>
  <c r="O85" i="32"/>
  <c r="BE84" i="32"/>
  <c r="O84" i="32"/>
  <c r="BE83" i="32"/>
  <c r="O83" i="32"/>
  <c r="BE82" i="32"/>
  <c r="O82" i="32"/>
  <c r="BE81" i="32"/>
  <c r="O81" i="32"/>
  <c r="BE80" i="32"/>
  <c r="O80" i="32"/>
  <c r="BE79" i="32"/>
  <c r="O79" i="32"/>
  <c r="BE78" i="32"/>
  <c r="O78" i="32"/>
  <c r="BE77" i="32"/>
  <c r="O77" i="32"/>
  <c r="BE518" i="32"/>
  <c r="BE517" i="32"/>
  <c r="BE516" i="32"/>
  <c r="BE515" i="32"/>
  <c r="BE514" i="32"/>
  <c r="BE513" i="32"/>
  <c r="BE512" i="32"/>
  <c r="BE511" i="32"/>
  <c r="BE510" i="32"/>
  <c r="BE509" i="32"/>
  <c r="BE508" i="32"/>
  <c r="BE507" i="32"/>
  <c r="BE506" i="32"/>
  <c r="BE505" i="32"/>
  <c r="AA505" i="32"/>
  <c r="BE504" i="32"/>
  <c r="AA504" i="32"/>
  <c r="BE503" i="32"/>
  <c r="AA503" i="32"/>
  <c r="BE502" i="32"/>
  <c r="BE501" i="32"/>
  <c r="AA501" i="32"/>
  <c r="BE500" i="32"/>
  <c r="AA500" i="32"/>
  <c r="BE499" i="32"/>
  <c r="AA499" i="32"/>
  <c r="BE498" i="32"/>
  <c r="AA498" i="32"/>
  <c r="BE497" i="32"/>
  <c r="AA497" i="32"/>
  <c r="BE496" i="32"/>
  <c r="AA496" i="32"/>
  <c r="BE495" i="32"/>
  <c r="AA495" i="32"/>
  <c r="BE494" i="32"/>
  <c r="BE493" i="32"/>
  <c r="BE492" i="32"/>
  <c r="BE491" i="32"/>
  <c r="BE490" i="32"/>
  <c r="BE489" i="32"/>
  <c r="BE488" i="32"/>
  <c r="BE487" i="32"/>
  <c r="BE486" i="32"/>
  <c r="BE485" i="32"/>
  <c r="BE484" i="32"/>
  <c r="BE483" i="32"/>
  <c r="BE482" i="32"/>
  <c r="BE481" i="32"/>
  <c r="BE480" i="32"/>
  <c r="BE479" i="32"/>
  <c r="BE478" i="32"/>
  <c r="BE477" i="32"/>
  <c r="BE476" i="32"/>
  <c r="BE475" i="32"/>
  <c r="BE474" i="32"/>
  <c r="BE473" i="32"/>
  <c r="BE472" i="32"/>
  <c r="BE471" i="32"/>
  <c r="BE470" i="32"/>
  <c r="BE469" i="32"/>
  <c r="BE468" i="32"/>
  <c r="BE467" i="32"/>
  <c r="BE466" i="32"/>
  <c r="BE465" i="32"/>
  <c r="BE464" i="32"/>
  <c r="BE463" i="32"/>
  <c r="BE462" i="32"/>
  <c r="BE461" i="32"/>
  <c r="BE460" i="32"/>
  <c r="BE459" i="32"/>
  <c r="BE458" i="32"/>
  <c r="BE457" i="32"/>
  <c r="BE456" i="32"/>
  <c r="BE455" i="32"/>
  <c r="BE454" i="32"/>
  <c r="BE453" i="32"/>
  <c r="BE452" i="32"/>
  <c r="BE451" i="32"/>
  <c r="BE450" i="32"/>
  <c r="BE449" i="32"/>
  <c r="BE448" i="32"/>
  <c r="BE447" i="32"/>
  <c r="BE446" i="32"/>
  <c r="BE445" i="32"/>
  <c r="BE444" i="32"/>
  <c r="BE443" i="32"/>
  <c r="BE442" i="32"/>
  <c r="BE441" i="32"/>
  <c r="BE440" i="32"/>
  <c r="BE439" i="32"/>
  <c r="BE438" i="32"/>
  <c r="BE437" i="32"/>
  <c r="O437" i="32"/>
  <c r="BE436" i="32"/>
  <c r="O436" i="32"/>
  <c r="BE435" i="32"/>
  <c r="O435" i="32"/>
  <c r="BE434" i="32"/>
  <c r="O434" i="32"/>
  <c r="BE433" i="32"/>
  <c r="O433" i="32"/>
  <c r="BE432" i="32"/>
  <c r="O432" i="32"/>
  <c r="BE431" i="32"/>
  <c r="O431" i="32"/>
  <c r="BE430" i="32"/>
  <c r="O430" i="32"/>
  <c r="BE429" i="32"/>
  <c r="O429" i="32"/>
  <c r="BE428" i="32"/>
  <c r="O428" i="32"/>
  <c r="BE427" i="32"/>
  <c r="O427" i="32"/>
  <c r="BE426" i="32"/>
  <c r="O426" i="32"/>
  <c r="BE425" i="32"/>
  <c r="O425" i="32"/>
  <c r="BE424" i="32"/>
  <c r="O424" i="32"/>
  <c r="BE423" i="32"/>
  <c r="O423" i="32"/>
  <c r="BE422" i="32"/>
  <c r="O422" i="32"/>
  <c r="BE421" i="32"/>
  <c r="O421" i="32"/>
  <c r="BE420" i="32"/>
  <c r="O420" i="32"/>
  <c r="BE419" i="32"/>
  <c r="O419" i="32"/>
  <c r="BE418" i="32"/>
  <c r="O418" i="32"/>
  <c r="BE417" i="32"/>
  <c r="O417" i="32"/>
  <c r="BE416" i="32"/>
  <c r="O416" i="32"/>
  <c r="BE415" i="32"/>
  <c r="O415" i="32"/>
  <c r="BE414" i="32"/>
  <c r="O414" i="32"/>
  <c r="BE413" i="32"/>
  <c r="O413" i="32"/>
  <c r="BE412" i="32"/>
  <c r="O412" i="32"/>
  <c r="BE411" i="32"/>
  <c r="O411" i="32"/>
  <c r="BE410" i="32"/>
  <c r="O410" i="32"/>
  <c r="BE409" i="32"/>
  <c r="O409" i="32"/>
  <c r="BE408" i="32"/>
  <c r="O408" i="32"/>
  <c r="BE407" i="32"/>
  <c r="O407" i="32"/>
  <c r="BE406" i="32"/>
  <c r="O406" i="32"/>
  <c r="BE405" i="32"/>
  <c r="O405" i="32"/>
  <c r="BE404" i="32"/>
  <c r="O404" i="32"/>
  <c r="BE403" i="32"/>
  <c r="O403" i="32"/>
  <c r="BE402" i="32"/>
  <c r="O402" i="32"/>
  <c r="BE401" i="32"/>
  <c r="O401" i="32"/>
  <c r="BE400" i="32"/>
  <c r="O400" i="32"/>
  <c r="BE399" i="32"/>
  <c r="O399" i="32"/>
  <c r="BE398" i="32"/>
  <c r="O398" i="32"/>
  <c r="BE397" i="32"/>
  <c r="O397" i="32"/>
  <c r="BE396" i="32"/>
  <c r="O396" i="32"/>
  <c r="BE395" i="32"/>
  <c r="O395" i="32"/>
  <c r="BE394" i="32"/>
  <c r="O394" i="32"/>
  <c r="BE393" i="32"/>
  <c r="O393" i="32"/>
  <c r="BE392" i="32"/>
  <c r="O392" i="32"/>
  <c r="BE391" i="32"/>
  <c r="O391" i="32"/>
  <c r="BE390" i="32"/>
  <c r="O390" i="32"/>
  <c r="BE389" i="32"/>
  <c r="O389" i="32"/>
  <c r="BE388" i="32"/>
  <c r="O388" i="32"/>
  <c r="BE387" i="32"/>
  <c r="O387" i="32"/>
  <c r="BE386" i="32"/>
  <c r="O386" i="32"/>
  <c r="BE385" i="32"/>
  <c r="O385" i="32"/>
  <c r="BE384" i="32"/>
  <c r="O384" i="32"/>
  <c r="BE383" i="32"/>
  <c r="O383" i="32"/>
  <c r="BE382" i="32"/>
  <c r="O382" i="32"/>
  <c r="BE381" i="32"/>
  <c r="O381" i="32"/>
  <c r="BE380" i="32"/>
  <c r="O380" i="32"/>
  <c r="BE379" i="32"/>
  <c r="O379" i="32"/>
  <c r="BE378" i="32"/>
  <c r="O378" i="32"/>
  <c r="BE377" i="32"/>
  <c r="O377" i="32"/>
  <c r="BE376" i="32"/>
  <c r="O376" i="32"/>
  <c r="BE375" i="32"/>
  <c r="O375" i="32"/>
  <c r="BE374" i="32"/>
  <c r="O374" i="32"/>
  <c r="BE373" i="32"/>
  <c r="O373" i="32"/>
  <c r="BE372" i="32"/>
  <c r="O372" i="32"/>
  <c r="BE371" i="32"/>
  <c r="O371" i="32"/>
  <c r="BE370" i="32"/>
  <c r="O370" i="32"/>
  <c r="BE369" i="32"/>
  <c r="O369" i="32"/>
  <c r="BE368" i="32"/>
  <c r="O368" i="32"/>
  <c r="BE367" i="32"/>
  <c r="O367" i="32"/>
  <c r="BE366" i="32"/>
  <c r="O366" i="32"/>
  <c r="BE365" i="32"/>
  <c r="O365" i="32"/>
  <c r="BE364" i="32"/>
  <c r="O364" i="32"/>
  <c r="BE363" i="32"/>
  <c r="O363" i="32"/>
  <c r="BE362" i="32"/>
  <c r="O362" i="32"/>
  <c r="BE361" i="32"/>
  <c r="O361" i="32"/>
  <c r="BE360" i="32"/>
  <c r="O360" i="32"/>
  <c r="BE359" i="32"/>
  <c r="O359" i="32"/>
  <c r="BE358" i="32"/>
  <c r="O358" i="32"/>
  <c r="BE357" i="32"/>
  <c r="O357" i="32"/>
  <c r="BE356" i="32"/>
  <c r="O356" i="32"/>
  <c r="BE355" i="32"/>
  <c r="O355" i="32"/>
  <c r="BE354" i="32"/>
  <c r="O354" i="32"/>
  <c r="BE353" i="32"/>
  <c r="O353" i="32"/>
  <c r="BE352" i="32"/>
  <c r="O352" i="32"/>
  <c r="BE351" i="32"/>
  <c r="O351" i="32"/>
  <c r="BE350" i="32"/>
  <c r="O350" i="32"/>
  <c r="BE349" i="32"/>
  <c r="O349" i="32"/>
  <c r="BE348" i="32"/>
  <c r="O348" i="32"/>
  <c r="BE347" i="32"/>
  <c r="O347" i="32"/>
  <c r="BE346" i="32"/>
  <c r="O346" i="32"/>
  <c r="BE345" i="32"/>
  <c r="O345" i="32"/>
  <c r="BE344" i="32"/>
  <c r="O344" i="32"/>
  <c r="BE343" i="32"/>
  <c r="O343" i="32"/>
  <c r="BE342" i="32"/>
  <c r="O342" i="32"/>
  <c r="BE341" i="32"/>
  <c r="O341" i="32"/>
  <c r="BE340" i="32"/>
  <c r="O340" i="32"/>
  <c r="BE339" i="32"/>
  <c r="O339" i="32"/>
  <c r="BE338" i="32"/>
  <c r="O338" i="32"/>
  <c r="BE337" i="32"/>
  <c r="O337" i="32"/>
  <c r="BE336" i="32"/>
  <c r="O336" i="32"/>
  <c r="BE335" i="32"/>
  <c r="O335" i="32"/>
  <c r="BE334" i="32"/>
  <c r="O334" i="32"/>
  <c r="BE333" i="32"/>
  <c r="O333" i="32"/>
  <c r="BE332" i="32"/>
  <c r="O332" i="32"/>
  <c r="BE331" i="32"/>
  <c r="O331" i="32"/>
  <c r="BE330" i="32"/>
  <c r="O330" i="32"/>
  <c r="BE329" i="32"/>
  <c r="O329" i="32"/>
  <c r="BE328" i="32"/>
  <c r="O328" i="32"/>
  <c r="BE327" i="32"/>
  <c r="O327" i="32"/>
  <c r="BE326" i="32"/>
  <c r="O326" i="32"/>
  <c r="BE325" i="32"/>
  <c r="O325" i="32"/>
  <c r="BE324" i="32"/>
  <c r="O324" i="32"/>
  <c r="BE323" i="32"/>
  <c r="O323" i="32"/>
  <c r="BE322" i="32"/>
  <c r="O322" i="32"/>
  <c r="BE321" i="32"/>
  <c r="O321" i="32"/>
  <c r="BE320" i="32"/>
  <c r="O320" i="32"/>
  <c r="BE319" i="32"/>
  <c r="O319" i="32"/>
  <c r="BE318" i="32"/>
  <c r="O318" i="32"/>
  <c r="BE317" i="32"/>
  <c r="O317" i="32"/>
  <c r="BE316" i="32"/>
  <c r="O316" i="32"/>
  <c r="BE315" i="32"/>
  <c r="O315" i="32"/>
  <c r="BE314" i="32"/>
  <c r="O314" i="32"/>
  <c r="BE313" i="32"/>
  <c r="O313" i="32"/>
  <c r="BE312" i="32"/>
  <c r="O312" i="32"/>
  <c r="BE311" i="32"/>
  <c r="O311" i="32"/>
  <c r="BE310" i="32"/>
  <c r="O310" i="32"/>
  <c r="BE309" i="32"/>
  <c r="O309" i="32"/>
  <c r="BE308" i="32"/>
  <c r="O308" i="32"/>
  <c r="BE307" i="32"/>
  <c r="O307" i="32"/>
  <c r="BE306" i="32"/>
  <c r="O306" i="32"/>
  <c r="BE305" i="32"/>
  <c r="O305" i="32"/>
  <c r="BE304" i="32"/>
  <c r="O304" i="32"/>
  <c r="BE303" i="32"/>
  <c r="O303" i="32"/>
  <c r="BE302" i="32"/>
  <c r="O302" i="32"/>
  <c r="BE301" i="32"/>
  <c r="O301" i="32"/>
  <c r="BE300" i="32"/>
  <c r="O300" i="32"/>
  <c r="BE299" i="32"/>
  <c r="O299" i="32"/>
  <c r="BE298" i="32"/>
  <c r="O298" i="32"/>
  <c r="BE297" i="32"/>
  <c r="O297" i="32"/>
  <c r="BE296" i="32"/>
  <c r="O296" i="32"/>
  <c r="BE295" i="32"/>
  <c r="O295" i="32"/>
  <c r="BE294" i="32"/>
  <c r="O294" i="32"/>
  <c r="BE293" i="32"/>
  <c r="O293" i="32"/>
  <c r="BE292" i="32"/>
  <c r="O292" i="32"/>
  <c r="BE291" i="32"/>
  <c r="O291" i="32"/>
  <c r="BE290" i="32"/>
  <c r="O290" i="32"/>
  <c r="BE289" i="32"/>
  <c r="O289" i="32"/>
  <c r="BE288" i="32"/>
  <c r="O288" i="32"/>
  <c r="BE287" i="32"/>
  <c r="O287" i="32"/>
  <c r="BE286" i="32"/>
  <c r="O286" i="32"/>
  <c r="BE285" i="32"/>
  <c r="O285" i="32"/>
  <c r="BE284" i="32"/>
  <c r="O284" i="32"/>
  <c r="BE283" i="32"/>
  <c r="O283" i="32"/>
  <c r="BE282" i="32"/>
  <c r="O282" i="32"/>
  <c r="BE281" i="32"/>
  <c r="O281" i="32"/>
  <c r="BE280" i="32"/>
  <c r="O280" i="32"/>
  <c r="BE279" i="32"/>
  <c r="O279" i="32"/>
  <c r="BE278" i="32"/>
  <c r="O278" i="32"/>
  <c r="BE277" i="32"/>
  <c r="O277" i="32"/>
  <c r="BE276" i="32"/>
  <c r="O276" i="32"/>
  <c r="BE275" i="32"/>
  <c r="O275" i="32"/>
  <c r="BE274" i="32"/>
  <c r="O274" i="32"/>
  <c r="BE273" i="32"/>
  <c r="O273" i="32"/>
  <c r="BE272" i="32"/>
  <c r="O272" i="32"/>
  <c r="BE271" i="32"/>
  <c r="O271" i="32"/>
  <c r="BE270" i="32"/>
  <c r="O270" i="32"/>
  <c r="BE269" i="32"/>
  <c r="O269" i="32"/>
  <c r="BE268" i="32"/>
  <c r="O268" i="32"/>
  <c r="BE267" i="32"/>
  <c r="O267" i="32"/>
  <c r="BE266" i="32"/>
  <c r="O266" i="32"/>
  <c r="BE265" i="32"/>
  <c r="O265" i="32"/>
  <c r="BE264" i="32"/>
  <c r="O264" i="32"/>
  <c r="BE263" i="32"/>
  <c r="O263" i="32"/>
  <c r="BE262" i="32"/>
  <c r="O262" i="32"/>
  <c r="BE261" i="32"/>
  <c r="O261" i="32"/>
  <c r="BE260" i="32"/>
  <c r="O260" i="32"/>
  <c r="BE259" i="32"/>
  <c r="O259" i="32"/>
  <c r="BE258" i="32"/>
  <c r="O258" i="32"/>
  <c r="BE257" i="32"/>
  <c r="O257" i="32"/>
  <c r="BE256" i="32"/>
  <c r="O256" i="32"/>
  <c r="BE255" i="32"/>
  <c r="O255" i="32"/>
  <c r="BE254" i="32"/>
  <c r="O254" i="32"/>
  <c r="BE253" i="32"/>
  <c r="O253" i="32"/>
  <c r="BE252" i="32"/>
  <c r="O252" i="32"/>
  <c r="BE251" i="32"/>
  <c r="O251" i="32"/>
  <c r="BE250" i="32"/>
  <c r="O250" i="32"/>
  <c r="BE249" i="32"/>
  <c r="O249" i="32"/>
  <c r="BE248" i="32"/>
  <c r="O248" i="32"/>
  <c r="BE247" i="32"/>
  <c r="O247" i="32"/>
  <c r="BE246" i="32"/>
  <c r="O246" i="32"/>
  <c r="BE245" i="32"/>
  <c r="O245" i="32"/>
  <c r="BE244" i="32"/>
  <c r="O244" i="32"/>
  <c r="BE243" i="32"/>
  <c r="O243" i="32"/>
  <c r="BE242" i="32"/>
  <c r="O242" i="32"/>
  <c r="BE241" i="32"/>
  <c r="O241" i="32"/>
  <c r="BE240" i="32"/>
  <c r="O240" i="32"/>
  <c r="BE239" i="32"/>
  <c r="O239" i="32"/>
  <c r="BE238" i="32"/>
  <c r="O238" i="32"/>
  <c r="BE237" i="32"/>
  <c r="O237" i="32"/>
  <c r="BE236" i="32"/>
  <c r="O236" i="32"/>
  <c r="BE235" i="32"/>
  <c r="O235" i="32"/>
  <c r="BE234" i="32"/>
  <c r="O234" i="32"/>
  <c r="BE233" i="32"/>
  <c r="O233" i="32"/>
  <c r="BE232" i="32"/>
  <c r="O232" i="32"/>
  <c r="BE231" i="32"/>
  <c r="O231" i="32"/>
  <c r="BE230" i="32"/>
  <c r="O230" i="32"/>
  <c r="BE229" i="32"/>
  <c r="O229" i="32"/>
  <c r="BE228" i="32"/>
  <c r="O228" i="32"/>
  <c r="BE227" i="32"/>
  <c r="O227" i="32"/>
  <c r="BE226" i="32"/>
  <c r="O226" i="32"/>
  <c r="BE225" i="32"/>
  <c r="O225" i="32"/>
  <c r="BE224" i="32"/>
  <c r="O224" i="32"/>
  <c r="BE223" i="32"/>
  <c r="O223" i="32"/>
  <c r="BE222" i="32"/>
  <c r="O222" i="32"/>
  <c r="BE221" i="32"/>
  <c r="O221" i="32"/>
  <c r="BE220" i="32"/>
  <c r="O220" i="32"/>
  <c r="BE219" i="32"/>
  <c r="O219" i="32"/>
  <c r="BE218" i="32"/>
  <c r="O218" i="32"/>
  <c r="BE217" i="32"/>
  <c r="O217" i="32"/>
  <c r="BE216" i="32"/>
  <c r="O216" i="32"/>
  <c r="BE215" i="32"/>
  <c r="O215" i="32"/>
  <c r="BE214" i="32"/>
  <c r="O214" i="32"/>
  <c r="BE213" i="32"/>
  <c r="O213" i="32"/>
  <c r="BE212" i="32"/>
  <c r="O212" i="32"/>
  <c r="BE211" i="32"/>
  <c r="O211" i="32"/>
  <c r="BE210" i="32"/>
  <c r="O210" i="32"/>
  <c r="BE209" i="32"/>
  <c r="O209" i="32"/>
  <c r="BE208" i="32"/>
  <c r="O208" i="32"/>
  <c r="BE207" i="32"/>
  <c r="O207" i="32"/>
  <c r="BE206" i="32"/>
  <c r="O206" i="32"/>
  <c r="BE205" i="32"/>
  <c r="O205" i="32"/>
  <c r="BE204" i="32"/>
  <c r="O204" i="32"/>
  <c r="BE203" i="32"/>
  <c r="O203" i="32"/>
  <c r="BE202" i="32"/>
  <c r="O202" i="32"/>
  <c r="BE201" i="32"/>
  <c r="O201" i="32"/>
  <c r="BE200" i="32"/>
  <c r="O200" i="32"/>
  <c r="BE199" i="32"/>
  <c r="O199" i="32"/>
  <c r="BE198" i="32"/>
  <c r="O198" i="32"/>
  <c r="BE197" i="32"/>
  <c r="O197" i="32"/>
  <c r="BE196" i="32"/>
  <c r="O196" i="32"/>
  <c r="BE195" i="32"/>
  <c r="O195" i="32"/>
  <c r="BE194" i="32"/>
  <c r="O194" i="32"/>
  <c r="BE193" i="32"/>
  <c r="O193" i="32"/>
  <c r="BE192" i="32"/>
  <c r="O192" i="32"/>
  <c r="BE191" i="32"/>
  <c r="O191" i="32"/>
  <c r="BE190" i="32"/>
  <c r="O190" i="32"/>
  <c r="BE189" i="32"/>
  <c r="O189" i="32"/>
  <c r="BE188" i="32"/>
  <c r="O188" i="32"/>
  <c r="BE187" i="32"/>
  <c r="O187" i="32"/>
  <c r="BE186" i="32"/>
  <c r="O186" i="32"/>
  <c r="BE185" i="32"/>
  <c r="O185" i="32"/>
  <c r="BE184" i="32"/>
  <c r="O184" i="32"/>
  <c r="BE183" i="32"/>
  <c r="O183" i="32"/>
  <c r="BE182" i="32"/>
  <c r="O182" i="32"/>
  <c r="BE181" i="32"/>
  <c r="O181" i="32"/>
  <c r="BE180" i="32"/>
  <c r="O180" i="32"/>
  <c r="BE179" i="32"/>
  <c r="O179" i="32"/>
  <c r="BE178" i="32"/>
  <c r="O178" i="32"/>
  <c r="BE177" i="32"/>
  <c r="O177" i="32"/>
  <c r="BE176" i="32"/>
  <c r="O176" i="32"/>
  <c r="BE175" i="32"/>
  <c r="O175" i="32"/>
  <c r="BE174" i="32"/>
  <c r="O174" i="32"/>
  <c r="BE173" i="32"/>
  <c r="O173" i="32"/>
  <c r="BE172" i="32"/>
  <c r="O172" i="32"/>
  <c r="BE171" i="32"/>
  <c r="O171" i="32"/>
  <c r="BE170" i="32"/>
  <c r="O170" i="32"/>
  <c r="BE169" i="32"/>
  <c r="O169" i="32"/>
  <c r="BE168" i="32"/>
  <c r="O168" i="32"/>
  <c r="BE167" i="32"/>
  <c r="O167" i="32"/>
  <c r="BE166" i="32"/>
  <c r="O166" i="32"/>
  <c r="BE165" i="32"/>
  <c r="O165" i="32"/>
  <c r="BE164" i="32"/>
  <c r="O164" i="32"/>
  <c r="BE163" i="32"/>
  <c r="O163" i="32"/>
  <c r="BE162" i="32"/>
  <c r="O162" i="32"/>
  <c r="BE161" i="32"/>
  <c r="O161" i="32"/>
  <c r="BE160" i="32"/>
  <c r="O160" i="32"/>
  <c r="BE159" i="32"/>
  <c r="O159" i="32"/>
  <c r="BE158" i="32"/>
  <c r="O158" i="32"/>
  <c r="BE157" i="32"/>
  <c r="O157" i="32"/>
  <c r="BE156" i="32"/>
  <c r="O156" i="32"/>
  <c r="BE155" i="32"/>
  <c r="O155" i="32"/>
  <c r="BE154" i="32"/>
  <c r="O154" i="32"/>
  <c r="BE153" i="32"/>
  <c r="O153" i="32"/>
  <c r="BE152" i="32"/>
  <c r="O152" i="32"/>
  <c r="BE151" i="32"/>
  <c r="O151" i="32"/>
  <c r="BE150" i="32"/>
  <c r="O150" i="32"/>
  <c r="BE149" i="32"/>
  <c r="O149" i="32"/>
  <c r="BE148" i="32"/>
  <c r="O148" i="32"/>
  <c r="BE147" i="32"/>
  <c r="O147" i="32"/>
  <c r="BE146" i="32"/>
  <c r="O146" i="32"/>
  <c r="BE145" i="32"/>
  <c r="O145" i="32"/>
  <c r="BE144" i="32"/>
  <c r="O144" i="32"/>
  <c r="BE143" i="32"/>
  <c r="O143" i="32"/>
  <c r="BE142" i="32"/>
  <c r="O142" i="32"/>
  <c r="BE141" i="32"/>
  <c r="O141" i="32"/>
  <c r="BE140" i="32"/>
  <c r="O140" i="32"/>
  <c r="BE139" i="32"/>
  <c r="O139" i="32"/>
  <c r="BE138" i="32"/>
  <c r="O138" i="32"/>
  <c r="BE137" i="32"/>
  <c r="O137" i="32"/>
  <c r="BE136" i="32"/>
  <c r="O136" i="32"/>
  <c r="BE135" i="32"/>
  <c r="O135" i="32"/>
  <c r="BE134" i="32"/>
  <c r="O134" i="32"/>
  <c r="BE133" i="32"/>
  <c r="O133" i="32"/>
  <c r="BE132" i="32"/>
  <c r="O132" i="32"/>
  <c r="BE131" i="32"/>
  <c r="O131" i="32"/>
  <c r="BE130" i="32"/>
  <c r="O130" i="32"/>
  <c r="BE129" i="32"/>
  <c r="O129" i="32"/>
  <c r="BE128" i="32"/>
  <c r="O128" i="32"/>
  <c r="BE127" i="32"/>
  <c r="O127" i="32"/>
  <c r="BE126" i="32"/>
  <c r="O126" i="32"/>
  <c r="BE125" i="32"/>
  <c r="O125" i="32"/>
  <c r="BE124" i="32"/>
  <c r="O124" i="32"/>
  <c r="BE123" i="32"/>
  <c r="O123" i="32"/>
  <c r="BE122" i="32"/>
  <c r="O122" i="32"/>
  <c r="BE121" i="32"/>
  <c r="O121" i="32"/>
  <c r="BE120" i="32"/>
  <c r="O120" i="32"/>
  <c r="BE119" i="32"/>
  <c r="O119" i="32"/>
  <c r="BE118" i="32"/>
  <c r="O118" i="32"/>
  <c r="BE117" i="32"/>
  <c r="O117" i="32"/>
  <c r="BE116" i="32"/>
  <c r="O116" i="32"/>
  <c r="BE115" i="32"/>
  <c r="O115" i="32"/>
  <c r="BE114" i="32"/>
  <c r="O114" i="32"/>
  <c r="BE113" i="32"/>
  <c r="O113" i="32"/>
  <c r="BE112" i="32"/>
  <c r="O112" i="32"/>
  <c r="BE111" i="32"/>
  <c r="O111" i="32"/>
  <c r="BE110" i="32"/>
  <c r="O110" i="32"/>
  <c r="BE76" i="32"/>
  <c r="O76" i="32"/>
  <c r="BE75" i="32"/>
  <c r="O75" i="32"/>
  <c r="BE74" i="32"/>
  <c r="O74" i="32"/>
  <c r="BE73" i="32"/>
  <c r="O73" i="32"/>
  <c r="BE72" i="32"/>
  <c r="O72" i="32"/>
  <c r="BE71" i="32"/>
  <c r="O71" i="32"/>
  <c r="BE70" i="32"/>
  <c r="O70" i="32"/>
  <c r="BE69" i="32"/>
  <c r="O69" i="32"/>
  <c r="BE68" i="32"/>
  <c r="O68" i="32"/>
  <c r="BE67" i="32"/>
  <c r="O67" i="32"/>
  <c r="BE66" i="32"/>
  <c r="O66" i="32"/>
  <c r="BE65" i="32"/>
  <c r="O65" i="32"/>
  <c r="BE64" i="32"/>
  <c r="O64" i="32"/>
  <c r="BE63" i="32"/>
  <c r="O63" i="32"/>
  <c r="BE62" i="32"/>
  <c r="O62" i="32"/>
  <c r="BE61" i="32"/>
  <c r="O61" i="32"/>
  <c r="BE60" i="32"/>
  <c r="O60" i="32"/>
  <c r="BE59" i="32"/>
  <c r="O59" i="32"/>
  <c r="BE58" i="32"/>
  <c r="O58" i="32"/>
  <c r="BE57" i="32"/>
  <c r="O57" i="32"/>
  <c r="BE56" i="32"/>
  <c r="O56" i="32"/>
  <c r="BE55" i="32"/>
  <c r="O55" i="32"/>
  <c r="BE54" i="32"/>
  <c r="O54" i="32"/>
  <c r="BE53" i="32"/>
  <c r="O53" i="32"/>
  <c r="BE52" i="32"/>
  <c r="O52" i="32"/>
  <c r="BE51" i="32"/>
  <c r="O51" i="32"/>
  <c r="BE50" i="32"/>
  <c r="O50" i="32"/>
  <c r="BE49" i="32"/>
  <c r="O49" i="32"/>
  <c r="BE48" i="32"/>
  <c r="O48" i="32"/>
  <c r="BE47" i="32"/>
  <c r="O47" i="32"/>
  <c r="BE46" i="32"/>
  <c r="O46" i="32"/>
  <c r="BE45" i="32"/>
  <c r="O45" i="32"/>
  <c r="BE44" i="32"/>
  <c r="O44" i="32"/>
  <c r="BE43" i="32"/>
  <c r="BE42" i="32"/>
  <c r="BE41" i="32"/>
  <c r="BE40" i="32"/>
  <c r="BE39" i="32"/>
  <c r="BE38" i="32"/>
  <c r="BE37" i="32"/>
  <c r="BE36" i="32"/>
  <c r="BE35" i="32"/>
  <c r="BE34" i="32"/>
  <c r="BE33" i="32"/>
  <c r="BE32" i="32"/>
  <c r="BE31" i="32"/>
  <c r="BE30" i="32"/>
  <c r="BE29" i="32"/>
  <c r="BE28" i="32"/>
  <c r="BE27" i="32"/>
  <c r="BE26" i="32"/>
  <c r="BE25" i="32"/>
  <c r="BE24" i="32"/>
  <c r="BE23" i="32"/>
  <c r="BE22" i="32"/>
  <c r="BE21" i="32"/>
  <c r="BE20" i="32"/>
  <c r="BE19" i="32"/>
  <c r="BE18" i="32"/>
  <c r="BE17" i="32"/>
  <c r="BE16" i="32"/>
  <c r="BE15" i="32"/>
  <c r="BE14" i="32"/>
  <c r="BE13" i="32"/>
  <c r="BE12" i="32"/>
  <c r="BE11" i="32"/>
  <c r="O11" i="32"/>
  <c r="BE10" i="32"/>
  <c r="BE9" i="32"/>
  <c r="BE8" i="32"/>
  <c r="BE7" i="32"/>
  <c r="BE6" i="32"/>
  <c r="BE5" i="32"/>
  <c r="J57" i="31"/>
  <c r="Q20" i="31"/>
  <c r="Q21" i="31"/>
  <c r="Q19" i="31"/>
  <c r="U20" i="31" l="1"/>
  <c r="T20" i="31"/>
  <c r="S20" i="31"/>
  <c r="O20" i="31"/>
  <c r="N20" i="31"/>
  <c r="M20" i="31"/>
  <c r="L20" i="31"/>
  <c r="U19" i="31"/>
  <c r="T19" i="31"/>
  <c r="S19" i="31"/>
  <c r="O19" i="31"/>
  <c r="N19" i="31"/>
  <c r="M19" i="31"/>
  <c r="L19" i="31"/>
  <c r="K17" i="31"/>
  <c r="AA20" i="31"/>
  <c r="AA19" i="31"/>
  <c r="B21" i="26" l="1"/>
  <c r="B20" i="26"/>
  <c r="B26" i="26" l="1"/>
  <c r="AA351" i="31"/>
  <c r="U249" i="31" l="1"/>
  <c r="T249" i="31"/>
  <c r="S249" i="31"/>
  <c r="O249" i="31"/>
  <c r="N249" i="31"/>
  <c r="M249" i="31"/>
  <c r="L249" i="31"/>
  <c r="U262" i="31"/>
  <c r="T262" i="31"/>
  <c r="S262" i="31"/>
  <c r="O262" i="31"/>
  <c r="N262" i="31"/>
  <c r="M262" i="31"/>
  <c r="L262" i="31"/>
  <c r="U261" i="31"/>
  <c r="T261" i="31"/>
  <c r="S261" i="31"/>
  <c r="O261" i="31"/>
  <c r="N261" i="31"/>
  <c r="M261" i="31"/>
  <c r="L261" i="31"/>
  <c r="U260" i="31"/>
  <c r="T260" i="31"/>
  <c r="S260" i="31"/>
  <c r="O260" i="31"/>
  <c r="N260" i="31"/>
  <c r="M260" i="31"/>
  <c r="L260" i="31"/>
  <c r="U259" i="31"/>
  <c r="T259" i="31"/>
  <c r="S259" i="31"/>
  <c r="O259" i="31"/>
  <c r="N259" i="31"/>
  <c r="M259" i="31"/>
  <c r="L259" i="31"/>
  <c r="U241" i="31"/>
  <c r="T241" i="31"/>
  <c r="S241" i="31"/>
  <c r="O241" i="31"/>
  <c r="N241" i="31"/>
  <c r="M241" i="31"/>
  <c r="L241" i="31"/>
  <c r="U360" i="31"/>
  <c r="T360" i="31"/>
  <c r="S360" i="31"/>
  <c r="O360" i="31"/>
  <c r="N360" i="31"/>
  <c r="M360" i="31"/>
  <c r="L360" i="31"/>
  <c r="U381" i="31"/>
  <c r="T381" i="31"/>
  <c r="S381" i="31"/>
  <c r="O381" i="31"/>
  <c r="N381" i="31"/>
  <c r="M381" i="31"/>
  <c r="L381" i="31"/>
  <c r="U380" i="31"/>
  <c r="T380" i="31"/>
  <c r="S380" i="31"/>
  <c r="O380" i="31"/>
  <c r="N380" i="31"/>
  <c r="M380" i="31"/>
  <c r="L380" i="31"/>
  <c r="U379" i="31"/>
  <c r="T379" i="31"/>
  <c r="S379" i="31"/>
  <c r="O379" i="31"/>
  <c r="N379" i="31"/>
  <c r="M379" i="31"/>
  <c r="L379" i="31"/>
  <c r="U378" i="31"/>
  <c r="T378" i="31"/>
  <c r="S378" i="31"/>
  <c r="O378" i="31"/>
  <c r="N378" i="31"/>
  <c r="M378" i="31"/>
  <c r="L378" i="31"/>
  <c r="U377" i="31"/>
  <c r="T377" i="31"/>
  <c r="S377" i="31"/>
  <c r="O377" i="31"/>
  <c r="N377" i="31"/>
  <c r="M377" i="31"/>
  <c r="L377" i="31"/>
  <c r="U373" i="31"/>
  <c r="T373" i="31"/>
  <c r="S373" i="31"/>
  <c r="O373" i="31"/>
  <c r="N373" i="31"/>
  <c r="M373" i="31"/>
  <c r="L373" i="31"/>
  <c r="U371" i="31"/>
  <c r="T371" i="31"/>
  <c r="S371" i="31"/>
  <c r="O371" i="31"/>
  <c r="N371" i="31"/>
  <c r="M371" i="31"/>
  <c r="L371" i="31"/>
  <c r="U370" i="31"/>
  <c r="T370" i="31"/>
  <c r="S370" i="31"/>
  <c r="O370" i="31"/>
  <c r="N370" i="31"/>
  <c r="M370" i="31"/>
  <c r="L370" i="31"/>
  <c r="U372" i="31"/>
  <c r="T372" i="31"/>
  <c r="S372" i="31"/>
  <c r="O372" i="31"/>
  <c r="N372" i="31"/>
  <c r="M372" i="31"/>
  <c r="L372" i="31"/>
  <c r="U368" i="31"/>
  <c r="T368" i="31"/>
  <c r="S368" i="31"/>
  <c r="O368" i="31"/>
  <c r="N368" i="31"/>
  <c r="M368" i="31"/>
  <c r="L368" i="31"/>
  <c r="U93" i="31"/>
  <c r="T93" i="31"/>
  <c r="S93" i="31"/>
  <c r="O93" i="31"/>
  <c r="N93" i="31"/>
  <c r="M93" i="31"/>
  <c r="L93" i="31"/>
  <c r="U92" i="31"/>
  <c r="T92" i="31"/>
  <c r="S92" i="31"/>
  <c r="O92" i="31"/>
  <c r="N92" i="31"/>
  <c r="M92" i="31"/>
  <c r="L92" i="31"/>
  <c r="U389" i="31"/>
  <c r="T389" i="31"/>
  <c r="S389" i="31"/>
  <c r="O389" i="31"/>
  <c r="N389" i="31"/>
  <c r="M389" i="31"/>
  <c r="L389" i="31"/>
  <c r="U353" i="31"/>
  <c r="T353" i="31"/>
  <c r="S353" i="31"/>
  <c r="O353" i="31"/>
  <c r="N353" i="31"/>
  <c r="M353" i="31"/>
  <c r="L353" i="31"/>
  <c r="U354" i="31"/>
  <c r="T354" i="31"/>
  <c r="S354" i="31"/>
  <c r="O354" i="31"/>
  <c r="N354" i="31"/>
  <c r="M354" i="31"/>
  <c r="L354" i="31"/>
  <c r="U355" i="31"/>
  <c r="T355" i="31"/>
  <c r="S355" i="31"/>
  <c r="O355" i="31"/>
  <c r="N355" i="31"/>
  <c r="M355" i="31"/>
  <c r="L355" i="31"/>
  <c r="U313" i="31"/>
  <c r="T313" i="31"/>
  <c r="S313" i="31"/>
  <c r="O313" i="31"/>
  <c r="N313" i="31"/>
  <c r="M313" i="31"/>
  <c r="L313" i="31"/>
  <c r="U351" i="31"/>
  <c r="T351" i="31"/>
  <c r="S351" i="31"/>
  <c r="O351" i="31"/>
  <c r="N351" i="31"/>
  <c r="M351" i="31"/>
  <c r="L351" i="31"/>
  <c r="U350" i="31"/>
  <c r="T350" i="31"/>
  <c r="S350" i="31"/>
  <c r="O350" i="31"/>
  <c r="N350" i="31"/>
  <c r="M350" i="31"/>
  <c r="L350" i="31"/>
  <c r="U357" i="31"/>
  <c r="T357" i="31"/>
  <c r="S357" i="31"/>
  <c r="O357" i="31"/>
  <c r="N357" i="31"/>
  <c r="M357" i="31"/>
  <c r="L357" i="31"/>
  <c r="U356" i="31"/>
  <c r="T356" i="31"/>
  <c r="S356" i="31"/>
  <c r="O356" i="31"/>
  <c r="N356" i="31"/>
  <c r="M356" i="31"/>
  <c r="L356" i="31"/>
  <c r="U352" i="31"/>
  <c r="T352" i="31"/>
  <c r="S352" i="31"/>
  <c r="O352" i="31"/>
  <c r="N352" i="31"/>
  <c r="M352" i="31"/>
  <c r="L352" i="31"/>
  <c r="U349" i="31"/>
  <c r="T349" i="31"/>
  <c r="S349" i="31"/>
  <c r="O349" i="31"/>
  <c r="N349" i="31"/>
  <c r="M349" i="31"/>
  <c r="L349" i="31"/>
  <c r="U392" i="31"/>
  <c r="T392" i="31"/>
  <c r="S392" i="31"/>
  <c r="O392" i="31"/>
  <c r="N392" i="31"/>
  <c r="M392" i="31"/>
  <c r="L392" i="31"/>
  <c r="U393" i="31"/>
  <c r="T393" i="31"/>
  <c r="S393" i="31"/>
  <c r="O393" i="31"/>
  <c r="N393" i="31"/>
  <c r="M393" i="31"/>
  <c r="L393" i="31"/>
  <c r="U388" i="31"/>
  <c r="T388" i="31"/>
  <c r="S388" i="31"/>
  <c r="O388" i="31"/>
  <c r="N388" i="31"/>
  <c r="M388" i="31"/>
  <c r="L388" i="31"/>
  <c r="U386" i="31"/>
  <c r="T386" i="31"/>
  <c r="S386" i="31"/>
  <c r="O386" i="31"/>
  <c r="N386" i="31"/>
  <c r="M386" i="31"/>
  <c r="L386" i="31"/>
  <c r="U391" i="31"/>
  <c r="T391" i="31"/>
  <c r="S391" i="31"/>
  <c r="O391" i="31"/>
  <c r="N391" i="31"/>
  <c r="M391" i="31"/>
  <c r="L391" i="31"/>
  <c r="U390" i="31"/>
  <c r="T390" i="31"/>
  <c r="S390" i="31"/>
  <c r="O390" i="31"/>
  <c r="N390" i="31"/>
  <c r="M390" i="31"/>
  <c r="L390" i="31"/>
  <c r="U387" i="31"/>
  <c r="T387" i="31"/>
  <c r="S387" i="31"/>
  <c r="O387" i="31"/>
  <c r="N387" i="31"/>
  <c r="M387" i="31"/>
  <c r="L387" i="31"/>
  <c r="U385" i="31"/>
  <c r="T385" i="31"/>
  <c r="S385" i="31"/>
  <c r="O385" i="31"/>
  <c r="N385" i="31"/>
  <c r="M385" i="31"/>
  <c r="L385" i="31"/>
  <c r="U13" i="31"/>
  <c r="T13" i="31"/>
  <c r="S13" i="31"/>
  <c r="O13" i="31"/>
  <c r="N13" i="31"/>
  <c r="M13" i="31"/>
  <c r="L13" i="31"/>
  <c r="U12" i="31"/>
  <c r="T12" i="31"/>
  <c r="S12" i="31"/>
  <c r="O12" i="31"/>
  <c r="N12" i="31"/>
  <c r="M12" i="31"/>
  <c r="L12" i="31"/>
  <c r="U11" i="31"/>
  <c r="T11" i="31"/>
  <c r="S11" i="31"/>
  <c r="O11" i="31"/>
  <c r="N11" i="31"/>
  <c r="M11" i="31"/>
  <c r="L11" i="31"/>
  <c r="U10" i="31"/>
  <c r="T10" i="31"/>
  <c r="S10" i="31"/>
  <c r="O10" i="31"/>
  <c r="N10" i="31"/>
  <c r="M10" i="31"/>
  <c r="L10" i="31"/>
  <c r="U9" i="31"/>
  <c r="T9" i="31"/>
  <c r="S9" i="31"/>
  <c r="O9" i="31"/>
  <c r="N9" i="31"/>
  <c r="M9" i="31"/>
  <c r="L9" i="31"/>
  <c r="U8" i="31"/>
  <c r="T8" i="31"/>
  <c r="S8" i="31"/>
  <c r="O8" i="31"/>
  <c r="N8" i="31"/>
  <c r="M8" i="31"/>
  <c r="L8" i="31"/>
  <c r="U7" i="31"/>
  <c r="T7" i="31"/>
  <c r="S7" i="31"/>
  <c r="O7" i="31"/>
  <c r="N7" i="31"/>
  <c r="M7" i="31"/>
  <c r="L7" i="31"/>
  <c r="S358" i="31"/>
  <c r="T358" i="31"/>
  <c r="U358" i="31"/>
  <c r="S359" i="31"/>
  <c r="T359" i="31"/>
  <c r="U359" i="31"/>
  <c r="S361" i="31"/>
  <c r="T361" i="31"/>
  <c r="U361" i="31"/>
  <c r="S362" i="31"/>
  <c r="T362" i="31"/>
  <c r="U362" i="31"/>
  <c r="S363" i="31"/>
  <c r="T363" i="31"/>
  <c r="U363" i="31"/>
  <c r="S364" i="31"/>
  <c r="T364" i="31"/>
  <c r="U364" i="31"/>
  <c r="S365" i="31"/>
  <c r="T365" i="31"/>
  <c r="U365" i="31"/>
  <c r="S366" i="31"/>
  <c r="T366" i="31"/>
  <c r="U366" i="31"/>
  <c r="S367" i="31"/>
  <c r="T367" i="31"/>
  <c r="U367" i="31"/>
  <c r="S369" i="31"/>
  <c r="T369" i="31"/>
  <c r="U369" i="31"/>
  <c r="S374" i="31"/>
  <c r="T374" i="31"/>
  <c r="U374" i="31"/>
  <c r="S375" i="31"/>
  <c r="T375" i="31"/>
  <c r="U375" i="31"/>
  <c r="S376" i="31"/>
  <c r="T376" i="31"/>
  <c r="U376" i="31"/>
  <c r="S382" i="31"/>
  <c r="T382" i="31"/>
  <c r="U382" i="31"/>
  <c r="S383" i="31"/>
  <c r="T383" i="31"/>
  <c r="U383" i="31"/>
  <c r="S384" i="31"/>
  <c r="T384" i="31"/>
  <c r="U384" i="31"/>
  <c r="O384" i="31"/>
  <c r="N384" i="31"/>
  <c r="M384" i="31"/>
  <c r="L384" i="31"/>
  <c r="O383" i="31"/>
  <c r="N383" i="31"/>
  <c r="M383" i="31"/>
  <c r="L383" i="31"/>
  <c r="O382" i="31"/>
  <c r="N382" i="31"/>
  <c r="M382" i="31"/>
  <c r="L382" i="31"/>
  <c r="O376" i="31"/>
  <c r="N376" i="31"/>
  <c r="M376" i="31"/>
  <c r="L376" i="31"/>
  <c r="O375" i="31"/>
  <c r="N375" i="31"/>
  <c r="M375" i="31"/>
  <c r="L375" i="31"/>
  <c r="O374" i="31"/>
  <c r="N374" i="31"/>
  <c r="M374" i="31"/>
  <c r="L374" i="31"/>
  <c r="O369" i="31"/>
  <c r="N369" i="31"/>
  <c r="M369" i="31"/>
  <c r="L369" i="31"/>
  <c r="O367" i="31"/>
  <c r="N367" i="31"/>
  <c r="M367" i="31"/>
  <c r="L367" i="31"/>
  <c r="O366" i="31"/>
  <c r="N366" i="31"/>
  <c r="M366" i="31"/>
  <c r="L366" i="31"/>
  <c r="O365" i="31"/>
  <c r="N365" i="31"/>
  <c r="M365" i="31"/>
  <c r="L365" i="31"/>
  <c r="O364" i="31"/>
  <c r="N364" i="31"/>
  <c r="M364" i="31"/>
  <c r="L364" i="31"/>
  <c r="O363" i="31"/>
  <c r="N363" i="31"/>
  <c r="M363" i="31"/>
  <c r="L363" i="31"/>
  <c r="O362" i="31"/>
  <c r="N362" i="31"/>
  <c r="M362" i="31"/>
  <c r="L362" i="31"/>
  <c r="O361" i="31"/>
  <c r="N361" i="31"/>
  <c r="M361" i="31"/>
  <c r="L361" i="31"/>
  <c r="O359" i="31"/>
  <c r="N359" i="31"/>
  <c r="M359" i="31"/>
  <c r="L359" i="31"/>
  <c r="O358" i="31"/>
  <c r="N358" i="31"/>
  <c r="M358" i="31"/>
  <c r="L358" i="31"/>
  <c r="U338" i="31"/>
  <c r="T338" i="31"/>
  <c r="S338" i="31"/>
  <c r="O338" i="31"/>
  <c r="N338" i="31"/>
  <c r="M338" i="31"/>
  <c r="L338" i="31"/>
  <c r="U120" i="31"/>
  <c r="T120" i="31"/>
  <c r="S120" i="31"/>
  <c r="O120" i="31"/>
  <c r="N120" i="31"/>
  <c r="M120" i="31"/>
  <c r="L120" i="31"/>
  <c r="U119" i="31"/>
  <c r="T119" i="31"/>
  <c r="S119" i="31"/>
  <c r="O119" i="31"/>
  <c r="N119" i="31"/>
  <c r="M119" i="31"/>
  <c r="L119" i="31"/>
  <c r="U118" i="31"/>
  <c r="T118" i="31"/>
  <c r="S118" i="31"/>
  <c r="O118" i="31"/>
  <c r="N118" i="31"/>
  <c r="M118" i="31"/>
  <c r="L118" i="31"/>
  <c r="U121" i="31"/>
  <c r="T121" i="31"/>
  <c r="S121" i="31"/>
  <c r="O121" i="31"/>
  <c r="N121" i="31"/>
  <c r="M121" i="31"/>
  <c r="L121" i="31"/>
  <c r="U312" i="31"/>
  <c r="T312" i="31"/>
  <c r="S312" i="31"/>
  <c r="O312" i="31"/>
  <c r="N312" i="31"/>
  <c r="M312" i="31"/>
  <c r="L312" i="31"/>
  <c r="U44" i="31"/>
  <c r="T44" i="31"/>
  <c r="S44" i="31"/>
  <c r="O44" i="31"/>
  <c r="N44" i="31"/>
  <c r="M44" i="31"/>
  <c r="L44" i="31"/>
  <c r="U43" i="31"/>
  <c r="T43" i="31"/>
  <c r="S43" i="31"/>
  <c r="O43" i="31"/>
  <c r="N43" i="31"/>
  <c r="M43" i="31"/>
  <c r="L43" i="31"/>
  <c r="U45" i="31"/>
  <c r="T45" i="31"/>
  <c r="S45" i="31"/>
  <c r="O45" i="31"/>
  <c r="N45" i="31"/>
  <c r="M45" i="31"/>
  <c r="L45" i="31"/>
  <c r="U116" i="31"/>
  <c r="T116" i="31"/>
  <c r="S116" i="31"/>
  <c r="O116" i="31"/>
  <c r="N116" i="31"/>
  <c r="M116" i="31"/>
  <c r="L116" i="31"/>
  <c r="U115" i="31"/>
  <c r="T115" i="31"/>
  <c r="S115" i="31"/>
  <c r="O115" i="31"/>
  <c r="N115" i="31"/>
  <c r="M115" i="31"/>
  <c r="L115" i="31"/>
  <c r="U114" i="31"/>
  <c r="T114" i="31"/>
  <c r="S114" i="31"/>
  <c r="O114" i="31"/>
  <c r="N114" i="31"/>
  <c r="M114" i="31"/>
  <c r="L114" i="31"/>
  <c r="U108" i="31"/>
  <c r="T108" i="31"/>
  <c r="S108" i="31"/>
  <c r="O108" i="31"/>
  <c r="N108" i="31"/>
  <c r="M108" i="31"/>
  <c r="L108" i="31"/>
  <c r="U109" i="31"/>
  <c r="T109" i="31"/>
  <c r="S109" i="31"/>
  <c r="O109" i="31"/>
  <c r="N109" i="31"/>
  <c r="M109" i="31"/>
  <c r="L109" i="31"/>
  <c r="U107" i="31"/>
  <c r="T107" i="31"/>
  <c r="S107" i="31"/>
  <c r="O107" i="31"/>
  <c r="N107" i="31"/>
  <c r="M107" i="31"/>
  <c r="L107" i="31"/>
  <c r="U178" i="31"/>
  <c r="T178" i="31"/>
  <c r="S178" i="31"/>
  <c r="O178" i="31"/>
  <c r="N178" i="31"/>
  <c r="M178" i="31"/>
  <c r="L178" i="31"/>
  <c r="U177" i="31"/>
  <c r="T177" i="31"/>
  <c r="S177" i="31"/>
  <c r="O177" i="31"/>
  <c r="N177" i="31"/>
  <c r="M177" i="31"/>
  <c r="L177" i="31"/>
  <c r="U191" i="31"/>
  <c r="T191" i="31"/>
  <c r="S191" i="31"/>
  <c r="O191" i="31"/>
  <c r="N191" i="31"/>
  <c r="M191" i="31"/>
  <c r="L191" i="31"/>
  <c r="U190" i="31"/>
  <c r="T190" i="31"/>
  <c r="S190" i="31"/>
  <c r="O190" i="31"/>
  <c r="N190" i="31"/>
  <c r="M190" i="31"/>
  <c r="L190" i="31"/>
  <c r="U194" i="31"/>
  <c r="T194" i="31"/>
  <c r="S194" i="31"/>
  <c r="O194" i="31"/>
  <c r="N194" i="31"/>
  <c r="M194" i="31"/>
  <c r="L194" i="31"/>
  <c r="U193" i="31"/>
  <c r="T193" i="31"/>
  <c r="S193" i="31"/>
  <c r="O193" i="31"/>
  <c r="N193" i="31"/>
  <c r="M193" i="31"/>
  <c r="L193" i="31"/>
  <c r="U192" i="31"/>
  <c r="T192" i="31"/>
  <c r="S192" i="31"/>
  <c r="O192" i="31"/>
  <c r="N192" i="31"/>
  <c r="M192" i="31"/>
  <c r="L192" i="31"/>
  <c r="U251" i="31"/>
  <c r="T251" i="31"/>
  <c r="S251" i="31"/>
  <c r="O251" i="31"/>
  <c r="N251" i="31"/>
  <c r="M251" i="31"/>
  <c r="L251" i="31"/>
  <c r="I77" i="31"/>
  <c r="H57" i="31"/>
  <c r="AA129" i="31"/>
  <c r="AA99" i="31"/>
  <c r="AA47" i="31"/>
  <c r="AA194" i="31"/>
  <c r="AA279" i="31"/>
  <c r="AA164" i="31"/>
  <c r="AA64" i="31"/>
  <c r="AA126" i="31"/>
  <c r="AA390" i="31"/>
  <c r="AA86" i="31"/>
  <c r="AA299" i="31"/>
  <c r="AA200" i="31"/>
  <c r="AA276" i="31"/>
  <c r="AA179" i="31"/>
  <c r="AA288" i="31"/>
  <c r="AA379" i="31"/>
  <c r="AA354" i="31"/>
  <c r="AA221" i="31"/>
  <c r="AA155" i="31"/>
  <c r="AA10" i="31"/>
  <c r="AA392" i="31"/>
  <c r="AA69" i="31"/>
  <c r="AA309" i="31"/>
  <c r="AA209" i="31"/>
  <c r="AA222" i="31"/>
  <c r="AA329" i="31"/>
  <c r="AA339" i="31"/>
  <c r="AA66" i="31"/>
  <c r="AA30" i="31"/>
  <c r="AA278" i="31"/>
  <c r="AA350" i="31"/>
  <c r="AA356" i="31"/>
  <c r="AA267" i="31"/>
  <c r="AA220" i="31"/>
  <c r="AA314" i="31"/>
  <c r="AA163" i="31"/>
  <c r="AA219" i="31"/>
  <c r="AA294" i="31"/>
  <c r="AA22" i="31"/>
  <c r="AA236" i="31"/>
  <c r="AA141" i="31"/>
  <c r="AA377" i="31"/>
  <c r="AA231" i="31"/>
  <c r="AA310" i="31"/>
  <c r="AA180" i="31"/>
  <c r="AA87" i="31"/>
  <c r="AA96" i="31"/>
  <c r="AA137" i="31"/>
  <c r="AA337" i="31"/>
  <c r="AA78" i="31"/>
  <c r="AA297" i="31"/>
  <c r="AA284" i="31"/>
  <c r="AA159" i="31"/>
  <c r="AA70" i="31"/>
  <c r="AA301" i="31"/>
  <c r="AA250" i="31"/>
  <c r="AA165" i="31"/>
  <c r="AA51" i="31"/>
  <c r="AA213" i="31"/>
  <c r="AA120" i="31"/>
  <c r="AA43" i="31"/>
  <c r="AA340" i="31"/>
  <c r="AA196" i="31"/>
  <c r="AA272" i="31"/>
  <c r="AA374" i="31"/>
  <c r="AA258" i="31"/>
  <c r="AA134" i="31"/>
  <c r="AA190" i="31"/>
  <c r="AA17" i="31"/>
  <c r="AA92" i="31"/>
  <c r="AA265" i="31"/>
  <c r="AA130" i="31"/>
  <c r="AA330" i="31"/>
  <c r="AA324" i="31"/>
  <c r="AA386" i="31"/>
  <c r="AA342" i="31"/>
  <c r="AA303" i="31"/>
  <c r="AA174" i="31"/>
  <c r="AA100" i="31"/>
  <c r="AA362" i="31"/>
  <c r="AA214" i="31"/>
  <c r="AA79" i="31"/>
  <c r="AA104" i="31"/>
  <c r="AA172" i="31"/>
  <c r="AA387" i="31"/>
  <c r="AA25" i="31"/>
  <c r="AA60" i="31"/>
  <c r="AA368" i="31"/>
  <c r="AA251" i="31"/>
  <c r="AA264" i="31"/>
  <c r="AA283" i="31"/>
  <c r="AA217" i="31"/>
  <c r="AA156" i="31"/>
  <c r="AA54" i="31"/>
  <c r="AA168" i="31"/>
  <c r="AA311" i="31"/>
  <c r="AA327" i="31"/>
  <c r="AA27" i="31"/>
  <c r="AA118" i="31"/>
  <c r="AA359" i="31"/>
  <c r="AA243" i="31"/>
  <c r="AA89" i="31"/>
  <c r="AA273" i="31"/>
  <c r="AA193" i="31"/>
  <c r="AA240" i="31"/>
  <c r="AA233" i="31"/>
  <c r="AA55" i="31"/>
  <c r="AA389" i="31"/>
  <c r="AA28" i="31"/>
  <c r="AA103" i="31"/>
  <c r="AA316" i="31"/>
  <c r="AA53" i="31"/>
  <c r="AA115" i="31"/>
  <c r="AA228" i="31"/>
  <c r="AA307" i="31"/>
  <c r="AA8" i="31"/>
  <c r="AA149" i="31"/>
  <c r="AA206" i="31"/>
  <c r="AA315" i="31"/>
  <c r="AA203" i="31"/>
  <c r="AA73" i="31"/>
  <c r="AA201" i="31"/>
  <c r="AA312" i="31"/>
  <c r="AA94" i="31"/>
  <c r="AA24" i="31"/>
  <c r="AA32" i="31"/>
  <c r="AA252" i="31"/>
  <c r="AA344" i="31"/>
  <c r="AA365" i="31"/>
  <c r="AA117" i="31"/>
  <c r="AA328" i="31"/>
  <c r="AA63" i="31"/>
  <c r="AA318" i="31"/>
  <c r="AA184" i="31"/>
  <c r="AA291" i="31"/>
  <c r="AA116" i="31"/>
  <c r="AA266" i="31"/>
  <c r="AA113" i="31"/>
  <c r="AA343" i="31"/>
  <c r="AA42" i="31"/>
  <c r="AA97" i="31"/>
  <c r="AA150" i="31"/>
  <c r="AA88" i="31"/>
  <c r="AA364" i="31"/>
  <c r="AA157" i="31"/>
  <c r="AA140" i="31"/>
  <c r="AA18" i="31"/>
  <c r="AA380" i="31"/>
  <c r="AA76" i="31"/>
  <c r="AA308" i="31"/>
  <c r="AA204" i="31"/>
  <c r="AA306" i="31"/>
  <c r="AA98" i="31"/>
  <c r="AA57" i="31"/>
  <c r="AA259" i="31"/>
  <c r="AA147" i="31"/>
  <c r="AA257" i="31"/>
  <c r="AA107" i="31"/>
  <c r="AA166" i="31"/>
  <c r="AA355" i="31"/>
  <c r="AA260" i="31"/>
  <c r="AA286" i="31"/>
  <c r="AA277" i="31"/>
  <c r="AA199" i="31"/>
  <c r="AA84" i="31"/>
  <c r="AA369" i="31"/>
  <c r="AA271" i="31"/>
  <c r="AA13" i="31"/>
  <c r="AA296" i="31"/>
  <c r="AA205" i="31"/>
  <c r="AA187" i="31"/>
  <c r="AA151" i="31"/>
  <c r="AA353" i="31"/>
  <c r="AA132" i="31"/>
  <c r="AA226" i="31"/>
  <c r="AA332" i="31"/>
  <c r="AA71" i="31"/>
  <c r="AA341" i="31"/>
  <c r="AA384" i="31"/>
  <c r="AA185" i="31"/>
  <c r="AA45" i="31"/>
  <c r="AA292" i="31"/>
  <c r="AA218" i="31"/>
  <c r="AA249" i="31"/>
  <c r="AA255" i="31"/>
  <c r="AA208" i="31"/>
  <c r="AA38" i="31"/>
  <c r="AA215" i="31"/>
  <c r="AA44" i="31"/>
  <c r="AA281" i="31"/>
  <c r="AA393" i="31"/>
  <c r="AA290" i="31"/>
  <c r="AA275" i="31"/>
  <c r="AA274" i="31"/>
  <c r="AA154" i="31"/>
  <c r="AA127" i="31"/>
  <c r="AA90" i="31"/>
  <c r="AA148" i="31"/>
  <c r="AA102" i="31"/>
  <c r="AA171" i="31"/>
  <c r="AA158" i="31"/>
  <c r="AA334" i="31"/>
  <c r="AA182" i="31"/>
  <c r="AA326" i="31"/>
  <c r="AA298" i="31"/>
  <c r="AA122" i="31"/>
  <c r="AA335" i="31"/>
  <c r="AA352" i="31"/>
  <c r="AA325" i="31"/>
  <c r="AA56" i="31"/>
  <c r="AA95" i="31"/>
  <c r="AA234" i="31"/>
  <c r="AA46" i="31"/>
  <c r="AA178" i="31"/>
  <c r="AA388" i="31"/>
  <c r="AA170" i="31"/>
  <c r="AA34" i="31"/>
  <c r="AA322" i="31"/>
  <c r="AA65" i="31"/>
  <c r="AA319" i="31"/>
  <c r="AA235" i="31"/>
  <c r="AA268" i="31"/>
  <c r="AA62" i="31"/>
  <c r="AA124" i="31"/>
  <c r="AA146" i="31"/>
  <c r="AA230" i="31"/>
  <c r="AA197" i="31"/>
  <c r="AA48" i="31"/>
  <c r="AA261" i="31"/>
  <c r="AA366" i="31"/>
  <c r="AA39" i="31"/>
  <c r="AA123" i="31"/>
  <c r="AA223" i="31"/>
  <c r="AA26" i="31"/>
  <c r="AA227" i="31"/>
  <c r="AA282" i="31"/>
  <c r="AA23" i="31"/>
  <c r="AA336" i="31"/>
  <c r="AA175" i="31"/>
  <c r="AA125" i="31"/>
  <c r="AA74" i="31"/>
  <c r="AA211" i="31"/>
  <c r="AA181" i="31"/>
  <c r="AA371" i="31"/>
  <c r="AA383" i="31"/>
  <c r="AA173" i="31"/>
  <c r="AA239" i="31"/>
  <c r="AA106" i="31"/>
  <c r="AA114" i="31"/>
  <c r="AA237" i="31"/>
  <c r="AA52" i="31"/>
  <c r="AA241" i="31"/>
  <c r="AA238" i="31"/>
  <c r="AA68" i="31"/>
  <c r="AA198" i="31"/>
  <c r="AA108" i="31"/>
  <c r="AA293" i="31"/>
  <c r="AA167" i="31"/>
  <c r="AA253" i="31"/>
  <c r="AA245" i="31"/>
  <c r="AA16" i="31"/>
  <c r="AA7" i="31"/>
  <c r="AA29" i="31"/>
  <c r="AA321" i="31"/>
  <c r="AA225" i="31"/>
  <c r="AA385" i="31"/>
  <c r="AA370" i="31"/>
  <c r="AA85" i="31"/>
  <c r="AA348" i="31"/>
  <c r="AA375" i="31"/>
  <c r="AA192" i="31"/>
  <c r="AA304" i="31"/>
  <c r="AA183" i="31"/>
  <c r="AA248" i="31"/>
  <c r="AA262" i="31"/>
  <c r="AA244" i="31"/>
  <c r="AA133" i="31"/>
  <c r="AA153" i="31"/>
  <c r="AA161" i="31"/>
  <c r="AA177" i="31"/>
  <c r="AA33" i="31"/>
  <c r="AA372" i="31"/>
  <c r="AA101" i="31"/>
  <c r="AA270" i="31"/>
  <c r="AA72" i="31"/>
  <c r="AA136" i="31"/>
  <c r="AA40" i="31"/>
  <c r="AA263" i="31"/>
  <c r="AA289" i="31"/>
  <c r="AA105" i="31"/>
  <c r="AA302" i="31"/>
  <c r="AA36" i="31"/>
  <c r="AA382" i="31"/>
  <c r="AA247" i="31"/>
  <c r="AA109" i="31"/>
  <c r="AA145" i="31"/>
  <c r="AA191" i="31"/>
  <c r="AA77" i="31"/>
  <c r="AA313" i="31"/>
  <c r="AA186" i="31"/>
  <c r="AA49" i="31"/>
  <c r="AA31" i="31"/>
  <c r="AA357" i="31"/>
  <c r="AA373" i="31"/>
  <c r="AA224" i="31"/>
  <c r="AA128" i="31"/>
  <c r="AA210" i="31"/>
  <c r="AA212" i="31"/>
  <c r="AA15" i="31"/>
  <c r="AA256" i="31"/>
  <c r="AA143" i="31"/>
  <c r="AA139" i="31"/>
  <c r="AA135" i="31"/>
  <c r="AA9" i="31"/>
  <c r="AA300" i="31"/>
  <c r="AA82" i="31"/>
  <c r="AA367" i="31"/>
  <c r="AA376" i="31"/>
  <c r="AA195" i="31"/>
  <c r="AA280" i="31"/>
  <c r="AA331" i="31"/>
  <c r="AA346" i="31"/>
  <c r="AA378" i="31"/>
  <c r="AA360" i="31"/>
  <c r="AA391" i="31"/>
  <c r="AA37" i="31"/>
  <c r="AA358" i="31"/>
  <c r="AA35" i="31"/>
  <c r="AA11" i="31"/>
  <c r="AA285" i="31"/>
  <c r="AA176" i="31"/>
  <c r="AA317" i="31"/>
  <c r="AA93" i="31"/>
  <c r="AA131" i="31"/>
  <c r="AA112" i="31"/>
  <c r="AA229" i="31"/>
  <c r="AA160" i="31"/>
  <c r="AA381" i="31"/>
  <c r="AA189" i="31"/>
  <c r="AA345" i="31"/>
  <c r="AA75" i="31"/>
  <c r="AA207" i="31"/>
  <c r="AA111" i="31"/>
  <c r="AA347" i="31"/>
  <c r="AA305" i="31"/>
  <c r="AA121" i="31"/>
  <c r="AA21" i="31"/>
  <c r="AA295" i="31"/>
  <c r="AA361" i="31"/>
  <c r="AA12" i="31"/>
  <c r="AA110" i="31"/>
  <c r="AA349" i="31"/>
  <c r="AA138" i="31"/>
  <c r="AA320" i="31"/>
  <c r="AA216" i="31"/>
  <c r="AA14" i="31"/>
  <c r="AA59" i="31"/>
  <c r="AA142" i="31"/>
  <c r="AA269" i="31"/>
  <c r="AA242" i="31"/>
  <c r="AA81" i="31"/>
  <c r="AA144" i="31"/>
  <c r="AA50" i="31"/>
  <c r="AA232" i="31"/>
  <c r="AA58" i="31"/>
  <c r="AA287" i="31"/>
  <c r="AA246" i="31"/>
  <c r="AA363" i="31"/>
  <c r="AA119" i="31"/>
  <c r="AA202" i="31"/>
  <c r="AA188" i="31"/>
  <c r="AA41" i="31"/>
  <c r="AA333" i="31"/>
  <c r="AA83" i="31"/>
  <c r="AA169" i="31"/>
  <c r="AA67" i="31"/>
  <c r="AA323" i="31"/>
  <c r="AA80" i="31"/>
  <c r="AA162" i="31"/>
  <c r="AA152" i="31"/>
  <c r="AA338" i="31"/>
  <c r="AA254" i="31"/>
  <c r="AA61" i="31"/>
  <c r="AA91" i="31"/>
  <c r="H14" i="31" l="1"/>
  <c r="G14" i="31"/>
  <c r="U176" i="31"/>
  <c r="T176" i="31"/>
  <c r="S176" i="31"/>
  <c r="O176" i="31"/>
  <c r="N176" i="31"/>
  <c r="M176" i="31"/>
  <c r="L176" i="31"/>
  <c r="U175" i="31"/>
  <c r="T175" i="31"/>
  <c r="S175" i="31"/>
  <c r="O175" i="31"/>
  <c r="N175" i="31"/>
  <c r="M175" i="31"/>
  <c r="L175" i="31"/>
  <c r="U173" i="31"/>
  <c r="T173" i="31"/>
  <c r="S173" i="31"/>
  <c r="O173" i="31"/>
  <c r="N173" i="31"/>
  <c r="M173" i="31"/>
  <c r="L173" i="31"/>
  <c r="U174" i="31"/>
  <c r="T174" i="31"/>
  <c r="S174" i="31"/>
  <c r="O174" i="31"/>
  <c r="N174" i="31"/>
  <c r="M174" i="31"/>
  <c r="L174" i="31"/>
  <c r="U179" i="31"/>
  <c r="T179" i="31"/>
  <c r="S179" i="31"/>
  <c r="O179" i="31"/>
  <c r="N179" i="31"/>
  <c r="M179" i="31"/>
  <c r="L179" i="31"/>
  <c r="U172" i="31"/>
  <c r="T172" i="31"/>
  <c r="S172" i="31"/>
  <c r="O172" i="31"/>
  <c r="N172" i="31"/>
  <c r="M172" i="31"/>
  <c r="L172" i="31"/>
  <c r="U171" i="31"/>
  <c r="T171" i="31"/>
  <c r="S171" i="31"/>
  <c r="O171" i="31"/>
  <c r="N171" i="31"/>
  <c r="M171" i="31"/>
  <c r="L171" i="31"/>
  <c r="U110" i="31"/>
  <c r="T110" i="31"/>
  <c r="S110" i="31"/>
  <c r="O110" i="31"/>
  <c r="N110" i="31"/>
  <c r="M110" i="31"/>
  <c r="L110" i="31"/>
  <c r="U106" i="31"/>
  <c r="T106" i="31"/>
  <c r="S106" i="31"/>
  <c r="O106" i="31"/>
  <c r="N106" i="31"/>
  <c r="M106" i="31"/>
  <c r="L106" i="31"/>
  <c r="U105" i="31"/>
  <c r="T105" i="31"/>
  <c r="S105" i="31"/>
  <c r="O105" i="31"/>
  <c r="N105" i="31"/>
  <c r="M105" i="31"/>
  <c r="L105" i="31"/>
  <c r="U104" i="31"/>
  <c r="T104" i="31"/>
  <c r="S104" i="31"/>
  <c r="O104" i="31"/>
  <c r="N104" i="31"/>
  <c r="M104" i="31"/>
  <c r="L104" i="31"/>
  <c r="U103" i="31"/>
  <c r="T103" i="31"/>
  <c r="S103" i="31"/>
  <c r="O103" i="31"/>
  <c r="N103" i="31"/>
  <c r="M103" i="31"/>
  <c r="L103" i="31"/>
  <c r="U102" i="31"/>
  <c r="T102" i="31"/>
  <c r="S102" i="31"/>
  <c r="O102" i="31"/>
  <c r="N102" i="31"/>
  <c r="M102" i="31"/>
  <c r="L102" i="31"/>
  <c r="U101" i="31"/>
  <c r="T101" i="31"/>
  <c r="S101" i="31"/>
  <c r="O101" i="31"/>
  <c r="N101" i="31"/>
  <c r="M101" i="31"/>
  <c r="L101" i="31"/>
  <c r="U170" i="31"/>
  <c r="T170" i="31"/>
  <c r="S170" i="31"/>
  <c r="O170" i="31"/>
  <c r="N170" i="31"/>
  <c r="M170" i="31"/>
  <c r="L170" i="31"/>
  <c r="U169" i="31"/>
  <c r="T169" i="31"/>
  <c r="S169" i="31"/>
  <c r="O169" i="31"/>
  <c r="N169" i="31"/>
  <c r="M169" i="31"/>
  <c r="L169" i="31"/>
  <c r="U168" i="31"/>
  <c r="T168" i="31"/>
  <c r="S168" i="31"/>
  <c r="O168" i="31"/>
  <c r="N168" i="31"/>
  <c r="M168" i="31"/>
  <c r="L168" i="31"/>
  <c r="U167" i="31"/>
  <c r="T167" i="31"/>
  <c r="S167" i="31"/>
  <c r="O167" i="31"/>
  <c r="N167" i="31"/>
  <c r="M167" i="31"/>
  <c r="L167" i="31"/>
  <c r="U166" i="31"/>
  <c r="T166" i="31"/>
  <c r="S166" i="31"/>
  <c r="O166" i="31"/>
  <c r="N166" i="31"/>
  <c r="M166" i="31"/>
  <c r="L166" i="31"/>
  <c r="U165" i="31"/>
  <c r="T165" i="31"/>
  <c r="S165" i="31"/>
  <c r="O165" i="31"/>
  <c r="N165" i="31"/>
  <c r="M165" i="31"/>
  <c r="L165" i="31"/>
  <c r="U164" i="31"/>
  <c r="T164" i="31"/>
  <c r="S164" i="31"/>
  <c r="O164" i="31"/>
  <c r="N164" i="31"/>
  <c r="M164" i="31"/>
  <c r="L164" i="31"/>
  <c r="U163" i="31"/>
  <c r="T163" i="31"/>
  <c r="S163" i="31"/>
  <c r="O163" i="31"/>
  <c r="N163" i="31"/>
  <c r="M163" i="31"/>
  <c r="L163" i="31"/>
  <c r="U162" i="31"/>
  <c r="T162" i="31"/>
  <c r="S162" i="31"/>
  <c r="O162" i="31"/>
  <c r="N162" i="31"/>
  <c r="M162" i="31"/>
  <c r="L162" i="31"/>
  <c r="U161" i="31"/>
  <c r="T161" i="31"/>
  <c r="S161" i="31"/>
  <c r="O161" i="31"/>
  <c r="N161" i="31"/>
  <c r="M161" i="31"/>
  <c r="L161" i="31"/>
  <c r="U160" i="31"/>
  <c r="T160" i="31"/>
  <c r="S160" i="31"/>
  <c r="O160" i="31"/>
  <c r="N160" i="31"/>
  <c r="M160" i="31"/>
  <c r="L160" i="31"/>
  <c r="U159" i="31"/>
  <c r="T159" i="31"/>
  <c r="S159" i="31"/>
  <c r="O159" i="31"/>
  <c r="N159" i="31"/>
  <c r="M159" i="31"/>
  <c r="L159" i="31"/>
  <c r="U158" i="31"/>
  <c r="T158" i="31"/>
  <c r="S158" i="31"/>
  <c r="O158" i="31"/>
  <c r="N158" i="31"/>
  <c r="M158" i="31"/>
  <c r="L158" i="31"/>
  <c r="U157" i="31"/>
  <c r="T157" i="31"/>
  <c r="S157" i="31"/>
  <c r="O157" i="31"/>
  <c r="N157" i="31"/>
  <c r="M157" i="31"/>
  <c r="L157" i="31"/>
  <c r="U156" i="31"/>
  <c r="T156" i="31"/>
  <c r="S156" i="31"/>
  <c r="O156" i="31"/>
  <c r="N156" i="31"/>
  <c r="M156" i="31"/>
  <c r="L156" i="31"/>
  <c r="U155" i="31"/>
  <c r="T155" i="31"/>
  <c r="S155" i="31"/>
  <c r="O155" i="31"/>
  <c r="N155" i="31"/>
  <c r="M155" i="31"/>
  <c r="L155" i="31"/>
  <c r="U154" i="31"/>
  <c r="T154" i="31"/>
  <c r="S154" i="31"/>
  <c r="O154" i="31"/>
  <c r="N154" i="31"/>
  <c r="M154" i="31"/>
  <c r="L154" i="31"/>
  <c r="U153" i="31"/>
  <c r="T153" i="31"/>
  <c r="S153" i="31"/>
  <c r="O153" i="31"/>
  <c r="N153" i="31"/>
  <c r="M153" i="31"/>
  <c r="L153" i="31"/>
  <c r="U152" i="31"/>
  <c r="T152" i="31"/>
  <c r="S152" i="31"/>
  <c r="O152" i="31"/>
  <c r="N152" i="31"/>
  <c r="M152" i="31"/>
  <c r="L152" i="31"/>
  <c r="U151" i="31"/>
  <c r="T151" i="31"/>
  <c r="S151" i="31"/>
  <c r="O151" i="31"/>
  <c r="N151" i="31"/>
  <c r="M151" i="31"/>
  <c r="L151" i="31"/>
  <c r="U150" i="31"/>
  <c r="T150" i="31"/>
  <c r="S150" i="31"/>
  <c r="O150" i="31"/>
  <c r="N150" i="31"/>
  <c r="M150" i="31"/>
  <c r="L150" i="31"/>
  <c r="U149" i="31"/>
  <c r="T149" i="31"/>
  <c r="S149" i="31"/>
  <c r="O149" i="31"/>
  <c r="N149" i="31"/>
  <c r="M149" i="31"/>
  <c r="L149" i="31"/>
  <c r="U148" i="31"/>
  <c r="T148" i="31"/>
  <c r="S148" i="31"/>
  <c r="O148" i="31"/>
  <c r="N148" i="31"/>
  <c r="M148" i="31"/>
  <c r="L148" i="31"/>
  <c r="U147" i="31"/>
  <c r="T147" i="31"/>
  <c r="S147" i="31"/>
  <c r="O147" i="31"/>
  <c r="N147" i="31"/>
  <c r="M147" i="31"/>
  <c r="L147" i="31"/>
  <c r="U146" i="31"/>
  <c r="T146" i="31"/>
  <c r="S146" i="31"/>
  <c r="O146" i="31"/>
  <c r="N146" i="31"/>
  <c r="M146" i="31"/>
  <c r="L146" i="31"/>
  <c r="U145" i="31"/>
  <c r="T145" i="31"/>
  <c r="S145" i="31"/>
  <c r="O145" i="31"/>
  <c r="N145" i="31"/>
  <c r="M145" i="31"/>
  <c r="L145" i="31"/>
  <c r="U189" i="31"/>
  <c r="T189" i="31"/>
  <c r="S189" i="31"/>
  <c r="O189" i="31"/>
  <c r="N189" i="31"/>
  <c r="M189" i="31"/>
  <c r="L189" i="31"/>
  <c r="U188" i="31"/>
  <c r="T188" i="31"/>
  <c r="S188" i="31"/>
  <c r="O188" i="31"/>
  <c r="N188" i="31"/>
  <c r="M188" i="31"/>
  <c r="L188" i="31"/>
  <c r="U187" i="31"/>
  <c r="T187" i="31"/>
  <c r="S187" i="31"/>
  <c r="O187" i="31"/>
  <c r="N187" i="31"/>
  <c r="M187" i="31"/>
  <c r="L187" i="31"/>
  <c r="U186" i="31"/>
  <c r="T186" i="31"/>
  <c r="S186" i="31"/>
  <c r="O186" i="31"/>
  <c r="N186" i="31"/>
  <c r="M186" i="31"/>
  <c r="L186" i="31"/>
  <c r="U185" i="31"/>
  <c r="T185" i="31"/>
  <c r="S185" i="31"/>
  <c r="O185" i="31"/>
  <c r="N185" i="31"/>
  <c r="M185" i="31"/>
  <c r="L185" i="31"/>
  <c r="U184" i="31"/>
  <c r="T184" i="31"/>
  <c r="S184" i="31"/>
  <c r="O184" i="31"/>
  <c r="N184" i="31"/>
  <c r="M184" i="31"/>
  <c r="L184" i="31"/>
  <c r="U183" i="31"/>
  <c r="T183" i="31"/>
  <c r="S183" i="31"/>
  <c r="O183" i="31"/>
  <c r="N183" i="31"/>
  <c r="M183" i="31"/>
  <c r="L183" i="31"/>
  <c r="U182" i="31"/>
  <c r="T182" i="31"/>
  <c r="S182" i="31"/>
  <c r="O182" i="31"/>
  <c r="N182" i="31"/>
  <c r="M182" i="31"/>
  <c r="L182" i="31"/>
  <c r="U181" i="31"/>
  <c r="T181" i="31"/>
  <c r="S181" i="31"/>
  <c r="O181" i="31"/>
  <c r="N181" i="31"/>
  <c r="M181" i="31"/>
  <c r="L181" i="31"/>
  <c r="U180" i="31"/>
  <c r="T180" i="31"/>
  <c r="S180" i="31"/>
  <c r="O180" i="31"/>
  <c r="N180" i="31"/>
  <c r="M180" i="31"/>
  <c r="L180" i="31"/>
  <c r="U139" i="31"/>
  <c r="T139" i="31"/>
  <c r="S139" i="31"/>
  <c r="O139" i="31"/>
  <c r="N139" i="31"/>
  <c r="M139" i="31"/>
  <c r="L139" i="31"/>
  <c r="U144" i="31"/>
  <c r="T144" i="31"/>
  <c r="S144" i="31"/>
  <c r="O144" i="31"/>
  <c r="N144" i="31"/>
  <c r="M144" i="31"/>
  <c r="L144" i="31"/>
  <c r="U142" i="31"/>
  <c r="T142" i="31"/>
  <c r="S142" i="31"/>
  <c r="O142" i="31"/>
  <c r="N142" i="31"/>
  <c r="M142" i="31"/>
  <c r="L142" i="31"/>
  <c r="U117" i="31"/>
  <c r="T117" i="31"/>
  <c r="S117" i="31"/>
  <c r="O117" i="31"/>
  <c r="N117" i="31"/>
  <c r="M117" i="31"/>
  <c r="L117" i="31"/>
  <c r="U113" i="31"/>
  <c r="T113" i="31"/>
  <c r="S113" i="31"/>
  <c r="O113" i="31"/>
  <c r="N113" i="31"/>
  <c r="M113" i="31"/>
  <c r="L113" i="31"/>
  <c r="U112" i="31"/>
  <c r="T112" i="31"/>
  <c r="S112" i="31"/>
  <c r="O112" i="31"/>
  <c r="N112" i="31"/>
  <c r="M112" i="31"/>
  <c r="L112" i="31"/>
  <c r="U111" i="31"/>
  <c r="T111" i="31"/>
  <c r="S111" i="31"/>
  <c r="O111" i="31"/>
  <c r="N111" i="31"/>
  <c r="M111" i="31"/>
  <c r="L111" i="31"/>
  <c r="U136" i="31"/>
  <c r="T136" i="31"/>
  <c r="S136" i="31"/>
  <c r="O136" i="31"/>
  <c r="N136" i="31"/>
  <c r="M136" i="31"/>
  <c r="L136" i="31"/>
  <c r="U135" i="31"/>
  <c r="T135" i="31"/>
  <c r="S135" i="31"/>
  <c r="O135" i="31"/>
  <c r="N135" i="31"/>
  <c r="M135" i="31"/>
  <c r="L135" i="31"/>
  <c r="U134" i="31"/>
  <c r="T134" i="31"/>
  <c r="S134" i="31"/>
  <c r="O134" i="31"/>
  <c r="N134" i="31"/>
  <c r="M134" i="31"/>
  <c r="L134" i="31"/>
  <c r="U133" i="31"/>
  <c r="T133" i="31"/>
  <c r="S133" i="31"/>
  <c r="O133" i="31"/>
  <c r="N133" i="31"/>
  <c r="M133" i="31"/>
  <c r="L133" i="31"/>
  <c r="U132" i="31"/>
  <c r="T132" i="31"/>
  <c r="S132" i="31"/>
  <c r="O132" i="31"/>
  <c r="N132" i="31"/>
  <c r="M132" i="31"/>
  <c r="L132" i="31"/>
  <c r="U131" i="31"/>
  <c r="T131" i="31"/>
  <c r="S131" i="31"/>
  <c r="O131" i="31"/>
  <c r="N131" i="31"/>
  <c r="M131" i="31"/>
  <c r="L131" i="31"/>
  <c r="U130" i="31"/>
  <c r="T130" i="31"/>
  <c r="S130" i="31"/>
  <c r="O130" i="31"/>
  <c r="N130" i="31"/>
  <c r="M130" i="31"/>
  <c r="L130" i="31"/>
  <c r="U129" i="31"/>
  <c r="T129" i="31"/>
  <c r="S129" i="31"/>
  <c r="O129" i="31"/>
  <c r="N129" i="31"/>
  <c r="M129" i="31"/>
  <c r="L129" i="31"/>
  <c r="U128" i="31"/>
  <c r="T128" i="31"/>
  <c r="S128" i="31"/>
  <c r="O128" i="31"/>
  <c r="N128" i="31"/>
  <c r="M128" i="31"/>
  <c r="L128" i="31"/>
  <c r="U127" i="31"/>
  <c r="T127" i="31"/>
  <c r="S127" i="31"/>
  <c r="O127" i="31"/>
  <c r="N127" i="31"/>
  <c r="M127" i="31"/>
  <c r="L127" i="31"/>
  <c r="U126" i="31"/>
  <c r="T126" i="31"/>
  <c r="S126" i="31"/>
  <c r="O126" i="31"/>
  <c r="N126" i="31"/>
  <c r="M126" i="31"/>
  <c r="L126" i="31"/>
  <c r="U125" i="31"/>
  <c r="T125" i="31"/>
  <c r="S125" i="31"/>
  <c r="O125" i="31"/>
  <c r="N125" i="31"/>
  <c r="M125" i="31"/>
  <c r="L125" i="31"/>
  <c r="U124" i="31"/>
  <c r="T124" i="31"/>
  <c r="S124" i="31"/>
  <c r="O124" i="31"/>
  <c r="N124" i="31"/>
  <c r="M124" i="31"/>
  <c r="L124" i="31"/>
  <c r="U123" i="31"/>
  <c r="T123" i="31"/>
  <c r="S123" i="31"/>
  <c r="O123" i="31"/>
  <c r="N123" i="31"/>
  <c r="M123" i="31"/>
  <c r="L123" i="31"/>
  <c r="U122" i="31"/>
  <c r="T122" i="31"/>
  <c r="S122" i="31"/>
  <c r="O122" i="31"/>
  <c r="N122" i="31"/>
  <c r="M122" i="31"/>
  <c r="L122" i="31"/>
  <c r="U54" i="31"/>
  <c r="T54" i="31"/>
  <c r="S54" i="31"/>
  <c r="O54" i="31"/>
  <c r="N54" i="31"/>
  <c r="M54" i="31"/>
  <c r="L54" i="31"/>
  <c r="U207" i="31"/>
  <c r="T207" i="31"/>
  <c r="S207" i="31"/>
  <c r="O207" i="31"/>
  <c r="N207" i="31"/>
  <c r="M207" i="31"/>
  <c r="L207" i="31"/>
  <c r="U35" i="31"/>
  <c r="T35" i="31"/>
  <c r="S35" i="31"/>
  <c r="O35" i="31"/>
  <c r="N35" i="31"/>
  <c r="M35" i="31"/>
  <c r="L35" i="31"/>
  <c r="U31" i="31"/>
  <c r="U32" i="31"/>
  <c r="U33" i="31"/>
  <c r="U34" i="31"/>
  <c r="U36" i="31"/>
  <c r="U37" i="31"/>
  <c r="U38" i="31"/>
  <c r="U39" i="31"/>
  <c r="U40" i="31"/>
  <c r="U41" i="31"/>
  <c r="U42" i="31"/>
  <c r="U46" i="31"/>
  <c r="U47" i="31"/>
  <c r="U48" i="31"/>
  <c r="U49" i="31"/>
  <c r="U50" i="31"/>
  <c r="U51" i="31"/>
  <c r="U52" i="31"/>
  <c r="U53" i="31"/>
  <c r="U55" i="31"/>
  <c r="U56" i="31"/>
  <c r="U57" i="31"/>
  <c r="U58" i="31"/>
  <c r="U59" i="31"/>
  <c r="U60" i="31"/>
  <c r="U61" i="31"/>
  <c r="U62" i="31"/>
  <c r="U63" i="31"/>
  <c r="U64" i="31"/>
  <c r="U65" i="31"/>
  <c r="U66" i="31"/>
  <c r="U67" i="31"/>
  <c r="U68" i="31"/>
  <c r="U69" i="31"/>
  <c r="U70" i="31"/>
  <c r="U71" i="31"/>
  <c r="U72" i="31"/>
  <c r="U73" i="31"/>
  <c r="U74" i="31"/>
  <c r="U75" i="31"/>
  <c r="U76" i="31"/>
  <c r="U77" i="31"/>
  <c r="U78" i="31"/>
  <c r="U79" i="31"/>
  <c r="U80" i="31"/>
  <c r="U81" i="31"/>
  <c r="U82" i="31"/>
  <c r="U83" i="31"/>
  <c r="U84" i="31"/>
  <c r="U85" i="31"/>
  <c r="U86" i="31"/>
  <c r="U87" i="31"/>
  <c r="U88" i="31"/>
  <c r="U89" i="31"/>
  <c r="U90" i="31"/>
  <c r="U91" i="31"/>
  <c r="U94" i="31"/>
  <c r="U95" i="31"/>
  <c r="U96" i="31"/>
  <c r="U97" i="31"/>
  <c r="U98" i="31"/>
  <c r="U99" i="31"/>
  <c r="U100" i="31"/>
  <c r="U137" i="31"/>
  <c r="U138" i="31"/>
  <c r="U140" i="31"/>
  <c r="U141" i="31"/>
  <c r="U143" i="31"/>
  <c r="U195" i="31"/>
  <c r="U196" i="31"/>
  <c r="U197" i="31"/>
  <c r="U198" i="31"/>
  <c r="U199" i="31"/>
  <c r="U200" i="31"/>
  <c r="U201" i="31"/>
  <c r="U202" i="31"/>
  <c r="U203" i="31"/>
  <c r="U204" i="31"/>
  <c r="U205" i="31"/>
  <c r="U206" i="31"/>
  <c r="U208" i="31"/>
  <c r="U209" i="31"/>
  <c r="U210" i="31"/>
  <c r="U211" i="31"/>
  <c r="U212" i="31"/>
  <c r="U213" i="31"/>
  <c r="U214" i="31"/>
  <c r="U215" i="31"/>
  <c r="U216" i="31"/>
  <c r="U217" i="31"/>
  <c r="U218" i="31"/>
  <c r="U219" i="31"/>
  <c r="U220" i="31"/>
  <c r="U221" i="31"/>
  <c r="U222" i="31"/>
  <c r="U223" i="31"/>
  <c r="U224" i="31"/>
  <c r="U225" i="31"/>
  <c r="U226" i="31"/>
  <c r="U227" i="31"/>
  <c r="U228" i="31"/>
  <c r="U229" i="31"/>
  <c r="U230" i="31"/>
  <c r="U231" i="31"/>
  <c r="U232" i="31"/>
  <c r="U233" i="31"/>
  <c r="U234" i="31"/>
  <c r="U235" i="31"/>
  <c r="U236" i="31"/>
  <c r="U237" i="31"/>
  <c r="U238" i="31"/>
  <c r="U239" i="31"/>
  <c r="U240" i="31"/>
  <c r="U242" i="31"/>
  <c r="U243" i="31"/>
  <c r="U244" i="31"/>
  <c r="U245" i="31"/>
  <c r="U246" i="31"/>
  <c r="U247" i="31"/>
  <c r="U248" i="31"/>
  <c r="U250" i="31"/>
  <c r="U252" i="31"/>
  <c r="U253" i="31"/>
  <c r="U254" i="31"/>
  <c r="U255" i="31"/>
  <c r="U256" i="31"/>
  <c r="U257" i="31"/>
  <c r="U258" i="31"/>
  <c r="U263" i="31"/>
  <c r="U264" i="31"/>
  <c r="U265" i="31"/>
  <c r="U266" i="31"/>
  <c r="U267" i="31"/>
  <c r="U268" i="31"/>
  <c r="U269" i="31"/>
  <c r="U270" i="31"/>
  <c r="U271" i="31"/>
  <c r="U272" i="31"/>
  <c r="U273" i="31"/>
  <c r="U274" i="31"/>
  <c r="U275" i="31"/>
  <c r="U276" i="31"/>
  <c r="U277" i="31"/>
  <c r="U278" i="31"/>
  <c r="U279" i="31"/>
  <c r="U280" i="31"/>
  <c r="U281" i="31"/>
  <c r="U282" i="31"/>
  <c r="U283" i="31"/>
  <c r="U284" i="31"/>
  <c r="U285" i="31"/>
  <c r="U286" i="31"/>
  <c r="U287" i="31"/>
  <c r="U288" i="31"/>
  <c r="U289" i="31"/>
  <c r="U290" i="31"/>
  <c r="U291" i="31"/>
  <c r="U292" i="31"/>
  <c r="U293" i="31"/>
  <c r="U294" i="31"/>
  <c r="U295" i="31"/>
  <c r="U296" i="31"/>
  <c r="U297" i="31"/>
  <c r="U298" i="31"/>
  <c r="U299" i="31"/>
  <c r="U300" i="31"/>
  <c r="U301" i="31"/>
  <c r="U302" i="31"/>
  <c r="U303" i="31"/>
  <c r="U304" i="31"/>
  <c r="U305" i="31"/>
  <c r="U306" i="31"/>
  <c r="U307" i="31"/>
  <c r="U308" i="31"/>
  <c r="U309" i="31"/>
  <c r="U310" i="31"/>
  <c r="U311" i="31"/>
  <c r="U314" i="31"/>
  <c r="U315" i="31"/>
  <c r="U316" i="31"/>
  <c r="U317" i="31"/>
  <c r="U318" i="31"/>
  <c r="U319" i="31"/>
  <c r="U320" i="31"/>
  <c r="U321" i="31"/>
  <c r="U322" i="31"/>
  <c r="U323" i="31"/>
  <c r="U324" i="31"/>
  <c r="U325" i="31"/>
  <c r="U326" i="31"/>
  <c r="U327" i="31"/>
  <c r="U328" i="31"/>
  <c r="U329" i="31"/>
  <c r="U330" i="31"/>
  <c r="U331" i="31"/>
  <c r="U332" i="31"/>
  <c r="U333" i="31"/>
  <c r="U334" i="31"/>
  <c r="U335" i="31"/>
  <c r="U336" i="31"/>
  <c r="U337" i="31"/>
  <c r="U339" i="31"/>
  <c r="U340" i="31"/>
  <c r="U341" i="31"/>
  <c r="U342" i="31"/>
  <c r="U343" i="31"/>
  <c r="U344" i="31"/>
  <c r="U345" i="31"/>
  <c r="U346" i="31"/>
  <c r="U347" i="31"/>
  <c r="U348" i="31"/>
  <c r="T42" i="31"/>
  <c r="S42" i="31"/>
  <c r="O42" i="31"/>
  <c r="N42" i="31"/>
  <c r="M42" i="31"/>
  <c r="L42" i="31"/>
  <c r="T41" i="31"/>
  <c r="S41" i="31"/>
  <c r="O41" i="31"/>
  <c r="N41" i="31"/>
  <c r="M41" i="31"/>
  <c r="L41" i="31"/>
  <c r="T40" i="31"/>
  <c r="S40" i="31"/>
  <c r="O40" i="31"/>
  <c r="N40" i="31"/>
  <c r="M40" i="31"/>
  <c r="L40" i="31"/>
  <c r="T39" i="31"/>
  <c r="S39" i="31"/>
  <c r="O39" i="31"/>
  <c r="N39" i="31"/>
  <c r="M39" i="31"/>
  <c r="L39" i="31"/>
  <c r="T38" i="31"/>
  <c r="S38" i="31"/>
  <c r="O38" i="31"/>
  <c r="N38" i="31"/>
  <c r="M38" i="31"/>
  <c r="L38" i="31"/>
  <c r="T37" i="31"/>
  <c r="S37" i="31"/>
  <c r="O37" i="31"/>
  <c r="N37" i="31"/>
  <c r="M37" i="31"/>
  <c r="L37" i="31"/>
  <c r="T36" i="31"/>
  <c r="S36" i="31"/>
  <c r="O36" i="31"/>
  <c r="N36" i="31"/>
  <c r="M36" i="31"/>
  <c r="L36" i="31"/>
  <c r="T34" i="31"/>
  <c r="S34" i="31"/>
  <c r="O34" i="31"/>
  <c r="N34" i="31"/>
  <c r="M34" i="31"/>
  <c r="L34" i="31"/>
  <c r="T33" i="31"/>
  <c r="S33" i="31"/>
  <c r="O33" i="31"/>
  <c r="N33" i="31"/>
  <c r="M33" i="31"/>
  <c r="L33" i="31"/>
  <c r="T32" i="31"/>
  <c r="S32" i="31"/>
  <c r="O32" i="31"/>
  <c r="N32" i="31"/>
  <c r="M32" i="31"/>
  <c r="L32" i="31"/>
  <c r="T278" i="31"/>
  <c r="S278" i="31"/>
  <c r="O278" i="31"/>
  <c r="N278" i="31"/>
  <c r="M278" i="31"/>
  <c r="L278" i="31"/>
  <c r="T296" i="31" l="1"/>
  <c r="S296" i="31"/>
  <c r="O296" i="31"/>
  <c r="N296" i="31"/>
  <c r="M296" i="31"/>
  <c r="L296" i="31"/>
  <c r="T295" i="31"/>
  <c r="S295" i="31"/>
  <c r="O295" i="31"/>
  <c r="N295" i="31"/>
  <c r="M295" i="31"/>
  <c r="L295" i="31"/>
  <c r="T294" i="31"/>
  <c r="S294" i="31"/>
  <c r="O294" i="31"/>
  <c r="N294" i="31"/>
  <c r="M294" i="31"/>
  <c r="L294" i="31"/>
  <c r="T293" i="31"/>
  <c r="S293" i="31"/>
  <c r="O293" i="31"/>
  <c r="N293" i="31"/>
  <c r="M293" i="31"/>
  <c r="L293" i="31"/>
  <c r="T292" i="31"/>
  <c r="S292" i="31"/>
  <c r="O292" i="31"/>
  <c r="N292" i="31"/>
  <c r="M292" i="31"/>
  <c r="L292" i="31"/>
  <c r="T291" i="31"/>
  <c r="S291" i="31"/>
  <c r="O291" i="31"/>
  <c r="N291" i="31"/>
  <c r="M291" i="31"/>
  <c r="L291" i="31"/>
  <c r="T290" i="31"/>
  <c r="S290" i="31"/>
  <c r="O290" i="31"/>
  <c r="N290" i="31"/>
  <c r="M290" i="31"/>
  <c r="L290" i="31"/>
  <c r="T289" i="31"/>
  <c r="S289" i="31"/>
  <c r="O289" i="31"/>
  <c r="N289" i="31"/>
  <c r="M289" i="31"/>
  <c r="L289" i="31"/>
  <c r="T288" i="31"/>
  <c r="S288" i="31"/>
  <c r="O288" i="31"/>
  <c r="N288" i="31"/>
  <c r="M288" i="31"/>
  <c r="L288" i="31"/>
  <c r="T287" i="31"/>
  <c r="S287" i="31"/>
  <c r="O287" i="31"/>
  <c r="N287" i="31"/>
  <c r="M287" i="31"/>
  <c r="L287" i="31"/>
  <c r="T315" i="31"/>
  <c r="S315" i="31"/>
  <c r="O315" i="31"/>
  <c r="N315" i="31"/>
  <c r="M315" i="31"/>
  <c r="L315" i="31"/>
  <c r="T314" i="31"/>
  <c r="S314" i="31"/>
  <c r="O314" i="31"/>
  <c r="N314" i="31"/>
  <c r="M314" i="31"/>
  <c r="L314" i="31"/>
  <c r="T252" i="31"/>
  <c r="S252" i="31"/>
  <c r="O252" i="31"/>
  <c r="N252" i="31"/>
  <c r="M252" i="31"/>
  <c r="L252" i="31"/>
  <c r="T253" i="31"/>
  <c r="S253" i="31"/>
  <c r="O253" i="31"/>
  <c r="N253" i="31"/>
  <c r="M253" i="31"/>
  <c r="L253" i="31"/>
  <c r="T254" i="31"/>
  <c r="S254" i="31"/>
  <c r="O254" i="31"/>
  <c r="N254" i="31"/>
  <c r="M254" i="31"/>
  <c r="L254" i="31"/>
  <c r="T258" i="31"/>
  <c r="S258" i="31"/>
  <c r="O258" i="31"/>
  <c r="N258" i="31"/>
  <c r="M258" i="31"/>
  <c r="L258" i="31"/>
  <c r="T257" i="31"/>
  <c r="S257" i="31"/>
  <c r="O257" i="31"/>
  <c r="N257" i="31"/>
  <c r="M257" i="31"/>
  <c r="L257" i="31"/>
  <c r="T256" i="31"/>
  <c r="S256" i="31"/>
  <c r="O256" i="31"/>
  <c r="N256" i="31"/>
  <c r="M256" i="31"/>
  <c r="L256" i="31"/>
  <c r="T255" i="31"/>
  <c r="S255" i="31"/>
  <c r="O255" i="31"/>
  <c r="N255" i="31"/>
  <c r="M255" i="31"/>
  <c r="L255" i="31"/>
  <c r="T248" i="31"/>
  <c r="S248" i="31"/>
  <c r="O248" i="31"/>
  <c r="N248" i="31"/>
  <c r="M248" i="31"/>
  <c r="L248" i="31"/>
  <c r="T250" i="31"/>
  <c r="S250" i="31"/>
  <c r="O250" i="31"/>
  <c r="N250" i="31"/>
  <c r="M250" i="31"/>
  <c r="L250" i="31"/>
  <c r="T201" i="31"/>
  <c r="S201" i="31"/>
  <c r="O201" i="31"/>
  <c r="N201" i="31"/>
  <c r="M201" i="31"/>
  <c r="L201" i="31"/>
  <c r="T56" i="31"/>
  <c r="S56" i="31"/>
  <c r="O56" i="31"/>
  <c r="N56" i="31"/>
  <c r="M56" i="31"/>
  <c r="L56" i="31"/>
  <c r="U14" i="31" l="1"/>
  <c r="U15" i="31"/>
  <c r="U16" i="31"/>
  <c r="U17" i="31"/>
  <c r="U18" i="31"/>
  <c r="U21" i="31"/>
  <c r="U22" i="31"/>
  <c r="U23" i="31"/>
  <c r="U24" i="31"/>
  <c r="U25" i="31"/>
  <c r="U26" i="31"/>
  <c r="U27" i="31"/>
  <c r="U28" i="31"/>
  <c r="U29" i="31"/>
  <c r="U30" i="31"/>
  <c r="T14" i="31"/>
  <c r="T15" i="31"/>
  <c r="T16" i="31"/>
  <c r="T17" i="31"/>
  <c r="T18" i="31"/>
  <c r="T21" i="31"/>
  <c r="T22" i="31"/>
  <c r="T23" i="31"/>
  <c r="T24" i="31"/>
  <c r="T25" i="31"/>
  <c r="T26" i="31"/>
  <c r="T27" i="31"/>
  <c r="T28" i="31"/>
  <c r="T29" i="31"/>
  <c r="T30" i="31"/>
  <c r="T31" i="31"/>
  <c r="T46" i="31"/>
  <c r="T47" i="31"/>
  <c r="T48" i="31"/>
  <c r="T49" i="31"/>
  <c r="T50" i="31"/>
  <c r="T51" i="31"/>
  <c r="T52" i="31"/>
  <c r="T53" i="31"/>
  <c r="T55" i="31"/>
  <c r="T57" i="31"/>
  <c r="T58" i="31"/>
  <c r="T59" i="31"/>
  <c r="T60" i="31"/>
  <c r="T61" i="31"/>
  <c r="T62" i="31"/>
  <c r="T63" i="31"/>
  <c r="T64" i="31"/>
  <c r="T65" i="31"/>
  <c r="T66" i="31"/>
  <c r="T67" i="31"/>
  <c r="T68" i="31"/>
  <c r="T69" i="31"/>
  <c r="T70" i="31"/>
  <c r="T71" i="31"/>
  <c r="T72" i="31"/>
  <c r="T73" i="31"/>
  <c r="T74" i="31"/>
  <c r="T75" i="31"/>
  <c r="T76" i="31"/>
  <c r="T77" i="31"/>
  <c r="T78" i="31"/>
  <c r="T79" i="31"/>
  <c r="T80" i="31"/>
  <c r="T81" i="31"/>
  <c r="T82" i="31"/>
  <c r="T83" i="31"/>
  <c r="T84" i="31"/>
  <c r="T85" i="31"/>
  <c r="T86" i="31"/>
  <c r="T87" i="31"/>
  <c r="T88" i="31"/>
  <c r="T89" i="31"/>
  <c r="T90" i="31"/>
  <c r="T91" i="31"/>
  <c r="T94" i="31"/>
  <c r="T95" i="31"/>
  <c r="T96" i="31"/>
  <c r="T97" i="31"/>
  <c r="T98" i="31"/>
  <c r="T99" i="31"/>
  <c r="T100" i="31"/>
  <c r="T137" i="31"/>
  <c r="T138" i="31"/>
  <c r="T140" i="31"/>
  <c r="T141" i="31"/>
  <c r="T143" i="31"/>
  <c r="T195" i="31"/>
  <c r="T196" i="31"/>
  <c r="T197" i="31"/>
  <c r="T198" i="31"/>
  <c r="T199" i="31"/>
  <c r="T200" i="31"/>
  <c r="T202" i="31"/>
  <c r="T203" i="31"/>
  <c r="T204" i="31"/>
  <c r="T205" i="31"/>
  <c r="T206" i="31"/>
  <c r="T208" i="31"/>
  <c r="T209" i="31"/>
  <c r="T210" i="31"/>
  <c r="T211" i="31"/>
  <c r="T212" i="31"/>
  <c r="T213" i="31"/>
  <c r="T214" i="31"/>
  <c r="T215" i="31"/>
  <c r="T216" i="31"/>
  <c r="T217" i="31"/>
  <c r="T218" i="31"/>
  <c r="T219" i="31"/>
  <c r="T220" i="31"/>
  <c r="T221" i="31"/>
  <c r="T222" i="31"/>
  <c r="T223" i="31"/>
  <c r="T224" i="31"/>
  <c r="T225" i="31"/>
  <c r="T226" i="31"/>
  <c r="T227" i="31"/>
  <c r="T228" i="31"/>
  <c r="T229" i="31"/>
  <c r="T230" i="31"/>
  <c r="T231" i="31"/>
  <c r="T232" i="31"/>
  <c r="T233" i="31"/>
  <c r="T234" i="31"/>
  <c r="T235" i="31"/>
  <c r="T236" i="31"/>
  <c r="T237" i="31"/>
  <c r="T238" i="31"/>
  <c r="T239" i="31"/>
  <c r="T240" i="31"/>
  <c r="T242" i="31"/>
  <c r="T243" i="31"/>
  <c r="T244" i="31"/>
  <c r="T245" i="31"/>
  <c r="T246" i="31"/>
  <c r="T247" i="31"/>
  <c r="T263" i="31"/>
  <c r="T264" i="31"/>
  <c r="T265" i="31"/>
  <c r="T266" i="31"/>
  <c r="T267" i="31"/>
  <c r="T268" i="31"/>
  <c r="T269" i="31"/>
  <c r="T270" i="31"/>
  <c r="T271" i="31"/>
  <c r="T272" i="31"/>
  <c r="T273" i="31"/>
  <c r="T274" i="31"/>
  <c r="T275" i="31"/>
  <c r="T276" i="31"/>
  <c r="T277" i="31"/>
  <c r="T279" i="31"/>
  <c r="T280" i="31"/>
  <c r="T281" i="31"/>
  <c r="T282" i="31"/>
  <c r="T283" i="31"/>
  <c r="T284" i="31"/>
  <c r="T285" i="31"/>
  <c r="T286" i="31"/>
  <c r="T297" i="31"/>
  <c r="T298" i="31"/>
  <c r="T299" i="31"/>
  <c r="T300" i="31"/>
  <c r="T301" i="31"/>
  <c r="T302" i="31"/>
  <c r="T303" i="31"/>
  <c r="T304" i="31"/>
  <c r="T305" i="31"/>
  <c r="T306" i="31"/>
  <c r="T307" i="31"/>
  <c r="T308" i="31"/>
  <c r="T309" i="31"/>
  <c r="T310" i="31"/>
  <c r="T311" i="31"/>
  <c r="T316" i="31"/>
  <c r="T317" i="31"/>
  <c r="T318" i="31"/>
  <c r="T319" i="31"/>
  <c r="T320" i="31"/>
  <c r="T321" i="31"/>
  <c r="T322" i="31"/>
  <c r="T323" i="31"/>
  <c r="T324" i="31"/>
  <c r="T325" i="31"/>
  <c r="T326" i="31"/>
  <c r="T327" i="31"/>
  <c r="T328" i="31"/>
  <c r="T329" i="31"/>
  <c r="T330" i="31"/>
  <c r="T331" i="31"/>
  <c r="T332" i="31"/>
  <c r="T333" i="31"/>
  <c r="T334" i="31"/>
  <c r="T335" i="31"/>
  <c r="T336" i="31"/>
  <c r="T337" i="31"/>
  <c r="T339" i="31"/>
  <c r="T340" i="31"/>
  <c r="T341" i="31"/>
  <c r="T342" i="31"/>
  <c r="T343" i="31"/>
  <c r="T344" i="31"/>
  <c r="T345" i="31"/>
  <c r="T346" i="31"/>
  <c r="T347" i="31"/>
  <c r="T348" i="31"/>
  <c r="S14" i="31"/>
  <c r="S15" i="31"/>
  <c r="S16" i="31"/>
  <c r="S17" i="31"/>
  <c r="S18" i="31"/>
  <c r="S21" i="31"/>
  <c r="S22" i="31"/>
  <c r="S23" i="31"/>
  <c r="S24" i="31"/>
  <c r="S25" i="31"/>
  <c r="S26" i="31"/>
  <c r="S27" i="31"/>
  <c r="S28" i="31"/>
  <c r="S29" i="31"/>
  <c r="S30" i="31"/>
  <c r="S31" i="31"/>
  <c r="S46" i="31"/>
  <c r="S47" i="31"/>
  <c r="S48" i="31"/>
  <c r="S49" i="31"/>
  <c r="S50" i="31"/>
  <c r="S51" i="31"/>
  <c r="S52" i="31"/>
  <c r="S53" i="31"/>
  <c r="S55" i="31"/>
  <c r="S57" i="31"/>
  <c r="S58" i="31"/>
  <c r="S59" i="31"/>
  <c r="S60" i="31"/>
  <c r="S61" i="31"/>
  <c r="S62" i="31"/>
  <c r="S63" i="31"/>
  <c r="S64" i="31"/>
  <c r="S65" i="31"/>
  <c r="S66" i="31"/>
  <c r="S67" i="31"/>
  <c r="S68" i="31"/>
  <c r="S69" i="31"/>
  <c r="S70" i="31"/>
  <c r="S71" i="31"/>
  <c r="S72" i="31"/>
  <c r="S73" i="31"/>
  <c r="S74" i="31"/>
  <c r="S75" i="31"/>
  <c r="S76" i="31"/>
  <c r="S77" i="31"/>
  <c r="S78" i="31"/>
  <c r="S79" i="31"/>
  <c r="S80" i="31"/>
  <c r="S81" i="31"/>
  <c r="S82" i="31"/>
  <c r="S83" i="31"/>
  <c r="S84" i="31"/>
  <c r="S85" i="31"/>
  <c r="S86" i="31"/>
  <c r="S87" i="31"/>
  <c r="S88" i="31"/>
  <c r="S89" i="31"/>
  <c r="S90" i="31"/>
  <c r="S91" i="31"/>
  <c r="S94" i="31"/>
  <c r="S95" i="31"/>
  <c r="S96" i="31"/>
  <c r="S97" i="31"/>
  <c r="S98" i="31"/>
  <c r="S99" i="31"/>
  <c r="S100" i="31"/>
  <c r="S137" i="31"/>
  <c r="S138" i="31"/>
  <c r="S140" i="31"/>
  <c r="S141" i="31"/>
  <c r="S143" i="31"/>
  <c r="S195" i="31"/>
  <c r="S196" i="31"/>
  <c r="S197" i="31"/>
  <c r="S198" i="31"/>
  <c r="S199" i="31"/>
  <c r="S200" i="31"/>
  <c r="S202" i="31"/>
  <c r="S203" i="31"/>
  <c r="S204" i="31"/>
  <c r="S205" i="31"/>
  <c r="S206" i="31"/>
  <c r="S208" i="31"/>
  <c r="S209" i="31"/>
  <c r="S210" i="31"/>
  <c r="S211" i="31"/>
  <c r="S212" i="31"/>
  <c r="S213" i="31"/>
  <c r="S214" i="31"/>
  <c r="S215" i="31"/>
  <c r="S216" i="31"/>
  <c r="S217" i="31"/>
  <c r="S218" i="31"/>
  <c r="S219" i="31"/>
  <c r="S220" i="31"/>
  <c r="S221" i="31"/>
  <c r="S222" i="31"/>
  <c r="S223" i="31"/>
  <c r="S224" i="31"/>
  <c r="S225" i="31"/>
  <c r="S226" i="31"/>
  <c r="S227" i="31"/>
  <c r="S228" i="31"/>
  <c r="S229" i="31"/>
  <c r="S230" i="31"/>
  <c r="S231" i="31"/>
  <c r="S232" i="31"/>
  <c r="S233" i="31"/>
  <c r="S234" i="31"/>
  <c r="S235" i="31"/>
  <c r="S236" i="31"/>
  <c r="S237" i="31"/>
  <c r="S238" i="31"/>
  <c r="S239" i="31"/>
  <c r="S240" i="31"/>
  <c r="S242" i="31"/>
  <c r="S243" i="31"/>
  <c r="S244" i="31"/>
  <c r="S245" i="31"/>
  <c r="S246" i="31"/>
  <c r="S247" i="31"/>
  <c r="S263" i="31"/>
  <c r="S264" i="31"/>
  <c r="S265" i="31"/>
  <c r="S266" i="31"/>
  <c r="S267" i="31"/>
  <c r="S268" i="31"/>
  <c r="S269" i="31"/>
  <c r="S270" i="31"/>
  <c r="S271" i="31"/>
  <c r="S272" i="31"/>
  <c r="S273" i="31"/>
  <c r="S274" i="31"/>
  <c r="S275" i="31"/>
  <c r="S276" i="31"/>
  <c r="S277" i="31"/>
  <c r="S279" i="31"/>
  <c r="S280" i="31"/>
  <c r="S281" i="31"/>
  <c r="S282" i="31"/>
  <c r="S283" i="31"/>
  <c r="S284" i="31"/>
  <c r="S285" i="31"/>
  <c r="S286" i="31"/>
  <c r="S297" i="31"/>
  <c r="S298" i="31"/>
  <c r="S299" i="31"/>
  <c r="S300" i="31"/>
  <c r="S301" i="31"/>
  <c r="S302" i="31"/>
  <c r="S303" i="31"/>
  <c r="S304" i="31"/>
  <c r="S305" i="31"/>
  <c r="S306" i="31"/>
  <c r="S307" i="31"/>
  <c r="S308" i="31"/>
  <c r="S309" i="31"/>
  <c r="S310" i="31"/>
  <c r="S311" i="31"/>
  <c r="S316" i="31"/>
  <c r="S317" i="31"/>
  <c r="S318" i="31"/>
  <c r="S319" i="31"/>
  <c r="S320" i="31"/>
  <c r="S321" i="31"/>
  <c r="S322" i="31"/>
  <c r="S323" i="31"/>
  <c r="S324" i="31"/>
  <c r="S325" i="31"/>
  <c r="S326" i="31"/>
  <c r="S327" i="31"/>
  <c r="S328" i="31"/>
  <c r="S329" i="31"/>
  <c r="S330" i="31"/>
  <c r="S331" i="31"/>
  <c r="S332" i="31"/>
  <c r="S333" i="31"/>
  <c r="S334" i="31"/>
  <c r="S335" i="31"/>
  <c r="S336" i="31"/>
  <c r="S337" i="31"/>
  <c r="S339" i="31"/>
  <c r="S340" i="31"/>
  <c r="S341" i="31"/>
  <c r="S342" i="31"/>
  <c r="S343" i="31"/>
  <c r="S344" i="31"/>
  <c r="S345" i="31"/>
  <c r="S346" i="31"/>
  <c r="S347" i="31"/>
  <c r="S348" i="31"/>
  <c r="O31" i="31"/>
  <c r="N31" i="31"/>
  <c r="M31" i="31"/>
  <c r="L31" i="31"/>
  <c r="K31" i="31"/>
  <c r="O30" i="31"/>
  <c r="N30" i="31"/>
  <c r="M30" i="31"/>
  <c r="L30" i="31"/>
  <c r="K30" i="31"/>
  <c r="O29" i="31"/>
  <c r="N29" i="31"/>
  <c r="M29" i="31"/>
  <c r="L29" i="31"/>
  <c r="K29" i="31"/>
  <c r="O55" i="31" l="1"/>
  <c r="N55" i="31"/>
  <c r="M55" i="31"/>
  <c r="L55" i="31"/>
  <c r="O53" i="31"/>
  <c r="N53" i="31"/>
  <c r="M53" i="31"/>
  <c r="L53" i="31"/>
  <c r="O52" i="31"/>
  <c r="N52" i="31"/>
  <c r="M52" i="31"/>
  <c r="L52" i="31"/>
  <c r="O51" i="31"/>
  <c r="N51" i="31"/>
  <c r="M51" i="31"/>
  <c r="L51" i="31"/>
  <c r="O50" i="31"/>
  <c r="N50" i="31"/>
  <c r="M50" i="31"/>
  <c r="L50" i="31"/>
  <c r="O49" i="31"/>
  <c r="N49" i="31"/>
  <c r="M49" i="31"/>
  <c r="L49" i="31"/>
  <c r="O48" i="31"/>
  <c r="N48" i="31"/>
  <c r="M48" i="31"/>
  <c r="L48" i="31"/>
  <c r="O47" i="31"/>
  <c r="N47" i="31"/>
  <c r="M47" i="31"/>
  <c r="L47" i="31"/>
  <c r="O46" i="31"/>
  <c r="N46" i="31"/>
  <c r="M46" i="31"/>
  <c r="L46" i="31"/>
  <c r="O100" i="31"/>
  <c r="N100" i="31"/>
  <c r="M100" i="31"/>
  <c r="L100" i="31"/>
  <c r="O99" i="31"/>
  <c r="N99" i="31"/>
  <c r="M99" i="31"/>
  <c r="L99" i="31"/>
  <c r="O98" i="31"/>
  <c r="N98" i="31"/>
  <c r="M98" i="31"/>
  <c r="L98" i="31"/>
  <c r="O97" i="31"/>
  <c r="N97" i="31"/>
  <c r="M97" i="31"/>
  <c r="L97" i="31"/>
  <c r="O96" i="31"/>
  <c r="N96" i="31"/>
  <c r="M96" i="31"/>
  <c r="L96" i="31"/>
  <c r="O95" i="31"/>
  <c r="N95" i="31"/>
  <c r="M95" i="31"/>
  <c r="L95" i="31"/>
  <c r="O94" i="31"/>
  <c r="N94" i="31"/>
  <c r="M94" i="31"/>
  <c r="L94" i="31"/>
  <c r="O91" i="31"/>
  <c r="N91" i="31"/>
  <c r="M91" i="31"/>
  <c r="L91" i="31"/>
  <c r="O90" i="31"/>
  <c r="N90" i="31"/>
  <c r="M90" i="31"/>
  <c r="L90" i="31"/>
  <c r="O89" i="31"/>
  <c r="N89" i="31"/>
  <c r="M89" i="31"/>
  <c r="L89" i="31"/>
  <c r="O88" i="31"/>
  <c r="N88" i="31"/>
  <c r="M88" i="31"/>
  <c r="L88" i="31"/>
  <c r="O87" i="31"/>
  <c r="N87" i="31"/>
  <c r="M87" i="31"/>
  <c r="L87" i="31"/>
  <c r="O86" i="31"/>
  <c r="N86" i="31"/>
  <c r="M86" i="31"/>
  <c r="L86" i="31"/>
  <c r="O85" i="31"/>
  <c r="N85" i="31"/>
  <c r="M85" i="31"/>
  <c r="L85" i="31"/>
  <c r="O84" i="31"/>
  <c r="N84" i="31"/>
  <c r="M84" i="31"/>
  <c r="L84" i="31"/>
  <c r="O83" i="31"/>
  <c r="N83" i="31"/>
  <c r="M83" i="31"/>
  <c r="L83" i="31"/>
  <c r="O82" i="31"/>
  <c r="N82" i="31"/>
  <c r="M82" i="31"/>
  <c r="L82" i="31"/>
  <c r="O81" i="31"/>
  <c r="N81" i="31"/>
  <c r="M81" i="31"/>
  <c r="L81" i="31"/>
  <c r="O80" i="31"/>
  <c r="N80" i="31"/>
  <c r="M80" i="31"/>
  <c r="L80" i="31"/>
  <c r="O79" i="31"/>
  <c r="N79" i="31"/>
  <c r="M79" i="31"/>
  <c r="L79" i="31"/>
  <c r="O78" i="31"/>
  <c r="N78" i="31"/>
  <c r="M78" i="31"/>
  <c r="L78" i="31"/>
  <c r="O77" i="31"/>
  <c r="N77" i="31"/>
  <c r="M77" i="31"/>
  <c r="L77" i="31"/>
  <c r="O76" i="31"/>
  <c r="N76" i="31"/>
  <c r="M76" i="31"/>
  <c r="L76" i="31"/>
  <c r="O75" i="31"/>
  <c r="N75" i="31"/>
  <c r="M75" i="31"/>
  <c r="L75" i="31"/>
  <c r="O74" i="31"/>
  <c r="N74" i="31"/>
  <c r="M74" i="31"/>
  <c r="L74" i="31"/>
  <c r="K74" i="31"/>
  <c r="O73" i="31"/>
  <c r="N73" i="31"/>
  <c r="M73" i="31"/>
  <c r="L73" i="31"/>
  <c r="K73" i="31"/>
  <c r="O72" i="31"/>
  <c r="N72" i="31"/>
  <c r="M72" i="31"/>
  <c r="L72" i="31"/>
  <c r="K72" i="31"/>
  <c r="O71" i="31"/>
  <c r="N71" i="31"/>
  <c r="M71" i="31"/>
  <c r="L71" i="31"/>
  <c r="K71" i="31"/>
  <c r="O70" i="31"/>
  <c r="N70" i="31"/>
  <c r="M70" i="31"/>
  <c r="L70" i="31"/>
  <c r="K70" i="31"/>
  <c r="O69" i="31"/>
  <c r="N69" i="31"/>
  <c r="M69" i="31"/>
  <c r="L69" i="31"/>
  <c r="O68" i="31"/>
  <c r="N68" i="31"/>
  <c r="M68" i="31"/>
  <c r="L68" i="31"/>
  <c r="O67" i="31"/>
  <c r="N67" i="31"/>
  <c r="M67" i="31"/>
  <c r="L67" i="31"/>
  <c r="O66" i="31"/>
  <c r="N66" i="31"/>
  <c r="M66" i="31"/>
  <c r="L66" i="31"/>
  <c r="O65" i="31"/>
  <c r="N65" i="31"/>
  <c r="M65" i="31"/>
  <c r="L65" i="31"/>
  <c r="O64" i="31"/>
  <c r="N64" i="31"/>
  <c r="M64" i="31"/>
  <c r="L64" i="31"/>
  <c r="O63" i="31"/>
  <c r="N63" i="31"/>
  <c r="M63" i="31"/>
  <c r="L63" i="31"/>
  <c r="O62" i="31"/>
  <c r="N62" i="31"/>
  <c r="M62" i="31"/>
  <c r="L62" i="31"/>
  <c r="O61" i="31"/>
  <c r="N61" i="31"/>
  <c r="M61" i="31"/>
  <c r="L61" i="31"/>
  <c r="O60" i="31"/>
  <c r="N60" i="31"/>
  <c r="M60" i="31"/>
  <c r="L60" i="31"/>
  <c r="O59" i="31"/>
  <c r="N59" i="31"/>
  <c r="M59" i="31"/>
  <c r="L59" i="31"/>
  <c r="O58" i="31"/>
  <c r="N58" i="31"/>
  <c r="M58" i="31"/>
  <c r="L58" i="31"/>
  <c r="K58" i="31"/>
  <c r="J58" i="31"/>
  <c r="O57" i="31"/>
  <c r="N57" i="31"/>
  <c r="M57" i="31"/>
  <c r="L57" i="31"/>
  <c r="K57" i="31"/>
  <c r="O28" i="31"/>
  <c r="N28" i="31"/>
  <c r="M28" i="31"/>
  <c r="L28" i="31"/>
  <c r="K28" i="31"/>
  <c r="O27" i="31"/>
  <c r="N27" i="31"/>
  <c r="M27" i="31"/>
  <c r="L27" i="31"/>
  <c r="K27" i="31"/>
  <c r="O26" i="31"/>
  <c r="N26" i="31"/>
  <c r="M26" i="31"/>
  <c r="L26" i="31"/>
  <c r="K26" i="31"/>
  <c r="O25" i="31"/>
  <c r="N25" i="31"/>
  <c r="M25" i="31"/>
  <c r="L25" i="31"/>
  <c r="K25" i="31"/>
  <c r="O24" i="31"/>
  <c r="N24" i="31"/>
  <c r="M24" i="31"/>
  <c r="L24" i="31"/>
  <c r="K24" i="31"/>
  <c r="O23" i="31"/>
  <c r="N23" i="31"/>
  <c r="M23" i="31"/>
  <c r="L23" i="31"/>
  <c r="O22" i="31"/>
  <c r="N22" i="31"/>
  <c r="M22" i="31"/>
  <c r="L22" i="31"/>
  <c r="K22" i="31"/>
  <c r="O21" i="31"/>
  <c r="N21" i="31"/>
  <c r="M21" i="31"/>
  <c r="L21" i="31"/>
  <c r="O18" i="31"/>
  <c r="N18" i="31"/>
  <c r="M18" i="31"/>
  <c r="L18" i="31"/>
  <c r="O17" i="31"/>
  <c r="N17" i="31"/>
  <c r="M17" i="31"/>
  <c r="L17" i="31"/>
  <c r="O16" i="31"/>
  <c r="N16" i="31"/>
  <c r="M16" i="31"/>
  <c r="L16" i="31"/>
  <c r="O15" i="31"/>
  <c r="N15" i="31"/>
  <c r="M15" i="31"/>
  <c r="L15" i="31"/>
  <c r="O14" i="31"/>
  <c r="N14" i="31"/>
  <c r="M14" i="31"/>
  <c r="L14" i="31"/>
  <c r="O348" i="31" l="1"/>
  <c r="N348" i="31"/>
  <c r="M348" i="31"/>
  <c r="L348" i="31"/>
  <c r="O347" i="31"/>
  <c r="N347" i="31"/>
  <c r="M347" i="31"/>
  <c r="L347" i="31"/>
  <c r="O346" i="31"/>
  <c r="N346" i="31"/>
  <c r="M346" i="31"/>
  <c r="L346" i="31"/>
  <c r="O345" i="31"/>
  <c r="N345" i="31"/>
  <c r="M345" i="31"/>
  <c r="L345" i="31"/>
  <c r="O344" i="31"/>
  <c r="N344" i="31"/>
  <c r="M344" i="31"/>
  <c r="L344" i="31"/>
  <c r="O343" i="31"/>
  <c r="N343" i="31"/>
  <c r="M343" i="31"/>
  <c r="L343" i="31"/>
  <c r="O342" i="31"/>
  <c r="N342" i="31"/>
  <c r="M342" i="31"/>
  <c r="L342" i="31"/>
  <c r="O341" i="31"/>
  <c r="N341" i="31"/>
  <c r="M341" i="31"/>
  <c r="L341" i="31"/>
  <c r="O340" i="31"/>
  <c r="N340" i="31"/>
  <c r="M340" i="31"/>
  <c r="L340" i="31"/>
  <c r="O339" i="31"/>
  <c r="N339" i="31"/>
  <c r="M339" i="31"/>
  <c r="L339" i="31"/>
  <c r="O337" i="31"/>
  <c r="N337" i="31"/>
  <c r="M337" i="31"/>
  <c r="L337" i="31"/>
  <c r="O336" i="31"/>
  <c r="N336" i="31"/>
  <c r="M336" i="31"/>
  <c r="L336" i="31"/>
  <c r="O335" i="31"/>
  <c r="N335" i="31"/>
  <c r="M335" i="31"/>
  <c r="L335" i="31"/>
  <c r="O334" i="31"/>
  <c r="N334" i="31"/>
  <c r="M334" i="31"/>
  <c r="L334" i="31"/>
  <c r="O333" i="31"/>
  <c r="N333" i="31"/>
  <c r="M333" i="31"/>
  <c r="L333" i="31"/>
  <c r="O332" i="31"/>
  <c r="N332" i="31"/>
  <c r="M332" i="31"/>
  <c r="L332" i="31"/>
  <c r="O331" i="31"/>
  <c r="N331" i="31"/>
  <c r="M331" i="31"/>
  <c r="L331" i="31"/>
  <c r="O330" i="31"/>
  <c r="N330" i="31"/>
  <c r="M330" i="31"/>
  <c r="L330" i="31"/>
  <c r="O329" i="31"/>
  <c r="N329" i="31"/>
  <c r="M329" i="31"/>
  <c r="L329" i="31"/>
  <c r="O328" i="31"/>
  <c r="N328" i="31"/>
  <c r="M328" i="31"/>
  <c r="L328" i="31"/>
  <c r="O327" i="31"/>
  <c r="N327" i="31"/>
  <c r="M327" i="31"/>
  <c r="L327" i="31"/>
  <c r="O326" i="31"/>
  <c r="N326" i="31"/>
  <c r="M326" i="31"/>
  <c r="L326" i="31"/>
  <c r="O325" i="31"/>
  <c r="N325" i="31"/>
  <c r="M325" i="31"/>
  <c r="L325" i="31"/>
  <c r="O324" i="31"/>
  <c r="N324" i="31"/>
  <c r="M324" i="31"/>
  <c r="L324" i="31"/>
  <c r="O323" i="31"/>
  <c r="N323" i="31"/>
  <c r="M323" i="31"/>
  <c r="L323" i="31"/>
  <c r="O322" i="31"/>
  <c r="N322" i="31"/>
  <c r="M322" i="31"/>
  <c r="L322" i="31"/>
  <c r="O321" i="31"/>
  <c r="N321" i="31"/>
  <c r="M321" i="31"/>
  <c r="L321" i="31"/>
  <c r="O320" i="31"/>
  <c r="N320" i="31"/>
  <c r="M320" i="31"/>
  <c r="L320" i="31"/>
  <c r="O319" i="31"/>
  <c r="N319" i="31"/>
  <c r="M319" i="31"/>
  <c r="L319" i="31"/>
  <c r="O318" i="31"/>
  <c r="N318" i="31"/>
  <c r="M318" i="31"/>
  <c r="L318" i="31"/>
  <c r="O317" i="31"/>
  <c r="N317" i="31"/>
  <c r="M317" i="31"/>
  <c r="L317" i="31"/>
  <c r="O316" i="31"/>
  <c r="N316" i="31"/>
  <c r="M316" i="31"/>
  <c r="L316" i="31"/>
  <c r="O311" i="31"/>
  <c r="N311" i="31"/>
  <c r="M311" i="31"/>
  <c r="L311" i="31"/>
  <c r="O310" i="31"/>
  <c r="N310" i="31"/>
  <c r="M310" i="31"/>
  <c r="L310" i="31"/>
  <c r="O309" i="31"/>
  <c r="N309" i="31"/>
  <c r="M309" i="31"/>
  <c r="L309" i="31"/>
  <c r="O308" i="31"/>
  <c r="N308" i="31"/>
  <c r="M308" i="31"/>
  <c r="L308" i="31"/>
  <c r="O307" i="31"/>
  <c r="N307" i="31"/>
  <c r="M307" i="31"/>
  <c r="L307" i="31"/>
  <c r="O306" i="31"/>
  <c r="N306" i="31"/>
  <c r="M306" i="31"/>
  <c r="L306" i="31"/>
  <c r="O305" i="31"/>
  <c r="N305" i="31"/>
  <c r="M305" i="31"/>
  <c r="L305" i="31"/>
  <c r="O304" i="31"/>
  <c r="N304" i="31"/>
  <c r="M304" i="31"/>
  <c r="L304" i="31"/>
  <c r="O303" i="31"/>
  <c r="N303" i="31"/>
  <c r="M303" i="31"/>
  <c r="L303" i="31"/>
  <c r="O302" i="31"/>
  <c r="N302" i="31"/>
  <c r="M302" i="31"/>
  <c r="L302" i="31"/>
  <c r="O301" i="31"/>
  <c r="N301" i="31"/>
  <c r="M301" i="31"/>
  <c r="L301" i="31"/>
  <c r="O300" i="31"/>
  <c r="N300" i="31"/>
  <c r="M300" i="31"/>
  <c r="L300" i="31"/>
  <c r="O299" i="31"/>
  <c r="N299" i="31"/>
  <c r="M299" i="31"/>
  <c r="L299" i="31"/>
  <c r="O298" i="31"/>
  <c r="N298" i="31"/>
  <c r="M298" i="31"/>
  <c r="L298" i="31"/>
  <c r="O297" i="31"/>
  <c r="N297" i="31"/>
  <c r="M297" i="31"/>
  <c r="L297" i="31"/>
  <c r="O247" i="31"/>
  <c r="N247" i="31"/>
  <c r="M247" i="31"/>
  <c r="L247" i="31"/>
  <c r="O246" i="31"/>
  <c r="N246" i="31"/>
  <c r="M246" i="31"/>
  <c r="L246" i="31"/>
  <c r="O286" i="31"/>
  <c r="N286" i="31"/>
  <c r="M286" i="31"/>
  <c r="L286" i="31"/>
  <c r="O279" i="31"/>
  <c r="N279" i="31"/>
  <c r="M279" i="31"/>
  <c r="L279" i="31"/>
  <c r="O277" i="31"/>
  <c r="N277" i="31"/>
  <c r="M277" i="31"/>
  <c r="L277" i="31"/>
  <c r="O276" i="31"/>
  <c r="N276" i="31"/>
  <c r="M276" i="31"/>
  <c r="L276" i="31"/>
  <c r="O275" i="31"/>
  <c r="N275" i="31"/>
  <c r="M275" i="31"/>
  <c r="L275" i="31"/>
  <c r="O274" i="31"/>
  <c r="N274" i="31"/>
  <c r="M274" i="31"/>
  <c r="L274" i="31"/>
  <c r="O273" i="31"/>
  <c r="N273" i="31"/>
  <c r="M273" i="31"/>
  <c r="L273" i="31"/>
  <c r="O272" i="31"/>
  <c r="N272" i="31"/>
  <c r="M272" i="31"/>
  <c r="L272" i="31"/>
  <c r="O271" i="31"/>
  <c r="N271" i="31"/>
  <c r="M271" i="31"/>
  <c r="L271" i="31"/>
  <c r="O270" i="31"/>
  <c r="N270" i="31"/>
  <c r="M270" i="31"/>
  <c r="L270" i="31"/>
  <c r="O269" i="31"/>
  <c r="N269" i="31"/>
  <c r="M269" i="31"/>
  <c r="L269" i="31"/>
  <c r="O281" i="31"/>
  <c r="N281" i="31"/>
  <c r="M281" i="31"/>
  <c r="L281" i="31"/>
  <c r="O283" i="31"/>
  <c r="N283" i="31"/>
  <c r="M283" i="31"/>
  <c r="L283" i="31"/>
  <c r="O285" i="31"/>
  <c r="N285" i="31"/>
  <c r="M285" i="31"/>
  <c r="L285" i="31"/>
  <c r="L280" i="31"/>
  <c r="M280" i="31"/>
  <c r="N280" i="31"/>
  <c r="O280" i="31"/>
  <c r="L282" i="31"/>
  <c r="M282" i="31"/>
  <c r="N282" i="31"/>
  <c r="O282" i="31"/>
  <c r="L284" i="31"/>
  <c r="M284" i="31"/>
  <c r="N284" i="31"/>
  <c r="O284" i="31"/>
  <c r="O264" i="31"/>
  <c r="O265" i="31"/>
  <c r="O266" i="31"/>
  <c r="O267" i="31"/>
  <c r="O268" i="31"/>
  <c r="O263" i="31"/>
  <c r="O242" i="31"/>
  <c r="O243" i="31"/>
  <c r="O244" i="31"/>
  <c r="O245" i="31"/>
  <c r="L264" i="31"/>
  <c r="M264" i="31"/>
  <c r="N264" i="31"/>
  <c r="L265" i="31"/>
  <c r="M265" i="31"/>
  <c r="N265" i="31"/>
  <c r="L266" i="31"/>
  <c r="M266" i="31"/>
  <c r="N266" i="31"/>
  <c r="L267" i="31"/>
  <c r="M267" i="31"/>
  <c r="N267" i="31"/>
  <c r="L268" i="31"/>
  <c r="M268" i="31"/>
  <c r="N268" i="31"/>
  <c r="N263" i="31"/>
  <c r="M263" i="31"/>
  <c r="L263" i="31"/>
  <c r="N245" i="31"/>
  <c r="M245" i="31"/>
  <c r="L245" i="31"/>
  <c r="N244" i="31"/>
  <c r="M244" i="31"/>
  <c r="L244" i="31"/>
  <c r="N243" i="31"/>
  <c r="M243" i="31"/>
  <c r="L243" i="31"/>
  <c r="N242" i="31"/>
  <c r="M242" i="31"/>
  <c r="L242" i="31"/>
  <c r="O215" i="31" l="1"/>
  <c r="N215" i="31"/>
  <c r="M215" i="31"/>
  <c r="L215" i="31"/>
  <c r="O210" i="31"/>
  <c r="N210" i="31"/>
  <c r="M210" i="31"/>
  <c r="L210" i="31"/>
  <c r="O216" i="31" l="1"/>
  <c r="N216" i="31"/>
  <c r="M216" i="31"/>
  <c r="L216" i="31"/>
  <c r="O223" i="31"/>
  <c r="N223" i="31"/>
  <c r="M223" i="31"/>
  <c r="L223" i="31"/>
  <c r="O233" i="31"/>
  <c r="N233" i="31"/>
  <c r="M233" i="31"/>
  <c r="L233" i="31"/>
  <c r="O232" i="31"/>
  <c r="N232" i="31"/>
  <c r="M232" i="31"/>
  <c r="L232" i="31"/>
  <c r="O236" i="31"/>
  <c r="N236" i="31"/>
  <c r="M236" i="31"/>
  <c r="L236" i="31"/>
  <c r="O234" i="31"/>
  <c r="N234" i="31"/>
  <c r="M234" i="31"/>
  <c r="L234" i="31"/>
  <c r="O240" i="31"/>
  <c r="N240" i="31"/>
  <c r="M240" i="31"/>
  <c r="L240" i="31"/>
  <c r="O239" i="31"/>
  <c r="N239" i="31"/>
  <c r="M239" i="31"/>
  <c r="L239" i="31"/>
  <c r="O221" i="31"/>
  <c r="N221" i="31"/>
  <c r="M221" i="31"/>
  <c r="L221" i="31"/>
  <c r="O237" i="31"/>
  <c r="N237" i="31"/>
  <c r="M237" i="31"/>
  <c r="L237" i="31"/>
  <c r="O224" i="31"/>
  <c r="N224" i="31"/>
  <c r="M224" i="31"/>
  <c r="L224" i="31"/>
  <c r="O228" i="31"/>
  <c r="N228" i="31"/>
  <c r="M228" i="31"/>
  <c r="L228" i="31"/>
  <c r="O219" i="31"/>
  <c r="N219" i="31"/>
  <c r="M219" i="31"/>
  <c r="L219" i="31"/>
  <c r="O230" i="31"/>
  <c r="N230" i="31"/>
  <c r="M230" i="31"/>
  <c r="L230" i="31"/>
  <c r="O229" i="31"/>
  <c r="N229" i="31"/>
  <c r="M229" i="31"/>
  <c r="L229" i="31"/>
  <c r="O226" i="31"/>
  <c r="N226" i="31"/>
  <c r="M226" i="31"/>
  <c r="L226" i="31"/>
  <c r="O227" i="31"/>
  <c r="N227" i="31"/>
  <c r="M227" i="31"/>
  <c r="L227" i="31"/>
  <c r="O222" i="31"/>
  <c r="N222" i="31"/>
  <c r="M222" i="31"/>
  <c r="L222" i="31"/>
  <c r="N214" i="31"/>
  <c r="N217" i="31"/>
  <c r="N218" i="31"/>
  <c r="N220" i="31"/>
  <c r="N225" i="31"/>
  <c r="N231" i="31"/>
  <c r="N235" i="31"/>
  <c r="N238" i="31"/>
  <c r="O218" i="31"/>
  <c r="O220" i="31"/>
  <c r="O225" i="31"/>
  <c r="O231" i="31"/>
  <c r="O235" i="31"/>
  <c r="O238" i="31"/>
  <c r="M238" i="31"/>
  <c r="L238" i="31"/>
  <c r="M235" i="31"/>
  <c r="L235" i="31"/>
  <c r="M231" i="31"/>
  <c r="L231" i="31"/>
  <c r="M225" i="31"/>
  <c r="L225" i="31"/>
  <c r="M220" i="31"/>
  <c r="L220" i="31"/>
  <c r="M218" i="31"/>
  <c r="L218" i="31"/>
  <c r="O198" i="31" l="1"/>
  <c r="N198" i="31"/>
  <c r="M198" i="31"/>
  <c r="L198" i="31"/>
  <c r="O197" i="31"/>
  <c r="N197" i="31"/>
  <c r="M197" i="31"/>
  <c r="L197" i="31"/>
  <c r="O199" i="31"/>
  <c r="N199" i="31"/>
  <c r="M199" i="31"/>
  <c r="L199" i="31"/>
  <c r="O200" i="31"/>
  <c r="N200" i="31"/>
  <c r="M200" i="31"/>
  <c r="L200" i="31"/>
  <c r="O202" i="31"/>
  <c r="N202" i="31"/>
  <c r="M202" i="31"/>
  <c r="L202" i="31"/>
  <c r="O195" i="31"/>
  <c r="N195" i="31"/>
  <c r="M195" i="31"/>
  <c r="L195" i="31"/>
  <c r="O205" i="31"/>
  <c r="N205" i="31"/>
  <c r="M205" i="31"/>
  <c r="L205" i="31"/>
  <c r="O204" i="31"/>
  <c r="N204" i="31"/>
  <c r="M204" i="31"/>
  <c r="L204" i="31"/>
  <c r="O217" i="31"/>
  <c r="M217" i="31"/>
  <c r="L217" i="31"/>
  <c r="O214" i="31"/>
  <c r="M214" i="31"/>
  <c r="L214" i="31"/>
  <c r="O213" i="31"/>
  <c r="N213" i="31"/>
  <c r="M213" i="31"/>
  <c r="L213" i="31"/>
  <c r="O212" i="31"/>
  <c r="N212" i="31"/>
  <c r="M212" i="31"/>
  <c r="L212" i="31"/>
  <c r="O203" i="31"/>
  <c r="N203" i="31"/>
  <c r="M203" i="31"/>
  <c r="L203" i="31"/>
  <c r="O206" i="31"/>
  <c r="N206" i="31"/>
  <c r="M206" i="31"/>
  <c r="L206" i="31"/>
  <c r="O196" i="31"/>
  <c r="N196" i="31"/>
  <c r="M196" i="31"/>
  <c r="L196" i="31"/>
  <c r="O209" i="31"/>
  <c r="N209" i="31"/>
  <c r="M209" i="31"/>
  <c r="L209" i="31"/>
  <c r="O208" i="31"/>
  <c r="N208" i="31"/>
  <c r="M208" i="31"/>
  <c r="L208" i="31"/>
  <c r="O211" i="31"/>
  <c r="N211" i="31"/>
  <c r="M211" i="31"/>
  <c r="L211" i="31"/>
  <c r="O143" i="31" l="1"/>
  <c r="N143" i="31"/>
  <c r="M143" i="31"/>
  <c r="L143" i="31"/>
  <c r="O141" i="31"/>
  <c r="N141" i="31"/>
  <c r="M141" i="31"/>
  <c r="L141" i="31"/>
  <c r="O140" i="31"/>
  <c r="N140" i="31"/>
  <c r="M140" i="31"/>
  <c r="L140" i="31"/>
  <c r="O138" i="31"/>
  <c r="N138" i="31"/>
  <c r="M138" i="31"/>
  <c r="L138" i="31"/>
  <c r="O137" i="31"/>
  <c r="N137" i="31"/>
  <c r="M137" i="31"/>
  <c r="L137" i="31"/>
  <c r="B18" i="26" l="1"/>
  <c r="B6" i="26" l="1"/>
  <c r="B5" i="26"/>
</calcChain>
</file>

<file path=xl/sharedStrings.xml><?xml version="1.0" encoding="utf-8"?>
<sst xmlns="http://schemas.openxmlformats.org/spreadsheetml/2006/main" count="34787" uniqueCount="2225">
  <si>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</si>
  <si>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</si>
  <si>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</si>
  <si>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</si>
  <si>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</si>
  <si>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</si>
  <si>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</si>
  <si>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</si>
  <si>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</si>
  <si>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</si>
  <si>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</si>
  <si>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</si>
  <si>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</si>
  <si>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</si>
  <si>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</si>
  <si>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</si>
  <si>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</si>
  <si>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</si>
  <si>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</si>
  <si>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</si>
  <si>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</si>
  <si>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</si>
  <si>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</si>
  <si>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</si>
  <si>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</si>
  <si>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</si>
  <si>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</si>
  <si>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</si>
  <si>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</si>
  <si>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</si>
  <si>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</si>
  <si>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</si>
  <si>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</si>
  <si>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</si>
  <si>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</si>
  <si>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</si>
  <si>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</si>
  <si>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</si>
  <si>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</si>
  <si>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</si>
  <si>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</si>
  <si>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</si>
  <si>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</si>
  <si>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</si>
  <si>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</si>
  <si>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</si>
  <si>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</si>
  <si>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</si>
  <si>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</si>
  <si>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</si>
  <si>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</si>
  <si>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</si>
  <si>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</si>
  <si>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</si>
  <si>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</si>
  <si>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</si>
  <si>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</si>
  <si>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</si>
  <si>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</si>
  <si>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</si>
  <si>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</si>
  <si>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</si>
  <si>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</si>
  <si>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</si>
  <si>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</si>
  <si>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</si>
  <si>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</si>
  <si>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</si>
  <si>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</si>
  <si>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</si>
  <si>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</si>
  <si>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</si>
  <si>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</si>
  <si>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</si>
  <si>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</si>
  <si>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</si>
  <si>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</si>
  <si>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</si>
  <si>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Informação</t>
  </si>
  <si>
    <t>Contêiner</t>
  </si>
  <si>
    <t>Define un contenedor de información de acuerdo con la norma NBR 19650-1.</t>
  </si>
  <si>
    <t>Infraestrutura</t>
  </si>
  <si>
    <t>descrição</t>
  </si>
  <si>
    <t>Estrutura sujeita a ação de carga em movimento, com posicionamento variável, aqui chamada de carga móvel, utilizada para transpor um obstáculo natural (rio, córrego, vale etc.).</t>
  </si>
  <si>
    <t>Perfi L padrão ABNT, engastado na estrutura, com a função de proteção lateral da pista rodoviária.</t>
  </si>
  <si>
    <t>Elemento contínuo ou vazado de proteção do pedestre na borda do passeio.</t>
  </si>
  <si>
    <t>Vias locais, em geral municipais, não pavimentadas de uma pista e de padrão técnico modesto.</t>
  </si>
  <si>
    <t>Vias locais, em geral municipais, pavimentadas de uma pista e de padrão técnico modesto.</t>
  </si>
  <si>
    <t>Faixa utilizada por veiculos.</t>
  </si>
  <si>
    <t>Veículos adaptados para funções específicas como ambulância, carro de bombeiro, transporte escolar, etc.</t>
  </si>
  <si>
    <t>Automóvel</t>
  </si>
  <si>
    <t>Camioneta</t>
  </si>
  <si>
    <t>Caminhonete</t>
  </si>
  <si>
    <t>Ônibus</t>
  </si>
  <si>
    <t>Microônibus</t>
  </si>
  <si>
    <t>Motocicleta</t>
  </si>
  <si>
    <t>Motoneta</t>
  </si>
  <si>
    <t>Triciclo</t>
  </si>
  <si>
    <t>Quadriciclo</t>
  </si>
  <si>
    <t>Reboque</t>
  </si>
  <si>
    <t>Semirreboque</t>
  </si>
  <si>
    <t>Veículo.Misto</t>
  </si>
  <si>
    <t>Veículo.Especial</t>
  </si>
  <si>
    <t>Estrada</t>
  </si>
  <si>
    <t>"Catálogo de elementos de infrestrutura de estradas."</t>
  </si>
  <si>
    <t>Sandero</t>
  </si>
  <si>
    <t>"Carro da Reanult modelo Sandero."</t>
  </si>
  <si>
    <t>Faixa.de.Rolamento</t>
  </si>
  <si>
    <t>Elemento com altura superior a 1,5 m, engastado na superestrutura que funciona para evitar a queda do veículo da ponte ou viaduto sobre vias metroviárias e ferroviárias.</t>
  </si>
  <si>
    <t>Meio.Fio</t>
  </si>
  <si>
    <t>Elemento que separa a pista de rolamento dos veículos do passeio de pedestres com altura inferior a 35 cm.</t>
  </si>
  <si>
    <t>Ponte</t>
  </si>
  <si>
    <t>Viaduto</t>
  </si>
  <si>
    <t>Estrutura elevada para que os veículos possam transpor um obstáculo artificial como uma avenida, rodovia etc.</t>
  </si>
  <si>
    <t>Estrutura elevada e longilínea, destinada a que os pedestres possam transpor obstáculos naturais e/ou artificiais. Exclusivamente para pedestres e/ou ciclistas.</t>
  </si>
  <si>
    <t>Edificações com qualquer planta, de vários andares, com rampas de acesso ou elevadores destinados ao estacionamento de veículos leves, para circulação em baixa velocidade.</t>
  </si>
  <si>
    <t>Estrada.Vicinal</t>
  </si>
  <si>
    <t>Rodovia.Vicinal</t>
  </si>
  <si>
    <t>Calçada</t>
  </si>
  <si>
    <t>Parte da via pública destinada ao trânsito de pedestres posicionada ao lado das faixas de rolamento. Para o projeto pode ser consultado o Caderno Calçadas Cariocas e a Norma NBR 9050, que trata da acessibilidade em espaços urbanos.</t>
  </si>
  <si>
    <t>Ciclovia</t>
  </si>
  <si>
    <t>Via exclusiva para circulação de bicicletas, separada fisicamente das faixas de veículos motorizados.</t>
  </si>
  <si>
    <t>Ciclofaixa</t>
  </si>
  <si>
    <t>Faixa para ciclistas integrada à faixa de rolamento e delimitapa por faixa pintada no asfalto. É menos segura que a cliclovia.</t>
  </si>
  <si>
    <t>Viela.Urbana</t>
  </si>
  <si>
    <t>Rua.Coletora.Urbana</t>
  </si>
  <si>
    <t>Rua.Local.Urbana</t>
  </si>
  <si>
    <t>Avenida.Expressa</t>
  </si>
  <si>
    <t>Avenida.Arterial</t>
  </si>
  <si>
    <t>Vias urbana pavimentadas de uma pista com largura de 6 a 9 metros.</t>
  </si>
  <si>
    <t>Vias urbana pavimentadas de uma ou duas pista com larguras de 12 a 18  metros.</t>
  </si>
  <si>
    <t>Vias urbanas pavimentadas de grande fluxo de veículos e transporte público com largura de 20 a 30 metros.</t>
  </si>
  <si>
    <t>Vias urbanas de alta velocidade com separação de faixas de 30 a 60 metros.</t>
  </si>
  <si>
    <t xml:space="preserve">Vias urbana pavimentadas de uma pista com largura de 9 a 12 metros. </t>
  </si>
  <si>
    <t>ClasseIFC</t>
  </si>
  <si>
    <t>CategoriaRvt</t>
  </si>
  <si>
    <t>OAE.Aparelho.Apóio</t>
  </si>
  <si>
    <t>OAE.Estaca</t>
  </si>
  <si>
    <t>OAE.Fundação</t>
  </si>
  <si>
    <t>OAE.Encontro</t>
  </si>
  <si>
    <t>OAE.Pilone</t>
  </si>
  <si>
    <t>OAE.Arco</t>
  </si>
  <si>
    <t>OAE.Torre</t>
  </si>
  <si>
    <t>OAE.Mastro</t>
  </si>
  <si>
    <t>OAE.Tabuleiro</t>
  </si>
  <si>
    <t>OAE.Estai</t>
  </si>
  <si>
    <t>OAE.Longarina.de.Bordo</t>
  </si>
  <si>
    <t>OAE.Longarina.Interna</t>
  </si>
  <si>
    <t>OAE.Transversina</t>
  </si>
  <si>
    <t>OAE.Contraventamento</t>
  </si>
  <si>
    <t>OAE.Diafragma</t>
  </si>
  <si>
    <t>OAE.Treliça</t>
  </si>
  <si>
    <t>OAE.Defesa</t>
  </si>
  <si>
    <t>OAE.Rolamento</t>
  </si>
  <si>
    <t>OAE.Leito</t>
  </si>
  <si>
    <t>OAE.Junta</t>
  </si>
  <si>
    <t>OAE.Drenagem</t>
  </si>
  <si>
    <t>OAE.Sinalização</t>
  </si>
  <si>
    <t>OAE.Iluminação</t>
  </si>
  <si>
    <t>Parte de uma Obra de Arte Especial: Tipo de elemento estrutural geralmente utilizado para transmitir as cargas do tabuleiro para o pilone.</t>
  </si>
  <si>
    <t>Parte de uma Obra de Arte Especial: Estacas de fundação da ponte.</t>
  </si>
  <si>
    <t>Parte de uma Obra de Arte Especial: Blocos de fundação da ponte.</t>
  </si>
  <si>
    <t xml:space="preserve">Parte de uma Obra de Arte Especial: Estrutura de encontro entre a rede viaria e as cabeceiras da ponte. </t>
  </si>
  <si>
    <t>Parte de uma Obra de Arte Especial: Pilares de sustentação do tabuleiro também denominados Cais.</t>
  </si>
  <si>
    <t>Parte de uma Obra de Arte Especial: Estrutura de concreto em arco para sustentação da ponte.</t>
  </si>
  <si>
    <t>Parte de uma Obra de Arte Especial: Estrutura vertical de concreto acima do tabuleiro para sustentação dos cabos da ponte.</t>
  </si>
  <si>
    <t>Parte de uma Obra de Arte Especial: Estrutura vertical metálica acima do tabuleiro para sustentação dos cabos da ponte.</t>
  </si>
  <si>
    <t>Parte de uma Obra de Arte Especial: Segmentos do tabuleiro da ponte. os segmentoss podem ser separados por juntas de construção ou de dilatação.</t>
  </si>
  <si>
    <t>Parte de uma Obra de Arte Especial: Cabos de sustentação de uma ponte estaiada.</t>
  </si>
  <si>
    <t>Parte de uma Obra de Arte Especial: Vigas principais no sentido longitudinal no bordo da ponte.</t>
  </si>
  <si>
    <t>Parte de uma Obra de Arte Especial: Vigas principais no sentido longitudinal internas da ponte.</t>
  </si>
  <si>
    <t>Parte de uma Obra de Arte Especial: Vigas no sentido transversal da ponte.</t>
  </si>
  <si>
    <t>Parte de uma Obra de Arte Especial: Contraventamento da ponte.</t>
  </si>
  <si>
    <t>Parte de uma Obra de Arte Especial: Paredes no sentido transversal da ponte.</t>
  </si>
  <si>
    <t>Parte de uma Obra de Arte Especial: Elemento de defesa estrutural da obra de Arte Especial.</t>
  </si>
  <si>
    <t>Parte de uma Obra de Arte Especial: Camada de asfalto da faixa de rolamento do tabuleiro.</t>
  </si>
  <si>
    <t>Parte de uma Obra de Arte Especial: Camada de contrapiso da faixa de rolamento do tabuleiro.</t>
  </si>
  <si>
    <t>Parte de uma Obra de Arte Especial: Junta de dilatação viária do tabuleiro.</t>
  </si>
  <si>
    <t>Parte de uma Obra de Arte Especial: Elemento de drenagem d'água na ponte.</t>
  </si>
  <si>
    <t>Parte de uma Obra de Arte Especial: Elemento de sinalização tipo placas de informação.</t>
  </si>
  <si>
    <t>Parte de uma Obra de Arte Especial: Elemento de iluminação tipo poste de luz.</t>
  </si>
  <si>
    <t>Passagem subterrânea que permite o deslocamento de pessoas, veículos ou trens através de obstáculos naturais ou urbanos.</t>
  </si>
  <si>
    <t>Bicicleta</t>
  </si>
  <si>
    <t>Veículo aberto e motorizado de duas rodas.</t>
  </si>
  <si>
    <t>Veículo aberto e motorizado de três rodas.</t>
  </si>
  <si>
    <t>Veículo aberto e motorizado de quatro rodas.</t>
  </si>
  <si>
    <t>Veículo que transporta cargas e passageiros simultaneamente.</t>
  </si>
  <si>
    <t>Veículo não motorizado acoplado a outro.</t>
  </si>
  <si>
    <t>Veículo aberto de duas rodas alinhadas, movido pelo esforço do próprio usuário por meio de pedais.</t>
  </si>
  <si>
    <t>Caminhão.Baú</t>
  </si>
  <si>
    <t>Caminhão.Tanque</t>
  </si>
  <si>
    <t>Caminhão.Caçamba</t>
  </si>
  <si>
    <t>Caminhão.BiTrem</t>
  </si>
  <si>
    <t>Caminhão.Carroceria</t>
  </si>
  <si>
    <t>Caminhão.Graneleiro</t>
  </si>
  <si>
    <t>Veículo de carga com capacidade elevada para transportar fluídos ou combustíveis.</t>
  </si>
  <si>
    <t>Veículo de carga com estrutura aberta ou semiaberta na parte traseira.</t>
  </si>
  <si>
    <t>Veículo de carga utilizado para transporte de grãos.</t>
  </si>
  <si>
    <t>Caminhão.Frigorífico</t>
  </si>
  <si>
    <t>Veículo de carga de produtos com capacidade elevada com caixa fechada.</t>
  </si>
  <si>
    <t>Veículo de carga com capacidade elevada com dois reboques (ou semirreboques) acoplados ao caminhão-trator.</t>
  </si>
  <si>
    <t>Veículo de carga com capacidade elevada para transportar e descarregar materiais a granel, como areia, brita, terra, entulho ou cascalho. A caçamba pode ser basculante.</t>
  </si>
  <si>
    <t>Veículo de carga utilizado para transportar cargas que precisam ser mantidas em temperaturas controladas. Essencial para garantir a cadeia do frio.</t>
  </si>
  <si>
    <t>Vehículo ligero para transportar hasta 5 pasajeros.</t>
  </si>
  <si>
    <t>Similar al coche, pero con un compartimento de carga.</t>
  </si>
  <si>
    <t>Vehículo mixto con cabina y cubo.</t>
  </si>
  <si>
    <t>Vehículo de carga de productos de alta capacidad con carrocería cerrada.</t>
  </si>
  <si>
    <t>Vehículo de carga con una alta capacidad para transportar fluidos o combustibles.</t>
  </si>
  <si>
    <t>Vehículo de carga con alta capacidad para transportar y descargar materiales a granel como arena, grava, tierra, escombros o grava. El cubo se puede volcar.</t>
  </si>
  <si>
    <t>Vehículo de carga de alta capacidad con dos remolques (o semirremolques) unidos al camión tractor.</t>
  </si>
  <si>
    <t>Vehículo de carga con estructura abierta o semiabierta en la parte trasera.</t>
  </si>
  <si>
    <t>Vehículo de carga utilizado para transportar granos.</t>
  </si>
  <si>
    <t>Vehículo de carga utilizado para transportar carga que necesita mantenerse a temperaturas controladas. Imprescindible para asegurar la cadena de frío.</t>
  </si>
  <si>
    <t>Vehículo abierto y motorizado de dos ruedas.</t>
  </si>
  <si>
    <t>Vehículo abierto y motorizado de tres ruedas.</t>
  </si>
  <si>
    <t>Vehículo abierto y motorizado de cuatro ruedas.</t>
  </si>
  <si>
    <t>Vehículo no motorizado acoplado a otro.</t>
  </si>
  <si>
    <t>Vehículo que transporta carga y pasajeros simultáneamente.</t>
  </si>
  <si>
    <t>Vehículos adaptados para funciones específicas como ambulancia, camión de bomberos, transporte escolar, etc.</t>
  </si>
  <si>
    <t>Carreteras locales, generalmente municipales, sin pavimentar con un carril y de modesto nivel técnico.</t>
  </si>
  <si>
    <t>Carreteras locales, generalmente municipales, pavimentadas con un solo carril y de modesto nivel técnico.</t>
  </si>
  <si>
    <t>Vías urbanas pavimentadas de un carril con un ancho de 6 a 9 metros.</t>
  </si>
  <si>
    <t>Vías urbanas pavimentadas de un carril con un ancho de 9 a 12 metros.</t>
  </si>
  <si>
    <t>Vías urbanas pavimentadas de uno o dos carriles con anchos de 12 a 18 metros.</t>
  </si>
  <si>
    <t>Vías urbanas pavimentadas con un gran flujo de vehículos y transporte público con un ancho de 20 a 30 metros.</t>
  </si>
  <si>
    <t>Vías urbanas de alta velocidad con separación de carriles de 30 a 60 metros.</t>
  </si>
  <si>
    <t>Carril utilizado por vehículos.</t>
  </si>
  <si>
    <t>Elemento que separa la calzada de los vehículos de acera peatonal con una altura inferior a 35 cm.</t>
  </si>
  <si>
    <t>Parte de la vía pública destinada al tráfico peatonal colocada junto a los carriles. Para el proyecto se puede consultar el Cuaderno de Aceras Carioca y la Norma NBR 9050, que trata sobre la accesibilidad en espacios urbanos.</t>
  </si>
  <si>
    <t>Carril para ciclistas integrado en el carril y delimitado por un carril pintado sobre el asfalto. Es menos seguro que la ciclovia.</t>
  </si>
  <si>
    <t>Carril exclusivo para la circulación de bicicletas, separado físicamente de los carriles para vehículos motorizados.</t>
  </si>
  <si>
    <t>Perfil estándar ABNT, empotrado en la estructura, con la función de protección lateral del carril de carretera.</t>
  </si>
  <si>
    <t>Elemento continuo o hueco de protección peatonal en el borde de la acera.</t>
  </si>
  <si>
    <t>Estructura sometida a la acción de la carga en movimiento, con posicionamiento variable, aquí llamada carga móvil, utilizada para superar un obstáculo natural (río, arroyo, valle, etc.).</t>
  </si>
  <si>
    <t>Estructura elevada para que los vehículos puedan superar un obstáculo artificial como una avenida, autopista, etc.</t>
  </si>
  <si>
    <t>Estructura elevada y alargada, destinada a que los peatones superen obstáculos naturales y/o artificiales. Exclusivo para peatones y/o ciclistas.</t>
  </si>
  <si>
    <t>Edificios de cualquier planta, de varias plantas, con rampas de acceso o ascensores destinados al estacionamiento de vehículos ligeros, para la circulación a baja velocidad.</t>
  </si>
  <si>
    <t>Parte de una obra de arte especial: Un tipo de elemento estructural generalmente utilizado para transmitir las cargas desde la plataforma hasta el pilón.</t>
  </si>
  <si>
    <t>Parte de una obra de arte especial: pilotes de cimentación de puentes.</t>
  </si>
  <si>
    <t>Parte de una obra de arte especial: bloques de cimentación de puentes.</t>
  </si>
  <si>
    <t>Parte de una obra de arte especial: Estructura donde la red de carreteras se encuentra con las cabezas de los puentes.</t>
  </si>
  <si>
    <t>Parte de una obra de arte especial: pilares que sostienen la cubierta también llamada muelle.</t>
  </si>
  <si>
    <t>Parte de una obra de arte especial: estructura de hormigón arqueada para soportar el puente.</t>
  </si>
  <si>
    <t>Parte de una obra de arte especial: Estructura vertical de hormigón sobre el tablero para soportar los cables del puente.</t>
  </si>
  <si>
    <t>Parte de una obra de arte especial: Estructura metálica vertical sobre el tablero para soportar los cables del puente.</t>
  </si>
  <si>
    <t>Parte de una obra de arte especial: Segmentos del tablero del puente. Los segmentos se pueden separar mediante juntas de construcción o de dilatación.</t>
  </si>
  <si>
    <t>Parte de una obra de arte especial: Cables de soporte de un puente atirantado.</t>
  </si>
  <si>
    <t>Parte de una obra de arte especial: vigas principales en dirección longitudinal en el borde del puente.</t>
  </si>
  <si>
    <t>Parte de una obra de arte especial: vigas principales en la dirección longitudinal dentro del puente.</t>
  </si>
  <si>
    <t>Parte de una obra de arte especial: vigas en la dirección transversal del puente.</t>
  </si>
  <si>
    <t>Parte de una obra de arte especial: el arriostramiento del puente.</t>
  </si>
  <si>
    <t>Parte de una obra de arte especial: Muros en la dirección transversal del puente.</t>
  </si>
  <si>
    <t>Parte de una obra de arte especial: cerchas de puentes.</t>
  </si>
  <si>
    <t>Parte de una Obra de Arte Especial: Elemento de defensa estructural de la obra de Arte Especial.</t>
  </si>
  <si>
    <t>Parte de una obra de arte especial: Capa de asfalto de la pista de la carretera de la tabla.</t>
  </si>
  <si>
    <t>Parte de una obra de arte especial: Capa de subsuelo de la calzada del tablero.</t>
  </si>
  <si>
    <t>Parte de una obra de arte especial: Junta de expansión de carretera de la plataforma.</t>
  </si>
  <si>
    <t>Parte de una obra de arte especial: elemento de drenaje de agua en el puente.</t>
  </si>
  <si>
    <t>Parte de una obra de arte especial: placas de información tipo elemento de señalización.</t>
  </si>
  <si>
    <t>Parte de una obra de arte especial: elemento de iluminación similar a una farola.</t>
  </si>
  <si>
    <t>Contenção.Perfil</t>
  </si>
  <si>
    <t>Contenção.Cortina</t>
  </si>
  <si>
    <t>Contenção.Guardacorpo</t>
  </si>
  <si>
    <t>Contenção.GuardaRail</t>
  </si>
  <si>
    <t>Elemento contínuo de proteção lateral na borda da estrada de alta velocidade.</t>
  </si>
  <si>
    <t>Elemento con una altura superior a 1,5 m, empotrado en la superestructura que funciona para evitar que el vehículo caiga del puente o viaducto sobre las vías del metro y del ferrocarril.</t>
  </si>
  <si>
    <t>Caminhão.Trator</t>
  </si>
  <si>
    <t>Veículo com cabine e motor para tracionar semirreboques formando um conjunto articulado.</t>
  </si>
  <si>
    <t>Vehículo con cabina y motor para traccionar semirremolques formando un conjunto articulado.</t>
  </si>
  <si>
    <t>Túnel.Terrestre</t>
  </si>
  <si>
    <t>Túnel.Acuático</t>
  </si>
  <si>
    <t>Passagem subfluvial ou marítima que permite o deslocamento de pessoas, veículos ou trens.</t>
  </si>
  <si>
    <t>Paso subterráneo que permite que las personas, los vehículos o los trenes se muevan a través de obstáculos naturales o urbanos.</t>
  </si>
  <si>
    <t>Paso subfluvial o marítimo que permita el movimiento de personas, vehículos o trenes.</t>
  </si>
  <si>
    <t>Ferrovia que conecta ferrovias entre si ou a localidades específicas.</t>
  </si>
  <si>
    <t>Ferrovia que cruza um país no sentido Norte-Sul.</t>
  </si>
  <si>
    <t>Ferrovia que cruza um país no sentido Leste-Oeste.</t>
  </si>
  <si>
    <t>Ferrovia que cruza um país com orientação nordeste-sudoeste ou noroeste-sudeste.</t>
  </si>
  <si>
    <t>Pode se referir à borda cortante ou perfil do trilho, usado em contextos técnicos.</t>
  </si>
  <si>
    <t>Trilho adicional colocado ao lado do trilho principal em curvas fechadas para evitar descarrilamento.</t>
  </si>
  <si>
    <t>Similar ao checkrail, protege contra descarrilamentos, especialmente em pontes e cruzamentos.</t>
  </si>
  <si>
    <t>Usado em ferrovias de cremalheira, onde locomotivas sobem inclinações íngremes com engrenagens.</t>
  </si>
  <si>
    <t>Trilho</t>
  </si>
  <si>
    <t>O componente básico da ferrovia sobre o qual os trens circulam.</t>
  </si>
  <si>
    <t>Parte do trilho que permanece fixa em aparelhos de mudança de via (AMV), contra a qual o trilho móvel se apoia.</t>
  </si>
  <si>
    <t>Trilho.Fixo</t>
  </si>
  <si>
    <t>Trilho.Dentado</t>
  </si>
  <si>
    <t>Trilho.Lâmina</t>
  </si>
  <si>
    <t>Ferrovia.Radial</t>
  </si>
  <si>
    <t>Ferrovia.NS</t>
  </si>
  <si>
    <t>Ferrovia.EW</t>
  </si>
  <si>
    <t>Ferrovia.Diagonal</t>
  </si>
  <si>
    <t>Ferrovia.Ligação</t>
  </si>
  <si>
    <t>Trecho com juntas especiais para acomodar a expansão térmica dos trilhos.</t>
  </si>
  <si>
    <t>Elementos como postes, sinais, caixas de controle ao lado dos trilhos.</t>
  </si>
  <si>
    <t>Trecho reto e contínuo da ferrovia, sem aparelhos de mudança de via.</t>
  </si>
  <si>
    <t>Base da ferrovia: inclui o leito, lastro e fundações que sustentam os trilhos.</t>
  </si>
  <si>
    <t>Conjunto completo de trilhos, dormentes, fixações e base.</t>
  </si>
  <si>
    <t>Elementos individuais que compõem a via férrea, como trilhos e dormentes.</t>
  </si>
  <si>
    <t>Trecho que permite ao trem mudar de trilho, como em cruzamentos ou desvios.</t>
  </si>
  <si>
    <t>Equipamento que impede o movimento de trens em determinadas condições.</t>
  </si>
  <si>
    <t>Dispositivo de segurança que força o trem a sair dos trilhos em caso de emergência.</t>
  </si>
  <si>
    <t>Peça metálica onde os trilhos se cruzam em aparelhos de mudança de via.</t>
  </si>
  <si>
    <t>Peça transversal que sustenta os trilhos e distribui a carga ao lastro.</t>
  </si>
  <si>
    <t>Equipamento que controla a velocidade dos trens, geralmente via sinalização.</t>
  </si>
  <si>
    <t>Ponto final de um trecho ferroviário, onde termina o traçado.</t>
  </si>
  <si>
    <t>Dispositivo físico que impede o movimento além de um ponto seguro.</t>
  </si>
  <si>
    <t>Partes aéreas da ferrovia, como sinalizadores, eletrificação dos fios ferroviários, etc.</t>
  </si>
  <si>
    <t>Trilho.AMV</t>
  </si>
  <si>
    <t>Trilho.Descarrilador</t>
  </si>
  <si>
    <t>Trilho.Dormente</t>
  </si>
  <si>
    <t>Trilho.Cruz</t>
  </si>
  <si>
    <t>Trilho.Bloqueador</t>
  </si>
  <si>
    <t>Trilho.Lâmina.Desviadora</t>
  </si>
  <si>
    <t>Ferrovia.Simples</t>
  </si>
  <si>
    <t>Ferrovia.Completa</t>
  </si>
  <si>
    <t>Ferrovia.Subestrutura</t>
  </si>
  <si>
    <t>Ferrovia.Superestrutura</t>
  </si>
  <si>
    <t>Ferrovia.Aerea</t>
  </si>
  <si>
    <t>Ferrovia.Dilatação</t>
  </si>
  <si>
    <t>Vagão.Metro</t>
  </si>
  <si>
    <t>Locomotiva</t>
  </si>
  <si>
    <t>Vagão.Carga</t>
  </si>
  <si>
    <t>Vagão.Passageiro</t>
  </si>
  <si>
    <t>Veículo pesado para rodar sobre trilhos que puxa ou empurra vagões ferroviários. Podem ser elétricas, diesel-elétricas ou a vapor.</t>
  </si>
  <si>
    <t>Veículo pesado para rodar sobre trilhos para transportar mercadorias (grãos, minérios, combustíveis, contêineres).</t>
  </si>
  <si>
    <t>Veículo pesado para rodar sobre trilhos para transportar pessoas, podem ser equipados com banheiros e instalações especiais.</t>
  </si>
  <si>
    <t>Veículo pesado para rodar sobre trilhos para transportar pessoas em entornos urbanos.</t>
  </si>
  <si>
    <t>Vagão.Dormitório</t>
  </si>
  <si>
    <t>Veículo pesado para rodar sobre trilhos para transportar pessoas preparado com instalações para dormir.</t>
  </si>
  <si>
    <t>Ferrovia.Componente</t>
  </si>
  <si>
    <t>Elemento de protección lateral continuo en el borde de la carretera de alta velocidad.</t>
  </si>
  <si>
    <t>Un vehículo ferroviario pesado que tira o empuja vagones de ferrocarril. Pueden ser eléctricos, diésel-eléctricos o de vapor.</t>
  </si>
  <si>
    <t>Vehículo pesado para circular sobre raíles para transportar mercancías (granos, minerales, combustibles, contenedores).</t>
  </si>
  <si>
    <t>Los vehículos pesados para circular sobre raíles para transportar personas, pueden equiparse con aseos e instalaciones especiales.</t>
  </si>
  <si>
    <t>Vehículo ferroviario pesado para transportar personas preparadas con instalaciones para dormir.</t>
  </si>
  <si>
    <t>Vehículo pesado para circular sobre raíles para el transporte de personas en entornos urbanos.</t>
  </si>
  <si>
    <t>Un ferrocarril que cruza un país en dirección Norte-Sur.</t>
  </si>
  <si>
    <t>Un ferrocarril que cruza un país en dirección Este-Oeste.</t>
  </si>
  <si>
    <t>Un ferrocarril que cruza un país con orientación noreste-suroeste o noroeste-sureste.</t>
  </si>
  <si>
    <t>Un ferrocarril que conecta los ferrocarriles entre sí o con localidades específicas.</t>
  </si>
  <si>
    <t>El componente básico del ferrocarril por el que circulan los trenes.</t>
  </si>
  <si>
    <t>Puede referirse al filo o perfil del riel, utilizado en contextos técnicos.</t>
  </si>
  <si>
    <t>Rieles adicionales colocados junto al riel principal en giros bruscos para evitar descarrilamientos.</t>
  </si>
  <si>
    <t>Al igual que el control de velocidad, protege contra descarrilamientos, especialmente en puentes y cruces.</t>
  </si>
  <si>
    <t>Se utiliza en ferrocarriles de cremallera, donde las locomotoras suben pendientes pronunciadas con engranajes.</t>
  </si>
  <si>
    <t>Parte del carril que permanece fijo en los desvíos, contra el que descansa el carril móvil.</t>
  </si>
  <si>
    <t>Una sección que permite que el tren cambie de vía, como en cruces o desvíos.</t>
  </si>
  <si>
    <t>Equipos que impiden la circulación de trenes bajo ciertas condiciones.</t>
  </si>
  <si>
    <t>Dispositivo de seguridad que obliga al tren a salirse de las vías en caso de emergencia.</t>
  </si>
  <si>
    <t>Pieza metálica donde los rieles se cruzan en los desvíos.</t>
  </si>
  <si>
    <t>Pieza transversal que soporta los rieles y distribuye la carga al balasto.</t>
  </si>
  <si>
    <t>Equipos que controlan la velocidad de los trenes, generalmente a través de la señalización.</t>
  </si>
  <si>
    <t>Punto final de un tramo ferroviario, donde termina la ruta.</t>
  </si>
  <si>
    <t>Un dispositivo físico que impide el movimiento más allá de un punto seguro.</t>
  </si>
  <si>
    <t>Partes aéreas del ferrocarril, como señalizadores, electrificación de cables ferroviarios, etc.</t>
  </si>
  <si>
    <t>Elementos como postes, señales, cajas de control junto a los rieles.</t>
  </si>
  <si>
    <t>Base de ferrocarril: incluye la cama, el balasto y los cimientos que soportan las vías.</t>
  </si>
  <si>
    <t>Tramo recto y continuo del ferrocarril, sin desvíos ni desvíos.</t>
  </si>
  <si>
    <t>Sección con juntas especiales para acomodar la expansión térmica de los rieles.</t>
  </si>
  <si>
    <t>Elementos individuales que componen el ferrocarril, como rieles y durmientes.</t>
  </si>
  <si>
    <t>Juego completo de rieles, durmientes, fijaciones y base.</t>
  </si>
  <si>
    <t>Trilho.Batente.Veícular</t>
  </si>
  <si>
    <t>Trilho.Batente.Via</t>
  </si>
  <si>
    <t>Ferrovia urbana. Geralmente subterrânea, mas pode ter trechos no nível urbano.</t>
  </si>
  <si>
    <t>Ferrocarril urbano. Generalmente bajo tierra, pero puede tener tramos a nivel urbano.</t>
  </si>
  <si>
    <t>Monotrilho</t>
  </si>
  <si>
    <t>Sistema ferroviário em que os veículos circulam sobre um único trilho elevado que serve tanto de guia quanto de suporte estrutural.</t>
  </si>
  <si>
    <t>Un sistema ferroviario en el que los vehículos circulan sobre un solo carril elevado que sirve de guía y de soporte estructural.</t>
  </si>
  <si>
    <t>Vagão.Monotrilho</t>
  </si>
  <si>
    <t>Veículo de obra tipo trator.</t>
  </si>
  <si>
    <t>Veículo de obra tipo escavadeira hidráulica.</t>
  </si>
  <si>
    <t>Veículo de obra tipo retroescavadeira.</t>
  </si>
  <si>
    <t>Veículo de obra tipo motoniveladora.</t>
  </si>
  <si>
    <t>Vehículo de construcción tipo tractor.</t>
  </si>
  <si>
    <t>Vehículo de construcción tipo excavadora hidráulica.</t>
  </si>
  <si>
    <t>Vehículo de trabajo tipo retroexcavadora.</t>
  </si>
  <si>
    <t>Vehículo de trabajo tipo motoniveladora.</t>
  </si>
  <si>
    <t>Ferrovia que parte de uma cidade capital em direção aos extremos do país.</t>
  </si>
  <si>
    <t>Ferrocarril que parte de una ciudad capital hacia los extremos del país.</t>
  </si>
  <si>
    <t>Portuária</t>
  </si>
  <si>
    <t>Petroleiro</t>
  </si>
  <si>
    <t>Navio de carga de petróleo bruto.</t>
  </si>
  <si>
    <t>Buque de carga de petróleo crudo.</t>
  </si>
  <si>
    <t>Cargueiro</t>
  </si>
  <si>
    <t>Navio de carga seca geral.</t>
  </si>
  <si>
    <t>Buque de carga seca general.</t>
  </si>
  <si>
    <t>Handysize</t>
  </si>
  <si>
    <t>Navio de carga seca geral como grãos, cimento e aço, acessam portos pequenos com infraestrutura limitada.</t>
  </si>
  <si>
    <t>Los buques de carga seca general como granos, cemento y acero, acceden a puertos pequeños con infraestructura limitada.</t>
  </si>
  <si>
    <t>Handymax</t>
  </si>
  <si>
    <t>Navio de cargas variadas, equipados com guindastes próprios, ideais para portos menores.</t>
  </si>
  <si>
    <t>Buque de cargas variadas, equipado con grúas propias, ideal para puertos más pequeños.</t>
  </si>
  <si>
    <t>Supramax</t>
  </si>
  <si>
    <t>Navio de carga seca como carvão e fertilizantes, semelhantes ao Handymax, mas com maior capacidade.</t>
  </si>
  <si>
    <t>Barco de carga seca como carbón y fertilizante, similar al Handymax pero con mayor capacidad.</t>
  </si>
  <si>
    <t>Panamax</t>
  </si>
  <si>
    <t>Navio de carga de grãos, carvão e petróleo, projetados para transitar pelo Canal do Panamá.</t>
  </si>
  <si>
    <t>Buque de carga de granos, carbón y petróleo, diseñado para transitar por el Canal de Panamá.</t>
  </si>
  <si>
    <t>Neopanamax</t>
  </si>
  <si>
    <t>Navio de carga geral e contêineres. Adaptados às novas eclusas do Canal do Panamá.</t>
  </si>
  <si>
    <t>Buque de carga general y contenedores. Adaptado a las nuevas esclusas del Canal de Panamá.</t>
  </si>
  <si>
    <t>Aframax</t>
  </si>
  <si>
    <t>Navio de carga de petróleo bruto, de médio porte para rotas curtas e médias.</t>
  </si>
  <si>
    <t>Buque de carga de crudo, de tamaño mediano para rutas cortas y medianas.</t>
  </si>
  <si>
    <t>Suezmax</t>
  </si>
  <si>
    <t>Navio de carga de petróleo bruto, projetados para o Canal de Suez.</t>
  </si>
  <si>
    <t>Buque de carga de petróleo crudo, diseñado para el Canal de Suez.</t>
  </si>
  <si>
    <t>Capesize</t>
  </si>
  <si>
    <t>Navio de carga de minério de ferro e carvão por rotas via Cabo da Boa Esperança ou Cabo Horn, pois são grandes demais para os canais de Suez e Panamá.</t>
  </si>
  <si>
    <t>Buque de carga de mineral de hierro y carbón por rutas a través del Cabo de Buena Esperanza o el Cabo de Hornos, ya que son demasiado grandes para los canales de Suez y Panamá.</t>
  </si>
  <si>
    <t>Superpetroleiro</t>
  </si>
  <si>
    <t>Carga de petróleo bruto para rotas intercontinentais, exigem portos especializados.</t>
  </si>
  <si>
    <t>La carga de petróleo crudo para rutas intercontinentales requiere puertos especializados.</t>
  </si>
  <si>
    <t>Ultrapetroleiro</t>
  </si>
  <si>
    <t>Superpetroleiros usados em rotas entre Oriente Médio, Ásia e Europa, requerem terminais dedicados.</t>
  </si>
  <si>
    <t>Los superpetroleros utilizados en las rutas entre Oriente Medio, Asia y Europa requieren terminales dedicadas.</t>
  </si>
  <si>
    <t>Chinamax</t>
  </si>
  <si>
    <t>Carga  minério de ferro entre Brasil e China, exigem portos com infraestrutura específica.</t>
  </si>
  <si>
    <t>La carga de mineral de hierro entre Brasil y China requiere puertos con infraestructura específica.</t>
  </si>
  <si>
    <t>Cruzeiro</t>
  </si>
  <si>
    <t>Navio turístico tipo cruzeiro de passageiros.</t>
  </si>
  <si>
    <t>Crucero turístico para pasajeros.</t>
  </si>
  <si>
    <t>Militar</t>
  </si>
  <si>
    <t>Navio militar equipado com armamento o elementos bélicos.</t>
  </si>
  <si>
    <t>Buque militar o equipado con armamentos o elementos bélicos.</t>
  </si>
  <si>
    <t>Científico</t>
  </si>
  <si>
    <t xml:space="preserve">Navio de funcionalidade científica como os Hidroceanográficos, Oceânicos ou de Apoio Antártico. </t>
  </si>
  <si>
    <t xml:space="preserve">Nave de funcionalidad científica como los Hidroceanográficos, Oceánicos ou de Apoyo Antártico. </t>
  </si>
  <si>
    <t>Clipper</t>
  </si>
  <si>
    <t xml:space="preserve">Navio veleiro projetado para alta velocidade, com casco estreito e três mastros altos. </t>
  </si>
  <si>
    <t>Velero diseñado para alta velocidad, con un casco estrecho y tres mástiles altos.</t>
  </si>
  <si>
    <t>Rebocador</t>
  </si>
  <si>
    <t>Navio de apoio para o ingresso e egresso aos portos.</t>
  </si>
  <si>
    <t>Buque de apoyo para las maniobras de ingreso y egreso a los puertos.</t>
  </si>
  <si>
    <t>Offshore</t>
  </si>
  <si>
    <t>Embarcação de apóio equipada com sistemas especializados para realizar tratamentos químicos e hidráulicos em poços de petróleo offshore. Offshore Support Vessels (OSV).</t>
  </si>
  <si>
    <t>Buque de apoyo equipado con sistemas especializados para realizar tratamientos químicos e hidráulicos en pozos petroleros offshore. Offshore Support Vessels (OSV).</t>
  </si>
  <si>
    <t>Aliscafo</t>
  </si>
  <si>
    <t>Embarcação de alta velocidade desenhada com hydrofoils para transportar passageiros. Geralmente usada entre cidades vizinhas ou portos próximos. Pode atingir cerca de 110 km/h (60 nós).</t>
  </si>
  <si>
    <t>Embarcación de alta velocidad diseñada con hydrofoils para transportar pasajeros. Generalmente usada entre ciudades vecinas o puertos cercanos. Pode llegar a 110 km/h (60 nudos).</t>
  </si>
  <si>
    <t>Ferry</t>
  </si>
  <si>
    <t>Embarcação tipo ferry para transportar passageiros geralmente entre cidades vizinhas ou portos próximos.</t>
  </si>
  <si>
    <t>Embarcación tipo ferry para transportar pasajeros generalmente entre ciudades vecinas o puertos cercanos.</t>
  </si>
  <si>
    <t>Lancha</t>
  </si>
  <si>
    <t>Embarcação tipo lancha de passeio ou esportiva.</t>
  </si>
  <si>
    <t>Embarcación tipo lancha de paseo o deportiva.</t>
  </si>
  <si>
    <t>Bote</t>
  </si>
  <si>
    <t>Embarcação tipo bote de pequeno tamanho.</t>
  </si>
  <si>
    <t>Embarcación tipo bote de pequeno tamanho.</t>
  </si>
  <si>
    <t>Iate</t>
  </si>
  <si>
    <t>Embarcação tipo iate com estrutura de cabinas completas.</t>
  </si>
  <si>
    <t>Embarcación tipo yate con estructura de cabinas completas.</t>
  </si>
  <si>
    <t>Catamarã</t>
  </si>
  <si>
    <t>Embarcação tipo catamarã de dois cascos paralelos.</t>
  </si>
  <si>
    <t>Embarcación tipo catamarán de dos cascos paralelos.</t>
  </si>
  <si>
    <t>Veleiro</t>
  </si>
  <si>
    <t>Embarcação tipo veleiro de passeio ou esportivo.</t>
  </si>
  <si>
    <t>Embarcación tipo velero de paseo o deportivo.</t>
  </si>
  <si>
    <t>Estrutura retangular metálica padronizada usada principalmente para o transporte de mercadorias.</t>
  </si>
  <si>
    <t>Estructura rectangular metálica estandarizada utilizada principalmente para el transporte de mercancías.</t>
  </si>
  <si>
    <t>Dispositivo de amarração é um elemento construído ativo ou passivo cuja função principal é participar da amarração.</t>
  </si>
  <si>
    <t>Un dispositivo de amarre es un elemento construido activo o pasivo cuya función principal es participar en el amarre.</t>
  </si>
  <si>
    <t>Ganchos de amarração de liberação rápida - um dispositivo ativo usado para proteger uma embarcação e fornecer liberação automatizada.</t>
  </si>
  <si>
    <t>Ganchos de amarre de liberación rápida: un dispositivo activo que se utiliza para asegurar una embarcación y proporcionar una liberación automática.</t>
  </si>
  <si>
    <t>Poste curto e grosso no convés de um navio ou no cais, ao qual a corda do navio pode ser presa para manter a embarcação segura e estável durante a atracação. A distância entre eles pode variar de 5 a 10 metros.</t>
  </si>
  <si>
    <t>Poste corto y grueso en la cubierta o muelle de un barco denominado bita, al que se puede sujetar la cuerda del barco para mantenerlo estable durante el atraque. La distancia entre las bitas puede variar de 5 a 10 metros.</t>
  </si>
  <si>
    <t>Cabrestante</t>
  </si>
  <si>
    <t>Dispositivo mecânico motorizado usado para aplicar uma carga de tensionamento aos cabos de amarração para melhorar a estabilidade da embarcação.</t>
  </si>
  <si>
    <t>Un dispositivo mecánico motorizado utilizado para aplicar una carga de tensión a las líneas de amarre para mejorar la estabilidad de la embarcación.</t>
  </si>
  <si>
    <t>Esticador</t>
  </si>
  <si>
    <t>Dispositivo mecânico usado para aplicar uma carga de tensionamento aos cabos de amarração para melhorar a estabilidade da embarcação.</t>
  </si>
  <si>
    <t>Un dispositivo mecánico utilizado para aplicar una carga de tensión a las líneas de amarre para mejorar la estabilidad de la embarcación.</t>
  </si>
  <si>
    <t>Dispositivo de amarração que usa sucção a vácuo como o principal método de fixação da embarcação.</t>
  </si>
  <si>
    <t>Dispositivo de amarre que utiliza la succión al vacío como método principal para asegurar la embarcación.</t>
  </si>
  <si>
    <t>Amarra.Magnética</t>
  </si>
  <si>
    <t>Dispositivo de amarração que usa ímãs como o principal método de proteger a embarcação.</t>
  </si>
  <si>
    <t>Un dispositivo de amarre que utiliza imanes como método principal para asegurar la embarcación.</t>
  </si>
  <si>
    <t>Ligação.SafeCom</t>
  </si>
  <si>
    <t>Sistema de Ligação SafeCom Ship-to-Shore (SSL) é um sistema de comunicação de segurança utilizado para a transferência de líquidos e gases perigosos.</t>
  </si>
  <si>
    <t>El sistema de conexión SafeCom Ship-to-Shore (SSL) es un sistema de comunicación de seguridad utilizado para la transferencia de líquidos y gases peligrosos.</t>
  </si>
  <si>
    <t>Instalação usada para levantar e abaixar barcos, navios e outras embarcações entre trechos de água.</t>
  </si>
  <si>
    <t>Instalación utilizada para subir y bajar botes, barcos y otras embarcaciones entre tramos de agua.</t>
  </si>
  <si>
    <t>Elemento.de.Navegação</t>
  </si>
  <si>
    <t>Elemento de navegação é um elemento construído ativo ou passivo cuja função principal é fornecer navegação.</t>
  </si>
  <si>
    <t>Un elemento de navegación es un elemento construido activo o pasivo cuya función principal es proporcionar navegación.</t>
  </si>
  <si>
    <t>Farol</t>
  </si>
  <si>
    <t>Estrutura vertical fixa que serve como uma marca de navegação, para mostrar recifes ou outros perigos, ou fornecer.</t>
  </si>
  <si>
    <t>Estructura vertical fija que sirve como marca de navegación, para mostrar arrecifes u otros peligros, o para proporcionar.</t>
  </si>
  <si>
    <t>Bóia</t>
  </si>
  <si>
    <t>Estrutura flutuante ancorada que serve como uma marca de navegação, para mostrar recifes ou outros perigos.</t>
  </si>
  <si>
    <t>Estructura flotante anclada que sirve como marca de navegación, para mostrar arrecifes u otros peligros.</t>
  </si>
  <si>
    <t>Bóia.de.Navegação</t>
  </si>
  <si>
    <t>Boia que auxilia a navegação marítima, usada para orientar embarcações, delimitar canais, indicar perigos ou áreas especiais. Padronizadas pelo sistema IALA (International Association of Marine Aids to Navigation and Lighthouse Authorities).</t>
  </si>
  <si>
    <t>Boya que asiste a la navegación marítima, utilizada para guiar embarcaciones, delimitar canales, indicar peligros o áreas especiales. Estandarizado por el sistema IALA (International Association of Marine Aids to Navigation and Lighthouse Authorities).</t>
  </si>
  <si>
    <t>Fundeadouro</t>
  </si>
  <si>
    <t>Parte espacial da região que representa uma área gerenciada para o ancoradouro de embarcações que aguardam espaço no porto.</t>
  </si>
  <si>
    <t>Parte espacial de la región que representa un área gestionada para el fondeo de buques que esperan espacio en el puerto.</t>
  </si>
  <si>
    <t>Atracadouro</t>
  </si>
  <si>
    <t>Parte espacial longitudinal de uma via navegável ou instalação portuária que fornece instalações para a atracação.</t>
  </si>
  <si>
    <t>Parte espacial longitudinal de una vía fluvial o instalación portuaria que proporciona instalaciones para el atraque.</t>
  </si>
  <si>
    <t>Canal</t>
  </si>
  <si>
    <t>Curso de água artificial construído geralmente, para unir rios, lagos ou mares e muitas vezes de um tamanho adequado.</t>
  </si>
  <si>
    <t>Curso de agua artificial generalmente construido para unir ríos, lagos o mares y, a menudo, de un tamaño adecuado.</t>
  </si>
  <si>
    <t>Canal.Acesso</t>
  </si>
  <si>
    <t>Parte espacial longitudinal de uma via navegável ou instalação portuária que cobre a aproximação.</t>
  </si>
  <si>
    <t>La parte espacial longitudinal de una vía fluvial o instalación portuaria que cubre la aproximación.</t>
  </si>
  <si>
    <t>Canal.Navegável</t>
  </si>
  <si>
    <t>Curso de água navegável natural (como um rio) que precisa ser gerenciado ou ter melhorias aplicadas.</t>
  </si>
  <si>
    <t>Curso de agua navegable natural (como un río) que necesita ser gestionado o tener mejoras aplicadas.</t>
  </si>
  <si>
    <t>Via.Navegável</t>
  </si>
  <si>
    <t>Subconjunto de instalações que têm a função principal de fornecer uma área navegável de água.</t>
  </si>
  <si>
    <t>Subconjunto de instalaciones que tienen la función principal de proporcionar un área de agua navegable.</t>
  </si>
  <si>
    <t>Maré.Alta</t>
  </si>
  <si>
    <t>Nivel que representa a elevação da linha d'água na maré alta.</t>
  </si>
  <si>
    <t>Nivel que representa la elevación de la línea de flotación en pleamar.</t>
  </si>
  <si>
    <t>Maré.Baixa</t>
  </si>
  <si>
    <t>Nivel que representa a elevação da linha d'água na maré baixa.</t>
  </si>
  <si>
    <t>Nivel que representa la elevación de la línea de flotación en bajamar.</t>
  </si>
  <si>
    <t>Flotação.Superior</t>
  </si>
  <si>
    <t>Nivel que representa a parte acima da linha d'água média definida dentro da área do sítio.</t>
  </si>
  <si>
    <t>Nivel que representa la parte por encima de la línea de flotación media definida dentro del área del emplazamiento.</t>
  </si>
  <si>
    <t>Flotação.Inferior</t>
  </si>
  <si>
    <t>Nivel que representa a parte abaixo da linha d'água média definida dentro da área do sítio.</t>
  </si>
  <si>
    <t>Nivel que representa la parte por debajo de la línea de flotación media definida dentro del área del emplazamiento.</t>
  </si>
  <si>
    <t>Nível.Operacional</t>
  </si>
  <si>
    <t>Nivel que representa a profundidade mínima operacional.</t>
  </si>
  <si>
    <t>Nivel que representa la profundidad mínima operacional.</t>
  </si>
  <si>
    <t>Nivel que representa o piso de trabalho do cais, onde se encontram os trilhos de guindastes e as pessoas trabalhando.</t>
  </si>
  <si>
    <t>Nível.Hidrográfico</t>
  </si>
  <si>
    <t>Nivel de referência fornecido por levantamento hidrográfico do porto.</t>
  </si>
  <si>
    <t>Nivel de referencia obtenido por levantamiento hidrográfico del puerto.</t>
  </si>
  <si>
    <t>Quebra.Ondas</t>
  </si>
  <si>
    <t>Linha onde há diminuição da enrgia das ondas de mar.</t>
  </si>
  <si>
    <t>Línea donde hay una disminución de la energía de las olas del mar.</t>
  </si>
  <si>
    <t>Quebra.Mar</t>
  </si>
  <si>
    <t>Estrutura construída para proteger a costa, portos ou áreas urbanas da força das ondas e das correntes marítimas, pode ser paralela ou perpendicular à costa.</t>
  </si>
  <si>
    <t>Una estructura construida para proteger la costa, los puertos o las zonas urbanas de la fuerza de las olas y las corrientes marinas, puede ser paralela o perpendicular a la costa.</t>
  </si>
  <si>
    <t>Costa.Defesa</t>
  </si>
  <si>
    <t>Dispositivo de proteção que absorve o impacto entre o navio e o cais.</t>
  </si>
  <si>
    <t>Dispositivo de protección que absorve el impacto entre el navio y el muelle.</t>
  </si>
  <si>
    <t>Costa.Contenção</t>
  </si>
  <si>
    <t>Estrutura defensiva marinha feita de terraplenagem, alvenaria e rocas.</t>
  </si>
  <si>
    <t>Estructura defensiva marina hecha de terraplenes, mampostería y rocas.</t>
  </si>
  <si>
    <t>Dique.Seco</t>
  </si>
  <si>
    <t>A doca seca é uma câmara fechada (por portão) que permite o escoamento da água para a construção.</t>
  </si>
  <si>
    <t>El dique seco es una cámara cerrada (por compuerta) que permite el drenaje de agua hacia el interior del edificio.</t>
  </si>
  <si>
    <t>Doca.Flutuante</t>
  </si>
  <si>
    <t>Elemento espacial que engloba uma doca seca flutuante e auxiliares laterais do cais de apoio.</t>
  </si>
  <si>
    <t>Elemento espacial que engloba un dique seco flotante y auxiliares de muelle de apoyo lateral.</t>
  </si>
  <si>
    <t>Infra.Portuária</t>
  </si>
  <si>
    <t>Instalação marítima representa qualquer estrutura ou entidade importante que seja específica para os portos e águas.</t>
  </si>
  <si>
    <t>La instalación marina representa cualquier estructura o entidad importante que sea específica de puertos y aguas.</t>
  </si>
  <si>
    <t>Praia</t>
  </si>
  <si>
    <t>Cordilheira de areia que se eleva ligeiramente acima da superfície do mar e corre aproximadamente paralela à costa.</t>
  </si>
  <si>
    <t>Una cadena montañosa de arena que se eleva ligeramente por encima de la superficie del mar y corre aproximadamente paralela a la costa.</t>
  </si>
  <si>
    <t>Hidroelevador</t>
  </si>
  <si>
    <t>Tipo de instalação de recuperação de lançamento de embarcações, também conhecida como doca de elevação hidráulica, onde os navios são levantados.</t>
  </si>
  <si>
    <t>Un tipo de instalación de recuperación de lanzamiento de embarcaciones, también conocida como muelle de elevación hidráulico, donde se levantan los barcos.</t>
  </si>
  <si>
    <t>Porto.Marítimo</t>
  </si>
  <si>
    <t>Complejo/instalación para actividades marinas y marítimas, que incluye carga, personas y almacenamiento.</t>
  </si>
  <si>
    <t>Porto.Fluvial</t>
  </si>
  <si>
    <t>Complexo/instalação para atividades fluviais, que inclui carga, pessoas e armazenagem.</t>
  </si>
  <si>
    <t>Complejo/instalación para actividades fluviales, que incluye carga, personas y almacenamiento.</t>
  </si>
  <si>
    <t>Dolfin</t>
  </si>
  <si>
    <t>Local para a amarração de embarcações sem contato com a margem da costa.</t>
  </si>
  <si>
    <t>Lugar para amarrar embarcaciones sin contacto con la orilla de la costa.</t>
  </si>
  <si>
    <t>Pier</t>
  </si>
  <si>
    <t>Local para a amarração de embarcações acompanhada de elementos de carga e descarga de produtos ou pessoas posicionada perpendicular à costa.</t>
  </si>
  <si>
    <t>Lugar para el amarre de embarcaciones acompañado de elementos para carga y descarga de productos o personas posicionadas perpendicularmente a la costa.</t>
  </si>
  <si>
    <t>Cais</t>
  </si>
  <si>
    <t>Local para a amarração de embarcações acompanhada de elementos de carga e descarga de produtos ou pessoas posicionada paralela à costa.</t>
  </si>
  <si>
    <t>Lugar para el amarre de embarcaciones acompañado de elementos para carga y descarga de productos o personas posicionados paralelos a la costa.</t>
  </si>
  <si>
    <t>Cais.Berço</t>
  </si>
  <si>
    <t>Espaço d'agua que ocupa o navio ao atracar no cais. A parede submersa e o leito devem ser projetados para minimizar os processos de eroção e sedimentação.</t>
  </si>
  <si>
    <t>Espacio de agua ocupado por el barco al atracar en el muelle. La pared sumergida y el lecho subacuático deben diseñarse para minimizar los procesos de erosión y sedimentación.</t>
  </si>
  <si>
    <t>Elevador.de.Navio</t>
  </si>
  <si>
    <t>Tipo de instalação de recuperação de lançamento de embarcações, onde os navios são levantados verticalmente para fora da água.</t>
  </si>
  <si>
    <t>Un tipo de instalación de recuperación de lanzamiento de embarcaciones, donde los barcos se levantan verticalmente fuera del agua.</t>
  </si>
  <si>
    <t>Eclusa.de.Navio</t>
  </si>
  <si>
    <t>Estaleiro</t>
  </si>
  <si>
    <t>Instalação costeira / à beira-mar onde os navios são construídos e reparados.</t>
  </si>
  <si>
    <t>Instalación costera / frente al mar donde se construyen y reparan los barcos.</t>
  </si>
  <si>
    <t>Lançamento.Rampa</t>
  </si>
  <si>
    <t>Instalação para o lançamento dinâmico ou recuperação de uma embarcação utilizando uma rampa inclinada e gravitação.</t>
  </si>
  <si>
    <t>Instalación para el lanzamiento dinámico o recuperación de una embarcación utilizando una rampa inclinada y gravitación.</t>
  </si>
  <si>
    <t>Lançamento.Recuperação</t>
  </si>
  <si>
    <t>Subconjunto de instalações para a função de lançamento ou recuperação de navios.</t>
  </si>
  <si>
    <t>Subconjunto de instalaciones para la función de botadura o recuperación del buque.</t>
  </si>
  <si>
    <t>Câmara</t>
  </si>
  <si>
    <t>Parte espacial longitudinal de uma via navegável ou instalação portuária que forma a câmara represada.</t>
  </si>
  <si>
    <t>La parte espacial longitudinal de una vía fluvial o instalación portuaria que forma la cámara represada.</t>
  </si>
  <si>
    <t>Núcleo</t>
  </si>
  <si>
    <t>Parte espacial lateral que subdivide a estrutura central de uma instalação, como um quebra-mar.</t>
  </si>
  <si>
    <t>Una parte espacial lateral que subdivide la estructura central de una instalación, como un rompeolas.</t>
  </si>
  <si>
    <t>Crista</t>
  </si>
  <si>
    <t>Parte espacial lateral que forma a área da crista do quebra-mar ou aterro onde estruturas adicionais.</t>
  </si>
  <si>
    <t>Parte espacial lateral que forma el área de la cresta del rompeolas o terraplén donde se encuentran las estructuras adicionales.</t>
  </si>
  <si>
    <t>Comporta</t>
  </si>
  <si>
    <t>Parte espacial longitudinal de uma hidrovia ou instalação portuária que forma o portão, a estrutura de suporte.</t>
  </si>
  <si>
    <t>La parte espacial longitudinal de una vía fluvial o instalación portuaria que forma la puerta, la estructura de soporte.</t>
  </si>
  <si>
    <t>Barlavento</t>
  </si>
  <si>
    <t>Parte espacial da estrutura que está no lado exposto ao vento predominante.</t>
  </si>
  <si>
    <t>Parte espacial de la estructura que está del lado expuesto al viento predominante.</t>
  </si>
  <si>
    <t>Sotavento</t>
  </si>
  <si>
    <t>Parte espacial da estrutura que é protegida do vento predominante.</t>
  </si>
  <si>
    <t>Parte espacial de la estructura que está protegida del viento dominante.</t>
  </si>
  <si>
    <t>Zona.Aquática</t>
  </si>
  <si>
    <t>Região que cobre o campo de água de um porto. Inclui os canais navegáveis e não navegáveis.</t>
  </si>
  <si>
    <t>Región que cubre el campo de agua de un puerto. Incluye canales navegables y no navegables.</t>
  </si>
  <si>
    <t>Zona.Terrestre</t>
  </si>
  <si>
    <t>Região ou parte lateral da instalação que cobre o campo terrestre de instalação à beira-mar, como um cais.</t>
  </si>
  <si>
    <t>Región o parte lateral de la instalación que cubre el campo terrestre de la instalación junto al mar, como un muelle.</t>
  </si>
  <si>
    <t>Zona.Navegável</t>
  </si>
  <si>
    <t>Região que cobre o campo de água dos canais navegáveis do porto.</t>
  </si>
  <si>
    <t>Región que cubre el campo de agua de los canales navegables del puerto.</t>
  </si>
  <si>
    <t>Espaço coberto tipo galpão ou armazen para armazenamento de carga.</t>
  </si>
  <si>
    <t>Espacio cubierto tipo galpón o almacén para almacenamiento de carga.</t>
  </si>
  <si>
    <t>Espaço externo de armazenamento de carga.</t>
  </si>
  <si>
    <t>Espacio descubierto tipo patio para almacenamiento de carga.</t>
  </si>
  <si>
    <t>Parte espacial da região que representa uma divisão funcional projetada para operação.</t>
  </si>
  <si>
    <t>Parte espacial de la región que representa una división funcional diseñada para la operación.</t>
  </si>
  <si>
    <t>Parte espacial da região que forma uma subdivisão de instalação para fins de fabricação.</t>
  </si>
  <si>
    <t>Parte espacial de la región que forma una subdivisión de la instalación con fines de fabricación.</t>
  </si>
  <si>
    <t>Parte espacial da região que representa uma área livre usada para a transferência e movimentação de embarcações.</t>
  </si>
  <si>
    <t>Parte espacial de la región que representa un área libre utilizada para la transferencia y el movimiento de buques.</t>
  </si>
  <si>
    <t>Formalizar conceitos de elementos de infraestrutura.</t>
  </si>
  <si>
    <t>Formalizar conceptos de elementos de infraestrutura.</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</si>
  <si>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</si>
  <si>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</si>
  <si>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</si>
  <si>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</si>
  <si>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</si>
  <si>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</si>
  <si>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</si>
  <si>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</si>
  <si>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</si>
  <si>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</si>
  <si>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</si>
  <si>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</si>
  <si>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</si>
  <si>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</si>
  <si>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</si>
  <si>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Ciudad</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</si>
  <si>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</si>
  <si>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</si>
  <si>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</si>
  <si>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</si>
  <si>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</si>
  <si>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</si>
  <si>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</si>
  <si>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</si>
  <si>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</si>
  <si>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</si>
  <si>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</si>
  <si>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</si>
  <si>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</si>
  <si>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</si>
  <si>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</si>
  <si>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</si>
  <si>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</si>
  <si>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</si>
  <si>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</si>
  <si>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</si>
  <si>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</si>
  <si>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</si>
  <si>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</si>
  <si>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</si>
  <si>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</si>
  <si>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</si>
  <si>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</si>
  <si>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</si>
  <si>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</si>
  <si>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</si>
  <si>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</si>
  <si>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</si>
  <si>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</si>
  <si>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</si>
  <si>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</si>
  <si>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</si>
  <si>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</si>
  <si>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</si>
  <si>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</si>
  <si>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</si>
  <si>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</si>
  <si>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</si>
  <si>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</si>
  <si>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</si>
  <si>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</si>
  <si>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</si>
  <si>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</si>
  <si>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</si>
  <si>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</si>
  <si>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</si>
  <si>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</si>
  <si>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</si>
  <si>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</si>
  <si>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</si>
  <si>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</si>
  <si>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</si>
  <si>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</si>
  <si>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</si>
  <si>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</si>
  <si>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</si>
  <si>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</si>
  <si>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</si>
  <si>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</si>
  <si>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</si>
  <si>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</si>
  <si>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</si>
  <si>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</si>
  <si>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</si>
  <si>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</si>
  <si>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</si>
  <si>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</si>
  <si>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</si>
  <si>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</si>
  <si>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</si>
  <si>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</si>
  <si>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</si>
  <si>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</si>
  <si>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</si>
  <si>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</si>
  <si>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</si>
  <si>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</si>
  <si>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</si>
  <si>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</si>
  <si>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</si>
  <si>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</si>
  <si>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</si>
  <si>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</si>
  <si>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</si>
  <si>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</si>
  <si>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</si>
  <si>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</si>
  <si>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</si>
  <si>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</si>
  <si>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</si>
  <si>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</si>
  <si>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</si>
  <si>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</si>
  <si>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</si>
  <si>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</si>
  <si>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</si>
  <si>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</si>
  <si>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"Um subcontinente de América"</t>
  </si>
  <si>
    <t>Brasil</t>
  </si>
  <si>
    <t>"É um país de América do Sul"</t>
  </si>
  <si>
    <t>"É um Estado da República Federativa de Brasil"</t>
  </si>
  <si>
    <t>é.agrupado.com</t>
  </si>
  <si>
    <t>é.capital.de</t>
  </si>
  <si>
    <t>Região.Sudeste</t>
  </si>
  <si>
    <t>Estados.do.Sudeste</t>
  </si>
  <si>
    <t>Rio.de.Janeiro.Capital</t>
  </si>
  <si>
    <t>RJ</t>
  </si>
  <si>
    <t>lista</t>
  </si>
  <si>
    <t>"Sudeste:MG:ES:SP:RJ"</t>
  </si>
  <si>
    <t>"Lista de estados do Sudeste do Brasil"</t>
  </si>
  <si>
    <t>é.agrupador.de</t>
  </si>
  <si>
    <t>é.lista</t>
  </si>
  <si>
    <t>"Região Sudeste do Brasil"</t>
  </si>
  <si>
    <t>Zona.1</t>
  </si>
  <si>
    <t>"Zona Equatorial Úmida  Clima quente e muito úmido, com pouca variação sazonal "</t>
  </si>
  <si>
    <t>Zona.2</t>
  </si>
  <si>
    <t>"Zona Tropical  Clima quente e úmido, com estação seca bem definida"</t>
  </si>
  <si>
    <t>Zona.3</t>
  </si>
  <si>
    <t>"Zona Semiárida  Clima quente e seco, com baixa precipitação e alta evaporação"</t>
  </si>
  <si>
    <t>Zona.4</t>
  </si>
  <si>
    <t>"Zona Tropical de Altitude  Clima mais ameno devido à altitude"</t>
  </si>
  <si>
    <t>Zona.5</t>
  </si>
  <si>
    <t>"Zona Subtropical Úmida  Clima de variação sazonal marcada e com temperaturas frias no inverno"</t>
  </si>
  <si>
    <t>Zona.6</t>
  </si>
  <si>
    <t>"Zona Subtropical Semiárida  Clima moderado e seco, com menor precipitação"</t>
  </si>
  <si>
    <t>Zona.7</t>
  </si>
  <si>
    <t>"Zona Tropical com Inverno Seco  Clima quente com períodos de seca no inverno"</t>
  </si>
  <si>
    <t>Zona.8</t>
  </si>
  <si>
    <t>"Zona Litorânea Úmida  Clima influenciado pelo mar, com chuvas frequentes e temperaturas moderadas"</t>
  </si>
  <si>
    <t>ZCL.1</t>
  </si>
  <si>
    <t>"Zona urbanizada com ocupação densa e prédios altos"</t>
  </si>
  <si>
    <t>ZCL.2</t>
  </si>
  <si>
    <t>"Zona urbanizada com ocupação densa e prédios medianos"</t>
  </si>
  <si>
    <t>ZCL.3</t>
  </si>
  <si>
    <t>"Zona urbanizada com ocupação densa e prédios baixos"</t>
  </si>
  <si>
    <t>ZCL.4</t>
  </si>
  <si>
    <t>"Zona urbanizada com ocupação dispersa com prédios altos e vegetação"</t>
  </si>
  <si>
    <t>ZCL.5</t>
  </si>
  <si>
    <t>"Zona urbanizada com ocupação dispersa com prédios medianos e vegetação"</t>
  </si>
  <si>
    <t>ZCL.6</t>
  </si>
  <si>
    <t>"Zona urbanizada com ocupação dispersa com prédios baixos e vegetação"</t>
  </si>
  <si>
    <t>ZCL.7</t>
  </si>
  <si>
    <t>"Zona urbanizada com ocupação densa de prédios baixos mas de construção leve"</t>
  </si>
  <si>
    <t>ZCL.8</t>
  </si>
  <si>
    <t>"Zona urbanizada com ocupação dispersa de prédios baixos de grandes superfícies"</t>
  </si>
  <si>
    <t>ZCL.9</t>
  </si>
  <si>
    <t>"Zona urbanizada com ocupação dispersa em áreas de solos permeáveis"</t>
  </si>
  <si>
    <t>ZCL.10</t>
  </si>
  <si>
    <t>"Zona urbanizada com ocupação de prédios industriais em funcionamento"</t>
  </si>
  <si>
    <t>ZCL.A</t>
  </si>
  <si>
    <t>"Areas de cobertura vegetal densa"</t>
  </si>
  <si>
    <t>ZCL.B</t>
  </si>
  <si>
    <t>"Areas de cobertura vegetal média"</t>
  </si>
  <si>
    <t>ZCL.C</t>
  </si>
  <si>
    <t>"Areas de cobertura vegetal baixa"</t>
  </si>
  <si>
    <t>ZCL.D</t>
  </si>
  <si>
    <t>"Areas de cobertura vegetal tipo gramíneas"</t>
  </si>
  <si>
    <t>ZCL.E</t>
  </si>
  <si>
    <t>"Areas de cobertura de pédras ou asfálticos"</t>
  </si>
  <si>
    <t>ZCL.F</t>
  </si>
  <si>
    <t>"Areas de solo sem cobertura ou areias"</t>
  </si>
  <si>
    <t>ZCL.G</t>
  </si>
  <si>
    <t>"Espelhos de água."</t>
  </si>
  <si>
    <t>Mata.Atlântica</t>
  </si>
  <si>
    <t>"Floresta tropical rica em biodiversidade."</t>
  </si>
  <si>
    <t>uf</t>
  </si>
  <si>
    <t>nuf</t>
  </si>
  <si>
    <t>estado</t>
  </si>
  <si>
    <t>UFed33</t>
  </si>
  <si>
    <t>"RJ"</t>
  </si>
  <si>
    <t>"33"</t>
  </si>
  <si>
    <t>"Rio de Janeiro"</t>
  </si>
  <si>
    <t>SameAs</t>
  </si>
  <si>
    <t>AP.01</t>
  </si>
  <si>
    <t>"Area de planejamento AP 01 de Rio de Janeiro"</t>
  </si>
  <si>
    <t>AP.02</t>
  </si>
  <si>
    <t>"Area de planejamento AP 02 de Rio de Janeiro"</t>
  </si>
  <si>
    <t>AP.03</t>
  </si>
  <si>
    <t>"Area de planejamento AP 03 de Rio de Janeiro"</t>
  </si>
  <si>
    <t>AP.04</t>
  </si>
  <si>
    <t>"Area de planejamento AP 04 de Rio de Janeiro"</t>
  </si>
  <si>
    <t>AP.05</t>
  </si>
  <si>
    <t>"Area de planejamento AP 05 de Rio de Janeiro"</t>
  </si>
  <si>
    <t>RA.01</t>
  </si>
  <si>
    <t>RA.Portuária</t>
  </si>
  <si>
    <t>RA.02</t>
  </si>
  <si>
    <t>RA.Centro</t>
  </si>
  <si>
    <t>RA.03</t>
  </si>
  <si>
    <t>RA.Rio.Comprido</t>
  </si>
  <si>
    <t>RA.04</t>
  </si>
  <si>
    <t>RA.Botafogo</t>
  </si>
  <si>
    <t>RA.05</t>
  </si>
  <si>
    <t>RA.Copacabana</t>
  </si>
  <si>
    <t>RA.06</t>
  </si>
  <si>
    <t>RA.Lagoa</t>
  </si>
  <si>
    <t>RA.07</t>
  </si>
  <si>
    <t>RA.São.Cristóvão</t>
  </si>
  <si>
    <t>RA.08</t>
  </si>
  <si>
    <t>RA.Tijuca</t>
  </si>
  <si>
    <t>RA.09</t>
  </si>
  <si>
    <t>RA.Vila.Isabel</t>
  </si>
  <si>
    <t>RA.10</t>
  </si>
  <si>
    <t>RA.Ramos</t>
  </si>
  <si>
    <t>RA.11</t>
  </si>
  <si>
    <t>RA.Penha</t>
  </si>
  <si>
    <t>RA.12</t>
  </si>
  <si>
    <t>RA.Inhauma</t>
  </si>
  <si>
    <t>RA.13</t>
  </si>
  <si>
    <t>RA.Meier</t>
  </si>
  <si>
    <t>RA.14</t>
  </si>
  <si>
    <t>RA.Irajá</t>
  </si>
  <si>
    <t>RA.15</t>
  </si>
  <si>
    <t>RA.Madureira</t>
  </si>
  <si>
    <t>RA.16</t>
  </si>
  <si>
    <t>RA.Jacarepaguá</t>
  </si>
  <si>
    <t>RA.17</t>
  </si>
  <si>
    <t>RA.Bangu</t>
  </si>
  <si>
    <t>RA.18</t>
  </si>
  <si>
    <t>RA.Campo.Grande</t>
  </si>
  <si>
    <t>RA.19</t>
  </si>
  <si>
    <t>RA.Santa.Cruz</t>
  </si>
  <si>
    <t>RA.20</t>
  </si>
  <si>
    <t>RA.Ilha.do.Governador</t>
  </si>
  <si>
    <t>RA.21</t>
  </si>
  <si>
    <t>RA.Paquetá</t>
  </si>
  <si>
    <t>RA.22</t>
  </si>
  <si>
    <t>RA.Anchieta</t>
  </si>
  <si>
    <t>RA.23</t>
  </si>
  <si>
    <t>RA.Santa.Teresa</t>
  </si>
  <si>
    <t>RA.24</t>
  </si>
  <si>
    <t>RA.Barra.da.Tijuca</t>
  </si>
  <si>
    <t>RA.25</t>
  </si>
  <si>
    <t>RA.Pavuna</t>
  </si>
  <si>
    <t>RA.26</t>
  </si>
  <si>
    <t>RA.Guaratiba</t>
  </si>
  <si>
    <t>RA.27</t>
  </si>
  <si>
    <t>RA.Rocinha</t>
  </si>
  <si>
    <t>RA.28</t>
  </si>
  <si>
    <t>RA.Jacarezinho</t>
  </si>
  <si>
    <t>RA.29</t>
  </si>
  <si>
    <t>RA.Complexo.do.Alemão</t>
  </si>
  <si>
    <t>RA.30</t>
  </si>
  <si>
    <t>RA.Complexo.da.Maré</t>
  </si>
  <si>
    <t>RA.31</t>
  </si>
  <si>
    <t>RA.Vigário.Geral</t>
  </si>
  <si>
    <t>RA.32</t>
  </si>
  <si>
    <t>RA.Realengo</t>
  </si>
  <si>
    <t>RA.33</t>
  </si>
  <si>
    <t>RA.Cidade.de.Deus</t>
  </si>
  <si>
    <t>B.070</t>
  </si>
  <si>
    <t>B.111</t>
  </si>
  <si>
    <t>B.067</t>
  </si>
  <si>
    <t>B.034</t>
  </si>
  <si>
    <t>B.107</t>
  </si>
  <si>
    <t>B.037</t>
  </si>
  <si>
    <t>B.116</t>
  </si>
  <si>
    <t>B.097</t>
  </si>
  <si>
    <t>B.141</t>
  </si>
  <si>
    <t>B.128</t>
  </si>
  <si>
    <t>B.152</t>
  </si>
  <si>
    <t>B.112</t>
  </si>
  <si>
    <t>B.012</t>
  </si>
  <si>
    <t>B.089</t>
  </si>
  <si>
    <t>B.040</t>
  </si>
  <si>
    <t>B.020</t>
  </si>
  <si>
    <t>B.045</t>
  </si>
  <si>
    <t>B.065</t>
  </si>
  <si>
    <t>B.093</t>
  </si>
  <si>
    <t>B.004</t>
  </si>
  <si>
    <t>B.129</t>
  </si>
  <si>
    <t>B.078</t>
  </si>
  <si>
    <t>B.136</t>
  </si>
  <si>
    <t>B.144</t>
  </si>
  <si>
    <t>B.082</t>
  </si>
  <si>
    <t>B.018</t>
  </si>
  <si>
    <t>B.006</t>
  </si>
  <si>
    <t>B.080</t>
  </si>
  <si>
    <t>B.005</t>
  </si>
  <si>
    <t>B.118</t>
  </si>
  <si>
    <t>B.008</t>
  </si>
  <si>
    <t>B.105</t>
  </si>
  <si>
    <t>B.096</t>
  </si>
  <si>
    <t>B.110</t>
  </si>
  <si>
    <t>B.077</t>
  </si>
  <si>
    <t>B.156</t>
  </si>
  <si>
    <t>B.024</t>
  </si>
  <si>
    <t>B.046</t>
  </si>
  <si>
    <t>B.019</t>
  </si>
  <si>
    <t>B.147</t>
  </si>
  <si>
    <t>B.113</t>
  </si>
  <si>
    <t>B.119</t>
  </si>
  <si>
    <t>B.053</t>
  </si>
  <si>
    <t>B.134</t>
  </si>
  <si>
    <t>B.068</t>
  </si>
  <si>
    <t>B.081</t>
  </si>
  <si>
    <t>B.055</t>
  </si>
  <si>
    <t>B.066</t>
  </si>
  <si>
    <t>B.061</t>
  </si>
  <si>
    <t>B.009</t>
  </si>
  <si>
    <t>B.015</t>
  </si>
  <si>
    <t>B.098</t>
  </si>
  <si>
    <t>B.120</t>
  </si>
  <si>
    <t>B.104</t>
  </si>
  <si>
    <t>B.002</t>
  </si>
  <si>
    <t>B.117</t>
  </si>
  <si>
    <t>B.029</t>
  </si>
  <si>
    <t>B.160</t>
  </si>
  <si>
    <t>B.016</t>
  </si>
  <si>
    <t>B.038</t>
  </si>
  <si>
    <t>B.133</t>
  </si>
  <si>
    <t>B.106</t>
  </si>
  <si>
    <t>B.151</t>
  </si>
  <si>
    <t>B.050</t>
  </si>
  <si>
    <t>B.087</t>
  </si>
  <si>
    <t>B.021</t>
  </si>
  <si>
    <t>B.164</t>
  </si>
  <si>
    <t>B.054</t>
  </si>
  <si>
    <t>B.146</t>
  </si>
  <si>
    <t>B.025</t>
  </si>
  <si>
    <t>B.076</t>
  </si>
  <si>
    <t>B.127</t>
  </si>
  <si>
    <t>B.163</t>
  </si>
  <si>
    <t>B.051</t>
  </si>
  <si>
    <t>B.115</t>
  </si>
  <si>
    <t>B.155</t>
  </si>
  <si>
    <t>B.049</t>
  </si>
  <si>
    <t>B.028</t>
  </si>
  <si>
    <t>B.100</t>
  </si>
  <si>
    <t>B.099</t>
  </si>
  <si>
    <t>B.137</t>
  </si>
  <si>
    <t>B.126</t>
  </si>
  <si>
    <t>B.027</t>
  </si>
  <si>
    <t>B.161</t>
  </si>
  <si>
    <t>B.017</t>
  </si>
  <si>
    <t>B.026</t>
  </si>
  <si>
    <t>B.023</t>
  </si>
  <si>
    <t>B.062</t>
  </si>
  <si>
    <t>B.083</t>
  </si>
  <si>
    <t>B.138</t>
  </si>
  <si>
    <t>B.011</t>
  </si>
  <si>
    <t>B.039</t>
  </si>
  <si>
    <t>B.035</t>
  </si>
  <si>
    <t>B.157</t>
  </si>
  <si>
    <t>B.090</t>
  </si>
  <si>
    <t>B.052</t>
  </si>
  <si>
    <t>B.063</t>
  </si>
  <si>
    <t>B.102</t>
  </si>
  <si>
    <t>B.042</t>
  </si>
  <si>
    <t>B.088</t>
  </si>
  <si>
    <t>B.148</t>
  </si>
  <si>
    <t>B.140</t>
  </si>
  <si>
    <t>B.013</t>
  </si>
  <si>
    <t>B.047</t>
  </si>
  <si>
    <t>B.108</t>
  </si>
  <si>
    <t>B.159</t>
  </si>
  <si>
    <t>B.114</t>
  </si>
  <si>
    <t>B.121</t>
  </si>
  <si>
    <t>B.153</t>
  </si>
  <si>
    <t>B.043</t>
  </si>
  <si>
    <t>B.044</t>
  </si>
  <si>
    <t>B.069</t>
  </si>
  <si>
    <t>B.071</t>
  </si>
  <si>
    <t>B.094</t>
  </si>
  <si>
    <t>B.103</t>
  </si>
  <si>
    <t>B.032</t>
  </si>
  <si>
    <t>B.124</t>
  </si>
  <si>
    <t>B.095</t>
  </si>
  <si>
    <t>B.079</t>
  </si>
  <si>
    <t>B.041</t>
  </si>
  <si>
    <t>B.139</t>
  </si>
  <si>
    <t>B.132</t>
  </si>
  <si>
    <t>B.059</t>
  </si>
  <si>
    <t>B.091</t>
  </si>
  <si>
    <t>B.109</t>
  </si>
  <si>
    <t>B.007</t>
  </si>
  <si>
    <t>B.058</t>
  </si>
  <si>
    <t>B.086</t>
  </si>
  <si>
    <t>B.154</t>
  </si>
  <si>
    <t>B.060</t>
  </si>
  <si>
    <t>B.149</t>
  </si>
  <si>
    <t>B.014</t>
  </si>
  <si>
    <t>B.143</t>
  </si>
  <si>
    <t>B.003</t>
  </si>
  <si>
    <t>B.031</t>
  </si>
  <si>
    <t>B.010</t>
  </si>
  <si>
    <t>B.057</t>
  </si>
  <si>
    <t>B.001</t>
  </si>
  <si>
    <t>B.142</t>
  </si>
  <si>
    <t>B.145</t>
  </si>
  <si>
    <t>B.150</t>
  </si>
  <si>
    <t>B.123</t>
  </si>
  <si>
    <t>B.122</t>
  </si>
  <si>
    <t>B.101</t>
  </si>
  <si>
    <t>B.033</t>
  </si>
  <si>
    <t>B.064</t>
  </si>
  <si>
    <t>B.056</t>
  </si>
  <si>
    <t>B.085</t>
  </si>
  <si>
    <t>B.022</t>
  </si>
  <si>
    <t>B.131</t>
  </si>
  <si>
    <t>B.130</t>
  </si>
  <si>
    <t>B.158</t>
  </si>
  <si>
    <t>B.084</t>
  </si>
  <si>
    <t>B.073</t>
  </si>
  <si>
    <t>B.030</t>
  </si>
  <si>
    <t>B.048</t>
  </si>
  <si>
    <t>B.074</t>
  </si>
  <si>
    <t>B.036</t>
  </si>
  <si>
    <t>B.162</t>
  </si>
  <si>
    <t>B.072</t>
  </si>
  <si>
    <t>B.135</t>
  </si>
  <si>
    <t>B.125</t>
  </si>
  <si>
    <t>B.075</t>
  </si>
  <si>
    <t>B.092</t>
  </si>
  <si>
    <t>Abolição</t>
  </si>
  <si>
    <t>é.região.administrativa</t>
  </si>
  <si>
    <t>Zona.Norte</t>
  </si>
  <si>
    <t>Acari</t>
  </si>
  <si>
    <t>Água.Santa</t>
  </si>
  <si>
    <t>Alto.da.Boa.Vista</t>
  </si>
  <si>
    <t>Zona.Grande.Tijuca</t>
  </si>
  <si>
    <t>Anchieta</t>
  </si>
  <si>
    <t>Andaraí</t>
  </si>
  <si>
    <t>Anil</t>
  </si>
  <si>
    <t>Zona.Jacarepaguá</t>
  </si>
  <si>
    <t>Bancários</t>
  </si>
  <si>
    <t>Zona.Ilhas</t>
  </si>
  <si>
    <t>Bangu</t>
  </si>
  <si>
    <t>Zona.Grande.Bangú</t>
  </si>
  <si>
    <t>Barra.da.Tijuca</t>
  </si>
  <si>
    <t>Zona.Barra.da.Tijuca</t>
  </si>
  <si>
    <t>Barra.de.Guaratiba</t>
  </si>
  <si>
    <t>Zona.Oeste</t>
  </si>
  <si>
    <t>Barros.Filho</t>
  </si>
  <si>
    <t>Benfica</t>
  </si>
  <si>
    <t>Zona.Centro</t>
  </si>
  <si>
    <t>Bento.Ribeiro</t>
  </si>
  <si>
    <t>Bonsucesso</t>
  </si>
  <si>
    <t>Botafogo</t>
  </si>
  <si>
    <t>Zona.Sul</t>
  </si>
  <si>
    <t>Brás.de.Pina</t>
  </si>
  <si>
    <t>Cachambi</t>
  </si>
  <si>
    <t>Cacuia</t>
  </si>
  <si>
    <t>Caju</t>
  </si>
  <si>
    <t>Camorim</t>
  </si>
  <si>
    <t>Campinho</t>
  </si>
  <si>
    <t>Campo.dos.Afonsos</t>
  </si>
  <si>
    <t>Cmpo.Grande</t>
  </si>
  <si>
    <t>Cascadura</t>
  </si>
  <si>
    <t>Catete</t>
  </si>
  <si>
    <t>Catumbi</t>
  </si>
  <si>
    <t>Cavalcanti</t>
  </si>
  <si>
    <t>Centro</t>
  </si>
  <si>
    <t>Cidade.de.Deus</t>
  </si>
  <si>
    <t>Cidade.Nova</t>
  </si>
  <si>
    <t>Cidade.Universitária</t>
  </si>
  <si>
    <t>Cocotá</t>
  </si>
  <si>
    <t>Coelho.Neto</t>
  </si>
  <si>
    <t>Colégio</t>
  </si>
  <si>
    <t>Complexo.do.Alemão</t>
  </si>
  <si>
    <t>Copacabana</t>
  </si>
  <si>
    <t>Cordovil</t>
  </si>
  <si>
    <t>Cosme.Velho</t>
  </si>
  <si>
    <t>Cosmos</t>
  </si>
  <si>
    <t>Costa.Barros</t>
  </si>
  <si>
    <t>Curicica</t>
  </si>
  <si>
    <t>Del.Castilho</t>
  </si>
  <si>
    <t>Deodoro</t>
  </si>
  <si>
    <t>Encantado</t>
  </si>
  <si>
    <t>Engenheiro.Leal</t>
  </si>
  <si>
    <t>Engenho.da.Rainha</t>
  </si>
  <si>
    <t>Engenho.de.Dentro</t>
  </si>
  <si>
    <t>Engenho.Novo</t>
  </si>
  <si>
    <t>Estácio</t>
  </si>
  <si>
    <t>Flamengo</t>
  </si>
  <si>
    <t>Freguesia.Ilha</t>
  </si>
  <si>
    <t>Freguesia.Jacarepaguá</t>
  </si>
  <si>
    <t>Galeão</t>
  </si>
  <si>
    <t>Gamboa</t>
  </si>
  <si>
    <t>Gardênia.Azul</t>
  </si>
  <si>
    <t>Gávea</t>
  </si>
  <si>
    <t>Gericinó</t>
  </si>
  <si>
    <t>Glória</t>
  </si>
  <si>
    <t>Grajaú</t>
  </si>
  <si>
    <t>Grumari</t>
  </si>
  <si>
    <t>Guadalupe</t>
  </si>
  <si>
    <t>Guaratiba</t>
  </si>
  <si>
    <t>Higienópolis</t>
  </si>
  <si>
    <t>Honório.Gurgel</t>
  </si>
  <si>
    <t>Humaitá</t>
  </si>
  <si>
    <t>Ilha.de.Guaratiba</t>
  </si>
  <si>
    <t>Inhaúma</t>
  </si>
  <si>
    <t>Inhoaíba</t>
  </si>
  <si>
    <t>Ipanema</t>
  </si>
  <si>
    <t>Irajá</t>
  </si>
  <si>
    <t>Itanhangá</t>
  </si>
  <si>
    <t>Jabour</t>
  </si>
  <si>
    <t>Jacaré</t>
  </si>
  <si>
    <t>Jacarepaguá</t>
  </si>
  <si>
    <t>Jacarezinho</t>
  </si>
  <si>
    <t>Jardim.América</t>
  </si>
  <si>
    <t>Jardim.Botânico</t>
  </si>
  <si>
    <t>Jardim.Carioca</t>
  </si>
  <si>
    <t>Jardim.Guanabara</t>
  </si>
  <si>
    <t>Jardim.Sulacap</t>
  </si>
  <si>
    <t>Joá</t>
  </si>
  <si>
    <t>Lagoa</t>
  </si>
  <si>
    <t>Lapa</t>
  </si>
  <si>
    <t>Laranjeiras</t>
  </si>
  <si>
    <t>Leblon</t>
  </si>
  <si>
    <t>Leme</t>
  </si>
  <si>
    <t>Lins.de.Vasconcelos</t>
  </si>
  <si>
    <t>Madureira</t>
  </si>
  <si>
    <t>Magalhães.Bastos</t>
  </si>
  <si>
    <t>Mangueira</t>
  </si>
  <si>
    <t>Manguinhos</t>
  </si>
  <si>
    <t>Maracanã</t>
  </si>
  <si>
    <t>Maré</t>
  </si>
  <si>
    <t>Marechal.Hermes</t>
  </si>
  <si>
    <t>Maria.da.Graça</t>
  </si>
  <si>
    <t>Méier</t>
  </si>
  <si>
    <t>Moneró</t>
  </si>
  <si>
    <t>Olaria</t>
  </si>
  <si>
    <t>Osvaldo.Cruz</t>
  </si>
  <si>
    <t>Paciência</t>
  </si>
  <si>
    <t>Padre.Miguel</t>
  </si>
  <si>
    <t>Paquetá</t>
  </si>
  <si>
    <t>Parada.de.Lucas</t>
  </si>
  <si>
    <t>Parque.Anchieta</t>
  </si>
  <si>
    <t>Parque.Colúmbia</t>
  </si>
  <si>
    <t>Pavuna</t>
  </si>
  <si>
    <t>Pechincha</t>
  </si>
  <si>
    <t>Pedra.de.Guaratiba</t>
  </si>
  <si>
    <t>Penha</t>
  </si>
  <si>
    <t>Penha.Circular</t>
  </si>
  <si>
    <t>Piedade</t>
  </si>
  <si>
    <t>Pilares</t>
  </si>
  <si>
    <t>Pitangueiras</t>
  </si>
  <si>
    <t>Portuguesa</t>
  </si>
  <si>
    <t>Praça.da.Bandeira</t>
  </si>
  <si>
    <t>Praça.Seca</t>
  </si>
  <si>
    <t>Praia.da.Bandeira</t>
  </si>
  <si>
    <t>Quintino.Bocaiúva</t>
  </si>
  <si>
    <t>Ramos</t>
  </si>
  <si>
    <t>Realengo</t>
  </si>
  <si>
    <t>Recreio.dos.Bandeirantes</t>
  </si>
  <si>
    <t>Riachuelo</t>
  </si>
  <si>
    <t>Ribeira</t>
  </si>
  <si>
    <t>Ricardo.de.Albuquerque</t>
  </si>
  <si>
    <t>Rio.Comprido</t>
  </si>
  <si>
    <t>Rocha</t>
  </si>
  <si>
    <t>Rocha.Miranda</t>
  </si>
  <si>
    <t>Rocinha</t>
  </si>
  <si>
    <t>Sampaio</t>
  </si>
  <si>
    <t>Santa.Cruz</t>
  </si>
  <si>
    <t>Santa.Teresa</t>
  </si>
  <si>
    <t>Santíssimo</t>
  </si>
  <si>
    <t>Santo.Cristo</t>
  </si>
  <si>
    <t>São.Conrado</t>
  </si>
  <si>
    <t>São.Cristóvão</t>
  </si>
  <si>
    <t>São.Francisco.Xavier</t>
  </si>
  <si>
    <t>Senador.Camará</t>
  </si>
  <si>
    <t>Senador.Vasconcelos</t>
  </si>
  <si>
    <t>Sepetiba</t>
  </si>
  <si>
    <t>Tanque</t>
  </si>
  <si>
    <t>Taquara</t>
  </si>
  <si>
    <t>Tauá</t>
  </si>
  <si>
    <t>Tijuca</t>
  </si>
  <si>
    <t>Todos.os.Santos</t>
  </si>
  <si>
    <t>Tomás.Coelho</t>
  </si>
  <si>
    <t>Turiaçú</t>
  </si>
  <si>
    <t>Urca</t>
  </si>
  <si>
    <t>Vargem.Grande</t>
  </si>
  <si>
    <t>Vargem.Pequena</t>
  </si>
  <si>
    <t>Vasco.da.Gama</t>
  </si>
  <si>
    <t>Vaz.Lobo</t>
  </si>
  <si>
    <t>Vicente.de.Carvalho</t>
  </si>
  <si>
    <t>Vidigal</t>
  </si>
  <si>
    <t>Vigário.Geral</t>
  </si>
  <si>
    <t>Vila.da.Penha</t>
  </si>
  <si>
    <t>Vila.Isabel</t>
  </si>
  <si>
    <t>Vila.Kennedy</t>
  </si>
  <si>
    <t>Vila.Kosmos</t>
  </si>
  <si>
    <t>Vila.Militar</t>
  </si>
  <si>
    <t>Vila.Valqueire</t>
  </si>
  <si>
    <t>Vista.Alegre</t>
  </si>
  <si>
    <t>Zumbi</t>
  </si>
  <si>
    <t>Macrozona.01</t>
  </si>
  <si>
    <t>"Macrozona de Estruturação Urbana"</t>
  </si>
  <si>
    <t>Macrozona.02</t>
  </si>
  <si>
    <t>"Macrozona de Redução da Vulnerabilidade"</t>
  </si>
  <si>
    <t>Macrozona.03</t>
  </si>
  <si>
    <t>"Macrozona de Desenvolvimento Estratégico"</t>
  </si>
  <si>
    <t>Macrozona.04</t>
  </si>
  <si>
    <t>"Macrozona de Controle da Ocupação"</t>
  </si>
  <si>
    <t>Macrozona.05</t>
  </si>
  <si>
    <t>"Macrozona de Requalificação Urbana"</t>
  </si>
  <si>
    <t>Macrozona.06</t>
  </si>
  <si>
    <t>"Macrozona de Proteção Integral"</t>
  </si>
  <si>
    <t>Macrozona.07</t>
  </si>
  <si>
    <t>"Macrozona de Uso Sustentável"</t>
  </si>
  <si>
    <t>ZA</t>
  </si>
  <si>
    <t>"Zona de Adensamento"</t>
  </si>
  <si>
    <t>ZCA1</t>
  </si>
  <si>
    <t>"Zona de Conservação Ambiental"</t>
  </si>
  <si>
    <t>ZCA2</t>
  </si>
  <si>
    <t>ZCC</t>
  </si>
  <si>
    <t>"Zona de Conservação Cultural"</t>
  </si>
  <si>
    <t>ZCS</t>
  </si>
  <si>
    <t>"Zona de Conservação de Serviços"</t>
  </si>
  <si>
    <t>ZDM</t>
  </si>
  <si>
    <t>"Zona de Desenvolvimento Misto"</t>
  </si>
  <si>
    <t>ZEI</t>
  </si>
  <si>
    <t>"Zona de Expansão Industrial"</t>
  </si>
  <si>
    <t>ZEIS1</t>
  </si>
  <si>
    <t>"Zona de Especial Interesse Social"</t>
  </si>
  <si>
    <t>ZEIS2</t>
  </si>
  <si>
    <t>ZEITE</t>
  </si>
  <si>
    <t>"Zona de Especial de Interesse Turístico e Econômico"</t>
  </si>
  <si>
    <t>ZFU</t>
  </si>
  <si>
    <t>"Zona de Faixa Urbana"</t>
  </si>
  <si>
    <t>ZOE</t>
  </si>
  <si>
    <t>"Zona de  Ocupação Especial"</t>
  </si>
  <si>
    <t>ZPP</t>
  </si>
  <si>
    <t>"Zona de Proteção Paisagística"</t>
  </si>
  <si>
    <t>ZRM1</t>
  </si>
  <si>
    <t>"Zona Residencial Mista"</t>
  </si>
  <si>
    <t>ZRM2</t>
  </si>
  <si>
    <t>ZRM3</t>
  </si>
  <si>
    <t>ZRU1</t>
  </si>
  <si>
    <t>"Zona Residencial Unifamiliar"</t>
  </si>
  <si>
    <t>ZRU2</t>
  </si>
  <si>
    <t>ZUM</t>
  </si>
  <si>
    <t>"Zona de Uso Misto"</t>
  </si>
  <si>
    <t>ZUPI</t>
  </si>
  <si>
    <t>"Zona de Uso Predominantemente Industrial"</t>
  </si>
  <si>
    <t>"Zona Norte"</t>
  </si>
  <si>
    <t>"Zona Grande Tijuca"</t>
  </si>
  <si>
    <t>"Zona Jacarepaguá"</t>
  </si>
  <si>
    <t>"Zona Ilhas"</t>
  </si>
  <si>
    <t>"Zona Grande Bangú"</t>
  </si>
  <si>
    <t>"Zona Barra da Tijuca"</t>
  </si>
  <si>
    <t>"Zona Oeste"</t>
  </si>
  <si>
    <t>"Zona Centro"</t>
  </si>
  <si>
    <t>"Zona Sul"</t>
  </si>
  <si>
    <t>nome</t>
  </si>
  <si>
    <t>latitude</t>
  </si>
  <si>
    <t>longitude</t>
  </si>
  <si>
    <t>"Catálogo de elementos de infrestrutura portuária."</t>
  </si>
  <si>
    <t>EM.REBOC</t>
  </si>
  <si>
    <t>"Embarcação tipo Rebocador."</t>
  </si>
  <si>
    <t>"ReBoca"</t>
  </si>
  <si>
    <t>classe.ifc</t>
  </si>
  <si>
    <t>"IMO 0000111"</t>
  </si>
  <si>
    <t>"100000002"</t>
  </si>
  <si>
    <t>"Navio tipo petroleiro de médio porte."</t>
  </si>
  <si>
    <t>"Petro-Medio"</t>
  </si>
  <si>
    <t>"IMO 0000001"</t>
  </si>
  <si>
    <t>"100000000"</t>
  </si>
  <si>
    <t>eslora</t>
  </si>
  <si>
    <t>calado</t>
  </si>
  <si>
    <t>manga</t>
  </si>
  <si>
    <t>tripulação.média</t>
  </si>
  <si>
    <t>dwt.mínimo</t>
  </si>
  <si>
    <t>dwt.máximo</t>
  </si>
  <si>
    <t>é.carregado.com</t>
  </si>
  <si>
    <t>CDryBox</t>
  </si>
  <si>
    <t>"Navio tipo de cargas para navegação costeira."</t>
  </si>
  <si>
    <t>"Costa-Carga"</t>
  </si>
  <si>
    <t>"IMO 0000011"</t>
  </si>
  <si>
    <t>"100000001"</t>
  </si>
  <si>
    <t>"Navio tipo Handysize."</t>
  </si>
  <si>
    <t>"Handy"</t>
  </si>
  <si>
    <t>"IMO 0001111"</t>
  </si>
  <si>
    <t>"100000003"</t>
  </si>
  <si>
    <t>"Navio tipo Handymax."</t>
  </si>
  <si>
    <t>"HanMax"</t>
  </si>
  <si>
    <t>"IMO 0011111"</t>
  </si>
  <si>
    <t>"100000004"</t>
  </si>
  <si>
    <t>"Navio tipo Supramax."</t>
  </si>
  <si>
    <t>"Maxim"</t>
  </si>
  <si>
    <t>"IMO 0111111"</t>
  </si>
  <si>
    <t>"100000005"</t>
  </si>
  <si>
    <t>"Navio tipo Panamax."</t>
  </si>
  <si>
    <t>"NaNamax."</t>
  </si>
  <si>
    <t>"IMO 1111111"</t>
  </si>
  <si>
    <t>"100000006"</t>
  </si>
  <si>
    <t>"Navio tipo Neopanamax."</t>
  </si>
  <si>
    <t>"NeoMax"</t>
  </si>
  <si>
    <t>"IMO 2222222"</t>
  </si>
  <si>
    <t>"100000007"</t>
  </si>
  <si>
    <t>"Navio tipo Aframax."</t>
  </si>
  <si>
    <t>"Frica-Max"</t>
  </si>
  <si>
    <t>"IMO 0222222"</t>
  </si>
  <si>
    <t>"100000008"</t>
  </si>
  <si>
    <t>"Navio tipo Suezmax."</t>
  </si>
  <si>
    <t>"SuMax."</t>
  </si>
  <si>
    <t>"IMO 0022222"</t>
  </si>
  <si>
    <t>"100000009"</t>
  </si>
  <si>
    <t>"Navio tipo Capesize."</t>
  </si>
  <si>
    <t>"PepeSiz"</t>
  </si>
  <si>
    <t>"IMO 0002222"</t>
  </si>
  <si>
    <t>"100000010"</t>
  </si>
  <si>
    <t>"China-01"</t>
  </si>
  <si>
    <t>"IMO 0000222"</t>
  </si>
  <si>
    <t>"100000011"</t>
  </si>
  <si>
    <t>"SuP-01"</t>
  </si>
  <si>
    <t>"IMO 0000022"</t>
  </si>
  <si>
    <t>"100000012"</t>
  </si>
  <si>
    <t>"Ultra"</t>
  </si>
  <si>
    <t>"IMO 0000002"</t>
  </si>
  <si>
    <t>"100000013"</t>
  </si>
  <si>
    <t>"Navio tipo cruzeiro turístico médio."</t>
  </si>
  <si>
    <t>"DelMarTur"</t>
  </si>
  <si>
    <t>"IMO 3333333"</t>
  </si>
  <si>
    <t>"100000014"</t>
  </si>
  <si>
    <t>tripulação</t>
  </si>
  <si>
    <t>companhia</t>
  </si>
  <si>
    <t>"Imaginária"</t>
  </si>
  <si>
    <t>"Gás Natural Liquefeito (GNL) e células de combustível"</t>
  </si>
  <si>
    <t>"Navio tipo cruzeiro turístico."</t>
  </si>
  <si>
    <t>"Icon of the Seas"</t>
  </si>
  <si>
    <t>"IMO 9824146"</t>
  </si>
  <si>
    <t>"Royal Caribean"</t>
  </si>
  <si>
    <t>tonelagem.bruta</t>
  </si>
  <si>
    <t>"Wonder of the Seas"</t>
  </si>
  <si>
    <t>"IMO 9838345"</t>
  </si>
  <si>
    <t>"311001033"</t>
  </si>
  <si>
    <t>"Diesel Marítimo de Baixo Teor de Enxofre (LSMGO Low Sulfur Marine Gas Oil)"</t>
  </si>
  <si>
    <t>"MSC World Europa"</t>
  </si>
  <si>
    <t>"IMO 9837420"</t>
  </si>
  <si>
    <t>"MSC Cruzeiros"</t>
  </si>
  <si>
    <t>"Gás Natural Liquefeito (GNL)"</t>
  </si>
  <si>
    <t>"Oasis of the Seas"</t>
  </si>
  <si>
    <t>"IMO 9383936"</t>
  </si>
  <si>
    <t>"311020600"</t>
  </si>
  <si>
    <t>"Diesel Marítimo (LSMGO Low Sulfur Marine Gas Oil) e óleo combustível pesado (HFO – Heavy Fuel Oil)"</t>
  </si>
  <si>
    <t>"Queen Mary 2"</t>
  </si>
  <si>
    <t>"IMO 9241061"</t>
  </si>
  <si>
    <t>"310627000"</t>
  </si>
  <si>
    <t>"Cunard Line"</t>
  </si>
  <si>
    <t>"Diesel Marítimo e Turbinas a Gás"</t>
  </si>
  <si>
    <t>"Norwegian Epic"</t>
  </si>
  <si>
    <t>"IMO 9410569"</t>
  </si>
  <si>
    <t>"311018500"</t>
  </si>
  <si>
    <t>"Norwegian Cruise Line"</t>
  </si>
  <si>
    <t>"Viking Star"</t>
  </si>
  <si>
    <t>"IMO 9650418"</t>
  </si>
  <si>
    <t>"257903000"</t>
  </si>
  <si>
    <t>"Viking Ocean Cruises"</t>
  </si>
  <si>
    <t>"Diesel-elétrico"</t>
  </si>
  <si>
    <t>"Conteiner de carga padrão de 20 pés."</t>
  </si>
  <si>
    <t>"DeckLog Transportes"</t>
  </si>
  <si>
    <t>comprimento</t>
  </si>
  <si>
    <t>largura</t>
  </si>
  <si>
    <t>altura</t>
  </si>
  <si>
    <t>C40PES</t>
  </si>
  <si>
    <t>"Conteiner de carga padrão de 40 pés."</t>
  </si>
  <si>
    <t>CHCube40</t>
  </si>
  <si>
    <t>"Conteiner de carga de 40 pés alto."</t>
  </si>
  <si>
    <t>CHCube45</t>
  </si>
  <si>
    <t>"Conteiner de carga de 45 pés alto."</t>
  </si>
  <si>
    <t>Reefer20</t>
  </si>
  <si>
    <t>"Conteiner refrigerado de 20 pés."</t>
  </si>
  <si>
    <t>comprimento.interno</t>
  </si>
  <si>
    <t>largura.interna</t>
  </si>
  <si>
    <t>altura.interna</t>
  </si>
  <si>
    <t>Reefer40</t>
  </si>
  <si>
    <t>"Conteiner refrigerado de 40 pés."</t>
  </si>
  <si>
    <t>PORTO.RIO</t>
  </si>
  <si>
    <t>"Representa um elemento que define todo o Porto de Rio de Janeiro."</t>
  </si>
  <si>
    <t>"Porto do Rio de Janeiro"</t>
  </si>
  <si>
    <t>quantidade.de.berços</t>
  </si>
  <si>
    <t>profundidade</t>
  </si>
  <si>
    <t>cais.acostável</t>
  </si>
  <si>
    <t>CAISRIO</t>
  </si>
  <si>
    <t>é.pertencente.a</t>
  </si>
  <si>
    <t>"Representa um elemento que define o Cais do Porto de Rio de Janeiro."</t>
  </si>
  <si>
    <t>"Cais do Porto do Rio de Janeiro"</t>
  </si>
  <si>
    <t>PIERMAUA</t>
  </si>
  <si>
    <t>"Representa um elemento que define o Pier do Porto de Rio de Janeiro na região da Praça Mauá."</t>
  </si>
  <si>
    <t>"Pier da Praça Mauá"</t>
  </si>
  <si>
    <t>FAR.IRASA</t>
  </si>
  <si>
    <t>"Representa um elemento que define o farol (Lighthouse) de acesso à Baia de Guanabara em Rio de Janeiro."</t>
  </si>
  <si>
    <t>"Farol da Ilha Rasa"</t>
  </si>
  <si>
    <t>ARMAZEN.1</t>
  </si>
  <si>
    <t>"Armazen n° 1 do Porto do Rio de Janeiro."</t>
  </si>
  <si>
    <t>"Armazen 1"</t>
  </si>
  <si>
    <t>de.arrendamento</t>
  </si>
  <si>
    <t>"Arrendamento"</t>
  </si>
  <si>
    <t>"Píer Mauá"</t>
  </si>
  <si>
    <t>ARMAZEN.2</t>
  </si>
  <si>
    <t>"Armazen n° 2 do Porto do Rio de Janeiro."</t>
  </si>
  <si>
    <t>"Armazen 2"</t>
  </si>
  <si>
    <t>ARMAZEN.3</t>
  </si>
  <si>
    <t>"Armazen n° 3 do Porto do Rio de Janeiro."</t>
  </si>
  <si>
    <t>"Armazen 3"</t>
  </si>
  <si>
    <t>ARMAZEN.4</t>
  </si>
  <si>
    <t>"Armazen n° 4 do Porto do Rio de Janeiro."</t>
  </si>
  <si>
    <t>"Armazen 4"</t>
  </si>
  <si>
    <t>ARMAZEN.5</t>
  </si>
  <si>
    <t>"Armazen n° 5 do Porto do Rio de Janeiro."</t>
  </si>
  <si>
    <t>"Armazen 5"</t>
  </si>
  <si>
    <t>"TPU"</t>
  </si>
  <si>
    <t>ARMAZEN.6</t>
  </si>
  <si>
    <t>"Armazen n° 6 do Porto do Rio de Janeiro."</t>
  </si>
  <si>
    <t>"Armazen 6"</t>
  </si>
  <si>
    <t>"Cessão de Uso "</t>
  </si>
  <si>
    <t>"Prefeitura"</t>
  </si>
  <si>
    <t>ARMAZEN.7</t>
  </si>
  <si>
    <t>"Armazen n° 7 do Porto do Rio de Janeiro."</t>
  </si>
  <si>
    <t>"Armazen 7"</t>
  </si>
  <si>
    <t>"Público"</t>
  </si>
  <si>
    <t>"CDRJ"</t>
  </si>
  <si>
    <t>PATIO.6</t>
  </si>
  <si>
    <t>"Patio n° 6-7 do Porto do Rio de Janeiro."</t>
  </si>
  <si>
    <t>"Pátio 6-7"</t>
  </si>
  <si>
    <t>PATIO.7</t>
  </si>
  <si>
    <t>"Patio n°7-8 do Porto do Rio de Janeiro."</t>
  </si>
  <si>
    <t>"Pátio 7-8"</t>
  </si>
  <si>
    <t>NRORD.2620</t>
  </si>
  <si>
    <t>"Boia de inicio do Canal de Aproximação ao Porto do Rio de Janeiro."</t>
  </si>
  <si>
    <t>"NRORD.2620"</t>
  </si>
  <si>
    <t>NRORD.2616</t>
  </si>
  <si>
    <t>"NRORD.2616"</t>
  </si>
  <si>
    <t>NRORD.2654</t>
  </si>
  <si>
    <t>"Boia de bifurcação de canal preferencial a boreste (VEV)."</t>
  </si>
  <si>
    <t>"NRORD.2654"</t>
  </si>
  <si>
    <t>Conceitos de elementos de infraestrutura. Inclui Portos, Ferrovias e Elementos Urbanos</t>
  </si>
  <si>
    <t>Metrovia</t>
  </si>
  <si>
    <t>Árvore</t>
  </si>
  <si>
    <t>Gramado</t>
  </si>
  <si>
    <t>Monumento</t>
  </si>
  <si>
    <t>Ornamento</t>
  </si>
  <si>
    <t>Fonte.Ornamental</t>
  </si>
  <si>
    <t>Poste.Luz.Pedestre</t>
  </si>
  <si>
    <t>Vagão.VLT</t>
  </si>
  <si>
    <t>Veículo Liviano sobre Trilhos (VLT). Sistema de vagones articulados y bidireccionales para transportar personas em superficie de entornos urbanos.</t>
  </si>
  <si>
    <t>Veículo Leve sobre Trilhos (VLT). Sistema de vagões articulados e bidirecionais para transportar pessoas no nível de entornos urbanos.</t>
  </si>
  <si>
    <t>Ônibus.BRT</t>
  </si>
  <si>
    <t>Veículo de transporte coletivo com mais de 20 passageiros.</t>
  </si>
  <si>
    <t>Veículo de transporte coletivo tipo Sistema Bus Rapid Transit (BRT). Sistema de ônibus urbano de alta capacidad que opera en carriles exclusivos.</t>
  </si>
  <si>
    <t>Veículo de transporte coletivo com até 20 passageiros.</t>
  </si>
  <si>
    <t>Vehículo de transporte público con más de 20 pasajeros.</t>
  </si>
  <si>
    <t>Vehículo de transporte público del sistema Bus Rapid Transit (BRT). Sistema de autobuses urbanos de alta capacidad que opera sobre rieles exclusivos.</t>
  </si>
  <si>
    <t>Vehículo de transporte público con capacidad para 20 pasajeros.</t>
  </si>
  <si>
    <t>Corredor.BRT</t>
  </si>
  <si>
    <t>Via urbana exclusiva para operação do BRT.</t>
  </si>
  <si>
    <t>Vía urbana exclusiva para operación del BRT.</t>
  </si>
  <si>
    <t>Metrovia.VLT</t>
  </si>
  <si>
    <t xml:space="preserve">Ferrovia urbana para VLT. Opera na superfície urbana e cumpre requisitos de acessibilidade. </t>
  </si>
  <si>
    <t xml:space="preserve">Ferrocarril urbano para VLT. Opera en la superficie urbana cumpliendo requisitos de accesibilidad. </t>
  </si>
  <si>
    <t>Estação.de.Trem</t>
  </si>
  <si>
    <t>Estação.de.Metro</t>
  </si>
  <si>
    <t>Estação.de.VLT</t>
  </si>
  <si>
    <t>Estação.de.Monotrilho</t>
  </si>
  <si>
    <t>Estação de trem.</t>
  </si>
  <si>
    <t>Estação de metro.</t>
  </si>
  <si>
    <t>Estação de VLT.</t>
  </si>
  <si>
    <t>Estação de monotrilho.</t>
  </si>
  <si>
    <t>Estación de tren.</t>
  </si>
  <si>
    <t>Estación de metro.</t>
  </si>
  <si>
    <t>Estación de VLT.</t>
  </si>
  <si>
    <t>Estación de monotrilho.</t>
  </si>
  <si>
    <t>Estação.de.Transferência</t>
  </si>
  <si>
    <t>Estação de transferência do mesmo modal.</t>
  </si>
  <si>
    <t>Estação de transferência multimodal.</t>
  </si>
  <si>
    <t>Estación de transferencia de pasajeros del mismo modal.</t>
  </si>
  <si>
    <t>Estación de transferencia de pasajeros multimodal.</t>
  </si>
  <si>
    <t>Estação.Terminal</t>
  </si>
  <si>
    <t>Estação terminal da linha.</t>
  </si>
  <si>
    <t>Estación terminal de la línea.</t>
  </si>
  <si>
    <t>Estação.Intermodal</t>
  </si>
  <si>
    <t>Ferrovia.Berma</t>
  </si>
  <si>
    <t>Área lateral à ferrovia, onde ficam equipamentos, sinalização e infraestrutura. Faixa de serviço.</t>
  </si>
  <si>
    <t>Zona junto a la vía férrea, donde se ubican los equipos, la señalización y la infraestructura. Faja de servício.</t>
  </si>
  <si>
    <t>Parte móvel de um Aparelho de Mudança de Via (AMV) que direciona o trem para diferentes trilhos.</t>
  </si>
  <si>
    <t>Parte móvil de un Aparato de Mudanza de Vía (AMV) que dirige el tren hacia diferentes ramales de vías.</t>
  </si>
  <si>
    <t>Ferrovia.Cancela</t>
  </si>
  <si>
    <t>Cancela ferroviária dispositivo de segurança instalado em passagens de nível local onde a linha férrea cruza vias urbanas ou rurais.</t>
  </si>
  <si>
    <t>Dispositivo de seguridad de barrera ferroviaria instalado en pasos a nivel locales donde la línea ferroviaria cruza vías urbanas o rurales.</t>
  </si>
  <si>
    <t>Poste.Luz.Viário</t>
  </si>
  <si>
    <t>Semáforo</t>
  </si>
  <si>
    <t>Sinal de trânsito urbano.</t>
  </si>
  <si>
    <t>Semáforo urbano.</t>
  </si>
  <si>
    <t>Edifício.Garagem</t>
  </si>
  <si>
    <t>Passarela.Urbana</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</si>
  <si>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</si>
  <si>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</si>
  <si>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</si>
  <si>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</si>
  <si>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</si>
  <si>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</si>
  <si>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</si>
  <si>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</si>
  <si>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</si>
  <si>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</si>
  <si>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</si>
  <si>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</si>
  <si>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</si>
  <si>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</si>
  <si>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</si>
  <si>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</si>
  <si>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</si>
  <si>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</si>
  <si>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</si>
  <si>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</si>
  <si>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</si>
  <si>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</si>
  <si>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</si>
  <si>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</si>
  <si>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</si>
  <si>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</si>
  <si>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</si>
  <si>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</si>
  <si>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</si>
  <si>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</si>
  <si>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Trilho.de.Contenção</t>
  </si>
  <si>
    <t>Trilho.de.Segurança</t>
  </si>
  <si>
    <t>Trilho.Regulador.de.Velocidade</t>
  </si>
  <si>
    <t>Dispositivo.de.Amarração</t>
  </si>
  <si>
    <t>Guincho.de.Amarração</t>
  </si>
  <si>
    <t>Cabeço.de.Amarração</t>
  </si>
  <si>
    <t>Amarra.de.Vácuo</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</si>
  <si>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</si>
  <si>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</si>
  <si>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</si>
  <si>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</si>
  <si>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</si>
  <si>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</si>
  <si>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</si>
  <si>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</si>
  <si>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</si>
  <si>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</si>
  <si>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</si>
  <si>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</si>
  <si>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</si>
  <si>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</si>
  <si>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</si>
  <si>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</si>
  <si>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Instituições.Públicas</t>
  </si>
  <si>
    <t>Serviços</t>
  </si>
  <si>
    <t>Educacionais</t>
  </si>
  <si>
    <t>Vias</t>
  </si>
  <si>
    <t>Faixas</t>
  </si>
  <si>
    <t>Proteções</t>
  </si>
  <si>
    <t>Obras.de.Arte.Especial</t>
  </si>
  <si>
    <t>Trens</t>
  </si>
  <si>
    <t>Ferrovias</t>
  </si>
  <si>
    <t>Infraestruturas</t>
  </si>
  <si>
    <t>Paisagísticas</t>
  </si>
  <si>
    <t>Urbanas</t>
  </si>
  <si>
    <t>Sinalizações</t>
  </si>
  <si>
    <t>Totem.Informativo</t>
  </si>
  <si>
    <t>Rodoviárias</t>
  </si>
  <si>
    <t>Ferroviárias</t>
  </si>
  <si>
    <t>Hidroviárias</t>
  </si>
  <si>
    <t>Vias.de.Navegação</t>
  </si>
  <si>
    <t>Navios</t>
  </si>
  <si>
    <t>Embarcações</t>
  </si>
  <si>
    <t>Amarrações</t>
  </si>
  <si>
    <t>Portos</t>
  </si>
  <si>
    <t>Portos.Defesas</t>
  </si>
  <si>
    <t>Portos.Docas</t>
  </si>
  <si>
    <t>Portos.Partes</t>
  </si>
  <si>
    <t>Portos.Zonas</t>
  </si>
  <si>
    <t>Ferrovias.Trilhos</t>
  </si>
  <si>
    <t>Ferrovias.Partes</t>
  </si>
  <si>
    <t>OAE.Partes</t>
  </si>
  <si>
    <t>Frações</t>
  </si>
  <si>
    <t>Zonificações</t>
  </si>
  <si>
    <t>Zona.de.Uso</t>
  </si>
  <si>
    <t>Terrenos</t>
  </si>
  <si>
    <t>Altimetrias</t>
  </si>
  <si>
    <t>Topografias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</si>
  <si>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</si>
  <si>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</si>
  <si>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</si>
  <si>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</si>
  <si>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</si>
  <si>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</si>
  <si>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</si>
  <si>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</si>
  <si>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</si>
  <si>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Veículos.Pesados</t>
  </si>
  <si>
    <t>Veículos.Leves</t>
  </si>
  <si>
    <t>Com peso bruto total (PBT) de até 3.500 kg são classificados como leves.  Veículo leve para transporte de até 5 passageiros.</t>
  </si>
  <si>
    <t>Com peso bruto total (PBT) de até 3.500 kg são classificados como leves. Similar ao automóvel, mas com compartimento de carga.</t>
  </si>
  <si>
    <t>Com peso bruto total (PBT) de até 3.500 kg são classificados como leves. Veículo misto com cabine e caçamba.</t>
  </si>
  <si>
    <t>Transportes</t>
  </si>
  <si>
    <t>Terrestres</t>
  </si>
  <si>
    <t>Aquáticos</t>
  </si>
  <si>
    <t>Aéreos</t>
  </si>
  <si>
    <t>Aviões</t>
  </si>
  <si>
    <t>Avioneta</t>
  </si>
  <si>
    <t>Helicópteros</t>
  </si>
  <si>
    <t>Jet.Executivo</t>
  </si>
  <si>
    <t>Jet executivo tipo Learjet.</t>
  </si>
  <si>
    <t>Avião de pequeno porte tipo avioneta turbohélice Cessna.</t>
  </si>
  <si>
    <t>Avião com dois corredores internos, usados em voos internacionais e de longa distância. Tipo Boeing ou AirBus.</t>
  </si>
  <si>
    <t>Avião com um corredor interno, usado em voo internacionais e de longa distância. Tipo Boeing ou AirBus.</t>
  </si>
  <si>
    <t>Helicóptero de pequeno porte.</t>
  </si>
  <si>
    <t>Helicoptero.Pistão</t>
  </si>
  <si>
    <t>Helicoptero.Turbina</t>
  </si>
  <si>
    <t>Helicóptero de grande porte.</t>
  </si>
  <si>
    <t>Vants</t>
  </si>
  <si>
    <t>Drone</t>
  </si>
  <si>
    <t>Drone ou UAS veículo aéreo não tripulado.</t>
  </si>
  <si>
    <t>Avión con dos pasillos internos, utilizado en vuelos internacionales y de larga distancia. Como Boeing o Airbus.</t>
  </si>
  <si>
    <t>Avión con pasillo interno, utilizado en vuelos internacionales y de larga distancia. Como Boeing o Airbus.</t>
  </si>
  <si>
    <t>Jet ejecutivo tipo Learjet.</t>
  </si>
  <si>
    <t>Avión pequeño tipo Cessna turbohélice.</t>
  </si>
  <si>
    <t>Helicóptero pequeño.</t>
  </si>
  <si>
    <t>Helicóptero grande.</t>
  </si>
  <si>
    <t>Vehículo aéreo no tripulado dron o UAS.</t>
  </si>
  <si>
    <t>Estação.Central</t>
  </si>
  <si>
    <t xml:space="preserve">Estação central da linha. Grandes estações tipo Central do Brasil, Leopoldina ou Retiro. </t>
  </si>
  <si>
    <t xml:space="preserve">Estación terminal de la línea. Grandes estaciones de trenes como la Central do Brasil, Leopoldina o Retiro. </t>
  </si>
  <si>
    <t>Estação.Rodoviária</t>
  </si>
  <si>
    <t>Estações.Rodoviárias</t>
  </si>
  <si>
    <t>Parada.de.Ônibus</t>
  </si>
  <si>
    <t>Ponto.de.Ônibus</t>
  </si>
  <si>
    <t>Terminal.Rodoviário</t>
  </si>
  <si>
    <t>Central.Rodoviário</t>
  </si>
  <si>
    <t xml:space="preserve">Estação terminal de ônibus interurbanos. </t>
  </si>
  <si>
    <t xml:space="preserve">Estação de ônibus. </t>
  </si>
  <si>
    <t xml:space="preserve">Ponto de ônibus urbano. </t>
  </si>
  <si>
    <t xml:space="preserve">Parada de ônibus urbano. </t>
  </si>
  <si>
    <t>Terminal de autobuses interurbanos.</t>
  </si>
  <si>
    <t>Estación de autobús.</t>
  </si>
  <si>
    <t>Parada de autobús urbano.</t>
  </si>
  <si>
    <t>Planejamentos</t>
  </si>
  <si>
    <t>Ocupações</t>
  </si>
  <si>
    <t>Construídas</t>
  </si>
  <si>
    <t>Organizativas</t>
  </si>
  <si>
    <t>Zona.de.Pátio</t>
  </si>
  <si>
    <t>Zona.de.Operação</t>
  </si>
  <si>
    <t>Zona.de.Fabricação</t>
  </si>
  <si>
    <t>Zona.de.Transbordo</t>
  </si>
  <si>
    <t>Zona.de.Estocagem</t>
  </si>
  <si>
    <t>NAVIO.PETRO</t>
  </si>
  <si>
    <t>NAVIO.CARGA</t>
  </si>
  <si>
    <t>NAVIO.HANDY</t>
  </si>
  <si>
    <t>NAVIO.HAMAX</t>
  </si>
  <si>
    <t>NAVIO.SUPRA</t>
  </si>
  <si>
    <t>NAVIO.PAMAX</t>
  </si>
  <si>
    <t>NAVIO.NEOPA</t>
  </si>
  <si>
    <t>NAVIO.AFMAX</t>
  </si>
  <si>
    <t>NAVIO.SUMAX</t>
  </si>
  <si>
    <t>NAVIO.SUPER</t>
  </si>
  <si>
    <t>NAVIO.CAPE</t>
  </si>
  <si>
    <t>NAVIO.ULTRA</t>
  </si>
  <si>
    <t>NAVIO.CHINA</t>
  </si>
  <si>
    <t>NAVIO.CruzeiroGeral</t>
  </si>
  <si>
    <t>NAVIO.ISeas</t>
  </si>
  <si>
    <t>NAVIO.WSeas</t>
  </si>
  <si>
    <t>NAVIO.MSCWE</t>
  </si>
  <si>
    <t>NAVIO.OSeas</t>
  </si>
  <si>
    <t>NAVIO.QMary2</t>
  </si>
  <si>
    <t>NAVIO.NEpic</t>
  </si>
  <si>
    <t>NAVIO.VikStar</t>
  </si>
  <si>
    <t>Vant</t>
  </si>
  <si>
    <t>UAS</t>
  </si>
  <si>
    <t>Veículos.Maquinária</t>
  </si>
  <si>
    <t>Ferroviários</t>
  </si>
  <si>
    <t>Trem.de.Alta.Velocidade</t>
  </si>
  <si>
    <t xml:space="preserve">Trem de levitação magnética ou Maglev. Transita numa linha elevada sobre o chão que se propulsiona pelas forças atrativas e repulsivas do magnetismo usando supercondutores. </t>
  </si>
  <si>
    <t>Trem Bala ou de alta velocidade. Transita em velocidades que podem chegar a 300 km/h.</t>
  </si>
  <si>
    <t>Tren bala o de alta velocidad. Viaja a velocidades que pueden alcanzar los 300 km/h.</t>
  </si>
  <si>
    <t>Tren de levitación magnética o Maglev. Viaja en una línea elevada sobre el suelo que es impulsada por las fuerzas de atracción y repulsión del magnetismo utilizando superconductores.</t>
  </si>
  <si>
    <t>Trem.Bala</t>
  </si>
  <si>
    <t>MagLev</t>
  </si>
  <si>
    <t>Avião.de.Fuselagem.Estreita</t>
  </si>
  <si>
    <t>Avião.de.Fuselagem.Larga</t>
  </si>
  <si>
    <t>Trator</t>
  </si>
  <si>
    <t xml:space="preserve">Escavadeira.Hidráulica </t>
  </si>
  <si>
    <t>Retroescavadeira</t>
  </si>
  <si>
    <t>Motoniveladora</t>
  </si>
  <si>
    <t>Empilhadeira</t>
  </si>
  <si>
    <t>Munk</t>
  </si>
  <si>
    <t>Veículo de obra tipo caminão com guindaste incorporado.</t>
  </si>
  <si>
    <t>Veículo de obra tipo empilhadera para movimentação e empilhamento de paletes.</t>
  </si>
  <si>
    <t>Veículo de obra tipo caminão com sistema de içamento telescópico com alcance horizontal e vertical incorporado.</t>
  </si>
  <si>
    <t>Vehículo de construcción tipo carretilla elevadora para manipulación y apilamiento de palets.</t>
  </si>
  <si>
    <t>Vehículo de construcción tipo camión con grúa incorporada.</t>
  </si>
  <si>
    <t>Vehículo de construcción tipo camión con sistema de elevación telescópico con alcance horizontal y vertical incorporado.</t>
  </si>
  <si>
    <t>Guindaste.Telescópico</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</si>
  <si>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</si>
  <si>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</si>
  <si>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</si>
  <si>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</si>
  <si>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</si>
  <si>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</si>
  <si>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</si>
  <si>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</si>
  <si>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</si>
  <si>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</si>
  <si>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</si>
  <si>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</si>
  <si>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</si>
  <si>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</si>
  <si>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</si>
  <si>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</si>
  <si>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</si>
  <si>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</si>
  <si>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</si>
  <si>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</si>
  <si>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</si>
  <si>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</si>
  <si>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Capital.</t>
  </si>
  <si>
    <t>Cidade.</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</si>
  <si>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</si>
  <si>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</si>
  <si>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</si>
  <si>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</si>
  <si>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</si>
  <si>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</si>
  <si>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</si>
  <si>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</si>
  <si>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</si>
  <si>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</si>
  <si>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</si>
  <si>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</si>
  <si>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</si>
  <si>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</si>
  <si>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</si>
  <si>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</si>
  <si>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</si>
  <si>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</si>
  <si>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</si>
  <si>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</si>
  <si>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</si>
  <si>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</si>
  <si>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</si>
  <si>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</si>
  <si>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</si>
  <si>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</si>
  <si>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</si>
  <si>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</si>
  <si>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</si>
  <si>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</si>
  <si>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</si>
  <si>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</si>
  <si>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</si>
  <si>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</si>
  <si>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</si>
  <si>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</si>
  <si>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</si>
  <si>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</si>
  <si>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</si>
  <si>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</si>
  <si>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</si>
  <si>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</si>
  <si>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</si>
  <si>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Elemento de parquisação urbana: Lagoa.</t>
  </si>
  <si>
    <t>Totem de informação urbana.</t>
  </si>
  <si>
    <t>Elemento de parquisação urbana: Ornamento urbano.</t>
  </si>
  <si>
    <t>Elemento de parquisação urbana: Árvore.</t>
  </si>
  <si>
    <t>Elemento de parquisação urbana: Monumento urbano.</t>
  </si>
  <si>
    <t>Elemento de parquisação urbana: Fonte ornamental.</t>
  </si>
  <si>
    <t>Elemento de parquisação urbana: Área coberta por gramado.</t>
  </si>
  <si>
    <t>Poste de luz de baixa altura para pedestre.</t>
  </si>
  <si>
    <t>Poste de luz altos para iluminação de avenidas.</t>
  </si>
  <si>
    <t>Parte de uma Obra de Arte Especial: Treliças da ponte.</t>
  </si>
  <si>
    <t>Nível.de.Piso</t>
  </si>
  <si>
    <t>Níveis.Portuários</t>
  </si>
  <si>
    <t>Porto.de.Aguas.Profundas</t>
  </si>
  <si>
    <t>Complexo/instalação para receber navios de grande calado. Construído em área costeira com acesso direto ao oceano, sem necessidade de canais artificiais ou dragagens frequentes.</t>
  </si>
  <si>
    <t>Complexo/instalação para atividades marítimas, que inclui carga, pessoas e armazenagem.</t>
  </si>
  <si>
    <t>Nivel que representa la superficie de trabajo de elevación del muelle para su colocación.</t>
  </si>
  <si>
    <t>Guindastes</t>
  </si>
  <si>
    <t>Guindaste.Móvel</t>
  </si>
  <si>
    <t>Guindaste.Torre</t>
  </si>
  <si>
    <t>Estrutura de operação tipo guindaste movimentado sobre trilhos.</t>
  </si>
  <si>
    <t>Guindaste.Lança</t>
  </si>
  <si>
    <t>Estrutura de operação tipo guindaste de pequeno porte que pode operar por rotação e translação.</t>
  </si>
  <si>
    <t>Estrutura de operação tipo guindaste torre alta que pode operar por rotação e translação.</t>
  </si>
  <si>
    <t>Guindaste.Ponte</t>
  </si>
  <si>
    <t>Estrutura de operação tipo guindaste em formato de pórtico.</t>
  </si>
  <si>
    <t>Contenedor.de.Carga</t>
  </si>
  <si>
    <t>Redes.Fornecedoras</t>
  </si>
  <si>
    <t>Rede.de.Agua</t>
  </si>
  <si>
    <t>Rede.de.Substâncias</t>
  </si>
  <si>
    <t>Sistema de rede de fornecimento de substâncias (combustíveis, por exemplo).</t>
  </si>
  <si>
    <t>Suministro de sustancias.</t>
  </si>
  <si>
    <t>Rede.de.Combustíveis</t>
  </si>
  <si>
    <t>Suministro de combustibles.</t>
  </si>
  <si>
    <t>Rede.de.Operacionalização</t>
  </si>
  <si>
    <t>Sistema de substâncias operacionais (combustíveis, líquidos hospitalares, etc.).</t>
  </si>
  <si>
    <t>Suministro de líquidos operativos.</t>
  </si>
  <si>
    <t>Redes.Coletoras</t>
  </si>
  <si>
    <t>Rede.de.Tormenta</t>
  </si>
  <si>
    <t>Sistema urbano de águas pluviais (aguas de tormentas que correm pela superfície urbana).</t>
  </si>
  <si>
    <t>Sistema de aguas pluviales urbanas (aguas pluviales que atraviesan la superficie urbana).</t>
  </si>
  <si>
    <t>Rede.de.Agua.Residual</t>
  </si>
  <si>
    <t>Sistema de aguas de reciclagem (água que foi afetada negativamente por influência antropogênica).</t>
  </si>
  <si>
    <t>Sistema de agua de reciclaje (agua que ha sido afectada negativamente por la influencia antropogénica).</t>
  </si>
  <si>
    <t>Rede.de.Esgoto</t>
  </si>
  <si>
    <t>Sistema urbano de coleta de esgotos.</t>
  </si>
  <si>
    <t>Sistema colector de aguas residuales urbanas.</t>
  </si>
  <si>
    <t>Rede.de.Descartes</t>
  </si>
  <si>
    <t>Sistema de rede de esgoto de substâncias (substâncias especiais, por exemplo).</t>
  </si>
  <si>
    <t>Sistema de alcantarillado para sustancias (sustancias especiales, por ejemplo).</t>
  </si>
  <si>
    <t>Rede.de.Hospitalares</t>
  </si>
  <si>
    <t>Sistema de rede de gás ou líquido hospitalar.</t>
  </si>
  <si>
    <t>Sistema de red de gas o líquido hospitalario.</t>
  </si>
  <si>
    <t>Redes.Elétricas</t>
  </si>
  <si>
    <t>Redes.de.Transmissão</t>
  </si>
  <si>
    <t>Rede.de.Alta.Tensão</t>
  </si>
  <si>
    <t>Linha elétrica de transmissão de Alta Tensão com mais de 69 kV.</t>
  </si>
  <si>
    <t>Redes.de.Distribuição</t>
  </si>
  <si>
    <t>Rede.de.MT.Subterrânea</t>
  </si>
  <si>
    <t>Rede elétrica subterrânea de Média Tensão  entre 1 kV e 69 kV.</t>
  </si>
  <si>
    <t>Rede.de.BT.Aérea</t>
  </si>
  <si>
    <t>Rede elétrica aérea de Baixa Tensão até 1.000 volts (1Kv).</t>
  </si>
  <si>
    <t>Rede.de.BT.Subterrânea</t>
  </si>
  <si>
    <t>Rede elétrica subterrânea de Baixa Tensão até 1.000 volts (1Kv).</t>
  </si>
  <si>
    <t>Redes.de.Iluminação</t>
  </si>
  <si>
    <t>Rede elétrica de iluminação pública urbana.</t>
  </si>
  <si>
    <t>Rede elétrica de sinalização pública urbana (Sinais de trânsito e totems).</t>
  </si>
  <si>
    <t>Red eléctrica de señalización pública urbana (señales de tráfico y tótems).</t>
  </si>
  <si>
    <t>Rede de Fibra Ótica aérea.</t>
  </si>
  <si>
    <t>Rede de telefonia aérea.</t>
  </si>
  <si>
    <t>Rede dados lógica aérea.</t>
  </si>
  <si>
    <t>Rede Internet Fixa aérea.</t>
  </si>
  <si>
    <t>Rede Internet Móvel aérea.</t>
  </si>
  <si>
    <t>Rede de telefonia subterrânea.</t>
  </si>
  <si>
    <t>Rede dados lógica subterrânea.</t>
  </si>
  <si>
    <t>Rede Internet Fixa subterrânea.</t>
  </si>
  <si>
    <t>Redes</t>
  </si>
  <si>
    <t>Materialidade</t>
  </si>
  <si>
    <t>Da.Tubulação</t>
  </si>
  <si>
    <t>Materiais</t>
  </si>
  <si>
    <t>Tubos.de.FoFo</t>
  </si>
  <si>
    <t>Tubo de Ferro Fundido para redes de agua e esgoto de saneamento básico.</t>
  </si>
  <si>
    <t>Tubos.de.PVC</t>
  </si>
  <si>
    <t>Tubo de PVC (Policloreto de Vinila) para redes de agua e esgoto doméstica.</t>
  </si>
  <si>
    <t>Tubos.de.PVC.O</t>
  </si>
  <si>
    <t xml:space="preserve">Tubo de PVC Orientado (Policloreto de Vinila). Material mais resistente que PVC normal para redes de água e esgoto. </t>
  </si>
  <si>
    <t>Tubos.de.Latão</t>
  </si>
  <si>
    <t>Tubo de latão para redes de água.</t>
  </si>
  <si>
    <t>Tubos.de.Cobre</t>
  </si>
  <si>
    <t>Tubo de cobre para redes de água quente ou gás.</t>
  </si>
  <si>
    <t>Tubos.de.PEAD</t>
  </si>
  <si>
    <t>Tubo de termofusão PEAD (Polietileno de Alta Densidade).</t>
  </si>
  <si>
    <t>Tubo de termofusión de PEAD (polietileno de alta densidad).</t>
  </si>
  <si>
    <t>Tubos.de.Aço</t>
  </si>
  <si>
    <t>Tubo de aço para canalizações.</t>
  </si>
  <si>
    <t>Tubo de acero para canalizaciones.</t>
  </si>
  <si>
    <t>Redes.de.Fluídos</t>
  </si>
  <si>
    <t>Redes.de.Telecom</t>
  </si>
  <si>
    <t>Rede.Fibra.Ótica.Aérea</t>
  </si>
  <si>
    <t>Rede.Fibra.Ótica.Subterrânea</t>
  </si>
  <si>
    <t>Rede.de.Dados.Aérea</t>
  </si>
  <si>
    <t>Rede.de.Dados.Subterrânea</t>
  </si>
  <si>
    <t>Rede.Net.Fixa.Aerea</t>
  </si>
  <si>
    <t>Rede.Net.Fixa.Subterrânea</t>
  </si>
  <si>
    <t>Rede.Telefonia.Aerea</t>
  </si>
  <si>
    <t>Rede.Telefonia.Subterrânea</t>
  </si>
  <si>
    <t>Redes.de.Fibra.Ótica</t>
  </si>
  <si>
    <t>Redes.de.Dados</t>
  </si>
  <si>
    <t>Redes.de.Telefonia</t>
  </si>
  <si>
    <t>Rede.Pública.de.Iluminação</t>
  </si>
  <si>
    <t>Rede.Pública.de.Sinalização</t>
  </si>
  <si>
    <t>Aeroportuárias</t>
  </si>
  <si>
    <t>Aeroporto.Internacional</t>
  </si>
  <si>
    <t>Heliporto</t>
  </si>
  <si>
    <t>Heliponto</t>
  </si>
  <si>
    <t>Aeroporto.Doméstico</t>
  </si>
  <si>
    <t>Aeroporto.Regional</t>
  </si>
  <si>
    <t>Aeroporto Internacional deve ter infraestrutura para voos internacionais, com alfândega, imigração e controle sanitário.</t>
  </si>
  <si>
    <t>Aeroporto Regional servem áreas menores do território, conectando cidades médias e pequenas a grandes centros.</t>
  </si>
  <si>
    <t>Aeroporto.Militar</t>
  </si>
  <si>
    <t>Base.Naval</t>
  </si>
  <si>
    <t>Complejo/instalación para actividades de uso exclusivo das Forças Armadas. Base utilizada pela Marinha.</t>
  </si>
  <si>
    <t>Tubería de hierro fundido para redes de agua y alcantarillado de saneamiento básico.</t>
  </si>
  <si>
    <t>Tubería de PVC (Cloruro de Polivinilo) para redes de agua y alcantarillado doméstico.</t>
  </si>
  <si>
    <t>Tubería de PVC Orientada (Cloruro de Polivinilo). Material más resistente que el PVC normal para redes de agua y alcantarillado.</t>
  </si>
  <si>
    <t>Tubería de latón para redes de agua.</t>
  </si>
  <si>
    <t>Tubería de cobre para redes de agua caliente o gas.</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</si>
  <si>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</si>
  <si>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</si>
  <si>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</si>
  <si>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</si>
  <si>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</si>
  <si>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</si>
  <si>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</si>
  <si>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</si>
  <si>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</si>
  <si>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</si>
  <si>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</si>
  <si>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</si>
  <si>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</si>
  <si>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</si>
  <si>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</si>
  <si>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Estructura de operación tipo grúa movida sobre rieles.</t>
  </si>
  <si>
    <t>Estructura de operación tipo grúa torre alta que puede operar por rotación y desplazamiento.</t>
  </si>
  <si>
    <t>Estructura de operación tipo grúa pequeña que puede operar por rotación y desplazamiento.</t>
  </si>
  <si>
    <t>Estructura de operación tipo grúa en formato pórtico.</t>
  </si>
  <si>
    <t>Un vehículo abierto con dos ruedas alineadas, movido por el propio esfuerzo del usuario mediante pedales.</t>
  </si>
  <si>
    <t>Elemento de aparcamiento urbano: Lagoa.</t>
  </si>
  <si>
    <t>Elemento de aparcamiento urbano: Árbol.</t>
  </si>
  <si>
    <t>Elemento de aparcamiento urbano: Zona cubierta por césped.</t>
  </si>
  <si>
    <t>Elemento de aparcamiento urbano: Monumento urbano.</t>
  </si>
  <si>
    <t>Elemento de aparcamiento urbano: Ornamento urbano.</t>
  </si>
  <si>
    <t>Elemento de aparcamiento urbano: Fuente ornamental.</t>
  </si>
  <si>
    <t>Poste de luz peatonal de baja altura.</t>
  </si>
  <si>
    <t>Postes de luz altos para iluminar avenidas.</t>
  </si>
  <si>
    <t>Tótem de información urbana.</t>
  </si>
  <si>
    <t>Red Aérea de Fibra Óptica.</t>
  </si>
  <si>
    <t>Red telefónica subterránea.</t>
  </si>
  <si>
    <t>Lógica de sobrecarga de datos de red.</t>
  </si>
  <si>
    <t>Lógica subterránea de datos de red.</t>
  </si>
  <si>
    <t>Red de Internet fija aérea.</t>
  </si>
  <si>
    <t>Red de Internet fija subterránea.</t>
  </si>
  <si>
    <t>Red de Internet móvil aérea.</t>
  </si>
  <si>
    <t>Red de telefonía aérea.</t>
  </si>
  <si>
    <t>Área destinada exclusivamente ao pouso e decolagem de helicópteros.</t>
  </si>
  <si>
    <t>Um Heliporto deve estar preparado para operar helicópteros com infraestrutura de pista de pouso, hangares, abastecimento, sala de embarque, controle de tráfego aéreo, manutenção, segurança e logística.</t>
  </si>
  <si>
    <t>Zona destinada exclusivamente al aterrizaje y despegue de helicópteros.</t>
  </si>
  <si>
    <t>Aeroclub</t>
  </si>
  <si>
    <t>Aeródromos</t>
  </si>
  <si>
    <t>Centro de formação e treinamento de pilotos civis, com fins práticos ou recreativos. Precisa ser autorizado pela Agência Nacional de Aviação Civil (ANAC) para operar legalmente.</t>
  </si>
  <si>
    <t>A pista de pouso e decolagem compreende a área retangular, definida em terra, preparada para pousos e decolagens de aeronaves. Regulamento Brasileiro de Aviação Civil (RBAC).</t>
  </si>
  <si>
    <t>Pista.de.Pouso.e.Decolagem</t>
  </si>
  <si>
    <t>Pista.Auxiliar</t>
  </si>
  <si>
    <t>Pistas auxiliares permitem deslocamentos de aeronaves antes de decolar ou depois de pousar e agilizar o seu tráfego em solo.</t>
  </si>
  <si>
    <t>Redes.de.Net</t>
  </si>
  <si>
    <t>Rede.de.Dados.Ponto.de.Acesso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</si>
  <si>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</si>
  <si>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</si>
  <si>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</si>
  <si>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</si>
  <si>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</si>
  <si>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</si>
  <si>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Torre.de.Transmissão</t>
  </si>
  <si>
    <t>Estrutura metálica de suporte da linha elétrica de transmissão de Alta Tensão com mais de 69 kV.</t>
  </si>
  <si>
    <t>Rede.de.MT.Nua</t>
  </si>
  <si>
    <t>Rede.de.MT.Multiplex</t>
  </si>
  <si>
    <t>Rede.de.MT.Compacta</t>
  </si>
  <si>
    <t>Poste.de.Concreto.DT</t>
  </si>
  <si>
    <t>Poste.de.Concreto.Circular</t>
  </si>
  <si>
    <t>Estrutura física dos circuitos de distribuição de EE. Postes, suportes com isoladores e condutores nus de alumínio ou cobre sobre isoladores de pino ou bastão em cruzetas de concreto.</t>
  </si>
  <si>
    <t>Estrutura física dos circuitos de distribuição de EE. Postes, suportes com isoladores e condutores de alumínio cobertos por uma camada de isolamento, agrupados em feixes.</t>
  </si>
  <si>
    <t>Ponto.de.Entrega</t>
  </si>
  <si>
    <t>Ponto.de.Entrada</t>
  </si>
  <si>
    <t>Esquema.TN</t>
  </si>
  <si>
    <t>Esquema.TT</t>
  </si>
  <si>
    <t>Esquema.TI</t>
  </si>
  <si>
    <t>Consultar Norma NBR 5410. Ponto da alimentação diretamente aterrado, sendo as massas ligadas a esse ponto através de condutores de proteção. São consideradas três variantes de esquema TN, de acordo com a disposição do condutor neutro e do condutor de proteção: esquema TN-S, o condutor neutro e o condutor de proteção são distintos; esquema TN-C-S, as funções de neutro e de proteção são combinadas em um único condutor; esquema TN-C, as funções de neutro e de proteção são combinadas em um único condutor, na totalidade do esquema.</t>
  </si>
  <si>
    <t>Consultar Norma NBR 5410. Ponto de alimentação diretamente aterrado, estando as massas da instalação ligadas a eletrodo(s) de aterramento eletricamente distinto(s) do eletrodo de aterramento da alimentação</t>
  </si>
  <si>
    <t xml:space="preserve">Consultar Norma NBR 5410. Todas as partes vivas são isoladas da terra ou um ponto da alimentação é aterrado através de impedância. As massas da instalação são aterradas. </t>
  </si>
  <si>
    <t>Consultar Norma NBR 5410. Ponto de conexão do sistema elétrico da empresa distribuidora de eletricidade com a instalação elétrica da(s) unidade(s) consumidora(s) e que delimita as responsabilidades da distribuidora, definidas pela autoridade reguladora.</t>
  </si>
  <si>
    <t>Consultar Norma NBR 5410. Ponto em que uma linha externa penetra na edificação.</t>
  </si>
  <si>
    <t>Conexões.de.EE</t>
  </si>
  <si>
    <t>Estrutura física dos circuitos de distribuição de EE compactas. Postes, suportes com isoladores e condutores de alumínio cobertos por uma camada de isolamento, agrupados em feixes.</t>
  </si>
  <si>
    <t>Consultar NBR 8451. Poste de concreto de seção circular para conduzir rede elétrica aérea de Média Tensão.</t>
  </si>
  <si>
    <t>Consultar NBR 8451. Poste de concreto de seção Duplo Tê (DT) para conduzir rede elétrica aérea de Média Tensão.</t>
  </si>
  <si>
    <t>Rede.de.Gás</t>
  </si>
  <si>
    <t>Sistema de rede de fornecimento de gás.</t>
  </si>
  <si>
    <t>Sistema de rede de fornecimento de combustíveis.</t>
  </si>
  <si>
    <t>Sistema de rede de fornecimento de água potável.</t>
  </si>
  <si>
    <t>Suministro de agua potable.</t>
  </si>
  <si>
    <t>Suministro de gas.</t>
  </si>
  <si>
    <t>El Aeropuerto Internacional debe contar con infraestructura para vuelos internacionales, con control aduanero, migratorio y sanitario.</t>
  </si>
  <si>
    <t>Los aeropuertos regionales sirven a áreas más pequeñas del territorio, conectando ciudades medianas y pequeñas con grandes centros.</t>
  </si>
  <si>
    <t>Un centro para la educación y capacitación de pilotos civiles, con fines prácticos o recreativos. Necesita ser autorizado por la Agencia Nacional de Aviación Civil (ANAC) para operar legalmente.</t>
  </si>
  <si>
    <t>La pista de aterrizaje y despegue comprende el área rectangular, definida en tierra, preparada para los aterrizajes y despegues de las aeronaves. Reglamento de Aviación Civil Brasileña (RBAC).</t>
  </si>
  <si>
    <t>Las pistas auxiliares permiten que las aeronaves se muevan antes de despegar o después de aterrizar y aceleran su tráfico en tierra.</t>
  </si>
  <si>
    <t>Un helipuerto debe estar preparado para operar helicópteros con infraestructura de pista de aterrizaje, hangares, abastecimiento de combustible, sala de embarque, control de tráfico aéreo, mantenimiento, seguridad y logística.</t>
  </si>
  <si>
    <t>Línea eléctrica de transmisión de Alta Tensión con más de 69 kV.</t>
  </si>
  <si>
    <t>Estructura metálica de soporte de la línea eléctrica de transmisión de Alta Tensión con más de 69 kV.</t>
  </si>
  <si>
    <t>Estructura física de los circuitos de distribución de EE. Postes, soportes con aislantes y conductores desnudos de aluminio o cobre sobre aisladores de pasador o varilla sobre crucetas de hormigón.</t>
  </si>
  <si>
    <t>Estructura física de los circuitos de distribución de EE. Postes, soportes con aislantes y conductores de aluminio recubiertos por una capa de aislamiento, agrupados en paquetes.</t>
  </si>
  <si>
    <t>Estructura física de los circuitos de distribución de EE compactos. Postes, soportes con aislantes y conductores de aluminio recubiertos por una capa de aislamiento, agrupados en paquetes.</t>
  </si>
  <si>
    <t>Véase NBR 8451. Poste de hormigón de sección circular para conducir la red eléctrica aérea de media tensión.</t>
  </si>
  <si>
    <t>Véase NBR 8451. Poste de hormigón de sección en T doble (DT) para conducir la red eléctrica aérea de media tensión.</t>
  </si>
  <si>
    <t>Red eléctrica subterránea de Media Tensión entre 1 kV y 69 kV.</t>
  </si>
  <si>
    <t>Red eléctrica aérea de baja tensión de hasta 1.000 voltios (1Kv).</t>
  </si>
  <si>
    <t>Red eléctrica subterránea de baja tensión hasta 1.000 voltios (1Kv).</t>
  </si>
  <si>
    <t>Consulte la norma NBR 5410. Punto de conexión del sistema eléctrico de la empresa distribuidora de electricidad con la instalación eléctrica de la(s) unidad(es) consumidora(s) y que delimita las responsabilidades de la distribuidora, definidas por la autoridad reguladora.</t>
  </si>
  <si>
    <t>Consulte la norma NBR 5410. Punto en el que una línea externa penetra en el edificio.</t>
  </si>
  <si>
    <t>Consulte la norma NBR 5410. El punto de suministro está directamente conectado a tierra, con las masas conectadas a este punto por conductores de protección. Se consideran tres variantes del esquema TN, de acuerdo con la disposición del conductor neutro y el conductor de protección: esquema TN-S, el conductor neutro y el conductor de protección son distintos; Las funciones de esquema, neutro y protección de TN-C-S se combinan en un solo conductor; En el esquema TN-C, las funciones de neutro y protección se combinan en un solo conductor en todo el esquema.</t>
  </si>
  <si>
    <t>Consulte la norma NBR 5410. Punto de suministro conectado a tierra directamente, con las tierras de instalación conectadas a los electrodos de puesta a tierra eléctricamente distintos del electrodo de puesta a tierra del suministro</t>
  </si>
  <si>
    <t>Consulte la norma NBR 5410. Todas las partes vivas están aisladas de la tierra o un punto de alimentación está conectado a tierra mediante impedancia. Las masas de la instalación están conectadas a tierra.</t>
  </si>
  <si>
    <t>Red eléctrica de alumbrado público urbano.</t>
  </si>
  <si>
    <t>Redes.Iluminação</t>
  </si>
  <si>
    <t>Ferrovia.AV</t>
  </si>
  <si>
    <t xml:space="preserve">Sistema de ferrovia projetada para transitar em alta velocidade. </t>
  </si>
  <si>
    <t>Sistema ferroviario diseñado para viajar a alta velocidad.</t>
  </si>
  <si>
    <t>Ferrovias.Estações</t>
  </si>
  <si>
    <t>Trilho.de.Bitola.Métrica</t>
  </si>
  <si>
    <t>Trilho.de.Bitola.Internacional</t>
  </si>
  <si>
    <t>Trilho.de.Bitola.Irlandesa</t>
  </si>
  <si>
    <t>Trilho.de.Bitola.Mista</t>
  </si>
  <si>
    <t xml:space="preserve">Trilho ferroviário projetado com a distância interna entre trilhos de 1000 mm. </t>
  </si>
  <si>
    <t xml:space="preserve">Trilho ferroviário projetado com a distância interna entre trilhos de 1600 mm. </t>
  </si>
  <si>
    <t xml:space="preserve">Trilho ferroviário projetado com a distância interna entre trilhos de 1435 mm. </t>
  </si>
  <si>
    <t xml:space="preserve">Trilho ferroviário projetado com bitola Internacional e Irlandesa. </t>
  </si>
  <si>
    <t>Rieles ferroviarios diseñados con ancho internacional e irlandés.</t>
  </si>
  <si>
    <t>Rieles ferroviarios diseñados con distancia interna entre rieles de 1000 mm.</t>
  </si>
  <si>
    <t>Rieles ferroviarios diseñados con distancia interna entre rieles de 1435 mm.</t>
  </si>
  <si>
    <t>Rieles ferroviarios diseñados con distancia interna entre rieles de 1600 mm.</t>
  </si>
  <si>
    <t>Túnel para passagem de ferrovia.</t>
  </si>
  <si>
    <t>Túnel ferroviario.</t>
  </si>
  <si>
    <t>Túnel.Ferroviário</t>
  </si>
  <si>
    <t>000 Translate Classe 5</t>
  </si>
  <si>
    <t>ABNT</t>
  </si>
  <si>
    <t>Prof. José Luis Menegotto DEG/POLI/UFRJ</t>
  </si>
  <si>
    <t>Explanation</t>
  </si>
  <si>
    <t>Idioma</t>
  </si>
  <si>
    <t>pt</t>
  </si>
  <si>
    <t>es</t>
  </si>
  <si>
    <t>en</t>
  </si>
  <si>
    <t>El aeropuerto nacional solo sirve vuelos dentro del territorio nacional.</t>
  </si>
  <si>
    <t>Aeropuerto Militar. utilizado exclusivamente por las Fuerzas Armadas con fines estratégicos, entrenamiento, transporte de tropas y equipo.</t>
  </si>
  <si>
    <t>Aeroporto Doméstico atendem apenas voos dentro do território nacional.</t>
  </si>
  <si>
    <t>Aeroporto Militar. utilizados exclusivamente pelas Forças Armadas para fins estratégicos, treinamento, transporte de tropas e equipamentos.</t>
  </si>
  <si>
    <t>categoria.revit</t>
  </si>
  <si>
    <t>Advertência</t>
  </si>
  <si>
    <t xml:space="preserve">Traduções ao espanhol e ao inglês incorporadas - As traduções devem ser constantemente revisadas </t>
  </si>
  <si>
    <t>Aviso</t>
  </si>
  <si>
    <t>Alert</t>
  </si>
  <si>
    <t>Define um contêiner de informação de acordo à norma NBR 19650-1. Definição do Projeto.</t>
  </si>
  <si>
    <t>[ OST_PipeMaterials ]</t>
  </si>
  <si>
    <t>[ IfcMaterial ]</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</si>
  <si>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</si>
  <si>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</si>
  <si>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</si>
  <si>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</si>
  <si>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</si>
  <si>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</si>
  <si>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</si>
  <si>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</si>
  <si>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</si>
  <si>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</si>
  <si>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OST_TopographyContours , OST_ToposolidContours , OST_ToposolidSecondaryContours ]</t>
  </si>
  <si>
    <t>[ OST_Floors ]</t>
  </si>
  <si>
    <t>[ OST_SiteProperty , OST_SitePropertyLineSegment ]</t>
  </si>
  <si>
    <t>[ OST_Areas , OST_Rooms ]</t>
  </si>
  <si>
    <t>[ OST_Rooms ]</t>
  </si>
  <si>
    <t>[ OST_Mass ]</t>
  </si>
  <si>
    <t>[ OST_SpecialityEquipment ]</t>
  </si>
  <si>
    <t>null ]</t>
  </si>
  <si>
    <t>[ OST_Entourage ]</t>
  </si>
  <si>
    <t>[ OST_SiteRegion , OST_SiteSurface ]</t>
  </si>
  <si>
    <t>[ OST_Planting ]</t>
  </si>
  <si>
    <t>[ OST_LightingDevices ]</t>
  </si>
  <si>
    <t>[ OST_Signage ]</t>
  </si>
  <si>
    <t>[ OST_Roads ]</t>
  </si>
  <si>
    <t>[ OST_RailingSystem , OST_RailingSystemBaluster , OST_RailingSystemHandRail , OST_RailingSystemHandRailBracket , OST_RailingSystemHardware , OST_RailingSystemPanel , OST_RailingSystemP[ OST , OST_RailingSystemRail , OST_RailingSystemSegment , OST_RailingSystemTermination ]</t>
  </si>
  <si>
    <t>[ OST_BridgeBearings ]</t>
  </si>
  <si>
    <t>[ OST_PierPiles ]</t>
  </si>
  <si>
    <t>[ OST_PierCaps ]</t>
  </si>
  <si>
    <t>[ OST_ApproachSlabs ]</t>
  </si>
  <si>
    <t>[ OST_PierColumns ]</t>
  </si>
  <si>
    <t>[ OST_BridgeArches ]</t>
  </si>
  <si>
    <t>[ OST_BridgeTowers ]</t>
  </si>
  <si>
    <t>[ OST_BridgeDecks ]</t>
  </si>
  <si>
    <t>[ OST_BridgeCables ]</t>
  </si>
  <si>
    <t>[ OST_BridgeGirders ]</t>
  </si>
  <si>
    <t>[ OST_BridgeFraming ]</t>
  </si>
  <si>
    <t>[ OST_BridgeFramingCrossBracing ]</t>
  </si>
  <si>
    <t>[ OST_PierWalls ]</t>
  </si>
  <si>
    <t>[ OST_BridgeFramingTrusses ]</t>
  </si>
  <si>
    <t>[ OST_PlumbingFixtures ]</t>
  </si>
  <si>
    <t>[ OST_SpecialityEquipment , OST_LightingDevices ]</t>
  </si>
  <si>
    <t>[ OST_Levels , OST_LevelHeads ]</t>
  </si>
  <si>
    <t>[ OST_MEPZone , OST_MEPSystemZone , OST_MassZone ]</t>
  </si>
  <si>
    <t>[ OST_PipingSystem ]</t>
  </si>
  <si>
    <t>[ OST_ElecDistributionSys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</si>
  <si>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</si>
  <si>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</si>
  <si>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</si>
  <si>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</si>
  <si>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</si>
  <si>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</si>
  <si>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</si>
  <si>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</si>
  <si>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</si>
  <si>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</si>
  <si>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</si>
  <si>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</si>
  <si>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</si>
  <si>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</si>
  <si>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</si>
  <si>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</si>
  <si>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</si>
  <si>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null ]</t>
  </si>
  <si>
    <t>[ IfcVehicleROLLINGSTOCK ]</t>
  </si>
  <si>
    <t>[ IfcVehicleVEHICLETRACKED ]</t>
  </si>
  <si>
    <t>[ IfcMarinePart , IfcTransportElement ]</t>
  </si>
  <si>
    <t>[ IfcVehicleCARGO ]</t>
  </si>
  <si>
    <t>[ IfcVehicleVEHICLEWHEELED ]</t>
  </si>
  <si>
    <t>[ IfcVehicleVEHICLEMARINE ]</t>
  </si>
  <si>
    <t>[ IfcVehicleVEHICLEAIR ]</t>
  </si>
  <si>
    <t>[ IfcLightFixture ]</t>
  </si>
  <si>
    <t>[ IfcSignal ]</t>
  </si>
  <si>
    <t>[ IfcCourse ]</t>
  </si>
  <si>
    <t>[ IfcRailing ]</t>
  </si>
  <si>
    <t>[ IfcBridge ]</t>
  </si>
  <si>
    <t>[ IfcBearing ]</t>
  </si>
  <si>
    <t>[ IfcBridgePart ]</t>
  </si>
  <si>
    <t>[ IfcRoadPart ]</t>
  </si>
  <si>
    <t>[ IfcFlowTerminal ]</t>
  </si>
  <si>
    <t>[ IfcSign ]</t>
  </si>
  <si>
    <t>[ IfcRailway ]</t>
  </si>
  <si>
    <t>[ IfcRail ]</t>
  </si>
  <si>
    <t>[ IfcTrackElement ]</t>
  </si>
  <si>
    <t>[ IfcRailwayPart ]</t>
  </si>
  <si>
    <t>[ IfcMarinePart ]</t>
  </si>
  <si>
    <t>[ IfcBuildingStorey ]</t>
  </si>
  <si>
    <t>[ IfcZone , IfcSpatialZone ]</t>
  </si>
  <si>
    <t>[ IfcDistributionSystemWATERSUPPLY ]</t>
  </si>
  <si>
    <t>[ IfcDistributionSystemCONVEYING ]</t>
  </si>
  <si>
    <t>[ IfcDistributionSystemFUEL ]</t>
  </si>
  <si>
    <t>[ IfcDistributionSystemGAS ]</t>
  </si>
  <si>
    <t>[ IfcDistributionSystemOPERATIONAL ]</t>
  </si>
  <si>
    <t>[ IfcDistributionSystemSTORMWATER ]</t>
  </si>
  <si>
    <t>[ IfcDistributionSystemWASTEWATER ]</t>
  </si>
  <si>
    <t>[ IfcDistributionSystemSEWAGE ]</t>
  </si>
  <si>
    <t>[ IfcDistributionSystemDISPOSAL ]</t>
  </si>
  <si>
    <t>[ IfcDistributionSystemHAZARDOUS ]</t>
  </si>
  <si>
    <t>[ IfcDistributionSystemCATENARY_SYSTEM ]</t>
  </si>
  <si>
    <t>[ IfcDistributionSystemLIGHTING ]</t>
  </si>
  <si>
    <t>[ IfcDistributionSystemSIGNAL ]</t>
  </si>
  <si>
    <t>[ IfcDistributionSystemTELEPHONE ]</t>
  </si>
  <si>
    <t>[ IfcDistributionSystemDATA ]</t>
  </si>
  <si>
    <t>[ IfcDistributionSystemMOBILENETWORK ]</t>
  </si>
  <si>
    <t>[ IfcDistributionSystemFIXEDTRANSMISSIONNETWORK ]</t>
  </si>
  <si>
    <t>[  ]</t>
  </si>
  <si>
    <t>[ OST_ToposolidMembrane ]</t>
  </si>
  <si>
    <t>Gestão</t>
  </si>
  <si>
    <t>Requisito.Espacial</t>
  </si>
  <si>
    <t>Define um contêiner de informação de acordo à norma NBR 19650-1. Requerimentos Espaciais para o Projeto.</t>
  </si>
  <si>
    <t>Requisito.Mobiliário</t>
  </si>
  <si>
    <t>Define um contêiner de informação de acordo à norma NBR 19650-1. Requerimentos Mobiliários para o Projeto.</t>
  </si>
  <si>
    <t>Requisito.Equipamento</t>
  </si>
  <si>
    <t>Define um contêiner de informação de acordo à norma NBR 19650-1. Requerimentos Equipamentos para o Projeto.</t>
  </si>
  <si>
    <t>Requisito.Sistemas</t>
  </si>
  <si>
    <t>Define um contêiner de informação de acordo à norma NBR 19650-1. Requerimentos de Sistemas Prediais para o Projeto.</t>
  </si>
  <si>
    <t>tema</t>
  </si>
  <si>
    <t>subtema</t>
  </si>
  <si>
    <t>"Gestão"</t>
  </si>
  <si>
    <t>"Brasil"</t>
  </si>
  <si>
    <t>"Portos"</t>
  </si>
  <si>
    <t>"[ - ]"</t>
  </si>
  <si>
    <t>"[ OST_Entourage ]"</t>
  </si>
  <si>
    <t>"[ IfcVehicleVEHICLEMARINE] "</t>
  </si>
  <si>
    <t>"[ OST_SpecialityEquipment ]"</t>
  </si>
  <si>
    <t>"[ IfcVehicle ]"</t>
  </si>
  <si>
    <t>"[ IfcMarineFacilityPORT ]"</t>
  </si>
  <si>
    <t>"[ IfcMarineFacilityJETTY ]"</t>
  </si>
  <si>
    <t>"[ IfcMarineFacilityQUAY ]"</t>
  </si>
  <si>
    <t>"[ IfcNavigationElementBEACON ]"</t>
  </si>
  <si>
    <t>"[ IfcMarinePartSTORAGEAREA ]"</t>
  </si>
  <si>
    <t>"[ IfcNavigationElementBUOY ]"</t>
  </si>
  <si>
    <t>carga.de.passageiros</t>
  </si>
  <si>
    <t>Região.Imediata</t>
  </si>
  <si>
    <t>Tipo</t>
  </si>
  <si>
    <t>Região.Intermediária</t>
  </si>
  <si>
    <t>Região Geográfica Imediata. Definidas pelo IBGE do Brasil há 510 Regiões Geográficas de escala menor, são articuladas por cidades médias e pequenas.</t>
  </si>
  <si>
    <t>Região Geográfica Intermediária. Definidas pelo IBGE do Brasil há 133 Regiões Geográficas Intermediárias, de escala maior, são articuladas por capitais regionais ou grandes centros urbanos.</t>
  </si>
  <si>
    <t>Região Geográfica do Brasil. do Brasil há 5 Regiões Geográficas principais.</t>
  </si>
  <si>
    <t>"Navio de carga de minério de ferro entre Brasil e China, exigem portos com infraestrutura específica."</t>
  </si>
  <si>
    <t>"Navio de carga de petróleo bruto usados em rotas entre Oriente Médio, Ásia e Europa, requerem terminais dedicados."</t>
  </si>
  <si>
    <t>"Navio de carga de petróleo bruto para rotas intercontinentais, exigem portos especializados."</t>
  </si>
  <si>
    <t>quem.fabricou</t>
  </si>
  <si>
    <t>quem.opera</t>
  </si>
  <si>
    <t>identificador.mmsi</t>
  </si>
  <si>
    <t>identificador.imo</t>
  </si>
  <si>
    <t>Rio.de.Janeiro.Estado</t>
  </si>
  <si>
    <t>Conceito</t>
  </si>
  <si>
    <t>Contêineres</t>
  </si>
  <si>
    <t>[ 5I ]</t>
  </si>
  <si>
    <t>Interdisciplinar</t>
  </si>
  <si>
    <t>insumo.de.propulsão</t>
  </si>
  <si>
    <t>é.habilitação.para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</si>
</sst>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sz val="6"/>
      <color rgb="FF323232"/>
      <name val="Arial Nova Cond Light"/>
      <family val="2"/>
    </font>
    <font>
      <b/>
      <sz val="5"/>
      <color rgb="FF000000"/>
      <name val="Arial Nova Cond Light"/>
      <family val="2"/>
    </font>
    <font>
      <sz val="8"/>
      <color theme="1"/>
      <name val="Arial Nova Cond Light"/>
      <family val="2"/>
    </font>
  </fonts>
  <fills count="2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rgb="FFFBE79D"/>
        <bgColor indexed="64"/>
      </patternFill>
    </fill>
    <fill>
      <patternFill patternType="solid">
        <fgColor theme="5" tint="0.79998168889431442"/>
        <bgColor rgb="FFD9F2D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1">
    <xf numFmtId="0" fontId="0" fillId="0" borderId="0"/>
  </cellStyleXfs>
  <cellXfs count="95">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8" fillId="16" borderId="1" xfId="0" applyFont="1" applyFill="1" applyBorder="1" applyAlignment="1">
      <alignment horizontal="left" vertical="center"/>
    </xf>
    <xf numFmtId="0" fontId="8" fillId="17" borderId="1" xfId="0" applyFont="1" applyFill="1" applyBorder="1" applyAlignment="1">
      <alignment horizontal="left" vertical="center"/>
    </xf>
    <xf numFmtId="0" fontId="8" fillId="6" borderId="1" xfId="0" applyFont="1" applyFill="1" applyBorder="1" applyAlignment="1">
      <alignment horizontal="left" vertical="center"/>
    </xf>
    <xf numFmtId="0" fontId="8" fillId="6" borderId="4" xfId="0" applyFont="1" applyFill="1" applyBorder="1" applyAlignment="1">
      <alignment horizontal="left" vertical="center"/>
    </xf>
    <xf numFmtId="0" fontId="12" fillId="10" borderId="1" xfId="0" applyFont="1" applyFill="1" applyBorder="1" applyAlignment="1">
      <alignment horizontal="left" vertical="center"/>
    </xf>
    <xf numFmtId="0" fontId="8" fillId="17" borderId="3" xfId="0" applyFont="1" applyFill="1" applyBorder="1" applyAlignment="1">
      <alignment horizontal="left" vertical="center"/>
    </xf>
    <xf numFmtId="0" fontId="8" fillId="6" borderId="3" xfId="0" applyFont="1" applyFill="1" applyBorder="1" applyAlignment="1">
      <alignment horizontal="left" vertical="center"/>
    </xf>
    <xf numFmtId="0" fontId="7" fillId="6" borderId="1" xfId="0" applyFont="1" applyFill="1" applyBorder="1" applyAlignment="1">
      <alignment vertical="center"/>
    </xf>
    <xf numFmtId="0" fontId="8" fillId="6" borderId="3" xfId="0" applyFont="1" applyFill="1" applyBorder="1" applyAlignment="1">
      <alignment horizontal="left" vertical="center" wrapText="1"/>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8" fillId="17" borderId="1" xfId="0" applyFont="1" applyFill="1" applyBorder="1" applyAlignment="1">
      <alignment horizontal="left" vertical="center" wrapText="1"/>
    </xf>
    <xf numFmtId="0" fontId="12" fillId="18" borderId="1" xfId="0" applyFont="1" applyFill="1" applyBorder="1" applyAlignment="1">
      <alignment horizontal="left" vertical="center"/>
    </xf>
    <xf numFmtId="0" fontId="7" fillId="0" borderId="0" xfId="0" applyFont="1"/>
    <xf numFmtId="0" fontId="7" fillId="17" borderId="1" xfId="0" applyFont="1" applyFill="1" applyBorder="1" applyAlignment="1">
      <alignment horizontal="left" vertical="center"/>
    </xf>
    <xf numFmtId="0" fontId="7" fillId="6" borderId="1" xfId="0" applyFont="1" applyFill="1" applyBorder="1" applyAlignment="1">
      <alignment horizontal="left" vertical="center"/>
    </xf>
    <xf numFmtId="0" fontId="8" fillId="6" borderId="1" xfId="0" applyFont="1" applyFill="1" applyBorder="1" applyAlignment="1">
      <alignment horizontal="left" vertical="center" wrapText="1"/>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164" fontId="7" fillId="9" borderId="1" xfId="0" applyNumberFormat="1"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2" fontId="7" fillId="10" borderId="1" xfId="0" applyNumberFormat="1" applyFont="1" applyFill="1" applyBorder="1" applyAlignment="1">
      <alignment horizontal="left" vertical="center"/>
    </xf>
    <xf numFmtId="1" fontId="7" fillId="10" borderId="1" xfId="0" applyNumberFormat="1" applyFont="1" applyFill="1" applyBorder="1" applyAlignment="1">
      <alignment horizontal="left" vertical="center"/>
    </xf>
    <xf numFmtId="164" fontId="7" fillId="10" borderId="1" xfId="0" applyNumberFormat="1" applyFont="1" applyFill="1" applyBorder="1" applyAlignment="1">
      <alignment horizontal="left" vertical="center"/>
    </xf>
    <xf numFmtId="0" fontId="8" fillId="20" borderId="1" xfId="0" applyFont="1" applyFill="1" applyBorder="1" applyAlignment="1">
      <alignment horizontal="left" vertical="center" wrapText="1"/>
    </xf>
    <xf numFmtId="0" fontId="8" fillId="21" borderId="1" xfId="0" applyFont="1" applyFill="1" applyBorder="1" applyAlignment="1">
      <alignment horizontal="left" vertical="center" wrapText="1"/>
    </xf>
    <xf numFmtId="0" fontId="7" fillId="3" borderId="1" xfId="0" applyFont="1" applyFill="1" applyBorder="1" applyAlignment="1">
      <alignment vertical="center"/>
    </xf>
    <xf numFmtId="0" fontId="15"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6" fillId="0" borderId="0" xfId="0" applyFont="1" applyAlignment="1">
      <alignment vertical="center"/>
    </xf>
    <xf numFmtId="22" fontId="7" fillId="0" borderId="1" xfId="0" applyNumberFormat="1" applyFont="1" applyBorder="1" applyAlignment="1">
      <alignment vertical="center"/>
    </xf>
    <xf numFmtId="0" fontId="8" fillId="22" borderId="1" xfId="0" applyFont="1" applyFill="1" applyBorder="1" applyAlignment="1">
      <alignment horizontal="left" vertical="center"/>
    </xf>
    <xf numFmtId="0" fontId="8" fillId="22" borderId="1" xfId="0" applyFont="1" applyFill="1" applyBorder="1" applyAlignment="1">
      <alignment horizontal="left" vertical="center" wrapText="1"/>
    </xf>
    <xf numFmtId="0" fontId="11" fillId="15" borderId="2" xfId="0" applyFont="1" applyFill="1" applyBorder="1" applyAlignment="1">
      <alignment horizontal="left" vertical="center" wrapText="1"/>
    </xf>
    <xf numFmtId="0" fontId="8" fillId="23" borderId="1" xfId="0" applyFont="1" applyFill="1" applyBorder="1" applyAlignment="1">
      <alignment horizontal="left" vertical="center"/>
    </xf>
    <xf numFmtId="0" fontId="0" fillId="0" borderId="0" xfId="0" applyAlignment="1">
      <alignment vertical="center"/>
    </xf>
    <xf numFmtId="164" fontId="7" fillId="8" borderId="1" xfId="0" applyNumberFormat="1" applyFont="1" applyFill="1" applyBorder="1" applyAlignment="1">
      <alignment horizontal="left" vertical="center"/>
    </xf>
    <xf numFmtId="0" fontId="7" fillId="6" borderId="3" xfId="0" applyFont="1" applyFill="1" applyBorder="1" applyAlignment="1">
      <alignment horizontal="lef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8" fillId="2" borderId="1" xfId="0" applyFont="1" applyFill="1" applyBorder="1" applyAlignment="1">
      <alignment horizontal="right" vertical="center"/>
    </xf>
    <xf numFmtId="0" fontId="12" fillId="15" borderId="1" xfId="0" applyFont="1" applyFill="1" applyBorder="1" applyAlignment="1">
      <alignment horizontal="left" vertical="center"/>
    </xf>
    <xf numFmtId="0" fontId="10" fillId="15" borderId="3" xfId="0" applyFont="1" applyFill="1" applyBorder="1" applyAlignment="1">
      <alignment horizontal="left" vertical="center" wrapText="1"/>
    </xf>
    <xf numFmtId="0" fontId="9" fillId="3" borderId="1" xfId="0" applyFont="1" applyFill="1" applyBorder="1" applyAlignment="1">
      <alignment horizontal="left" vertical="center"/>
    </xf>
    <xf numFmtId="0" fontId="12" fillId="17" borderId="1" xfId="0" applyFont="1" applyFill="1" applyBorder="1" applyAlignment="1">
      <alignment horizontal="left" vertical="center"/>
    </xf>
    <xf numFmtId="0" fontId="12" fillId="6" borderId="1" xfId="0" applyFont="1" applyFill="1" applyBorder="1" applyAlignment="1">
      <alignment horizontal="left" vertical="center"/>
    </xf>
    <xf numFmtId="0" fontId="12" fillId="3" borderId="1" xfId="0" applyFont="1" applyFill="1" applyBorder="1" applyAlignment="1">
      <alignment horizontal="left" vertical="center"/>
    </xf>
    <xf numFmtId="0" fontId="7" fillId="17" borderId="3" xfId="0" applyFont="1" applyFill="1" applyBorder="1" applyAlignment="1">
      <alignment horizontal="left" vertical="center"/>
    </xf>
    <xf numFmtId="0" fontId="12" fillId="6" borderId="3" xfId="0" applyFont="1" applyFill="1" applyBorder="1" applyAlignment="1">
      <alignment horizontal="left" vertical="center"/>
    </xf>
    <xf numFmtId="0" fontId="12" fillId="3" borderId="3" xfId="0" applyFont="1" applyFill="1" applyBorder="1" applyAlignment="1">
      <alignment horizontal="left" vertical="center"/>
    </xf>
    <xf numFmtId="0" fontId="7" fillId="6" borderId="1"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7" fillId="0" borderId="0" xfId="0" applyFont="1" applyAlignment="1">
      <alignment horizontal="left"/>
    </xf>
    <xf numFmtId="0" fontId="12" fillId="15" borderId="3" xfId="0" applyFont="1" applyFill="1" applyBorder="1" applyAlignment="1">
      <alignment horizontal="left" vertical="center"/>
    </xf>
    <xf numFmtId="0" fontId="7" fillId="6" borderId="3" xfId="0" applyFont="1" applyFill="1" applyBorder="1" applyAlignment="1">
      <alignment horizontal="left" vertical="center" wrapText="1"/>
    </xf>
    <xf numFmtId="0" fontId="6" fillId="12" borderId="1" xfId="0" applyFont="1" applyFill="1" applyBorder="1" applyAlignment="1">
      <alignment horizontal="right" vertical="center"/>
    </xf>
    <xf numFmtId="0" fontId="12" fillId="19" borderId="1" xfId="0" applyFont="1" applyFill="1" applyBorder="1" applyAlignment="1">
      <alignment horizontal="right" vertical="center"/>
    </xf>
    <xf numFmtId="0" fontId="0" fillId="0" borderId="0" xfId="0" applyAlignment="1">
      <alignment horizontal="right" vertical="center"/>
    </xf>
  </cellXfs>
  <cellStyles count="1">
    <cellStyle name="Normal" xfId="0" builtinId="0"/>
  </cellStyles>
  <dxfs count="67">
    <dxf>
      <font>
        <b val="0"/>
        <i/>
        <color theme="2"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b val="0"/>
        <i/>
        <strike val="0"/>
        <color rgb="FFFFFFFF"/>
      </font>
    </dxf>
    <dxf>
      <font>
        <b val="0"/>
        <i/>
        <strike val="0"/>
        <color theme="0"/>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b val="0"/>
        <i/>
        <color theme="0" tint="-0.499984740745262"/>
      </font>
    </dxf>
    <dxf>
      <font>
        <b val="0"/>
        <i/>
        <strike val="0"/>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145" zoomScaleNormal="145" workbookViewId="0">
      <pane ySplit="1" topLeftCell="A2" activePane="bottomLeft" state="frozen"/>
      <selection activeCell="C18" sqref="C18"/>
      <selection pane="bottomLeft" activeCell="F1" sqref="F1"/>
    </sheetView>
  </sheetViews>
  <sheetFormatPr defaultColWidth="3.3046875" defaultRowHeight="9.75" customHeight="1" x14ac:dyDescent="0.4"/>
  <cols>
    <col min="1" max="1" width="9.69140625" style="6" customWidth="1"/>
    <col min="2" max="2" width="42" style="6" customWidth="1"/>
    <col min="3" max="3" width="3.3828125" style="64" bestFit="1" customWidth="1"/>
    <col min="4" max="16384" width="3.3046875" style="6"/>
  </cols>
  <sheetData>
    <row r="1" spans="1:3" ht="49.5" customHeight="1" x14ac:dyDescent="0.4">
      <c r="A1" s="7" t="s">
        <v>36</v>
      </c>
      <c r="B1" s="7" t="s">
        <v>35</v>
      </c>
      <c r="C1" s="26" t="s">
        <v>2057</v>
      </c>
    </row>
    <row r="2" spans="1:3" ht="8.25" customHeight="1" x14ac:dyDescent="0.4">
      <c r="A2" s="8" t="s">
        <v>45</v>
      </c>
      <c r="B2" s="8" t="s">
        <v>61</v>
      </c>
      <c r="C2" s="63" t="s">
        <v>2058</v>
      </c>
    </row>
    <row r="3" spans="1:3" ht="8.25" customHeight="1" x14ac:dyDescent="0.4">
      <c r="A3" s="8" t="s">
        <v>46</v>
      </c>
      <c r="B3" s="9" t="s">
        <v>81</v>
      </c>
      <c r="C3" s="63" t="s">
        <v>2058</v>
      </c>
    </row>
    <row r="4" spans="1:3" ht="8.25" customHeight="1" x14ac:dyDescent="0.4">
      <c r="A4" s="8" t="s">
        <v>37</v>
      </c>
      <c r="B4" s="8" t="s">
        <v>47</v>
      </c>
      <c r="C4" s="63" t="s">
        <v>2058</v>
      </c>
    </row>
    <row r="5" spans="1:3" ht="8.25" customHeight="1" x14ac:dyDescent="0.4">
      <c r="A5" s="8" t="s">
        <v>38</v>
      </c>
      <c r="B5" s="8" t="str">
        <f>_xlfn.CONCAT(B4,"Prop")</f>
        <v>BIMProp</v>
      </c>
      <c r="C5" s="63" t="s">
        <v>2058</v>
      </c>
    </row>
    <row r="6" spans="1:3" ht="8.25" customHeight="1" x14ac:dyDescent="0.4">
      <c r="A6" s="8" t="s">
        <v>39</v>
      </c>
      <c r="B6" s="8" t="str">
        <f>_xlfn.CONCAT(B4,"Data")</f>
        <v>BIMData</v>
      </c>
      <c r="C6" s="63" t="s">
        <v>2058</v>
      </c>
    </row>
    <row r="7" spans="1:3" ht="8.25" customHeight="1" x14ac:dyDescent="0.4">
      <c r="A7" s="8" t="s">
        <v>40</v>
      </c>
      <c r="B7" s="8" t="s">
        <v>48</v>
      </c>
      <c r="C7" s="63" t="s">
        <v>2058</v>
      </c>
    </row>
    <row r="8" spans="1:3" ht="8.25" customHeight="1" x14ac:dyDescent="0.4">
      <c r="A8" s="8" t="s">
        <v>41</v>
      </c>
      <c r="B8" s="8" t="s">
        <v>2055</v>
      </c>
      <c r="C8" s="63" t="s">
        <v>2058</v>
      </c>
    </row>
    <row r="9" spans="1:3" ht="8.25" customHeight="1" x14ac:dyDescent="0.4">
      <c r="A9" s="8" t="s">
        <v>49</v>
      </c>
      <c r="B9" s="8" t="s">
        <v>50</v>
      </c>
      <c r="C9" s="63" t="s">
        <v>2058</v>
      </c>
    </row>
    <row r="10" spans="1:3" ht="8.25" customHeight="1" x14ac:dyDescent="0.4">
      <c r="A10" s="8" t="s">
        <v>51</v>
      </c>
      <c r="B10" s="8" t="s">
        <v>23</v>
      </c>
      <c r="C10" s="63" t="s">
        <v>2058</v>
      </c>
    </row>
    <row r="11" spans="1:3" ht="8.25" customHeight="1" x14ac:dyDescent="0.4">
      <c r="A11" s="8" t="s">
        <v>42</v>
      </c>
      <c r="B11" s="8" t="s">
        <v>23</v>
      </c>
      <c r="C11" s="63" t="s">
        <v>2058</v>
      </c>
    </row>
    <row r="12" spans="1:3" ht="8.25" customHeight="1" x14ac:dyDescent="0.4">
      <c r="A12" s="8" t="s">
        <v>43</v>
      </c>
      <c r="B12" s="8" t="s">
        <v>23</v>
      </c>
      <c r="C12" s="63" t="s">
        <v>2058</v>
      </c>
    </row>
    <row r="13" spans="1:3" ht="8.25" customHeight="1" x14ac:dyDescent="0.4">
      <c r="A13" s="8" t="s">
        <v>52</v>
      </c>
      <c r="B13" s="8" t="s">
        <v>23</v>
      </c>
      <c r="C13" s="63" t="s">
        <v>2058</v>
      </c>
    </row>
    <row r="14" spans="1:3" ht="8.25" customHeight="1" x14ac:dyDescent="0.4">
      <c r="A14" s="8" t="s">
        <v>53</v>
      </c>
      <c r="B14" s="8" t="s">
        <v>23</v>
      </c>
      <c r="C14" s="63" t="s">
        <v>2058</v>
      </c>
    </row>
    <row r="15" spans="1:3" ht="8.25" customHeight="1" x14ac:dyDescent="0.4">
      <c r="A15" s="8" t="s">
        <v>54</v>
      </c>
      <c r="B15" s="8" t="s">
        <v>23</v>
      </c>
      <c r="C15" s="63" t="s">
        <v>2058</v>
      </c>
    </row>
    <row r="16" spans="1:3" ht="8.25" customHeight="1" x14ac:dyDescent="0.4">
      <c r="A16" s="8" t="s">
        <v>55</v>
      </c>
      <c r="B16" s="8" t="s">
        <v>23</v>
      </c>
      <c r="C16" s="63" t="s">
        <v>2058</v>
      </c>
    </row>
    <row r="17" spans="1:3" ht="8.25" customHeight="1" x14ac:dyDescent="0.4">
      <c r="A17" s="8" t="s">
        <v>44</v>
      </c>
      <c r="B17" s="10" t="s">
        <v>1475</v>
      </c>
      <c r="C17" s="63" t="s">
        <v>2058</v>
      </c>
    </row>
    <row r="18" spans="1:3" ht="8.25" customHeight="1" x14ac:dyDescent="0.4">
      <c r="A18" s="8" t="s">
        <v>56</v>
      </c>
      <c r="B18" s="11">
        <f ca="1">NOW()</f>
        <v>46229.435431018515</v>
      </c>
      <c r="C18" s="63" t="s">
        <v>2058</v>
      </c>
    </row>
    <row r="19" spans="1:3" ht="8.25" customHeight="1" x14ac:dyDescent="0.4">
      <c r="A19" s="10" t="s">
        <v>2066</v>
      </c>
      <c r="B19" s="65" t="s">
        <v>2067</v>
      </c>
      <c r="C19" s="63" t="s">
        <v>2058</v>
      </c>
    </row>
    <row r="20" spans="1:3" ht="8.25" customHeight="1" x14ac:dyDescent="0.4">
      <c r="A20" s="10" t="s">
        <v>2068</v>
      </c>
      <c r="B20" s="65" t="str">
        <f>_xlfn.TRANSLATE(B19,"pt","es")</f>
        <v>Traducciones integradas al español e inglés - Las traducciones deben revisarse constantemente</v>
      </c>
      <c r="C20" s="63" t="s">
        <v>2059</v>
      </c>
    </row>
    <row r="21" spans="1:3" ht="8.25" customHeight="1" x14ac:dyDescent="0.4">
      <c r="A21" s="10" t="s">
        <v>2069</v>
      </c>
      <c r="B21" s="65" t="str">
        <f>_xlfn.TRANSLATE(B19,"pt","en")</f>
        <v>Built-in Spanish and English Translations - Translations must be constantly reviewed</v>
      </c>
      <c r="C21" s="63" t="s">
        <v>2060</v>
      </c>
    </row>
    <row r="22" spans="1:3" ht="8.25" customHeight="1" x14ac:dyDescent="0.4">
      <c r="A22" s="8" t="s">
        <v>57</v>
      </c>
      <c r="B22" s="8" t="s">
        <v>23</v>
      </c>
      <c r="C22" s="63" t="s">
        <v>2058</v>
      </c>
    </row>
    <row r="23" spans="1:3" ht="8.25" customHeight="1" x14ac:dyDescent="0.4">
      <c r="A23" s="8" t="s">
        <v>58</v>
      </c>
      <c r="B23" s="8" t="s">
        <v>23</v>
      </c>
      <c r="C23" s="63" t="s">
        <v>2058</v>
      </c>
    </row>
    <row r="24" spans="1:3" ht="8.25" customHeight="1" x14ac:dyDescent="0.4">
      <c r="A24" s="10" t="s">
        <v>59</v>
      </c>
      <c r="B24" s="12" t="s">
        <v>626</v>
      </c>
      <c r="C24" s="63" t="s">
        <v>2058</v>
      </c>
    </row>
    <row r="25" spans="1:3" ht="8.25" customHeight="1" x14ac:dyDescent="0.4">
      <c r="A25" s="10" t="s">
        <v>60</v>
      </c>
      <c r="B25" s="12" t="s">
        <v>627</v>
      </c>
      <c r="C25" s="63" t="s">
        <v>2059</v>
      </c>
    </row>
    <row r="26" spans="1:3" ht="9.75" customHeight="1" x14ac:dyDescent="0.4">
      <c r="A26" s="10" t="s">
        <v>2056</v>
      </c>
      <c r="B26" s="12" t="str">
        <f>_xlfn.TRANSLATE(B24,"pt","en")</f>
        <v>Formalize concepts of infrastructure elements.</v>
      </c>
      <c r="C26" s="63" t="s">
        <v>2060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A393"/>
  <sheetViews>
    <sheetView zoomScale="220" zoomScaleNormal="220" workbookViewId="0">
      <pane ySplit="1" topLeftCell="A2" activePane="bottomLeft" state="frozen"/>
      <selection pane="bottomLeft" activeCell="F2" sqref="F2"/>
    </sheetView>
  </sheetViews>
  <sheetFormatPr defaultColWidth="9.15234375" defaultRowHeight="6.65" customHeight="1" x14ac:dyDescent="0.4"/>
  <cols>
    <col min="1" max="1" width="3.15234375" bestFit="1" customWidth="1"/>
    <col min="2" max="2" width="5.69140625" style="37" bestFit="1" customWidth="1"/>
    <col min="3" max="3" width="11.3828125" style="37" bestFit="1" customWidth="1"/>
    <col min="4" max="4" width="10.3828125" style="37" bestFit="1" customWidth="1"/>
    <col min="5" max="5" width="12.84375" style="37" bestFit="1" customWidth="1"/>
    <col min="6" max="6" width="18.3828125" style="37" bestFit="1" customWidth="1"/>
    <col min="7" max="7" width="14.3828125" style="37" bestFit="1" customWidth="1"/>
    <col min="8" max="8" width="18" style="37" bestFit="1" customWidth="1"/>
    <col min="9" max="9" width="16" style="37" bestFit="1" customWidth="1"/>
    <col min="10" max="10" width="23.3828125" style="37" bestFit="1" customWidth="1"/>
    <col min="11" max="11" width="22.15234375" style="37" bestFit="1" customWidth="1"/>
    <col min="12" max="12" width="11.3828125" style="37" bestFit="1" customWidth="1"/>
    <col min="13" max="13" width="10.3828125" style="37" bestFit="1" customWidth="1"/>
    <col min="14" max="14" width="12.84375" style="37" bestFit="1" customWidth="1"/>
    <col min="15" max="15" width="18.3828125" style="37" bestFit="1" customWidth="1"/>
    <col min="16" max="17" width="255.69140625" style="37" bestFit="1" customWidth="1"/>
    <col min="18" max="18" width="3.69140625" style="37" bestFit="1" customWidth="1"/>
    <col min="19" max="19" width="11.3828125" style="37" bestFit="1" customWidth="1"/>
    <col min="20" max="20" width="10.3828125" style="37" bestFit="1" customWidth="1"/>
    <col min="21" max="21" width="12.84375" style="37" bestFit="1" customWidth="1"/>
    <col min="22" max="22" width="8.53515625" style="37" bestFit="1" customWidth="1"/>
    <col min="23" max="23" width="7.69140625" style="37" bestFit="1" customWidth="1"/>
    <col min="24" max="24" width="159.3046875" style="37" bestFit="1" customWidth="1"/>
    <col min="25" max="25" width="21" style="37" bestFit="1" customWidth="1"/>
    <col min="26" max="26" width="5.15234375" style="37" bestFit="1" customWidth="1"/>
    <col min="27" max="27" width="255.69140625" style="37" bestFit="1" customWidth="1"/>
    <col min="28" max="16384" width="9.15234375" style="37"/>
  </cols>
  <sheetData>
    <row r="1" spans="1:27" ht="34.200000000000003" customHeight="1" x14ac:dyDescent="0.4">
      <c r="A1" s="14">
        <v>1</v>
      </c>
      <c r="B1" s="15" t="s">
        <v>65</v>
      </c>
      <c r="C1" s="15" t="s">
        <v>66</v>
      </c>
      <c r="D1" s="15" t="s">
        <v>67</v>
      </c>
      <c r="E1" s="15" t="s">
        <v>68</v>
      </c>
      <c r="F1" s="15" t="s">
        <v>69</v>
      </c>
      <c r="G1" s="79" t="s">
        <v>24</v>
      </c>
      <c r="H1" s="79" t="s">
        <v>25</v>
      </c>
      <c r="I1" s="79" t="s">
        <v>26</v>
      </c>
      <c r="J1" s="79" t="s">
        <v>27</v>
      </c>
      <c r="K1" s="79" t="s">
        <v>28</v>
      </c>
      <c r="L1" s="16" t="s">
        <v>31</v>
      </c>
      <c r="M1" s="16" t="s">
        <v>32</v>
      </c>
      <c r="N1" s="16" t="s">
        <v>30</v>
      </c>
      <c r="O1" s="16" t="s">
        <v>29</v>
      </c>
      <c r="P1" s="16" t="s">
        <v>70</v>
      </c>
      <c r="Q1" s="16" t="s">
        <v>71</v>
      </c>
      <c r="R1" s="16" t="s">
        <v>72</v>
      </c>
      <c r="S1" s="16" t="s">
        <v>62</v>
      </c>
      <c r="T1" s="16" t="s">
        <v>73</v>
      </c>
      <c r="U1" s="17" t="s">
        <v>64</v>
      </c>
      <c r="V1" s="16" t="s">
        <v>63</v>
      </c>
      <c r="W1" s="68" t="s">
        <v>0</v>
      </c>
      <c r="X1" s="17" t="s">
        <v>135</v>
      </c>
      <c r="Y1" s="16" t="s">
        <v>134</v>
      </c>
      <c r="Z1" s="16" t="s">
        <v>2054</v>
      </c>
      <c r="AA1" s="62" t="s">
        <v>2053</v>
      </c>
    </row>
    <row r="2" spans="1:27" ht="6" customHeight="1" x14ac:dyDescent="0.4">
      <c r="A2" s="77">
        <v>2</v>
      </c>
      <c r="B2" s="66" t="s">
        <v>2219</v>
      </c>
      <c r="C2" s="66" t="s">
        <v>2179</v>
      </c>
      <c r="D2" s="66" t="s">
        <v>78</v>
      </c>
      <c r="E2" s="67" t="s">
        <v>2220</v>
      </c>
      <c r="F2" s="67" t="s">
        <v>79</v>
      </c>
      <c r="G2" s="78" t="s">
        <v>1</v>
      </c>
      <c r="H2" s="78" t="s">
        <v>1</v>
      </c>
      <c r="I2" s="78" t="s">
        <v>1</v>
      </c>
      <c r="J2" s="78" t="s">
        <v>1</v>
      </c>
      <c r="K2" s="78" t="s">
        <v>1</v>
      </c>
      <c r="L2" s="27" t="str">
        <f t="shared" ref="L2:M6" si="0">CONCATENATE("", C2)</f>
        <v>Gestão</v>
      </c>
      <c r="M2" s="27" t="str">
        <f t="shared" si="0"/>
        <v>Informação</v>
      </c>
      <c r="N2" s="27" t="str">
        <f t="shared" ref="N2:O6" si="1">(SUBSTITUTE(SUBSTITUTE(CONCATENATE("",E2),"."," ")," De "," de "))</f>
        <v>Contêineres</v>
      </c>
      <c r="O2" s="27" t="str">
        <f t="shared" si="1"/>
        <v>Contêiner</v>
      </c>
      <c r="P2" s="28" t="s">
        <v>2070</v>
      </c>
      <c r="Q2" s="28" t="s">
        <v>80</v>
      </c>
      <c r="R2" s="28" t="s">
        <v>1</v>
      </c>
      <c r="S2" s="28" t="str">
        <f t="shared" ref="S2:U6" si="2">SUBSTITUTE(C2, ".", " ")</f>
        <v>Gestão</v>
      </c>
      <c r="T2" s="28" t="str">
        <f t="shared" si="2"/>
        <v>Informação</v>
      </c>
      <c r="U2" s="28" t="str">
        <f t="shared" si="2"/>
        <v>Contêineres</v>
      </c>
      <c r="V2" s="28" t="s">
        <v>2222</v>
      </c>
      <c r="W2" s="69" t="str">
        <f t="shared" ref="W2:W65" si="3">CONCATENATE("Key-INFRA-",A2)</f>
        <v>Key-INFRA-2</v>
      </c>
      <c r="X2" s="28" t="s">
        <v>1</v>
      </c>
      <c r="Y2" s="28" t="s">
        <v>1</v>
      </c>
      <c r="Z2" s="28" t="s">
        <v>2221</v>
      </c>
      <c r="AA2" s="28" t="str">
        <f t="shared" ref="AA2:AA6" si="4">_xlfn.TRANSLATE(P2,"pt","en")</f>
        <v>Defines an information container in accordance with the NBR 19650-1 standard. Project Definition.</v>
      </c>
    </row>
    <row r="3" spans="1:27" ht="6" customHeight="1" x14ac:dyDescent="0.4">
      <c r="A3" s="77">
        <v>3</v>
      </c>
      <c r="B3" s="66" t="s">
        <v>2219</v>
      </c>
      <c r="C3" s="66" t="s">
        <v>2179</v>
      </c>
      <c r="D3" s="66" t="s">
        <v>78</v>
      </c>
      <c r="E3" s="67" t="s">
        <v>2220</v>
      </c>
      <c r="F3" s="67" t="s">
        <v>2180</v>
      </c>
      <c r="G3" s="78" t="s">
        <v>1</v>
      </c>
      <c r="H3" s="78" t="s">
        <v>1</v>
      </c>
      <c r="I3" s="78" t="s">
        <v>1</v>
      </c>
      <c r="J3" s="78" t="s">
        <v>1</v>
      </c>
      <c r="K3" s="78" t="s">
        <v>1</v>
      </c>
      <c r="L3" s="27" t="str">
        <f t="shared" si="0"/>
        <v>Gestão</v>
      </c>
      <c r="M3" s="27" t="str">
        <f t="shared" si="0"/>
        <v>Informação</v>
      </c>
      <c r="N3" s="27" t="str">
        <f t="shared" si="1"/>
        <v>Contêineres</v>
      </c>
      <c r="O3" s="27" t="str">
        <f t="shared" si="1"/>
        <v>Requisito Espacial</v>
      </c>
      <c r="P3" s="28" t="s">
        <v>2181</v>
      </c>
      <c r="Q3" s="28" t="s">
        <v>80</v>
      </c>
      <c r="R3" s="28" t="s">
        <v>1</v>
      </c>
      <c r="S3" s="28" t="str">
        <f t="shared" si="2"/>
        <v>Gestão</v>
      </c>
      <c r="T3" s="28" t="str">
        <f t="shared" si="2"/>
        <v>Informação</v>
      </c>
      <c r="U3" s="28" t="str">
        <f t="shared" si="2"/>
        <v>Contêineres</v>
      </c>
      <c r="V3" s="28" t="s">
        <v>2222</v>
      </c>
      <c r="W3" s="69" t="str">
        <f t="shared" si="3"/>
        <v>Key-INFRA-3</v>
      </c>
      <c r="X3" s="28" t="s">
        <v>1</v>
      </c>
      <c r="Y3" s="28" t="s">
        <v>1</v>
      </c>
      <c r="Z3" s="28" t="s">
        <v>1</v>
      </c>
      <c r="AA3" s="28" t="str">
        <f t="shared" si="4"/>
        <v>Defines an information container in accordance with the NBR 19650-1 standard. Spatial Requirements for the Project.</v>
      </c>
    </row>
    <row r="4" spans="1:27" ht="6" customHeight="1" x14ac:dyDescent="0.4">
      <c r="A4" s="77">
        <v>4</v>
      </c>
      <c r="B4" s="66" t="s">
        <v>2219</v>
      </c>
      <c r="C4" s="66" t="s">
        <v>2179</v>
      </c>
      <c r="D4" s="66" t="s">
        <v>78</v>
      </c>
      <c r="E4" s="67" t="s">
        <v>2220</v>
      </c>
      <c r="F4" s="67" t="s">
        <v>2182</v>
      </c>
      <c r="G4" s="78" t="s">
        <v>1</v>
      </c>
      <c r="H4" s="78" t="s">
        <v>1</v>
      </c>
      <c r="I4" s="78" t="s">
        <v>1</v>
      </c>
      <c r="J4" s="78" t="s">
        <v>1</v>
      </c>
      <c r="K4" s="78" t="s">
        <v>1</v>
      </c>
      <c r="L4" s="27" t="str">
        <f t="shared" si="0"/>
        <v>Gestão</v>
      </c>
      <c r="M4" s="27" t="str">
        <f t="shared" si="0"/>
        <v>Informação</v>
      </c>
      <c r="N4" s="27" t="str">
        <f t="shared" si="1"/>
        <v>Contêineres</v>
      </c>
      <c r="O4" s="27" t="str">
        <f t="shared" si="1"/>
        <v>Requisito Mobiliário</v>
      </c>
      <c r="P4" s="28" t="s">
        <v>2183</v>
      </c>
      <c r="Q4" s="28" t="s">
        <v>80</v>
      </c>
      <c r="R4" s="28" t="s">
        <v>1</v>
      </c>
      <c r="S4" s="28" t="str">
        <f t="shared" si="2"/>
        <v>Gestão</v>
      </c>
      <c r="T4" s="28" t="str">
        <f t="shared" si="2"/>
        <v>Informação</v>
      </c>
      <c r="U4" s="28" t="str">
        <f t="shared" si="2"/>
        <v>Contêineres</v>
      </c>
      <c r="V4" s="28" t="s">
        <v>2222</v>
      </c>
      <c r="W4" s="69" t="str">
        <f t="shared" si="3"/>
        <v>Key-INFRA-4</v>
      </c>
      <c r="X4" s="28" t="s">
        <v>1</v>
      </c>
      <c r="Y4" s="28" t="s">
        <v>1</v>
      </c>
      <c r="Z4" s="28" t="s">
        <v>1</v>
      </c>
      <c r="AA4" s="28" t="str">
        <f t="shared" si="4"/>
        <v>Defines an information container in accordance with the NBR 19650-1 standard. Furniture Requirements for the Project.</v>
      </c>
    </row>
    <row r="5" spans="1:27" ht="6" customHeight="1" x14ac:dyDescent="0.4">
      <c r="A5" s="77">
        <v>5</v>
      </c>
      <c r="B5" s="66" t="s">
        <v>2219</v>
      </c>
      <c r="C5" s="66" t="s">
        <v>2179</v>
      </c>
      <c r="D5" s="66" t="s">
        <v>78</v>
      </c>
      <c r="E5" s="67" t="s">
        <v>2220</v>
      </c>
      <c r="F5" s="67" t="s">
        <v>2184</v>
      </c>
      <c r="G5" s="78" t="s">
        <v>1</v>
      </c>
      <c r="H5" s="78" t="s">
        <v>1</v>
      </c>
      <c r="I5" s="78" t="s">
        <v>1</v>
      </c>
      <c r="J5" s="78" t="s">
        <v>1</v>
      </c>
      <c r="K5" s="78" t="s">
        <v>1</v>
      </c>
      <c r="L5" s="27" t="str">
        <f t="shared" si="0"/>
        <v>Gestão</v>
      </c>
      <c r="M5" s="27" t="str">
        <f t="shared" si="0"/>
        <v>Informação</v>
      </c>
      <c r="N5" s="27" t="str">
        <f t="shared" si="1"/>
        <v>Contêineres</v>
      </c>
      <c r="O5" s="27" t="str">
        <f t="shared" si="1"/>
        <v>Requisito Equipamento</v>
      </c>
      <c r="P5" s="28" t="s">
        <v>2185</v>
      </c>
      <c r="Q5" s="28" t="s">
        <v>80</v>
      </c>
      <c r="R5" s="28" t="s">
        <v>1</v>
      </c>
      <c r="S5" s="28" t="str">
        <f t="shared" si="2"/>
        <v>Gestão</v>
      </c>
      <c r="T5" s="28" t="str">
        <f t="shared" si="2"/>
        <v>Informação</v>
      </c>
      <c r="U5" s="28" t="str">
        <f t="shared" si="2"/>
        <v>Contêineres</v>
      </c>
      <c r="V5" s="28" t="s">
        <v>2222</v>
      </c>
      <c r="W5" s="69" t="str">
        <f t="shared" si="3"/>
        <v>Key-INFRA-5</v>
      </c>
      <c r="X5" s="28" t="s">
        <v>1</v>
      </c>
      <c r="Y5" s="28" t="s">
        <v>1</v>
      </c>
      <c r="Z5" s="28" t="s">
        <v>1</v>
      </c>
      <c r="AA5" s="28" t="str">
        <f t="shared" si="4"/>
        <v>Defines an information container in accordance with the NBR 19650-1 standard. Equipment Requirements for the Project.</v>
      </c>
    </row>
    <row r="6" spans="1:27" ht="6" customHeight="1" x14ac:dyDescent="0.4">
      <c r="A6" s="77">
        <v>6</v>
      </c>
      <c r="B6" s="66" t="s">
        <v>2219</v>
      </c>
      <c r="C6" s="66" t="s">
        <v>2179</v>
      </c>
      <c r="D6" s="66" t="s">
        <v>78</v>
      </c>
      <c r="E6" s="67" t="s">
        <v>2220</v>
      </c>
      <c r="F6" s="67" t="s">
        <v>2186</v>
      </c>
      <c r="G6" s="78" t="s">
        <v>1</v>
      </c>
      <c r="H6" s="78" t="s">
        <v>1</v>
      </c>
      <c r="I6" s="78" t="s">
        <v>1</v>
      </c>
      <c r="J6" s="78" t="s">
        <v>1</v>
      </c>
      <c r="K6" s="78" t="s">
        <v>1</v>
      </c>
      <c r="L6" s="27" t="str">
        <f t="shared" si="0"/>
        <v>Gestão</v>
      </c>
      <c r="M6" s="27" t="str">
        <f t="shared" si="0"/>
        <v>Informação</v>
      </c>
      <c r="N6" s="27" t="str">
        <f t="shared" si="1"/>
        <v>Contêineres</v>
      </c>
      <c r="O6" s="27" t="str">
        <f t="shared" si="1"/>
        <v>Requisito Sistemas</v>
      </c>
      <c r="P6" s="28" t="s">
        <v>2187</v>
      </c>
      <c r="Q6" s="28" t="s">
        <v>80</v>
      </c>
      <c r="R6" s="28" t="s">
        <v>1</v>
      </c>
      <c r="S6" s="28" t="str">
        <f t="shared" si="2"/>
        <v>Gestão</v>
      </c>
      <c r="T6" s="28" t="str">
        <f t="shared" si="2"/>
        <v>Informação</v>
      </c>
      <c r="U6" s="28" t="str">
        <f t="shared" si="2"/>
        <v>Contêineres</v>
      </c>
      <c r="V6" s="28" t="s">
        <v>2222</v>
      </c>
      <c r="W6" s="69" t="str">
        <f t="shared" si="3"/>
        <v>Key-INFRA-6</v>
      </c>
      <c r="X6" s="28" t="s">
        <v>1</v>
      </c>
      <c r="Y6" s="28" t="s">
        <v>1</v>
      </c>
      <c r="Z6" s="28" t="s">
        <v>1</v>
      </c>
      <c r="AA6" s="28" t="str">
        <f t="shared" si="4"/>
        <v>Defines an information container in accordance with the NBR 19650-1 standard. Building Systems Requirements for the Project.</v>
      </c>
    </row>
    <row r="7" spans="1:27" ht="6.65" customHeight="1" x14ac:dyDescent="0.4">
      <c r="A7" s="77">
        <v>7</v>
      </c>
      <c r="B7" s="66" t="s">
        <v>2219</v>
      </c>
      <c r="C7" s="30" t="s">
        <v>1877</v>
      </c>
      <c r="D7" s="29" t="s">
        <v>1878</v>
      </c>
      <c r="E7" s="29" t="s">
        <v>1879</v>
      </c>
      <c r="F7" s="45" t="s">
        <v>1880</v>
      </c>
      <c r="G7" s="80" t="s">
        <v>1</v>
      </c>
      <c r="H7" s="80" t="s">
        <v>1</v>
      </c>
      <c r="I7" s="80" t="s">
        <v>1</v>
      </c>
      <c r="J7" s="80" t="s">
        <v>1</v>
      </c>
      <c r="K7" s="80" t="s">
        <v>1</v>
      </c>
      <c r="L7" s="27" t="str">
        <f t="shared" ref="L7:O13" si="5">SUBSTITUTE(CONCATENATE("", C7), ".", " ")</f>
        <v>Materialidade</v>
      </c>
      <c r="M7" s="27" t="str">
        <f t="shared" si="5"/>
        <v>Da Tubulação</v>
      </c>
      <c r="N7" s="27" t="str">
        <f t="shared" si="5"/>
        <v>Materiais</v>
      </c>
      <c r="O7" s="27" t="str">
        <f t="shared" si="5"/>
        <v>Tubos de FoFo</v>
      </c>
      <c r="P7" s="43" t="s">
        <v>1881</v>
      </c>
      <c r="Q7" s="43" t="s">
        <v>1922</v>
      </c>
      <c r="R7" s="28" t="s">
        <v>1</v>
      </c>
      <c r="S7" s="28" t="str">
        <f t="shared" ref="S7:U13" si="6">SUBSTITUTE(C7, ".", " ")</f>
        <v>Materialidade</v>
      </c>
      <c r="T7" s="28" t="str">
        <f t="shared" si="6"/>
        <v>Da Tubulação</v>
      </c>
      <c r="U7" s="28" t="str">
        <f t="shared" si="6"/>
        <v>Materiais</v>
      </c>
      <c r="V7" s="28" t="s">
        <v>2222</v>
      </c>
      <c r="W7" s="69" t="str">
        <f t="shared" si="3"/>
        <v>Key-INFRA-7</v>
      </c>
      <c r="X7" s="28" t="s">
        <v>2071</v>
      </c>
      <c r="Y7" s="28" t="s">
        <v>2072</v>
      </c>
      <c r="Z7" s="40" t="s">
        <v>1</v>
      </c>
      <c r="AA7" s="28" t="str">
        <f t="shared" ref="AA7:AA72" si="7">_xlfn.TRANSLATE(P7,"pt","en")</f>
        <v>Cast Iron Pipe for water and sewage networks of basic sanitation.</v>
      </c>
    </row>
    <row r="8" spans="1:27" ht="6.65" customHeight="1" x14ac:dyDescent="0.4">
      <c r="A8" s="77">
        <v>8</v>
      </c>
      <c r="B8" s="66" t="s">
        <v>2219</v>
      </c>
      <c r="C8" s="30" t="s">
        <v>1877</v>
      </c>
      <c r="D8" s="29" t="s">
        <v>1878</v>
      </c>
      <c r="E8" s="29" t="s">
        <v>1879</v>
      </c>
      <c r="F8" s="45" t="s">
        <v>1882</v>
      </c>
      <c r="G8" s="80" t="s">
        <v>1</v>
      </c>
      <c r="H8" s="80" t="s">
        <v>1</v>
      </c>
      <c r="I8" s="80" t="s">
        <v>1</v>
      </c>
      <c r="J8" s="80" t="s">
        <v>1</v>
      </c>
      <c r="K8" s="80" t="s">
        <v>1</v>
      </c>
      <c r="L8" s="27" t="str">
        <f t="shared" si="5"/>
        <v>Materialidade</v>
      </c>
      <c r="M8" s="27" t="str">
        <f t="shared" si="5"/>
        <v>Da Tubulação</v>
      </c>
      <c r="N8" s="27" t="str">
        <f t="shared" si="5"/>
        <v>Materiais</v>
      </c>
      <c r="O8" s="27" t="str">
        <f t="shared" si="5"/>
        <v>Tubos de PVC</v>
      </c>
      <c r="P8" s="43" t="s">
        <v>1883</v>
      </c>
      <c r="Q8" s="43" t="s">
        <v>1923</v>
      </c>
      <c r="R8" s="28" t="s">
        <v>1</v>
      </c>
      <c r="S8" s="28" t="str">
        <f t="shared" si="6"/>
        <v>Materialidade</v>
      </c>
      <c r="T8" s="28" t="str">
        <f t="shared" si="6"/>
        <v>Da Tubulação</v>
      </c>
      <c r="U8" s="28" t="str">
        <f t="shared" si="6"/>
        <v>Materiais</v>
      </c>
      <c r="V8" s="28" t="s">
        <v>2222</v>
      </c>
      <c r="W8" s="69" t="str">
        <f t="shared" si="3"/>
        <v>Key-INFRA-8</v>
      </c>
      <c r="X8" s="28" t="s">
        <v>2071</v>
      </c>
      <c r="Y8" s="28" t="s">
        <v>2072</v>
      </c>
      <c r="Z8" s="40" t="s">
        <v>1</v>
      </c>
      <c r="AA8" s="28" t="str">
        <f t="shared" si="7"/>
        <v>PVC (Polyvinyl Chloride) pipe for domestic water and sewage networks.</v>
      </c>
    </row>
    <row r="9" spans="1:27" ht="6.65" customHeight="1" x14ac:dyDescent="0.4">
      <c r="A9" s="77">
        <v>9</v>
      </c>
      <c r="B9" s="66" t="s">
        <v>2219</v>
      </c>
      <c r="C9" s="30" t="s">
        <v>1877</v>
      </c>
      <c r="D9" s="29" t="s">
        <v>1878</v>
      </c>
      <c r="E9" s="29" t="s">
        <v>1879</v>
      </c>
      <c r="F9" s="45" t="s">
        <v>1884</v>
      </c>
      <c r="G9" s="80" t="s">
        <v>1</v>
      </c>
      <c r="H9" s="80" t="s">
        <v>1</v>
      </c>
      <c r="I9" s="80" t="s">
        <v>1</v>
      </c>
      <c r="J9" s="80" t="s">
        <v>1</v>
      </c>
      <c r="K9" s="80" t="s">
        <v>1</v>
      </c>
      <c r="L9" s="27" t="str">
        <f t="shared" si="5"/>
        <v>Materialidade</v>
      </c>
      <c r="M9" s="27" t="str">
        <f t="shared" si="5"/>
        <v>Da Tubulação</v>
      </c>
      <c r="N9" s="27" t="str">
        <f t="shared" si="5"/>
        <v>Materiais</v>
      </c>
      <c r="O9" s="27" t="str">
        <f t="shared" si="5"/>
        <v>Tubos de PVC O</v>
      </c>
      <c r="P9" s="43" t="s">
        <v>1885</v>
      </c>
      <c r="Q9" s="43" t="s">
        <v>1924</v>
      </c>
      <c r="R9" s="28" t="s">
        <v>1</v>
      </c>
      <c r="S9" s="28" t="str">
        <f t="shared" si="6"/>
        <v>Materialidade</v>
      </c>
      <c r="T9" s="28" t="str">
        <f t="shared" si="6"/>
        <v>Da Tubulação</v>
      </c>
      <c r="U9" s="28" t="str">
        <f t="shared" si="6"/>
        <v>Materiais</v>
      </c>
      <c r="V9" s="28" t="s">
        <v>2222</v>
      </c>
      <c r="W9" s="69" t="str">
        <f t="shared" si="3"/>
        <v>Key-INFRA-9</v>
      </c>
      <c r="X9" s="28" t="s">
        <v>2071</v>
      </c>
      <c r="Y9" s="28" t="s">
        <v>2072</v>
      </c>
      <c r="Z9" s="40" t="s">
        <v>1</v>
      </c>
      <c r="AA9" s="28" t="str">
        <f t="shared" si="7"/>
        <v>Oriented PVC Pipe (Polyvinyl Chloride). More resistant material than normal PVC for water and sewage networks.</v>
      </c>
    </row>
    <row r="10" spans="1:27" ht="6.65" customHeight="1" x14ac:dyDescent="0.4">
      <c r="A10" s="77">
        <v>10</v>
      </c>
      <c r="B10" s="66" t="s">
        <v>2219</v>
      </c>
      <c r="C10" s="30" t="s">
        <v>1877</v>
      </c>
      <c r="D10" s="29" t="s">
        <v>1878</v>
      </c>
      <c r="E10" s="29" t="s">
        <v>1879</v>
      </c>
      <c r="F10" s="45" t="s">
        <v>1886</v>
      </c>
      <c r="G10" s="80" t="s">
        <v>1</v>
      </c>
      <c r="H10" s="80" t="s">
        <v>1</v>
      </c>
      <c r="I10" s="80" t="s">
        <v>1</v>
      </c>
      <c r="J10" s="80" t="s">
        <v>1</v>
      </c>
      <c r="K10" s="80" t="s">
        <v>1</v>
      </c>
      <c r="L10" s="27" t="str">
        <f t="shared" si="5"/>
        <v>Materialidade</v>
      </c>
      <c r="M10" s="27" t="str">
        <f t="shared" si="5"/>
        <v>Da Tubulação</v>
      </c>
      <c r="N10" s="27" t="str">
        <f t="shared" si="5"/>
        <v>Materiais</v>
      </c>
      <c r="O10" s="27" t="str">
        <f t="shared" si="5"/>
        <v>Tubos de Latão</v>
      </c>
      <c r="P10" s="43" t="s">
        <v>1887</v>
      </c>
      <c r="Q10" s="43" t="s">
        <v>1925</v>
      </c>
      <c r="R10" s="28" t="s">
        <v>1</v>
      </c>
      <c r="S10" s="28" t="str">
        <f t="shared" si="6"/>
        <v>Materialidade</v>
      </c>
      <c r="T10" s="28" t="str">
        <f t="shared" si="6"/>
        <v>Da Tubulação</v>
      </c>
      <c r="U10" s="28" t="str">
        <f t="shared" si="6"/>
        <v>Materiais</v>
      </c>
      <c r="V10" s="28" t="s">
        <v>2222</v>
      </c>
      <c r="W10" s="69" t="str">
        <f t="shared" si="3"/>
        <v>Key-INFRA-10</v>
      </c>
      <c r="X10" s="28" t="s">
        <v>2071</v>
      </c>
      <c r="Y10" s="28" t="s">
        <v>2072</v>
      </c>
      <c r="Z10" s="40" t="s">
        <v>1</v>
      </c>
      <c r="AA10" s="28" t="str">
        <f t="shared" si="7"/>
        <v>Brass pipe for water networks.</v>
      </c>
    </row>
    <row r="11" spans="1:27" ht="6.65" customHeight="1" x14ac:dyDescent="0.4">
      <c r="A11" s="77">
        <v>11</v>
      </c>
      <c r="B11" s="66" t="s">
        <v>2219</v>
      </c>
      <c r="C11" s="30" t="s">
        <v>1877</v>
      </c>
      <c r="D11" s="29" t="s">
        <v>1878</v>
      </c>
      <c r="E11" s="29" t="s">
        <v>1879</v>
      </c>
      <c r="F11" s="45" t="s">
        <v>1888</v>
      </c>
      <c r="G11" s="80" t="s">
        <v>1</v>
      </c>
      <c r="H11" s="80" t="s">
        <v>1</v>
      </c>
      <c r="I11" s="80" t="s">
        <v>1</v>
      </c>
      <c r="J11" s="80" t="s">
        <v>1</v>
      </c>
      <c r="K11" s="80" t="s">
        <v>1</v>
      </c>
      <c r="L11" s="27" t="str">
        <f t="shared" si="5"/>
        <v>Materialidade</v>
      </c>
      <c r="M11" s="27" t="str">
        <f t="shared" si="5"/>
        <v>Da Tubulação</v>
      </c>
      <c r="N11" s="27" t="str">
        <f t="shared" si="5"/>
        <v>Materiais</v>
      </c>
      <c r="O11" s="27" t="str">
        <f t="shared" si="5"/>
        <v>Tubos de Cobre</v>
      </c>
      <c r="P11" s="43" t="s">
        <v>1889</v>
      </c>
      <c r="Q11" s="43" t="s">
        <v>1926</v>
      </c>
      <c r="R11" s="28" t="s">
        <v>1</v>
      </c>
      <c r="S11" s="28" t="str">
        <f t="shared" si="6"/>
        <v>Materialidade</v>
      </c>
      <c r="T11" s="28" t="str">
        <f t="shared" si="6"/>
        <v>Da Tubulação</v>
      </c>
      <c r="U11" s="28" t="str">
        <f t="shared" si="6"/>
        <v>Materiais</v>
      </c>
      <c r="V11" s="28" t="s">
        <v>2222</v>
      </c>
      <c r="W11" s="69" t="str">
        <f t="shared" si="3"/>
        <v>Key-INFRA-11</v>
      </c>
      <c r="X11" s="28" t="s">
        <v>2071</v>
      </c>
      <c r="Y11" s="28" t="s">
        <v>2072</v>
      </c>
      <c r="Z11" s="40" t="s">
        <v>1</v>
      </c>
      <c r="AA11" s="28" t="str">
        <f t="shared" si="7"/>
        <v>Copper pipe for hot water or gas networks.</v>
      </c>
    </row>
    <row r="12" spans="1:27" ht="6.65" customHeight="1" x14ac:dyDescent="0.4">
      <c r="A12" s="77">
        <v>12</v>
      </c>
      <c r="B12" s="66" t="s">
        <v>2219</v>
      </c>
      <c r="C12" s="30" t="s">
        <v>1877</v>
      </c>
      <c r="D12" s="29" t="s">
        <v>1878</v>
      </c>
      <c r="E12" s="29" t="s">
        <v>1879</v>
      </c>
      <c r="F12" s="45" t="s">
        <v>1890</v>
      </c>
      <c r="G12" s="80" t="s">
        <v>1</v>
      </c>
      <c r="H12" s="80" t="s">
        <v>1</v>
      </c>
      <c r="I12" s="80" t="s">
        <v>1</v>
      </c>
      <c r="J12" s="80" t="s">
        <v>1</v>
      </c>
      <c r="K12" s="80" t="s">
        <v>1</v>
      </c>
      <c r="L12" s="27" t="str">
        <f t="shared" si="5"/>
        <v>Materialidade</v>
      </c>
      <c r="M12" s="27" t="str">
        <f t="shared" si="5"/>
        <v>Da Tubulação</v>
      </c>
      <c r="N12" s="27" t="str">
        <f t="shared" si="5"/>
        <v>Materiais</v>
      </c>
      <c r="O12" s="27" t="str">
        <f t="shared" si="5"/>
        <v>Tubos de PEAD</v>
      </c>
      <c r="P12" s="43" t="s">
        <v>1891</v>
      </c>
      <c r="Q12" s="43" t="s">
        <v>1892</v>
      </c>
      <c r="R12" s="28" t="s">
        <v>1</v>
      </c>
      <c r="S12" s="28" t="str">
        <f t="shared" si="6"/>
        <v>Materialidade</v>
      </c>
      <c r="T12" s="28" t="str">
        <f t="shared" si="6"/>
        <v>Da Tubulação</v>
      </c>
      <c r="U12" s="28" t="str">
        <f t="shared" si="6"/>
        <v>Materiais</v>
      </c>
      <c r="V12" s="28" t="s">
        <v>2222</v>
      </c>
      <c r="W12" s="69" t="str">
        <f t="shared" si="3"/>
        <v>Key-INFRA-12</v>
      </c>
      <c r="X12" s="28" t="s">
        <v>2071</v>
      </c>
      <c r="Y12" s="28" t="s">
        <v>2072</v>
      </c>
      <c r="Z12" s="40" t="s">
        <v>1</v>
      </c>
      <c r="AA12" s="28" t="str">
        <f t="shared" si="7"/>
        <v>HDPE (High Density Polyethylene) thermofusion tube.</v>
      </c>
    </row>
    <row r="13" spans="1:27" ht="6.65" customHeight="1" x14ac:dyDescent="0.4">
      <c r="A13" s="77">
        <v>13</v>
      </c>
      <c r="B13" s="66" t="s">
        <v>2219</v>
      </c>
      <c r="C13" s="30" t="s">
        <v>1877</v>
      </c>
      <c r="D13" s="29" t="s">
        <v>1878</v>
      </c>
      <c r="E13" s="29" t="s">
        <v>1879</v>
      </c>
      <c r="F13" s="45" t="s">
        <v>1893</v>
      </c>
      <c r="G13" s="80" t="s">
        <v>1</v>
      </c>
      <c r="H13" s="80" t="s">
        <v>1</v>
      </c>
      <c r="I13" s="80" t="s">
        <v>1</v>
      </c>
      <c r="J13" s="80" t="s">
        <v>1</v>
      </c>
      <c r="K13" s="80" t="s">
        <v>1</v>
      </c>
      <c r="L13" s="27" t="str">
        <f t="shared" si="5"/>
        <v>Materialidade</v>
      </c>
      <c r="M13" s="27" t="str">
        <f t="shared" si="5"/>
        <v>Da Tubulação</v>
      </c>
      <c r="N13" s="27" t="str">
        <f t="shared" si="5"/>
        <v>Materiais</v>
      </c>
      <c r="O13" s="27" t="str">
        <f t="shared" si="5"/>
        <v>Tubos de Aço</v>
      </c>
      <c r="P13" s="43" t="s">
        <v>1894</v>
      </c>
      <c r="Q13" s="43" t="s">
        <v>1895</v>
      </c>
      <c r="R13" s="28" t="s">
        <v>1</v>
      </c>
      <c r="S13" s="28" t="str">
        <f t="shared" si="6"/>
        <v>Materialidade</v>
      </c>
      <c r="T13" s="28" t="str">
        <f t="shared" si="6"/>
        <v>Da Tubulação</v>
      </c>
      <c r="U13" s="28" t="str">
        <f t="shared" si="6"/>
        <v>Materiais</v>
      </c>
      <c r="V13" s="28" t="s">
        <v>2222</v>
      </c>
      <c r="W13" s="69" t="str">
        <f t="shared" si="3"/>
        <v>Key-INFRA-13</v>
      </c>
      <c r="X13" s="28" t="s">
        <v>2071</v>
      </c>
      <c r="Y13" s="28" t="s">
        <v>2072</v>
      </c>
      <c r="Z13" s="40" t="s">
        <v>1</v>
      </c>
      <c r="AA13" s="28" t="str">
        <f t="shared" si="7"/>
        <v>Steel pipe for plumbing.</v>
      </c>
    </row>
    <row r="14" spans="1:27" ht="6.65" customHeight="1" x14ac:dyDescent="0.4">
      <c r="A14" s="77">
        <v>14</v>
      </c>
      <c r="B14" s="66" t="s">
        <v>2219</v>
      </c>
      <c r="C14" s="44" t="s">
        <v>1572</v>
      </c>
      <c r="D14" s="44" t="s">
        <v>1571</v>
      </c>
      <c r="E14" s="44" t="s">
        <v>1573</v>
      </c>
      <c r="F14" s="44" t="s">
        <v>628</v>
      </c>
      <c r="G14" s="80" t="str">
        <f>_xlfn.CONCAT("é.nomeado some ",B14)</f>
        <v>é.nomeado some Conceito</v>
      </c>
      <c r="H14" s="80" t="str">
        <f>_xlfn.CONCAT("é.nomeada some ",C14)</f>
        <v>é.nomeada some Fronteiras</v>
      </c>
      <c r="I14" s="80" t="s">
        <v>1</v>
      </c>
      <c r="J14" s="80" t="s">
        <v>1</v>
      </c>
      <c r="K14" s="80" t="s">
        <v>1</v>
      </c>
      <c r="L14" s="43" t="str">
        <f t="shared" ref="L14:L100" si="8">_xlfn.CONCAT(SUBSTITUTE(C14,"1.",""))</f>
        <v>Fronteiras</v>
      </c>
      <c r="M14" s="43" t="str">
        <f>_xlfn.CONCAT(SUBSTITUTE(D14,"."," "))</f>
        <v>Geográficas</v>
      </c>
      <c r="N14" s="43" t="str">
        <f>_xlfn.CONCAT(SUBSTITUTE(E14,"."," "))</f>
        <v>Naturais</v>
      </c>
      <c r="O14" s="43" t="str">
        <f>_xlfn.CONCAT(SUBSTITUTE(F14,"."," "))</f>
        <v>Continente</v>
      </c>
      <c r="P14" s="43" t="s">
        <v>1750</v>
      </c>
      <c r="Q14" s="43" t="s">
        <v>628</v>
      </c>
      <c r="R14" s="28" t="s">
        <v>1</v>
      </c>
      <c r="S14" s="28" t="str">
        <f t="shared" ref="S14:S96" si="9">SUBSTITUTE(C14, ".", " ")</f>
        <v>Fronteiras</v>
      </c>
      <c r="T14" s="28" t="str">
        <f t="shared" ref="T14:T96" si="10">SUBSTITUTE(D14, ".", " ")</f>
        <v>Geográficas</v>
      </c>
      <c r="U14" s="28" t="str">
        <f t="shared" ref="U14:U96" si="11">SUBSTITUTE(E14, ".", " ")</f>
        <v>Naturais</v>
      </c>
      <c r="V14" s="28" t="s">
        <v>2222</v>
      </c>
      <c r="W14" s="69" t="str">
        <f t="shared" si="3"/>
        <v>Key-INFRA-14</v>
      </c>
      <c r="X14" s="28" t="s">
        <v>1</v>
      </c>
      <c r="Y14" s="28" t="s">
        <v>1</v>
      </c>
      <c r="Z14" s="40" t="s">
        <v>1</v>
      </c>
      <c r="AA14" s="28" t="str">
        <f t="shared" si="7"/>
        <v>Continent.</v>
      </c>
    </row>
    <row r="15" spans="1:27" ht="6.65" customHeight="1" x14ac:dyDescent="0.4">
      <c r="A15" s="77">
        <v>15</v>
      </c>
      <c r="B15" s="66" t="s">
        <v>2219</v>
      </c>
      <c r="C15" s="44" t="s">
        <v>1572</v>
      </c>
      <c r="D15" s="44" t="s">
        <v>1571</v>
      </c>
      <c r="E15" s="44" t="s">
        <v>1573</v>
      </c>
      <c r="F15" s="44" t="s">
        <v>629</v>
      </c>
      <c r="G15" s="80" t="s">
        <v>1</v>
      </c>
      <c r="H15" s="80" t="s">
        <v>1</v>
      </c>
      <c r="I15" s="80" t="s">
        <v>1</v>
      </c>
      <c r="J15" s="80" t="s">
        <v>1</v>
      </c>
      <c r="K15" s="80" t="s">
        <v>1</v>
      </c>
      <c r="L15" s="43" t="str">
        <f t="shared" si="8"/>
        <v>Fronteiras</v>
      </c>
      <c r="M15" s="43" t="str">
        <f t="shared" ref="M15:O59" si="12">_xlfn.CONCAT(SUBSTITUTE(D15,"."," "))</f>
        <v>Geográficas</v>
      </c>
      <c r="N15" s="43" t="str">
        <f t="shared" si="12"/>
        <v>Naturais</v>
      </c>
      <c r="O15" s="43" t="str">
        <f t="shared" si="12"/>
        <v>SubContinente</v>
      </c>
      <c r="P15" s="43" t="s">
        <v>1762</v>
      </c>
      <c r="Q15" s="43" t="s">
        <v>629</v>
      </c>
      <c r="R15" s="28" t="s">
        <v>1</v>
      </c>
      <c r="S15" s="28" t="str">
        <f t="shared" si="9"/>
        <v>Fronteiras</v>
      </c>
      <c r="T15" s="28" t="str">
        <f t="shared" si="10"/>
        <v>Geográficas</v>
      </c>
      <c r="U15" s="28" t="str">
        <f t="shared" si="11"/>
        <v>Naturais</v>
      </c>
      <c r="V15" s="28" t="s">
        <v>2222</v>
      </c>
      <c r="W15" s="69" t="str">
        <f t="shared" si="3"/>
        <v>Key-INFRA-15</v>
      </c>
      <c r="X15" s="28" t="s">
        <v>1</v>
      </c>
      <c r="Y15" s="28" t="s">
        <v>1</v>
      </c>
      <c r="Z15" s="40" t="s">
        <v>1</v>
      </c>
      <c r="AA15" s="28" t="str">
        <f t="shared" si="7"/>
        <v>SubContinent.</v>
      </c>
    </row>
    <row r="16" spans="1:27" ht="6.65" customHeight="1" x14ac:dyDescent="0.4">
      <c r="A16" s="77">
        <v>16</v>
      </c>
      <c r="B16" s="66" t="s">
        <v>2219</v>
      </c>
      <c r="C16" s="44" t="s">
        <v>1572</v>
      </c>
      <c r="D16" s="44" t="s">
        <v>1571</v>
      </c>
      <c r="E16" s="44" t="s">
        <v>1573</v>
      </c>
      <c r="F16" s="44" t="s">
        <v>630</v>
      </c>
      <c r="G16" s="80" t="s">
        <v>1</v>
      </c>
      <c r="H16" s="80" t="s">
        <v>1</v>
      </c>
      <c r="I16" s="80" t="s">
        <v>1</v>
      </c>
      <c r="J16" s="80" t="s">
        <v>1</v>
      </c>
      <c r="K16" s="80" t="s">
        <v>1</v>
      </c>
      <c r="L16" s="43" t="str">
        <f t="shared" si="8"/>
        <v>Fronteiras</v>
      </c>
      <c r="M16" s="43" t="str">
        <f t="shared" si="12"/>
        <v>Geográficas</v>
      </c>
      <c r="N16" s="43" t="str">
        <f t="shared" si="12"/>
        <v>Naturais</v>
      </c>
      <c r="O16" s="43" t="str">
        <f t="shared" si="12"/>
        <v>Bioma</v>
      </c>
      <c r="P16" s="43" t="s">
        <v>1751</v>
      </c>
      <c r="Q16" s="43" t="s">
        <v>631</v>
      </c>
      <c r="R16" s="28" t="s">
        <v>1</v>
      </c>
      <c r="S16" s="28" t="str">
        <f t="shared" si="9"/>
        <v>Fronteiras</v>
      </c>
      <c r="T16" s="28" t="str">
        <f t="shared" si="10"/>
        <v>Geográficas</v>
      </c>
      <c r="U16" s="28" t="str">
        <f t="shared" si="11"/>
        <v>Naturais</v>
      </c>
      <c r="V16" s="28" t="s">
        <v>2222</v>
      </c>
      <c r="W16" s="69" t="str">
        <f t="shared" si="3"/>
        <v>Key-INFRA-16</v>
      </c>
      <c r="X16" s="28" t="s">
        <v>1</v>
      </c>
      <c r="Y16" s="28" t="s">
        <v>1</v>
      </c>
      <c r="Z16" s="40" t="s">
        <v>1</v>
      </c>
      <c r="AA16" s="28" t="str">
        <f t="shared" si="7"/>
        <v>Region that defines characteristics of life in the natural environment.</v>
      </c>
    </row>
    <row r="17" spans="1:27" ht="6.65" customHeight="1" x14ac:dyDescent="0.4">
      <c r="A17" s="77">
        <v>17</v>
      </c>
      <c r="B17" s="66" t="s">
        <v>2219</v>
      </c>
      <c r="C17" s="44" t="s">
        <v>1572</v>
      </c>
      <c r="D17" s="44" t="s">
        <v>1571</v>
      </c>
      <c r="E17" s="44" t="s">
        <v>1574</v>
      </c>
      <c r="F17" s="44" t="s">
        <v>632</v>
      </c>
      <c r="G17" s="80" t="s">
        <v>1</v>
      </c>
      <c r="H17" s="80" t="s">
        <v>1</v>
      </c>
      <c r="I17" s="80" t="s">
        <v>1</v>
      </c>
      <c r="J17" s="80" t="s">
        <v>1</v>
      </c>
      <c r="K17" s="80" t="str">
        <f>_xlfn.CONCAT("é.dentro.de some ",F14)</f>
        <v>é.dentro.de some Continente</v>
      </c>
      <c r="L17" s="43" t="str">
        <f t="shared" si="8"/>
        <v>Fronteiras</v>
      </c>
      <c r="M17" s="43" t="str">
        <f t="shared" si="12"/>
        <v>Geográficas</v>
      </c>
      <c r="N17" s="43" t="str">
        <f t="shared" si="12"/>
        <v>Políticas</v>
      </c>
      <c r="O17" s="43" t="str">
        <f t="shared" si="12"/>
        <v>País</v>
      </c>
      <c r="P17" s="43" t="s">
        <v>1752</v>
      </c>
      <c r="Q17" s="43" t="s">
        <v>632</v>
      </c>
      <c r="R17" s="28" t="s">
        <v>1</v>
      </c>
      <c r="S17" s="28" t="str">
        <f t="shared" si="9"/>
        <v>Fronteiras</v>
      </c>
      <c r="T17" s="28" t="str">
        <f t="shared" si="10"/>
        <v>Geográficas</v>
      </c>
      <c r="U17" s="28" t="str">
        <f t="shared" si="11"/>
        <v>Políticas</v>
      </c>
      <c r="V17" s="28" t="s">
        <v>2222</v>
      </c>
      <c r="W17" s="69" t="str">
        <f t="shared" si="3"/>
        <v>Key-INFRA-17</v>
      </c>
      <c r="X17" s="28" t="s">
        <v>1</v>
      </c>
      <c r="Y17" s="28" t="s">
        <v>2073</v>
      </c>
      <c r="Z17" s="40" t="s">
        <v>1</v>
      </c>
      <c r="AA17" s="28" t="str">
        <f t="shared" si="7"/>
        <v>Country.</v>
      </c>
    </row>
    <row r="18" spans="1:27" ht="6.65" customHeight="1" x14ac:dyDescent="0.4">
      <c r="A18" s="77">
        <v>18</v>
      </c>
      <c r="B18" s="66" t="s">
        <v>2219</v>
      </c>
      <c r="C18" s="44" t="s">
        <v>1572</v>
      </c>
      <c r="D18" s="44" t="s">
        <v>1571</v>
      </c>
      <c r="E18" s="44" t="s">
        <v>1574</v>
      </c>
      <c r="F18" s="44" t="s">
        <v>633</v>
      </c>
      <c r="G18" s="80" t="s">
        <v>1</v>
      </c>
      <c r="H18" s="80" t="s">
        <v>1</v>
      </c>
      <c r="I18" s="80" t="s">
        <v>1</v>
      </c>
      <c r="J18" s="80" t="s">
        <v>1</v>
      </c>
      <c r="K18" s="80" t="s">
        <v>1</v>
      </c>
      <c r="L18" s="43" t="str">
        <f t="shared" si="8"/>
        <v>Fronteiras</v>
      </c>
      <c r="M18" s="43" t="str">
        <f t="shared" si="12"/>
        <v>Geográficas</v>
      </c>
      <c r="N18" s="43" t="str">
        <f t="shared" si="12"/>
        <v>Políticas</v>
      </c>
      <c r="O18" s="43" t="str">
        <f t="shared" si="12"/>
        <v>Nação</v>
      </c>
      <c r="P18" s="43" t="s">
        <v>633</v>
      </c>
      <c r="Q18" s="43" t="s">
        <v>634</v>
      </c>
      <c r="R18" s="28" t="s">
        <v>1</v>
      </c>
      <c r="S18" s="28" t="str">
        <f t="shared" si="9"/>
        <v>Fronteiras</v>
      </c>
      <c r="T18" s="28" t="str">
        <f t="shared" si="10"/>
        <v>Geográficas</v>
      </c>
      <c r="U18" s="28" t="str">
        <f t="shared" si="11"/>
        <v>Políticas</v>
      </c>
      <c r="V18" s="28" t="s">
        <v>2222</v>
      </c>
      <c r="W18" s="69" t="str">
        <f t="shared" si="3"/>
        <v>Key-INFRA-18</v>
      </c>
      <c r="X18" s="28" t="s">
        <v>1</v>
      </c>
      <c r="Y18" s="28" t="s">
        <v>2073</v>
      </c>
      <c r="Z18" s="40" t="s">
        <v>1</v>
      </c>
      <c r="AA18" s="28" t="str">
        <f t="shared" si="7"/>
        <v>Nation</v>
      </c>
    </row>
    <row r="19" spans="1:27" ht="6.65" customHeight="1" x14ac:dyDescent="0.4">
      <c r="A19" s="77">
        <v>19</v>
      </c>
      <c r="B19" s="66" t="s">
        <v>2219</v>
      </c>
      <c r="C19" s="44" t="s">
        <v>1572</v>
      </c>
      <c r="D19" s="44" t="s">
        <v>1571</v>
      </c>
      <c r="E19" s="44" t="s">
        <v>1574</v>
      </c>
      <c r="F19" s="44" t="s">
        <v>635</v>
      </c>
      <c r="G19" s="80" t="s">
        <v>1</v>
      </c>
      <c r="H19" s="80" t="s">
        <v>1</v>
      </c>
      <c r="I19" s="80" t="s">
        <v>1</v>
      </c>
      <c r="J19" s="80" t="s">
        <v>1</v>
      </c>
      <c r="K19" s="80" t="s">
        <v>636</v>
      </c>
      <c r="L19" s="43" t="str">
        <f t="shared" ref="L19:L20" si="13">_xlfn.CONCAT(SUBSTITUTE(C19,"1.",""))</f>
        <v>Fronteiras</v>
      </c>
      <c r="M19" s="43" t="str">
        <f t="shared" ref="M19:M20" si="14">_xlfn.CONCAT(SUBSTITUTE(D19,"."," "))</f>
        <v>Geográficas</v>
      </c>
      <c r="N19" s="43" t="str">
        <f t="shared" ref="N19:N20" si="15">_xlfn.CONCAT(SUBSTITUTE(E19,"."," "))</f>
        <v>Políticas</v>
      </c>
      <c r="O19" s="43" t="str">
        <f t="shared" ref="O19:O20" si="16">_xlfn.CONCAT(SUBSTITUTE(F19,"."," "))</f>
        <v>Região</v>
      </c>
      <c r="P19" s="81" t="s">
        <v>2210</v>
      </c>
      <c r="Q19" s="43" t="str">
        <f>_xlfn.TRANSLATE(P19,"pt","es")</f>
        <v>Región geográfica de Brasil. de Brasil hay 5 regiones geográficas principales.</v>
      </c>
      <c r="R19" s="28" t="s">
        <v>1</v>
      </c>
      <c r="S19" s="28" t="str">
        <f t="shared" ref="S19:S20" si="17">SUBSTITUTE(C19, ".", " ")</f>
        <v>Fronteiras</v>
      </c>
      <c r="T19" s="28" t="str">
        <f t="shared" ref="T19:T20" si="18">SUBSTITUTE(D19, ".", " ")</f>
        <v>Geográficas</v>
      </c>
      <c r="U19" s="28" t="str">
        <f t="shared" ref="U19:U20" si="19">SUBSTITUTE(E19, ".", " ")</f>
        <v>Políticas</v>
      </c>
      <c r="V19" s="28" t="s">
        <v>2222</v>
      </c>
      <c r="W19" s="69" t="str">
        <f t="shared" si="3"/>
        <v>Key-INFRA-19</v>
      </c>
      <c r="X19" s="28" t="s">
        <v>1</v>
      </c>
      <c r="Y19" s="28" t="s">
        <v>2073</v>
      </c>
      <c r="Z19" s="40" t="s">
        <v>1</v>
      </c>
      <c r="AA19" s="28" t="str">
        <f t="shared" ref="AA19:AA20" si="20">_xlfn.TRANSLATE(P19,"pt","en")</f>
        <v>Geographic Region of Brazil. of Brazil there are 5 main Geographic Regions.</v>
      </c>
    </row>
    <row r="20" spans="1:27" ht="6.65" customHeight="1" x14ac:dyDescent="0.4">
      <c r="A20" s="77">
        <v>20</v>
      </c>
      <c r="B20" s="66" t="s">
        <v>2219</v>
      </c>
      <c r="C20" s="44" t="s">
        <v>1572</v>
      </c>
      <c r="D20" s="44" t="s">
        <v>1571</v>
      </c>
      <c r="E20" s="44" t="s">
        <v>1574</v>
      </c>
      <c r="F20" s="44" t="s">
        <v>2207</v>
      </c>
      <c r="G20" s="80" t="s">
        <v>1</v>
      </c>
      <c r="H20" s="80" t="s">
        <v>1</v>
      </c>
      <c r="I20" s="80" t="s">
        <v>1</v>
      </c>
      <c r="J20" s="80" t="s">
        <v>1</v>
      </c>
      <c r="K20" s="80" t="s">
        <v>636</v>
      </c>
      <c r="L20" s="43" t="str">
        <f t="shared" si="13"/>
        <v>Fronteiras</v>
      </c>
      <c r="M20" s="43" t="str">
        <f t="shared" si="14"/>
        <v>Geográficas</v>
      </c>
      <c r="N20" s="43" t="str">
        <f t="shared" si="15"/>
        <v>Políticas</v>
      </c>
      <c r="O20" s="43" t="str">
        <f t="shared" si="16"/>
        <v>Região Intermediária</v>
      </c>
      <c r="P20" s="81" t="s">
        <v>2209</v>
      </c>
      <c r="Q20" s="43" t="str">
        <f t="shared" ref="Q20:Q21" si="21">_xlfn.TRANSLATE(P20,"pt","es")</f>
        <v>Región geográfica intermedia. Definidas por el IBGE de Brasil, existen 133 Regiones Geográficas Intermedias, de mayor escala, que se articulan por capitales regionales o grandes centros urbanos.</v>
      </c>
      <c r="R20" s="28" t="s">
        <v>1</v>
      </c>
      <c r="S20" s="28" t="str">
        <f t="shared" si="17"/>
        <v>Fronteiras</v>
      </c>
      <c r="T20" s="28" t="str">
        <f t="shared" si="18"/>
        <v>Geográficas</v>
      </c>
      <c r="U20" s="28" t="str">
        <f t="shared" si="19"/>
        <v>Políticas</v>
      </c>
      <c r="V20" s="28" t="s">
        <v>2222</v>
      </c>
      <c r="W20" s="69" t="str">
        <f t="shared" si="3"/>
        <v>Key-INFRA-20</v>
      </c>
      <c r="X20" s="28" t="s">
        <v>1</v>
      </c>
      <c r="Y20" s="28" t="s">
        <v>2073</v>
      </c>
      <c r="Z20" s="40" t="s">
        <v>1</v>
      </c>
      <c r="AA20" s="28" t="str">
        <f t="shared" si="20"/>
        <v>Intermediate Geographic Region. Defined by the IBGE of Brazil, there are 133 Intermediate Geographic Regions, of a larger scale, which are articulated by regional capitals or large urban centers.</v>
      </c>
    </row>
    <row r="21" spans="1:27" ht="6.65" customHeight="1" x14ac:dyDescent="0.4">
      <c r="A21" s="77">
        <v>21</v>
      </c>
      <c r="B21" s="66" t="s">
        <v>2219</v>
      </c>
      <c r="C21" s="44" t="s">
        <v>1572</v>
      </c>
      <c r="D21" s="44" t="s">
        <v>1571</v>
      </c>
      <c r="E21" s="44" t="s">
        <v>1574</v>
      </c>
      <c r="F21" s="44" t="s">
        <v>2205</v>
      </c>
      <c r="G21" s="80" t="s">
        <v>1</v>
      </c>
      <c r="H21" s="80" t="s">
        <v>1</v>
      </c>
      <c r="I21" s="80" t="s">
        <v>1</v>
      </c>
      <c r="J21" s="80" t="s">
        <v>1</v>
      </c>
      <c r="K21" s="80" t="s">
        <v>636</v>
      </c>
      <c r="L21" s="43" t="str">
        <f t="shared" si="8"/>
        <v>Fronteiras</v>
      </c>
      <c r="M21" s="43" t="str">
        <f t="shared" si="12"/>
        <v>Geográficas</v>
      </c>
      <c r="N21" s="43" t="str">
        <f t="shared" si="12"/>
        <v>Políticas</v>
      </c>
      <c r="O21" s="43" t="str">
        <f t="shared" si="12"/>
        <v>Região Imediata</v>
      </c>
      <c r="P21" s="81" t="s">
        <v>2208</v>
      </c>
      <c r="Q21" s="43" t="str">
        <f t="shared" si="21"/>
        <v>Región geográfica inmediata. Definida por el IBGE de Brasil, hay 510 regiones geográficas de menor escala, articuladas por ciudades medianas y pequeñas.</v>
      </c>
      <c r="R21" s="28" t="s">
        <v>1</v>
      </c>
      <c r="S21" s="28" t="str">
        <f t="shared" si="9"/>
        <v>Fronteiras</v>
      </c>
      <c r="T21" s="28" t="str">
        <f t="shared" si="10"/>
        <v>Geográficas</v>
      </c>
      <c r="U21" s="28" t="str">
        <f t="shared" si="11"/>
        <v>Políticas</v>
      </c>
      <c r="V21" s="28" t="s">
        <v>2222</v>
      </c>
      <c r="W21" s="69" t="str">
        <f t="shared" si="3"/>
        <v>Key-INFRA-21</v>
      </c>
      <c r="X21" s="28" t="s">
        <v>1</v>
      </c>
      <c r="Y21" s="28" t="s">
        <v>2073</v>
      </c>
      <c r="Z21" s="40" t="s">
        <v>1</v>
      </c>
      <c r="AA21" s="28" t="str">
        <f t="shared" si="7"/>
        <v>Immediate geographic region. Defined by the IBGE of Brazil, there are 510 Geographic Regions of smaller scale, they are articulated by medium and small cities.</v>
      </c>
    </row>
    <row r="22" spans="1:27" ht="6.65" customHeight="1" x14ac:dyDescent="0.4">
      <c r="A22" s="77">
        <v>22</v>
      </c>
      <c r="B22" s="66" t="s">
        <v>2219</v>
      </c>
      <c r="C22" s="44" t="s">
        <v>1572</v>
      </c>
      <c r="D22" s="44" t="s">
        <v>1571</v>
      </c>
      <c r="E22" s="44" t="s">
        <v>1574</v>
      </c>
      <c r="F22" s="44" t="s">
        <v>637</v>
      </c>
      <c r="G22" s="80" t="s">
        <v>1</v>
      </c>
      <c r="H22" s="80" t="s">
        <v>1</v>
      </c>
      <c r="I22" s="80" t="s">
        <v>1</v>
      </c>
      <c r="J22" s="80" t="s">
        <v>1</v>
      </c>
      <c r="K22" s="80" t="str">
        <f>_xlfn.CONCAT("é.dentro.de some ",F17)</f>
        <v>é.dentro.de some País</v>
      </c>
      <c r="L22" s="43" t="str">
        <f t="shared" si="8"/>
        <v>Fronteiras</v>
      </c>
      <c r="M22" s="43" t="str">
        <f t="shared" si="12"/>
        <v>Geográficas</v>
      </c>
      <c r="N22" s="43" t="str">
        <f t="shared" si="12"/>
        <v>Políticas</v>
      </c>
      <c r="O22" s="43" t="str">
        <f t="shared" si="12"/>
        <v>Estado</v>
      </c>
      <c r="P22" s="43" t="s">
        <v>1753</v>
      </c>
      <c r="Q22" s="43" t="s">
        <v>637</v>
      </c>
      <c r="R22" s="28" t="s">
        <v>1</v>
      </c>
      <c r="S22" s="28" t="str">
        <f t="shared" si="9"/>
        <v>Fronteiras</v>
      </c>
      <c r="T22" s="28" t="str">
        <f t="shared" si="10"/>
        <v>Geográficas</v>
      </c>
      <c r="U22" s="28" t="str">
        <f t="shared" si="11"/>
        <v>Políticas</v>
      </c>
      <c r="V22" s="28" t="s">
        <v>2222</v>
      </c>
      <c r="W22" s="69" t="str">
        <f t="shared" si="3"/>
        <v>Key-INFRA-22</v>
      </c>
      <c r="X22" s="28" t="s">
        <v>1</v>
      </c>
      <c r="Y22" s="28" t="s">
        <v>2073</v>
      </c>
      <c r="Z22" s="40" t="s">
        <v>1</v>
      </c>
      <c r="AA22" s="28" t="str">
        <f t="shared" si="7"/>
        <v>State.</v>
      </c>
    </row>
    <row r="23" spans="1:27" ht="6.65" customHeight="1" x14ac:dyDescent="0.4">
      <c r="A23" s="77">
        <v>23</v>
      </c>
      <c r="B23" s="66" t="s">
        <v>2219</v>
      </c>
      <c r="C23" s="44" t="s">
        <v>1572</v>
      </c>
      <c r="D23" s="44" t="s">
        <v>1571</v>
      </c>
      <c r="E23" s="44" t="s">
        <v>1574</v>
      </c>
      <c r="F23" s="44" t="s">
        <v>638</v>
      </c>
      <c r="G23" s="80" t="s">
        <v>1</v>
      </c>
      <c r="H23" s="80" t="s">
        <v>1</v>
      </c>
      <c r="I23" s="80" t="s">
        <v>1</v>
      </c>
      <c r="J23" s="80" t="s">
        <v>1</v>
      </c>
      <c r="K23" s="80" t="s">
        <v>1</v>
      </c>
      <c r="L23" s="43" t="str">
        <f t="shared" si="8"/>
        <v>Fronteiras</v>
      </c>
      <c r="M23" s="43" t="str">
        <f t="shared" si="12"/>
        <v>Geográficas</v>
      </c>
      <c r="N23" s="43" t="str">
        <f t="shared" si="12"/>
        <v>Políticas</v>
      </c>
      <c r="O23" s="43" t="str">
        <f t="shared" si="12"/>
        <v>UF</v>
      </c>
      <c r="P23" s="43" t="s">
        <v>1754</v>
      </c>
      <c r="Q23" s="43" t="s">
        <v>639</v>
      </c>
      <c r="R23" s="28" t="s">
        <v>1</v>
      </c>
      <c r="S23" s="28" t="str">
        <f t="shared" si="9"/>
        <v>Fronteiras</v>
      </c>
      <c r="T23" s="28" t="str">
        <f t="shared" si="10"/>
        <v>Geográficas</v>
      </c>
      <c r="U23" s="28" t="str">
        <f t="shared" si="11"/>
        <v>Políticas</v>
      </c>
      <c r="V23" s="28" t="s">
        <v>2222</v>
      </c>
      <c r="W23" s="69" t="str">
        <f t="shared" si="3"/>
        <v>Key-INFRA-23</v>
      </c>
      <c r="X23" s="28" t="s">
        <v>1</v>
      </c>
      <c r="Y23" s="28" t="s">
        <v>2073</v>
      </c>
      <c r="Z23" s="40" t="s">
        <v>1</v>
      </c>
      <c r="AA23" s="28" t="str">
        <f t="shared" si="7"/>
        <v>Federative Unit of Brazil.</v>
      </c>
    </row>
    <row r="24" spans="1:27" ht="6.65" customHeight="1" x14ac:dyDescent="0.4">
      <c r="A24" s="77">
        <v>24</v>
      </c>
      <c r="B24" s="66" t="s">
        <v>2219</v>
      </c>
      <c r="C24" s="44" t="s">
        <v>1572</v>
      </c>
      <c r="D24" s="44" t="s">
        <v>1571</v>
      </c>
      <c r="E24" s="44" t="s">
        <v>1574</v>
      </c>
      <c r="F24" s="44" t="s">
        <v>640</v>
      </c>
      <c r="G24" s="80" t="s">
        <v>1</v>
      </c>
      <c r="H24" s="80" t="s">
        <v>1</v>
      </c>
      <c r="I24" s="80" t="s">
        <v>1</v>
      </c>
      <c r="J24" s="80" t="s">
        <v>1</v>
      </c>
      <c r="K24" s="80" t="str">
        <f>_xlfn.CONCAT("é.dentro.de some ",F18)</f>
        <v>é.dentro.de some Nação</v>
      </c>
      <c r="L24" s="43" t="str">
        <f t="shared" si="8"/>
        <v>Fronteiras</v>
      </c>
      <c r="M24" s="43" t="str">
        <f t="shared" si="12"/>
        <v>Geográficas</v>
      </c>
      <c r="N24" s="43" t="str">
        <f t="shared" si="12"/>
        <v>Políticas</v>
      </c>
      <c r="O24" s="43" t="str">
        <f t="shared" si="12"/>
        <v>Província</v>
      </c>
      <c r="P24" s="43" t="s">
        <v>1755</v>
      </c>
      <c r="Q24" s="43" t="s">
        <v>641</v>
      </c>
      <c r="R24" s="28" t="s">
        <v>1</v>
      </c>
      <c r="S24" s="28" t="str">
        <f t="shared" si="9"/>
        <v>Fronteiras</v>
      </c>
      <c r="T24" s="28" t="str">
        <f t="shared" si="10"/>
        <v>Geográficas</v>
      </c>
      <c r="U24" s="28" t="str">
        <f t="shared" si="11"/>
        <v>Políticas</v>
      </c>
      <c r="V24" s="28" t="s">
        <v>2222</v>
      </c>
      <c r="W24" s="69" t="str">
        <f t="shared" si="3"/>
        <v>Key-INFRA-24</v>
      </c>
      <c r="X24" s="28" t="s">
        <v>1</v>
      </c>
      <c r="Y24" s="28" t="s">
        <v>2073</v>
      </c>
      <c r="Z24" s="40" t="s">
        <v>1</v>
      </c>
      <c r="AA24" s="28" t="str">
        <f t="shared" si="7"/>
        <v>Province.</v>
      </c>
    </row>
    <row r="25" spans="1:27" ht="6.65" customHeight="1" x14ac:dyDescent="0.4">
      <c r="A25" s="77">
        <v>25</v>
      </c>
      <c r="B25" s="66" t="s">
        <v>2219</v>
      </c>
      <c r="C25" s="44" t="s">
        <v>1572</v>
      </c>
      <c r="D25" s="44" t="s">
        <v>1571</v>
      </c>
      <c r="E25" s="44" t="s">
        <v>1574</v>
      </c>
      <c r="F25" s="44" t="s">
        <v>642</v>
      </c>
      <c r="G25" s="80" t="s">
        <v>1</v>
      </c>
      <c r="H25" s="80" t="s">
        <v>1</v>
      </c>
      <c r="I25" s="80" t="s">
        <v>1</v>
      </c>
      <c r="J25" s="80" t="s">
        <v>1</v>
      </c>
      <c r="K25" s="80" t="str">
        <f>_xlfn.CONCAT("é.dentro.de some ",F22)</f>
        <v>é.dentro.de some Estado</v>
      </c>
      <c r="L25" s="43" t="str">
        <f t="shared" si="8"/>
        <v>Fronteiras</v>
      </c>
      <c r="M25" s="43" t="str">
        <f t="shared" si="12"/>
        <v>Geográficas</v>
      </c>
      <c r="N25" s="43" t="str">
        <f t="shared" si="12"/>
        <v>Políticas</v>
      </c>
      <c r="O25" s="43" t="str">
        <f t="shared" si="12"/>
        <v>Capital</v>
      </c>
      <c r="P25" s="43" t="s">
        <v>1756</v>
      </c>
      <c r="Q25" s="43" t="s">
        <v>642</v>
      </c>
      <c r="R25" s="28" t="s">
        <v>1</v>
      </c>
      <c r="S25" s="28" t="str">
        <f t="shared" si="9"/>
        <v>Fronteiras</v>
      </c>
      <c r="T25" s="28" t="str">
        <f t="shared" si="10"/>
        <v>Geográficas</v>
      </c>
      <c r="U25" s="28" t="str">
        <f t="shared" si="11"/>
        <v>Políticas</v>
      </c>
      <c r="V25" s="28" t="s">
        <v>2222</v>
      </c>
      <c r="W25" s="69" t="str">
        <f t="shared" si="3"/>
        <v>Key-INFRA-25</v>
      </c>
      <c r="X25" s="28" t="s">
        <v>1</v>
      </c>
      <c r="Y25" s="28" t="s">
        <v>2073</v>
      </c>
      <c r="Z25" s="40" t="s">
        <v>1</v>
      </c>
      <c r="AA25" s="28" t="str">
        <f t="shared" si="7"/>
        <v>Capital.</v>
      </c>
    </row>
    <row r="26" spans="1:27" ht="6.65" customHeight="1" x14ac:dyDescent="0.4">
      <c r="A26" s="77">
        <v>26</v>
      </c>
      <c r="B26" s="66" t="s">
        <v>2219</v>
      </c>
      <c r="C26" s="44" t="s">
        <v>1572</v>
      </c>
      <c r="D26" s="44" t="s">
        <v>1571</v>
      </c>
      <c r="E26" s="44" t="s">
        <v>1574</v>
      </c>
      <c r="F26" s="44" t="s">
        <v>58</v>
      </c>
      <c r="G26" s="80" t="s">
        <v>1</v>
      </c>
      <c r="H26" s="80" t="s">
        <v>1</v>
      </c>
      <c r="I26" s="80" t="s">
        <v>1</v>
      </c>
      <c r="J26" s="80" t="s">
        <v>1</v>
      </c>
      <c r="K26" s="80" t="str">
        <f>_xlfn.CONCAT("é.dentro.de some ",F22)</f>
        <v>é.dentro.de some Estado</v>
      </c>
      <c r="L26" s="43" t="str">
        <f t="shared" si="8"/>
        <v>Fronteiras</v>
      </c>
      <c r="M26" s="43" t="str">
        <f t="shared" si="12"/>
        <v>Geográficas</v>
      </c>
      <c r="N26" s="43" t="str">
        <f t="shared" si="12"/>
        <v>Políticas</v>
      </c>
      <c r="O26" s="43" t="str">
        <f t="shared" si="12"/>
        <v>Cidade</v>
      </c>
      <c r="P26" s="43" t="s">
        <v>1757</v>
      </c>
      <c r="Q26" s="43" t="s">
        <v>643</v>
      </c>
      <c r="R26" s="28" t="s">
        <v>1</v>
      </c>
      <c r="S26" s="28" t="str">
        <f t="shared" si="9"/>
        <v>Fronteiras</v>
      </c>
      <c r="T26" s="28" t="str">
        <f t="shared" si="10"/>
        <v>Geográficas</v>
      </c>
      <c r="U26" s="28" t="str">
        <f t="shared" si="11"/>
        <v>Políticas</v>
      </c>
      <c r="V26" s="28" t="s">
        <v>2222</v>
      </c>
      <c r="W26" s="69" t="str">
        <f t="shared" si="3"/>
        <v>Key-INFRA-26</v>
      </c>
      <c r="X26" s="28" t="s">
        <v>1</v>
      </c>
      <c r="Y26" s="28" t="s">
        <v>2073</v>
      </c>
      <c r="Z26" s="40" t="s">
        <v>1</v>
      </c>
      <c r="AA26" s="28" t="str">
        <f t="shared" si="7"/>
        <v>City.</v>
      </c>
    </row>
    <row r="27" spans="1:27" ht="6.65" customHeight="1" x14ac:dyDescent="0.4">
      <c r="A27" s="77">
        <v>27</v>
      </c>
      <c r="B27" s="66" t="s">
        <v>2219</v>
      </c>
      <c r="C27" s="44" t="s">
        <v>1572</v>
      </c>
      <c r="D27" s="44" t="s">
        <v>1571</v>
      </c>
      <c r="E27" s="44" t="s">
        <v>1574</v>
      </c>
      <c r="F27" s="44" t="s">
        <v>644</v>
      </c>
      <c r="G27" s="80" t="s">
        <v>1</v>
      </c>
      <c r="H27" s="80" t="s">
        <v>1</v>
      </c>
      <c r="I27" s="80" t="s">
        <v>1</v>
      </c>
      <c r="J27" s="80" t="s">
        <v>1</v>
      </c>
      <c r="K27" s="80" t="str">
        <f>_xlfn.CONCAT("é.dentro.de some ",F22)</f>
        <v>é.dentro.de some Estado</v>
      </c>
      <c r="L27" s="43" t="str">
        <f t="shared" si="8"/>
        <v>Fronteiras</v>
      </c>
      <c r="M27" s="43" t="str">
        <f t="shared" si="12"/>
        <v>Geográficas</v>
      </c>
      <c r="N27" s="43" t="str">
        <f t="shared" si="12"/>
        <v>Políticas</v>
      </c>
      <c r="O27" s="43" t="str">
        <f t="shared" si="12"/>
        <v>Metrópoli</v>
      </c>
      <c r="P27" s="43" t="s">
        <v>1758</v>
      </c>
      <c r="Q27" s="43" t="s">
        <v>644</v>
      </c>
      <c r="R27" s="28" t="s">
        <v>1</v>
      </c>
      <c r="S27" s="28" t="str">
        <f t="shared" si="9"/>
        <v>Fronteiras</v>
      </c>
      <c r="T27" s="28" t="str">
        <f t="shared" si="10"/>
        <v>Geográficas</v>
      </c>
      <c r="U27" s="28" t="str">
        <f t="shared" si="11"/>
        <v>Políticas</v>
      </c>
      <c r="V27" s="28" t="s">
        <v>2222</v>
      </c>
      <c r="W27" s="69" t="str">
        <f t="shared" si="3"/>
        <v>Key-INFRA-27</v>
      </c>
      <c r="X27" s="28" t="s">
        <v>1</v>
      </c>
      <c r="Y27" s="28" t="s">
        <v>2073</v>
      </c>
      <c r="Z27" s="40" t="s">
        <v>1</v>
      </c>
      <c r="AA27" s="28" t="str">
        <f t="shared" si="7"/>
        <v>Metropolis.</v>
      </c>
    </row>
    <row r="28" spans="1:27" ht="6.65" customHeight="1" x14ac:dyDescent="0.4">
      <c r="A28" s="77">
        <v>28</v>
      </c>
      <c r="B28" s="66" t="s">
        <v>2219</v>
      </c>
      <c r="C28" s="44" t="s">
        <v>1572</v>
      </c>
      <c r="D28" s="44" t="s">
        <v>1571</v>
      </c>
      <c r="E28" s="44" t="s">
        <v>1574</v>
      </c>
      <c r="F28" s="44" t="s">
        <v>645</v>
      </c>
      <c r="G28" s="80" t="s">
        <v>1</v>
      </c>
      <c r="H28" s="80" t="s">
        <v>1</v>
      </c>
      <c r="I28" s="80" t="s">
        <v>1</v>
      </c>
      <c r="J28" s="80" t="s">
        <v>1</v>
      </c>
      <c r="K28" s="80" t="str">
        <f>_xlfn.CONCAT("é.dentro.de some ",F23)</f>
        <v>é.dentro.de some UF</v>
      </c>
      <c r="L28" s="43" t="str">
        <f t="shared" si="8"/>
        <v>Fronteiras</v>
      </c>
      <c r="M28" s="43" t="str">
        <f t="shared" si="12"/>
        <v>Geográficas</v>
      </c>
      <c r="N28" s="43" t="str">
        <f t="shared" si="12"/>
        <v>Políticas</v>
      </c>
      <c r="O28" s="43" t="str">
        <f t="shared" si="12"/>
        <v>Município</v>
      </c>
      <c r="P28" s="43" t="s">
        <v>1759</v>
      </c>
      <c r="Q28" s="43" t="s">
        <v>646</v>
      </c>
      <c r="R28" s="28" t="s">
        <v>1</v>
      </c>
      <c r="S28" s="28" t="str">
        <f t="shared" si="9"/>
        <v>Fronteiras</v>
      </c>
      <c r="T28" s="28" t="str">
        <f t="shared" si="10"/>
        <v>Geográficas</v>
      </c>
      <c r="U28" s="28" t="str">
        <f t="shared" si="11"/>
        <v>Políticas</v>
      </c>
      <c r="V28" s="28" t="s">
        <v>2222</v>
      </c>
      <c r="W28" s="69" t="str">
        <f t="shared" si="3"/>
        <v>Key-INFRA-28</v>
      </c>
      <c r="X28" s="28" t="s">
        <v>1</v>
      </c>
      <c r="Y28" s="28" t="s">
        <v>2073</v>
      </c>
      <c r="Z28" s="40" t="s">
        <v>1</v>
      </c>
      <c r="AA28" s="28" t="str">
        <f t="shared" si="7"/>
        <v>Municipality.</v>
      </c>
    </row>
    <row r="29" spans="1:27" ht="6.65" customHeight="1" x14ac:dyDescent="0.4">
      <c r="A29" s="77">
        <v>29</v>
      </c>
      <c r="B29" s="66" t="s">
        <v>2219</v>
      </c>
      <c r="C29" s="44" t="s">
        <v>1572</v>
      </c>
      <c r="D29" s="44" t="s">
        <v>1575</v>
      </c>
      <c r="E29" s="44" t="s">
        <v>1576</v>
      </c>
      <c r="F29" s="44" t="s">
        <v>647</v>
      </c>
      <c r="G29" s="80" t="s">
        <v>1</v>
      </c>
      <c r="H29" s="80" t="s">
        <v>1</v>
      </c>
      <c r="I29" s="80" t="s">
        <v>1</v>
      </c>
      <c r="J29" s="80" t="s">
        <v>1</v>
      </c>
      <c r="K29" s="80" t="str">
        <f>_xlfn.CONCAT("é.dentro.de some ",E29)</f>
        <v>é.dentro.de some Bioclimáticas</v>
      </c>
      <c r="L29" s="43" t="str">
        <f t="shared" ref="L29:L31" si="22">_xlfn.CONCAT(SUBSTITUTE(C29,"1.",""))</f>
        <v>Fronteiras</v>
      </c>
      <c r="M29" s="43" t="str">
        <f t="shared" ref="M29:M31" si="23">_xlfn.CONCAT(SUBSTITUTE(D29,"."," "))</f>
        <v>Térmicas</v>
      </c>
      <c r="N29" s="43" t="str">
        <f t="shared" ref="N29:N31" si="24">_xlfn.CONCAT(SUBSTITUTE(E29,"."," "))</f>
        <v>Bioclimáticas</v>
      </c>
      <c r="O29" s="43" t="str">
        <f t="shared" ref="O29:O31" si="25">_xlfn.CONCAT(SUBSTITUTE(F29,"."," "))</f>
        <v>Região Climática</v>
      </c>
      <c r="P29" s="43" t="s">
        <v>1760</v>
      </c>
      <c r="Q29" s="43" t="s">
        <v>648</v>
      </c>
      <c r="R29" s="28" t="s">
        <v>1</v>
      </c>
      <c r="S29" s="28" t="str">
        <f t="shared" si="9"/>
        <v>Fronteiras</v>
      </c>
      <c r="T29" s="28" t="str">
        <f t="shared" si="10"/>
        <v>Térmicas</v>
      </c>
      <c r="U29" s="28" t="str">
        <f t="shared" si="11"/>
        <v>Bioclimáticas</v>
      </c>
      <c r="V29" s="28" t="s">
        <v>2222</v>
      </c>
      <c r="W29" s="69" t="str">
        <f t="shared" si="3"/>
        <v>Key-INFRA-29</v>
      </c>
      <c r="X29" s="28" t="s">
        <v>2074</v>
      </c>
      <c r="Y29" s="28" t="s">
        <v>2073</v>
      </c>
      <c r="Z29" s="40" t="s">
        <v>1</v>
      </c>
      <c r="AA29" s="28" t="str">
        <f t="shared" si="7"/>
        <v>Climatic region.</v>
      </c>
    </row>
    <row r="30" spans="1:27" ht="6.65" customHeight="1" x14ac:dyDescent="0.4">
      <c r="A30" s="77">
        <v>30</v>
      </c>
      <c r="B30" s="66" t="s">
        <v>2219</v>
      </c>
      <c r="C30" s="44" t="s">
        <v>1572</v>
      </c>
      <c r="D30" s="44" t="s">
        <v>1575</v>
      </c>
      <c r="E30" s="44" t="s">
        <v>1576</v>
      </c>
      <c r="F30" s="44" t="s">
        <v>649</v>
      </c>
      <c r="G30" s="80" t="s">
        <v>1</v>
      </c>
      <c r="H30" s="80" t="s">
        <v>1</v>
      </c>
      <c r="I30" s="80" t="s">
        <v>1</v>
      </c>
      <c r="J30" s="80" t="s">
        <v>1</v>
      </c>
      <c r="K30" s="80" t="str">
        <f>_xlfn.CONCAT("é.dentro.de some ",E30)</f>
        <v>é.dentro.de some Bioclimáticas</v>
      </c>
      <c r="L30" s="43" t="str">
        <f t="shared" si="22"/>
        <v>Fronteiras</v>
      </c>
      <c r="M30" s="43" t="str">
        <f t="shared" si="23"/>
        <v>Térmicas</v>
      </c>
      <c r="N30" s="43" t="str">
        <f t="shared" si="24"/>
        <v>Bioclimáticas</v>
      </c>
      <c r="O30" s="43" t="str">
        <f t="shared" si="25"/>
        <v>Zona Climática</v>
      </c>
      <c r="P30" s="43" t="s">
        <v>1761</v>
      </c>
      <c r="Q30" s="43" t="s">
        <v>650</v>
      </c>
      <c r="R30" s="28" t="s">
        <v>1</v>
      </c>
      <c r="S30" s="28" t="str">
        <f t="shared" si="9"/>
        <v>Fronteiras</v>
      </c>
      <c r="T30" s="28" t="str">
        <f t="shared" si="10"/>
        <v>Térmicas</v>
      </c>
      <c r="U30" s="28" t="str">
        <f t="shared" si="11"/>
        <v>Bioclimáticas</v>
      </c>
      <c r="V30" s="28" t="s">
        <v>2222</v>
      </c>
      <c r="W30" s="69" t="str">
        <f t="shared" si="3"/>
        <v>Key-INFRA-30</v>
      </c>
      <c r="X30" s="28" t="s">
        <v>2074</v>
      </c>
      <c r="Y30" s="28" t="s">
        <v>2073</v>
      </c>
      <c r="Z30" s="40" t="s">
        <v>1</v>
      </c>
      <c r="AA30" s="28" t="str">
        <f t="shared" si="7"/>
        <v>Climate zone.</v>
      </c>
    </row>
    <row r="31" spans="1:27" ht="6.65" customHeight="1" x14ac:dyDescent="0.4">
      <c r="A31" s="77">
        <v>31</v>
      </c>
      <c r="B31" s="66" t="s">
        <v>2219</v>
      </c>
      <c r="C31" s="44" t="s">
        <v>1572</v>
      </c>
      <c r="D31" s="44" t="s">
        <v>1575</v>
      </c>
      <c r="E31" s="44" t="s">
        <v>1577</v>
      </c>
      <c r="F31" s="44" t="s">
        <v>651</v>
      </c>
      <c r="G31" s="80" t="s">
        <v>1</v>
      </c>
      <c r="H31" s="80" t="s">
        <v>1</v>
      </c>
      <c r="I31" s="80" t="s">
        <v>1</v>
      </c>
      <c r="J31" s="80" t="s">
        <v>1</v>
      </c>
      <c r="K31" s="80" t="str">
        <f>_xlfn.CONCAT("é.dentro.de some ",E31)</f>
        <v>é.dentro.de some Ilhas.de.Calor</v>
      </c>
      <c r="L31" s="43" t="str">
        <f t="shared" si="22"/>
        <v>Fronteiras</v>
      </c>
      <c r="M31" s="43" t="str">
        <f t="shared" si="23"/>
        <v>Térmicas</v>
      </c>
      <c r="N31" s="43" t="str">
        <f t="shared" si="24"/>
        <v>Ilhas de Calor</v>
      </c>
      <c r="O31" s="43" t="str">
        <f t="shared" si="25"/>
        <v>Zona Climática Local</v>
      </c>
      <c r="P31" s="43" t="s">
        <v>1763</v>
      </c>
      <c r="Q31" s="43" t="s">
        <v>652</v>
      </c>
      <c r="R31" s="28" t="s">
        <v>1</v>
      </c>
      <c r="S31" s="28" t="str">
        <f t="shared" si="9"/>
        <v>Fronteiras</v>
      </c>
      <c r="T31" s="28" t="str">
        <f t="shared" si="10"/>
        <v>Térmicas</v>
      </c>
      <c r="U31" s="28" t="str">
        <f t="shared" si="11"/>
        <v>Ilhas de Calor</v>
      </c>
      <c r="V31" s="28" t="s">
        <v>2222</v>
      </c>
      <c r="W31" s="69" t="str">
        <f t="shared" si="3"/>
        <v>Key-INFRA-31</v>
      </c>
      <c r="X31" s="28" t="s">
        <v>2074</v>
      </c>
      <c r="Y31" s="28" t="s">
        <v>2073</v>
      </c>
      <c r="Z31" s="40" t="s">
        <v>1</v>
      </c>
      <c r="AA31" s="28" t="str">
        <f t="shared" si="7"/>
        <v>Local climate zone (FTZ) according to Stewart and Oke's methodology for qualifying heat islands in urban areas.</v>
      </c>
    </row>
    <row r="32" spans="1:27" ht="6.65" customHeight="1" x14ac:dyDescent="0.4">
      <c r="A32" s="77">
        <v>32</v>
      </c>
      <c r="B32" s="66" t="s">
        <v>2219</v>
      </c>
      <c r="C32" s="44" t="s">
        <v>1572</v>
      </c>
      <c r="D32" s="44" t="s">
        <v>1734</v>
      </c>
      <c r="E32" s="29" t="s">
        <v>1735</v>
      </c>
      <c r="F32" s="45" t="s">
        <v>1559</v>
      </c>
      <c r="G32" s="80" t="s">
        <v>1</v>
      </c>
      <c r="H32" s="80" t="s">
        <v>1</v>
      </c>
      <c r="I32" s="80" t="s">
        <v>1</v>
      </c>
      <c r="J32" s="80" t="s">
        <v>1</v>
      </c>
      <c r="K32" s="80" t="s">
        <v>1</v>
      </c>
      <c r="L32" s="27" t="str">
        <f t="shared" ref="L32:L42" si="26">CONCATENATE("", C32)</f>
        <v>Fronteiras</v>
      </c>
      <c r="M32" s="27" t="str">
        <f t="shared" ref="M32:M42" si="27">CONCATENATE("", D32)</f>
        <v>Demarcadas</v>
      </c>
      <c r="N32" s="27" t="str">
        <f t="shared" ref="N32:N42" si="28">(SUBSTITUTE(SUBSTITUTE(CONCATENATE("",E32),"."," ")," De "," de "))</f>
        <v>Marcos</v>
      </c>
      <c r="O32" s="28" t="str">
        <f t="shared" ref="O32:O42" si="29">F32</f>
        <v>Marco.Referencial</v>
      </c>
      <c r="P32" s="28" t="s">
        <v>1534</v>
      </c>
      <c r="Q32" s="28" t="s">
        <v>1535</v>
      </c>
      <c r="R32" s="28" t="s">
        <v>1</v>
      </c>
      <c r="S32" s="28" t="str">
        <f t="shared" ref="S32:S42" si="30">SUBSTITUTE(C32, "_", " ")</f>
        <v>Fronteiras</v>
      </c>
      <c r="T32" s="28" t="str">
        <f t="shared" ref="T32:T42" si="31">SUBSTITUTE(D32, "_", " ")</f>
        <v>Demarcadas</v>
      </c>
      <c r="U32" s="28" t="str">
        <f t="shared" si="11"/>
        <v>Marcos</v>
      </c>
      <c r="V32" s="28" t="s">
        <v>2222</v>
      </c>
      <c r="W32" s="69" t="str">
        <f t="shared" si="3"/>
        <v>Key-INFRA-32</v>
      </c>
      <c r="X32" s="28" t="s">
        <v>1</v>
      </c>
      <c r="Y32" s="40" t="s">
        <v>2118</v>
      </c>
      <c r="Z32" s="40" t="s">
        <v>1</v>
      </c>
      <c r="AA32" s="28" t="str">
        <f t="shared" si="7"/>
        <v>Ifcreferent defines a position at a specific offset along an alignment curve.</v>
      </c>
    </row>
    <row r="33" spans="1:27" ht="6.65" customHeight="1" x14ac:dyDescent="0.4">
      <c r="A33" s="77">
        <v>33</v>
      </c>
      <c r="B33" s="66" t="s">
        <v>2219</v>
      </c>
      <c r="C33" s="44" t="s">
        <v>1572</v>
      </c>
      <c r="D33" s="44" t="s">
        <v>1734</v>
      </c>
      <c r="E33" s="29" t="s">
        <v>1735</v>
      </c>
      <c r="F33" s="45" t="s">
        <v>1560</v>
      </c>
      <c r="G33" s="80" t="s">
        <v>1</v>
      </c>
      <c r="H33" s="80" t="s">
        <v>1</v>
      </c>
      <c r="I33" s="80" t="s">
        <v>1</v>
      </c>
      <c r="J33" s="80" t="s">
        <v>1</v>
      </c>
      <c r="K33" s="80" t="s">
        <v>1</v>
      </c>
      <c r="L33" s="27" t="str">
        <f t="shared" si="26"/>
        <v>Fronteiras</v>
      </c>
      <c r="M33" s="27" t="str">
        <f t="shared" si="27"/>
        <v>Demarcadas</v>
      </c>
      <c r="N33" s="27" t="str">
        <f t="shared" si="28"/>
        <v>Marcos</v>
      </c>
      <c r="O33" s="28" t="str">
        <f t="shared" si="29"/>
        <v>Marco.de.Fronteira</v>
      </c>
      <c r="P33" s="28" t="s">
        <v>1536</v>
      </c>
      <c r="Q33" s="28" t="s">
        <v>1537</v>
      </c>
      <c r="R33" s="28" t="s">
        <v>1</v>
      </c>
      <c r="S33" s="28" t="str">
        <f t="shared" si="30"/>
        <v>Fronteiras</v>
      </c>
      <c r="T33" s="28" t="str">
        <f t="shared" si="31"/>
        <v>Demarcadas</v>
      </c>
      <c r="U33" s="28" t="str">
        <f t="shared" si="11"/>
        <v>Marcos</v>
      </c>
      <c r="V33" s="28" t="s">
        <v>2222</v>
      </c>
      <c r="W33" s="69" t="str">
        <f t="shared" si="3"/>
        <v>Key-INFRA-33</v>
      </c>
      <c r="X33" s="28" t="s">
        <v>1</v>
      </c>
      <c r="Y33" s="40" t="s">
        <v>2119</v>
      </c>
      <c r="Z33" s="40" t="s">
        <v>1</v>
      </c>
      <c r="AA33" s="28" t="str">
        <f t="shared" si="7"/>
        <v>Represents where an administrative (city or state) or maintenance boundary (different companies or regionals) intersects the linear element (rails or roads) being measured.</v>
      </c>
    </row>
    <row r="34" spans="1:27" ht="6.65" customHeight="1" x14ac:dyDescent="0.4">
      <c r="A34" s="77">
        <v>34</v>
      </c>
      <c r="B34" s="66" t="s">
        <v>2219</v>
      </c>
      <c r="C34" s="44" t="s">
        <v>1572</v>
      </c>
      <c r="D34" s="44" t="s">
        <v>1734</v>
      </c>
      <c r="E34" s="29" t="s">
        <v>1735</v>
      </c>
      <c r="F34" s="45" t="s">
        <v>1561</v>
      </c>
      <c r="G34" s="80" t="s">
        <v>1</v>
      </c>
      <c r="H34" s="80" t="s">
        <v>1</v>
      </c>
      <c r="I34" s="80" t="s">
        <v>1</v>
      </c>
      <c r="J34" s="80" t="s">
        <v>1</v>
      </c>
      <c r="K34" s="80" t="s">
        <v>1</v>
      </c>
      <c r="L34" s="27" t="str">
        <f t="shared" si="26"/>
        <v>Fronteiras</v>
      </c>
      <c r="M34" s="27" t="str">
        <f t="shared" si="27"/>
        <v>Demarcadas</v>
      </c>
      <c r="N34" s="27" t="str">
        <f t="shared" si="28"/>
        <v>Marcos</v>
      </c>
      <c r="O34" s="28" t="str">
        <f t="shared" si="29"/>
        <v>Marco.de.Cruzamento</v>
      </c>
      <c r="P34" s="28" t="s">
        <v>1538</v>
      </c>
      <c r="Q34" s="28" t="s">
        <v>1539</v>
      </c>
      <c r="R34" s="28" t="s">
        <v>1</v>
      </c>
      <c r="S34" s="28" t="str">
        <f t="shared" si="30"/>
        <v>Fronteiras</v>
      </c>
      <c r="T34" s="28" t="str">
        <f t="shared" si="31"/>
        <v>Demarcadas</v>
      </c>
      <c r="U34" s="28" t="str">
        <f t="shared" si="11"/>
        <v>Marcos</v>
      </c>
      <c r="V34" s="28" t="s">
        <v>2222</v>
      </c>
      <c r="W34" s="69" t="str">
        <f t="shared" si="3"/>
        <v>Key-INFRA-34</v>
      </c>
      <c r="X34" s="28" t="s">
        <v>1</v>
      </c>
      <c r="Y34" s="40" t="s">
        <v>2120</v>
      </c>
      <c r="Z34" s="40" t="s">
        <v>1</v>
      </c>
      <c r="AA34" s="28" t="str">
        <f t="shared" si="7"/>
        <v>It is the location of an intersection specified by the name of the referent. the intersection location of the intersection's street reference lines. it is not precise or deterministic.</v>
      </c>
    </row>
    <row r="35" spans="1:27" ht="6.65" customHeight="1" x14ac:dyDescent="0.4">
      <c r="A35" s="77">
        <v>35</v>
      </c>
      <c r="B35" s="66" t="s">
        <v>2219</v>
      </c>
      <c r="C35" s="44" t="s">
        <v>1572</v>
      </c>
      <c r="D35" s="44" t="s">
        <v>1734</v>
      </c>
      <c r="E35" s="29" t="s">
        <v>1735</v>
      </c>
      <c r="F35" s="45" t="s">
        <v>1562</v>
      </c>
      <c r="G35" s="80" t="s">
        <v>1</v>
      </c>
      <c r="H35" s="80" t="s">
        <v>1</v>
      </c>
      <c r="I35" s="80" t="s">
        <v>1</v>
      </c>
      <c r="J35" s="80" t="s">
        <v>1</v>
      </c>
      <c r="K35" s="80" t="s">
        <v>1</v>
      </c>
      <c r="L35" s="27" t="str">
        <f t="shared" ref="L35" si="32">CONCATENATE("", C35)</f>
        <v>Fronteiras</v>
      </c>
      <c r="M35" s="27" t="str">
        <f t="shared" ref="M35" si="33">CONCATENATE("", D35)</f>
        <v>Demarcadas</v>
      </c>
      <c r="N35" s="27" t="str">
        <f t="shared" ref="N35" si="34">(SUBSTITUTE(SUBSTITUTE(CONCATENATE("",E35),"."," ")," De "," de "))</f>
        <v>Marcos</v>
      </c>
      <c r="O35" s="28" t="str">
        <f t="shared" ref="O35" si="35">F35</f>
        <v>Marco.de.Localização</v>
      </c>
      <c r="P35" s="28" t="s">
        <v>1546</v>
      </c>
      <c r="Q35" s="28" t="s">
        <v>1547</v>
      </c>
      <c r="R35" s="28" t="s">
        <v>1</v>
      </c>
      <c r="S35" s="28" t="str">
        <f t="shared" ref="S35" si="36">SUBSTITUTE(C35, "_", " ")</f>
        <v>Fronteiras</v>
      </c>
      <c r="T35" s="28" t="str">
        <f t="shared" ref="T35" si="37">SUBSTITUTE(D35, "_", " ")</f>
        <v>Demarcadas</v>
      </c>
      <c r="U35" s="28" t="str">
        <f t="shared" ref="U35" si="38">SUBSTITUTE(E35, ".", " ")</f>
        <v>Marcos</v>
      </c>
      <c r="V35" s="28" t="s">
        <v>2222</v>
      </c>
      <c r="W35" s="69" t="str">
        <f t="shared" si="3"/>
        <v>Key-INFRA-35</v>
      </c>
      <c r="X35" s="28" t="s">
        <v>1</v>
      </c>
      <c r="Y35" s="40" t="s">
        <v>2121</v>
      </c>
      <c r="Z35" s="40" t="s">
        <v>1</v>
      </c>
      <c r="AA35" s="28" t="str">
        <f t="shared" si="7"/>
        <v>Used to completely describe a linearly referenced location, given by the line element.</v>
      </c>
    </row>
    <row r="36" spans="1:27" ht="6.65" customHeight="1" x14ac:dyDescent="0.4">
      <c r="A36" s="77">
        <v>36</v>
      </c>
      <c r="B36" s="66" t="s">
        <v>2219</v>
      </c>
      <c r="C36" s="44" t="s">
        <v>1572</v>
      </c>
      <c r="D36" s="44" t="s">
        <v>1734</v>
      </c>
      <c r="E36" s="29" t="s">
        <v>1735</v>
      </c>
      <c r="F36" s="45" t="s">
        <v>1556</v>
      </c>
      <c r="G36" s="80" t="s">
        <v>1</v>
      </c>
      <c r="H36" s="80" t="s">
        <v>1</v>
      </c>
      <c r="I36" s="80" t="s">
        <v>1</v>
      </c>
      <c r="J36" s="80" t="s">
        <v>1</v>
      </c>
      <c r="K36" s="80" t="s">
        <v>1</v>
      </c>
      <c r="L36" s="27" t="str">
        <f t="shared" si="26"/>
        <v>Fronteiras</v>
      </c>
      <c r="M36" s="27" t="str">
        <f t="shared" si="27"/>
        <v>Demarcadas</v>
      </c>
      <c r="N36" s="27" t="str">
        <f t="shared" si="28"/>
        <v>Marcos</v>
      </c>
      <c r="O36" s="28" t="str">
        <f t="shared" si="29"/>
        <v>Marco.Quilométrico</v>
      </c>
      <c r="P36" s="28" t="s">
        <v>1540</v>
      </c>
      <c r="Q36" s="28" t="s">
        <v>1541</v>
      </c>
      <c r="R36" s="28" t="s">
        <v>1</v>
      </c>
      <c r="S36" s="28" t="str">
        <f t="shared" si="30"/>
        <v>Fronteiras</v>
      </c>
      <c r="T36" s="28" t="str">
        <f t="shared" si="31"/>
        <v>Demarcadas</v>
      </c>
      <c r="U36" s="28" t="str">
        <f t="shared" si="11"/>
        <v>Marcos</v>
      </c>
      <c r="V36" s="28" t="s">
        <v>2222</v>
      </c>
      <c r="W36" s="69" t="str">
        <f t="shared" si="3"/>
        <v>Key-INFRA-36</v>
      </c>
      <c r="X36" s="28" t="s">
        <v>1</v>
      </c>
      <c r="Y36" s="40" t="s">
        <v>2122</v>
      </c>
      <c r="Z36" s="40" t="s">
        <v>1</v>
      </c>
      <c r="AA36" s="28" t="str">
        <f t="shared" si="7"/>
        <v>Point in kilometer.</v>
      </c>
    </row>
    <row r="37" spans="1:27" ht="6.65" customHeight="1" x14ac:dyDescent="0.4">
      <c r="A37" s="77">
        <v>37</v>
      </c>
      <c r="B37" s="66" t="s">
        <v>2219</v>
      </c>
      <c r="C37" s="44" t="s">
        <v>1572</v>
      </c>
      <c r="D37" s="44" t="s">
        <v>1734</v>
      </c>
      <c r="E37" s="29" t="s">
        <v>1735</v>
      </c>
      <c r="F37" s="45" t="s">
        <v>1557</v>
      </c>
      <c r="G37" s="80" t="s">
        <v>1</v>
      </c>
      <c r="H37" s="80" t="s">
        <v>1</v>
      </c>
      <c r="I37" s="80" t="s">
        <v>1</v>
      </c>
      <c r="J37" s="80" t="s">
        <v>1</v>
      </c>
      <c r="K37" s="80" t="s">
        <v>1</v>
      </c>
      <c r="L37" s="27" t="str">
        <f t="shared" si="26"/>
        <v>Fronteiras</v>
      </c>
      <c r="M37" s="27" t="str">
        <f t="shared" si="27"/>
        <v>Demarcadas</v>
      </c>
      <c r="N37" s="27" t="str">
        <f t="shared" si="28"/>
        <v>Marcos</v>
      </c>
      <c r="O37" s="28" t="str">
        <f t="shared" si="29"/>
        <v>Marco.Geográfico</v>
      </c>
      <c r="P37" s="28" t="s">
        <v>1542</v>
      </c>
      <c r="Q37" s="28" t="s">
        <v>1543</v>
      </c>
      <c r="R37" s="28" t="s">
        <v>1</v>
      </c>
      <c r="S37" s="28" t="str">
        <f t="shared" si="30"/>
        <v>Fronteiras</v>
      </c>
      <c r="T37" s="28" t="str">
        <f t="shared" si="31"/>
        <v>Demarcadas</v>
      </c>
      <c r="U37" s="28" t="str">
        <f t="shared" si="11"/>
        <v>Marcos</v>
      </c>
      <c r="V37" s="28" t="s">
        <v>2222</v>
      </c>
      <c r="W37" s="69" t="str">
        <f t="shared" si="3"/>
        <v>Key-INFRA-37</v>
      </c>
      <c r="X37" s="28" t="s">
        <v>1</v>
      </c>
      <c r="Y37" s="40" t="s">
        <v>2123</v>
      </c>
      <c r="Z37" s="40" t="s">
        <v>1</v>
      </c>
      <c r="AA37" s="28" t="str">
        <f t="shared" si="7"/>
        <v>The reference is the location of a visible physical reference point in the field.</v>
      </c>
    </row>
    <row r="38" spans="1:27" ht="6.65" customHeight="1" x14ac:dyDescent="0.4">
      <c r="A38" s="77">
        <v>38</v>
      </c>
      <c r="B38" s="66" t="s">
        <v>2219</v>
      </c>
      <c r="C38" s="44" t="s">
        <v>1572</v>
      </c>
      <c r="D38" s="44" t="s">
        <v>1734</v>
      </c>
      <c r="E38" s="29" t="s">
        <v>1735</v>
      </c>
      <c r="F38" s="45" t="s">
        <v>1578</v>
      </c>
      <c r="G38" s="80" t="s">
        <v>1</v>
      </c>
      <c r="H38" s="80" t="s">
        <v>1</v>
      </c>
      <c r="I38" s="80" t="s">
        <v>1</v>
      </c>
      <c r="J38" s="80" t="s">
        <v>1</v>
      </c>
      <c r="K38" s="80" t="s">
        <v>1</v>
      </c>
      <c r="L38" s="27" t="str">
        <f t="shared" si="26"/>
        <v>Fronteiras</v>
      </c>
      <c r="M38" s="27" t="str">
        <f t="shared" si="27"/>
        <v>Demarcadas</v>
      </c>
      <c r="N38" s="27" t="str">
        <f t="shared" si="28"/>
        <v>Marcos</v>
      </c>
      <c r="O38" s="28" t="str">
        <f t="shared" si="29"/>
        <v>Marco.de.Milha</v>
      </c>
      <c r="P38" s="28" t="s">
        <v>1544</v>
      </c>
      <c r="Q38" s="28" t="s">
        <v>1545</v>
      </c>
      <c r="R38" s="28" t="s">
        <v>1</v>
      </c>
      <c r="S38" s="28" t="str">
        <f t="shared" si="30"/>
        <v>Fronteiras</v>
      </c>
      <c r="T38" s="28" t="str">
        <f t="shared" si="31"/>
        <v>Demarcadas</v>
      </c>
      <c r="U38" s="28" t="str">
        <f t="shared" si="11"/>
        <v>Marcos</v>
      </c>
      <c r="V38" s="28" t="s">
        <v>2222</v>
      </c>
      <c r="W38" s="69" t="str">
        <f t="shared" si="3"/>
        <v>Key-INFRA-38</v>
      </c>
      <c r="X38" s="28" t="s">
        <v>1</v>
      </c>
      <c r="Y38" s="40" t="s">
        <v>2124</v>
      </c>
      <c r="Z38" s="40" t="s">
        <v>1</v>
      </c>
      <c r="AA38" s="28" t="str">
        <f t="shared" si="7"/>
        <v>Point in mile.</v>
      </c>
    </row>
    <row r="39" spans="1:27" ht="6.65" customHeight="1" x14ac:dyDescent="0.4">
      <c r="A39" s="77">
        <v>39</v>
      </c>
      <c r="B39" s="66" t="s">
        <v>2219</v>
      </c>
      <c r="C39" s="44" t="s">
        <v>1572</v>
      </c>
      <c r="D39" s="44" t="s">
        <v>1734</v>
      </c>
      <c r="E39" s="29" t="s">
        <v>1735</v>
      </c>
      <c r="F39" s="45" t="s">
        <v>1579</v>
      </c>
      <c r="G39" s="80" t="s">
        <v>1</v>
      </c>
      <c r="H39" s="80" t="s">
        <v>1</v>
      </c>
      <c r="I39" s="80" t="s">
        <v>1</v>
      </c>
      <c r="J39" s="80" t="s">
        <v>1</v>
      </c>
      <c r="K39" s="80" t="s">
        <v>1</v>
      </c>
      <c r="L39" s="27" t="str">
        <f t="shared" si="26"/>
        <v>Fronteiras</v>
      </c>
      <c r="M39" s="27" t="str">
        <f t="shared" si="27"/>
        <v>Demarcadas</v>
      </c>
      <c r="N39" s="27" t="str">
        <f t="shared" si="28"/>
        <v>Marcos</v>
      </c>
      <c r="O39" s="28" t="str">
        <f t="shared" si="29"/>
        <v>Estaca.de.Controle</v>
      </c>
      <c r="P39" s="28" t="s">
        <v>1548</v>
      </c>
      <c r="Q39" s="28" t="s">
        <v>1549</v>
      </c>
      <c r="R39" s="28" t="s">
        <v>1</v>
      </c>
      <c r="S39" s="28" t="str">
        <f t="shared" si="30"/>
        <v>Fronteiras</v>
      </c>
      <c r="T39" s="28" t="str">
        <f t="shared" si="31"/>
        <v>Demarcadas</v>
      </c>
      <c r="U39" s="28" t="str">
        <f t="shared" si="11"/>
        <v>Marcos</v>
      </c>
      <c r="V39" s="28" t="s">
        <v>2222</v>
      </c>
      <c r="W39" s="69" t="str">
        <f t="shared" si="3"/>
        <v>Key-INFRA-39</v>
      </c>
      <c r="X39" s="28" t="s">
        <v>1</v>
      </c>
      <c r="Y39" s="40" t="s">
        <v>2125</v>
      </c>
      <c r="Z39" s="40" t="s">
        <v>1</v>
      </c>
      <c r="AA39" s="28" t="str">
        <f t="shared" si="7"/>
        <v>A reference marker is a notation referent, located in the right-of-way of a highway, railroad or other transportation system spaced at uniform distances.</v>
      </c>
    </row>
    <row r="40" spans="1:27" ht="6.65" customHeight="1" x14ac:dyDescent="0.4">
      <c r="A40" s="77">
        <v>40</v>
      </c>
      <c r="B40" s="66" t="s">
        <v>2219</v>
      </c>
      <c r="C40" s="44" t="s">
        <v>1572</v>
      </c>
      <c r="D40" s="44" t="s">
        <v>1734</v>
      </c>
      <c r="E40" s="29" t="s">
        <v>1735</v>
      </c>
      <c r="F40" s="45" t="s">
        <v>1580</v>
      </c>
      <c r="G40" s="80" t="s">
        <v>1</v>
      </c>
      <c r="H40" s="80" t="s">
        <v>1</v>
      </c>
      <c r="I40" s="80" t="s">
        <v>1</v>
      </c>
      <c r="J40" s="80" t="s">
        <v>1</v>
      </c>
      <c r="K40" s="80" t="s">
        <v>1</v>
      </c>
      <c r="L40" s="27" t="str">
        <f t="shared" si="26"/>
        <v>Fronteiras</v>
      </c>
      <c r="M40" s="27" t="str">
        <f t="shared" si="27"/>
        <v>Demarcadas</v>
      </c>
      <c r="N40" s="27" t="str">
        <f t="shared" si="28"/>
        <v>Marcos</v>
      </c>
      <c r="O40" s="28" t="str">
        <f t="shared" si="29"/>
        <v>Estação.de.Medição</v>
      </c>
      <c r="P40" s="28" t="s">
        <v>1550</v>
      </c>
      <c r="Q40" s="28" t="s">
        <v>1551</v>
      </c>
      <c r="R40" s="28" t="s">
        <v>1</v>
      </c>
      <c r="S40" s="28" t="str">
        <f t="shared" si="30"/>
        <v>Fronteiras</v>
      </c>
      <c r="T40" s="28" t="str">
        <f t="shared" si="31"/>
        <v>Demarcadas</v>
      </c>
      <c r="U40" s="28" t="str">
        <f t="shared" si="11"/>
        <v>Marcos</v>
      </c>
      <c r="V40" s="28" t="s">
        <v>2222</v>
      </c>
      <c r="W40" s="69" t="str">
        <f t="shared" si="3"/>
        <v>Key-INFRA-40</v>
      </c>
      <c r="X40" s="28" t="s">
        <v>1</v>
      </c>
      <c r="Y40" s="40" t="s">
        <v>2126</v>
      </c>
      <c r="Z40" s="40" t="s">
        <v>1</v>
      </c>
      <c r="AA40" s="28" t="str">
        <f t="shared" si="7"/>
        <v>Season.</v>
      </c>
    </row>
    <row r="41" spans="1:27" ht="6.65" customHeight="1" x14ac:dyDescent="0.4">
      <c r="A41" s="77">
        <v>41</v>
      </c>
      <c r="B41" s="66" t="s">
        <v>2219</v>
      </c>
      <c r="C41" s="44" t="s">
        <v>1572</v>
      </c>
      <c r="D41" s="44" t="s">
        <v>1734</v>
      </c>
      <c r="E41" s="29" t="s">
        <v>1735</v>
      </c>
      <c r="F41" s="45" t="s">
        <v>1558</v>
      </c>
      <c r="G41" s="80" t="s">
        <v>1</v>
      </c>
      <c r="H41" s="80" t="s">
        <v>1</v>
      </c>
      <c r="I41" s="80" t="s">
        <v>1</v>
      </c>
      <c r="J41" s="80" t="s">
        <v>1</v>
      </c>
      <c r="K41" s="80" t="s">
        <v>1</v>
      </c>
      <c r="L41" s="27" t="str">
        <f t="shared" si="26"/>
        <v>Fronteiras</v>
      </c>
      <c r="M41" s="27" t="str">
        <f t="shared" si="27"/>
        <v>Demarcadas</v>
      </c>
      <c r="N41" s="27" t="str">
        <f t="shared" si="28"/>
        <v>Marcos</v>
      </c>
      <c r="O41" s="28" t="str">
        <f t="shared" si="29"/>
        <v xml:space="preserve">Superelevação </v>
      </c>
      <c r="P41" s="28" t="s">
        <v>1552</v>
      </c>
      <c r="Q41" s="28" t="s">
        <v>1553</v>
      </c>
      <c r="R41" s="28" t="s">
        <v>1</v>
      </c>
      <c r="S41" s="28" t="str">
        <f t="shared" si="30"/>
        <v>Fronteiras</v>
      </c>
      <c r="T41" s="28" t="str">
        <f t="shared" si="31"/>
        <v>Demarcadas</v>
      </c>
      <c r="U41" s="28" t="str">
        <f t="shared" si="11"/>
        <v>Marcos</v>
      </c>
      <c r="V41" s="28" t="s">
        <v>2222</v>
      </c>
      <c r="W41" s="69" t="str">
        <f t="shared" si="3"/>
        <v>Key-INFRA-41</v>
      </c>
      <c r="X41" s="28" t="s">
        <v>1</v>
      </c>
      <c r="Y41" s="40" t="s">
        <v>2127</v>
      </c>
      <c r="Z41" s="40" t="s">
        <v>1</v>
      </c>
      <c r="AA41" s="28" t="str">
        <f t="shared" si="7"/>
        <v>Specifies the superelevation (transverse slope) at a specific location along a road alignment, and the type of transition from the previous location.</v>
      </c>
    </row>
    <row r="42" spans="1:27" ht="6.65" customHeight="1" x14ac:dyDescent="0.4">
      <c r="A42" s="77">
        <v>42</v>
      </c>
      <c r="B42" s="66" t="s">
        <v>2219</v>
      </c>
      <c r="C42" s="44" t="s">
        <v>1572</v>
      </c>
      <c r="D42" s="44" t="s">
        <v>1734</v>
      </c>
      <c r="E42" s="29" t="s">
        <v>1735</v>
      </c>
      <c r="F42" s="45" t="s">
        <v>1563</v>
      </c>
      <c r="G42" s="80" t="s">
        <v>1</v>
      </c>
      <c r="H42" s="80" t="s">
        <v>1</v>
      </c>
      <c r="I42" s="80" t="s">
        <v>1</v>
      </c>
      <c r="J42" s="80" t="s">
        <v>1</v>
      </c>
      <c r="K42" s="80" t="s">
        <v>1</v>
      </c>
      <c r="L42" s="27" t="str">
        <f t="shared" si="26"/>
        <v>Fronteiras</v>
      </c>
      <c r="M42" s="27" t="str">
        <f t="shared" si="27"/>
        <v>Demarcadas</v>
      </c>
      <c r="N42" s="27" t="str">
        <f t="shared" si="28"/>
        <v>Marcos</v>
      </c>
      <c r="O42" s="28" t="str">
        <f t="shared" si="29"/>
        <v>Largura.de.Pista</v>
      </c>
      <c r="P42" s="28" t="s">
        <v>1554</v>
      </c>
      <c r="Q42" s="28" t="s">
        <v>1555</v>
      </c>
      <c r="R42" s="28" t="s">
        <v>1</v>
      </c>
      <c r="S42" s="28" t="str">
        <f t="shared" si="30"/>
        <v>Fronteiras</v>
      </c>
      <c r="T42" s="28" t="str">
        <f t="shared" si="31"/>
        <v>Demarcadas</v>
      </c>
      <c r="U42" s="28" t="str">
        <f t="shared" si="11"/>
        <v>Marcos</v>
      </c>
      <c r="V42" s="28" t="s">
        <v>2222</v>
      </c>
      <c r="W42" s="69" t="str">
        <f t="shared" si="3"/>
        <v>Key-INFRA-42</v>
      </c>
      <c r="X42" s="28" t="s">
        <v>1</v>
      </c>
      <c r="Y42" s="40" t="s">
        <v>2128</v>
      </c>
      <c r="Z42" s="40" t="s">
        <v>1</v>
      </c>
      <c r="AA42" s="28" t="str">
        <f t="shared" si="7"/>
        <v>Event type that specifies the width at a specific location along a road alignment.</v>
      </c>
    </row>
    <row r="43" spans="1:27" ht="6.65" customHeight="1" x14ac:dyDescent="0.4">
      <c r="A43" s="77">
        <v>43</v>
      </c>
      <c r="B43" s="66" t="s">
        <v>2219</v>
      </c>
      <c r="C43" s="44" t="s">
        <v>1621</v>
      </c>
      <c r="D43" s="44" t="s">
        <v>1620</v>
      </c>
      <c r="E43" s="44" t="s">
        <v>1747</v>
      </c>
      <c r="F43" s="44" t="s">
        <v>1624</v>
      </c>
      <c r="G43" s="80" t="s">
        <v>1</v>
      </c>
      <c r="H43" s="80" t="s">
        <v>1</v>
      </c>
      <c r="I43" s="80" t="s">
        <v>1</v>
      </c>
      <c r="J43" s="80" t="s">
        <v>1</v>
      </c>
      <c r="K43" s="80" t="s">
        <v>1</v>
      </c>
      <c r="L43" s="43" t="str">
        <f t="shared" ref="L43:L44" si="39">_xlfn.CONCAT(SUBSTITUTE(C43,"1.",""))</f>
        <v>Topografias</v>
      </c>
      <c r="M43" s="43" t="str">
        <f t="shared" ref="M43:M44" si="40">_xlfn.CONCAT(SUBSTITUTE(D43,"."," "))</f>
        <v>Altimetrias</v>
      </c>
      <c r="N43" s="43" t="str">
        <f t="shared" ref="N43:N44" si="41">_xlfn.CONCAT(SUBSTITUTE(E43,"."," "))</f>
        <v>Pontos Cotados</v>
      </c>
      <c r="O43" s="43" t="str">
        <f t="shared" ref="O43:O44" si="42">_xlfn.CONCAT(SUBSTITUTE(F43,"."," "))</f>
        <v>Ponto Interno</v>
      </c>
      <c r="P43" s="43" t="s">
        <v>1748</v>
      </c>
      <c r="Q43" s="43" t="s">
        <v>1927</v>
      </c>
      <c r="R43" s="28" t="s">
        <v>1</v>
      </c>
      <c r="S43" s="28" t="str">
        <f t="shared" ref="S43:S44" si="43">SUBSTITUTE(C43, ".", " ")</f>
        <v>Topografias</v>
      </c>
      <c r="T43" s="28" t="str">
        <f t="shared" ref="T43:T44" si="44">SUBSTITUTE(D43, ".", " ")</f>
        <v>Altimetrias</v>
      </c>
      <c r="U43" s="28" t="str">
        <f t="shared" ref="U43:U44" si="45">SUBSTITUTE(E43, ".", " ")</f>
        <v>Pontos Cotados</v>
      </c>
      <c r="V43" s="28" t="s">
        <v>2222</v>
      </c>
      <c r="W43" s="69" t="str">
        <f t="shared" si="3"/>
        <v>Key-INFRA-43</v>
      </c>
      <c r="X43" s="28" t="s">
        <v>2075</v>
      </c>
      <c r="Y43" s="28" t="s">
        <v>2128</v>
      </c>
      <c r="Z43" s="40" t="s">
        <v>1</v>
      </c>
      <c r="AA43" s="28" t="str">
        <f t="shared" si="7"/>
        <v>Elevation points positioned inside the land.</v>
      </c>
    </row>
    <row r="44" spans="1:27" ht="6.65" customHeight="1" x14ac:dyDescent="0.4">
      <c r="A44" s="77">
        <v>44</v>
      </c>
      <c r="B44" s="66" t="s">
        <v>2219</v>
      </c>
      <c r="C44" s="44" t="s">
        <v>1621</v>
      </c>
      <c r="D44" s="44" t="s">
        <v>1620</v>
      </c>
      <c r="E44" s="44" t="s">
        <v>1747</v>
      </c>
      <c r="F44" s="44" t="s">
        <v>1746</v>
      </c>
      <c r="G44" s="80" t="s">
        <v>1</v>
      </c>
      <c r="H44" s="80" t="s">
        <v>1</v>
      </c>
      <c r="I44" s="80" t="s">
        <v>1</v>
      </c>
      <c r="J44" s="80" t="s">
        <v>1</v>
      </c>
      <c r="K44" s="80" t="s">
        <v>1</v>
      </c>
      <c r="L44" s="43" t="str">
        <f t="shared" si="39"/>
        <v>Topografias</v>
      </c>
      <c r="M44" s="43" t="str">
        <f t="shared" si="40"/>
        <v>Altimetrias</v>
      </c>
      <c r="N44" s="43" t="str">
        <f t="shared" si="41"/>
        <v>Pontos Cotados</v>
      </c>
      <c r="O44" s="43" t="str">
        <f t="shared" si="42"/>
        <v>Ponto Perimetral</v>
      </c>
      <c r="P44" s="43" t="s">
        <v>1749</v>
      </c>
      <c r="Q44" s="43" t="s">
        <v>1928</v>
      </c>
      <c r="R44" s="28" t="s">
        <v>1</v>
      </c>
      <c r="S44" s="28" t="str">
        <f t="shared" si="43"/>
        <v>Topografias</v>
      </c>
      <c r="T44" s="28" t="str">
        <f t="shared" si="44"/>
        <v>Altimetrias</v>
      </c>
      <c r="U44" s="28" t="str">
        <f t="shared" si="45"/>
        <v>Pontos Cotados</v>
      </c>
      <c r="V44" s="28" t="s">
        <v>2222</v>
      </c>
      <c r="W44" s="69" t="str">
        <f t="shared" si="3"/>
        <v>Key-INFRA-44</v>
      </c>
      <c r="X44" s="28" t="s">
        <v>2076</v>
      </c>
      <c r="Y44" s="28" t="s">
        <v>2129</v>
      </c>
      <c r="Z44" s="40" t="s">
        <v>1</v>
      </c>
      <c r="AA44" s="28" t="str">
        <f t="shared" si="7"/>
        <v>Altimetric elevation points positioned on the perimeter of the land.</v>
      </c>
    </row>
    <row r="45" spans="1:27" ht="6.65" customHeight="1" x14ac:dyDescent="0.4">
      <c r="A45" s="77">
        <v>45</v>
      </c>
      <c r="B45" s="66" t="s">
        <v>2219</v>
      </c>
      <c r="C45" s="44" t="s">
        <v>1621</v>
      </c>
      <c r="D45" s="44" t="s">
        <v>1620</v>
      </c>
      <c r="E45" s="44" t="s">
        <v>1619</v>
      </c>
      <c r="F45" s="44" t="s">
        <v>1744</v>
      </c>
      <c r="G45" s="80" t="s">
        <v>1</v>
      </c>
      <c r="H45" s="80" t="s">
        <v>1</v>
      </c>
      <c r="I45" s="80" t="s">
        <v>1</v>
      </c>
      <c r="J45" s="80" t="s">
        <v>1</v>
      </c>
      <c r="K45" s="80" t="s">
        <v>1</v>
      </c>
      <c r="L45" s="43" t="str">
        <f t="shared" ref="L45" si="46">_xlfn.CONCAT(SUBSTITUTE(C45,"1.",""))</f>
        <v>Topografias</v>
      </c>
      <c r="M45" s="43" t="str">
        <f t="shared" ref="M45" si="47">_xlfn.CONCAT(SUBSTITUTE(D45,"."," "))</f>
        <v>Altimetrias</v>
      </c>
      <c r="N45" s="43" t="str">
        <f t="shared" ref="N45" si="48">_xlfn.CONCAT(SUBSTITUTE(E45,"."," "))</f>
        <v>Terrenos</v>
      </c>
      <c r="O45" s="43" t="str">
        <f t="shared" ref="O45" si="49">_xlfn.CONCAT(SUBSTITUTE(F45,"."," "))</f>
        <v>Terreno 3D Sólido</v>
      </c>
      <c r="P45" s="43" t="s">
        <v>1742</v>
      </c>
      <c r="Q45" s="43" t="s">
        <v>1929</v>
      </c>
      <c r="R45" s="28" t="s">
        <v>1</v>
      </c>
      <c r="S45" s="28" t="str">
        <f t="shared" ref="S45" si="50">SUBSTITUTE(C45, ".", " ")</f>
        <v>Topografias</v>
      </c>
      <c r="T45" s="28" t="str">
        <f t="shared" ref="T45" si="51">SUBSTITUTE(D45, ".", " ")</f>
        <v>Altimetrias</v>
      </c>
      <c r="U45" s="28" t="str">
        <f t="shared" ref="U45" si="52">SUBSTITUTE(E45, ".", " ")</f>
        <v>Terrenos</v>
      </c>
      <c r="V45" s="28" t="s">
        <v>2222</v>
      </c>
      <c r="W45" s="69" t="str">
        <f t="shared" si="3"/>
        <v>Key-INFRA-45</v>
      </c>
      <c r="X45" s="28" t="s">
        <v>2077</v>
      </c>
      <c r="Y45" s="28" t="s">
        <v>2129</v>
      </c>
      <c r="Z45" s="40" t="s">
        <v>1</v>
      </c>
      <c r="AA45" s="28" t="str">
        <f t="shared" si="7"/>
        <v>Three-dimensional solid terrain. Revit models above 2024 use solid terrain models, while still maintaining the terrain mesh scheme.</v>
      </c>
    </row>
    <row r="46" spans="1:27" ht="6.65" customHeight="1" x14ac:dyDescent="0.4">
      <c r="A46" s="77">
        <v>46</v>
      </c>
      <c r="B46" s="66" t="s">
        <v>2219</v>
      </c>
      <c r="C46" s="44" t="s">
        <v>1621</v>
      </c>
      <c r="D46" s="44" t="s">
        <v>1620</v>
      </c>
      <c r="E46" s="44" t="s">
        <v>1619</v>
      </c>
      <c r="F46" s="44" t="s">
        <v>1745</v>
      </c>
      <c r="G46" s="80" t="s">
        <v>1</v>
      </c>
      <c r="H46" s="80" t="s">
        <v>1</v>
      </c>
      <c r="I46" s="80" t="s">
        <v>1</v>
      </c>
      <c r="J46" s="80" t="s">
        <v>1</v>
      </c>
      <c r="K46" s="80" t="s">
        <v>1</v>
      </c>
      <c r="L46" s="43" t="str">
        <f t="shared" si="8"/>
        <v>Topografias</v>
      </c>
      <c r="M46" s="43" t="str">
        <f t="shared" si="12"/>
        <v>Altimetrias</v>
      </c>
      <c r="N46" s="43" t="str">
        <f t="shared" si="12"/>
        <v>Terrenos</v>
      </c>
      <c r="O46" s="43" t="str">
        <f t="shared" ref="O46:O51" si="53">_xlfn.CONCAT(SUBSTITUTE(F46,"."," "))</f>
        <v>Terreno 3D Superficial</v>
      </c>
      <c r="P46" s="43" t="s">
        <v>1743</v>
      </c>
      <c r="Q46" s="43" t="s">
        <v>1930</v>
      </c>
      <c r="R46" s="28" t="s">
        <v>1</v>
      </c>
      <c r="S46" s="28" t="str">
        <f t="shared" si="9"/>
        <v>Topografias</v>
      </c>
      <c r="T46" s="28" t="str">
        <f t="shared" si="10"/>
        <v>Altimetrias</v>
      </c>
      <c r="U46" s="28" t="str">
        <f t="shared" si="11"/>
        <v>Terrenos</v>
      </c>
      <c r="V46" s="28" t="s">
        <v>2222</v>
      </c>
      <c r="W46" s="69" t="str">
        <f t="shared" si="3"/>
        <v>Key-INFRA-46</v>
      </c>
      <c r="X46" s="28" t="s">
        <v>2078</v>
      </c>
      <c r="Y46" s="28" t="s">
        <v>2129</v>
      </c>
      <c r="Z46" s="40" t="s">
        <v>1</v>
      </c>
      <c r="AA46" s="28" t="str">
        <f t="shared" si="7"/>
        <v>Three-dimensional maha of the terrain. Revit models prior to 2024 use surface terrain models.</v>
      </c>
    </row>
    <row r="47" spans="1:27" ht="6.65" customHeight="1" x14ac:dyDescent="0.4">
      <c r="A47" s="77">
        <v>47</v>
      </c>
      <c r="B47" s="66" t="s">
        <v>2219</v>
      </c>
      <c r="C47" s="44" t="s">
        <v>1621</v>
      </c>
      <c r="D47" s="44" t="s">
        <v>1620</v>
      </c>
      <c r="E47" s="44" t="s">
        <v>1619</v>
      </c>
      <c r="F47" s="44" t="s">
        <v>1737</v>
      </c>
      <c r="G47" s="80" t="s">
        <v>1</v>
      </c>
      <c r="H47" s="80" t="s">
        <v>1</v>
      </c>
      <c r="I47" s="80" t="s">
        <v>1</v>
      </c>
      <c r="J47" s="80" t="s">
        <v>1</v>
      </c>
      <c r="K47" s="80" t="s">
        <v>1</v>
      </c>
      <c r="L47" s="43" t="str">
        <f t="shared" si="8"/>
        <v>Topografias</v>
      </c>
      <c r="M47" s="43" t="str">
        <f t="shared" si="12"/>
        <v>Altimetrias</v>
      </c>
      <c r="N47" s="43" t="str">
        <f t="shared" si="12"/>
        <v>Terrenos</v>
      </c>
      <c r="O47" s="43" t="str">
        <f t="shared" si="53"/>
        <v>MDT Camada Núcleo</v>
      </c>
      <c r="P47" s="43" t="s">
        <v>1764</v>
      </c>
      <c r="Q47" s="43" t="s">
        <v>1931</v>
      </c>
      <c r="R47" s="28" t="s">
        <v>1</v>
      </c>
      <c r="S47" s="28" t="str">
        <f t="shared" si="9"/>
        <v>Topografias</v>
      </c>
      <c r="T47" s="28" t="str">
        <f t="shared" si="10"/>
        <v>Altimetrias</v>
      </c>
      <c r="U47" s="28" t="str">
        <f t="shared" si="11"/>
        <v>Terrenos</v>
      </c>
      <c r="V47" s="28" t="s">
        <v>2222</v>
      </c>
      <c r="W47" s="69" t="str">
        <f t="shared" si="3"/>
        <v>Key-INFRA-47</v>
      </c>
      <c r="X47" s="28" t="s">
        <v>2079</v>
      </c>
      <c r="Y47" s="28" t="s">
        <v>2129</v>
      </c>
      <c r="Z47" s="40" t="s">
        <v>1</v>
      </c>
      <c r="AA47" s="28" t="str">
        <f t="shared" si="7"/>
        <v>Three-dimensional terrain solid: core layer.</v>
      </c>
    </row>
    <row r="48" spans="1:27" ht="6.65" customHeight="1" x14ac:dyDescent="0.4">
      <c r="A48" s="77">
        <v>48</v>
      </c>
      <c r="B48" s="66" t="s">
        <v>2219</v>
      </c>
      <c r="C48" s="44" t="s">
        <v>1621</v>
      </c>
      <c r="D48" s="44" t="s">
        <v>1620</v>
      </c>
      <c r="E48" s="44" t="s">
        <v>1619</v>
      </c>
      <c r="F48" s="44" t="s">
        <v>1741</v>
      </c>
      <c r="G48" s="80" t="s">
        <v>1</v>
      </c>
      <c r="H48" s="80" t="s">
        <v>1</v>
      </c>
      <c r="I48" s="80" t="s">
        <v>1</v>
      </c>
      <c r="J48" s="80" t="s">
        <v>1</v>
      </c>
      <c r="K48" s="80" t="s">
        <v>1</v>
      </c>
      <c r="L48" s="43" t="str">
        <f t="shared" si="8"/>
        <v>Topografias</v>
      </c>
      <c r="M48" s="43" t="str">
        <f t="shared" si="12"/>
        <v>Altimetrias</v>
      </c>
      <c r="N48" s="43" t="str">
        <f t="shared" si="12"/>
        <v>Terrenos</v>
      </c>
      <c r="O48" s="43" t="str">
        <f t="shared" si="53"/>
        <v>MDT Camada Substrato</v>
      </c>
      <c r="P48" s="43" t="s">
        <v>1766</v>
      </c>
      <c r="Q48" s="43" t="s">
        <v>1932</v>
      </c>
      <c r="R48" s="28" t="s">
        <v>1</v>
      </c>
      <c r="S48" s="28" t="str">
        <f t="shared" si="9"/>
        <v>Topografias</v>
      </c>
      <c r="T48" s="28" t="str">
        <f t="shared" si="10"/>
        <v>Altimetrias</v>
      </c>
      <c r="U48" s="28" t="str">
        <f t="shared" si="11"/>
        <v>Terrenos</v>
      </c>
      <c r="V48" s="28" t="s">
        <v>2222</v>
      </c>
      <c r="W48" s="69" t="str">
        <f t="shared" si="3"/>
        <v>Key-INFRA-48</v>
      </c>
      <c r="X48" s="28" t="s">
        <v>2080</v>
      </c>
      <c r="Y48" s="28" t="s">
        <v>2129</v>
      </c>
      <c r="Z48" s="40" t="s">
        <v>1</v>
      </c>
      <c r="AA48" s="28" t="str">
        <f t="shared" si="7"/>
        <v>Three-dimensional solid of the terrain: substrate layer.</v>
      </c>
    </row>
    <row r="49" spans="1:27" ht="6.65" customHeight="1" x14ac:dyDescent="0.4">
      <c r="A49" s="77">
        <v>49</v>
      </c>
      <c r="B49" s="66" t="s">
        <v>2219</v>
      </c>
      <c r="C49" s="44" t="s">
        <v>1621</v>
      </c>
      <c r="D49" s="44" t="s">
        <v>1620</v>
      </c>
      <c r="E49" s="44" t="s">
        <v>1619</v>
      </c>
      <c r="F49" s="44" t="s">
        <v>1740</v>
      </c>
      <c r="G49" s="80" t="s">
        <v>1</v>
      </c>
      <c r="H49" s="80" t="s">
        <v>1</v>
      </c>
      <c r="I49" s="80" t="s">
        <v>1</v>
      </c>
      <c r="J49" s="80" t="s">
        <v>1</v>
      </c>
      <c r="K49" s="80" t="s">
        <v>1</v>
      </c>
      <c r="L49" s="43" t="str">
        <f t="shared" si="8"/>
        <v>Topografias</v>
      </c>
      <c r="M49" s="43" t="str">
        <f t="shared" si="12"/>
        <v>Altimetrias</v>
      </c>
      <c r="N49" s="43" t="str">
        <f t="shared" si="12"/>
        <v>Terrenos</v>
      </c>
      <c r="O49" s="43" t="str">
        <f t="shared" si="53"/>
        <v>MDT Camada Membrana</v>
      </c>
      <c r="P49" s="43" t="s">
        <v>1765</v>
      </c>
      <c r="Q49" s="43" t="s">
        <v>1933</v>
      </c>
      <c r="R49" s="28" t="s">
        <v>1</v>
      </c>
      <c r="S49" s="28" t="str">
        <f t="shared" si="9"/>
        <v>Topografias</v>
      </c>
      <c r="T49" s="28" t="str">
        <f t="shared" si="10"/>
        <v>Altimetrias</v>
      </c>
      <c r="U49" s="28" t="str">
        <f t="shared" si="11"/>
        <v>Terrenos</v>
      </c>
      <c r="V49" s="28" t="s">
        <v>2222</v>
      </c>
      <c r="W49" s="69" t="str">
        <f t="shared" si="3"/>
        <v>Key-INFRA-49</v>
      </c>
      <c r="X49" s="28" t="s">
        <v>2178</v>
      </c>
      <c r="Y49" s="28" t="s">
        <v>2129</v>
      </c>
      <c r="Z49" s="40" t="s">
        <v>1</v>
      </c>
      <c r="AA49" s="28" t="str">
        <f t="shared" si="7"/>
        <v>Three-dimensional solid of the terrain: membrane layer.</v>
      </c>
    </row>
    <row r="50" spans="1:27" ht="6.65" customHeight="1" x14ac:dyDescent="0.4">
      <c r="A50" s="77">
        <v>50</v>
      </c>
      <c r="B50" s="66" t="s">
        <v>2219</v>
      </c>
      <c r="C50" s="44" t="s">
        <v>1621</v>
      </c>
      <c r="D50" s="44" t="s">
        <v>1620</v>
      </c>
      <c r="E50" s="44" t="s">
        <v>1619</v>
      </c>
      <c r="F50" s="44" t="s">
        <v>1739</v>
      </c>
      <c r="G50" s="80" t="s">
        <v>1</v>
      </c>
      <c r="H50" s="80" t="s">
        <v>1</v>
      </c>
      <c r="I50" s="80" t="s">
        <v>1</v>
      </c>
      <c r="J50" s="80" t="s">
        <v>1</v>
      </c>
      <c r="K50" s="80" t="s">
        <v>1</v>
      </c>
      <c r="L50" s="43" t="str">
        <f t="shared" si="8"/>
        <v>Topografias</v>
      </c>
      <c r="M50" s="43" t="str">
        <f t="shared" si="12"/>
        <v>Altimetrias</v>
      </c>
      <c r="N50" s="43" t="str">
        <f t="shared" si="12"/>
        <v>Terrenos</v>
      </c>
      <c r="O50" s="43" t="str">
        <f t="shared" si="53"/>
        <v>MDT Camada Isolamento</v>
      </c>
      <c r="P50" s="43" t="s">
        <v>1768</v>
      </c>
      <c r="Q50" s="43" t="s">
        <v>1934</v>
      </c>
      <c r="R50" s="28" t="s">
        <v>1</v>
      </c>
      <c r="S50" s="28" t="str">
        <f t="shared" si="9"/>
        <v>Topografias</v>
      </c>
      <c r="T50" s="28" t="str">
        <f t="shared" si="10"/>
        <v>Altimetrias</v>
      </c>
      <c r="U50" s="28" t="str">
        <f t="shared" si="11"/>
        <v>Terrenos</v>
      </c>
      <c r="V50" s="28" t="s">
        <v>2222</v>
      </c>
      <c r="W50" s="69" t="str">
        <f t="shared" si="3"/>
        <v>Key-INFRA-50</v>
      </c>
      <c r="X50" s="28" t="s">
        <v>2081</v>
      </c>
      <c r="Y50" s="28" t="s">
        <v>2129</v>
      </c>
      <c r="Z50" s="40" t="s">
        <v>1</v>
      </c>
      <c r="AA50" s="28" t="str">
        <f t="shared" si="7"/>
        <v>Three-dimensional solid terrain: insulation layer.</v>
      </c>
    </row>
    <row r="51" spans="1:27" ht="6.65" customHeight="1" x14ac:dyDescent="0.4">
      <c r="A51" s="77">
        <v>51</v>
      </c>
      <c r="B51" s="66" t="s">
        <v>2219</v>
      </c>
      <c r="C51" s="44" t="s">
        <v>1621</v>
      </c>
      <c r="D51" s="44" t="s">
        <v>1620</v>
      </c>
      <c r="E51" s="44" t="s">
        <v>1619</v>
      </c>
      <c r="F51" s="44" t="s">
        <v>1738</v>
      </c>
      <c r="G51" s="80" t="s">
        <v>1</v>
      </c>
      <c r="H51" s="80" t="s">
        <v>1</v>
      </c>
      <c r="I51" s="80" t="s">
        <v>1</v>
      </c>
      <c r="J51" s="80" t="s">
        <v>1</v>
      </c>
      <c r="K51" s="80" t="s">
        <v>1</v>
      </c>
      <c r="L51" s="43" t="str">
        <f t="shared" ref="L51:L55" si="54">_xlfn.CONCAT(SUBSTITUTE(C51,"1.",""))</f>
        <v>Topografias</v>
      </c>
      <c r="M51" s="43" t="str">
        <f t="shared" si="12"/>
        <v>Altimetrias</v>
      </c>
      <c r="N51" s="43" t="str">
        <f t="shared" si="12"/>
        <v>Terrenos</v>
      </c>
      <c r="O51" s="43" t="str">
        <f t="shared" si="53"/>
        <v>MDT Camada Superficial</v>
      </c>
      <c r="P51" s="43" t="s">
        <v>1767</v>
      </c>
      <c r="Q51" s="43" t="s">
        <v>1935</v>
      </c>
      <c r="R51" s="28" t="s">
        <v>1</v>
      </c>
      <c r="S51" s="28" t="str">
        <f t="shared" si="9"/>
        <v>Topografias</v>
      </c>
      <c r="T51" s="28" t="str">
        <f t="shared" si="10"/>
        <v>Altimetrias</v>
      </c>
      <c r="U51" s="28" t="str">
        <f t="shared" si="11"/>
        <v>Terrenos</v>
      </c>
      <c r="V51" s="28" t="s">
        <v>2222</v>
      </c>
      <c r="W51" s="69" t="str">
        <f t="shared" si="3"/>
        <v>Key-INFRA-51</v>
      </c>
      <c r="X51" s="28" t="s">
        <v>2082</v>
      </c>
      <c r="Y51" s="28" t="s">
        <v>2130</v>
      </c>
      <c r="Z51" s="40" t="s">
        <v>1</v>
      </c>
      <c r="AA51" s="28" t="str">
        <f t="shared" si="7"/>
        <v>Three-dimensional solid of the terrain: surface layer.</v>
      </c>
    </row>
    <row r="52" spans="1:27" ht="6.65" customHeight="1" x14ac:dyDescent="0.4">
      <c r="A52" s="77">
        <v>52</v>
      </c>
      <c r="B52" s="66" t="s">
        <v>2219</v>
      </c>
      <c r="C52" s="44" t="s">
        <v>1621</v>
      </c>
      <c r="D52" s="44" t="s">
        <v>1620</v>
      </c>
      <c r="E52" s="44" t="s">
        <v>1622</v>
      </c>
      <c r="F52" s="44" t="s">
        <v>1625</v>
      </c>
      <c r="G52" s="80" t="s">
        <v>1</v>
      </c>
      <c r="H52" s="80" t="s">
        <v>1</v>
      </c>
      <c r="I52" s="80" t="s">
        <v>1</v>
      </c>
      <c r="J52" s="80" t="s">
        <v>1</v>
      </c>
      <c r="K52" s="80" t="s">
        <v>1</v>
      </c>
      <c r="L52" s="43" t="str">
        <f t="shared" si="54"/>
        <v>Topografias</v>
      </c>
      <c r="M52" s="43" t="str">
        <f t="shared" si="12"/>
        <v>Altimetrias</v>
      </c>
      <c r="N52" s="43" t="str">
        <f t="shared" si="12"/>
        <v>Curvas de Nível</v>
      </c>
      <c r="O52" s="43" t="str">
        <f t="shared" ref="O52:O55" si="55">_xlfn.CONCAT(SUBSTITUTE(F52,"."," "))</f>
        <v>Curva de Nível 10m</v>
      </c>
      <c r="P52" s="43" t="s">
        <v>1769</v>
      </c>
      <c r="Q52" s="43" t="s">
        <v>1936</v>
      </c>
      <c r="R52" s="28" t="s">
        <v>1</v>
      </c>
      <c r="S52" s="28" t="str">
        <f t="shared" si="9"/>
        <v>Topografias</v>
      </c>
      <c r="T52" s="28" t="str">
        <f t="shared" si="10"/>
        <v>Altimetrias</v>
      </c>
      <c r="U52" s="28" t="str">
        <f t="shared" si="11"/>
        <v>Curvas de Nível</v>
      </c>
      <c r="V52" s="28" t="s">
        <v>2222</v>
      </c>
      <c r="W52" s="69" t="str">
        <f t="shared" si="3"/>
        <v>Key-INFRA-52</v>
      </c>
      <c r="X52" s="28" t="s">
        <v>2083</v>
      </c>
      <c r="Y52" s="28" t="s">
        <v>2130</v>
      </c>
      <c r="Z52" s="40" t="s">
        <v>1</v>
      </c>
      <c r="AA52" s="28" t="str">
        <f t="shared" si="7"/>
        <v>10-meter level curve.</v>
      </c>
    </row>
    <row r="53" spans="1:27" ht="6.65" customHeight="1" x14ac:dyDescent="0.4">
      <c r="A53" s="77">
        <v>53</v>
      </c>
      <c r="B53" s="66" t="s">
        <v>2219</v>
      </c>
      <c r="C53" s="44" t="s">
        <v>1621</v>
      </c>
      <c r="D53" s="44" t="s">
        <v>1620</v>
      </c>
      <c r="E53" s="44" t="s">
        <v>1622</v>
      </c>
      <c r="F53" s="44" t="s">
        <v>1626</v>
      </c>
      <c r="G53" s="80" t="s">
        <v>1</v>
      </c>
      <c r="H53" s="80" t="s">
        <v>1</v>
      </c>
      <c r="I53" s="80" t="s">
        <v>1</v>
      </c>
      <c r="J53" s="80" t="s">
        <v>1</v>
      </c>
      <c r="K53" s="80" t="s">
        <v>1</v>
      </c>
      <c r="L53" s="43" t="str">
        <f t="shared" si="54"/>
        <v>Topografias</v>
      </c>
      <c r="M53" s="43" t="str">
        <f t="shared" si="12"/>
        <v>Altimetrias</v>
      </c>
      <c r="N53" s="43" t="str">
        <f t="shared" si="12"/>
        <v>Curvas de Nível</v>
      </c>
      <c r="O53" s="43" t="str">
        <f t="shared" si="55"/>
        <v>Curva de Nível 05m</v>
      </c>
      <c r="P53" s="43" t="s">
        <v>1770</v>
      </c>
      <c r="Q53" s="43" t="s">
        <v>1937</v>
      </c>
      <c r="R53" s="28" t="s">
        <v>1</v>
      </c>
      <c r="S53" s="28" t="str">
        <f t="shared" si="9"/>
        <v>Topografias</v>
      </c>
      <c r="T53" s="28" t="str">
        <f t="shared" si="10"/>
        <v>Altimetrias</v>
      </c>
      <c r="U53" s="28" t="str">
        <f t="shared" si="11"/>
        <v>Curvas de Nível</v>
      </c>
      <c r="V53" s="28" t="s">
        <v>2222</v>
      </c>
      <c r="W53" s="69" t="str">
        <f t="shared" si="3"/>
        <v>Key-INFRA-53</v>
      </c>
      <c r="X53" s="28" t="s">
        <v>2083</v>
      </c>
      <c r="Y53" s="28" t="s">
        <v>2130</v>
      </c>
      <c r="Z53" s="40" t="s">
        <v>1</v>
      </c>
      <c r="AA53" s="28" t="str">
        <f t="shared" si="7"/>
        <v>5 meter level curve.</v>
      </c>
    </row>
    <row r="54" spans="1:27" ht="6.65" customHeight="1" x14ac:dyDescent="0.4">
      <c r="A54" s="77">
        <v>54</v>
      </c>
      <c r="B54" s="66" t="s">
        <v>2219</v>
      </c>
      <c r="C54" s="44" t="s">
        <v>1621</v>
      </c>
      <c r="D54" s="44" t="s">
        <v>1620</v>
      </c>
      <c r="E54" s="44" t="s">
        <v>1622</v>
      </c>
      <c r="F54" s="44" t="s">
        <v>1627</v>
      </c>
      <c r="G54" s="80" t="s">
        <v>1</v>
      </c>
      <c r="H54" s="80" t="s">
        <v>1</v>
      </c>
      <c r="I54" s="80" t="s">
        <v>1</v>
      </c>
      <c r="J54" s="80" t="s">
        <v>1</v>
      </c>
      <c r="K54" s="80" t="s">
        <v>1</v>
      </c>
      <c r="L54" s="43" t="str">
        <f t="shared" ref="L54" si="56">_xlfn.CONCAT(SUBSTITUTE(C54,"1.",""))</f>
        <v>Topografias</v>
      </c>
      <c r="M54" s="43" t="str">
        <f t="shared" ref="M54" si="57">_xlfn.CONCAT(SUBSTITUTE(D54,"."," "))</f>
        <v>Altimetrias</v>
      </c>
      <c r="N54" s="43" t="str">
        <f t="shared" ref="N54" si="58">_xlfn.CONCAT(SUBSTITUTE(E54,"."," "))</f>
        <v>Curvas de Nível</v>
      </c>
      <c r="O54" s="43" t="str">
        <f t="shared" ref="O54" si="59">_xlfn.CONCAT(SUBSTITUTE(F54,"."," "))</f>
        <v>Curva de Nível 01m</v>
      </c>
      <c r="P54" s="43" t="s">
        <v>1629</v>
      </c>
      <c r="Q54" s="43" t="s">
        <v>1938</v>
      </c>
      <c r="R54" s="28" t="s">
        <v>1</v>
      </c>
      <c r="S54" s="28" t="str">
        <f t="shared" ref="S54" si="60">SUBSTITUTE(C54, ".", " ")</f>
        <v>Topografias</v>
      </c>
      <c r="T54" s="28" t="str">
        <f t="shared" ref="T54" si="61">SUBSTITUTE(D54, ".", " ")</f>
        <v>Altimetrias</v>
      </c>
      <c r="U54" s="28" t="str">
        <f t="shared" ref="U54" si="62">SUBSTITUTE(E54, ".", " ")</f>
        <v>Curvas de Nível</v>
      </c>
      <c r="V54" s="28" t="s">
        <v>2222</v>
      </c>
      <c r="W54" s="69" t="str">
        <f t="shared" si="3"/>
        <v>Key-INFRA-54</v>
      </c>
      <c r="X54" s="28" t="s">
        <v>2083</v>
      </c>
      <c r="Y54" s="28" t="s">
        <v>2130</v>
      </c>
      <c r="Z54" s="40" t="s">
        <v>1</v>
      </c>
      <c r="AA54" s="28" t="str">
        <f t="shared" si="7"/>
        <v>Level curve of 1 meter.</v>
      </c>
    </row>
    <row r="55" spans="1:27" ht="6.65" customHeight="1" x14ac:dyDescent="0.4">
      <c r="A55" s="77">
        <v>55</v>
      </c>
      <c r="B55" s="66" t="s">
        <v>2219</v>
      </c>
      <c r="C55" s="44" t="s">
        <v>1621</v>
      </c>
      <c r="D55" s="44" t="s">
        <v>1620</v>
      </c>
      <c r="E55" s="44" t="s">
        <v>1622</v>
      </c>
      <c r="F55" s="44" t="s">
        <v>1628</v>
      </c>
      <c r="G55" s="80" t="s">
        <v>1</v>
      </c>
      <c r="H55" s="80" t="s">
        <v>1</v>
      </c>
      <c r="I55" s="80" t="s">
        <v>1</v>
      </c>
      <c r="J55" s="80" t="s">
        <v>1</v>
      </c>
      <c r="K55" s="80" t="s">
        <v>1</v>
      </c>
      <c r="L55" s="43" t="str">
        <f t="shared" si="54"/>
        <v>Topografias</v>
      </c>
      <c r="M55" s="43" t="str">
        <f t="shared" si="12"/>
        <v>Altimetrias</v>
      </c>
      <c r="N55" s="43" t="str">
        <f t="shared" si="12"/>
        <v>Curvas de Nível</v>
      </c>
      <c r="O55" s="43" t="str">
        <f t="shared" si="55"/>
        <v>Curva de Nível Submétrica</v>
      </c>
      <c r="P55" s="43" t="s">
        <v>1630</v>
      </c>
      <c r="Q55" s="43" t="s">
        <v>1939</v>
      </c>
      <c r="R55" s="28" t="s">
        <v>1</v>
      </c>
      <c r="S55" s="28" t="str">
        <f t="shared" si="9"/>
        <v>Topografias</v>
      </c>
      <c r="T55" s="28" t="str">
        <f t="shared" si="10"/>
        <v>Altimetrias</v>
      </c>
      <c r="U55" s="28" t="str">
        <f t="shared" si="11"/>
        <v>Curvas de Nível</v>
      </c>
      <c r="V55" s="28" t="s">
        <v>2222</v>
      </c>
      <c r="W55" s="69" t="str">
        <f t="shared" si="3"/>
        <v>Key-INFRA-55</v>
      </c>
      <c r="X55" s="28" t="s">
        <v>2083</v>
      </c>
      <c r="Y55" s="28" t="s">
        <v>2128</v>
      </c>
      <c r="Z55" s="40" t="s">
        <v>1</v>
      </c>
      <c r="AA55" s="28" t="str">
        <f t="shared" si="7"/>
        <v>Submetric contour line, its value must be less than 1m and can be 5 cm, 10 cm, 25 cm, etc. For adjustments of boxes or poles on the ground.</v>
      </c>
    </row>
    <row r="56" spans="1:27" ht="6.65" customHeight="1" x14ac:dyDescent="0.4">
      <c r="A56" s="77">
        <v>56</v>
      </c>
      <c r="B56" s="66" t="s">
        <v>2219</v>
      </c>
      <c r="C56" s="44" t="s">
        <v>1621</v>
      </c>
      <c r="D56" s="44" t="s">
        <v>1620</v>
      </c>
      <c r="E56" s="44" t="s">
        <v>1623</v>
      </c>
      <c r="F56" s="44" t="s">
        <v>1581</v>
      </c>
      <c r="G56" s="80" t="s">
        <v>1</v>
      </c>
      <c r="H56" s="80" t="s">
        <v>1</v>
      </c>
      <c r="I56" s="80" t="s">
        <v>1</v>
      </c>
      <c r="J56" s="80" t="s">
        <v>1</v>
      </c>
      <c r="K56" s="80" t="s">
        <v>1</v>
      </c>
      <c r="L56" s="43" t="str">
        <f t="shared" ref="L56" si="63">_xlfn.CONCAT(SUBSTITUTE(C56,"1.",""))</f>
        <v>Topografias</v>
      </c>
      <c r="M56" s="43" t="str">
        <f t="shared" ref="M56" si="64">_xlfn.CONCAT(SUBSTITUTE(D56,"."," "))</f>
        <v>Altimetrias</v>
      </c>
      <c r="N56" s="43" t="str">
        <f t="shared" ref="N56" si="65">_xlfn.CONCAT(SUBSTITUTE(E56,"."," "))</f>
        <v>Sondagens</v>
      </c>
      <c r="O56" s="43" t="str">
        <f t="shared" ref="O56" si="66">_xlfn.CONCAT(SUBSTITUTE(F56,"."," "))</f>
        <v>Ponto de Sondagem</v>
      </c>
      <c r="P56" s="43" t="s">
        <v>1771</v>
      </c>
      <c r="Q56" s="43" t="s">
        <v>1940</v>
      </c>
      <c r="R56" s="28" t="s">
        <v>1</v>
      </c>
      <c r="S56" s="28" t="str">
        <f t="shared" ref="S56" si="67">SUBSTITUTE(C56, ".", " ")</f>
        <v>Topografias</v>
      </c>
      <c r="T56" s="28" t="str">
        <f t="shared" ref="T56" si="68">SUBSTITUTE(D56, ".", " ")</f>
        <v>Altimetrias</v>
      </c>
      <c r="U56" s="28" t="str">
        <f t="shared" si="11"/>
        <v>Sondagens</v>
      </c>
      <c r="V56" s="28" t="s">
        <v>2222</v>
      </c>
      <c r="W56" s="69" t="str">
        <f t="shared" si="3"/>
        <v>Key-INFRA-56</v>
      </c>
      <c r="X56" s="28" t="s">
        <v>2075</v>
      </c>
      <c r="Y56" s="28" t="s">
        <v>2073</v>
      </c>
      <c r="Z56" s="40" t="s">
        <v>1</v>
      </c>
      <c r="AA56" s="28" t="str">
        <f t="shared" si="7"/>
        <v>Land polling point.</v>
      </c>
    </row>
    <row r="57" spans="1:27" ht="6.65" customHeight="1" x14ac:dyDescent="0.4">
      <c r="A57" s="77">
        <v>57</v>
      </c>
      <c r="B57" s="66" t="s">
        <v>2219</v>
      </c>
      <c r="C57" s="44" t="s">
        <v>1678</v>
      </c>
      <c r="D57" s="44" t="s">
        <v>1582</v>
      </c>
      <c r="E57" s="44" t="s">
        <v>1617</v>
      </c>
      <c r="F57" s="44" t="s">
        <v>653</v>
      </c>
      <c r="G57" s="80" t="s">
        <v>1</v>
      </c>
      <c r="H57" s="80" t="str">
        <f>_xlfn.CONCAT("é.nomeado some ",C57)</f>
        <v>é.nomeado some Planejamentos</v>
      </c>
      <c r="I57" s="80" t="s">
        <v>1</v>
      </c>
      <c r="J57" s="80" t="str">
        <f>_xlfn.CONCAT("é.área.de.planejamento some ",E57)</f>
        <v>é.área.de.planejamento some Zonificações</v>
      </c>
      <c r="K57" s="80" t="str">
        <f>_xlfn.CONCAT("é.dentro.de some ",F26)</f>
        <v>é.dentro.de some Cidade</v>
      </c>
      <c r="L57" s="43" t="str">
        <f t="shared" si="8"/>
        <v>Planejamentos</v>
      </c>
      <c r="M57" s="43" t="str">
        <f t="shared" si="12"/>
        <v>Urbanísticos</v>
      </c>
      <c r="N57" s="43" t="str">
        <f t="shared" si="12"/>
        <v>Zonificações</v>
      </c>
      <c r="O57" s="43" t="str">
        <f t="shared" si="12"/>
        <v>Area de Planejamento</v>
      </c>
      <c r="P57" s="43" t="s">
        <v>1773</v>
      </c>
      <c r="Q57" s="43" t="s">
        <v>654</v>
      </c>
      <c r="R57" s="28" t="s">
        <v>1</v>
      </c>
      <c r="S57" s="28" t="str">
        <f t="shared" si="9"/>
        <v>Planejamentos</v>
      </c>
      <c r="T57" s="28" t="str">
        <f t="shared" si="10"/>
        <v>Urbanísticos</v>
      </c>
      <c r="U57" s="28" t="str">
        <f t="shared" si="11"/>
        <v>Zonificações</v>
      </c>
      <c r="V57" s="28" t="s">
        <v>2222</v>
      </c>
      <c r="W57" s="69" t="str">
        <f t="shared" si="3"/>
        <v>Key-INFRA-57</v>
      </c>
      <c r="X57" s="28" t="s">
        <v>2074</v>
      </c>
      <c r="Y57" s="28" t="s">
        <v>2073</v>
      </c>
      <c r="Z57" s="40" t="s">
        <v>1</v>
      </c>
      <c r="AA57" s="28" t="str">
        <f t="shared" si="7"/>
        <v>AP stands for Planning Area.</v>
      </c>
    </row>
    <row r="58" spans="1:27" ht="6.65" customHeight="1" x14ac:dyDescent="0.4">
      <c r="A58" s="77">
        <v>58</v>
      </c>
      <c r="B58" s="66" t="s">
        <v>2219</v>
      </c>
      <c r="C58" s="44" t="s">
        <v>1678</v>
      </c>
      <c r="D58" s="44" t="s">
        <v>1582</v>
      </c>
      <c r="E58" s="44" t="s">
        <v>1617</v>
      </c>
      <c r="F58" s="44" t="s">
        <v>655</v>
      </c>
      <c r="G58" s="80" t="s">
        <v>1</v>
      </c>
      <c r="H58" s="80" t="s">
        <v>1</v>
      </c>
      <c r="I58" s="80" t="s">
        <v>1</v>
      </c>
      <c r="J58" s="80" t="str">
        <f>_xlfn.CONCAT("é.região.administrativa some ",E58)</f>
        <v>é.região.administrativa some Zonificações</v>
      </c>
      <c r="K58" s="80" t="str">
        <f>_xlfn.CONCAT("é.dentro.de some ",F57)</f>
        <v>é.dentro.de some Area.de.Planejamento</v>
      </c>
      <c r="L58" s="43" t="str">
        <f t="shared" si="8"/>
        <v>Planejamentos</v>
      </c>
      <c r="M58" s="43" t="str">
        <f t="shared" si="12"/>
        <v>Urbanísticos</v>
      </c>
      <c r="N58" s="43" t="str">
        <f t="shared" si="12"/>
        <v>Zonificações</v>
      </c>
      <c r="O58" s="43" t="str">
        <f t="shared" si="12"/>
        <v>Região Administrativa</v>
      </c>
      <c r="P58" s="43" t="s">
        <v>1772</v>
      </c>
      <c r="Q58" s="43" t="s">
        <v>656</v>
      </c>
      <c r="R58" s="28" t="s">
        <v>1</v>
      </c>
      <c r="S58" s="28" t="str">
        <f t="shared" si="9"/>
        <v>Planejamentos</v>
      </c>
      <c r="T58" s="28" t="str">
        <f t="shared" si="10"/>
        <v>Urbanísticos</v>
      </c>
      <c r="U58" s="28" t="str">
        <f t="shared" si="11"/>
        <v>Zonificações</v>
      </c>
      <c r="V58" s="28" t="s">
        <v>2222</v>
      </c>
      <c r="W58" s="69" t="str">
        <f t="shared" si="3"/>
        <v>Key-INFRA-58</v>
      </c>
      <c r="X58" s="28" t="s">
        <v>2074</v>
      </c>
      <c r="Y58" s="28" t="s">
        <v>2073</v>
      </c>
      <c r="Z58" s="40" t="s">
        <v>1</v>
      </c>
      <c r="AA58" s="28" t="str">
        <f t="shared" si="7"/>
        <v>RA stands for Administrative Region.</v>
      </c>
    </row>
    <row r="59" spans="1:27" ht="6.65" customHeight="1" x14ac:dyDescent="0.4">
      <c r="A59" s="77">
        <v>59</v>
      </c>
      <c r="B59" s="66" t="s">
        <v>2219</v>
      </c>
      <c r="C59" s="44" t="s">
        <v>1678</v>
      </c>
      <c r="D59" s="44" t="s">
        <v>1582</v>
      </c>
      <c r="E59" s="44" t="s">
        <v>1617</v>
      </c>
      <c r="F59" s="44" t="s">
        <v>1736</v>
      </c>
      <c r="G59" s="80" t="s">
        <v>1</v>
      </c>
      <c r="H59" s="80" t="s">
        <v>1</v>
      </c>
      <c r="I59" s="80" t="s">
        <v>1</v>
      </c>
      <c r="J59" s="80" t="s">
        <v>1</v>
      </c>
      <c r="K59" s="80" t="s">
        <v>1</v>
      </c>
      <c r="L59" s="43" t="str">
        <f t="shared" si="8"/>
        <v>Planejamentos</v>
      </c>
      <c r="M59" s="43" t="str">
        <f t="shared" si="12"/>
        <v>Urbanísticos</v>
      </c>
      <c r="N59" s="43" t="str">
        <f t="shared" si="12"/>
        <v>Zonificações</v>
      </c>
      <c r="O59" s="43" t="str">
        <f t="shared" si="12"/>
        <v>Area de Interesse Especial</v>
      </c>
      <c r="P59" s="43" t="s">
        <v>1774</v>
      </c>
      <c r="Q59" s="43" t="s">
        <v>657</v>
      </c>
      <c r="R59" s="28" t="s">
        <v>1</v>
      </c>
      <c r="S59" s="28" t="str">
        <f t="shared" si="9"/>
        <v>Planejamentos</v>
      </c>
      <c r="T59" s="28" t="str">
        <f t="shared" si="10"/>
        <v>Urbanísticos</v>
      </c>
      <c r="U59" s="28" t="str">
        <f t="shared" si="11"/>
        <v>Zonificações</v>
      </c>
      <c r="V59" s="28" t="s">
        <v>2222</v>
      </c>
      <c r="W59" s="69" t="str">
        <f t="shared" si="3"/>
        <v>Key-INFRA-59</v>
      </c>
      <c r="X59" s="28" t="s">
        <v>2074</v>
      </c>
      <c r="Y59" s="28" t="s">
        <v>2073</v>
      </c>
      <c r="Z59" s="40" t="s">
        <v>1</v>
      </c>
      <c r="AA59" s="28" t="str">
        <f t="shared" si="7"/>
        <v>Area of Special Interest.</v>
      </c>
    </row>
    <row r="60" spans="1:27" ht="6.65" customHeight="1" x14ac:dyDescent="0.4">
      <c r="A60" s="77">
        <v>60</v>
      </c>
      <c r="B60" s="66" t="s">
        <v>2219</v>
      </c>
      <c r="C60" s="44" t="s">
        <v>1678</v>
      </c>
      <c r="D60" s="44" t="s">
        <v>1582</v>
      </c>
      <c r="E60" s="44" t="s">
        <v>1617</v>
      </c>
      <c r="F60" s="44" t="s">
        <v>658</v>
      </c>
      <c r="G60" s="80" t="s">
        <v>1</v>
      </c>
      <c r="H60" s="80" t="s">
        <v>1</v>
      </c>
      <c r="I60" s="80" t="s">
        <v>1</v>
      </c>
      <c r="J60" s="80" t="s">
        <v>1</v>
      </c>
      <c r="K60" s="80" t="s">
        <v>1</v>
      </c>
      <c r="L60" s="43" t="str">
        <f t="shared" si="8"/>
        <v>Planejamentos</v>
      </c>
      <c r="M60" s="43" t="str">
        <f t="shared" ref="M60:O75" si="69">_xlfn.CONCAT(SUBSTITUTE(D60,"."," "))</f>
        <v>Urbanísticos</v>
      </c>
      <c r="N60" s="43" t="str">
        <f t="shared" si="69"/>
        <v>Zonificações</v>
      </c>
      <c r="O60" s="43" t="str">
        <f t="shared" si="69"/>
        <v>Area Restringida</v>
      </c>
      <c r="P60" s="43" t="s">
        <v>659</v>
      </c>
      <c r="Q60" s="43" t="s">
        <v>660</v>
      </c>
      <c r="R60" s="28" t="s">
        <v>1</v>
      </c>
      <c r="S60" s="28" t="str">
        <f t="shared" si="9"/>
        <v>Planejamentos</v>
      </c>
      <c r="T60" s="28" t="str">
        <f t="shared" si="10"/>
        <v>Urbanísticos</v>
      </c>
      <c r="U60" s="28" t="str">
        <f t="shared" si="11"/>
        <v>Zonificações</v>
      </c>
      <c r="V60" s="28" t="s">
        <v>2222</v>
      </c>
      <c r="W60" s="69" t="str">
        <f t="shared" si="3"/>
        <v>Key-INFRA-60</v>
      </c>
      <c r="X60" s="28" t="s">
        <v>2074</v>
      </c>
      <c r="Y60" s="28" t="s">
        <v>2073</v>
      </c>
      <c r="Z60" s="40" t="s">
        <v>1</v>
      </c>
      <c r="AA60" s="28" t="str">
        <f t="shared" si="7"/>
        <v>Area with occupancy restrictions</v>
      </c>
    </row>
    <row r="61" spans="1:27" ht="6.65" customHeight="1" x14ac:dyDescent="0.4">
      <c r="A61" s="77">
        <v>61</v>
      </c>
      <c r="B61" s="66" t="s">
        <v>2219</v>
      </c>
      <c r="C61" s="44" t="s">
        <v>1678</v>
      </c>
      <c r="D61" s="44" t="s">
        <v>1582</v>
      </c>
      <c r="E61" s="44" t="s">
        <v>1617</v>
      </c>
      <c r="F61" s="44" t="s">
        <v>661</v>
      </c>
      <c r="G61" s="80" t="s">
        <v>1</v>
      </c>
      <c r="H61" s="80" t="s">
        <v>1</v>
      </c>
      <c r="I61" s="80" t="s">
        <v>1</v>
      </c>
      <c r="J61" s="80" t="s">
        <v>1</v>
      </c>
      <c r="K61" s="80" t="s">
        <v>662</v>
      </c>
      <c r="L61" s="43" t="str">
        <f t="shared" si="8"/>
        <v>Planejamentos</v>
      </c>
      <c r="M61" s="43" t="str">
        <f t="shared" si="69"/>
        <v>Urbanísticos</v>
      </c>
      <c r="N61" s="43" t="str">
        <f t="shared" si="69"/>
        <v>Zonificações</v>
      </c>
      <c r="O61" s="43" t="str">
        <f t="shared" si="69"/>
        <v>Zona</v>
      </c>
      <c r="P61" s="43" t="s">
        <v>1775</v>
      </c>
      <c r="Q61" s="43" t="s">
        <v>663</v>
      </c>
      <c r="R61" s="28" t="s">
        <v>1</v>
      </c>
      <c r="S61" s="28" t="str">
        <f t="shared" si="9"/>
        <v>Planejamentos</v>
      </c>
      <c r="T61" s="28" t="str">
        <f t="shared" si="10"/>
        <v>Urbanísticos</v>
      </c>
      <c r="U61" s="28" t="str">
        <f t="shared" si="11"/>
        <v>Zonificações</v>
      </c>
      <c r="V61" s="28" t="s">
        <v>2222</v>
      </c>
      <c r="W61" s="69" t="str">
        <f t="shared" si="3"/>
        <v>Key-INFRA-61</v>
      </c>
      <c r="X61" s="28" t="s">
        <v>2074</v>
      </c>
      <c r="Y61" s="28" t="s">
        <v>2073</v>
      </c>
      <c r="Z61" s="40" t="s">
        <v>1</v>
      </c>
      <c r="AA61" s="28" t="str">
        <f t="shared" si="7"/>
        <v>Areas of the city of Rio de Janeiro.</v>
      </c>
    </row>
    <row r="62" spans="1:27" ht="6.65" customHeight="1" x14ac:dyDescent="0.4">
      <c r="A62" s="77">
        <v>62</v>
      </c>
      <c r="B62" s="66" t="s">
        <v>2219</v>
      </c>
      <c r="C62" s="44" t="s">
        <v>1678</v>
      </c>
      <c r="D62" s="44" t="s">
        <v>1582</v>
      </c>
      <c r="E62" s="44" t="s">
        <v>1617</v>
      </c>
      <c r="F62" s="44" t="s">
        <v>664</v>
      </c>
      <c r="G62" s="80" t="s">
        <v>1</v>
      </c>
      <c r="H62" s="80" t="s">
        <v>1</v>
      </c>
      <c r="I62" s="80" t="s">
        <v>1</v>
      </c>
      <c r="J62" s="80" t="s">
        <v>1</v>
      </c>
      <c r="K62" s="80" t="s">
        <v>662</v>
      </c>
      <c r="L62" s="43" t="str">
        <f t="shared" si="8"/>
        <v>Planejamentos</v>
      </c>
      <c r="M62" s="43" t="str">
        <f t="shared" si="69"/>
        <v>Urbanísticos</v>
      </c>
      <c r="N62" s="43" t="str">
        <f t="shared" si="69"/>
        <v>Zonificações</v>
      </c>
      <c r="O62" s="43" t="str">
        <f t="shared" si="69"/>
        <v>Bairro</v>
      </c>
      <c r="P62" s="43" t="s">
        <v>665</v>
      </c>
      <c r="Q62" s="43" t="s">
        <v>666</v>
      </c>
      <c r="R62" s="28" t="s">
        <v>1</v>
      </c>
      <c r="S62" s="28" t="str">
        <f t="shared" si="9"/>
        <v>Planejamentos</v>
      </c>
      <c r="T62" s="28" t="str">
        <f t="shared" si="10"/>
        <v>Urbanísticos</v>
      </c>
      <c r="U62" s="28" t="str">
        <f t="shared" si="11"/>
        <v>Zonificações</v>
      </c>
      <c r="V62" s="28" t="s">
        <v>2222</v>
      </c>
      <c r="W62" s="69" t="str">
        <f t="shared" si="3"/>
        <v>Key-INFRA-62</v>
      </c>
      <c r="X62" s="28" t="s">
        <v>2074</v>
      </c>
      <c r="Y62" s="28" t="s">
        <v>2073</v>
      </c>
      <c r="Z62" s="40" t="s">
        <v>1</v>
      </c>
      <c r="AA62" s="28" t="str">
        <f t="shared" si="7"/>
        <v>City Neighborhood</v>
      </c>
    </row>
    <row r="63" spans="1:27" ht="6.65" customHeight="1" x14ac:dyDescent="0.4">
      <c r="A63" s="77">
        <v>63</v>
      </c>
      <c r="B63" s="66" t="s">
        <v>2219</v>
      </c>
      <c r="C63" s="44" t="s">
        <v>1678</v>
      </c>
      <c r="D63" s="44" t="s">
        <v>1582</v>
      </c>
      <c r="E63" s="44" t="s">
        <v>1617</v>
      </c>
      <c r="F63" s="44" t="s">
        <v>1618</v>
      </c>
      <c r="G63" s="80" t="s">
        <v>1</v>
      </c>
      <c r="H63" s="80" t="s">
        <v>1</v>
      </c>
      <c r="I63" s="80" t="s">
        <v>1</v>
      </c>
      <c r="J63" s="80" t="s">
        <v>1</v>
      </c>
      <c r="K63" s="80" t="s">
        <v>662</v>
      </c>
      <c r="L63" s="43" t="str">
        <f t="shared" si="8"/>
        <v>Planejamentos</v>
      </c>
      <c r="M63" s="43" t="str">
        <f t="shared" si="69"/>
        <v>Urbanísticos</v>
      </c>
      <c r="N63" s="43" t="str">
        <f t="shared" si="69"/>
        <v>Zonificações</v>
      </c>
      <c r="O63" s="43" t="str">
        <f t="shared" si="69"/>
        <v>Zona de Uso</v>
      </c>
      <c r="P63" s="43" t="s">
        <v>1776</v>
      </c>
      <c r="Q63" s="43" t="s">
        <v>667</v>
      </c>
      <c r="R63" s="28" t="s">
        <v>1</v>
      </c>
      <c r="S63" s="28" t="str">
        <f t="shared" si="9"/>
        <v>Planejamentos</v>
      </c>
      <c r="T63" s="28" t="str">
        <f t="shared" si="10"/>
        <v>Urbanísticos</v>
      </c>
      <c r="U63" s="28" t="str">
        <f t="shared" si="11"/>
        <v>Zonificações</v>
      </c>
      <c r="V63" s="28" t="s">
        <v>2222</v>
      </c>
      <c r="W63" s="69" t="str">
        <f t="shared" si="3"/>
        <v>Key-INFRA-63</v>
      </c>
      <c r="X63" s="28" t="s">
        <v>2074</v>
      </c>
      <c r="Y63" s="28" t="s">
        <v>2073</v>
      </c>
      <c r="Z63" s="40" t="s">
        <v>1</v>
      </c>
      <c r="AA63" s="28" t="str">
        <f t="shared" si="7"/>
        <v>Zone of use of the municipal zoning of the city of Rio de Janeiro.</v>
      </c>
    </row>
    <row r="64" spans="1:27" ht="6.65" customHeight="1" x14ac:dyDescent="0.4">
      <c r="A64" s="77">
        <v>64</v>
      </c>
      <c r="B64" s="66" t="s">
        <v>2219</v>
      </c>
      <c r="C64" s="44" t="s">
        <v>1678</v>
      </c>
      <c r="D64" s="44" t="s">
        <v>1582</v>
      </c>
      <c r="E64" s="44" t="s">
        <v>1617</v>
      </c>
      <c r="F64" s="44" t="s">
        <v>668</v>
      </c>
      <c r="G64" s="80" t="s">
        <v>1</v>
      </c>
      <c r="H64" s="80" t="s">
        <v>1</v>
      </c>
      <c r="I64" s="80" t="s">
        <v>1</v>
      </c>
      <c r="J64" s="80" t="s">
        <v>1</v>
      </c>
      <c r="K64" s="80" t="s">
        <v>662</v>
      </c>
      <c r="L64" s="43" t="str">
        <f t="shared" si="8"/>
        <v>Planejamentos</v>
      </c>
      <c r="M64" s="43" t="str">
        <f t="shared" si="69"/>
        <v>Urbanísticos</v>
      </c>
      <c r="N64" s="43" t="str">
        <f t="shared" si="69"/>
        <v>Zonificações</v>
      </c>
      <c r="O64" s="43" t="str">
        <f t="shared" si="69"/>
        <v>Macrozona</v>
      </c>
      <c r="P64" s="43" t="s">
        <v>665</v>
      </c>
      <c r="Q64" s="43" t="s">
        <v>666</v>
      </c>
      <c r="R64" s="28" t="s">
        <v>1</v>
      </c>
      <c r="S64" s="28" t="str">
        <f t="shared" si="9"/>
        <v>Planejamentos</v>
      </c>
      <c r="T64" s="28" t="str">
        <f t="shared" si="10"/>
        <v>Urbanísticos</v>
      </c>
      <c r="U64" s="28" t="str">
        <f t="shared" si="11"/>
        <v>Zonificações</v>
      </c>
      <c r="V64" s="28" t="s">
        <v>2222</v>
      </c>
      <c r="W64" s="69" t="str">
        <f t="shared" si="3"/>
        <v>Key-INFRA-64</v>
      </c>
      <c r="X64" s="28" t="s">
        <v>2074</v>
      </c>
      <c r="Y64" s="28" t="s">
        <v>2131</v>
      </c>
      <c r="Z64" s="40" t="s">
        <v>1</v>
      </c>
      <c r="AA64" s="28" t="str">
        <f t="shared" si="7"/>
        <v>City Neighborhood</v>
      </c>
    </row>
    <row r="65" spans="1:27" ht="6.65" customHeight="1" x14ac:dyDescent="0.4">
      <c r="A65" s="77">
        <v>65</v>
      </c>
      <c r="B65" s="66" t="s">
        <v>2219</v>
      </c>
      <c r="C65" s="44" t="s">
        <v>1678</v>
      </c>
      <c r="D65" s="44" t="s">
        <v>1582</v>
      </c>
      <c r="E65" s="44" t="s">
        <v>1616</v>
      </c>
      <c r="F65" s="44" t="s">
        <v>669</v>
      </c>
      <c r="G65" s="80" t="s">
        <v>1</v>
      </c>
      <c r="H65" s="80" t="s">
        <v>1</v>
      </c>
      <c r="I65" s="80" t="s">
        <v>1</v>
      </c>
      <c r="J65" s="80" t="s">
        <v>1</v>
      </c>
      <c r="K65" s="80" t="s">
        <v>670</v>
      </c>
      <c r="L65" s="43" t="str">
        <f t="shared" si="8"/>
        <v>Planejamentos</v>
      </c>
      <c r="M65" s="43" t="str">
        <f t="shared" si="69"/>
        <v>Urbanísticos</v>
      </c>
      <c r="N65" s="43" t="str">
        <f t="shared" si="69"/>
        <v>Frações</v>
      </c>
      <c r="O65" s="43" t="str">
        <f t="shared" si="69"/>
        <v>Quadra</v>
      </c>
      <c r="P65" s="43" t="s">
        <v>1777</v>
      </c>
      <c r="Q65" s="43" t="s">
        <v>671</v>
      </c>
      <c r="R65" s="28" t="s">
        <v>1</v>
      </c>
      <c r="S65" s="28" t="str">
        <f t="shared" si="9"/>
        <v>Planejamentos</v>
      </c>
      <c r="T65" s="28" t="str">
        <f t="shared" si="10"/>
        <v>Urbanísticos</v>
      </c>
      <c r="U65" s="28" t="str">
        <f t="shared" si="11"/>
        <v>Frações</v>
      </c>
      <c r="V65" s="28" t="s">
        <v>2222</v>
      </c>
      <c r="W65" s="69" t="str">
        <f t="shared" si="3"/>
        <v>Key-INFRA-65</v>
      </c>
      <c r="X65" s="28" t="s">
        <v>2084</v>
      </c>
      <c r="Y65" s="28" t="s">
        <v>2131</v>
      </c>
      <c r="Z65" s="40" t="s">
        <v>1</v>
      </c>
      <c r="AA65" s="28" t="str">
        <f t="shared" si="7"/>
        <v>Block of a neighborhood.</v>
      </c>
    </row>
    <row r="66" spans="1:27" ht="6.65" customHeight="1" x14ac:dyDescent="0.4">
      <c r="A66" s="77">
        <v>66</v>
      </c>
      <c r="B66" s="66" t="s">
        <v>2219</v>
      </c>
      <c r="C66" s="44" t="s">
        <v>1678</v>
      </c>
      <c r="D66" s="44" t="s">
        <v>1582</v>
      </c>
      <c r="E66" s="44" t="s">
        <v>1616</v>
      </c>
      <c r="F66" s="44" t="s">
        <v>672</v>
      </c>
      <c r="G66" s="80" t="s">
        <v>1</v>
      </c>
      <c r="H66" s="80" t="s">
        <v>1</v>
      </c>
      <c r="I66" s="80" t="s">
        <v>1</v>
      </c>
      <c r="J66" s="80" t="s">
        <v>1</v>
      </c>
      <c r="K66" s="80" t="s">
        <v>1</v>
      </c>
      <c r="L66" s="43" t="str">
        <f t="shared" si="8"/>
        <v>Planejamentos</v>
      </c>
      <c r="M66" s="43" t="str">
        <f t="shared" si="69"/>
        <v>Urbanísticos</v>
      </c>
      <c r="N66" s="43" t="str">
        <f t="shared" si="69"/>
        <v>Frações</v>
      </c>
      <c r="O66" s="43" t="str">
        <f t="shared" si="69"/>
        <v>Gleba</v>
      </c>
      <c r="P66" s="43" t="s">
        <v>1778</v>
      </c>
      <c r="Q66" s="43" t="s">
        <v>673</v>
      </c>
      <c r="R66" s="28" t="s">
        <v>1</v>
      </c>
      <c r="S66" s="28" t="str">
        <f t="shared" si="9"/>
        <v>Planejamentos</v>
      </c>
      <c r="T66" s="28" t="str">
        <f t="shared" si="10"/>
        <v>Urbanísticos</v>
      </c>
      <c r="U66" s="28" t="str">
        <f t="shared" si="11"/>
        <v>Frações</v>
      </c>
      <c r="V66" s="28" t="s">
        <v>2222</v>
      </c>
      <c r="W66" s="69" t="str">
        <f t="shared" ref="W66:W129" si="70">CONCATENATE("Key-INFRA-",A66)</f>
        <v>Key-INFRA-66</v>
      </c>
      <c r="X66" s="28" t="s">
        <v>2084</v>
      </c>
      <c r="Y66" s="28" t="s">
        <v>2132</v>
      </c>
      <c r="Z66" s="40" t="s">
        <v>1</v>
      </c>
      <c r="AA66" s="28" t="str">
        <f t="shared" si="7"/>
        <v>Large land that has not yet been subdivided.</v>
      </c>
    </row>
    <row r="67" spans="1:27" ht="6.65" customHeight="1" x14ac:dyDescent="0.4">
      <c r="A67" s="77">
        <v>67</v>
      </c>
      <c r="B67" s="66" t="s">
        <v>2219</v>
      </c>
      <c r="C67" s="44" t="s">
        <v>1678</v>
      </c>
      <c r="D67" s="44" t="s">
        <v>1582</v>
      </c>
      <c r="E67" s="44" t="s">
        <v>1616</v>
      </c>
      <c r="F67" s="44" t="s">
        <v>674</v>
      </c>
      <c r="G67" s="80" t="s">
        <v>1</v>
      </c>
      <c r="H67" s="80" t="s">
        <v>1</v>
      </c>
      <c r="I67" s="80" t="s">
        <v>1</v>
      </c>
      <c r="J67" s="80" t="s">
        <v>1</v>
      </c>
      <c r="K67" s="80" t="s">
        <v>1</v>
      </c>
      <c r="L67" s="43" t="str">
        <f t="shared" si="8"/>
        <v>Planejamentos</v>
      </c>
      <c r="M67" s="43" t="str">
        <f t="shared" si="69"/>
        <v>Urbanísticos</v>
      </c>
      <c r="N67" s="43" t="str">
        <f t="shared" si="69"/>
        <v>Frações</v>
      </c>
      <c r="O67" s="43" t="str">
        <f t="shared" si="69"/>
        <v>Loteamento</v>
      </c>
      <c r="P67" s="43" t="s">
        <v>1783</v>
      </c>
      <c r="Q67" s="43" t="s">
        <v>675</v>
      </c>
      <c r="R67" s="28" t="s">
        <v>1</v>
      </c>
      <c r="S67" s="28" t="str">
        <f t="shared" si="9"/>
        <v>Planejamentos</v>
      </c>
      <c r="T67" s="28" t="str">
        <f t="shared" si="10"/>
        <v>Urbanísticos</v>
      </c>
      <c r="U67" s="28" t="str">
        <f t="shared" si="11"/>
        <v>Frações</v>
      </c>
      <c r="V67" s="28" t="s">
        <v>2222</v>
      </c>
      <c r="W67" s="69" t="str">
        <f t="shared" si="70"/>
        <v>Key-INFRA-67</v>
      </c>
      <c r="X67" s="28" t="s">
        <v>2085</v>
      </c>
      <c r="Y67" s="28" t="s">
        <v>2132</v>
      </c>
      <c r="Z67" s="40" t="s">
        <v>1</v>
      </c>
      <c r="AA67" s="28" t="str">
        <f t="shared" si="7"/>
        <v>Urban allotment.</v>
      </c>
    </row>
    <row r="68" spans="1:27" ht="6.65" customHeight="1" x14ac:dyDescent="0.4">
      <c r="A68" s="77">
        <v>68</v>
      </c>
      <c r="B68" s="66" t="s">
        <v>2219</v>
      </c>
      <c r="C68" s="44" t="s">
        <v>1678</v>
      </c>
      <c r="D68" s="44" t="s">
        <v>1582</v>
      </c>
      <c r="E68" s="44" t="s">
        <v>1616</v>
      </c>
      <c r="F68" s="44" t="s">
        <v>676</v>
      </c>
      <c r="G68" s="80" t="s">
        <v>1</v>
      </c>
      <c r="H68" s="80" t="s">
        <v>1</v>
      </c>
      <c r="I68" s="80" t="s">
        <v>1</v>
      </c>
      <c r="J68" s="80" t="s">
        <v>1</v>
      </c>
      <c r="K68" s="80" t="s">
        <v>1</v>
      </c>
      <c r="L68" s="43" t="str">
        <f t="shared" si="8"/>
        <v>Planejamentos</v>
      </c>
      <c r="M68" s="43" t="str">
        <f t="shared" si="69"/>
        <v>Urbanísticos</v>
      </c>
      <c r="N68" s="43" t="str">
        <f t="shared" si="69"/>
        <v>Frações</v>
      </c>
      <c r="O68" s="43" t="str">
        <f t="shared" si="69"/>
        <v>Parcela</v>
      </c>
      <c r="P68" s="43" t="s">
        <v>1779</v>
      </c>
      <c r="Q68" s="43" t="s">
        <v>677</v>
      </c>
      <c r="R68" s="28" t="s">
        <v>1</v>
      </c>
      <c r="S68" s="28" t="str">
        <f t="shared" si="9"/>
        <v>Planejamentos</v>
      </c>
      <c r="T68" s="28" t="str">
        <f t="shared" si="10"/>
        <v>Urbanísticos</v>
      </c>
      <c r="U68" s="28" t="str">
        <f t="shared" si="11"/>
        <v>Frações</v>
      </c>
      <c r="V68" s="28" t="s">
        <v>2222</v>
      </c>
      <c r="W68" s="69" t="str">
        <f t="shared" si="70"/>
        <v>Key-INFRA-68</v>
      </c>
      <c r="X68" s="28" t="s">
        <v>2085</v>
      </c>
      <c r="Y68" s="28" t="s">
        <v>2132</v>
      </c>
      <c r="Z68" s="40" t="s">
        <v>1</v>
      </c>
      <c r="AA68" s="28" t="str">
        <f t="shared" si="7"/>
        <v>Urban parcel.</v>
      </c>
    </row>
    <row r="69" spans="1:27" ht="6.65" customHeight="1" x14ac:dyDescent="0.4">
      <c r="A69" s="77">
        <v>69</v>
      </c>
      <c r="B69" s="66" t="s">
        <v>2219</v>
      </c>
      <c r="C69" s="44" t="s">
        <v>1678</v>
      </c>
      <c r="D69" s="44" t="s">
        <v>1582</v>
      </c>
      <c r="E69" s="44" t="s">
        <v>1616</v>
      </c>
      <c r="F69" s="44" t="s">
        <v>678</v>
      </c>
      <c r="G69" s="80" t="s">
        <v>1</v>
      </c>
      <c r="H69" s="80" t="s">
        <v>1</v>
      </c>
      <c r="I69" s="80" t="s">
        <v>1</v>
      </c>
      <c r="J69" s="80" t="s">
        <v>1</v>
      </c>
      <c r="K69" s="80" t="s">
        <v>1</v>
      </c>
      <c r="L69" s="43" t="str">
        <f t="shared" si="8"/>
        <v>Planejamentos</v>
      </c>
      <c r="M69" s="43" t="str">
        <f t="shared" si="69"/>
        <v>Urbanísticos</v>
      </c>
      <c r="N69" s="43" t="str">
        <f t="shared" si="69"/>
        <v>Frações</v>
      </c>
      <c r="O69" s="43" t="str">
        <f t="shared" si="69"/>
        <v>Lote</v>
      </c>
      <c r="P69" s="43" t="s">
        <v>1780</v>
      </c>
      <c r="Q69" s="43" t="s">
        <v>679</v>
      </c>
      <c r="R69" s="28" t="s">
        <v>1</v>
      </c>
      <c r="S69" s="28" t="str">
        <f t="shared" si="9"/>
        <v>Planejamentos</v>
      </c>
      <c r="T69" s="28" t="str">
        <f t="shared" si="10"/>
        <v>Urbanísticos</v>
      </c>
      <c r="U69" s="28" t="str">
        <f t="shared" si="11"/>
        <v>Frações</v>
      </c>
      <c r="V69" s="28" t="s">
        <v>2222</v>
      </c>
      <c r="W69" s="69" t="str">
        <f t="shared" si="70"/>
        <v>Key-INFRA-69</v>
      </c>
      <c r="X69" s="28" t="s">
        <v>2085</v>
      </c>
      <c r="Y69" s="28" t="s">
        <v>2073</v>
      </c>
      <c r="Z69" s="40" t="s">
        <v>1</v>
      </c>
      <c r="AA69" s="28" t="str">
        <f t="shared" si="7"/>
        <v>Urban lot.</v>
      </c>
    </row>
    <row r="70" spans="1:27" ht="6.65" customHeight="1" x14ac:dyDescent="0.4">
      <c r="A70" s="77">
        <v>70</v>
      </c>
      <c r="B70" s="66" t="s">
        <v>2219</v>
      </c>
      <c r="C70" s="44" t="s">
        <v>1679</v>
      </c>
      <c r="D70" s="44" t="s">
        <v>1583</v>
      </c>
      <c r="E70" s="44" t="s">
        <v>1680</v>
      </c>
      <c r="F70" s="44" t="s">
        <v>57</v>
      </c>
      <c r="G70" s="80" t="s">
        <v>1</v>
      </c>
      <c r="H70" s="80" t="s">
        <v>1</v>
      </c>
      <c r="I70" s="80" t="s">
        <v>1</v>
      </c>
      <c r="J70" s="80" t="s">
        <v>1</v>
      </c>
      <c r="K70" s="80" t="str">
        <f>_xlfn.CONCAT("é.dentro.de some ",F69)</f>
        <v>é.dentro.de some Lote</v>
      </c>
      <c r="L70" s="43" t="str">
        <f t="shared" si="8"/>
        <v>Ocupações</v>
      </c>
      <c r="M70" s="43" t="str">
        <f t="shared" si="69"/>
        <v>Prediais</v>
      </c>
      <c r="N70" s="43" t="str">
        <f t="shared" si="69"/>
        <v>Construídas</v>
      </c>
      <c r="O70" s="43" t="str">
        <f t="shared" si="69"/>
        <v>Prédio</v>
      </c>
      <c r="P70" s="43" t="s">
        <v>1782</v>
      </c>
      <c r="Q70" s="43" t="s">
        <v>1941</v>
      </c>
      <c r="R70" s="28" t="s">
        <v>1</v>
      </c>
      <c r="S70" s="28" t="str">
        <f t="shared" si="9"/>
        <v>Ocupações</v>
      </c>
      <c r="T70" s="28" t="str">
        <f t="shared" si="10"/>
        <v>Prediais</v>
      </c>
      <c r="U70" s="28" t="str">
        <f t="shared" si="11"/>
        <v>Construídas</v>
      </c>
      <c r="V70" s="28" t="s">
        <v>2222</v>
      </c>
      <c r="W70" s="69" t="str">
        <f t="shared" si="70"/>
        <v>Key-INFRA-70</v>
      </c>
      <c r="X70" s="28" t="s">
        <v>2074</v>
      </c>
      <c r="Y70" s="28" t="s">
        <v>2073</v>
      </c>
      <c r="Z70" s="40" t="s">
        <v>1</v>
      </c>
      <c r="AA70" s="28" t="str">
        <f t="shared" si="7"/>
        <v>Building.</v>
      </c>
    </row>
    <row r="71" spans="1:27" ht="6.65" customHeight="1" x14ac:dyDescent="0.4">
      <c r="A71" s="77">
        <v>71</v>
      </c>
      <c r="B71" s="66" t="s">
        <v>2219</v>
      </c>
      <c r="C71" s="44" t="s">
        <v>1679</v>
      </c>
      <c r="D71" s="44" t="s">
        <v>1583</v>
      </c>
      <c r="E71" s="44" t="s">
        <v>1680</v>
      </c>
      <c r="F71" s="44" t="s">
        <v>680</v>
      </c>
      <c r="G71" s="80" t="s">
        <v>1</v>
      </c>
      <c r="H71" s="80" t="s">
        <v>1</v>
      </c>
      <c r="I71" s="80" t="s">
        <v>1</v>
      </c>
      <c r="J71" s="80" t="s">
        <v>1</v>
      </c>
      <c r="K71" s="80" t="str">
        <f>_xlfn.CONCAT("é.dentro.de some ",F69)</f>
        <v>é.dentro.de some Lote</v>
      </c>
      <c r="L71" s="43" t="str">
        <f t="shared" si="8"/>
        <v>Ocupações</v>
      </c>
      <c r="M71" s="43" t="str">
        <f t="shared" si="69"/>
        <v>Prediais</v>
      </c>
      <c r="N71" s="43" t="str">
        <f t="shared" si="69"/>
        <v>Construídas</v>
      </c>
      <c r="O71" s="43" t="str">
        <f t="shared" si="69"/>
        <v>Bloco</v>
      </c>
      <c r="P71" s="43" t="s">
        <v>1781</v>
      </c>
      <c r="Q71" s="43" t="s">
        <v>681</v>
      </c>
      <c r="R71" s="28" t="s">
        <v>1</v>
      </c>
      <c r="S71" s="28" t="str">
        <f t="shared" si="9"/>
        <v>Ocupações</v>
      </c>
      <c r="T71" s="28" t="str">
        <f t="shared" si="10"/>
        <v>Prediais</v>
      </c>
      <c r="U71" s="28" t="str">
        <f t="shared" si="11"/>
        <v>Construídas</v>
      </c>
      <c r="V71" s="28" t="s">
        <v>2222</v>
      </c>
      <c r="W71" s="69" t="str">
        <f t="shared" si="70"/>
        <v>Key-INFRA-71</v>
      </c>
      <c r="X71" s="28" t="s">
        <v>2074</v>
      </c>
      <c r="Y71" s="28" t="s">
        <v>2073</v>
      </c>
      <c r="Z71" s="40" t="s">
        <v>1</v>
      </c>
      <c r="AA71" s="28" t="str">
        <f t="shared" si="7"/>
        <v>Built block.</v>
      </c>
    </row>
    <row r="72" spans="1:27" ht="6.65" customHeight="1" x14ac:dyDescent="0.4">
      <c r="A72" s="77">
        <v>72</v>
      </c>
      <c r="B72" s="66" t="s">
        <v>2219</v>
      </c>
      <c r="C72" s="44" t="s">
        <v>1679</v>
      </c>
      <c r="D72" s="44" t="s">
        <v>1583</v>
      </c>
      <c r="E72" s="44" t="s">
        <v>1680</v>
      </c>
      <c r="F72" s="44" t="s">
        <v>682</v>
      </c>
      <c r="G72" s="80" t="s">
        <v>1</v>
      </c>
      <c r="H72" s="80" t="s">
        <v>1</v>
      </c>
      <c r="I72" s="80" t="s">
        <v>1</v>
      </c>
      <c r="J72" s="80" t="s">
        <v>1</v>
      </c>
      <c r="K72" s="80" t="str">
        <f>_xlfn.CONCAT("é.dentro.de some ",F69)</f>
        <v>é.dentro.de some Lote</v>
      </c>
      <c r="L72" s="43" t="str">
        <f t="shared" si="8"/>
        <v>Ocupações</v>
      </c>
      <c r="M72" s="43" t="str">
        <f t="shared" si="69"/>
        <v>Prediais</v>
      </c>
      <c r="N72" s="43" t="str">
        <f t="shared" si="69"/>
        <v>Construídas</v>
      </c>
      <c r="O72" s="43" t="str">
        <f t="shared" si="69"/>
        <v>Edifício</v>
      </c>
      <c r="P72" s="43" t="s">
        <v>1784</v>
      </c>
      <c r="Q72" s="43" t="s">
        <v>683</v>
      </c>
      <c r="R72" s="28" t="s">
        <v>1</v>
      </c>
      <c r="S72" s="28" t="str">
        <f t="shared" si="9"/>
        <v>Ocupações</v>
      </c>
      <c r="T72" s="28" t="str">
        <f t="shared" si="10"/>
        <v>Prediais</v>
      </c>
      <c r="U72" s="28" t="str">
        <f t="shared" si="11"/>
        <v>Construídas</v>
      </c>
      <c r="V72" s="28" t="s">
        <v>2222</v>
      </c>
      <c r="W72" s="69" t="str">
        <f t="shared" si="70"/>
        <v>Key-INFRA-72</v>
      </c>
      <c r="X72" s="28" t="s">
        <v>2074</v>
      </c>
      <c r="Y72" s="28" t="s">
        <v>2073</v>
      </c>
      <c r="Z72" s="40" t="s">
        <v>1</v>
      </c>
      <c r="AA72" s="28" t="str">
        <f t="shared" si="7"/>
        <v>Building.</v>
      </c>
    </row>
    <row r="73" spans="1:27" ht="6.65" customHeight="1" x14ac:dyDescent="0.4">
      <c r="A73" s="77">
        <v>73</v>
      </c>
      <c r="B73" s="66" t="s">
        <v>2219</v>
      </c>
      <c r="C73" s="44" t="s">
        <v>1679</v>
      </c>
      <c r="D73" s="44" t="s">
        <v>1583</v>
      </c>
      <c r="E73" s="44" t="s">
        <v>1680</v>
      </c>
      <c r="F73" s="44" t="s">
        <v>684</v>
      </c>
      <c r="G73" s="80" t="s">
        <v>1</v>
      </c>
      <c r="H73" s="80" t="s">
        <v>1</v>
      </c>
      <c r="I73" s="80" t="s">
        <v>1</v>
      </c>
      <c r="J73" s="80" t="s">
        <v>1</v>
      </c>
      <c r="K73" s="80" t="str">
        <f>_xlfn.CONCAT("é.dentro.de some ",F68)</f>
        <v>é.dentro.de some Parcela</v>
      </c>
      <c r="L73" s="43" t="str">
        <f t="shared" si="8"/>
        <v>Ocupações</v>
      </c>
      <c r="M73" s="43" t="str">
        <f t="shared" si="69"/>
        <v>Prediais</v>
      </c>
      <c r="N73" s="43" t="str">
        <f t="shared" si="69"/>
        <v>Construídas</v>
      </c>
      <c r="O73" s="43" t="str">
        <f t="shared" si="69"/>
        <v>Casa</v>
      </c>
      <c r="P73" s="43" t="s">
        <v>1787</v>
      </c>
      <c r="Q73" s="43" t="s">
        <v>684</v>
      </c>
      <c r="R73" s="28" t="s">
        <v>1</v>
      </c>
      <c r="S73" s="28" t="str">
        <f t="shared" si="9"/>
        <v>Ocupações</v>
      </c>
      <c r="T73" s="28" t="str">
        <f t="shared" si="10"/>
        <v>Prediais</v>
      </c>
      <c r="U73" s="28" t="str">
        <f t="shared" si="11"/>
        <v>Construídas</v>
      </c>
      <c r="V73" s="28" t="s">
        <v>2222</v>
      </c>
      <c r="W73" s="69" t="str">
        <f t="shared" si="70"/>
        <v>Key-INFRA-73</v>
      </c>
      <c r="X73" s="28" t="s">
        <v>2074</v>
      </c>
      <c r="Y73" s="28" t="s">
        <v>2073</v>
      </c>
      <c r="Z73" s="40" t="s">
        <v>1</v>
      </c>
      <c r="AA73" s="28" t="str">
        <f t="shared" ref="AA73:AA136" si="71">_xlfn.TRANSLATE(P73,"pt","en")</f>
        <v>Home.</v>
      </c>
    </row>
    <row r="74" spans="1:27" ht="6.65" customHeight="1" x14ac:dyDescent="0.4">
      <c r="A74" s="77">
        <v>74</v>
      </c>
      <c r="B74" s="66" t="s">
        <v>2219</v>
      </c>
      <c r="C74" s="44" t="s">
        <v>1679</v>
      </c>
      <c r="D74" s="44" t="s">
        <v>1583</v>
      </c>
      <c r="E74" s="44" t="s">
        <v>1680</v>
      </c>
      <c r="F74" s="44" t="s">
        <v>685</v>
      </c>
      <c r="G74" s="80" t="s">
        <v>1</v>
      </c>
      <c r="H74" s="80" t="s">
        <v>1</v>
      </c>
      <c r="I74" s="80" t="s">
        <v>1</v>
      </c>
      <c r="J74" s="80" t="s">
        <v>1</v>
      </c>
      <c r="K74" s="80" t="str">
        <f>_xlfn.CONCAT("é.dentro.de some ",F69)</f>
        <v>é.dentro.de some Lote</v>
      </c>
      <c r="L74" s="43" t="str">
        <f t="shared" si="8"/>
        <v>Ocupações</v>
      </c>
      <c r="M74" s="43" t="str">
        <f t="shared" si="69"/>
        <v>Prediais</v>
      </c>
      <c r="N74" s="43" t="str">
        <f t="shared" si="69"/>
        <v>Construídas</v>
      </c>
      <c r="O74" s="43" t="str">
        <f t="shared" si="69"/>
        <v>HIS</v>
      </c>
      <c r="P74" s="43" t="s">
        <v>1785</v>
      </c>
      <c r="Q74" s="43" t="s">
        <v>686</v>
      </c>
      <c r="R74" s="28" t="s">
        <v>1</v>
      </c>
      <c r="S74" s="28" t="str">
        <f t="shared" si="9"/>
        <v>Ocupações</v>
      </c>
      <c r="T74" s="28" t="str">
        <f t="shared" si="10"/>
        <v>Prediais</v>
      </c>
      <c r="U74" s="28" t="str">
        <f t="shared" si="11"/>
        <v>Construídas</v>
      </c>
      <c r="V74" s="28" t="s">
        <v>2222</v>
      </c>
      <c r="W74" s="69" t="str">
        <f t="shared" si="70"/>
        <v>Key-INFRA-74</v>
      </c>
      <c r="X74" s="28" t="s">
        <v>2074</v>
      </c>
      <c r="Y74" s="28" t="s">
        <v>2073</v>
      </c>
      <c r="Z74" s="40" t="s">
        <v>1</v>
      </c>
      <c r="AA74" s="28" t="str">
        <f t="shared" si="71"/>
        <v>Social Interest Housing.</v>
      </c>
    </row>
    <row r="75" spans="1:27" ht="6.65" customHeight="1" x14ac:dyDescent="0.4">
      <c r="A75" s="77">
        <v>75</v>
      </c>
      <c r="B75" s="66" t="s">
        <v>2219</v>
      </c>
      <c r="C75" s="44" t="s">
        <v>1679</v>
      </c>
      <c r="D75" s="44" t="s">
        <v>1583</v>
      </c>
      <c r="E75" s="44" t="s">
        <v>1680</v>
      </c>
      <c r="F75" s="44" t="s">
        <v>687</v>
      </c>
      <c r="G75" s="80" t="s">
        <v>1</v>
      </c>
      <c r="H75" s="80" t="s">
        <v>1</v>
      </c>
      <c r="I75" s="80" t="s">
        <v>1</v>
      </c>
      <c r="J75" s="80" t="s">
        <v>1</v>
      </c>
      <c r="K75" s="80" t="s">
        <v>688</v>
      </c>
      <c r="L75" s="43" t="str">
        <f t="shared" si="8"/>
        <v>Ocupações</v>
      </c>
      <c r="M75" s="43" t="str">
        <f t="shared" si="69"/>
        <v>Prediais</v>
      </c>
      <c r="N75" s="43" t="str">
        <f t="shared" si="69"/>
        <v>Construídas</v>
      </c>
      <c r="O75" s="43" t="str">
        <f t="shared" si="69"/>
        <v>Galpão</v>
      </c>
      <c r="P75" s="43" t="s">
        <v>1788</v>
      </c>
      <c r="Q75" s="43" t="s">
        <v>689</v>
      </c>
      <c r="R75" s="28" t="s">
        <v>1</v>
      </c>
      <c r="S75" s="28" t="str">
        <f t="shared" si="9"/>
        <v>Ocupações</v>
      </c>
      <c r="T75" s="28" t="str">
        <f t="shared" si="10"/>
        <v>Prediais</v>
      </c>
      <c r="U75" s="28" t="str">
        <f t="shared" si="11"/>
        <v>Construídas</v>
      </c>
      <c r="V75" s="28" t="s">
        <v>2222</v>
      </c>
      <c r="W75" s="69" t="str">
        <f t="shared" si="70"/>
        <v>Key-INFRA-75</v>
      </c>
      <c r="X75" s="28" t="s">
        <v>2074</v>
      </c>
      <c r="Y75" s="28" t="s">
        <v>2073</v>
      </c>
      <c r="Z75" s="40" t="s">
        <v>1</v>
      </c>
      <c r="AA75" s="28" t="str">
        <f t="shared" si="71"/>
        <v>Shed.</v>
      </c>
    </row>
    <row r="76" spans="1:27" ht="6.65" customHeight="1" x14ac:dyDescent="0.4">
      <c r="A76" s="77">
        <v>76</v>
      </c>
      <c r="B76" s="66" t="s">
        <v>2219</v>
      </c>
      <c r="C76" s="44" t="s">
        <v>1679</v>
      </c>
      <c r="D76" s="44" t="s">
        <v>1583</v>
      </c>
      <c r="E76" s="44" t="s">
        <v>1680</v>
      </c>
      <c r="F76" s="44" t="s">
        <v>690</v>
      </c>
      <c r="G76" s="80" t="s">
        <v>1</v>
      </c>
      <c r="H76" s="80" t="s">
        <v>1</v>
      </c>
      <c r="I76" s="80" t="s">
        <v>1</v>
      </c>
      <c r="J76" s="80" t="s">
        <v>1</v>
      </c>
      <c r="K76" s="80" t="s">
        <v>688</v>
      </c>
      <c r="L76" s="43" t="str">
        <f t="shared" si="8"/>
        <v>Ocupações</v>
      </c>
      <c r="M76" s="43" t="str">
        <f t="shared" ref="M76:O91" si="72">_xlfn.CONCAT(SUBSTITUTE(D76,"."," "))</f>
        <v>Prediais</v>
      </c>
      <c r="N76" s="43" t="str">
        <f t="shared" si="72"/>
        <v>Construídas</v>
      </c>
      <c r="O76" s="43" t="str">
        <f t="shared" si="72"/>
        <v>Edícula</v>
      </c>
      <c r="P76" s="43" t="s">
        <v>1786</v>
      </c>
      <c r="Q76" s="43" t="s">
        <v>690</v>
      </c>
      <c r="R76" s="28" t="s">
        <v>1</v>
      </c>
      <c r="S76" s="28" t="str">
        <f t="shared" si="9"/>
        <v>Ocupações</v>
      </c>
      <c r="T76" s="28" t="str">
        <f t="shared" si="10"/>
        <v>Prediais</v>
      </c>
      <c r="U76" s="28" t="str">
        <f t="shared" si="11"/>
        <v>Construídas</v>
      </c>
      <c r="V76" s="28" t="s">
        <v>2222</v>
      </c>
      <c r="W76" s="69" t="str">
        <f t="shared" si="70"/>
        <v>Key-INFRA-76</v>
      </c>
      <c r="X76" s="28" t="s">
        <v>2074</v>
      </c>
      <c r="Y76" s="28" t="s">
        <v>2132</v>
      </c>
      <c r="Z76" s="40" t="s">
        <v>1</v>
      </c>
      <c r="AA76" s="28" t="str">
        <f t="shared" si="71"/>
        <v>Edicule.</v>
      </c>
    </row>
    <row r="77" spans="1:27" ht="6.65" customHeight="1" x14ac:dyDescent="0.4">
      <c r="A77" s="77">
        <v>77</v>
      </c>
      <c r="B77" s="66" t="s">
        <v>2219</v>
      </c>
      <c r="C77" s="44" t="s">
        <v>1679</v>
      </c>
      <c r="D77" s="44" t="s">
        <v>1584</v>
      </c>
      <c r="E77" s="44" t="s">
        <v>1681</v>
      </c>
      <c r="F77" s="44" t="s">
        <v>691</v>
      </c>
      <c r="G77" s="80" t="s">
        <v>1</v>
      </c>
      <c r="H77" s="80" t="s">
        <v>1</v>
      </c>
      <c r="I77" s="80" t="str">
        <f>_xlfn.CONCAT("é.nomeado some ",D77)</f>
        <v>é.nomeado some Funcionais</v>
      </c>
      <c r="J77" s="80" t="s">
        <v>1</v>
      </c>
      <c r="K77" s="80" t="s">
        <v>692</v>
      </c>
      <c r="L77" s="43" t="str">
        <f t="shared" si="8"/>
        <v>Ocupações</v>
      </c>
      <c r="M77" s="43" t="str">
        <f t="shared" si="72"/>
        <v>Funcionais</v>
      </c>
      <c r="N77" s="43" t="str">
        <f t="shared" si="72"/>
        <v>Organizativas</v>
      </c>
      <c r="O77" s="43" t="str">
        <f t="shared" si="72"/>
        <v>Unidade</v>
      </c>
      <c r="P77" s="43" t="s">
        <v>1789</v>
      </c>
      <c r="Q77" s="43" t="s">
        <v>693</v>
      </c>
      <c r="R77" s="28" t="s">
        <v>1</v>
      </c>
      <c r="S77" s="28" t="str">
        <f t="shared" si="9"/>
        <v>Ocupações</v>
      </c>
      <c r="T77" s="28" t="str">
        <f t="shared" si="10"/>
        <v>Funcionais</v>
      </c>
      <c r="U77" s="28" t="str">
        <f t="shared" si="11"/>
        <v>Organizativas</v>
      </c>
      <c r="V77" s="28" t="s">
        <v>2222</v>
      </c>
      <c r="W77" s="69" t="str">
        <f t="shared" si="70"/>
        <v>Key-INFRA-77</v>
      </c>
      <c r="X77" s="28" t="s">
        <v>2074</v>
      </c>
      <c r="Y77" s="28" t="s">
        <v>2132</v>
      </c>
      <c r="Z77" s="40" t="s">
        <v>1</v>
      </c>
      <c r="AA77" s="28" t="str">
        <f t="shared" si="71"/>
        <v>Unity.</v>
      </c>
    </row>
    <row r="78" spans="1:27" ht="6.65" customHeight="1" x14ac:dyDescent="0.4">
      <c r="A78" s="77">
        <v>78</v>
      </c>
      <c r="B78" s="66" t="s">
        <v>2219</v>
      </c>
      <c r="C78" s="44" t="s">
        <v>1679</v>
      </c>
      <c r="D78" s="44" t="s">
        <v>1584</v>
      </c>
      <c r="E78" s="44" t="s">
        <v>1681</v>
      </c>
      <c r="F78" s="44" t="s">
        <v>1585</v>
      </c>
      <c r="G78" s="80" t="s">
        <v>1</v>
      </c>
      <c r="H78" s="80" t="s">
        <v>1</v>
      </c>
      <c r="I78" s="80" t="s">
        <v>1</v>
      </c>
      <c r="J78" s="80" t="s">
        <v>1</v>
      </c>
      <c r="K78" s="80" t="s">
        <v>692</v>
      </c>
      <c r="L78" s="43" t="str">
        <f t="shared" si="8"/>
        <v>Ocupações</v>
      </c>
      <c r="M78" s="43" t="str">
        <f t="shared" si="72"/>
        <v>Funcionais</v>
      </c>
      <c r="N78" s="43" t="str">
        <f t="shared" si="72"/>
        <v>Organizativas</v>
      </c>
      <c r="O78" s="43" t="str">
        <f t="shared" si="72"/>
        <v>Setor Urbano</v>
      </c>
      <c r="P78" s="43" t="s">
        <v>1794</v>
      </c>
      <c r="Q78" s="43" t="s">
        <v>694</v>
      </c>
      <c r="R78" s="28" t="s">
        <v>1</v>
      </c>
      <c r="S78" s="28" t="str">
        <f t="shared" si="9"/>
        <v>Ocupações</v>
      </c>
      <c r="T78" s="28" t="str">
        <f t="shared" si="10"/>
        <v>Funcionais</v>
      </c>
      <c r="U78" s="28" t="str">
        <f t="shared" si="11"/>
        <v>Organizativas</v>
      </c>
      <c r="V78" s="28" t="s">
        <v>2222</v>
      </c>
      <c r="W78" s="69" t="str">
        <f t="shared" si="70"/>
        <v>Key-INFRA-78</v>
      </c>
      <c r="X78" s="28" t="s">
        <v>2086</v>
      </c>
      <c r="Y78" s="28" t="s">
        <v>2132</v>
      </c>
      <c r="Z78" s="40" t="s">
        <v>1</v>
      </c>
      <c r="AA78" s="28" t="str">
        <f t="shared" si="71"/>
        <v>Sector.</v>
      </c>
    </row>
    <row r="79" spans="1:27" ht="6.65" customHeight="1" x14ac:dyDescent="0.4">
      <c r="A79" s="77">
        <v>79</v>
      </c>
      <c r="B79" s="66" t="s">
        <v>2219</v>
      </c>
      <c r="C79" s="44" t="s">
        <v>1679</v>
      </c>
      <c r="D79" s="44" t="s">
        <v>1584</v>
      </c>
      <c r="E79" s="44" t="s">
        <v>1681</v>
      </c>
      <c r="F79" s="44" t="s">
        <v>695</v>
      </c>
      <c r="G79" s="80" t="s">
        <v>1</v>
      </c>
      <c r="H79" s="80" t="s">
        <v>1</v>
      </c>
      <c r="I79" s="80" t="s">
        <v>1</v>
      </c>
      <c r="J79" s="80" t="s">
        <v>1</v>
      </c>
      <c r="K79" s="80" t="s">
        <v>692</v>
      </c>
      <c r="L79" s="43" t="str">
        <f t="shared" si="8"/>
        <v>Ocupações</v>
      </c>
      <c r="M79" s="43" t="str">
        <f t="shared" si="72"/>
        <v>Funcionais</v>
      </c>
      <c r="N79" s="43" t="str">
        <f t="shared" si="72"/>
        <v>Organizativas</v>
      </c>
      <c r="O79" s="43" t="str">
        <f t="shared" si="72"/>
        <v>Divisão</v>
      </c>
      <c r="P79" s="43" t="s">
        <v>1790</v>
      </c>
      <c r="Q79" s="43" t="s">
        <v>696</v>
      </c>
      <c r="R79" s="28" t="s">
        <v>1</v>
      </c>
      <c r="S79" s="28" t="str">
        <f t="shared" si="9"/>
        <v>Ocupações</v>
      </c>
      <c r="T79" s="28" t="str">
        <f t="shared" si="10"/>
        <v>Funcionais</v>
      </c>
      <c r="U79" s="28" t="str">
        <f t="shared" si="11"/>
        <v>Organizativas</v>
      </c>
      <c r="V79" s="28" t="s">
        <v>2222</v>
      </c>
      <c r="W79" s="69" t="str">
        <f t="shared" si="70"/>
        <v>Key-INFRA-79</v>
      </c>
      <c r="X79" s="28" t="s">
        <v>2086</v>
      </c>
      <c r="Y79" s="28" t="s">
        <v>2132</v>
      </c>
      <c r="Z79" s="40" t="s">
        <v>1</v>
      </c>
      <c r="AA79" s="28" t="str">
        <f t="shared" si="71"/>
        <v>Division.</v>
      </c>
    </row>
    <row r="80" spans="1:27" ht="6.65" customHeight="1" x14ac:dyDescent="0.4">
      <c r="A80" s="77">
        <v>80</v>
      </c>
      <c r="B80" s="66" t="s">
        <v>2219</v>
      </c>
      <c r="C80" s="44" t="s">
        <v>1679</v>
      </c>
      <c r="D80" s="44" t="s">
        <v>1584</v>
      </c>
      <c r="E80" s="44" t="s">
        <v>1681</v>
      </c>
      <c r="F80" s="44" t="s">
        <v>697</v>
      </c>
      <c r="G80" s="80" t="s">
        <v>1</v>
      </c>
      <c r="H80" s="80" t="s">
        <v>1</v>
      </c>
      <c r="I80" s="80" t="s">
        <v>1</v>
      </c>
      <c r="J80" s="80" t="s">
        <v>1</v>
      </c>
      <c r="K80" s="80" t="s">
        <v>692</v>
      </c>
      <c r="L80" s="43" t="str">
        <f t="shared" si="8"/>
        <v>Ocupações</v>
      </c>
      <c r="M80" s="43" t="str">
        <f t="shared" si="72"/>
        <v>Funcionais</v>
      </c>
      <c r="N80" s="43" t="str">
        <f t="shared" si="72"/>
        <v>Organizativas</v>
      </c>
      <c r="O80" s="43" t="str">
        <f t="shared" si="72"/>
        <v>Departamento</v>
      </c>
      <c r="P80" s="43" t="s">
        <v>697</v>
      </c>
      <c r="Q80" s="43" t="s">
        <v>697</v>
      </c>
      <c r="R80" s="28" t="s">
        <v>1</v>
      </c>
      <c r="S80" s="28" t="str">
        <f t="shared" si="9"/>
        <v>Ocupações</v>
      </c>
      <c r="T80" s="28" t="str">
        <f t="shared" si="10"/>
        <v>Funcionais</v>
      </c>
      <c r="U80" s="28" t="str">
        <f t="shared" si="11"/>
        <v>Organizativas</v>
      </c>
      <c r="V80" s="28" t="s">
        <v>2222</v>
      </c>
      <c r="W80" s="69" t="str">
        <f t="shared" si="70"/>
        <v>Key-INFRA-80</v>
      </c>
      <c r="X80" s="28" t="s">
        <v>2086</v>
      </c>
      <c r="Y80" s="28" t="s">
        <v>2133</v>
      </c>
      <c r="Z80" s="40" t="s">
        <v>1</v>
      </c>
      <c r="AA80" s="28" t="str">
        <f t="shared" si="71"/>
        <v>Department</v>
      </c>
    </row>
    <row r="81" spans="1:27" ht="6.65" customHeight="1" x14ac:dyDescent="0.4">
      <c r="A81" s="77">
        <v>81</v>
      </c>
      <c r="B81" s="66" t="s">
        <v>2219</v>
      </c>
      <c r="C81" s="44" t="s">
        <v>1679</v>
      </c>
      <c r="D81" s="44" t="s">
        <v>1584</v>
      </c>
      <c r="E81" s="44" t="s">
        <v>1586</v>
      </c>
      <c r="F81" s="44" t="s">
        <v>698</v>
      </c>
      <c r="G81" s="80" t="s">
        <v>1</v>
      </c>
      <c r="H81" s="80" t="s">
        <v>1</v>
      </c>
      <c r="I81" s="80" t="s">
        <v>1</v>
      </c>
      <c r="J81" s="80" t="s">
        <v>1</v>
      </c>
      <c r="K81" s="80" t="s">
        <v>692</v>
      </c>
      <c r="L81" s="43" t="str">
        <f t="shared" si="8"/>
        <v>Ocupações</v>
      </c>
      <c r="M81" s="43" t="str">
        <f t="shared" si="72"/>
        <v>Funcionais</v>
      </c>
      <c r="N81" s="43" t="str">
        <f t="shared" si="72"/>
        <v>Distribuição</v>
      </c>
      <c r="O81" s="43" t="str">
        <f t="shared" si="72"/>
        <v>Ambiente</v>
      </c>
      <c r="P81" s="43" t="s">
        <v>1791</v>
      </c>
      <c r="Q81" s="43" t="s">
        <v>698</v>
      </c>
      <c r="R81" s="28" t="s">
        <v>1</v>
      </c>
      <c r="S81" s="28" t="str">
        <f t="shared" si="9"/>
        <v>Ocupações</v>
      </c>
      <c r="T81" s="28" t="str">
        <f t="shared" si="10"/>
        <v>Funcionais</v>
      </c>
      <c r="U81" s="28" t="str">
        <f t="shared" si="11"/>
        <v>Distribuição</v>
      </c>
      <c r="V81" s="28" t="s">
        <v>2222</v>
      </c>
      <c r="W81" s="69" t="str">
        <f t="shared" si="70"/>
        <v>Key-INFRA-81</v>
      </c>
      <c r="X81" s="28" t="s">
        <v>2087</v>
      </c>
      <c r="Y81" s="28" t="s">
        <v>2132</v>
      </c>
      <c r="Z81" s="40" t="s">
        <v>1</v>
      </c>
      <c r="AA81" s="28" t="str">
        <f t="shared" si="71"/>
        <v>Environment.</v>
      </c>
    </row>
    <row r="82" spans="1:27" ht="6.65" customHeight="1" x14ac:dyDescent="0.4">
      <c r="A82" s="77">
        <v>82</v>
      </c>
      <c r="B82" s="66" t="s">
        <v>2219</v>
      </c>
      <c r="C82" s="44" t="s">
        <v>1679</v>
      </c>
      <c r="D82" s="44" t="s">
        <v>1584</v>
      </c>
      <c r="E82" s="44" t="s">
        <v>1586</v>
      </c>
      <c r="F82" s="44" t="s">
        <v>699</v>
      </c>
      <c r="G82" s="80" t="s">
        <v>1</v>
      </c>
      <c r="H82" s="80" t="s">
        <v>1</v>
      </c>
      <c r="I82" s="80" t="s">
        <v>1</v>
      </c>
      <c r="J82" s="80" t="s">
        <v>1</v>
      </c>
      <c r="K82" s="80" t="s">
        <v>692</v>
      </c>
      <c r="L82" s="43" t="str">
        <f t="shared" si="8"/>
        <v>Ocupações</v>
      </c>
      <c r="M82" s="43" t="str">
        <f t="shared" si="72"/>
        <v>Funcionais</v>
      </c>
      <c r="N82" s="43" t="str">
        <f t="shared" si="72"/>
        <v>Distribuição</v>
      </c>
      <c r="O82" s="43" t="str">
        <f t="shared" si="72"/>
        <v>Apartamento</v>
      </c>
      <c r="P82" s="43" t="s">
        <v>699</v>
      </c>
      <c r="Q82" s="43" t="s">
        <v>699</v>
      </c>
      <c r="R82" s="28" t="s">
        <v>1</v>
      </c>
      <c r="S82" s="28" t="str">
        <f t="shared" si="9"/>
        <v>Ocupações</v>
      </c>
      <c r="T82" s="28" t="str">
        <f t="shared" si="10"/>
        <v>Funcionais</v>
      </c>
      <c r="U82" s="28" t="str">
        <f t="shared" si="11"/>
        <v>Distribuição</v>
      </c>
      <c r="V82" s="28" t="s">
        <v>2222</v>
      </c>
      <c r="W82" s="69" t="str">
        <f t="shared" si="70"/>
        <v>Key-INFRA-82</v>
      </c>
      <c r="X82" s="28" t="s">
        <v>2086</v>
      </c>
      <c r="Y82" s="28" t="s">
        <v>2132</v>
      </c>
      <c r="Z82" s="40" t="s">
        <v>1</v>
      </c>
      <c r="AA82" s="28" t="str">
        <f t="shared" si="71"/>
        <v>Apartment</v>
      </c>
    </row>
    <row r="83" spans="1:27" ht="6.65" customHeight="1" x14ac:dyDescent="0.4">
      <c r="A83" s="77">
        <v>83</v>
      </c>
      <c r="B83" s="66" t="s">
        <v>2219</v>
      </c>
      <c r="C83" s="44" t="s">
        <v>1679</v>
      </c>
      <c r="D83" s="44" t="s">
        <v>1584</v>
      </c>
      <c r="E83" s="44" t="s">
        <v>1586</v>
      </c>
      <c r="F83" s="44" t="s">
        <v>700</v>
      </c>
      <c r="G83" s="80" t="s">
        <v>1</v>
      </c>
      <c r="H83" s="80" t="s">
        <v>1</v>
      </c>
      <c r="I83" s="80" t="s">
        <v>1</v>
      </c>
      <c r="J83" s="80" t="s">
        <v>1</v>
      </c>
      <c r="K83" s="80" t="s">
        <v>692</v>
      </c>
      <c r="L83" s="43" t="str">
        <f t="shared" si="8"/>
        <v>Ocupações</v>
      </c>
      <c r="M83" s="43" t="str">
        <f t="shared" si="72"/>
        <v>Funcionais</v>
      </c>
      <c r="N83" s="43" t="str">
        <f t="shared" si="72"/>
        <v>Distribuição</v>
      </c>
      <c r="O83" s="43" t="str">
        <f t="shared" si="72"/>
        <v>Núcleo de Circulação</v>
      </c>
      <c r="P83" s="43" t="s">
        <v>1792</v>
      </c>
      <c r="Q83" s="43" t="s">
        <v>701</v>
      </c>
      <c r="R83" s="28" t="s">
        <v>1</v>
      </c>
      <c r="S83" s="28" t="str">
        <f t="shared" si="9"/>
        <v>Ocupações</v>
      </c>
      <c r="T83" s="28" t="str">
        <f t="shared" si="10"/>
        <v>Funcionais</v>
      </c>
      <c r="U83" s="28" t="str">
        <f t="shared" si="11"/>
        <v>Distribuição</v>
      </c>
      <c r="V83" s="28" t="s">
        <v>2222</v>
      </c>
      <c r="W83" s="69" t="str">
        <f t="shared" si="70"/>
        <v>Key-INFRA-83</v>
      </c>
      <c r="X83" s="28" t="s">
        <v>2086</v>
      </c>
      <c r="Y83" s="28" t="s">
        <v>2134</v>
      </c>
      <c r="Z83" s="40" t="s">
        <v>1</v>
      </c>
      <c r="AA83" s="28" t="str">
        <f t="shared" si="71"/>
        <v>Circulation Center.</v>
      </c>
    </row>
    <row r="84" spans="1:27" ht="6.65" customHeight="1" x14ac:dyDescent="0.4">
      <c r="A84" s="77">
        <v>84</v>
      </c>
      <c r="B84" s="66" t="s">
        <v>2219</v>
      </c>
      <c r="C84" s="44" t="s">
        <v>1587</v>
      </c>
      <c r="D84" s="44" t="s">
        <v>1588</v>
      </c>
      <c r="E84" s="44" t="s">
        <v>702</v>
      </c>
      <c r="F84" s="44" t="s">
        <v>703</v>
      </c>
      <c r="G84" s="80" t="s">
        <v>1</v>
      </c>
      <c r="H84" s="80" t="s">
        <v>1</v>
      </c>
      <c r="I84" s="80" t="s">
        <v>1</v>
      </c>
      <c r="J84" s="80" t="s">
        <v>1</v>
      </c>
      <c r="K84" s="80" t="s">
        <v>1</v>
      </c>
      <c r="L84" s="43" t="str">
        <f t="shared" si="8"/>
        <v>Instituições.Públicas</v>
      </c>
      <c r="M84" s="43" t="str">
        <f t="shared" si="72"/>
        <v>Serviços</v>
      </c>
      <c r="N84" s="43" t="str">
        <f t="shared" si="72"/>
        <v>Saúde</v>
      </c>
      <c r="O84" s="43" t="str">
        <f t="shared" si="72"/>
        <v>Hospital Federal</v>
      </c>
      <c r="P84" s="43" t="s">
        <v>1795</v>
      </c>
      <c r="Q84" s="43" t="s">
        <v>704</v>
      </c>
      <c r="R84" s="28" t="s">
        <v>1</v>
      </c>
      <c r="S84" s="28" t="str">
        <f t="shared" si="9"/>
        <v>Instituições Públicas</v>
      </c>
      <c r="T84" s="28" t="str">
        <f t="shared" si="10"/>
        <v>Serviços</v>
      </c>
      <c r="U84" s="28" t="str">
        <f t="shared" si="11"/>
        <v>Saúde</v>
      </c>
      <c r="V84" s="28" t="s">
        <v>2222</v>
      </c>
      <c r="W84" s="69" t="str">
        <f t="shared" si="70"/>
        <v>Key-INFRA-84</v>
      </c>
      <c r="X84" s="28" t="s">
        <v>2088</v>
      </c>
      <c r="Y84" s="28" t="s">
        <v>2134</v>
      </c>
      <c r="Z84" s="40" t="s">
        <v>1</v>
      </c>
      <c r="AA84" s="28" t="str">
        <f t="shared" si="71"/>
        <v>National Hospital.</v>
      </c>
    </row>
    <row r="85" spans="1:27" ht="6.65" customHeight="1" x14ac:dyDescent="0.4">
      <c r="A85" s="77">
        <v>85</v>
      </c>
      <c r="B85" s="66" t="s">
        <v>2219</v>
      </c>
      <c r="C85" s="44" t="s">
        <v>1587</v>
      </c>
      <c r="D85" s="44" t="s">
        <v>1588</v>
      </c>
      <c r="E85" s="44" t="s">
        <v>702</v>
      </c>
      <c r="F85" s="44" t="s">
        <v>705</v>
      </c>
      <c r="G85" s="80" t="s">
        <v>1</v>
      </c>
      <c r="H85" s="80" t="s">
        <v>1</v>
      </c>
      <c r="I85" s="80" t="s">
        <v>1</v>
      </c>
      <c r="J85" s="80" t="s">
        <v>1</v>
      </c>
      <c r="K85" s="80" t="s">
        <v>1</v>
      </c>
      <c r="L85" s="43" t="str">
        <f t="shared" si="8"/>
        <v>Instituições.Públicas</v>
      </c>
      <c r="M85" s="43" t="str">
        <f t="shared" si="72"/>
        <v>Serviços</v>
      </c>
      <c r="N85" s="43" t="str">
        <f t="shared" si="72"/>
        <v>Saúde</v>
      </c>
      <c r="O85" s="43" t="str">
        <f t="shared" si="72"/>
        <v>Hospital Estadual</v>
      </c>
      <c r="P85" s="43" t="s">
        <v>1793</v>
      </c>
      <c r="Q85" s="43" t="s">
        <v>706</v>
      </c>
      <c r="R85" s="28" t="s">
        <v>1</v>
      </c>
      <c r="S85" s="28" t="str">
        <f t="shared" si="9"/>
        <v>Instituições Públicas</v>
      </c>
      <c r="T85" s="28" t="str">
        <f t="shared" si="10"/>
        <v>Serviços</v>
      </c>
      <c r="U85" s="28" t="str">
        <f t="shared" si="11"/>
        <v>Saúde</v>
      </c>
      <c r="V85" s="28" t="s">
        <v>2222</v>
      </c>
      <c r="W85" s="69" t="str">
        <f t="shared" si="70"/>
        <v>Key-INFRA-85</v>
      </c>
      <c r="X85" s="28" t="s">
        <v>2088</v>
      </c>
      <c r="Y85" s="28" t="s">
        <v>2134</v>
      </c>
      <c r="Z85" s="40" t="s">
        <v>1</v>
      </c>
      <c r="AA85" s="28" t="str">
        <f t="shared" si="71"/>
        <v>State Hospital.</v>
      </c>
    </row>
    <row r="86" spans="1:27" ht="6.65" customHeight="1" x14ac:dyDescent="0.4">
      <c r="A86" s="77">
        <v>86</v>
      </c>
      <c r="B86" s="66" t="s">
        <v>2219</v>
      </c>
      <c r="C86" s="44" t="s">
        <v>1587</v>
      </c>
      <c r="D86" s="44" t="s">
        <v>1588</v>
      </c>
      <c r="E86" s="44" t="s">
        <v>702</v>
      </c>
      <c r="F86" s="44" t="s">
        <v>707</v>
      </c>
      <c r="G86" s="80" t="s">
        <v>1</v>
      </c>
      <c r="H86" s="80" t="s">
        <v>1</v>
      </c>
      <c r="I86" s="80" t="s">
        <v>1</v>
      </c>
      <c r="J86" s="80" t="s">
        <v>1</v>
      </c>
      <c r="K86" s="80" t="s">
        <v>1</v>
      </c>
      <c r="L86" s="43" t="str">
        <f t="shared" si="8"/>
        <v>Instituições.Públicas</v>
      </c>
      <c r="M86" s="43" t="str">
        <f t="shared" si="72"/>
        <v>Serviços</v>
      </c>
      <c r="N86" s="43" t="str">
        <f t="shared" si="72"/>
        <v>Saúde</v>
      </c>
      <c r="O86" s="43" t="str">
        <f t="shared" si="72"/>
        <v>Hospital Municipal</v>
      </c>
      <c r="P86" s="43" t="s">
        <v>1797</v>
      </c>
      <c r="Q86" s="43" t="s">
        <v>708</v>
      </c>
      <c r="R86" s="28" t="s">
        <v>1</v>
      </c>
      <c r="S86" s="28" t="str">
        <f t="shared" si="9"/>
        <v>Instituições Públicas</v>
      </c>
      <c r="T86" s="28" t="str">
        <f t="shared" si="10"/>
        <v>Serviços</v>
      </c>
      <c r="U86" s="28" t="str">
        <f t="shared" si="11"/>
        <v>Saúde</v>
      </c>
      <c r="V86" s="28" t="s">
        <v>2222</v>
      </c>
      <c r="W86" s="69" t="str">
        <f t="shared" si="70"/>
        <v>Key-INFRA-86</v>
      </c>
      <c r="X86" s="28" t="s">
        <v>2088</v>
      </c>
      <c r="Y86" s="28" t="s">
        <v>2134</v>
      </c>
      <c r="Z86" s="40" t="s">
        <v>1</v>
      </c>
      <c r="AA86" s="28" t="str">
        <f t="shared" si="71"/>
        <v>Municipal Hospital.</v>
      </c>
    </row>
    <row r="87" spans="1:27" ht="6.65" customHeight="1" x14ac:dyDescent="0.4">
      <c r="A87" s="77">
        <v>87</v>
      </c>
      <c r="B87" s="66" t="s">
        <v>2219</v>
      </c>
      <c r="C87" s="44" t="s">
        <v>1587</v>
      </c>
      <c r="D87" s="44" t="s">
        <v>1588</v>
      </c>
      <c r="E87" s="44" t="s">
        <v>702</v>
      </c>
      <c r="F87" s="44" t="s">
        <v>709</v>
      </c>
      <c r="G87" s="80" t="s">
        <v>1</v>
      </c>
      <c r="H87" s="80" t="s">
        <v>1</v>
      </c>
      <c r="I87" s="80" t="s">
        <v>1</v>
      </c>
      <c r="J87" s="80" t="s">
        <v>1</v>
      </c>
      <c r="K87" s="80" t="s">
        <v>1</v>
      </c>
      <c r="L87" s="43" t="str">
        <f t="shared" si="8"/>
        <v>Instituições.Públicas</v>
      </c>
      <c r="M87" s="43" t="str">
        <f t="shared" si="72"/>
        <v>Serviços</v>
      </c>
      <c r="N87" s="43" t="str">
        <f t="shared" si="72"/>
        <v>Saúde</v>
      </c>
      <c r="O87" s="43" t="str">
        <f t="shared" si="72"/>
        <v>UBS</v>
      </c>
      <c r="P87" s="43" t="s">
        <v>710</v>
      </c>
      <c r="Q87" s="43" t="s">
        <v>711</v>
      </c>
      <c r="R87" s="28" t="s">
        <v>1</v>
      </c>
      <c r="S87" s="28" t="str">
        <f t="shared" si="9"/>
        <v>Instituições Públicas</v>
      </c>
      <c r="T87" s="28" t="str">
        <f t="shared" si="10"/>
        <v>Serviços</v>
      </c>
      <c r="U87" s="28" t="str">
        <f t="shared" si="11"/>
        <v>Saúde</v>
      </c>
      <c r="V87" s="28" t="s">
        <v>2222</v>
      </c>
      <c r="W87" s="69" t="str">
        <f t="shared" si="70"/>
        <v>Key-INFRA-87</v>
      </c>
      <c r="X87" s="28" t="s">
        <v>2088</v>
      </c>
      <c r="Y87" s="28" t="s">
        <v>2134</v>
      </c>
      <c r="Z87" s="40" t="s">
        <v>1</v>
      </c>
      <c r="AA87" s="28" t="str">
        <f t="shared" si="71"/>
        <v>UBS Basic Health Unit. Primary and preventive health care offered by the SUS.</v>
      </c>
    </row>
    <row r="88" spans="1:27" ht="6.65" customHeight="1" x14ac:dyDescent="0.4">
      <c r="A88" s="77">
        <v>88</v>
      </c>
      <c r="B88" s="66" t="s">
        <v>2219</v>
      </c>
      <c r="C88" s="44" t="s">
        <v>1587</v>
      </c>
      <c r="D88" s="44" t="s">
        <v>1588</v>
      </c>
      <c r="E88" s="44" t="s">
        <v>702</v>
      </c>
      <c r="F88" s="44" t="s">
        <v>712</v>
      </c>
      <c r="G88" s="80" t="s">
        <v>1</v>
      </c>
      <c r="H88" s="80" t="s">
        <v>1</v>
      </c>
      <c r="I88" s="80" t="s">
        <v>1</v>
      </c>
      <c r="J88" s="80" t="s">
        <v>1</v>
      </c>
      <c r="K88" s="80" t="s">
        <v>1</v>
      </c>
      <c r="L88" s="43" t="str">
        <f t="shared" si="8"/>
        <v>Instituições.Públicas</v>
      </c>
      <c r="M88" s="43" t="str">
        <f t="shared" si="72"/>
        <v>Serviços</v>
      </c>
      <c r="N88" s="43" t="str">
        <f t="shared" si="72"/>
        <v>Saúde</v>
      </c>
      <c r="O88" s="43" t="str">
        <f t="shared" si="72"/>
        <v>UPA</v>
      </c>
      <c r="P88" s="43" t="s">
        <v>713</v>
      </c>
      <c r="Q88" s="43" t="s">
        <v>714</v>
      </c>
      <c r="R88" s="28" t="s">
        <v>1</v>
      </c>
      <c r="S88" s="28" t="str">
        <f t="shared" si="9"/>
        <v>Instituições Públicas</v>
      </c>
      <c r="T88" s="28" t="str">
        <f t="shared" si="10"/>
        <v>Serviços</v>
      </c>
      <c r="U88" s="28" t="str">
        <f t="shared" si="11"/>
        <v>Saúde</v>
      </c>
      <c r="V88" s="28" t="s">
        <v>2222</v>
      </c>
      <c r="W88" s="69" t="str">
        <f t="shared" si="70"/>
        <v>Key-INFRA-88</v>
      </c>
      <c r="X88" s="28" t="s">
        <v>2088</v>
      </c>
      <c r="Y88" s="28" t="s">
        <v>2134</v>
      </c>
      <c r="Z88" s="40" t="s">
        <v>1</v>
      </c>
      <c r="AA88" s="28" t="str">
        <f t="shared" si="71"/>
        <v>UPA Emergency Health Care Unit. Urgencies and emergencies 24x7.</v>
      </c>
    </row>
    <row r="89" spans="1:27" ht="6.65" customHeight="1" x14ac:dyDescent="0.4">
      <c r="A89" s="77">
        <v>89</v>
      </c>
      <c r="B89" s="66" t="s">
        <v>2219</v>
      </c>
      <c r="C89" s="44" t="s">
        <v>1587</v>
      </c>
      <c r="D89" s="44" t="s">
        <v>1588</v>
      </c>
      <c r="E89" s="44" t="s">
        <v>1589</v>
      </c>
      <c r="F89" s="44" t="s">
        <v>715</v>
      </c>
      <c r="G89" s="80" t="s">
        <v>1</v>
      </c>
      <c r="H89" s="80" t="s">
        <v>1</v>
      </c>
      <c r="I89" s="80" t="s">
        <v>1</v>
      </c>
      <c r="J89" s="80" t="s">
        <v>1</v>
      </c>
      <c r="K89" s="80" t="s">
        <v>1</v>
      </c>
      <c r="L89" s="43" t="str">
        <f t="shared" si="8"/>
        <v>Instituições.Públicas</v>
      </c>
      <c r="M89" s="43" t="str">
        <f t="shared" si="72"/>
        <v>Serviços</v>
      </c>
      <c r="N89" s="43" t="str">
        <f t="shared" si="72"/>
        <v>Educacionais</v>
      </c>
      <c r="O89" s="43" t="str">
        <f t="shared" si="72"/>
        <v>Universidade Federal</v>
      </c>
      <c r="P89" s="43" t="s">
        <v>1796</v>
      </c>
      <c r="Q89" s="43" t="s">
        <v>716</v>
      </c>
      <c r="R89" s="28" t="s">
        <v>1</v>
      </c>
      <c r="S89" s="28" t="str">
        <f t="shared" si="9"/>
        <v>Instituições Públicas</v>
      </c>
      <c r="T89" s="28" t="str">
        <f t="shared" si="10"/>
        <v>Serviços</v>
      </c>
      <c r="U89" s="28" t="str">
        <f t="shared" si="11"/>
        <v>Educacionais</v>
      </c>
      <c r="V89" s="28" t="s">
        <v>2222</v>
      </c>
      <c r="W89" s="69" t="str">
        <f t="shared" si="70"/>
        <v>Key-INFRA-89</v>
      </c>
      <c r="X89" s="28" t="s">
        <v>2088</v>
      </c>
      <c r="Y89" s="28" t="s">
        <v>2134</v>
      </c>
      <c r="Z89" s="40" t="s">
        <v>1</v>
      </c>
      <c r="AA89" s="28" t="str">
        <f t="shared" si="71"/>
        <v>Federal University.</v>
      </c>
    </row>
    <row r="90" spans="1:27" ht="6.65" customHeight="1" x14ac:dyDescent="0.4">
      <c r="A90" s="77">
        <v>90</v>
      </c>
      <c r="B90" s="66" t="s">
        <v>2219</v>
      </c>
      <c r="C90" s="44" t="s">
        <v>1587</v>
      </c>
      <c r="D90" s="44" t="s">
        <v>1588</v>
      </c>
      <c r="E90" s="44" t="s">
        <v>1589</v>
      </c>
      <c r="F90" s="44" t="s">
        <v>717</v>
      </c>
      <c r="G90" s="80" t="s">
        <v>1</v>
      </c>
      <c r="H90" s="80" t="s">
        <v>1</v>
      </c>
      <c r="I90" s="80" t="s">
        <v>1</v>
      </c>
      <c r="J90" s="80" t="s">
        <v>1</v>
      </c>
      <c r="K90" s="80" t="s">
        <v>1</v>
      </c>
      <c r="L90" s="43" t="str">
        <f t="shared" si="8"/>
        <v>Instituições.Públicas</v>
      </c>
      <c r="M90" s="43" t="str">
        <f t="shared" si="72"/>
        <v>Serviços</v>
      </c>
      <c r="N90" s="43" t="str">
        <f t="shared" si="72"/>
        <v>Educacionais</v>
      </c>
      <c r="O90" s="43" t="str">
        <f t="shared" si="72"/>
        <v>Universidade Estadual</v>
      </c>
      <c r="P90" s="43" t="s">
        <v>1798</v>
      </c>
      <c r="Q90" s="43" t="s">
        <v>718</v>
      </c>
      <c r="R90" s="28" t="s">
        <v>1</v>
      </c>
      <c r="S90" s="28" t="str">
        <f t="shared" si="9"/>
        <v>Instituições Públicas</v>
      </c>
      <c r="T90" s="28" t="str">
        <f t="shared" si="10"/>
        <v>Serviços</v>
      </c>
      <c r="U90" s="28" t="str">
        <f t="shared" si="11"/>
        <v>Educacionais</v>
      </c>
      <c r="V90" s="28" t="s">
        <v>2222</v>
      </c>
      <c r="W90" s="69" t="str">
        <f t="shared" si="70"/>
        <v>Key-INFRA-90</v>
      </c>
      <c r="X90" s="28" t="s">
        <v>2088</v>
      </c>
      <c r="Y90" s="28" t="s">
        <v>2134</v>
      </c>
      <c r="Z90" s="40" t="s">
        <v>1</v>
      </c>
      <c r="AA90" s="28" t="str">
        <f t="shared" si="71"/>
        <v>State University.</v>
      </c>
    </row>
    <row r="91" spans="1:27" ht="6.65" customHeight="1" x14ac:dyDescent="0.4">
      <c r="A91" s="77">
        <v>91</v>
      </c>
      <c r="B91" s="66" t="s">
        <v>2219</v>
      </c>
      <c r="C91" s="44" t="s">
        <v>1587</v>
      </c>
      <c r="D91" s="44" t="s">
        <v>1588</v>
      </c>
      <c r="E91" s="44" t="s">
        <v>1589</v>
      </c>
      <c r="F91" s="44" t="s">
        <v>719</v>
      </c>
      <c r="G91" s="80" t="s">
        <v>1</v>
      </c>
      <c r="H91" s="80" t="s">
        <v>1</v>
      </c>
      <c r="I91" s="80" t="s">
        <v>1</v>
      </c>
      <c r="J91" s="80" t="s">
        <v>1</v>
      </c>
      <c r="K91" s="80" t="s">
        <v>1</v>
      </c>
      <c r="L91" s="43" t="str">
        <f t="shared" si="8"/>
        <v>Instituições.Públicas</v>
      </c>
      <c r="M91" s="43" t="str">
        <f t="shared" si="72"/>
        <v>Serviços</v>
      </c>
      <c r="N91" s="43" t="str">
        <f t="shared" si="72"/>
        <v>Educacionais</v>
      </c>
      <c r="O91" s="43" t="str">
        <f t="shared" si="72"/>
        <v>Escola Estadual</v>
      </c>
      <c r="P91" s="43" t="s">
        <v>1800</v>
      </c>
      <c r="Q91" s="43" t="s">
        <v>720</v>
      </c>
      <c r="R91" s="28" t="s">
        <v>1</v>
      </c>
      <c r="S91" s="28" t="str">
        <f t="shared" si="9"/>
        <v>Instituições Públicas</v>
      </c>
      <c r="T91" s="28" t="str">
        <f t="shared" si="10"/>
        <v>Serviços</v>
      </c>
      <c r="U91" s="28" t="str">
        <f t="shared" si="11"/>
        <v>Educacionais</v>
      </c>
      <c r="V91" s="28" t="s">
        <v>2222</v>
      </c>
      <c r="W91" s="69" t="str">
        <f t="shared" si="70"/>
        <v>Key-INFRA-91</v>
      </c>
      <c r="X91" s="28" t="s">
        <v>2088</v>
      </c>
      <c r="Y91" s="28" t="s">
        <v>2134</v>
      </c>
      <c r="Z91" s="40" t="s">
        <v>1</v>
      </c>
      <c r="AA91" s="28" t="str">
        <f t="shared" si="71"/>
        <v>State School.</v>
      </c>
    </row>
    <row r="92" spans="1:27" ht="6.65" customHeight="1" x14ac:dyDescent="0.4">
      <c r="A92" s="77">
        <v>92</v>
      </c>
      <c r="B92" s="66" t="s">
        <v>2219</v>
      </c>
      <c r="C92" s="44" t="s">
        <v>1587</v>
      </c>
      <c r="D92" s="44" t="s">
        <v>1588</v>
      </c>
      <c r="E92" s="44" t="s">
        <v>1589</v>
      </c>
      <c r="F92" s="44" t="s">
        <v>721</v>
      </c>
      <c r="G92" s="80" t="s">
        <v>1</v>
      </c>
      <c r="H92" s="80" t="s">
        <v>1</v>
      </c>
      <c r="I92" s="80" t="s">
        <v>1</v>
      </c>
      <c r="J92" s="80" t="s">
        <v>1</v>
      </c>
      <c r="K92" s="80" t="s">
        <v>1</v>
      </c>
      <c r="L92" s="43" t="str">
        <f t="shared" ref="L92:L93" si="73">_xlfn.CONCAT(SUBSTITUTE(C92,"1.",""))</f>
        <v>Instituições.Públicas</v>
      </c>
      <c r="M92" s="43" t="str">
        <f t="shared" ref="M92:M93" si="74">_xlfn.CONCAT(SUBSTITUTE(D92,"."," "))</f>
        <v>Serviços</v>
      </c>
      <c r="N92" s="43" t="str">
        <f t="shared" ref="N92:N93" si="75">_xlfn.CONCAT(SUBSTITUTE(E92,"."," "))</f>
        <v>Educacionais</v>
      </c>
      <c r="O92" s="43" t="str">
        <f t="shared" ref="O92:O93" si="76">_xlfn.CONCAT(SUBSTITUTE(F92,"."," "))</f>
        <v>Escola Municipal</v>
      </c>
      <c r="P92" s="43" t="s">
        <v>1799</v>
      </c>
      <c r="Q92" s="43" t="s">
        <v>722</v>
      </c>
      <c r="R92" s="28" t="s">
        <v>1</v>
      </c>
      <c r="S92" s="28" t="str">
        <f t="shared" ref="S92:S93" si="77">SUBSTITUTE(C92, ".", " ")</f>
        <v>Instituições Públicas</v>
      </c>
      <c r="T92" s="28" t="str">
        <f t="shared" ref="T92:T93" si="78">SUBSTITUTE(D92, ".", " ")</f>
        <v>Serviços</v>
      </c>
      <c r="U92" s="28" t="str">
        <f t="shared" ref="U92:U93" si="79">SUBSTITUTE(E92, ".", " ")</f>
        <v>Educacionais</v>
      </c>
      <c r="V92" s="28" t="s">
        <v>2222</v>
      </c>
      <c r="W92" s="69" t="str">
        <f t="shared" si="70"/>
        <v>Key-INFRA-92</v>
      </c>
      <c r="X92" s="28" t="s">
        <v>2088</v>
      </c>
      <c r="Y92" s="28" t="s">
        <v>2134</v>
      </c>
      <c r="Z92" s="40" t="s">
        <v>1</v>
      </c>
      <c r="AA92" s="28" t="str">
        <f t="shared" si="71"/>
        <v>Municipal School.</v>
      </c>
    </row>
    <row r="93" spans="1:27" ht="6.65" customHeight="1" x14ac:dyDescent="0.4">
      <c r="A93" s="77">
        <v>93</v>
      </c>
      <c r="B93" s="66" t="s">
        <v>2219</v>
      </c>
      <c r="C93" s="44" t="s">
        <v>1587</v>
      </c>
      <c r="D93" s="44" t="s">
        <v>1588</v>
      </c>
      <c r="E93" s="44" t="s">
        <v>1589</v>
      </c>
      <c r="F93" s="44" t="s">
        <v>1977</v>
      </c>
      <c r="G93" s="80" t="s">
        <v>1</v>
      </c>
      <c r="H93" s="80" t="s">
        <v>1</v>
      </c>
      <c r="I93" s="80" t="s">
        <v>1</v>
      </c>
      <c r="J93" s="80" t="s">
        <v>1</v>
      </c>
      <c r="K93" s="80" t="s">
        <v>1</v>
      </c>
      <c r="L93" s="43" t="str">
        <f t="shared" si="73"/>
        <v>Instituições.Públicas</v>
      </c>
      <c r="M93" s="43" t="str">
        <f t="shared" si="74"/>
        <v>Serviços</v>
      </c>
      <c r="N93" s="43" t="str">
        <f t="shared" si="75"/>
        <v>Educacionais</v>
      </c>
      <c r="O93" s="43" t="str">
        <f t="shared" si="76"/>
        <v>Colégio de Aplicação</v>
      </c>
      <c r="P93" s="43" t="s">
        <v>1976</v>
      </c>
      <c r="Q93" s="43" t="s">
        <v>1978</v>
      </c>
      <c r="R93" s="28" t="s">
        <v>1</v>
      </c>
      <c r="S93" s="28" t="str">
        <f t="shared" si="77"/>
        <v>Instituições Públicas</v>
      </c>
      <c r="T93" s="28" t="str">
        <f t="shared" si="78"/>
        <v>Serviços</v>
      </c>
      <c r="U93" s="28" t="str">
        <f t="shared" si="79"/>
        <v>Educacionais</v>
      </c>
      <c r="V93" s="28" t="s">
        <v>2222</v>
      </c>
      <c r="W93" s="69" t="str">
        <f t="shared" si="70"/>
        <v>Key-INFRA-93</v>
      </c>
      <c r="X93" s="28" t="s">
        <v>2088</v>
      </c>
      <c r="Y93" s="28" t="s">
        <v>2134</v>
      </c>
      <c r="Z93" s="40" t="s">
        <v>1</v>
      </c>
      <c r="AA93" s="28" t="str">
        <f t="shared" si="71"/>
        <v>The application colleges are educational institutions linked to universities, with the mission of integrating theory and practice in the training of students and teachers.</v>
      </c>
    </row>
    <row r="94" spans="1:27" ht="6.65" customHeight="1" x14ac:dyDescent="0.4">
      <c r="A94" s="77">
        <v>94</v>
      </c>
      <c r="B94" s="66" t="s">
        <v>2219</v>
      </c>
      <c r="C94" s="44" t="s">
        <v>1587</v>
      </c>
      <c r="D94" s="44" t="s">
        <v>1588</v>
      </c>
      <c r="E94" s="44" t="s">
        <v>1589</v>
      </c>
      <c r="F94" s="44" t="s">
        <v>1979</v>
      </c>
      <c r="G94" s="80" t="s">
        <v>1</v>
      </c>
      <c r="H94" s="80" t="s">
        <v>1</v>
      </c>
      <c r="I94" s="80" t="s">
        <v>1</v>
      </c>
      <c r="J94" s="80" t="s">
        <v>1</v>
      </c>
      <c r="K94" s="80" t="s">
        <v>1</v>
      </c>
      <c r="L94" s="43" t="str">
        <f t="shared" si="8"/>
        <v>Instituições.Públicas</v>
      </c>
      <c r="M94" s="43" t="str">
        <f t="shared" ref="M94:O100" si="80">_xlfn.CONCAT(SUBSTITUTE(D94,"."," "))</f>
        <v>Serviços</v>
      </c>
      <c r="N94" s="43" t="str">
        <f t="shared" si="80"/>
        <v>Educacionais</v>
      </c>
      <c r="O94" s="43" t="str">
        <f t="shared" si="80"/>
        <v>Instituiçao de Ensino Militar</v>
      </c>
      <c r="P94" s="43" t="s">
        <v>1980</v>
      </c>
      <c r="Q94" s="43" t="s">
        <v>1981</v>
      </c>
      <c r="R94" s="28" t="s">
        <v>1</v>
      </c>
      <c r="S94" s="28" t="str">
        <f t="shared" si="9"/>
        <v>Instituições Públicas</v>
      </c>
      <c r="T94" s="28" t="str">
        <f t="shared" si="10"/>
        <v>Serviços</v>
      </c>
      <c r="U94" s="28" t="str">
        <f t="shared" si="11"/>
        <v>Educacionais</v>
      </c>
      <c r="V94" s="28" t="s">
        <v>2222</v>
      </c>
      <c r="W94" s="69" t="str">
        <f t="shared" si="70"/>
        <v>Key-INFRA-94</v>
      </c>
      <c r="X94" s="28" t="s">
        <v>2088</v>
      </c>
      <c r="Y94" s="28" t="s">
        <v>2128</v>
      </c>
      <c r="Z94" s="40" t="s">
        <v>1</v>
      </c>
      <c r="AA94" s="28" t="str">
        <f t="shared" si="71"/>
        <v>Military education institutions include military elementary and secondary education colleges as well as the vocational schools of the Armed Forces.</v>
      </c>
    </row>
    <row r="95" spans="1:27" ht="6.65" customHeight="1" x14ac:dyDescent="0.4">
      <c r="A95" s="77">
        <v>95</v>
      </c>
      <c r="B95" s="66" t="s">
        <v>2219</v>
      </c>
      <c r="C95" s="44" t="s">
        <v>1587</v>
      </c>
      <c r="D95" s="44" t="s">
        <v>1588</v>
      </c>
      <c r="E95" s="44" t="s">
        <v>723</v>
      </c>
      <c r="F95" s="44" t="s">
        <v>724</v>
      </c>
      <c r="G95" s="80" t="s">
        <v>1</v>
      </c>
      <c r="H95" s="80" t="s">
        <v>1</v>
      </c>
      <c r="I95" s="80" t="s">
        <v>1</v>
      </c>
      <c r="J95" s="80" t="s">
        <v>1</v>
      </c>
      <c r="K95" s="80" t="s">
        <v>1</v>
      </c>
      <c r="L95" s="43" t="str">
        <f t="shared" si="8"/>
        <v>Instituições.Públicas</v>
      </c>
      <c r="M95" s="43" t="str">
        <f t="shared" si="80"/>
        <v>Serviços</v>
      </c>
      <c r="N95" s="43" t="str">
        <f t="shared" si="80"/>
        <v>INMET</v>
      </c>
      <c r="O95" s="43" t="str">
        <f t="shared" si="80"/>
        <v>Estação Meteorológica</v>
      </c>
      <c r="P95" s="43" t="s">
        <v>725</v>
      </c>
      <c r="Q95" s="43" t="s">
        <v>726</v>
      </c>
      <c r="R95" s="28" t="s">
        <v>1</v>
      </c>
      <c r="S95" s="28" t="str">
        <f t="shared" si="9"/>
        <v>Instituições Públicas</v>
      </c>
      <c r="T95" s="28" t="str">
        <f t="shared" si="10"/>
        <v>Serviços</v>
      </c>
      <c r="U95" s="28" t="str">
        <f t="shared" si="11"/>
        <v>INMET</v>
      </c>
      <c r="V95" s="28" t="s">
        <v>2222</v>
      </c>
      <c r="W95" s="69" t="str">
        <f t="shared" si="70"/>
        <v>Key-INFRA-95</v>
      </c>
      <c r="X95" s="28" t="s">
        <v>2089</v>
      </c>
      <c r="Y95" s="28" t="s">
        <v>2128</v>
      </c>
      <c r="Z95" s="40" t="s">
        <v>1</v>
      </c>
      <c r="AA95" s="28" t="str">
        <f t="shared" si="71"/>
        <v>Meteorological station managed by the National Institute of Meteorology (INMET) dependent on the Ministry of Agriculture and Livestock.</v>
      </c>
    </row>
    <row r="96" spans="1:27" ht="6.65" customHeight="1" x14ac:dyDescent="0.4">
      <c r="A96" s="77">
        <v>96</v>
      </c>
      <c r="B96" s="66" t="s">
        <v>2219</v>
      </c>
      <c r="C96" s="44" t="s">
        <v>1587</v>
      </c>
      <c r="D96" s="44" t="s">
        <v>1588</v>
      </c>
      <c r="E96" s="44" t="s">
        <v>727</v>
      </c>
      <c r="F96" s="44" t="s">
        <v>728</v>
      </c>
      <c r="G96" s="80" t="s">
        <v>1</v>
      </c>
      <c r="H96" s="80" t="s">
        <v>1</v>
      </c>
      <c r="I96" s="80" t="s">
        <v>1</v>
      </c>
      <c r="J96" s="80" t="s">
        <v>1</v>
      </c>
      <c r="K96" s="80" t="s">
        <v>1</v>
      </c>
      <c r="L96" s="43" t="str">
        <f t="shared" si="8"/>
        <v>Instituições.Públicas</v>
      </c>
      <c r="M96" s="43" t="str">
        <f t="shared" si="80"/>
        <v>Serviços</v>
      </c>
      <c r="N96" s="43" t="str">
        <f t="shared" si="80"/>
        <v>IBGE</v>
      </c>
      <c r="O96" s="43" t="str">
        <f t="shared" si="80"/>
        <v>Area Densa</v>
      </c>
      <c r="P96" s="43" t="s">
        <v>729</v>
      </c>
      <c r="Q96" s="43" t="s">
        <v>730</v>
      </c>
      <c r="R96" s="28" t="s">
        <v>1</v>
      </c>
      <c r="S96" s="28" t="str">
        <f t="shared" si="9"/>
        <v>Instituições Públicas</v>
      </c>
      <c r="T96" s="28" t="str">
        <f t="shared" si="10"/>
        <v>Serviços</v>
      </c>
      <c r="U96" s="28" t="str">
        <f t="shared" si="11"/>
        <v>IBGE</v>
      </c>
      <c r="V96" s="28" t="s">
        <v>2222</v>
      </c>
      <c r="W96" s="69" t="str">
        <f t="shared" si="70"/>
        <v>Key-INFRA-96</v>
      </c>
      <c r="X96" s="28" t="s">
        <v>2090</v>
      </c>
      <c r="Y96" s="28" t="s">
        <v>2135</v>
      </c>
      <c r="Z96" s="40" t="s">
        <v>1</v>
      </c>
      <c r="AA96" s="28" t="str">
        <f t="shared" si="71"/>
        <v>IBGE Index - Number of inhabitants per square kilometer measured by the Brazilian Institute of Geography and Statistics.</v>
      </c>
    </row>
    <row r="97" spans="1:27" ht="6.65" customHeight="1" x14ac:dyDescent="0.4">
      <c r="A97" s="77">
        <v>97</v>
      </c>
      <c r="B97" s="66" t="s">
        <v>2219</v>
      </c>
      <c r="C97" s="44" t="s">
        <v>1587</v>
      </c>
      <c r="D97" s="44" t="s">
        <v>1588</v>
      </c>
      <c r="E97" s="44" t="s">
        <v>727</v>
      </c>
      <c r="F97" s="44" t="s">
        <v>731</v>
      </c>
      <c r="G97" s="80" t="s">
        <v>1</v>
      </c>
      <c r="H97" s="80" t="s">
        <v>1</v>
      </c>
      <c r="I97" s="80" t="s">
        <v>1</v>
      </c>
      <c r="J97" s="80" t="s">
        <v>1</v>
      </c>
      <c r="K97" s="80" t="s">
        <v>1</v>
      </c>
      <c r="L97" s="43" t="str">
        <f t="shared" si="8"/>
        <v>Instituições.Públicas</v>
      </c>
      <c r="M97" s="43" t="str">
        <f t="shared" si="80"/>
        <v>Serviços</v>
      </c>
      <c r="N97" s="43" t="str">
        <f t="shared" si="80"/>
        <v>IBGE</v>
      </c>
      <c r="O97" s="43" t="str">
        <f>_xlfn.CONCAT(SUBSTITUTE(F97,"."," "))</f>
        <v>Area Pouco Densa</v>
      </c>
      <c r="P97" s="43" t="s">
        <v>729</v>
      </c>
      <c r="Q97" s="43" t="s">
        <v>730</v>
      </c>
      <c r="R97" s="28" t="s">
        <v>1</v>
      </c>
      <c r="S97" s="28" t="str">
        <f t="shared" ref="S97:S229" si="81">SUBSTITUTE(C97, ".", " ")</f>
        <v>Instituições Públicas</v>
      </c>
      <c r="T97" s="28" t="str">
        <f t="shared" ref="T97:U229" si="82">SUBSTITUTE(D97, ".", " ")</f>
        <v>Serviços</v>
      </c>
      <c r="U97" s="28" t="str">
        <f t="shared" si="82"/>
        <v>IBGE</v>
      </c>
      <c r="V97" s="28" t="s">
        <v>2222</v>
      </c>
      <c r="W97" s="69" t="str">
        <f t="shared" si="70"/>
        <v>Key-INFRA-97</v>
      </c>
      <c r="X97" s="28" t="s">
        <v>2090</v>
      </c>
      <c r="Y97" s="28" t="s">
        <v>2135</v>
      </c>
      <c r="Z97" s="40" t="s">
        <v>1</v>
      </c>
      <c r="AA97" s="28" t="str">
        <f t="shared" si="71"/>
        <v>IBGE Index - Number of inhabitants per square kilometer measured by the Brazilian Institute of Geography and Statistics.</v>
      </c>
    </row>
    <row r="98" spans="1:27" ht="6.65" customHeight="1" x14ac:dyDescent="0.4">
      <c r="A98" s="77">
        <v>98</v>
      </c>
      <c r="B98" s="66" t="s">
        <v>2219</v>
      </c>
      <c r="C98" s="44" t="s">
        <v>1587</v>
      </c>
      <c r="D98" s="44" t="s">
        <v>1588</v>
      </c>
      <c r="E98" s="44" t="s">
        <v>727</v>
      </c>
      <c r="F98" s="44" t="s">
        <v>732</v>
      </c>
      <c r="G98" s="80" t="s">
        <v>1</v>
      </c>
      <c r="H98" s="80" t="s">
        <v>1</v>
      </c>
      <c r="I98" s="80" t="s">
        <v>1</v>
      </c>
      <c r="J98" s="80" t="s">
        <v>1</v>
      </c>
      <c r="K98" s="80" t="s">
        <v>1</v>
      </c>
      <c r="L98" s="43" t="str">
        <f t="shared" si="8"/>
        <v>Instituições.Públicas</v>
      </c>
      <c r="M98" s="43" t="str">
        <f t="shared" si="80"/>
        <v>Serviços</v>
      </c>
      <c r="N98" s="43" t="str">
        <f t="shared" si="80"/>
        <v>IBGE</v>
      </c>
      <c r="O98" s="43" t="str">
        <f t="shared" si="80"/>
        <v>IDU</v>
      </c>
      <c r="P98" s="43" t="s">
        <v>733</v>
      </c>
      <c r="Q98" s="43" t="s">
        <v>734</v>
      </c>
      <c r="R98" s="28" t="s">
        <v>1</v>
      </c>
      <c r="S98" s="28" t="str">
        <f t="shared" si="81"/>
        <v>Instituições Públicas</v>
      </c>
      <c r="T98" s="28" t="str">
        <f t="shared" si="82"/>
        <v>Serviços</v>
      </c>
      <c r="U98" s="28" t="str">
        <f t="shared" si="82"/>
        <v>IBGE</v>
      </c>
      <c r="V98" s="28" t="s">
        <v>2222</v>
      </c>
      <c r="W98" s="69" t="str">
        <f t="shared" si="70"/>
        <v>Key-INFRA-98</v>
      </c>
      <c r="X98" s="28" t="s">
        <v>2090</v>
      </c>
      <c r="Y98" s="28" t="s">
        <v>2135</v>
      </c>
      <c r="Z98" s="40" t="s">
        <v>1</v>
      </c>
      <c r="AA98" s="28" t="str">
        <f t="shared" si="71"/>
        <v>IBGE Index - IDU (Urban Development Index) evaluates the quality of life and access to urban services measured by the Brazilian Institute of Geography and Statistics.</v>
      </c>
    </row>
    <row r="99" spans="1:27" ht="6.65" customHeight="1" x14ac:dyDescent="0.4">
      <c r="A99" s="77">
        <v>99</v>
      </c>
      <c r="B99" s="66" t="s">
        <v>2219</v>
      </c>
      <c r="C99" s="44" t="s">
        <v>1587</v>
      </c>
      <c r="D99" s="44" t="s">
        <v>1588</v>
      </c>
      <c r="E99" s="44" t="s">
        <v>727</v>
      </c>
      <c r="F99" s="44" t="s">
        <v>735</v>
      </c>
      <c r="G99" s="80" t="s">
        <v>1</v>
      </c>
      <c r="H99" s="80" t="s">
        <v>1</v>
      </c>
      <c r="I99" s="80" t="s">
        <v>1</v>
      </c>
      <c r="J99" s="80" t="s">
        <v>1</v>
      </c>
      <c r="K99" s="80" t="s">
        <v>1</v>
      </c>
      <c r="L99" s="43" t="str">
        <f t="shared" si="8"/>
        <v>Instituições.Públicas</v>
      </c>
      <c r="M99" s="43" t="str">
        <f t="shared" si="80"/>
        <v>Serviços</v>
      </c>
      <c r="N99" s="43" t="str">
        <f t="shared" si="80"/>
        <v>IBGE</v>
      </c>
      <c r="O99" s="43" t="str">
        <f t="shared" si="80"/>
        <v>Taxa Urbanização</v>
      </c>
      <c r="P99" s="43" t="s">
        <v>736</v>
      </c>
      <c r="Q99" s="43" t="s">
        <v>737</v>
      </c>
      <c r="R99" s="28" t="s">
        <v>1</v>
      </c>
      <c r="S99" s="28" t="str">
        <f t="shared" si="81"/>
        <v>Instituições Públicas</v>
      </c>
      <c r="T99" s="28" t="str">
        <f t="shared" si="82"/>
        <v>Serviços</v>
      </c>
      <c r="U99" s="28" t="str">
        <f t="shared" si="82"/>
        <v>IBGE</v>
      </c>
      <c r="V99" s="28" t="s">
        <v>2222</v>
      </c>
      <c r="W99" s="69" t="str">
        <f t="shared" si="70"/>
        <v>Key-INFRA-99</v>
      </c>
      <c r="X99" s="28" t="s">
        <v>2090</v>
      </c>
      <c r="Y99" s="28" t="s">
        <v>2135</v>
      </c>
      <c r="Z99" s="40" t="s">
        <v>1</v>
      </c>
      <c r="AA99" s="28" t="str">
        <f t="shared" si="71"/>
        <v>IBGE Index - Proportion between urban and rural population measured by the Brazilian Institute of Geography and Statistics.</v>
      </c>
    </row>
    <row r="100" spans="1:27" ht="6.65" customHeight="1" x14ac:dyDescent="0.4">
      <c r="A100" s="77">
        <v>100</v>
      </c>
      <c r="B100" s="66" t="s">
        <v>2219</v>
      </c>
      <c r="C100" s="44" t="s">
        <v>1587</v>
      </c>
      <c r="D100" s="44" t="s">
        <v>1588</v>
      </c>
      <c r="E100" s="44" t="s">
        <v>727</v>
      </c>
      <c r="F100" s="44" t="s">
        <v>738</v>
      </c>
      <c r="G100" s="80" t="s">
        <v>1</v>
      </c>
      <c r="H100" s="80" t="s">
        <v>1</v>
      </c>
      <c r="I100" s="80" t="s">
        <v>1</v>
      </c>
      <c r="J100" s="80" t="s">
        <v>1</v>
      </c>
      <c r="K100" s="80" t="s">
        <v>1</v>
      </c>
      <c r="L100" s="43" t="str">
        <f t="shared" si="8"/>
        <v>Instituições.Públicas</v>
      </c>
      <c r="M100" s="43" t="str">
        <f t="shared" si="80"/>
        <v>Serviços</v>
      </c>
      <c r="N100" s="43" t="str">
        <f t="shared" si="80"/>
        <v>IBGE</v>
      </c>
      <c r="O100" s="43" t="str">
        <f t="shared" si="80"/>
        <v>Expansão Urbana</v>
      </c>
      <c r="P100" s="43" t="s">
        <v>739</v>
      </c>
      <c r="Q100" s="43" t="s">
        <v>740</v>
      </c>
      <c r="R100" s="28" t="s">
        <v>1</v>
      </c>
      <c r="S100" s="28" t="str">
        <f t="shared" si="81"/>
        <v>Instituições Públicas</v>
      </c>
      <c r="T100" s="28" t="str">
        <f t="shared" si="82"/>
        <v>Serviços</v>
      </c>
      <c r="U100" s="28" t="str">
        <f t="shared" si="82"/>
        <v>IBGE</v>
      </c>
      <c r="V100" s="28" t="s">
        <v>2222</v>
      </c>
      <c r="W100" s="69" t="str">
        <f t="shared" si="70"/>
        <v>Key-INFRA-100</v>
      </c>
      <c r="X100" s="28" t="s">
        <v>2090</v>
      </c>
      <c r="Y100" s="28" t="s">
        <v>2135</v>
      </c>
      <c r="Z100" s="40" t="s">
        <v>1</v>
      </c>
      <c r="AA100" s="28" t="str">
        <f t="shared" si="71"/>
        <v>IBGE Index - Measure of physical growth of cities established by the Brazilian Institute of Geography and Statistics.</v>
      </c>
    </row>
    <row r="101" spans="1:27" ht="6.65" customHeight="1" x14ac:dyDescent="0.4">
      <c r="A101" s="77">
        <v>101</v>
      </c>
      <c r="B101" s="66" t="s">
        <v>2219</v>
      </c>
      <c r="C101" s="30" t="s">
        <v>1636</v>
      </c>
      <c r="D101" s="29" t="s">
        <v>1711</v>
      </c>
      <c r="E101" s="82" t="s">
        <v>1594</v>
      </c>
      <c r="F101" s="44" t="s">
        <v>321</v>
      </c>
      <c r="G101" s="83" t="s">
        <v>1</v>
      </c>
      <c r="H101" s="83" t="s">
        <v>1</v>
      </c>
      <c r="I101" s="83" t="s">
        <v>1</v>
      </c>
      <c r="J101" s="83" t="s">
        <v>1</v>
      </c>
      <c r="K101" s="83" t="s">
        <v>1</v>
      </c>
      <c r="L101" s="84" t="str">
        <f t="shared" ref="L101:L110" si="83">_xlfn.CONCAT(C101)</f>
        <v>Transportes</v>
      </c>
      <c r="M101" s="27" t="str">
        <f t="shared" ref="M101:M110" si="84">CONCATENATE("", D101)</f>
        <v>Ferroviários</v>
      </c>
      <c r="N101" s="27" t="str">
        <f t="shared" ref="N101:N110" si="85">(SUBSTITUTE(SUBSTITUTE(CONCATENATE("",E101),"."," ")," De "," de "))</f>
        <v>Trens</v>
      </c>
      <c r="O101" s="28" t="str">
        <f t="shared" ref="O101:O110" si="86">F101</f>
        <v>Locomotiva</v>
      </c>
      <c r="P101" s="43" t="s">
        <v>324</v>
      </c>
      <c r="Q101" s="28" t="s">
        <v>332</v>
      </c>
      <c r="R101" s="28" t="s">
        <v>1</v>
      </c>
      <c r="S101" s="28" t="str">
        <f t="shared" si="81"/>
        <v>Transportes</v>
      </c>
      <c r="T101" s="28" t="str">
        <f t="shared" si="82"/>
        <v>Ferroviários</v>
      </c>
      <c r="U101" s="28" t="str">
        <f t="shared" si="82"/>
        <v>Trens</v>
      </c>
      <c r="V101" s="28" t="s">
        <v>2222</v>
      </c>
      <c r="W101" s="69" t="str">
        <f t="shared" si="70"/>
        <v>Key-INFRA-101</v>
      </c>
      <c r="X101" s="28" t="s">
        <v>2091</v>
      </c>
      <c r="Y101" s="28" t="s">
        <v>2136</v>
      </c>
      <c r="Z101" s="40" t="s">
        <v>1</v>
      </c>
      <c r="AA101" s="28" t="str">
        <f t="shared" si="71"/>
        <v>A heavy rail vehicle that pulls or pushes railway cars. They can be electric, diesel-electric or steam.</v>
      </c>
    </row>
    <row r="102" spans="1:27" ht="6.65" customHeight="1" x14ac:dyDescent="0.4">
      <c r="A102" s="77">
        <v>102</v>
      </c>
      <c r="B102" s="66" t="s">
        <v>2219</v>
      </c>
      <c r="C102" s="30" t="s">
        <v>1636</v>
      </c>
      <c r="D102" s="29" t="s">
        <v>1711</v>
      </c>
      <c r="E102" s="82" t="s">
        <v>1594</v>
      </c>
      <c r="F102" s="44" t="s">
        <v>322</v>
      </c>
      <c r="G102" s="83" t="s">
        <v>1</v>
      </c>
      <c r="H102" s="83" t="s">
        <v>1</v>
      </c>
      <c r="I102" s="83" t="s">
        <v>1</v>
      </c>
      <c r="J102" s="83" t="s">
        <v>1</v>
      </c>
      <c r="K102" s="83" t="s">
        <v>1</v>
      </c>
      <c r="L102" s="84" t="str">
        <f t="shared" si="83"/>
        <v>Transportes</v>
      </c>
      <c r="M102" s="27" t="str">
        <f t="shared" si="84"/>
        <v>Ferroviários</v>
      </c>
      <c r="N102" s="27" t="str">
        <f t="shared" si="85"/>
        <v>Trens</v>
      </c>
      <c r="O102" s="28" t="str">
        <f t="shared" si="86"/>
        <v>Vagão.Carga</v>
      </c>
      <c r="P102" s="43" t="s">
        <v>325</v>
      </c>
      <c r="Q102" s="28" t="s">
        <v>333</v>
      </c>
      <c r="R102" s="28" t="s">
        <v>1</v>
      </c>
      <c r="S102" s="28" t="str">
        <f t="shared" si="81"/>
        <v>Transportes</v>
      </c>
      <c r="T102" s="28" t="str">
        <f t="shared" si="82"/>
        <v>Ferroviários</v>
      </c>
      <c r="U102" s="28" t="str">
        <f t="shared" si="82"/>
        <v>Trens</v>
      </c>
      <c r="V102" s="28" t="s">
        <v>2222</v>
      </c>
      <c r="W102" s="69" t="str">
        <f t="shared" si="70"/>
        <v>Key-INFRA-102</v>
      </c>
      <c r="X102" s="28" t="s">
        <v>2091</v>
      </c>
      <c r="Y102" s="28" t="s">
        <v>2136</v>
      </c>
      <c r="Z102" s="40" t="s">
        <v>1</v>
      </c>
      <c r="AA102" s="28" t="str">
        <f t="shared" si="71"/>
        <v>Heavy vehicle to run on rails to transport goods (grains, ores, fuels, containers).</v>
      </c>
    </row>
    <row r="103" spans="1:27" ht="6.65" customHeight="1" x14ac:dyDescent="0.4">
      <c r="A103" s="77">
        <v>103</v>
      </c>
      <c r="B103" s="66" t="s">
        <v>2219</v>
      </c>
      <c r="C103" s="30" t="s">
        <v>1636</v>
      </c>
      <c r="D103" s="29" t="s">
        <v>1711</v>
      </c>
      <c r="E103" s="82" t="s">
        <v>1594</v>
      </c>
      <c r="F103" s="44" t="s">
        <v>323</v>
      </c>
      <c r="G103" s="83" t="s">
        <v>1</v>
      </c>
      <c r="H103" s="83" t="s">
        <v>1</v>
      </c>
      <c r="I103" s="83" t="s">
        <v>1</v>
      </c>
      <c r="J103" s="83" t="s">
        <v>1</v>
      </c>
      <c r="K103" s="83" t="s">
        <v>1</v>
      </c>
      <c r="L103" s="84" t="str">
        <f t="shared" si="83"/>
        <v>Transportes</v>
      </c>
      <c r="M103" s="27" t="str">
        <f t="shared" si="84"/>
        <v>Ferroviários</v>
      </c>
      <c r="N103" s="27" t="str">
        <f t="shared" si="85"/>
        <v>Trens</v>
      </c>
      <c r="O103" s="28" t="str">
        <f t="shared" si="86"/>
        <v>Vagão.Passageiro</v>
      </c>
      <c r="P103" s="43" t="s">
        <v>326</v>
      </c>
      <c r="Q103" s="28" t="s">
        <v>334</v>
      </c>
      <c r="R103" s="28" t="s">
        <v>1</v>
      </c>
      <c r="S103" s="28" t="str">
        <f t="shared" si="81"/>
        <v>Transportes</v>
      </c>
      <c r="T103" s="28" t="str">
        <f t="shared" si="82"/>
        <v>Ferroviários</v>
      </c>
      <c r="U103" s="28" t="str">
        <f t="shared" si="82"/>
        <v>Trens</v>
      </c>
      <c r="V103" s="28" t="s">
        <v>2222</v>
      </c>
      <c r="W103" s="69" t="str">
        <f t="shared" si="70"/>
        <v>Key-INFRA-103</v>
      </c>
      <c r="X103" s="28" t="s">
        <v>2091</v>
      </c>
      <c r="Y103" s="28" t="s">
        <v>2136</v>
      </c>
      <c r="Z103" s="40" t="s">
        <v>1</v>
      </c>
      <c r="AA103" s="28" t="str">
        <f t="shared" si="71"/>
        <v>Heavy vehicles to run on rails to transport people, can be equipped with toilets and special facilities.</v>
      </c>
    </row>
    <row r="104" spans="1:27" ht="6.65" customHeight="1" x14ac:dyDescent="0.4">
      <c r="A104" s="77">
        <v>104</v>
      </c>
      <c r="B104" s="66" t="s">
        <v>2219</v>
      </c>
      <c r="C104" s="30" t="s">
        <v>1636</v>
      </c>
      <c r="D104" s="29" t="s">
        <v>1711</v>
      </c>
      <c r="E104" s="82" t="s">
        <v>1594</v>
      </c>
      <c r="F104" s="44" t="s">
        <v>328</v>
      </c>
      <c r="G104" s="83" t="s">
        <v>1</v>
      </c>
      <c r="H104" s="83" t="s">
        <v>1</v>
      </c>
      <c r="I104" s="83" t="s">
        <v>1</v>
      </c>
      <c r="J104" s="83" t="s">
        <v>1</v>
      </c>
      <c r="K104" s="83" t="s">
        <v>1</v>
      </c>
      <c r="L104" s="84" t="str">
        <f t="shared" si="83"/>
        <v>Transportes</v>
      </c>
      <c r="M104" s="27" t="str">
        <f t="shared" si="84"/>
        <v>Ferroviários</v>
      </c>
      <c r="N104" s="27" t="str">
        <f t="shared" si="85"/>
        <v>Trens</v>
      </c>
      <c r="O104" s="28" t="str">
        <f t="shared" si="86"/>
        <v>Vagão.Dormitório</v>
      </c>
      <c r="P104" s="43" t="s">
        <v>329</v>
      </c>
      <c r="Q104" s="28" t="s">
        <v>335</v>
      </c>
      <c r="R104" s="28" t="s">
        <v>1</v>
      </c>
      <c r="S104" s="28" t="str">
        <f t="shared" si="81"/>
        <v>Transportes</v>
      </c>
      <c r="T104" s="28" t="str">
        <f t="shared" si="82"/>
        <v>Ferroviários</v>
      </c>
      <c r="U104" s="28" t="str">
        <f t="shared" si="82"/>
        <v>Trens</v>
      </c>
      <c r="V104" s="28" t="s">
        <v>2222</v>
      </c>
      <c r="W104" s="69" t="str">
        <f t="shared" si="70"/>
        <v>Key-INFRA-104</v>
      </c>
      <c r="X104" s="28" t="s">
        <v>2091</v>
      </c>
      <c r="Y104" s="28" t="s">
        <v>2136</v>
      </c>
      <c r="Z104" s="40" t="s">
        <v>1</v>
      </c>
      <c r="AA104" s="28" t="str">
        <f t="shared" si="71"/>
        <v>Heavy rail vehicle to transport people prepared with sleeping facilities.</v>
      </c>
    </row>
    <row r="105" spans="1:27" ht="6.65" customHeight="1" x14ac:dyDescent="0.4">
      <c r="A105" s="77">
        <v>105</v>
      </c>
      <c r="B105" s="66" t="s">
        <v>2219</v>
      </c>
      <c r="C105" s="30" t="s">
        <v>1636</v>
      </c>
      <c r="D105" s="29" t="s">
        <v>1711</v>
      </c>
      <c r="E105" s="82" t="s">
        <v>1594</v>
      </c>
      <c r="F105" s="44" t="s">
        <v>320</v>
      </c>
      <c r="G105" s="83" t="s">
        <v>1</v>
      </c>
      <c r="H105" s="83" t="s">
        <v>1</v>
      </c>
      <c r="I105" s="83" t="s">
        <v>1</v>
      </c>
      <c r="J105" s="83" t="s">
        <v>1</v>
      </c>
      <c r="K105" s="83" t="s">
        <v>1</v>
      </c>
      <c r="L105" s="84" t="str">
        <f t="shared" si="83"/>
        <v>Transportes</v>
      </c>
      <c r="M105" s="27" t="str">
        <f t="shared" si="84"/>
        <v>Ferroviários</v>
      </c>
      <c r="N105" s="27" t="str">
        <f t="shared" si="85"/>
        <v>Trens</v>
      </c>
      <c r="O105" s="28" t="str">
        <f t="shared" si="86"/>
        <v>Vagão.Metro</v>
      </c>
      <c r="P105" s="43" t="s">
        <v>327</v>
      </c>
      <c r="Q105" s="28" t="s">
        <v>336</v>
      </c>
      <c r="R105" s="28" t="s">
        <v>1</v>
      </c>
      <c r="S105" s="28" t="str">
        <f t="shared" si="81"/>
        <v>Transportes</v>
      </c>
      <c r="T105" s="28" t="str">
        <f t="shared" si="82"/>
        <v>Ferroviários</v>
      </c>
      <c r="U105" s="28" t="str">
        <f t="shared" si="82"/>
        <v>Trens</v>
      </c>
      <c r="V105" s="28" t="s">
        <v>2222</v>
      </c>
      <c r="W105" s="69" t="str">
        <f t="shared" si="70"/>
        <v>Key-INFRA-105</v>
      </c>
      <c r="X105" s="28" t="s">
        <v>2091</v>
      </c>
      <c r="Y105" s="28" t="s">
        <v>2136</v>
      </c>
      <c r="Z105" s="40" t="s">
        <v>1</v>
      </c>
      <c r="AA105" s="28" t="str">
        <f t="shared" si="71"/>
        <v>Heavy vehicle to run on rails to transport people in urban environments.</v>
      </c>
    </row>
    <row r="106" spans="1:27" ht="6.65" customHeight="1" x14ac:dyDescent="0.4">
      <c r="A106" s="77">
        <v>106</v>
      </c>
      <c r="B106" s="66" t="s">
        <v>2219</v>
      </c>
      <c r="C106" s="30" t="s">
        <v>1636</v>
      </c>
      <c r="D106" s="29" t="s">
        <v>1711</v>
      </c>
      <c r="E106" s="82" t="s">
        <v>1594</v>
      </c>
      <c r="F106" s="44" t="s">
        <v>369</v>
      </c>
      <c r="G106" s="83" t="s">
        <v>1</v>
      </c>
      <c r="H106" s="83" t="s">
        <v>1</v>
      </c>
      <c r="I106" s="83" t="s">
        <v>1</v>
      </c>
      <c r="J106" s="83" t="s">
        <v>1</v>
      </c>
      <c r="K106" s="83" t="s">
        <v>1</v>
      </c>
      <c r="L106" s="84" t="str">
        <f t="shared" si="83"/>
        <v>Transportes</v>
      </c>
      <c r="M106" s="27" t="str">
        <f t="shared" si="84"/>
        <v>Ferroviários</v>
      </c>
      <c r="N106" s="27" t="str">
        <f t="shared" si="85"/>
        <v>Trens</v>
      </c>
      <c r="O106" s="28" t="str">
        <f t="shared" si="86"/>
        <v>Vagão.Monotrilho</v>
      </c>
      <c r="P106" s="43" t="s">
        <v>327</v>
      </c>
      <c r="Q106" s="28" t="s">
        <v>336</v>
      </c>
      <c r="R106" s="28" t="s">
        <v>1</v>
      </c>
      <c r="S106" s="28" t="str">
        <f t="shared" si="81"/>
        <v>Transportes</v>
      </c>
      <c r="T106" s="28" t="str">
        <f t="shared" si="82"/>
        <v>Ferroviários</v>
      </c>
      <c r="U106" s="28" t="str">
        <f t="shared" si="82"/>
        <v>Trens</v>
      </c>
      <c r="V106" s="28" t="s">
        <v>2222</v>
      </c>
      <c r="W106" s="69" t="str">
        <f t="shared" si="70"/>
        <v>Key-INFRA-106</v>
      </c>
      <c r="X106" s="28" t="s">
        <v>2091</v>
      </c>
      <c r="Y106" s="28" t="s">
        <v>2136</v>
      </c>
      <c r="Z106" s="40" t="s">
        <v>1</v>
      </c>
      <c r="AA106" s="28" t="str">
        <f t="shared" si="71"/>
        <v>Heavy vehicle to run on rails to transport people in urban environments.</v>
      </c>
    </row>
    <row r="107" spans="1:27" ht="6.65" customHeight="1" x14ac:dyDescent="0.4">
      <c r="A107" s="77">
        <v>107</v>
      </c>
      <c r="B107" s="66" t="s">
        <v>2219</v>
      </c>
      <c r="C107" s="30" t="s">
        <v>1636</v>
      </c>
      <c r="D107" s="29" t="s">
        <v>1711</v>
      </c>
      <c r="E107" s="82" t="s">
        <v>1594</v>
      </c>
      <c r="F107" s="44" t="s">
        <v>1483</v>
      </c>
      <c r="G107" s="83" t="s">
        <v>1</v>
      </c>
      <c r="H107" s="83" t="s">
        <v>1</v>
      </c>
      <c r="I107" s="83" t="s">
        <v>1</v>
      </c>
      <c r="J107" s="83" t="s">
        <v>1</v>
      </c>
      <c r="K107" s="83" t="s">
        <v>1</v>
      </c>
      <c r="L107" s="84" t="str">
        <f t="shared" ref="L107:L109" si="87">_xlfn.CONCAT(C107)</f>
        <v>Transportes</v>
      </c>
      <c r="M107" s="27" t="str">
        <f t="shared" ref="M107:M109" si="88">CONCATENATE("", D107)</f>
        <v>Ferroviários</v>
      </c>
      <c r="N107" s="27" t="str">
        <f t="shared" ref="N107:N109" si="89">(SUBSTITUTE(SUBSTITUTE(CONCATENATE("",E107),"."," ")," De "," de "))</f>
        <v>Trens</v>
      </c>
      <c r="O107" s="28" t="str">
        <f t="shared" ref="O107:O109" si="90">F107</f>
        <v>Vagão.VLT</v>
      </c>
      <c r="P107" s="43" t="s">
        <v>1485</v>
      </c>
      <c r="Q107" s="43" t="s">
        <v>1484</v>
      </c>
      <c r="R107" s="28" t="s">
        <v>1</v>
      </c>
      <c r="S107" s="28" t="str">
        <f t="shared" ref="S107:S109" si="91">SUBSTITUTE(C107, ".", " ")</f>
        <v>Transportes</v>
      </c>
      <c r="T107" s="28" t="str">
        <f t="shared" ref="T107:T109" si="92">SUBSTITUTE(D107, ".", " ")</f>
        <v>Ferroviários</v>
      </c>
      <c r="U107" s="28" t="str">
        <f t="shared" ref="U107:U109" si="93">SUBSTITUTE(E107, ".", " ")</f>
        <v>Trens</v>
      </c>
      <c r="V107" s="28" t="s">
        <v>2222</v>
      </c>
      <c r="W107" s="69" t="str">
        <f t="shared" si="70"/>
        <v>Key-INFRA-107</v>
      </c>
      <c r="X107" s="28" t="s">
        <v>2091</v>
      </c>
      <c r="Y107" s="28" t="s">
        <v>2136</v>
      </c>
      <c r="Z107" s="40" t="s">
        <v>1</v>
      </c>
      <c r="AA107" s="28" t="str">
        <f t="shared" si="71"/>
        <v>Light Rail Vehicle (VLT). System of articulated and bidirectional wagons to transport people at the level of urban surroundings.</v>
      </c>
    </row>
    <row r="108" spans="1:27" ht="6.65" customHeight="1" x14ac:dyDescent="0.4">
      <c r="A108" s="77">
        <v>108</v>
      </c>
      <c r="B108" s="66" t="s">
        <v>2219</v>
      </c>
      <c r="C108" s="30" t="s">
        <v>1636</v>
      </c>
      <c r="D108" s="29" t="s">
        <v>1711</v>
      </c>
      <c r="E108" s="82" t="s">
        <v>1594</v>
      </c>
      <c r="F108" s="44" t="s">
        <v>1712</v>
      </c>
      <c r="G108" s="83" t="s">
        <v>1</v>
      </c>
      <c r="H108" s="83" t="s">
        <v>1</v>
      </c>
      <c r="I108" s="83" t="s">
        <v>1</v>
      </c>
      <c r="J108" s="83" t="s">
        <v>1</v>
      </c>
      <c r="K108" s="83" t="s">
        <v>1</v>
      </c>
      <c r="L108" s="84" t="str">
        <f t="shared" ref="L108" si="94">_xlfn.CONCAT(C108)</f>
        <v>Transportes</v>
      </c>
      <c r="M108" s="27" t="str">
        <f t="shared" ref="M108" si="95">CONCATENATE("", D108)</f>
        <v>Ferroviários</v>
      </c>
      <c r="N108" s="27" t="str">
        <f t="shared" ref="N108" si="96">(SUBSTITUTE(SUBSTITUTE(CONCATENATE("",E108),"."," ")," De "," de "))</f>
        <v>Trens</v>
      </c>
      <c r="O108" s="28" t="str">
        <f t="shared" ref="O108" si="97">F108</f>
        <v>Trem.de.Alta.Velocidade</v>
      </c>
      <c r="P108" s="43" t="s">
        <v>1714</v>
      </c>
      <c r="Q108" s="43" t="s">
        <v>1715</v>
      </c>
      <c r="R108" s="28" t="s">
        <v>1</v>
      </c>
      <c r="S108" s="28" t="str">
        <f t="shared" ref="S108" si="98">SUBSTITUTE(C108, ".", " ")</f>
        <v>Transportes</v>
      </c>
      <c r="T108" s="28" t="str">
        <f t="shared" ref="T108" si="99">SUBSTITUTE(D108, ".", " ")</f>
        <v>Ferroviários</v>
      </c>
      <c r="U108" s="28" t="str">
        <f t="shared" ref="U108" si="100">SUBSTITUTE(E108, ".", " ")</f>
        <v>Trens</v>
      </c>
      <c r="V108" s="28" t="s">
        <v>2222</v>
      </c>
      <c r="W108" s="69" t="str">
        <f t="shared" si="70"/>
        <v>Key-INFRA-108</v>
      </c>
      <c r="X108" s="28" t="s">
        <v>2091</v>
      </c>
      <c r="Y108" s="28" t="s">
        <v>2136</v>
      </c>
      <c r="Z108" s="40" t="s">
        <v>1</v>
      </c>
      <c r="AA108" s="28" t="str">
        <f t="shared" si="71"/>
        <v>Bullet or high-speed train. It travels at speeds that can reach 300 km/h.</v>
      </c>
    </row>
    <row r="109" spans="1:27" ht="6.65" customHeight="1" x14ac:dyDescent="0.4">
      <c r="A109" s="77">
        <v>109</v>
      </c>
      <c r="B109" s="66" t="s">
        <v>2219</v>
      </c>
      <c r="C109" s="30" t="s">
        <v>1636</v>
      </c>
      <c r="D109" s="29" t="s">
        <v>1711</v>
      </c>
      <c r="E109" s="82" t="s">
        <v>1594</v>
      </c>
      <c r="F109" s="44" t="s">
        <v>1717</v>
      </c>
      <c r="G109" s="83" t="s">
        <v>1</v>
      </c>
      <c r="H109" s="83" t="s">
        <v>1</v>
      </c>
      <c r="I109" s="83" t="s">
        <v>1</v>
      </c>
      <c r="J109" s="83" t="s">
        <v>1</v>
      </c>
      <c r="K109" s="83" t="s">
        <v>1</v>
      </c>
      <c r="L109" s="84" t="str">
        <f t="shared" si="87"/>
        <v>Transportes</v>
      </c>
      <c r="M109" s="27" t="str">
        <f t="shared" si="88"/>
        <v>Ferroviários</v>
      </c>
      <c r="N109" s="27" t="str">
        <f t="shared" si="89"/>
        <v>Trens</v>
      </c>
      <c r="O109" s="28" t="str">
        <f t="shared" si="90"/>
        <v>Trem.Bala</v>
      </c>
      <c r="P109" s="43" t="s">
        <v>1714</v>
      </c>
      <c r="Q109" s="43" t="s">
        <v>1715</v>
      </c>
      <c r="R109" s="28" t="s">
        <v>1</v>
      </c>
      <c r="S109" s="28" t="str">
        <f t="shared" si="91"/>
        <v>Transportes</v>
      </c>
      <c r="T109" s="28" t="str">
        <f t="shared" si="92"/>
        <v>Ferroviários</v>
      </c>
      <c r="U109" s="28" t="str">
        <f t="shared" si="93"/>
        <v>Trens</v>
      </c>
      <c r="V109" s="28" t="s">
        <v>2222</v>
      </c>
      <c r="W109" s="69" t="str">
        <f t="shared" si="70"/>
        <v>Key-INFRA-109</v>
      </c>
      <c r="X109" s="28" t="s">
        <v>2091</v>
      </c>
      <c r="Y109" s="28" t="s">
        <v>2136</v>
      </c>
      <c r="Z109" s="40" t="s">
        <v>1</v>
      </c>
      <c r="AA109" s="28" t="str">
        <f t="shared" si="71"/>
        <v>Bullet or high-speed train. It travels at speeds that can reach 300 km/h.</v>
      </c>
    </row>
    <row r="110" spans="1:27" ht="6.65" customHeight="1" x14ac:dyDescent="0.4">
      <c r="A110" s="77">
        <v>110</v>
      </c>
      <c r="B110" s="66" t="s">
        <v>2219</v>
      </c>
      <c r="C110" s="30" t="s">
        <v>1636</v>
      </c>
      <c r="D110" s="29" t="s">
        <v>1711</v>
      </c>
      <c r="E110" s="82" t="s">
        <v>1594</v>
      </c>
      <c r="F110" s="44" t="s">
        <v>1718</v>
      </c>
      <c r="G110" s="83" t="s">
        <v>1</v>
      </c>
      <c r="H110" s="83" t="s">
        <v>1</v>
      </c>
      <c r="I110" s="83" t="s">
        <v>1</v>
      </c>
      <c r="J110" s="83" t="s">
        <v>1</v>
      </c>
      <c r="K110" s="83" t="s">
        <v>1</v>
      </c>
      <c r="L110" s="84" t="str">
        <f t="shared" si="83"/>
        <v>Transportes</v>
      </c>
      <c r="M110" s="27" t="str">
        <f t="shared" si="84"/>
        <v>Ferroviários</v>
      </c>
      <c r="N110" s="27" t="str">
        <f t="shared" si="85"/>
        <v>Trens</v>
      </c>
      <c r="O110" s="28" t="str">
        <f t="shared" si="86"/>
        <v>MagLev</v>
      </c>
      <c r="P110" s="43" t="s">
        <v>1713</v>
      </c>
      <c r="Q110" s="43" t="s">
        <v>1716</v>
      </c>
      <c r="R110" s="28" t="s">
        <v>1</v>
      </c>
      <c r="S110" s="28" t="str">
        <f t="shared" si="81"/>
        <v>Transportes</v>
      </c>
      <c r="T110" s="28" t="str">
        <f t="shared" si="82"/>
        <v>Ferroviários</v>
      </c>
      <c r="U110" s="28" t="str">
        <f t="shared" si="82"/>
        <v>Trens</v>
      </c>
      <c r="V110" s="28" t="s">
        <v>2222</v>
      </c>
      <c r="W110" s="69" t="str">
        <f t="shared" si="70"/>
        <v>Key-INFRA-110</v>
      </c>
      <c r="X110" s="28" t="s">
        <v>2091</v>
      </c>
      <c r="Y110" s="28" t="s">
        <v>2137</v>
      </c>
      <c r="Z110" s="40" t="s">
        <v>1</v>
      </c>
      <c r="AA110" s="28" t="str">
        <f t="shared" si="71"/>
        <v>Magnetic or Maglev levitation train. It travels on a line elevated over the ground that is propelled by the attractive and repulsive forces of magnetism using superconductors.</v>
      </c>
    </row>
    <row r="111" spans="1:27" ht="6.65" customHeight="1" x14ac:dyDescent="0.4">
      <c r="A111" s="77">
        <v>111</v>
      </c>
      <c r="B111" s="66" t="s">
        <v>2219</v>
      </c>
      <c r="C111" s="30" t="s">
        <v>1636</v>
      </c>
      <c r="D111" s="29" t="s">
        <v>1637</v>
      </c>
      <c r="E111" s="82" t="s">
        <v>1710</v>
      </c>
      <c r="F111" s="44" t="s">
        <v>1721</v>
      </c>
      <c r="G111" s="83" t="s">
        <v>1</v>
      </c>
      <c r="H111" s="83" t="s">
        <v>1</v>
      </c>
      <c r="I111" s="83" t="s">
        <v>1</v>
      </c>
      <c r="J111" s="83" t="s">
        <v>1</v>
      </c>
      <c r="K111" s="83" t="s">
        <v>1</v>
      </c>
      <c r="L111" s="84" t="str">
        <f t="shared" ref="L111:L121" si="101">_xlfn.CONCAT(C111)</f>
        <v>Transportes</v>
      </c>
      <c r="M111" s="27" t="str">
        <f t="shared" ref="M111:M121" si="102">CONCATENATE("", D111)</f>
        <v>Terrestres</v>
      </c>
      <c r="N111" s="27" t="str">
        <f t="shared" ref="N111:N121" si="103">(SUBSTITUTE(SUBSTITUTE(CONCATENATE("",E111),"."," ")," De "," de "))</f>
        <v>Veículos Maquinária</v>
      </c>
      <c r="O111" s="28" t="str">
        <f t="shared" ref="O111:O121" si="104">F111</f>
        <v>Trator</v>
      </c>
      <c r="P111" s="43" t="s">
        <v>370</v>
      </c>
      <c r="Q111" s="84" t="s">
        <v>374</v>
      </c>
      <c r="R111" s="28" t="s">
        <v>1</v>
      </c>
      <c r="S111" s="28" t="str">
        <f t="shared" ref="S111:S121" si="105">SUBSTITUTE(C111, ".", " ")</f>
        <v>Transportes</v>
      </c>
      <c r="T111" s="28" t="str">
        <f t="shared" ref="T111:T121" si="106">SUBSTITUTE(D111, ".", " ")</f>
        <v>Terrestres</v>
      </c>
      <c r="U111" s="28" t="str">
        <f t="shared" ref="U111:U121" si="107">SUBSTITUTE(E111, ".", " ")</f>
        <v>Veículos Maquinária</v>
      </c>
      <c r="V111" s="28" t="s">
        <v>2222</v>
      </c>
      <c r="W111" s="69" t="str">
        <f t="shared" si="70"/>
        <v>Key-INFRA-111</v>
      </c>
      <c r="X111" s="28" t="s">
        <v>2091</v>
      </c>
      <c r="Y111" s="28" t="s">
        <v>2137</v>
      </c>
      <c r="Z111" s="40" t="s">
        <v>1</v>
      </c>
      <c r="AA111" s="28" t="str">
        <f t="shared" si="71"/>
        <v>Tractor-type construction vehicle.</v>
      </c>
    </row>
    <row r="112" spans="1:27" ht="6.65" customHeight="1" x14ac:dyDescent="0.4">
      <c r="A112" s="77">
        <v>112</v>
      </c>
      <c r="B112" s="66" t="s">
        <v>2219</v>
      </c>
      <c r="C112" s="30" t="s">
        <v>1636</v>
      </c>
      <c r="D112" s="29" t="s">
        <v>1637</v>
      </c>
      <c r="E112" s="82" t="s">
        <v>1710</v>
      </c>
      <c r="F112" s="44" t="s">
        <v>1722</v>
      </c>
      <c r="G112" s="83" t="s">
        <v>1</v>
      </c>
      <c r="H112" s="83" t="s">
        <v>1</v>
      </c>
      <c r="I112" s="83" t="s">
        <v>1</v>
      </c>
      <c r="J112" s="83" t="s">
        <v>1</v>
      </c>
      <c r="K112" s="83" t="s">
        <v>1</v>
      </c>
      <c r="L112" s="84" t="str">
        <f t="shared" si="101"/>
        <v>Transportes</v>
      </c>
      <c r="M112" s="27" t="str">
        <f t="shared" si="102"/>
        <v>Terrestres</v>
      </c>
      <c r="N112" s="27" t="str">
        <f t="shared" si="103"/>
        <v>Veículos Maquinária</v>
      </c>
      <c r="O112" s="28" t="str">
        <f t="shared" si="104"/>
        <v xml:space="preserve">Escavadeira.Hidráulica </v>
      </c>
      <c r="P112" s="43" t="s">
        <v>371</v>
      </c>
      <c r="Q112" s="84" t="s">
        <v>375</v>
      </c>
      <c r="R112" s="28" t="s">
        <v>1</v>
      </c>
      <c r="S112" s="28" t="str">
        <f t="shared" si="105"/>
        <v>Transportes</v>
      </c>
      <c r="T112" s="28" t="str">
        <f t="shared" si="106"/>
        <v>Terrestres</v>
      </c>
      <c r="U112" s="28" t="str">
        <f t="shared" si="107"/>
        <v>Veículos Maquinária</v>
      </c>
      <c r="V112" s="28" t="s">
        <v>2222</v>
      </c>
      <c r="W112" s="69" t="str">
        <f t="shared" si="70"/>
        <v>Key-INFRA-112</v>
      </c>
      <c r="X112" s="28" t="s">
        <v>2091</v>
      </c>
      <c r="Y112" s="28" t="s">
        <v>2137</v>
      </c>
      <c r="Z112" s="40" t="s">
        <v>1</v>
      </c>
      <c r="AA112" s="28" t="str">
        <f t="shared" si="71"/>
        <v>Hydraulic excavator type construction vehicle.</v>
      </c>
    </row>
    <row r="113" spans="1:27" ht="6.65" customHeight="1" x14ac:dyDescent="0.4">
      <c r="A113" s="77">
        <v>113</v>
      </c>
      <c r="B113" s="66" t="s">
        <v>2219</v>
      </c>
      <c r="C113" s="30" t="s">
        <v>1636</v>
      </c>
      <c r="D113" s="29" t="s">
        <v>1637</v>
      </c>
      <c r="E113" s="82" t="s">
        <v>1710</v>
      </c>
      <c r="F113" s="44" t="s">
        <v>1723</v>
      </c>
      <c r="G113" s="83" t="s">
        <v>1</v>
      </c>
      <c r="H113" s="83" t="s">
        <v>1</v>
      </c>
      <c r="I113" s="83" t="s">
        <v>1</v>
      </c>
      <c r="J113" s="83" t="s">
        <v>1</v>
      </c>
      <c r="K113" s="83" t="s">
        <v>1</v>
      </c>
      <c r="L113" s="84" t="str">
        <f t="shared" si="101"/>
        <v>Transportes</v>
      </c>
      <c r="M113" s="27" t="str">
        <f t="shared" si="102"/>
        <v>Terrestres</v>
      </c>
      <c r="N113" s="27" t="str">
        <f t="shared" si="103"/>
        <v>Veículos Maquinária</v>
      </c>
      <c r="O113" s="28" t="str">
        <f t="shared" si="104"/>
        <v>Retroescavadeira</v>
      </c>
      <c r="P113" s="43" t="s">
        <v>372</v>
      </c>
      <c r="Q113" s="84" t="s">
        <v>376</v>
      </c>
      <c r="R113" s="28" t="s">
        <v>1</v>
      </c>
      <c r="S113" s="28" t="str">
        <f t="shared" si="105"/>
        <v>Transportes</v>
      </c>
      <c r="T113" s="28" t="str">
        <f t="shared" si="106"/>
        <v>Terrestres</v>
      </c>
      <c r="U113" s="28" t="str">
        <f t="shared" si="107"/>
        <v>Veículos Maquinária</v>
      </c>
      <c r="V113" s="28" t="s">
        <v>2222</v>
      </c>
      <c r="W113" s="69" t="str">
        <f t="shared" si="70"/>
        <v>Key-INFRA-113</v>
      </c>
      <c r="X113" s="28" t="s">
        <v>2091</v>
      </c>
      <c r="Y113" s="28" t="s">
        <v>2137</v>
      </c>
      <c r="Z113" s="40" t="s">
        <v>1</v>
      </c>
      <c r="AA113" s="28" t="str">
        <f t="shared" si="71"/>
        <v>Backhoe type work vehicle.</v>
      </c>
    </row>
    <row r="114" spans="1:27" ht="6.65" customHeight="1" x14ac:dyDescent="0.4">
      <c r="A114" s="77">
        <v>114</v>
      </c>
      <c r="B114" s="66" t="s">
        <v>2219</v>
      </c>
      <c r="C114" s="30" t="s">
        <v>1636</v>
      </c>
      <c r="D114" s="29" t="s">
        <v>1637</v>
      </c>
      <c r="E114" s="82" t="s">
        <v>1710</v>
      </c>
      <c r="F114" s="44" t="s">
        <v>1724</v>
      </c>
      <c r="G114" s="83" t="s">
        <v>1</v>
      </c>
      <c r="H114" s="83" t="s">
        <v>1</v>
      </c>
      <c r="I114" s="83" t="s">
        <v>1</v>
      </c>
      <c r="J114" s="83" t="s">
        <v>1</v>
      </c>
      <c r="K114" s="83" t="s">
        <v>1</v>
      </c>
      <c r="L114" s="84" t="str">
        <f t="shared" ref="L114:L116" si="108">_xlfn.CONCAT(C114)</f>
        <v>Transportes</v>
      </c>
      <c r="M114" s="27" t="str">
        <f t="shared" ref="M114:M116" si="109">CONCATENATE("", D114)</f>
        <v>Terrestres</v>
      </c>
      <c r="N114" s="27" t="str">
        <f t="shared" ref="N114:N116" si="110">(SUBSTITUTE(SUBSTITUTE(CONCATENATE("",E114),"."," ")," De "," de "))</f>
        <v>Veículos Maquinária</v>
      </c>
      <c r="O114" s="28" t="str">
        <f t="shared" ref="O114:O116" si="111">F114</f>
        <v>Motoniveladora</v>
      </c>
      <c r="P114" s="43" t="s">
        <v>373</v>
      </c>
      <c r="Q114" s="84" t="s">
        <v>377</v>
      </c>
      <c r="R114" s="28" t="s">
        <v>1</v>
      </c>
      <c r="S114" s="28" t="str">
        <f t="shared" ref="S114:S116" si="112">SUBSTITUTE(C114, ".", " ")</f>
        <v>Transportes</v>
      </c>
      <c r="T114" s="28" t="str">
        <f t="shared" ref="T114:T116" si="113">SUBSTITUTE(D114, ".", " ")</f>
        <v>Terrestres</v>
      </c>
      <c r="U114" s="28" t="str">
        <f t="shared" ref="U114:U116" si="114">SUBSTITUTE(E114, ".", " ")</f>
        <v>Veículos Maquinária</v>
      </c>
      <c r="V114" s="28" t="s">
        <v>2222</v>
      </c>
      <c r="W114" s="69" t="str">
        <f t="shared" si="70"/>
        <v>Key-INFRA-114</v>
      </c>
      <c r="X114" s="28" t="s">
        <v>2091</v>
      </c>
      <c r="Y114" s="28" t="s">
        <v>2137</v>
      </c>
      <c r="Z114" s="40" t="s">
        <v>1</v>
      </c>
      <c r="AA114" s="28" t="str">
        <f t="shared" si="71"/>
        <v>Motor grader-type work vehicle.</v>
      </c>
    </row>
    <row r="115" spans="1:27" ht="6.65" customHeight="1" x14ac:dyDescent="0.4">
      <c r="A115" s="77">
        <v>115</v>
      </c>
      <c r="B115" s="66" t="s">
        <v>2219</v>
      </c>
      <c r="C115" s="30" t="s">
        <v>1636</v>
      </c>
      <c r="D115" s="29" t="s">
        <v>1637</v>
      </c>
      <c r="E115" s="82" t="s">
        <v>1710</v>
      </c>
      <c r="F115" s="44" t="s">
        <v>1725</v>
      </c>
      <c r="G115" s="83" t="s">
        <v>1</v>
      </c>
      <c r="H115" s="83" t="s">
        <v>1</v>
      </c>
      <c r="I115" s="83" t="s">
        <v>1</v>
      </c>
      <c r="J115" s="83" t="s">
        <v>1</v>
      </c>
      <c r="K115" s="83" t="s">
        <v>1</v>
      </c>
      <c r="L115" s="84" t="str">
        <f t="shared" si="108"/>
        <v>Transportes</v>
      </c>
      <c r="M115" s="27" t="str">
        <f t="shared" si="109"/>
        <v>Terrestres</v>
      </c>
      <c r="N115" s="27" t="str">
        <f t="shared" si="110"/>
        <v>Veículos Maquinária</v>
      </c>
      <c r="O115" s="28" t="str">
        <f t="shared" si="111"/>
        <v>Empilhadeira</v>
      </c>
      <c r="P115" s="43" t="s">
        <v>1728</v>
      </c>
      <c r="Q115" s="84" t="s">
        <v>1730</v>
      </c>
      <c r="R115" s="28" t="s">
        <v>1</v>
      </c>
      <c r="S115" s="28" t="str">
        <f t="shared" si="112"/>
        <v>Transportes</v>
      </c>
      <c r="T115" s="28" t="str">
        <f t="shared" si="113"/>
        <v>Terrestres</v>
      </c>
      <c r="U115" s="28" t="str">
        <f t="shared" si="114"/>
        <v>Veículos Maquinária</v>
      </c>
      <c r="V115" s="28" t="s">
        <v>2222</v>
      </c>
      <c r="W115" s="69" t="str">
        <f t="shared" si="70"/>
        <v>Key-INFRA-115</v>
      </c>
      <c r="X115" s="28" t="s">
        <v>2091</v>
      </c>
      <c r="Y115" s="28" t="s">
        <v>2137</v>
      </c>
      <c r="Z115" s="40" t="s">
        <v>1</v>
      </c>
      <c r="AA115" s="28" t="str">
        <f t="shared" si="71"/>
        <v>Forklift type construction vehicle for handling and stacking pallets.</v>
      </c>
    </row>
    <row r="116" spans="1:27" ht="6.65" customHeight="1" x14ac:dyDescent="0.4">
      <c r="A116" s="77">
        <v>116</v>
      </c>
      <c r="B116" s="66" t="s">
        <v>2219</v>
      </c>
      <c r="C116" s="30" t="s">
        <v>1636</v>
      </c>
      <c r="D116" s="29" t="s">
        <v>1637</v>
      </c>
      <c r="E116" s="82" t="s">
        <v>1710</v>
      </c>
      <c r="F116" s="44" t="s">
        <v>1726</v>
      </c>
      <c r="G116" s="83" t="s">
        <v>1</v>
      </c>
      <c r="H116" s="83" t="s">
        <v>1</v>
      </c>
      <c r="I116" s="83" t="s">
        <v>1</v>
      </c>
      <c r="J116" s="83" t="s">
        <v>1</v>
      </c>
      <c r="K116" s="83" t="s">
        <v>1</v>
      </c>
      <c r="L116" s="84" t="str">
        <f t="shared" si="108"/>
        <v>Transportes</v>
      </c>
      <c r="M116" s="27" t="str">
        <f t="shared" si="109"/>
        <v>Terrestres</v>
      </c>
      <c r="N116" s="27" t="str">
        <f t="shared" si="110"/>
        <v>Veículos Maquinária</v>
      </c>
      <c r="O116" s="28" t="str">
        <f t="shared" si="111"/>
        <v>Munk</v>
      </c>
      <c r="P116" s="43" t="s">
        <v>1727</v>
      </c>
      <c r="Q116" s="84" t="s">
        <v>1731</v>
      </c>
      <c r="R116" s="28" t="s">
        <v>1</v>
      </c>
      <c r="S116" s="28" t="str">
        <f t="shared" si="112"/>
        <v>Transportes</v>
      </c>
      <c r="T116" s="28" t="str">
        <f t="shared" si="113"/>
        <v>Terrestres</v>
      </c>
      <c r="U116" s="28" t="str">
        <f t="shared" si="114"/>
        <v>Veículos Maquinária</v>
      </c>
      <c r="V116" s="28" t="s">
        <v>2222</v>
      </c>
      <c r="W116" s="69" t="str">
        <f t="shared" si="70"/>
        <v>Key-INFRA-116</v>
      </c>
      <c r="X116" s="28" t="s">
        <v>2091</v>
      </c>
      <c r="Y116" s="28" t="s">
        <v>2137</v>
      </c>
      <c r="Z116" s="40" t="s">
        <v>1</v>
      </c>
      <c r="AA116" s="28" t="str">
        <f t="shared" si="71"/>
        <v>Truck-type construction vehicle with built-in crane.</v>
      </c>
    </row>
    <row r="117" spans="1:27" ht="6.65" customHeight="1" x14ac:dyDescent="0.4">
      <c r="A117" s="77">
        <v>117</v>
      </c>
      <c r="B117" s="66" t="s">
        <v>2219</v>
      </c>
      <c r="C117" s="30" t="s">
        <v>1636</v>
      </c>
      <c r="D117" s="29" t="s">
        <v>1637</v>
      </c>
      <c r="E117" s="85" t="s">
        <v>1817</v>
      </c>
      <c r="F117" s="44" t="s">
        <v>1733</v>
      </c>
      <c r="G117" s="83" t="s">
        <v>1</v>
      </c>
      <c r="H117" s="83" t="s">
        <v>1</v>
      </c>
      <c r="I117" s="83" t="s">
        <v>1</v>
      </c>
      <c r="J117" s="83" t="s">
        <v>1</v>
      </c>
      <c r="K117" s="83" t="s">
        <v>1</v>
      </c>
      <c r="L117" s="84" t="str">
        <f t="shared" si="101"/>
        <v>Transportes</v>
      </c>
      <c r="M117" s="27" t="str">
        <f t="shared" si="102"/>
        <v>Terrestres</v>
      </c>
      <c r="N117" s="27" t="str">
        <f t="shared" si="103"/>
        <v>Guindastes</v>
      </c>
      <c r="O117" s="28" t="str">
        <f t="shared" si="104"/>
        <v>Guindaste.Telescópico</v>
      </c>
      <c r="P117" s="43" t="s">
        <v>1729</v>
      </c>
      <c r="Q117" s="84" t="s">
        <v>1732</v>
      </c>
      <c r="R117" s="28" t="s">
        <v>1</v>
      </c>
      <c r="S117" s="28" t="str">
        <f t="shared" si="105"/>
        <v>Transportes</v>
      </c>
      <c r="T117" s="28" t="str">
        <f t="shared" si="106"/>
        <v>Terrestres</v>
      </c>
      <c r="U117" s="28" t="str">
        <f t="shared" si="107"/>
        <v>Guindastes</v>
      </c>
      <c r="V117" s="28" t="s">
        <v>2222</v>
      </c>
      <c r="W117" s="69" t="str">
        <f t="shared" si="70"/>
        <v>Key-INFRA-117</v>
      </c>
      <c r="X117" s="28" t="s">
        <v>2091</v>
      </c>
      <c r="Y117" s="28" t="s">
        <v>2138</v>
      </c>
      <c r="Z117" s="40" t="s">
        <v>1</v>
      </c>
      <c r="AA117" s="28" t="str">
        <f t="shared" si="71"/>
        <v>Truck-type construction vehicle with telescopic lifting system with built-in horizontal and vertical reach.</v>
      </c>
    </row>
    <row r="118" spans="1:27" ht="6.65" customHeight="1" x14ac:dyDescent="0.4">
      <c r="A118" s="77">
        <v>118</v>
      </c>
      <c r="B118" s="66" t="s">
        <v>2219</v>
      </c>
      <c r="C118" s="30" t="s">
        <v>1636</v>
      </c>
      <c r="D118" s="29" t="s">
        <v>1637</v>
      </c>
      <c r="E118" s="85" t="s">
        <v>1817</v>
      </c>
      <c r="F118" s="45" t="s">
        <v>1818</v>
      </c>
      <c r="G118" s="78" t="s">
        <v>1</v>
      </c>
      <c r="H118" s="78" t="s">
        <v>1</v>
      </c>
      <c r="I118" s="78" t="s">
        <v>1</v>
      </c>
      <c r="J118" s="78" t="s">
        <v>1</v>
      </c>
      <c r="K118" s="78" t="s">
        <v>1</v>
      </c>
      <c r="L118" s="84" t="str">
        <f t="shared" ref="L118:L120" si="115">_xlfn.CONCAT(C118)</f>
        <v>Transportes</v>
      </c>
      <c r="M118" s="27" t="str">
        <f t="shared" ref="M118:M120" si="116">CONCATENATE("", D118)</f>
        <v>Terrestres</v>
      </c>
      <c r="N118" s="27" t="str">
        <f t="shared" ref="N118:N120" si="117">(SUBSTITUTE(SUBSTITUTE(CONCATENATE("",E118),"."," ")," De "," de "))</f>
        <v>Guindastes</v>
      </c>
      <c r="O118" s="28" t="str">
        <f t="shared" ref="O118:O120" si="118">F118</f>
        <v>Guindaste.Móvel</v>
      </c>
      <c r="P118" s="28" t="s">
        <v>1820</v>
      </c>
      <c r="Q118" s="84" t="s">
        <v>1942</v>
      </c>
      <c r="R118" s="28" t="s">
        <v>1</v>
      </c>
      <c r="S118" s="28" t="str">
        <f t="shared" ref="S118:S120" si="119">SUBSTITUTE(C118, ".", " ")</f>
        <v>Transportes</v>
      </c>
      <c r="T118" s="28" t="str">
        <f t="shared" ref="T118:T120" si="120">SUBSTITUTE(D118, ".", " ")</f>
        <v>Terrestres</v>
      </c>
      <c r="U118" s="28" t="str">
        <f t="shared" ref="U118:U120" si="121">SUBSTITUTE(E118, ".", " ")</f>
        <v>Guindastes</v>
      </c>
      <c r="V118" s="28" t="s">
        <v>2222</v>
      </c>
      <c r="W118" s="69" t="str">
        <f t="shared" si="70"/>
        <v>Key-INFRA-118</v>
      </c>
      <c r="X118" s="28" t="s">
        <v>2089</v>
      </c>
      <c r="Y118" s="28" t="s">
        <v>2138</v>
      </c>
      <c r="Z118" s="40" t="s">
        <v>1</v>
      </c>
      <c r="AA118" s="28" t="str">
        <f t="shared" si="71"/>
        <v>Crane-type operation structure moved on rails.</v>
      </c>
    </row>
    <row r="119" spans="1:27" ht="6.65" customHeight="1" x14ac:dyDescent="0.4">
      <c r="A119" s="77">
        <v>119</v>
      </c>
      <c r="B119" s="66" t="s">
        <v>2219</v>
      </c>
      <c r="C119" s="30" t="s">
        <v>1636</v>
      </c>
      <c r="D119" s="29" t="s">
        <v>1637</v>
      </c>
      <c r="E119" s="85" t="s">
        <v>1817</v>
      </c>
      <c r="F119" s="45" t="s">
        <v>1819</v>
      </c>
      <c r="G119" s="78" t="s">
        <v>1</v>
      </c>
      <c r="H119" s="78" t="s">
        <v>1</v>
      </c>
      <c r="I119" s="78" t="s">
        <v>1</v>
      </c>
      <c r="J119" s="78" t="s">
        <v>1</v>
      </c>
      <c r="K119" s="78" t="s">
        <v>1</v>
      </c>
      <c r="L119" s="84" t="str">
        <f t="shared" si="115"/>
        <v>Transportes</v>
      </c>
      <c r="M119" s="27" t="str">
        <f t="shared" si="116"/>
        <v>Terrestres</v>
      </c>
      <c r="N119" s="27" t="str">
        <f t="shared" si="117"/>
        <v>Guindastes</v>
      </c>
      <c r="O119" s="28" t="str">
        <f t="shared" si="118"/>
        <v>Guindaste.Torre</v>
      </c>
      <c r="P119" s="28" t="s">
        <v>1823</v>
      </c>
      <c r="Q119" s="84" t="s">
        <v>1943</v>
      </c>
      <c r="R119" s="28" t="s">
        <v>1</v>
      </c>
      <c r="S119" s="28" t="str">
        <f t="shared" si="119"/>
        <v>Transportes</v>
      </c>
      <c r="T119" s="28" t="str">
        <f t="shared" si="120"/>
        <v>Terrestres</v>
      </c>
      <c r="U119" s="28" t="str">
        <f t="shared" si="121"/>
        <v>Guindastes</v>
      </c>
      <c r="V119" s="28" t="s">
        <v>2222</v>
      </c>
      <c r="W119" s="69" t="str">
        <f t="shared" si="70"/>
        <v>Key-INFRA-119</v>
      </c>
      <c r="X119" s="28" t="s">
        <v>2089</v>
      </c>
      <c r="Y119" s="28" t="s">
        <v>2138</v>
      </c>
      <c r="Z119" s="40" t="s">
        <v>1</v>
      </c>
      <c r="AA119" s="28" t="str">
        <f t="shared" si="71"/>
        <v>High tower crane type operation structure which can operate by rotation and travel.</v>
      </c>
    </row>
    <row r="120" spans="1:27" ht="6.65" customHeight="1" x14ac:dyDescent="0.4">
      <c r="A120" s="77">
        <v>120</v>
      </c>
      <c r="B120" s="66" t="s">
        <v>2219</v>
      </c>
      <c r="C120" s="30" t="s">
        <v>1636</v>
      </c>
      <c r="D120" s="29" t="s">
        <v>1637</v>
      </c>
      <c r="E120" s="85" t="s">
        <v>1817</v>
      </c>
      <c r="F120" s="45" t="s">
        <v>1821</v>
      </c>
      <c r="G120" s="78" t="s">
        <v>1</v>
      </c>
      <c r="H120" s="78" t="s">
        <v>1</v>
      </c>
      <c r="I120" s="78" t="s">
        <v>1</v>
      </c>
      <c r="J120" s="78" t="s">
        <v>1</v>
      </c>
      <c r="K120" s="78" t="s">
        <v>1</v>
      </c>
      <c r="L120" s="84" t="str">
        <f t="shared" si="115"/>
        <v>Transportes</v>
      </c>
      <c r="M120" s="27" t="str">
        <f t="shared" si="116"/>
        <v>Terrestres</v>
      </c>
      <c r="N120" s="27" t="str">
        <f t="shared" si="117"/>
        <v>Guindastes</v>
      </c>
      <c r="O120" s="28" t="str">
        <f t="shared" si="118"/>
        <v>Guindaste.Lança</v>
      </c>
      <c r="P120" s="28" t="s">
        <v>1822</v>
      </c>
      <c r="Q120" s="84" t="s">
        <v>1944</v>
      </c>
      <c r="R120" s="28" t="s">
        <v>1</v>
      </c>
      <c r="S120" s="28" t="str">
        <f t="shared" si="119"/>
        <v>Transportes</v>
      </c>
      <c r="T120" s="28" t="str">
        <f t="shared" si="120"/>
        <v>Terrestres</v>
      </c>
      <c r="U120" s="28" t="str">
        <f t="shared" si="121"/>
        <v>Guindastes</v>
      </c>
      <c r="V120" s="28" t="s">
        <v>2222</v>
      </c>
      <c r="W120" s="69" t="str">
        <f t="shared" si="70"/>
        <v>Key-INFRA-120</v>
      </c>
      <c r="X120" s="28" t="s">
        <v>2089</v>
      </c>
      <c r="Y120" s="28" t="s">
        <v>2138</v>
      </c>
      <c r="Z120" s="40" t="s">
        <v>1</v>
      </c>
      <c r="AA120" s="28" t="str">
        <f t="shared" si="71"/>
        <v>Small crane type operation structure that can operate by rotation and travel.</v>
      </c>
    </row>
    <row r="121" spans="1:27" ht="6.65" customHeight="1" x14ac:dyDescent="0.4">
      <c r="A121" s="77">
        <v>121</v>
      </c>
      <c r="B121" s="66" t="s">
        <v>2219</v>
      </c>
      <c r="C121" s="30" t="s">
        <v>1636</v>
      </c>
      <c r="D121" s="29" t="s">
        <v>1637</v>
      </c>
      <c r="E121" s="85" t="s">
        <v>1817</v>
      </c>
      <c r="F121" s="45" t="s">
        <v>1824</v>
      </c>
      <c r="G121" s="78" t="s">
        <v>1</v>
      </c>
      <c r="H121" s="78" t="s">
        <v>1</v>
      </c>
      <c r="I121" s="78" t="s">
        <v>1</v>
      </c>
      <c r="J121" s="78" t="s">
        <v>1</v>
      </c>
      <c r="K121" s="78" t="s">
        <v>1</v>
      </c>
      <c r="L121" s="84" t="str">
        <f t="shared" si="101"/>
        <v>Transportes</v>
      </c>
      <c r="M121" s="27" t="str">
        <f t="shared" si="102"/>
        <v>Terrestres</v>
      </c>
      <c r="N121" s="27" t="str">
        <f t="shared" si="103"/>
        <v>Guindastes</v>
      </c>
      <c r="O121" s="28" t="str">
        <f t="shared" si="104"/>
        <v>Guindaste.Ponte</v>
      </c>
      <c r="P121" s="28" t="s">
        <v>1825</v>
      </c>
      <c r="Q121" s="84" t="s">
        <v>1945</v>
      </c>
      <c r="R121" s="28" t="s">
        <v>1</v>
      </c>
      <c r="S121" s="28" t="str">
        <f t="shared" si="105"/>
        <v>Transportes</v>
      </c>
      <c r="T121" s="28" t="str">
        <f t="shared" si="106"/>
        <v>Terrestres</v>
      </c>
      <c r="U121" s="28" t="str">
        <f t="shared" si="107"/>
        <v>Guindastes</v>
      </c>
      <c r="V121" s="28" t="s">
        <v>2222</v>
      </c>
      <c r="W121" s="69" t="str">
        <f t="shared" si="70"/>
        <v>Key-INFRA-121</v>
      </c>
      <c r="X121" s="28" t="s">
        <v>2089</v>
      </c>
      <c r="Y121" s="28" t="s">
        <v>2139</v>
      </c>
      <c r="Z121" s="40" t="s">
        <v>1</v>
      </c>
      <c r="AA121" s="28" t="str">
        <f t="shared" si="71"/>
        <v>Crane-type operation structure in gantry format.</v>
      </c>
    </row>
    <row r="122" spans="1:27" ht="6.65" customHeight="1" x14ac:dyDescent="0.4">
      <c r="A122" s="77">
        <v>122</v>
      </c>
      <c r="B122" s="66" t="s">
        <v>2219</v>
      </c>
      <c r="C122" s="30" t="s">
        <v>1636</v>
      </c>
      <c r="D122" s="29" t="s">
        <v>1637</v>
      </c>
      <c r="E122" s="82" t="s">
        <v>1631</v>
      </c>
      <c r="F122" s="44" t="s">
        <v>189</v>
      </c>
      <c r="G122" s="83" t="s">
        <v>1</v>
      </c>
      <c r="H122" s="83" t="s">
        <v>1</v>
      </c>
      <c r="I122" s="83" t="s">
        <v>1</v>
      </c>
      <c r="J122" s="83" t="s">
        <v>1</v>
      </c>
      <c r="K122" s="83" t="s">
        <v>1</v>
      </c>
      <c r="L122" s="84" t="str">
        <f t="shared" ref="L122:L136" si="122">_xlfn.CONCAT(C122)</f>
        <v>Transportes</v>
      </c>
      <c r="M122" s="27" t="str">
        <f t="shared" ref="M122:M136" si="123">CONCATENATE("", D122)</f>
        <v>Terrestres</v>
      </c>
      <c r="N122" s="27" t="str">
        <f t="shared" ref="N122:N136" si="124">(SUBSTITUTE(SUBSTITUTE(CONCATENATE("",E122),"."," ")," De "," de "))</f>
        <v>Veículos Pesados</v>
      </c>
      <c r="O122" s="28" t="str">
        <f t="shared" ref="O122:O136" si="125">F122</f>
        <v>Caminhão.Baú</v>
      </c>
      <c r="P122" s="43" t="s">
        <v>199</v>
      </c>
      <c r="Q122" s="84" t="s">
        <v>206</v>
      </c>
      <c r="R122" s="28" t="s">
        <v>1</v>
      </c>
      <c r="S122" s="28" t="str">
        <f t="shared" ref="S122:S136" si="126">SUBSTITUTE(C122, ".", " ")</f>
        <v>Transportes</v>
      </c>
      <c r="T122" s="28" t="str">
        <f t="shared" ref="T122:T136" si="127">SUBSTITUTE(D122, ".", " ")</f>
        <v>Terrestres</v>
      </c>
      <c r="U122" s="28" t="str">
        <f t="shared" ref="U122:U136" si="128">SUBSTITUTE(E122, ".", " ")</f>
        <v>Veículos Pesados</v>
      </c>
      <c r="V122" s="28" t="s">
        <v>2222</v>
      </c>
      <c r="W122" s="69" t="str">
        <f t="shared" si="70"/>
        <v>Key-INFRA-122</v>
      </c>
      <c r="X122" s="28" t="s">
        <v>2091</v>
      </c>
      <c r="Y122" s="28" t="s">
        <v>2139</v>
      </c>
      <c r="Z122" s="40" t="s">
        <v>1</v>
      </c>
      <c r="AA122" s="28" t="str">
        <f t="shared" si="71"/>
        <v>High-capacity product loading vehicle with closed body.</v>
      </c>
    </row>
    <row r="123" spans="1:27" ht="6.65" customHeight="1" x14ac:dyDescent="0.4">
      <c r="A123" s="77">
        <v>123</v>
      </c>
      <c r="B123" s="66" t="s">
        <v>2219</v>
      </c>
      <c r="C123" s="30" t="s">
        <v>1636</v>
      </c>
      <c r="D123" s="29" t="s">
        <v>1637</v>
      </c>
      <c r="E123" s="82" t="s">
        <v>1631</v>
      </c>
      <c r="F123" s="44" t="s">
        <v>190</v>
      </c>
      <c r="G123" s="83" t="s">
        <v>1</v>
      </c>
      <c r="H123" s="83" t="s">
        <v>1</v>
      </c>
      <c r="I123" s="83" t="s">
        <v>1</v>
      </c>
      <c r="J123" s="83" t="s">
        <v>1</v>
      </c>
      <c r="K123" s="83" t="s">
        <v>1</v>
      </c>
      <c r="L123" s="84" t="str">
        <f t="shared" si="122"/>
        <v>Transportes</v>
      </c>
      <c r="M123" s="27" t="str">
        <f t="shared" si="123"/>
        <v>Terrestres</v>
      </c>
      <c r="N123" s="27" t="str">
        <f t="shared" si="124"/>
        <v>Veículos Pesados</v>
      </c>
      <c r="O123" s="28" t="str">
        <f t="shared" si="125"/>
        <v>Caminhão.Tanque</v>
      </c>
      <c r="P123" s="43" t="s">
        <v>195</v>
      </c>
      <c r="Q123" s="84" t="s">
        <v>207</v>
      </c>
      <c r="R123" s="28" t="s">
        <v>1</v>
      </c>
      <c r="S123" s="28" t="str">
        <f t="shared" si="126"/>
        <v>Transportes</v>
      </c>
      <c r="T123" s="28" t="str">
        <f t="shared" si="127"/>
        <v>Terrestres</v>
      </c>
      <c r="U123" s="28" t="str">
        <f t="shared" si="128"/>
        <v>Veículos Pesados</v>
      </c>
      <c r="V123" s="28" t="s">
        <v>2222</v>
      </c>
      <c r="W123" s="69" t="str">
        <f t="shared" si="70"/>
        <v>Key-INFRA-123</v>
      </c>
      <c r="X123" s="28" t="s">
        <v>2091</v>
      </c>
      <c r="Y123" s="28" t="s">
        <v>2139</v>
      </c>
      <c r="Z123" s="40" t="s">
        <v>1</v>
      </c>
      <c r="AA123" s="28" t="str">
        <f t="shared" si="71"/>
        <v>Cargo vehicle with a high capacity to transport fluids or fuels.</v>
      </c>
    </row>
    <row r="124" spans="1:27" ht="6.65" customHeight="1" x14ac:dyDescent="0.4">
      <c r="A124" s="77">
        <v>124</v>
      </c>
      <c r="B124" s="66" t="s">
        <v>2219</v>
      </c>
      <c r="C124" s="30" t="s">
        <v>1636</v>
      </c>
      <c r="D124" s="29" t="s">
        <v>1637</v>
      </c>
      <c r="E124" s="82" t="s">
        <v>1631</v>
      </c>
      <c r="F124" s="44" t="s">
        <v>191</v>
      </c>
      <c r="G124" s="83" t="s">
        <v>1</v>
      </c>
      <c r="H124" s="83" t="s">
        <v>1</v>
      </c>
      <c r="I124" s="83" t="s">
        <v>1</v>
      </c>
      <c r="J124" s="83" t="s">
        <v>1</v>
      </c>
      <c r="K124" s="83" t="s">
        <v>1</v>
      </c>
      <c r="L124" s="84" t="str">
        <f t="shared" si="122"/>
        <v>Transportes</v>
      </c>
      <c r="M124" s="27" t="str">
        <f t="shared" si="123"/>
        <v>Terrestres</v>
      </c>
      <c r="N124" s="27" t="str">
        <f t="shared" si="124"/>
        <v>Veículos Pesados</v>
      </c>
      <c r="O124" s="28" t="str">
        <f t="shared" si="125"/>
        <v>Caminhão.Caçamba</v>
      </c>
      <c r="P124" s="43" t="s">
        <v>201</v>
      </c>
      <c r="Q124" s="84" t="s">
        <v>208</v>
      </c>
      <c r="R124" s="28" t="s">
        <v>1</v>
      </c>
      <c r="S124" s="28" t="str">
        <f t="shared" si="126"/>
        <v>Transportes</v>
      </c>
      <c r="T124" s="28" t="str">
        <f t="shared" si="127"/>
        <v>Terrestres</v>
      </c>
      <c r="U124" s="28" t="str">
        <f t="shared" si="128"/>
        <v>Veículos Pesados</v>
      </c>
      <c r="V124" s="28" t="s">
        <v>2222</v>
      </c>
      <c r="W124" s="69" t="str">
        <f t="shared" si="70"/>
        <v>Key-INFRA-124</v>
      </c>
      <c r="X124" s="28" t="s">
        <v>2091</v>
      </c>
      <c r="Y124" s="28" t="s">
        <v>2139</v>
      </c>
      <c r="Z124" s="40" t="s">
        <v>1</v>
      </c>
      <c r="AA124" s="28" t="str">
        <f t="shared" si="71"/>
        <v>Cargo vehicle with high capacity for transporting and unloading bulk materials such as sand, gravel, earth, rubble or gravel. The bucket can be tipped.</v>
      </c>
    </row>
    <row r="125" spans="1:27" ht="6.65" customHeight="1" x14ac:dyDescent="0.4">
      <c r="A125" s="77">
        <v>125</v>
      </c>
      <c r="B125" s="66" t="s">
        <v>2219</v>
      </c>
      <c r="C125" s="30" t="s">
        <v>1636</v>
      </c>
      <c r="D125" s="29" t="s">
        <v>1637</v>
      </c>
      <c r="E125" s="82" t="s">
        <v>1631</v>
      </c>
      <c r="F125" s="44" t="s">
        <v>192</v>
      </c>
      <c r="G125" s="83" t="s">
        <v>1</v>
      </c>
      <c r="H125" s="83" t="s">
        <v>1</v>
      </c>
      <c r="I125" s="83" t="s">
        <v>1</v>
      </c>
      <c r="J125" s="83" t="s">
        <v>1</v>
      </c>
      <c r="K125" s="83" t="s">
        <v>1</v>
      </c>
      <c r="L125" s="84" t="str">
        <f t="shared" si="122"/>
        <v>Transportes</v>
      </c>
      <c r="M125" s="27" t="str">
        <f t="shared" si="123"/>
        <v>Terrestres</v>
      </c>
      <c r="N125" s="27" t="str">
        <f t="shared" si="124"/>
        <v>Veículos Pesados</v>
      </c>
      <c r="O125" s="28" t="str">
        <f t="shared" si="125"/>
        <v>Caminhão.BiTrem</v>
      </c>
      <c r="P125" s="43" t="s">
        <v>200</v>
      </c>
      <c r="Q125" s="84" t="s">
        <v>209</v>
      </c>
      <c r="R125" s="28" t="s">
        <v>1</v>
      </c>
      <c r="S125" s="28" t="str">
        <f t="shared" si="126"/>
        <v>Transportes</v>
      </c>
      <c r="T125" s="28" t="str">
        <f t="shared" si="127"/>
        <v>Terrestres</v>
      </c>
      <c r="U125" s="28" t="str">
        <f t="shared" si="128"/>
        <v>Veículos Pesados</v>
      </c>
      <c r="V125" s="28" t="s">
        <v>2222</v>
      </c>
      <c r="W125" s="69" t="str">
        <f t="shared" si="70"/>
        <v>Key-INFRA-125</v>
      </c>
      <c r="X125" s="28" t="s">
        <v>2091</v>
      </c>
      <c r="Y125" s="28" t="s">
        <v>2139</v>
      </c>
      <c r="Z125" s="40" t="s">
        <v>1</v>
      </c>
      <c r="AA125" s="28" t="str">
        <f t="shared" si="71"/>
        <v>High-capacity cargo vehicle with two trailers (or semi-trailers) attached to the tractor truck.</v>
      </c>
    </row>
    <row r="126" spans="1:27" ht="6.65" customHeight="1" x14ac:dyDescent="0.4">
      <c r="A126" s="77">
        <v>126</v>
      </c>
      <c r="B126" s="66" t="s">
        <v>2219</v>
      </c>
      <c r="C126" s="30" t="s">
        <v>1636</v>
      </c>
      <c r="D126" s="29" t="s">
        <v>1637</v>
      </c>
      <c r="E126" s="82" t="s">
        <v>1631</v>
      </c>
      <c r="F126" s="44" t="s">
        <v>193</v>
      </c>
      <c r="G126" s="83" t="s">
        <v>1</v>
      </c>
      <c r="H126" s="83" t="s">
        <v>1</v>
      </c>
      <c r="I126" s="83" t="s">
        <v>1</v>
      </c>
      <c r="J126" s="83" t="s">
        <v>1</v>
      </c>
      <c r="K126" s="83" t="s">
        <v>1</v>
      </c>
      <c r="L126" s="84" t="str">
        <f t="shared" si="122"/>
        <v>Transportes</v>
      </c>
      <c r="M126" s="27" t="str">
        <f t="shared" si="123"/>
        <v>Terrestres</v>
      </c>
      <c r="N126" s="27" t="str">
        <f t="shared" si="124"/>
        <v>Veículos Pesados</v>
      </c>
      <c r="O126" s="28" t="str">
        <f t="shared" si="125"/>
        <v>Caminhão.Carroceria</v>
      </c>
      <c r="P126" s="43" t="s">
        <v>196</v>
      </c>
      <c r="Q126" s="84" t="s">
        <v>210</v>
      </c>
      <c r="R126" s="28" t="s">
        <v>1</v>
      </c>
      <c r="S126" s="28" t="str">
        <f t="shared" si="126"/>
        <v>Transportes</v>
      </c>
      <c r="T126" s="28" t="str">
        <f t="shared" si="127"/>
        <v>Terrestres</v>
      </c>
      <c r="U126" s="28" t="str">
        <f t="shared" si="128"/>
        <v>Veículos Pesados</v>
      </c>
      <c r="V126" s="28" t="s">
        <v>2222</v>
      </c>
      <c r="W126" s="69" t="str">
        <f t="shared" si="70"/>
        <v>Key-INFRA-126</v>
      </c>
      <c r="X126" s="28" t="s">
        <v>2091</v>
      </c>
      <c r="Y126" s="28" t="s">
        <v>2139</v>
      </c>
      <c r="Z126" s="40" t="s">
        <v>1</v>
      </c>
      <c r="AA126" s="28" t="str">
        <f t="shared" si="71"/>
        <v>Cargo vehicle with an open or semi-open structure at the rear.</v>
      </c>
    </row>
    <row r="127" spans="1:27" ht="6.65" customHeight="1" x14ac:dyDescent="0.4">
      <c r="A127" s="77">
        <v>127</v>
      </c>
      <c r="B127" s="66" t="s">
        <v>2219</v>
      </c>
      <c r="C127" s="30" t="s">
        <v>1636</v>
      </c>
      <c r="D127" s="29" t="s">
        <v>1637</v>
      </c>
      <c r="E127" s="82" t="s">
        <v>1631</v>
      </c>
      <c r="F127" s="44" t="s">
        <v>194</v>
      </c>
      <c r="G127" s="83" t="s">
        <v>1</v>
      </c>
      <c r="H127" s="83" t="s">
        <v>1</v>
      </c>
      <c r="I127" s="83" t="s">
        <v>1</v>
      </c>
      <c r="J127" s="83" t="s">
        <v>1</v>
      </c>
      <c r="K127" s="83" t="s">
        <v>1</v>
      </c>
      <c r="L127" s="84" t="str">
        <f t="shared" si="122"/>
        <v>Transportes</v>
      </c>
      <c r="M127" s="27" t="str">
        <f t="shared" si="123"/>
        <v>Terrestres</v>
      </c>
      <c r="N127" s="27" t="str">
        <f t="shared" si="124"/>
        <v>Veículos Pesados</v>
      </c>
      <c r="O127" s="28" t="str">
        <f t="shared" si="125"/>
        <v>Caminhão.Graneleiro</v>
      </c>
      <c r="P127" s="43" t="s">
        <v>197</v>
      </c>
      <c r="Q127" s="84" t="s">
        <v>211</v>
      </c>
      <c r="R127" s="28" t="s">
        <v>1</v>
      </c>
      <c r="S127" s="28" t="str">
        <f t="shared" si="126"/>
        <v>Transportes</v>
      </c>
      <c r="T127" s="28" t="str">
        <f t="shared" si="127"/>
        <v>Terrestres</v>
      </c>
      <c r="U127" s="28" t="str">
        <f t="shared" si="128"/>
        <v>Veículos Pesados</v>
      </c>
      <c r="V127" s="28" t="s">
        <v>2222</v>
      </c>
      <c r="W127" s="69" t="str">
        <f t="shared" si="70"/>
        <v>Key-INFRA-127</v>
      </c>
      <c r="X127" s="28" t="s">
        <v>2091</v>
      </c>
      <c r="Y127" s="28" t="s">
        <v>2139</v>
      </c>
      <c r="Z127" s="40" t="s">
        <v>1</v>
      </c>
      <c r="AA127" s="28" t="str">
        <f t="shared" si="71"/>
        <v>Cargo vehicle used to transport grains.</v>
      </c>
    </row>
    <row r="128" spans="1:27" ht="6.65" customHeight="1" x14ac:dyDescent="0.4">
      <c r="A128" s="77">
        <v>128</v>
      </c>
      <c r="B128" s="66" t="s">
        <v>2219</v>
      </c>
      <c r="C128" s="30" t="s">
        <v>1636</v>
      </c>
      <c r="D128" s="29" t="s">
        <v>1637</v>
      </c>
      <c r="E128" s="82" t="s">
        <v>1631</v>
      </c>
      <c r="F128" s="44" t="s">
        <v>198</v>
      </c>
      <c r="G128" s="83" t="s">
        <v>1</v>
      </c>
      <c r="H128" s="83" t="s">
        <v>1</v>
      </c>
      <c r="I128" s="83" t="s">
        <v>1</v>
      </c>
      <c r="J128" s="83" t="s">
        <v>1</v>
      </c>
      <c r="K128" s="83" t="s">
        <v>1</v>
      </c>
      <c r="L128" s="84" t="str">
        <f t="shared" si="122"/>
        <v>Transportes</v>
      </c>
      <c r="M128" s="27" t="str">
        <f t="shared" si="123"/>
        <v>Terrestres</v>
      </c>
      <c r="N128" s="27" t="str">
        <f t="shared" si="124"/>
        <v>Veículos Pesados</v>
      </c>
      <c r="O128" s="28" t="str">
        <f t="shared" si="125"/>
        <v>Caminhão.Frigorífico</v>
      </c>
      <c r="P128" s="43" t="s">
        <v>202</v>
      </c>
      <c r="Q128" s="84" t="s">
        <v>212</v>
      </c>
      <c r="R128" s="28" t="s">
        <v>1</v>
      </c>
      <c r="S128" s="28" t="str">
        <f t="shared" si="126"/>
        <v>Transportes</v>
      </c>
      <c r="T128" s="28" t="str">
        <f t="shared" si="127"/>
        <v>Terrestres</v>
      </c>
      <c r="U128" s="28" t="str">
        <f t="shared" si="128"/>
        <v>Veículos Pesados</v>
      </c>
      <c r="V128" s="28" t="s">
        <v>2222</v>
      </c>
      <c r="W128" s="69" t="str">
        <f t="shared" si="70"/>
        <v>Key-INFRA-128</v>
      </c>
      <c r="X128" s="28" t="s">
        <v>2091</v>
      </c>
      <c r="Y128" s="28" t="s">
        <v>2139</v>
      </c>
      <c r="Z128" s="40" t="s">
        <v>1</v>
      </c>
      <c r="AA128" s="28" t="str">
        <f t="shared" si="71"/>
        <v>Cargo vehicle used to transport cargo that needs to be kept at controlled temperatures. Essential to ensure the cold chain.</v>
      </c>
    </row>
    <row r="129" spans="1:27" ht="6.65" customHeight="1" x14ac:dyDescent="0.4">
      <c r="A129" s="77">
        <v>129</v>
      </c>
      <c r="B129" s="66" t="s">
        <v>2219</v>
      </c>
      <c r="C129" s="30" t="s">
        <v>1636</v>
      </c>
      <c r="D129" s="29" t="s">
        <v>1637</v>
      </c>
      <c r="E129" s="82" t="s">
        <v>1631</v>
      </c>
      <c r="F129" s="44" t="s">
        <v>266</v>
      </c>
      <c r="G129" s="83" t="s">
        <v>1</v>
      </c>
      <c r="H129" s="83" t="s">
        <v>1</v>
      </c>
      <c r="I129" s="83" t="s">
        <v>1</v>
      </c>
      <c r="J129" s="83" t="s">
        <v>1</v>
      </c>
      <c r="K129" s="83" t="s">
        <v>1</v>
      </c>
      <c r="L129" s="84" t="str">
        <f t="shared" si="122"/>
        <v>Transportes</v>
      </c>
      <c r="M129" s="27" t="str">
        <f t="shared" si="123"/>
        <v>Terrestres</v>
      </c>
      <c r="N129" s="27" t="str">
        <f t="shared" si="124"/>
        <v>Veículos Pesados</v>
      </c>
      <c r="O129" s="28" t="str">
        <f t="shared" si="125"/>
        <v>Caminhão.Trator</v>
      </c>
      <c r="P129" s="43" t="s">
        <v>267</v>
      </c>
      <c r="Q129" s="84" t="s">
        <v>268</v>
      </c>
      <c r="R129" s="28" t="s">
        <v>1</v>
      </c>
      <c r="S129" s="28" t="str">
        <f t="shared" si="126"/>
        <v>Transportes</v>
      </c>
      <c r="T129" s="28" t="str">
        <f t="shared" si="127"/>
        <v>Terrestres</v>
      </c>
      <c r="U129" s="28" t="str">
        <f t="shared" si="128"/>
        <v>Veículos Pesados</v>
      </c>
      <c r="V129" s="28" t="s">
        <v>2222</v>
      </c>
      <c r="W129" s="69" t="str">
        <f t="shared" si="70"/>
        <v>Key-INFRA-129</v>
      </c>
      <c r="X129" s="28" t="s">
        <v>2091</v>
      </c>
      <c r="Y129" s="28" t="s">
        <v>2139</v>
      </c>
      <c r="Z129" s="40" t="s">
        <v>1</v>
      </c>
      <c r="AA129" s="28" t="str">
        <f t="shared" si="71"/>
        <v>Vehicle with cabin and engine to pull semi-trailers forming an articulated set.</v>
      </c>
    </row>
    <row r="130" spans="1:27" ht="6.65" customHeight="1" x14ac:dyDescent="0.4">
      <c r="A130" s="77">
        <v>130</v>
      </c>
      <c r="B130" s="66" t="s">
        <v>2219</v>
      </c>
      <c r="C130" s="30" t="s">
        <v>1636</v>
      </c>
      <c r="D130" s="29" t="s">
        <v>1637</v>
      </c>
      <c r="E130" s="82" t="s">
        <v>1631</v>
      </c>
      <c r="F130" s="44" t="s">
        <v>93</v>
      </c>
      <c r="G130" s="83" t="s">
        <v>1</v>
      </c>
      <c r="H130" s="83" t="s">
        <v>1</v>
      </c>
      <c r="I130" s="83" t="s">
        <v>1</v>
      </c>
      <c r="J130" s="83" t="s">
        <v>1</v>
      </c>
      <c r="K130" s="83" t="s">
        <v>1</v>
      </c>
      <c r="L130" s="84" t="str">
        <f t="shared" si="122"/>
        <v>Transportes</v>
      </c>
      <c r="M130" s="27" t="str">
        <f t="shared" si="123"/>
        <v>Terrestres</v>
      </c>
      <c r="N130" s="27" t="str">
        <f t="shared" si="124"/>
        <v>Veículos Pesados</v>
      </c>
      <c r="O130" s="28" t="str">
        <f t="shared" si="125"/>
        <v>Ônibus</v>
      </c>
      <c r="P130" s="43" t="s">
        <v>1487</v>
      </c>
      <c r="Q130" s="84" t="s">
        <v>1490</v>
      </c>
      <c r="R130" s="28" t="s">
        <v>1</v>
      </c>
      <c r="S130" s="28" t="str">
        <f t="shared" si="126"/>
        <v>Transportes</v>
      </c>
      <c r="T130" s="28" t="str">
        <f t="shared" si="127"/>
        <v>Terrestres</v>
      </c>
      <c r="U130" s="28" t="str">
        <f t="shared" si="128"/>
        <v>Veículos Pesados</v>
      </c>
      <c r="V130" s="28" t="s">
        <v>2222</v>
      </c>
      <c r="W130" s="69" t="str">
        <f t="shared" ref="W130:W193" si="129">CONCATENATE("Key-INFRA-",A130)</f>
        <v>Key-INFRA-130</v>
      </c>
      <c r="X130" s="28" t="s">
        <v>2091</v>
      </c>
      <c r="Y130" s="28" t="s">
        <v>2139</v>
      </c>
      <c r="Z130" s="40" t="s">
        <v>1</v>
      </c>
      <c r="AA130" s="28" t="str">
        <f t="shared" si="71"/>
        <v>Public transport vehicle with more than 20 passengers.</v>
      </c>
    </row>
    <row r="131" spans="1:27" ht="6.65" customHeight="1" x14ac:dyDescent="0.4">
      <c r="A131" s="77">
        <v>131</v>
      </c>
      <c r="B131" s="66" t="s">
        <v>2219</v>
      </c>
      <c r="C131" s="30" t="s">
        <v>1636</v>
      </c>
      <c r="D131" s="29" t="s">
        <v>1637</v>
      </c>
      <c r="E131" s="82" t="s">
        <v>1631</v>
      </c>
      <c r="F131" s="44" t="s">
        <v>1486</v>
      </c>
      <c r="G131" s="83" t="s">
        <v>1</v>
      </c>
      <c r="H131" s="83" t="s">
        <v>1</v>
      </c>
      <c r="I131" s="83" t="s">
        <v>1</v>
      </c>
      <c r="J131" s="83" t="s">
        <v>1</v>
      </c>
      <c r="K131" s="83" t="s">
        <v>1</v>
      </c>
      <c r="L131" s="84" t="str">
        <f t="shared" si="122"/>
        <v>Transportes</v>
      </c>
      <c r="M131" s="27" t="str">
        <f t="shared" si="123"/>
        <v>Terrestres</v>
      </c>
      <c r="N131" s="27" t="str">
        <f t="shared" si="124"/>
        <v>Veículos Pesados</v>
      </c>
      <c r="O131" s="28" t="str">
        <f t="shared" si="125"/>
        <v>Ônibus.BRT</v>
      </c>
      <c r="P131" s="43" t="s">
        <v>1488</v>
      </c>
      <c r="Q131" s="84" t="s">
        <v>1491</v>
      </c>
      <c r="R131" s="28" t="s">
        <v>1</v>
      </c>
      <c r="S131" s="28" t="str">
        <f t="shared" si="126"/>
        <v>Transportes</v>
      </c>
      <c r="T131" s="28" t="str">
        <f t="shared" si="127"/>
        <v>Terrestres</v>
      </c>
      <c r="U131" s="28" t="str">
        <f t="shared" si="128"/>
        <v>Veículos Pesados</v>
      </c>
      <c r="V131" s="28" t="s">
        <v>2222</v>
      </c>
      <c r="W131" s="69" t="str">
        <f t="shared" si="129"/>
        <v>Key-INFRA-131</v>
      </c>
      <c r="X131" s="28" t="s">
        <v>2091</v>
      </c>
      <c r="Y131" s="28" t="s">
        <v>2139</v>
      </c>
      <c r="Z131" s="40" t="s">
        <v>1</v>
      </c>
      <c r="AA131" s="28" t="str">
        <f t="shared" si="71"/>
        <v>Bus Rapid Transit (BRT) system public transport vehicle. High capacity urban bus system that operates on exclusive rails.</v>
      </c>
    </row>
    <row r="132" spans="1:27" ht="6.65" customHeight="1" x14ac:dyDescent="0.4">
      <c r="A132" s="77">
        <v>132</v>
      </c>
      <c r="B132" s="66" t="s">
        <v>2219</v>
      </c>
      <c r="C132" s="30" t="s">
        <v>1636</v>
      </c>
      <c r="D132" s="29" t="s">
        <v>1637</v>
      </c>
      <c r="E132" s="82" t="s">
        <v>1631</v>
      </c>
      <c r="F132" s="44" t="s">
        <v>94</v>
      </c>
      <c r="G132" s="83" t="s">
        <v>1</v>
      </c>
      <c r="H132" s="83" t="s">
        <v>1</v>
      </c>
      <c r="I132" s="83" t="s">
        <v>1</v>
      </c>
      <c r="J132" s="83" t="s">
        <v>1</v>
      </c>
      <c r="K132" s="83" t="s">
        <v>1</v>
      </c>
      <c r="L132" s="84" t="str">
        <f t="shared" si="122"/>
        <v>Transportes</v>
      </c>
      <c r="M132" s="27" t="str">
        <f t="shared" si="123"/>
        <v>Terrestres</v>
      </c>
      <c r="N132" s="27" t="str">
        <f t="shared" si="124"/>
        <v>Veículos Pesados</v>
      </c>
      <c r="O132" s="28" t="str">
        <f t="shared" si="125"/>
        <v>Microônibus</v>
      </c>
      <c r="P132" s="43" t="s">
        <v>1489</v>
      </c>
      <c r="Q132" s="84" t="s">
        <v>1492</v>
      </c>
      <c r="R132" s="28" t="s">
        <v>1</v>
      </c>
      <c r="S132" s="28" t="str">
        <f t="shared" si="126"/>
        <v>Transportes</v>
      </c>
      <c r="T132" s="28" t="str">
        <f t="shared" si="127"/>
        <v>Terrestres</v>
      </c>
      <c r="U132" s="28" t="str">
        <f t="shared" si="128"/>
        <v>Veículos Pesados</v>
      </c>
      <c r="V132" s="28" t="s">
        <v>2222</v>
      </c>
      <c r="W132" s="69" t="str">
        <f t="shared" si="129"/>
        <v>Key-INFRA-132</v>
      </c>
      <c r="X132" s="28" t="s">
        <v>2091</v>
      </c>
      <c r="Y132" s="28" t="s">
        <v>2139</v>
      </c>
      <c r="Z132" s="40" t="s">
        <v>1</v>
      </c>
      <c r="AA132" s="28" t="str">
        <f t="shared" si="71"/>
        <v>Public transport vehicle with up to 20 passengers.</v>
      </c>
    </row>
    <row r="133" spans="1:27" ht="6.65" customHeight="1" x14ac:dyDescent="0.4">
      <c r="A133" s="77">
        <v>133</v>
      </c>
      <c r="B133" s="66" t="s">
        <v>2219</v>
      </c>
      <c r="C133" s="30" t="s">
        <v>1636</v>
      </c>
      <c r="D133" s="29" t="s">
        <v>1637</v>
      </c>
      <c r="E133" s="82" t="s">
        <v>1631</v>
      </c>
      <c r="F133" s="44" t="s">
        <v>99</v>
      </c>
      <c r="G133" s="83" t="s">
        <v>1</v>
      </c>
      <c r="H133" s="83" t="s">
        <v>1</v>
      </c>
      <c r="I133" s="83" t="s">
        <v>1</v>
      </c>
      <c r="J133" s="83" t="s">
        <v>1</v>
      </c>
      <c r="K133" s="83" t="s">
        <v>1</v>
      </c>
      <c r="L133" s="84" t="str">
        <f t="shared" si="122"/>
        <v>Transportes</v>
      </c>
      <c r="M133" s="27" t="str">
        <f t="shared" si="123"/>
        <v>Terrestres</v>
      </c>
      <c r="N133" s="27" t="str">
        <f t="shared" si="124"/>
        <v>Veículos Pesados</v>
      </c>
      <c r="O133" s="28" t="str">
        <f t="shared" si="125"/>
        <v>Reboque</v>
      </c>
      <c r="P133" s="43" t="s">
        <v>187</v>
      </c>
      <c r="Q133" s="84" t="s">
        <v>216</v>
      </c>
      <c r="R133" s="28" t="s">
        <v>1</v>
      </c>
      <c r="S133" s="28" t="str">
        <f t="shared" si="126"/>
        <v>Transportes</v>
      </c>
      <c r="T133" s="28" t="str">
        <f t="shared" si="127"/>
        <v>Terrestres</v>
      </c>
      <c r="U133" s="28" t="str">
        <f t="shared" si="128"/>
        <v>Veículos Pesados</v>
      </c>
      <c r="V133" s="28" t="s">
        <v>2222</v>
      </c>
      <c r="W133" s="69" t="str">
        <f t="shared" si="129"/>
        <v>Key-INFRA-133</v>
      </c>
      <c r="X133" s="28" t="s">
        <v>2091</v>
      </c>
      <c r="Y133" s="28" t="s">
        <v>2139</v>
      </c>
      <c r="Z133" s="40" t="s">
        <v>1</v>
      </c>
      <c r="AA133" s="28" t="str">
        <f t="shared" si="71"/>
        <v>Non-motorized vehicle coupled to another.</v>
      </c>
    </row>
    <row r="134" spans="1:27" ht="6.65" customHeight="1" x14ac:dyDescent="0.4">
      <c r="A134" s="77">
        <v>134</v>
      </c>
      <c r="B134" s="66" t="s">
        <v>2219</v>
      </c>
      <c r="C134" s="30" t="s">
        <v>1636</v>
      </c>
      <c r="D134" s="29" t="s">
        <v>1637</v>
      </c>
      <c r="E134" s="82" t="s">
        <v>1631</v>
      </c>
      <c r="F134" s="44" t="s">
        <v>100</v>
      </c>
      <c r="G134" s="83" t="s">
        <v>1</v>
      </c>
      <c r="H134" s="83" t="s">
        <v>1</v>
      </c>
      <c r="I134" s="83" t="s">
        <v>1</v>
      </c>
      <c r="J134" s="83" t="s">
        <v>1</v>
      </c>
      <c r="K134" s="83" t="s">
        <v>1</v>
      </c>
      <c r="L134" s="84" t="str">
        <f t="shared" si="122"/>
        <v>Transportes</v>
      </c>
      <c r="M134" s="27" t="str">
        <f t="shared" si="123"/>
        <v>Terrestres</v>
      </c>
      <c r="N134" s="27" t="str">
        <f t="shared" si="124"/>
        <v>Veículos Pesados</v>
      </c>
      <c r="O134" s="28" t="str">
        <f t="shared" si="125"/>
        <v>Semirreboque</v>
      </c>
      <c r="P134" s="43" t="s">
        <v>187</v>
      </c>
      <c r="Q134" s="84" t="s">
        <v>216</v>
      </c>
      <c r="R134" s="28" t="s">
        <v>1</v>
      </c>
      <c r="S134" s="28" t="str">
        <f t="shared" si="126"/>
        <v>Transportes</v>
      </c>
      <c r="T134" s="28" t="str">
        <f t="shared" si="127"/>
        <v>Terrestres</v>
      </c>
      <c r="U134" s="28" t="str">
        <f t="shared" si="128"/>
        <v>Veículos Pesados</v>
      </c>
      <c r="V134" s="28" t="s">
        <v>2222</v>
      </c>
      <c r="W134" s="69" t="str">
        <f t="shared" si="129"/>
        <v>Key-INFRA-134</v>
      </c>
      <c r="X134" s="28" t="s">
        <v>2091</v>
      </c>
      <c r="Y134" s="28" t="s">
        <v>2140</v>
      </c>
      <c r="Z134" s="40" t="s">
        <v>1</v>
      </c>
      <c r="AA134" s="28" t="str">
        <f t="shared" si="71"/>
        <v>Non-motorized vehicle coupled to another.</v>
      </c>
    </row>
    <row r="135" spans="1:27" ht="6.65" customHeight="1" x14ac:dyDescent="0.4">
      <c r="A135" s="77">
        <v>135</v>
      </c>
      <c r="B135" s="66" t="s">
        <v>2219</v>
      </c>
      <c r="C135" s="30" t="s">
        <v>1636</v>
      </c>
      <c r="D135" s="29" t="s">
        <v>1637</v>
      </c>
      <c r="E135" s="82" t="s">
        <v>1631</v>
      </c>
      <c r="F135" s="44" t="s">
        <v>101</v>
      </c>
      <c r="G135" s="83" t="s">
        <v>1</v>
      </c>
      <c r="H135" s="83" t="s">
        <v>1</v>
      </c>
      <c r="I135" s="83" t="s">
        <v>1</v>
      </c>
      <c r="J135" s="83" t="s">
        <v>1</v>
      </c>
      <c r="K135" s="83" t="s">
        <v>1</v>
      </c>
      <c r="L135" s="84" t="str">
        <f t="shared" si="122"/>
        <v>Transportes</v>
      </c>
      <c r="M135" s="27" t="str">
        <f t="shared" si="123"/>
        <v>Terrestres</v>
      </c>
      <c r="N135" s="27" t="str">
        <f t="shared" si="124"/>
        <v>Veículos Pesados</v>
      </c>
      <c r="O135" s="28" t="str">
        <f t="shared" si="125"/>
        <v>Veículo.Misto</v>
      </c>
      <c r="P135" s="43" t="s">
        <v>186</v>
      </c>
      <c r="Q135" s="84" t="s">
        <v>217</v>
      </c>
      <c r="R135" s="28" t="s">
        <v>1</v>
      </c>
      <c r="S135" s="28" t="str">
        <f t="shared" si="126"/>
        <v>Transportes</v>
      </c>
      <c r="T135" s="28" t="str">
        <f t="shared" si="127"/>
        <v>Terrestres</v>
      </c>
      <c r="U135" s="28" t="str">
        <f t="shared" si="128"/>
        <v>Veículos Pesados</v>
      </c>
      <c r="V135" s="28" t="s">
        <v>2222</v>
      </c>
      <c r="W135" s="69" t="str">
        <f t="shared" si="129"/>
        <v>Key-INFRA-135</v>
      </c>
      <c r="X135" s="28" t="s">
        <v>2091</v>
      </c>
      <c r="Y135" s="28" t="s">
        <v>2140</v>
      </c>
      <c r="Z135" s="40" t="s">
        <v>1</v>
      </c>
      <c r="AA135" s="28" t="str">
        <f t="shared" si="71"/>
        <v>Vehicle that transports cargo and passengers simultaneously.</v>
      </c>
    </row>
    <row r="136" spans="1:27" ht="6.65" customHeight="1" x14ac:dyDescent="0.4">
      <c r="A136" s="77">
        <v>136</v>
      </c>
      <c r="B136" s="66" t="s">
        <v>2219</v>
      </c>
      <c r="C136" s="30" t="s">
        <v>1636</v>
      </c>
      <c r="D136" s="29" t="s">
        <v>1637</v>
      </c>
      <c r="E136" s="82" t="s">
        <v>1631</v>
      </c>
      <c r="F136" s="44" t="s">
        <v>102</v>
      </c>
      <c r="G136" s="83" t="s">
        <v>1</v>
      </c>
      <c r="H136" s="83" t="s">
        <v>1</v>
      </c>
      <c r="I136" s="83" t="s">
        <v>1</v>
      </c>
      <c r="J136" s="83" t="s">
        <v>1</v>
      </c>
      <c r="K136" s="83" t="s">
        <v>1</v>
      </c>
      <c r="L136" s="84" t="str">
        <f t="shared" si="122"/>
        <v>Transportes</v>
      </c>
      <c r="M136" s="27" t="str">
        <f t="shared" si="123"/>
        <v>Terrestres</v>
      </c>
      <c r="N136" s="27" t="str">
        <f t="shared" si="124"/>
        <v>Veículos Pesados</v>
      </c>
      <c r="O136" s="28" t="str">
        <f t="shared" si="125"/>
        <v>Veículo.Especial</v>
      </c>
      <c r="P136" s="43" t="s">
        <v>89</v>
      </c>
      <c r="Q136" s="84" t="s">
        <v>218</v>
      </c>
      <c r="R136" s="28" t="s">
        <v>1</v>
      </c>
      <c r="S136" s="28" t="str">
        <f t="shared" si="126"/>
        <v>Transportes</v>
      </c>
      <c r="T136" s="28" t="str">
        <f t="shared" si="127"/>
        <v>Terrestres</v>
      </c>
      <c r="U136" s="28" t="str">
        <f t="shared" si="128"/>
        <v>Veículos Pesados</v>
      </c>
      <c r="V136" s="28" t="s">
        <v>2222</v>
      </c>
      <c r="W136" s="69" t="str">
        <f t="shared" si="129"/>
        <v>Key-INFRA-136</v>
      </c>
      <c r="X136" s="28" t="s">
        <v>2091</v>
      </c>
      <c r="Y136" s="28" t="s">
        <v>2140</v>
      </c>
      <c r="Z136" s="40" t="s">
        <v>1</v>
      </c>
      <c r="AA136" s="28" t="str">
        <f t="shared" si="71"/>
        <v>Vehicles adapted for specific functions such as ambulance, fire engine, school transport, etc.</v>
      </c>
    </row>
    <row r="137" spans="1:27" ht="6.65" customHeight="1" x14ac:dyDescent="0.4">
      <c r="A137" s="77">
        <v>137</v>
      </c>
      <c r="B137" s="66" t="s">
        <v>2219</v>
      </c>
      <c r="C137" s="30" t="s">
        <v>1636</v>
      </c>
      <c r="D137" s="29" t="s">
        <v>1637</v>
      </c>
      <c r="E137" s="82" t="s">
        <v>1632</v>
      </c>
      <c r="F137" s="44" t="s">
        <v>91</v>
      </c>
      <c r="G137" s="83" t="s">
        <v>1</v>
      </c>
      <c r="H137" s="83" t="s">
        <v>1</v>
      </c>
      <c r="I137" s="83" t="s">
        <v>1</v>
      </c>
      <c r="J137" s="83" t="s">
        <v>1</v>
      </c>
      <c r="K137" s="83" t="s">
        <v>1</v>
      </c>
      <c r="L137" s="84" t="str">
        <f t="shared" ref="L137:L170" si="130">_xlfn.CONCAT(C137)</f>
        <v>Transportes</v>
      </c>
      <c r="M137" s="27" t="str">
        <f t="shared" ref="M137:M170" si="131">CONCATENATE("", D137)</f>
        <v>Terrestres</v>
      </c>
      <c r="N137" s="27" t="str">
        <f t="shared" ref="N137:N170" si="132">(SUBSTITUTE(SUBSTITUTE(CONCATENATE("",E137),"."," ")," De "," de "))</f>
        <v>Veículos Leves</v>
      </c>
      <c r="O137" s="28" t="str">
        <f t="shared" ref="O137:O170" si="133">F137</f>
        <v>Camioneta</v>
      </c>
      <c r="P137" s="43" t="s">
        <v>1634</v>
      </c>
      <c r="Q137" s="84" t="s">
        <v>204</v>
      </c>
      <c r="R137" s="28" t="s">
        <v>1</v>
      </c>
      <c r="S137" s="28" t="str">
        <f t="shared" si="81"/>
        <v>Transportes</v>
      </c>
      <c r="T137" s="28" t="str">
        <f t="shared" si="82"/>
        <v>Terrestres</v>
      </c>
      <c r="U137" s="28" t="str">
        <f t="shared" si="82"/>
        <v>Veículos Leves</v>
      </c>
      <c r="V137" s="28" t="s">
        <v>2222</v>
      </c>
      <c r="W137" s="69" t="str">
        <f t="shared" si="129"/>
        <v>Key-INFRA-137</v>
      </c>
      <c r="X137" s="28" t="s">
        <v>2091</v>
      </c>
      <c r="Y137" s="28" t="s">
        <v>2140</v>
      </c>
      <c r="Z137" s="40" t="s">
        <v>1</v>
      </c>
      <c r="AA137" s="28" t="str">
        <f t="shared" ref="AA137:AA200" si="134">_xlfn.TRANSLATE(P137,"pt","en")</f>
        <v>With a total gross weight (GVW) of up to 3,500 kg, they are classified as light. Similar to the car, but with a cargo compartment.</v>
      </c>
    </row>
    <row r="138" spans="1:27" ht="6.65" customHeight="1" x14ac:dyDescent="0.4">
      <c r="A138" s="77">
        <v>138</v>
      </c>
      <c r="B138" s="66" t="s">
        <v>2219</v>
      </c>
      <c r="C138" s="30" t="s">
        <v>1636</v>
      </c>
      <c r="D138" s="29" t="s">
        <v>1637</v>
      </c>
      <c r="E138" s="82" t="s">
        <v>1632</v>
      </c>
      <c r="F138" s="44" t="s">
        <v>92</v>
      </c>
      <c r="G138" s="83" t="s">
        <v>1</v>
      </c>
      <c r="H138" s="83" t="s">
        <v>1</v>
      </c>
      <c r="I138" s="83" t="s">
        <v>1</v>
      </c>
      <c r="J138" s="83" t="s">
        <v>1</v>
      </c>
      <c r="K138" s="83" t="s">
        <v>1</v>
      </c>
      <c r="L138" s="84" t="str">
        <f t="shared" si="130"/>
        <v>Transportes</v>
      </c>
      <c r="M138" s="27" t="str">
        <f t="shared" si="131"/>
        <v>Terrestres</v>
      </c>
      <c r="N138" s="27" t="str">
        <f t="shared" si="132"/>
        <v>Veículos Leves</v>
      </c>
      <c r="O138" s="28" t="str">
        <f t="shared" si="133"/>
        <v>Caminhonete</v>
      </c>
      <c r="P138" s="43" t="s">
        <v>1635</v>
      </c>
      <c r="Q138" s="84" t="s">
        <v>205</v>
      </c>
      <c r="R138" s="28" t="s">
        <v>1</v>
      </c>
      <c r="S138" s="28" t="str">
        <f t="shared" si="81"/>
        <v>Transportes</v>
      </c>
      <c r="T138" s="28" t="str">
        <f t="shared" si="82"/>
        <v>Terrestres</v>
      </c>
      <c r="U138" s="28" t="str">
        <f t="shared" si="82"/>
        <v>Veículos Leves</v>
      </c>
      <c r="V138" s="28" t="s">
        <v>2222</v>
      </c>
      <c r="W138" s="69" t="str">
        <f t="shared" si="129"/>
        <v>Key-INFRA-138</v>
      </c>
      <c r="X138" s="28" t="s">
        <v>2091</v>
      </c>
      <c r="Y138" s="28" t="s">
        <v>2140</v>
      </c>
      <c r="Z138" s="40" t="s">
        <v>1</v>
      </c>
      <c r="AA138" s="28" t="str">
        <f t="shared" si="134"/>
        <v>With a total gross weight (GVW) of up to 3,500 kg, they are classified as light. Mixed vehicle with cabin and bucket.</v>
      </c>
    </row>
    <row r="139" spans="1:27" ht="6.65" customHeight="1" x14ac:dyDescent="0.4">
      <c r="A139" s="77">
        <v>139</v>
      </c>
      <c r="B139" s="66" t="s">
        <v>2219</v>
      </c>
      <c r="C139" s="30" t="s">
        <v>1636</v>
      </c>
      <c r="D139" s="29" t="s">
        <v>1637</v>
      </c>
      <c r="E139" s="82" t="s">
        <v>1632</v>
      </c>
      <c r="F139" s="44" t="s">
        <v>90</v>
      </c>
      <c r="G139" s="83" t="s">
        <v>1</v>
      </c>
      <c r="H139" s="83" t="s">
        <v>1</v>
      </c>
      <c r="I139" s="83" t="s">
        <v>1</v>
      </c>
      <c r="J139" s="83" t="s">
        <v>1</v>
      </c>
      <c r="K139" s="83" t="s">
        <v>1</v>
      </c>
      <c r="L139" s="84" t="str">
        <f t="shared" ref="L139" si="135">_xlfn.CONCAT(C139)</f>
        <v>Transportes</v>
      </c>
      <c r="M139" s="27" t="str">
        <f t="shared" ref="M139" si="136">CONCATENATE("", D139)</f>
        <v>Terrestres</v>
      </c>
      <c r="N139" s="27" t="str">
        <f t="shared" ref="N139" si="137">(SUBSTITUTE(SUBSTITUTE(CONCATENATE("",E139),"."," ")," De "," de "))</f>
        <v>Veículos Leves</v>
      </c>
      <c r="O139" s="28" t="str">
        <f t="shared" ref="O139" si="138">F139</f>
        <v>Automóvel</v>
      </c>
      <c r="P139" s="43" t="s">
        <v>1633</v>
      </c>
      <c r="Q139" s="84" t="s">
        <v>203</v>
      </c>
      <c r="R139" s="28" t="s">
        <v>1</v>
      </c>
      <c r="S139" s="28" t="str">
        <f t="shared" ref="S139" si="139">SUBSTITUTE(C139, ".", " ")</f>
        <v>Transportes</v>
      </c>
      <c r="T139" s="28" t="str">
        <f t="shared" ref="T139" si="140">SUBSTITUTE(D139, ".", " ")</f>
        <v>Terrestres</v>
      </c>
      <c r="U139" s="28" t="str">
        <f t="shared" ref="U139" si="141">SUBSTITUTE(E139, ".", " ")</f>
        <v>Veículos Leves</v>
      </c>
      <c r="V139" s="28" t="s">
        <v>2222</v>
      </c>
      <c r="W139" s="69" t="str">
        <f t="shared" si="129"/>
        <v>Key-INFRA-139</v>
      </c>
      <c r="X139" s="28" t="s">
        <v>2091</v>
      </c>
      <c r="Y139" s="28" t="s">
        <v>2140</v>
      </c>
      <c r="Z139" s="40" t="s">
        <v>1</v>
      </c>
      <c r="AA139" s="28" t="str">
        <f t="shared" si="134"/>
        <v>With a total gross weight (GVW) of up to 3,500 kg, they are classified as light.  Light vehicle for transporting up to 5 passengers.</v>
      </c>
    </row>
    <row r="140" spans="1:27" ht="6.65" customHeight="1" x14ac:dyDescent="0.4">
      <c r="A140" s="77">
        <v>140</v>
      </c>
      <c r="B140" s="66" t="s">
        <v>2219</v>
      </c>
      <c r="C140" s="30" t="s">
        <v>1636</v>
      </c>
      <c r="D140" s="29" t="s">
        <v>1637</v>
      </c>
      <c r="E140" s="82" t="s">
        <v>1632</v>
      </c>
      <c r="F140" s="44" t="s">
        <v>95</v>
      </c>
      <c r="G140" s="83" t="s">
        <v>1</v>
      </c>
      <c r="H140" s="83" t="s">
        <v>1</v>
      </c>
      <c r="I140" s="83" t="s">
        <v>1</v>
      </c>
      <c r="J140" s="83" t="s">
        <v>1</v>
      </c>
      <c r="K140" s="83" t="s">
        <v>1</v>
      </c>
      <c r="L140" s="84" t="str">
        <f t="shared" si="130"/>
        <v>Transportes</v>
      </c>
      <c r="M140" s="27" t="str">
        <f t="shared" si="131"/>
        <v>Terrestres</v>
      </c>
      <c r="N140" s="27" t="str">
        <f t="shared" si="132"/>
        <v>Veículos Leves</v>
      </c>
      <c r="O140" s="28" t="str">
        <f t="shared" si="133"/>
        <v>Motocicleta</v>
      </c>
      <c r="P140" s="43" t="s">
        <v>183</v>
      </c>
      <c r="Q140" s="84" t="s">
        <v>213</v>
      </c>
      <c r="R140" s="28" t="s">
        <v>1</v>
      </c>
      <c r="S140" s="28" t="str">
        <f t="shared" si="81"/>
        <v>Transportes</v>
      </c>
      <c r="T140" s="28" t="str">
        <f t="shared" si="82"/>
        <v>Terrestres</v>
      </c>
      <c r="U140" s="28" t="str">
        <f t="shared" si="82"/>
        <v>Veículos Leves</v>
      </c>
      <c r="V140" s="28" t="s">
        <v>2222</v>
      </c>
      <c r="W140" s="69" t="str">
        <f t="shared" si="129"/>
        <v>Key-INFRA-140</v>
      </c>
      <c r="X140" s="28" t="s">
        <v>2091</v>
      </c>
      <c r="Y140" s="28" t="s">
        <v>2140</v>
      </c>
      <c r="Z140" s="40" t="s">
        <v>1</v>
      </c>
      <c r="AA140" s="28" t="str">
        <f t="shared" si="134"/>
        <v>Open, motorized two-wheeled vehicle.</v>
      </c>
    </row>
    <row r="141" spans="1:27" ht="6.65" customHeight="1" x14ac:dyDescent="0.4">
      <c r="A141" s="77">
        <v>141</v>
      </c>
      <c r="B141" s="66" t="s">
        <v>2219</v>
      </c>
      <c r="C141" s="30" t="s">
        <v>1636</v>
      </c>
      <c r="D141" s="29" t="s">
        <v>1637</v>
      </c>
      <c r="E141" s="82" t="s">
        <v>1632</v>
      </c>
      <c r="F141" s="44" t="s">
        <v>96</v>
      </c>
      <c r="G141" s="83" t="s">
        <v>1</v>
      </c>
      <c r="H141" s="83" t="s">
        <v>1</v>
      </c>
      <c r="I141" s="83" t="s">
        <v>1</v>
      </c>
      <c r="J141" s="83" t="s">
        <v>1</v>
      </c>
      <c r="K141" s="83" t="s">
        <v>1</v>
      </c>
      <c r="L141" s="84" t="str">
        <f t="shared" si="130"/>
        <v>Transportes</v>
      </c>
      <c r="M141" s="27" t="str">
        <f t="shared" si="131"/>
        <v>Terrestres</v>
      </c>
      <c r="N141" s="27" t="str">
        <f t="shared" si="132"/>
        <v>Veículos Leves</v>
      </c>
      <c r="O141" s="28" t="str">
        <f t="shared" si="133"/>
        <v>Motoneta</v>
      </c>
      <c r="P141" s="43" t="s">
        <v>183</v>
      </c>
      <c r="Q141" s="84" t="s">
        <v>213</v>
      </c>
      <c r="R141" s="28" t="s">
        <v>1</v>
      </c>
      <c r="S141" s="28" t="str">
        <f t="shared" si="81"/>
        <v>Transportes</v>
      </c>
      <c r="T141" s="28" t="str">
        <f t="shared" si="82"/>
        <v>Terrestres</v>
      </c>
      <c r="U141" s="28" t="str">
        <f t="shared" si="82"/>
        <v>Veículos Leves</v>
      </c>
      <c r="V141" s="28" t="s">
        <v>2222</v>
      </c>
      <c r="W141" s="69" t="str">
        <f t="shared" si="129"/>
        <v>Key-INFRA-141</v>
      </c>
      <c r="X141" s="28" t="s">
        <v>2091</v>
      </c>
      <c r="Y141" s="28" t="s">
        <v>2140</v>
      </c>
      <c r="Z141" s="40" t="s">
        <v>1</v>
      </c>
      <c r="AA141" s="28" t="str">
        <f t="shared" si="134"/>
        <v>Open, motorized two-wheeled vehicle.</v>
      </c>
    </row>
    <row r="142" spans="1:27" ht="6.65" customHeight="1" x14ac:dyDescent="0.4">
      <c r="A142" s="77">
        <v>142</v>
      </c>
      <c r="B142" s="66" t="s">
        <v>2219</v>
      </c>
      <c r="C142" s="30" t="s">
        <v>1636</v>
      </c>
      <c r="D142" s="29" t="s">
        <v>1637</v>
      </c>
      <c r="E142" s="82" t="s">
        <v>1632</v>
      </c>
      <c r="F142" s="44" t="s">
        <v>98</v>
      </c>
      <c r="G142" s="83" t="s">
        <v>1</v>
      </c>
      <c r="H142" s="83" t="s">
        <v>1</v>
      </c>
      <c r="I142" s="83" t="s">
        <v>1</v>
      </c>
      <c r="J142" s="83" t="s">
        <v>1</v>
      </c>
      <c r="K142" s="83" t="s">
        <v>1</v>
      </c>
      <c r="L142" s="84" t="str">
        <f t="shared" ref="L142" si="142">_xlfn.CONCAT(C142)</f>
        <v>Transportes</v>
      </c>
      <c r="M142" s="27" t="str">
        <f t="shared" ref="M142" si="143">CONCATENATE("", D142)</f>
        <v>Terrestres</v>
      </c>
      <c r="N142" s="27" t="str">
        <f t="shared" ref="N142" si="144">(SUBSTITUTE(SUBSTITUTE(CONCATENATE("",E142),"."," ")," De "," de "))</f>
        <v>Veículos Leves</v>
      </c>
      <c r="O142" s="28" t="str">
        <f t="shared" ref="O142" si="145">F142</f>
        <v>Quadriciclo</v>
      </c>
      <c r="P142" s="43" t="s">
        <v>185</v>
      </c>
      <c r="Q142" s="84" t="s">
        <v>215</v>
      </c>
      <c r="R142" s="28" t="s">
        <v>1</v>
      </c>
      <c r="S142" s="28" t="str">
        <f t="shared" ref="S142" si="146">SUBSTITUTE(C142, ".", " ")</f>
        <v>Transportes</v>
      </c>
      <c r="T142" s="28" t="str">
        <f t="shared" ref="T142" si="147">SUBSTITUTE(D142, ".", " ")</f>
        <v>Terrestres</v>
      </c>
      <c r="U142" s="28" t="str">
        <f t="shared" ref="U142" si="148">SUBSTITUTE(E142, ".", " ")</f>
        <v>Veículos Leves</v>
      </c>
      <c r="V142" s="28" t="s">
        <v>2222</v>
      </c>
      <c r="W142" s="69" t="str">
        <f t="shared" si="129"/>
        <v>Key-INFRA-142</v>
      </c>
      <c r="X142" s="28" t="s">
        <v>2091</v>
      </c>
      <c r="Y142" s="28" t="s">
        <v>2140</v>
      </c>
      <c r="Z142" s="40" t="s">
        <v>1</v>
      </c>
      <c r="AA142" s="28" t="str">
        <f t="shared" si="134"/>
        <v>Open, motorized four-wheeled vehicle.</v>
      </c>
    </row>
    <row r="143" spans="1:27" ht="6.65" customHeight="1" x14ac:dyDescent="0.4">
      <c r="A143" s="77">
        <v>143</v>
      </c>
      <c r="B143" s="66" t="s">
        <v>2219</v>
      </c>
      <c r="C143" s="30" t="s">
        <v>1636</v>
      </c>
      <c r="D143" s="29" t="s">
        <v>1637</v>
      </c>
      <c r="E143" s="82" t="s">
        <v>1632</v>
      </c>
      <c r="F143" s="44" t="s">
        <v>97</v>
      </c>
      <c r="G143" s="83" t="s">
        <v>1</v>
      </c>
      <c r="H143" s="83" t="s">
        <v>1</v>
      </c>
      <c r="I143" s="83" t="s">
        <v>1</v>
      </c>
      <c r="J143" s="83" t="s">
        <v>1</v>
      </c>
      <c r="K143" s="83" t="s">
        <v>1</v>
      </c>
      <c r="L143" s="84" t="str">
        <f t="shared" si="130"/>
        <v>Transportes</v>
      </c>
      <c r="M143" s="27" t="str">
        <f t="shared" si="131"/>
        <v>Terrestres</v>
      </c>
      <c r="N143" s="27" t="str">
        <f t="shared" si="132"/>
        <v>Veículos Leves</v>
      </c>
      <c r="O143" s="28" t="str">
        <f t="shared" si="133"/>
        <v>Triciclo</v>
      </c>
      <c r="P143" s="43" t="s">
        <v>184</v>
      </c>
      <c r="Q143" s="84" t="s">
        <v>214</v>
      </c>
      <c r="R143" s="28" t="s">
        <v>1</v>
      </c>
      <c r="S143" s="28" t="str">
        <f t="shared" si="81"/>
        <v>Transportes</v>
      </c>
      <c r="T143" s="28" t="str">
        <f t="shared" si="82"/>
        <v>Terrestres</v>
      </c>
      <c r="U143" s="28" t="str">
        <f t="shared" si="82"/>
        <v>Veículos Leves</v>
      </c>
      <c r="V143" s="28" t="s">
        <v>2222</v>
      </c>
      <c r="W143" s="69" t="str">
        <f t="shared" si="129"/>
        <v>Key-INFRA-143</v>
      </c>
      <c r="X143" s="28" t="s">
        <v>2091</v>
      </c>
      <c r="Y143" s="28" t="s">
        <v>2140</v>
      </c>
      <c r="Z143" s="40" t="s">
        <v>1</v>
      </c>
      <c r="AA143" s="28" t="str">
        <f t="shared" si="134"/>
        <v>Open, motorized three-wheeled vehicle.</v>
      </c>
    </row>
    <row r="144" spans="1:27" ht="6.65" customHeight="1" x14ac:dyDescent="0.4">
      <c r="A144" s="77">
        <v>144</v>
      </c>
      <c r="B144" s="66" t="s">
        <v>2219</v>
      </c>
      <c r="C144" s="30" t="s">
        <v>1636</v>
      </c>
      <c r="D144" s="29" t="s">
        <v>1637</v>
      </c>
      <c r="E144" s="82" t="s">
        <v>1632</v>
      </c>
      <c r="F144" s="44" t="s">
        <v>182</v>
      </c>
      <c r="G144" s="83" t="s">
        <v>1</v>
      </c>
      <c r="H144" s="83" t="s">
        <v>1</v>
      </c>
      <c r="I144" s="83" t="s">
        <v>1</v>
      </c>
      <c r="J144" s="83" t="s">
        <v>1</v>
      </c>
      <c r="K144" s="83" t="s">
        <v>1</v>
      </c>
      <c r="L144" s="84" t="str">
        <f t="shared" si="130"/>
        <v>Transportes</v>
      </c>
      <c r="M144" s="27" t="str">
        <f t="shared" si="131"/>
        <v>Terrestres</v>
      </c>
      <c r="N144" s="27" t="str">
        <f t="shared" si="132"/>
        <v>Veículos Leves</v>
      </c>
      <c r="O144" s="28" t="str">
        <f t="shared" si="133"/>
        <v>Bicicleta</v>
      </c>
      <c r="P144" s="43" t="s">
        <v>188</v>
      </c>
      <c r="Q144" s="84" t="s">
        <v>1946</v>
      </c>
      <c r="R144" s="28" t="s">
        <v>1</v>
      </c>
      <c r="S144" s="28" t="str">
        <f t="shared" ref="S144:S194" si="149">SUBSTITUTE(C144, ".", " ")</f>
        <v>Transportes</v>
      </c>
      <c r="T144" s="28" t="str">
        <f t="shared" ref="T144:T194" si="150">SUBSTITUTE(D144, ".", " ")</f>
        <v>Terrestres</v>
      </c>
      <c r="U144" s="28" t="str">
        <f t="shared" ref="U144:U194" si="151">SUBSTITUTE(E144, ".", " ")</f>
        <v>Veículos Leves</v>
      </c>
      <c r="V144" s="28" t="s">
        <v>2222</v>
      </c>
      <c r="W144" s="69" t="str">
        <f t="shared" si="129"/>
        <v>Key-INFRA-144</v>
      </c>
      <c r="X144" s="28" t="s">
        <v>2091</v>
      </c>
      <c r="Y144" s="28" t="s">
        <v>2141</v>
      </c>
      <c r="Z144" s="40" t="s">
        <v>1</v>
      </c>
      <c r="AA144" s="28" t="str">
        <f t="shared" si="134"/>
        <v>An open vehicle with two aligned wheels, moved by the user's own effort by means of pedals.</v>
      </c>
    </row>
    <row r="145" spans="1:27" ht="6.65" customHeight="1" x14ac:dyDescent="0.4">
      <c r="A145" s="77">
        <v>145</v>
      </c>
      <c r="B145" s="66" t="s">
        <v>2219</v>
      </c>
      <c r="C145" s="30" t="s">
        <v>1636</v>
      </c>
      <c r="D145" s="29" t="s">
        <v>1638</v>
      </c>
      <c r="E145" s="82" t="s">
        <v>1605</v>
      </c>
      <c r="F145" s="44" t="s">
        <v>381</v>
      </c>
      <c r="G145" s="83" t="s">
        <v>1</v>
      </c>
      <c r="H145" s="83" t="s">
        <v>1</v>
      </c>
      <c r="I145" s="83" t="s">
        <v>1</v>
      </c>
      <c r="J145" s="83" t="s">
        <v>1</v>
      </c>
      <c r="K145" s="83" t="s">
        <v>1</v>
      </c>
      <c r="L145" s="84" t="str">
        <f t="shared" si="130"/>
        <v>Transportes</v>
      </c>
      <c r="M145" s="27" t="str">
        <f t="shared" si="131"/>
        <v>Aquáticos</v>
      </c>
      <c r="N145" s="27" t="str">
        <f t="shared" si="132"/>
        <v>Navios</v>
      </c>
      <c r="O145" s="28" t="str">
        <f t="shared" si="133"/>
        <v>Petroleiro</v>
      </c>
      <c r="P145" s="43" t="s">
        <v>382</v>
      </c>
      <c r="Q145" s="84" t="s">
        <v>383</v>
      </c>
      <c r="R145" s="28" t="s">
        <v>1</v>
      </c>
      <c r="S145" s="28" t="str">
        <f t="shared" si="149"/>
        <v>Transportes</v>
      </c>
      <c r="T145" s="28" t="str">
        <f t="shared" si="150"/>
        <v>Aquáticos</v>
      </c>
      <c r="U145" s="28" t="str">
        <f t="shared" si="151"/>
        <v>Navios</v>
      </c>
      <c r="V145" s="28" t="s">
        <v>2222</v>
      </c>
      <c r="W145" s="69" t="str">
        <f t="shared" si="129"/>
        <v>Key-INFRA-145</v>
      </c>
      <c r="X145" s="28" t="s">
        <v>2091</v>
      </c>
      <c r="Y145" s="28" t="s">
        <v>2141</v>
      </c>
      <c r="Z145" s="40" t="s">
        <v>1</v>
      </c>
      <c r="AA145" s="28" t="str">
        <f t="shared" si="134"/>
        <v>Crude oil cargo ship.</v>
      </c>
    </row>
    <row r="146" spans="1:27" ht="6.65" customHeight="1" x14ac:dyDescent="0.4">
      <c r="A146" s="77">
        <v>146</v>
      </c>
      <c r="B146" s="66" t="s">
        <v>2219</v>
      </c>
      <c r="C146" s="30" t="s">
        <v>1636</v>
      </c>
      <c r="D146" s="29" t="s">
        <v>1638</v>
      </c>
      <c r="E146" s="82" t="s">
        <v>1605</v>
      </c>
      <c r="F146" s="44" t="s">
        <v>384</v>
      </c>
      <c r="G146" s="83" t="s">
        <v>1</v>
      </c>
      <c r="H146" s="83" t="s">
        <v>1</v>
      </c>
      <c r="I146" s="83" t="s">
        <v>1</v>
      </c>
      <c r="J146" s="83" t="s">
        <v>1</v>
      </c>
      <c r="K146" s="83" t="s">
        <v>1</v>
      </c>
      <c r="L146" s="84" t="str">
        <f t="shared" si="130"/>
        <v>Transportes</v>
      </c>
      <c r="M146" s="27" t="str">
        <f t="shared" si="131"/>
        <v>Aquáticos</v>
      </c>
      <c r="N146" s="27" t="str">
        <f t="shared" si="132"/>
        <v>Navios</v>
      </c>
      <c r="O146" s="28" t="str">
        <f t="shared" si="133"/>
        <v>Cargueiro</v>
      </c>
      <c r="P146" s="43" t="s">
        <v>385</v>
      </c>
      <c r="Q146" s="84" t="s">
        <v>386</v>
      </c>
      <c r="R146" s="28" t="s">
        <v>1</v>
      </c>
      <c r="S146" s="28" t="str">
        <f t="shared" si="149"/>
        <v>Transportes</v>
      </c>
      <c r="T146" s="28" t="str">
        <f t="shared" si="150"/>
        <v>Aquáticos</v>
      </c>
      <c r="U146" s="28" t="str">
        <f t="shared" si="151"/>
        <v>Navios</v>
      </c>
      <c r="V146" s="28" t="s">
        <v>2222</v>
      </c>
      <c r="W146" s="69" t="str">
        <f t="shared" si="129"/>
        <v>Key-INFRA-146</v>
      </c>
      <c r="X146" s="28" t="s">
        <v>2091</v>
      </c>
      <c r="Y146" s="28" t="s">
        <v>2141</v>
      </c>
      <c r="Z146" s="40" t="s">
        <v>1</v>
      </c>
      <c r="AA146" s="28" t="str">
        <f t="shared" si="134"/>
        <v>General dry cargo ship.</v>
      </c>
    </row>
    <row r="147" spans="1:27" ht="6.65" customHeight="1" x14ac:dyDescent="0.4">
      <c r="A147" s="77">
        <v>147</v>
      </c>
      <c r="B147" s="66" t="s">
        <v>2219</v>
      </c>
      <c r="C147" s="30" t="s">
        <v>1636</v>
      </c>
      <c r="D147" s="29" t="s">
        <v>1638</v>
      </c>
      <c r="E147" s="82" t="s">
        <v>1605</v>
      </c>
      <c r="F147" s="44" t="s">
        <v>387</v>
      </c>
      <c r="G147" s="83" t="s">
        <v>1</v>
      </c>
      <c r="H147" s="83" t="s">
        <v>1</v>
      </c>
      <c r="I147" s="83" t="s">
        <v>1</v>
      </c>
      <c r="J147" s="83" t="s">
        <v>1</v>
      </c>
      <c r="K147" s="83" t="s">
        <v>1</v>
      </c>
      <c r="L147" s="84" t="str">
        <f t="shared" si="130"/>
        <v>Transportes</v>
      </c>
      <c r="M147" s="27" t="str">
        <f t="shared" si="131"/>
        <v>Aquáticos</v>
      </c>
      <c r="N147" s="27" t="str">
        <f t="shared" si="132"/>
        <v>Navios</v>
      </c>
      <c r="O147" s="28" t="str">
        <f t="shared" si="133"/>
        <v>Handysize</v>
      </c>
      <c r="P147" s="43" t="s">
        <v>388</v>
      </c>
      <c r="Q147" s="84" t="s">
        <v>389</v>
      </c>
      <c r="R147" s="28" t="s">
        <v>1</v>
      </c>
      <c r="S147" s="28" t="str">
        <f t="shared" si="149"/>
        <v>Transportes</v>
      </c>
      <c r="T147" s="28" t="str">
        <f t="shared" si="150"/>
        <v>Aquáticos</v>
      </c>
      <c r="U147" s="28" t="str">
        <f t="shared" si="151"/>
        <v>Navios</v>
      </c>
      <c r="V147" s="28" t="s">
        <v>2222</v>
      </c>
      <c r="W147" s="69" t="str">
        <f t="shared" si="129"/>
        <v>Key-INFRA-147</v>
      </c>
      <c r="X147" s="28" t="s">
        <v>2091</v>
      </c>
      <c r="Y147" s="28" t="s">
        <v>2141</v>
      </c>
      <c r="Z147" s="40" t="s">
        <v>1</v>
      </c>
      <c r="AA147" s="28" t="str">
        <f t="shared" si="134"/>
        <v>General dry cargo ships such as grain, cement and steel, access small ports with limited infrastructure.</v>
      </c>
    </row>
    <row r="148" spans="1:27" ht="6.65" customHeight="1" x14ac:dyDescent="0.4">
      <c r="A148" s="77">
        <v>148</v>
      </c>
      <c r="B148" s="66" t="s">
        <v>2219</v>
      </c>
      <c r="C148" s="30" t="s">
        <v>1636</v>
      </c>
      <c r="D148" s="29" t="s">
        <v>1638</v>
      </c>
      <c r="E148" s="82" t="s">
        <v>1605</v>
      </c>
      <c r="F148" s="44" t="s">
        <v>390</v>
      </c>
      <c r="G148" s="83" t="s">
        <v>1</v>
      </c>
      <c r="H148" s="83" t="s">
        <v>1</v>
      </c>
      <c r="I148" s="83" t="s">
        <v>1</v>
      </c>
      <c r="J148" s="83" t="s">
        <v>1</v>
      </c>
      <c r="K148" s="83" t="s">
        <v>1</v>
      </c>
      <c r="L148" s="84" t="str">
        <f t="shared" si="130"/>
        <v>Transportes</v>
      </c>
      <c r="M148" s="27" t="str">
        <f t="shared" si="131"/>
        <v>Aquáticos</v>
      </c>
      <c r="N148" s="27" t="str">
        <f t="shared" si="132"/>
        <v>Navios</v>
      </c>
      <c r="O148" s="28" t="str">
        <f t="shared" si="133"/>
        <v>Handymax</v>
      </c>
      <c r="P148" s="43" t="s">
        <v>391</v>
      </c>
      <c r="Q148" s="84" t="s">
        <v>392</v>
      </c>
      <c r="R148" s="28" t="s">
        <v>1</v>
      </c>
      <c r="S148" s="28" t="str">
        <f t="shared" si="149"/>
        <v>Transportes</v>
      </c>
      <c r="T148" s="28" t="str">
        <f t="shared" si="150"/>
        <v>Aquáticos</v>
      </c>
      <c r="U148" s="28" t="str">
        <f t="shared" si="151"/>
        <v>Navios</v>
      </c>
      <c r="V148" s="28" t="s">
        <v>2222</v>
      </c>
      <c r="W148" s="69" t="str">
        <f t="shared" si="129"/>
        <v>Key-INFRA-148</v>
      </c>
      <c r="X148" s="28" t="s">
        <v>2091</v>
      </c>
      <c r="Y148" s="28" t="s">
        <v>2141</v>
      </c>
      <c r="Z148" s="40" t="s">
        <v>1</v>
      </c>
      <c r="AA148" s="28" t="str">
        <f t="shared" si="134"/>
        <v>Ship of varied cargoes, equipped with its own cranes, ideal for smaller ports.</v>
      </c>
    </row>
    <row r="149" spans="1:27" ht="6.65" customHeight="1" x14ac:dyDescent="0.4">
      <c r="A149" s="77">
        <v>149</v>
      </c>
      <c r="B149" s="66" t="s">
        <v>2219</v>
      </c>
      <c r="C149" s="30" t="s">
        <v>1636</v>
      </c>
      <c r="D149" s="29" t="s">
        <v>1638</v>
      </c>
      <c r="E149" s="82" t="s">
        <v>1605</v>
      </c>
      <c r="F149" s="44" t="s">
        <v>393</v>
      </c>
      <c r="G149" s="83" t="s">
        <v>1</v>
      </c>
      <c r="H149" s="83" t="s">
        <v>1</v>
      </c>
      <c r="I149" s="83" t="s">
        <v>1</v>
      </c>
      <c r="J149" s="83" t="s">
        <v>1</v>
      </c>
      <c r="K149" s="83" t="s">
        <v>1</v>
      </c>
      <c r="L149" s="84" t="str">
        <f t="shared" si="130"/>
        <v>Transportes</v>
      </c>
      <c r="M149" s="27" t="str">
        <f t="shared" si="131"/>
        <v>Aquáticos</v>
      </c>
      <c r="N149" s="27" t="str">
        <f t="shared" si="132"/>
        <v>Navios</v>
      </c>
      <c r="O149" s="28" t="str">
        <f t="shared" si="133"/>
        <v>Supramax</v>
      </c>
      <c r="P149" s="43" t="s">
        <v>394</v>
      </c>
      <c r="Q149" s="84" t="s">
        <v>395</v>
      </c>
      <c r="R149" s="28" t="s">
        <v>1</v>
      </c>
      <c r="S149" s="28" t="str">
        <f t="shared" si="149"/>
        <v>Transportes</v>
      </c>
      <c r="T149" s="28" t="str">
        <f t="shared" si="150"/>
        <v>Aquáticos</v>
      </c>
      <c r="U149" s="28" t="str">
        <f t="shared" si="151"/>
        <v>Navios</v>
      </c>
      <c r="V149" s="28" t="s">
        <v>2222</v>
      </c>
      <c r="W149" s="69" t="str">
        <f t="shared" si="129"/>
        <v>Key-INFRA-149</v>
      </c>
      <c r="X149" s="28" t="s">
        <v>2091</v>
      </c>
      <c r="Y149" s="28" t="s">
        <v>2141</v>
      </c>
      <c r="Z149" s="40" t="s">
        <v>1</v>
      </c>
      <c r="AA149" s="28" t="str">
        <f t="shared" si="134"/>
        <v>Dry cargo ship like coal and fertilizer, similar to the Handymax but with higher capacity.</v>
      </c>
    </row>
    <row r="150" spans="1:27" ht="6.65" customHeight="1" x14ac:dyDescent="0.4">
      <c r="A150" s="77">
        <v>150</v>
      </c>
      <c r="B150" s="66" t="s">
        <v>2219</v>
      </c>
      <c r="C150" s="30" t="s">
        <v>1636</v>
      </c>
      <c r="D150" s="29" t="s">
        <v>1638</v>
      </c>
      <c r="E150" s="82" t="s">
        <v>1605</v>
      </c>
      <c r="F150" s="44" t="s">
        <v>396</v>
      </c>
      <c r="G150" s="83" t="s">
        <v>1</v>
      </c>
      <c r="H150" s="83" t="s">
        <v>1</v>
      </c>
      <c r="I150" s="83" t="s">
        <v>1</v>
      </c>
      <c r="J150" s="83" t="s">
        <v>1</v>
      </c>
      <c r="K150" s="83" t="s">
        <v>1</v>
      </c>
      <c r="L150" s="84" t="str">
        <f t="shared" si="130"/>
        <v>Transportes</v>
      </c>
      <c r="M150" s="27" t="str">
        <f t="shared" si="131"/>
        <v>Aquáticos</v>
      </c>
      <c r="N150" s="27" t="str">
        <f t="shared" si="132"/>
        <v>Navios</v>
      </c>
      <c r="O150" s="28" t="str">
        <f t="shared" si="133"/>
        <v>Panamax</v>
      </c>
      <c r="P150" s="43" t="s">
        <v>397</v>
      </c>
      <c r="Q150" s="84" t="s">
        <v>398</v>
      </c>
      <c r="R150" s="28" t="s">
        <v>1</v>
      </c>
      <c r="S150" s="28" t="str">
        <f t="shared" si="149"/>
        <v>Transportes</v>
      </c>
      <c r="T150" s="28" t="str">
        <f t="shared" si="150"/>
        <v>Aquáticos</v>
      </c>
      <c r="U150" s="28" t="str">
        <f t="shared" si="151"/>
        <v>Navios</v>
      </c>
      <c r="V150" s="28" t="s">
        <v>2222</v>
      </c>
      <c r="W150" s="69" t="str">
        <f t="shared" si="129"/>
        <v>Key-INFRA-150</v>
      </c>
      <c r="X150" s="28" t="s">
        <v>2091</v>
      </c>
      <c r="Y150" s="28" t="s">
        <v>2141</v>
      </c>
      <c r="Z150" s="40" t="s">
        <v>1</v>
      </c>
      <c r="AA150" s="28" t="str">
        <f t="shared" si="134"/>
        <v>Grain, coal and oil cargo ship, designed to transit the Panama Canal.</v>
      </c>
    </row>
    <row r="151" spans="1:27" ht="6.65" customHeight="1" x14ac:dyDescent="0.4">
      <c r="A151" s="77">
        <v>151</v>
      </c>
      <c r="B151" s="66" t="s">
        <v>2219</v>
      </c>
      <c r="C151" s="30" t="s">
        <v>1636</v>
      </c>
      <c r="D151" s="29" t="s">
        <v>1638</v>
      </c>
      <c r="E151" s="82" t="s">
        <v>1605</v>
      </c>
      <c r="F151" s="44" t="s">
        <v>399</v>
      </c>
      <c r="G151" s="83" t="s">
        <v>1</v>
      </c>
      <c r="H151" s="83" t="s">
        <v>1</v>
      </c>
      <c r="I151" s="83" t="s">
        <v>1</v>
      </c>
      <c r="J151" s="83" t="s">
        <v>1</v>
      </c>
      <c r="K151" s="83" t="s">
        <v>1</v>
      </c>
      <c r="L151" s="84" t="str">
        <f t="shared" si="130"/>
        <v>Transportes</v>
      </c>
      <c r="M151" s="27" t="str">
        <f t="shared" si="131"/>
        <v>Aquáticos</v>
      </c>
      <c r="N151" s="27" t="str">
        <f t="shared" si="132"/>
        <v>Navios</v>
      </c>
      <c r="O151" s="28" t="str">
        <f t="shared" si="133"/>
        <v>Neopanamax</v>
      </c>
      <c r="P151" s="43" t="s">
        <v>400</v>
      </c>
      <c r="Q151" s="84" t="s">
        <v>401</v>
      </c>
      <c r="R151" s="28" t="s">
        <v>1</v>
      </c>
      <c r="S151" s="28" t="str">
        <f t="shared" si="149"/>
        <v>Transportes</v>
      </c>
      <c r="T151" s="28" t="str">
        <f t="shared" si="150"/>
        <v>Aquáticos</v>
      </c>
      <c r="U151" s="28" t="str">
        <f t="shared" si="151"/>
        <v>Navios</v>
      </c>
      <c r="V151" s="28" t="s">
        <v>2222</v>
      </c>
      <c r="W151" s="69" t="str">
        <f t="shared" si="129"/>
        <v>Key-INFRA-151</v>
      </c>
      <c r="X151" s="28" t="s">
        <v>2091</v>
      </c>
      <c r="Y151" s="28" t="s">
        <v>2141</v>
      </c>
      <c r="Z151" s="40" t="s">
        <v>1</v>
      </c>
      <c r="AA151" s="28" t="str">
        <f t="shared" si="134"/>
        <v>General cargo ship and containers. Adapted to the new locks of the Panama Canal.</v>
      </c>
    </row>
    <row r="152" spans="1:27" ht="6.65" customHeight="1" x14ac:dyDescent="0.4">
      <c r="A152" s="77">
        <v>152</v>
      </c>
      <c r="B152" s="66" t="s">
        <v>2219</v>
      </c>
      <c r="C152" s="30" t="s">
        <v>1636</v>
      </c>
      <c r="D152" s="29" t="s">
        <v>1638</v>
      </c>
      <c r="E152" s="82" t="s">
        <v>1605</v>
      </c>
      <c r="F152" s="44" t="s">
        <v>402</v>
      </c>
      <c r="G152" s="83" t="s">
        <v>1</v>
      </c>
      <c r="H152" s="83" t="s">
        <v>1</v>
      </c>
      <c r="I152" s="83" t="s">
        <v>1</v>
      </c>
      <c r="J152" s="83" t="s">
        <v>1</v>
      </c>
      <c r="K152" s="83" t="s">
        <v>1</v>
      </c>
      <c r="L152" s="84" t="str">
        <f t="shared" si="130"/>
        <v>Transportes</v>
      </c>
      <c r="M152" s="27" t="str">
        <f t="shared" si="131"/>
        <v>Aquáticos</v>
      </c>
      <c r="N152" s="27" t="str">
        <f t="shared" si="132"/>
        <v>Navios</v>
      </c>
      <c r="O152" s="28" t="str">
        <f t="shared" si="133"/>
        <v>Aframax</v>
      </c>
      <c r="P152" s="43" t="s">
        <v>403</v>
      </c>
      <c r="Q152" s="84" t="s">
        <v>404</v>
      </c>
      <c r="R152" s="28" t="s">
        <v>1</v>
      </c>
      <c r="S152" s="28" t="str">
        <f t="shared" si="149"/>
        <v>Transportes</v>
      </c>
      <c r="T152" s="28" t="str">
        <f t="shared" si="150"/>
        <v>Aquáticos</v>
      </c>
      <c r="U152" s="28" t="str">
        <f t="shared" si="151"/>
        <v>Navios</v>
      </c>
      <c r="V152" s="28" t="s">
        <v>2222</v>
      </c>
      <c r="W152" s="69" t="str">
        <f t="shared" si="129"/>
        <v>Key-INFRA-152</v>
      </c>
      <c r="X152" s="28" t="s">
        <v>2091</v>
      </c>
      <c r="Y152" s="28" t="s">
        <v>2141</v>
      </c>
      <c r="Z152" s="40" t="s">
        <v>1</v>
      </c>
      <c r="AA152" s="28" t="str">
        <f t="shared" si="134"/>
        <v>Crude oil cargo ship, medium-sized for short and medium routes.</v>
      </c>
    </row>
    <row r="153" spans="1:27" ht="6.65" customHeight="1" x14ac:dyDescent="0.4">
      <c r="A153" s="77">
        <v>153</v>
      </c>
      <c r="B153" s="66" t="s">
        <v>2219</v>
      </c>
      <c r="C153" s="30" t="s">
        <v>1636</v>
      </c>
      <c r="D153" s="29" t="s">
        <v>1638</v>
      </c>
      <c r="E153" s="82" t="s">
        <v>1605</v>
      </c>
      <c r="F153" s="44" t="s">
        <v>405</v>
      </c>
      <c r="G153" s="83" t="s">
        <v>1</v>
      </c>
      <c r="H153" s="83" t="s">
        <v>1</v>
      </c>
      <c r="I153" s="83" t="s">
        <v>1</v>
      </c>
      <c r="J153" s="83" t="s">
        <v>1</v>
      </c>
      <c r="K153" s="83" t="s">
        <v>1</v>
      </c>
      <c r="L153" s="84" t="str">
        <f t="shared" si="130"/>
        <v>Transportes</v>
      </c>
      <c r="M153" s="27" t="str">
        <f t="shared" si="131"/>
        <v>Aquáticos</v>
      </c>
      <c r="N153" s="27" t="str">
        <f t="shared" si="132"/>
        <v>Navios</v>
      </c>
      <c r="O153" s="28" t="str">
        <f t="shared" si="133"/>
        <v>Suezmax</v>
      </c>
      <c r="P153" s="43" t="s">
        <v>406</v>
      </c>
      <c r="Q153" s="84" t="s">
        <v>407</v>
      </c>
      <c r="R153" s="28" t="s">
        <v>1</v>
      </c>
      <c r="S153" s="28" t="str">
        <f t="shared" si="149"/>
        <v>Transportes</v>
      </c>
      <c r="T153" s="28" t="str">
        <f t="shared" si="150"/>
        <v>Aquáticos</v>
      </c>
      <c r="U153" s="28" t="str">
        <f t="shared" si="151"/>
        <v>Navios</v>
      </c>
      <c r="V153" s="28" t="s">
        <v>2222</v>
      </c>
      <c r="W153" s="69" t="str">
        <f t="shared" si="129"/>
        <v>Key-INFRA-153</v>
      </c>
      <c r="X153" s="28" t="s">
        <v>2091</v>
      </c>
      <c r="Y153" s="28" t="s">
        <v>2141</v>
      </c>
      <c r="Z153" s="40" t="s">
        <v>1</v>
      </c>
      <c r="AA153" s="28" t="str">
        <f t="shared" si="134"/>
        <v>Crude oil cargo ship, designed for the Suez Canal.</v>
      </c>
    </row>
    <row r="154" spans="1:27" ht="6.65" customHeight="1" x14ac:dyDescent="0.4">
      <c r="A154" s="77">
        <v>154</v>
      </c>
      <c r="B154" s="66" t="s">
        <v>2219</v>
      </c>
      <c r="C154" s="30" t="s">
        <v>1636</v>
      </c>
      <c r="D154" s="29" t="s">
        <v>1638</v>
      </c>
      <c r="E154" s="82" t="s">
        <v>1605</v>
      </c>
      <c r="F154" s="44" t="s">
        <v>408</v>
      </c>
      <c r="G154" s="83" t="s">
        <v>1</v>
      </c>
      <c r="H154" s="83" t="s">
        <v>1</v>
      </c>
      <c r="I154" s="83" t="s">
        <v>1</v>
      </c>
      <c r="J154" s="83" t="s">
        <v>1</v>
      </c>
      <c r="K154" s="83" t="s">
        <v>1</v>
      </c>
      <c r="L154" s="84" t="str">
        <f t="shared" si="130"/>
        <v>Transportes</v>
      </c>
      <c r="M154" s="27" t="str">
        <f t="shared" si="131"/>
        <v>Aquáticos</v>
      </c>
      <c r="N154" s="27" t="str">
        <f t="shared" si="132"/>
        <v>Navios</v>
      </c>
      <c r="O154" s="28" t="str">
        <f t="shared" si="133"/>
        <v>Capesize</v>
      </c>
      <c r="P154" s="43" t="s">
        <v>409</v>
      </c>
      <c r="Q154" s="84" t="s">
        <v>410</v>
      </c>
      <c r="R154" s="28" t="s">
        <v>1</v>
      </c>
      <c r="S154" s="28" t="str">
        <f t="shared" si="149"/>
        <v>Transportes</v>
      </c>
      <c r="T154" s="28" t="str">
        <f t="shared" si="150"/>
        <v>Aquáticos</v>
      </c>
      <c r="U154" s="28" t="str">
        <f t="shared" si="151"/>
        <v>Navios</v>
      </c>
      <c r="V154" s="28" t="s">
        <v>2222</v>
      </c>
      <c r="W154" s="69" t="str">
        <f t="shared" si="129"/>
        <v>Key-INFRA-154</v>
      </c>
      <c r="X154" s="28" t="s">
        <v>2091</v>
      </c>
      <c r="Y154" s="28" t="s">
        <v>2141</v>
      </c>
      <c r="Z154" s="40" t="s">
        <v>1</v>
      </c>
      <c r="AA154" s="28" t="str">
        <f t="shared" si="134"/>
        <v>Cargo ship iron ore and coal by routes via Cape of Good Hope or Cape Horn, as they are too large for the Suez and Panama Canals.</v>
      </c>
    </row>
    <row r="155" spans="1:27" ht="6.65" customHeight="1" x14ac:dyDescent="0.4">
      <c r="A155" s="77">
        <v>155</v>
      </c>
      <c r="B155" s="66" t="s">
        <v>2219</v>
      </c>
      <c r="C155" s="30" t="s">
        <v>1636</v>
      </c>
      <c r="D155" s="29" t="s">
        <v>1638</v>
      </c>
      <c r="E155" s="82" t="s">
        <v>1605</v>
      </c>
      <c r="F155" s="44" t="s">
        <v>411</v>
      </c>
      <c r="G155" s="83" t="s">
        <v>1</v>
      </c>
      <c r="H155" s="83" t="s">
        <v>1</v>
      </c>
      <c r="I155" s="83" t="s">
        <v>1</v>
      </c>
      <c r="J155" s="83" t="s">
        <v>1</v>
      </c>
      <c r="K155" s="83" t="s">
        <v>1</v>
      </c>
      <c r="L155" s="84" t="str">
        <f t="shared" si="130"/>
        <v>Transportes</v>
      </c>
      <c r="M155" s="27" t="str">
        <f t="shared" si="131"/>
        <v>Aquáticos</v>
      </c>
      <c r="N155" s="27" t="str">
        <f t="shared" si="132"/>
        <v>Navios</v>
      </c>
      <c r="O155" s="28" t="str">
        <f t="shared" si="133"/>
        <v>Superpetroleiro</v>
      </c>
      <c r="P155" s="43" t="s">
        <v>412</v>
      </c>
      <c r="Q155" s="84" t="s">
        <v>413</v>
      </c>
      <c r="R155" s="28" t="s">
        <v>1</v>
      </c>
      <c r="S155" s="28" t="str">
        <f t="shared" si="149"/>
        <v>Transportes</v>
      </c>
      <c r="T155" s="28" t="str">
        <f t="shared" si="150"/>
        <v>Aquáticos</v>
      </c>
      <c r="U155" s="28" t="str">
        <f t="shared" si="151"/>
        <v>Navios</v>
      </c>
      <c r="V155" s="28" t="s">
        <v>2222</v>
      </c>
      <c r="W155" s="69" t="str">
        <f t="shared" si="129"/>
        <v>Key-INFRA-155</v>
      </c>
      <c r="X155" s="28" t="s">
        <v>2091</v>
      </c>
      <c r="Y155" s="28" t="s">
        <v>2141</v>
      </c>
      <c r="Z155" s="40" t="s">
        <v>1</v>
      </c>
      <c r="AA155" s="28" t="str">
        <f t="shared" si="134"/>
        <v>Crude oil cargo for intercontinental routes require specialized ports.</v>
      </c>
    </row>
    <row r="156" spans="1:27" ht="6.65" customHeight="1" x14ac:dyDescent="0.4">
      <c r="A156" s="77">
        <v>156</v>
      </c>
      <c r="B156" s="66" t="s">
        <v>2219</v>
      </c>
      <c r="C156" s="30" t="s">
        <v>1636</v>
      </c>
      <c r="D156" s="29" t="s">
        <v>1638</v>
      </c>
      <c r="E156" s="82" t="s">
        <v>1605</v>
      </c>
      <c r="F156" s="44" t="s">
        <v>414</v>
      </c>
      <c r="G156" s="83" t="s">
        <v>1</v>
      </c>
      <c r="H156" s="83" t="s">
        <v>1</v>
      </c>
      <c r="I156" s="83" t="s">
        <v>1</v>
      </c>
      <c r="J156" s="83" t="s">
        <v>1</v>
      </c>
      <c r="K156" s="83" t="s">
        <v>1</v>
      </c>
      <c r="L156" s="84" t="str">
        <f t="shared" si="130"/>
        <v>Transportes</v>
      </c>
      <c r="M156" s="27" t="str">
        <f t="shared" si="131"/>
        <v>Aquáticos</v>
      </c>
      <c r="N156" s="27" t="str">
        <f t="shared" si="132"/>
        <v>Navios</v>
      </c>
      <c r="O156" s="28" t="str">
        <f t="shared" si="133"/>
        <v>Ultrapetroleiro</v>
      </c>
      <c r="P156" s="43" t="s">
        <v>415</v>
      </c>
      <c r="Q156" s="84" t="s">
        <v>416</v>
      </c>
      <c r="R156" s="28" t="s">
        <v>1</v>
      </c>
      <c r="S156" s="28" t="str">
        <f t="shared" si="149"/>
        <v>Transportes</v>
      </c>
      <c r="T156" s="28" t="str">
        <f t="shared" si="150"/>
        <v>Aquáticos</v>
      </c>
      <c r="U156" s="28" t="str">
        <f t="shared" si="151"/>
        <v>Navios</v>
      </c>
      <c r="V156" s="28" t="s">
        <v>2222</v>
      </c>
      <c r="W156" s="69" t="str">
        <f t="shared" si="129"/>
        <v>Key-INFRA-156</v>
      </c>
      <c r="X156" s="28" t="s">
        <v>2091</v>
      </c>
      <c r="Y156" s="28" t="s">
        <v>2141</v>
      </c>
      <c r="Z156" s="40" t="s">
        <v>1</v>
      </c>
      <c r="AA156" s="28" t="str">
        <f t="shared" si="134"/>
        <v>Supertankers used on routes between the Middle East, Asia and Europe, require dedicated terminals.</v>
      </c>
    </row>
    <row r="157" spans="1:27" ht="6.65" customHeight="1" x14ac:dyDescent="0.4">
      <c r="A157" s="77">
        <v>157</v>
      </c>
      <c r="B157" s="66" t="s">
        <v>2219</v>
      </c>
      <c r="C157" s="30" t="s">
        <v>1636</v>
      </c>
      <c r="D157" s="29" t="s">
        <v>1638</v>
      </c>
      <c r="E157" s="82" t="s">
        <v>1605</v>
      </c>
      <c r="F157" s="44" t="s">
        <v>417</v>
      </c>
      <c r="G157" s="83" t="s">
        <v>1</v>
      </c>
      <c r="H157" s="83" t="s">
        <v>1</v>
      </c>
      <c r="I157" s="83" t="s">
        <v>1</v>
      </c>
      <c r="J157" s="83" t="s">
        <v>1</v>
      </c>
      <c r="K157" s="83" t="s">
        <v>1</v>
      </c>
      <c r="L157" s="84" t="str">
        <f t="shared" si="130"/>
        <v>Transportes</v>
      </c>
      <c r="M157" s="27" t="str">
        <f t="shared" si="131"/>
        <v>Aquáticos</v>
      </c>
      <c r="N157" s="27" t="str">
        <f t="shared" si="132"/>
        <v>Navios</v>
      </c>
      <c r="O157" s="28" t="str">
        <f t="shared" si="133"/>
        <v>Chinamax</v>
      </c>
      <c r="P157" s="43" t="s">
        <v>418</v>
      </c>
      <c r="Q157" s="84" t="s">
        <v>419</v>
      </c>
      <c r="R157" s="28" t="s">
        <v>1</v>
      </c>
      <c r="S157" s="28" t="str">
        <f t="shared" si="149"/>
        <v>Transportes</v>
      </c>
      <c r="T157" s="28" t="str">
        <f t="shared" si="150"/>
        <v>Aquáticos</v>
      </c>
      <c r="U157" s="28" t="str">
        <f t="shared" si="151"/>
        <v>Navios</v>
      </c>
      <c r="V157" s="28" t="s">
        <v>2222</v>
      </c>
      <c r="W157" s="69" t="str">
        <f t="shared" si="129"/>
        <v>Key-INFRA-157</v>
      </c>
      <c r="X157" s="28" t="s">
        <v>2091</v>
      </c>
      <c r="Y157" s="28" t="s">
        <v>2141</v>
      </c>
      <c r="Z157" s="40" t="s">
        <v>1</v>
      </c>
      <c r="AA157" s="28" t="str">
        <f t="shared" si="134"/>
        <v>Iron ore cargo between Brazil and China require ports with specific infrastructure.</v>
      </c>
    </row>
    <row r="158" spans="1:27" ht="6.65" customHeight="1" x14ac:dyDescent="0.4">
      <c r="A158" s="77">
        <v>158</v>
      </c>
      <c r="B158" s="66" t="s">
        <v>2219</v>
      </c>
      <c r="C158" s="30" t="s">
        <v>1636</v>
      </c>
      <c r="D158" s="29" t="s">
        <v>1638</v>
      </c>
      <c r="E158" s="82" t="s">
        <v>1605</v>
      </c>
      <c r="F158" s="44" t="s">
        <v>420</v>
      </c>
      <c r="G158" s="83" t="s">
        <v>1</v>
      </c>
      <c r="H158" s="83" t="s">
        <v>1</v>
      </c>
      <c r="I158" s="83" t="s">
        <v>1</v>
      </c>
      <c r="J158" s="83" t="s">
        <v>1</v>
      </c>
      <c r="K158" s="83" t="s">
        <v>1</v>
      </c>
      <c r="L158" s="84" t="str">
        <f t="shared" si="130"/>
        <v>Transportes</v>
      </c>
      <c r="M158" s="27" t="str">
        <f t="shared" si="131"/>
        <v>Aquáticos</v>
      </c>
      <c r="N158" s="27" t="str">
        <f t="shared" si="132"/>
        <v>Navios</v>
      </c>
      <c r="O158" s="28" t="str">
        <f t="shared" si="133"/>
        <v>Cruzeiro</v>
      </c>
      <c r="P158" s="43" t="s">
        <v>421</v>
      </c>
      <c r="Q158" s="84" t="s">
        <v>422</v>
      </c>
      <c r="R158" s="28" t="s">
        <v>1</v>
      </c>
      <c r="S158" s="28" t="str">
        <f t="shared" si="149"/>
        <v>Transportes</v>
      </c>
      <c r="T158" s="28" t="str">
        <f t="shared" si="150"/>
        <v>Aquáticos</v>
      </c>
      <c r="U158" s="28" t="str">
        <f t="shared" si="151"/>
        <v>Navios</v>
      </c>
      <c r="V158" s="28" t="s">
        <v>2222</v>
      </c>
      <c r="W158" s="69" t="str">
        <f t="shared" si="129"/>
        <v>Key-INFRA-158</v>
      </c>
      <c r="X158" s="28" t="s">
        <v>2091</v>
      </c>
      <c r="Y158" s="28" t="s">
        <v>2141</v>
      </c>
      <c r="Z158" s="40" t="s">
        <v>1</v>
      </c>
      <c r="AA158" s="28" t="str">
        <f t="shared" si="134"/>
        <v>Tourist cruise ship for passengers.</v>
      </c>
    </row>
    <row r="159" spans="1:27" ht="6.65" customHeight="1" x14ac:dyDescent="0.4">
      <c r="A159" s="77">
        <v>159</v>
      </c>
      <c r="B159" s="66" t="s">
        <v>2219</v>
      </c>
      <c r="C159" s="30" t="s">
        <v>1636</v>
      </c>
      <c r="D159" s="29" t="s">
        <v>1638</v>
      </c>
      <c r="E159" s="82" t="s">
        <v>1605</v>
      </c>
      <c r="F159" s="44" t="s">
        <v>423</v>
      </c>
      <c r="G159" s="83" t="s">
        <v>1</v>
      </c>
      <c r="H159" s="83" t="s">
        <v>1</v>
      </c>
      <c r="I159" s="83" t="s">
        <v>1</v>
      </c>
      <c r="J159" s="83" t="s">
        <v>1</v>
      </c>
      <c r="K159" s="83" t="s">
        <v>1</v>
      </c>
      <c r="L159" s="84" t="str">
        <f t="shared" si="130"/>
        <v>Transportes</v>
      </c>
      <c r="M159" s="27" t="str">
        <f t="shared" si="131"/>
        <v>Aquáticos</v>
      </c>
      <c r="N159" s="27" t="str">
        <f t="shared" si="132"/>
        <v>Navios</v>
      </c>
      <c r="O159" s="28" t="str">
        <f t="shared" si="133"/>
        <v>Militar</v>
      </c>
      <c r="P159" s="43" t="s">
        <v>424</v>
      </c>
      <c r="Q159" s="84" t="s">
        <v>425</v>
      </c>
      <c r="R159" s="28" t="s">
        <v>1</v>
      </c>
      <c r="S159" s="28" t="str">
        <f t="shared" si="149"/>
        <v>Transportes</v>
      </c>
      <c r="T159" s="28" t="str">
        <f t="shared" si="150"/>
        <v>Aquáticos</v>
      </c>
      <c r="U159" s="28" t="str">
        <f t="shared" si="151"/>
        <v>Navios</v>
      </c>
      <c r="V159" s="28" t="s">
        <v>2222</v>
      </c>
      <c r="W159" s="69" t="str">
        <f t="shared" si="129"/>
        <v>Key-INFRA-159</v>
      </c>
      <c r="X159" s="28" t="s">
        <v>2091</v>
      </c>
      <c r="Y159" s="28" t="s">
        <v>2141</v>
      </c>
      <c r="Z159" s="40" t="s">
        <v>1</v>
      </c>
      <c r="AA159" s="28" t="str">
        <f t="shared" si="134"/>
        <v>Military ship equipped with weapons or war elements.</v>
      </c>
    </row>
    <row r="160" spans="1:27" ht="6.65" customHeight="1" x14ac:dyDescent="0.4">
      <c r="A160" s="77">
        <v>160</v>
      </c>
      <c r="B160" s="66" t="s">
        <v>2219</v>
      </c>
      <c r="C160" s="30" t="s">
        <v>1636</v>
      </c>
      <c r="D160" s="29" t="s">
        <v>1638</v>
      </c>
      <c r="E160" s="82" t="s">
        <v>1605</v>
      </c>
      <c r="F160" s="44" t="s">
        <v>426</v>
      </c>
      <c r="G160" s="83" t="s">
        <v>1</v>
      </c>
      <c r="H160" s="83" t="s">
        <v>1</v>
      </c>
      <c r="I160" s="83" t="s">
        <v>1</v>
      </c>
      <c r="J160" s="83" t="s">
        <v>1</v>
      </c>
      <c r="K160" s="83" t="s">
        <v>1</v>
      </c>
      <c r="L160" s="84" t="str">
        <f t="shared" si="130"/>
        <v>Transportes</v>
      </c>
      <c r="M160" s="27" t="str">
        <f t="shared" si="131"/>
        <v>Aquáticos</v>
      </c>
      <c r="N160" s="27" t="str">
        <f t="shared" si="132"/>
        <v>Navios</v>
      </c>
      <c r="O160" s="28" t="str">
        <f t="shared" si="133"/>
        <v>Científico</v>
      </c>
      <c r="P160" s="43" t="s">
        <v>427</v>
      </c>
      <c r="Q160" s="84" t="s">
        <v>428</v>
      </c>
      <c r="R160" s="28" t="s">
        <v>1</v>
      </c>
      <c r="S160" s="28" t="str">
        <f t="shared" si="149"/>
        <v>Transportes</v>
      </c>
      <c r="T160" s="28" t="str">
        <f t="shared" si="150"/>
        <v>Aquáticos</v>
      </c>
      <c r="U160" s="28" t="str">
        <f t="shared" si="151"/>
        <v>Navios</v>
      </c>
      <c r="V160" s="28" t="s">
        <v>2222</v>
      </c>
      <c r="W160" s="69" t="str">
        <f t="shared" si="129"/>
        <v>Key-INFRA-160</v>
      </c>
      <c r="X160" s="28" t="s">
        <v>2091</v>
      </c>
      <c r="Y160" s="28" t="s">
        <v>2141</v>
      </c>
      <c r="Z160" s="40" t="s">
        <v>1</v>
      </c>
      <c r="AA160" s="28" t="str">
        <f t="shared" si="134"/>
        <v>Ships with scientific functionality such as Hydrooceanographic, Oceanic or Antarctic Support vessels.</v>
      </c>
    </row>
    <row r="161" spans="1:27" ht="6.65" customHeight="1" x14ac:dyDescent="0.4">
      <c r="A161" s="77">
        <v>161</v>
      </c>
      <c r="B161" s="66" t="s">
        <v>2219</v>
      </c>
      <c r="C161" s="30" t="s">
        <v>1636</v>
      </c>
      <c r="D161" s="29" t="s">
        <v>1638</v>
      </c>
      <c r="E161" s="82" t="s">
        <v>1605</v>
      </c>
      <c r="F161" s="44" t="s">
        <v>429</v>
      </c>
      <c r="G161" s="83" t="s">
        <v>1</v>
      </c>
      <c r="H161" s="83" t="s">
        <v>1</v>
      </c>
      <c r="I161" s="83" t="s">
        <v>1</v>
      </c>
      <c r="J161" s="83" t="s">
        <v>1</v>
      </c>
      <c r="K161" s="83" t="s">
        <v>1</v>
      </c>
      <c r="L161" s="84" t="str">
        <f t="shared" si="130"/>
        <v>Transportes</v>
      </c>
      <c r="M161" s="27" t="str">
        <f t="shared" si="131"/>
        <v>Aquáticos</v>
      </c>
      <c r="N161" s="27" t="str">
        <f t="shared" si="132"/>
        <v>Navios</v>
      </c>
      <c r="O161" s="28" t="str">
        <f t="shared" si="133"/>
        <v>Clipper</v>
      </c>
      <c r="P161" s="43" t="s">
        <v>430</v>
      </c>
      <c r="Q161" s="84" t="s">
        <v>431</v>
      </c>
      <c r="R161" s="28" t="s">
        <v>1</v>
      </c>
      <c r="S161" s="28" t="str">
        <f t="shared" si="149"/>
        <v>Transportes</v>
      </c>
      <c r="T161" s="28" t="str">
        <f t="shared" si="150"/>
        <v>Aquáticos</v>
      </c>
      <c r="U161" s="28" t="str">
        <f t="shared" si="151"/>
        <v>Navios</v>
      </c>
      <c r="V161" s="28" t="s">
        <v>2222</v>
      </c>
      <c r="W161" s="69" t="str">
        <f t="shared" si="129"/>
        <v>Key-INFRA-161</v>
      </c>
      <c r="X161" s="28" t="s">
        <v>2091</v>
      </c>
      <c r="Y161" s="28" t="s">
        <v>2141</v>
      </c>
      <c r="Z161" s="40" t="s">
        <v>1</v>
      </c>
      <c r="AA161" s="28" t="str">
        <f t="shared" si="134"/>
        <v>Sailboat designed for high speed, with a narrow hull and three high masts.</v>
      </c>
    </row>
    <row r="162" spans="1:27" ht="6.65" customHeight="1" x14ac:dyDescent="0.4">
      <c r="A162" s="77">
        <v>162</v>
      </c>
      <c r="B162" s="66" t="s">
        <v>2219</v>
      </c>
      <c r="C162" s="30" t="s">
        <v>1636</v>
      </c>
      <c r="D162" s="29" t="s">
        <v>1638</v>
      </c>
      <c r="E162" s="85" t="s">
        <v>1606</v>
      </c>
      <c r="F162" s="44" t="s">
        <v>432</v>
      </c>
      <c r="G162" s="83" t="s">
        <v>1</v>
      </c>
      <c r="H162" s="83" t="s">
        <v>1</v>
      </c>
      <c r="I162" s="83" t="s">
        <v>1</v>
      </c>
      <c r="J162" s="83" t="s">
        <v>1</v>
      </c>
      <c r="K162" s="83" t="s">
        <v>1</v>
      </c>
      <c r="L162" s="84" t="str">
        <f t="shared" si="130"/>
        <v>Transportes</v>
      </c>
      <c r="M162" s="27" t="str">
        <f t="shared" si="131"/>
        <v>Aquáticos</v>
      </c>
      <c r="N162" s="27" t="str">
        <f t="shared" si="132"/>
        <v>Embarcações</v>
      </c>
      <c r="O162" s="28" t="str">
        <f t="shared" si="133"/>
        <v>Rebocador</v>
      </c>
      <c r="P162" s="43" t="s">
        <v>433</v>
      </c>
      <c r="Q162" s="84" t="s">
        <v>434</v>
      </c>
      <c r="R162" s="28" t="s">
        <v>1</v>
      </c>
      <c r="S162" s="28" t="str">
        <f t="shared" si="149"/>
        <v>Transportes</v>
      </c>
      <c r="T162" s="28" t="str">
        <f t="shared" si="150"/>
        <v>Aquáticos</v>
      </c>
      <c r="U162" s="28" t="str">
        <f t="shared" si="151"/>
        <v>Embarcações</v>
      </c>
      <c r="V162" s="28" t="s">
        <v>2222</v>
      </c>
      <c r="W162" s="69" t="str">
        <f t="shared" si="129"/>
        <v>Key-INFRA-162</v>
      </c>
      <c r="X162" s="28" t="s">
        <v>2091</v>
      </c>
      <c r="Y162" s="28" t="s">
        <v>2141</v>
      </c>
      <c r="Z162" s="40" t="s">
        <v>1</v>
      </c>
      <c r="AA162" s="28" t="str">
        <f t="shared" si="134"/>
        <v>Support ship for entry and exit to ports.</v>
      </c>
    </row>
    <row r="163" spans="1:27" ht="6.65" customHeight="1" x14ac:dyDescent="0.4">
      <c r="A163" s="77">
        <v>163</v>
      </c>
      <c r="B163" s="66" t="s">
        <v>2219</v>
      </c>
      <c r="C163" s="30" t="s">
        <v>1636</v>
      </c>
      <c r="D163" s="29" t="s">
        <v>1638</v>
      </c>
      <c r="E163" s="85" t="s">
        <v>1606</v>
      </c>
      <c r="F163" s="44" t="s">
        <v>435</v>
      </c>
      <c r="G163" s="83" t="s">
        <v>1</v>
      </c>
      <c r="H163" s="83" t="s">
        <v>1</v>
      </c>
      <c r="I163" s="83" t="s">
        <v>1</v>
      </c>
      <c r="J163" s="83" t="s">
        <v>1</v>
      </c>
      <c r="K163" s="83" t="s">
        <v>1</v>
      </c>
      <c r="L163" s="84" t="str">
        <f t="shared" si="130"/>
        <v>Transportes</v>
      </c>
      <c r="M163" s="27" t="str">
        <f t="shared" si="131"/>
        <v>Aquáticos</v>
      </c>
      <c r="N163" s="27" t="str">
        <f t="shared" si="132"/>
        <v>Embarcações</v>
      </c>
      <c r="O163" s="28" t="str">
        <f t="shared" si="133"/>
        <v>Offshore</v>
      </c>
      <c r="P163" s="43" t="s">
        <v>436</v>
      </c>
      <c r="Q163" s="84" t="s">
        <v>437</v>
      </c>
      <c r="R163" s="28" t="s">
        <v>1</v>
      </c>
      <c r="S163" s="28" t="str">
        <f t="shared" si="149"/>
        <v>Transportes</v>
      </c>
      <c r="T163" s="28" t="str">
        <f t="shared" si="150"/>
        <v>Aquáticos</v>
      </c>
      <c r="U163" s="28" t="str">
        <f t="shared" si="151"/>
        <v>Embarcações</v>
      </c>
      <c r="V163" s="28" t="s">
        <v>2222</v>
      </c>
      <c r="W163" s="69" t="str">
        <f t="shared" si="129"/>
        <v>Key-INFRA-163</v>
      </c>
      <c r="X163" s="28" t="s">
        <v>2091</v>
      </c>
      <c r="Y163" s="28" t="s">
        <v>2141</v>
      </c>
      <c r="Z163" s="40" t="s">
        <v>1</v>
      </c>
      <c r="AA163" s="28" t="str">
        <f t="shared" si="134"/>
        <v>Support vessel equipped with specialized systems to perform chemical and hydraulic treatments in offshore oil wells. Offshore Support Vessels (OSV).</v>
      </c>
    </row>
    <row r="164" spans="1:27" ht="6.65" customHeight="1" x14ac:dyDescent="0.4">
      <c r="A164" s="77">
        <v>164</v>
      </c>
      <c r="B164" s="66" t="s">
        <v>2219</v>
      </c>
      <c r="C164" s="30" t="s">
        <v>1636</v>
      </c>
      <c r="D164" s="29" t="s">
        <v>1638</v>
      </c>
      <c r="E164" s="85" t="s">
        <v>1606</v>
      </c>
      <c r="F164" s="72" t="s">
        <v>438</v>
      </c>
      <c r="G164" s="86" t="s">
        <v>1</v>
      </c>
      <c r="H164" s="86" t="s">
        <v>1</v>
      </c>
      <c r="I164" s="86" t="s">
        <v>1</v>
      </c>
      <c r="J164" s="83" t="s">
        <v>1</v>
      </c>
      <c r="K164" s="83" t="s">
        <v>1</v>
      </c>
      <c r="L164" s="84" t="str">
        <f t="shared" si="130"/>
        <v>Transportes</v>
      </c>
      <c r="M164" s="27" t="str">
        <f t="shared" si="131"/>
        <v>Aquáticos</v>
      </c>
      <c r="N164" s="27" t="str">
        <f t="shared" si="132"/>
        <v>Embarcações</v>
      </c>
      <c r="O164" s="28" t="str">
        <f t="shared" si="133"/>
        <v>Aliscafo</v>
      </c>
      <c r="P164" s="43" t="s">
        <v>439</v>
      </c>
      <c r="Q164" s="84" t="s">
        <v>440</v>
      </c>
      <c r="R164" s="28" t="s">
        <v>1</v>
      </c>
      <c r="S164" s="28" t="str">
        <f t="shared" si="149"/>
        <v>Transportes</v>
      </c>
      <c r="T164" s="28" t="str">
        <f t="shared" si="150"/>
        <v>Aquáticos</v>
      </c>
      <c r="U164" s="28" t="str">
        <f t="shared" si="151"/>
        <v>Embarcações</v>
      </c>
      <c r="V164" s="28" t="s">
        <v>2222</v>
      </c>
      <c r="W164" s="69" t="str">
        <f t="shared" si="129"/>
        <v>Key-INFRA-164</v>
      </c>
      <c r="X164" s="28" t="s">
        <v>2091</v>
      </c>
      <c r="Y164" s="28" t="s">
        <v>2141</v>
      </c>
      <c r="Z164" s="40" t="s">
        <v>1</v>
      </c>
      <c r="AA164" s="28" t="str">
        <f t="shared" si="134"/>
        <v>High-speed vessel designed with hydrofoils to carry passengers. Usually used between neighboring cities or nearby ports. It can reach about 110 km/h (60 knots).</v>
      </c>
    </row>
    <row r="165" spans="1:27" ht="6.65" customHeight="1" x14ac:dyDescent="0.4">
      <c r="A165" s="77">
        <v>165</v>
      </c>
      <c r="B165" s="66" t="s">
        <v>2219</v>
      </c>
      <c r="C165" s="30" t="s">
        <v>1636</v>
      </c>
      <c r="D165" s="29" t="s">
        <v>1638</v>
      </c>
      <c r="E165" s="85" t="s">
        <v>1606</v>
      </c>
      <c r="F165" s="72" t="s">
        <v>441</v>
      </c>
      <c r="G165" s="86" t="s">
        <v>1</v>
      </c>
      <c r="H165" s="86" t="s">
        <v>1</v>
      </c>
      <c r="I165" s="86" t="s">
        <v>1</v>
      </c>
      <c r="J165" s="83" t="s">
        <v>1</v>
      </c>
      <c r="K165" s="83" t="s">
        <v>1</v>
      </c>
      <c r="L165" s="84" t="str">
        <f t="shared" si="130"/>
        <v>Transportes</v>
      </c>
      <c r="M165" s="27" t="str">
        <f t="shared" si="131"/>
        <v>Aquáticos</v>
      </c>
      <c r="N165" s="27" t="str">
        <f t="shared" si="132"/>
        <v>Embarcações</v>
      </c>
      <c r="O165" s="28" t="str">
        <f t="shared" si="133"/>
        <v>Ferry</v>
      </c>
      <c r="P165" s="43" t="s">
        <v>442</v>
      </c>
      <c r="Q165" s="84" t="s">
        <v>443</v>
      </c>
      <c r="R165" s="28" t="s">
        <v>1</v>
      </c>
      <c r="S165" s="28" t="str">
        <f t="shared" si="149"/>
        <v>Transportes</v>
      </c>
      <c r="T165" s="28" t="str">
        <f t="shared" si="150"/>
        <v>Aquáticos</v>
      </c>
      <c r="U165" s="28" t="str">
        <f t="shared" si="151"/>
        <v>Embarcações</v>
      </c>
      <c r="V165" s="28" t="s">
        <v>2222</v>
      </c>
      <c r="W165" s="69" t="str">
        <f t="shared" si="129"/>
        <v>Key-INFRA-165</v>
      </c>
      <c r="X165" s="28" t="s">
        <v>2091</v>
      </c>
      <c r="Y165" s="28" t="s">
        <v>2141</v>
      </c>
      <c r="Z165" s="40" t="s">
        <v>1</v>
      </c>
      <c r="AA165" s="28" t="str">
        <f t="shared" si="134"/>
        <v>A ferry-type vessel to transport passengers usually between neighboring cities or nearby ports.</v>
      </c>
    </row>
    <row r="166" spans="1:27" ht="6.65" customHeight="1" x14ac:dyDescent="0.4">
      <c r="A166" s="77">
        <v>166</v>
      </c>
      <c r="B166" s="66" t="s">
        <v>2219</v>
      </c>
      <c r="C166" s="30" t="s">
        <v>1636</v>
      </c>
      <c r="D166" s="29" t="s">
        <v>1638</v>
      </c>
      <c r="E166" s="85" t="s">
        <v>1606</v>
      </c>
      <c r="F166" s="72" t="s">
        <v>444</v>
      </c>
      <c r="G166" s="86" t="s">
        <v>1</v>
      </c>
      <c r="H166" s="86" t="s">
        <v>1</v>
      </c>
      <c r="I166" s="86" t="s">
        <v>1</v>
      </c>
      <c r="J166" s="83" t="s">
        <v>1</v>
      </c>
      <c r="K166" s="83" t="s">
        <v>1</v>
      </c>
      <c r="L166" s="84" t="str">
        <f t="shared" si="130"/>
        <v>Transportes</v>
      </c>
      <c r="M166" s="27" t="str">
        <f t="shared" si="131"/>
        <v>Aquáticos</v>
      </c>
      <c r="N166" s="27" t="str">
        <f t="shared" si="132"/>
        <v>Embarcações</v>
      </c>
      <c r="O166" s="28" t="str">
        <f t="shared" si="133"/>
        <v>Lancha</v>
      </c>
      <c r="P166" s="43" t="s">
        <v>445</v>
      </c>
      <c r="Q166" s="84" t="s">
        <v>446</v>
      </c>
      <c r="R166" s="28" t="s">
        <v>1</v>
      </c>
      <c r="S166" s="28" t="str">
        <f t="shared" si="149"/>
        <v>Transportes</v>
      </c>
      <c r="T166" s="28" t="str">
        <f t="shared" si="150"/>
        <v>Aquáticos</v>
      </c>
      <c r="U166" s="28" t="str">
        <f t="shared" si="151"/>
        <v>Embarcações</v>
      </c>
      <c r="V166" s="28" t="s">
        <v>2222</v>
      </c>
      <c r="W166" s="69" t="str">
        <f t="shared" si="129"/>
        <v>Key-INFRA-166</v>
      </c>
      <c r="X166" s="28" t="s">
        <v>2091</v>
      </c>
      <c r="Y166" s="28" t="s">
        <v>2141</v>
      </c>
      <c r="Z166" s="40" t="s">
        <v>1</v>
      </c>
      <c r="AA166" s="28" t="str">
        <f t="shared" si="134"/>
        <v>Boat type boat for leisure or sport.</v>
      </c>
    </row>
    <row r="167" spans="1:27" ht="6.65" customHeight="1" x14ac:dyDescent="0.4">
      <c r="A167" s="77">
        <v>167</v>
      </c>
      <c r="B167" s="66" t="s">
        <v>2219</v>
      </c>
      <c r="C167" s="30" t="s">
        <v>1636</v>
      </c>
      <c r="D167" s="29" t="s">
        <v>1638</v>
      </c>
      <c r="E167" s="85" t="s">
        <v>1606</v>
      </c>
      <c r="F167" s="72" t="s">
        <v>447</v>
      </c>
      <c r="G167" s="86" t="s">
        <v>1</v>
      </c>
      <c r="H167" s="86" t="s">
        <v>1</v>
      </c>
      <c r="I167" s="86" t="s">
        <v>1</v>
      </c>
      <c r="J167" s="83" t="s">
        <v>1</v>
      </c>
      <c r="K167" s="83" t="s">
        <v>1</v>
      </c>
      <c r="L167" s="84" t="str">
        <f t="shared" si="130"/>
        <v>Transportes</v>
      </c>
      <c r="M167" s="27" t="str">
        <f t="shared" si="131"/>
        <v>Aquáticos</v>
      </c>
      <c r="N167" s="27" t="str">
        <f t="shared" si="132"/>
        <v>Embarcações</v>
      </c>
      <c r="O167" s="28" t="str">
        <f t="shared" si="133"/>
        <v>Bote</v>
      </c>
      <c r="P167" s="43" t="s">
        <v>448</v>
      </c>
      <c r="Q167" s="84" t="s">
        <v>449</v>
      </c>
      <c r="R167" s="28" t="s">
        <v>1</v>
      </c>
      <c r="S167" s="28" t="str">
        <f t="shared" si="149"/>
        <v>Transportes</v>
      </c>
      <c r="T167" s="28" t="str">
        <f t="shared" si="150"/>
        <v>Aquáticos</v>
      </c>
      <c r="U167" s="28" t="str">
        <f t="shared" si="151"/>
        <v>Embarcações</v>
      </c>
      <c r="V167" s="28" t="s">
        <v>2222</v>
      </c>
      <c r="W167" s="69" t="str">
        <f t="shared" si="129"/>
        <v>Key-INFRA-167</v>
      </c>
      <c r="X167" s="28" t="s">
        <v>2091</v>
      </c>
      <c r="Y167" s="28" t="s">
        <v>2141</v>
      </c>
      <c r="Z167" s="40" t="s">
        <v>1</v>
      </c>
      <c r="AA167" s="28" t="str">
        <f t="shared" si="134"/>
        <v>Small dinghy type vessel.</v>
      </c>
    </row>
    <row r="168" spans="1:27" ht="6.65" customHeight="1" x14ac:dyDescent="0.4">
      <c r="A168" s="77">
        <v>168</v>
      </c>
      <c r="B168" s="66" t="s">
        <v>2219</v>
      </c>
      <c r="C168" s="30" t="s">
        <v>1636</v>
      </c>
      <c r="D168" s="29" t="s">
        <v>1638</v>
      </c>
      <c r="E168" s="85" t="s">
        <v>1606</v>
      </c>
      <c r="F168" s="72" t="s">
        <v>450</v>
      </c>
      <c r="G168" s="86" t="s">
        <v>1</v>
      </c>
      <c r="H168" s="86" t="s">
        <v>1</v>
      </c>
      <c r="I168" s="86" t="s">
        <v>1</v>
      </c>
      <c r="J168" s="83" t="s">
        <v>1</v>
      </c>
      <c r="K168" s="83" t="s">
        <v>1</v>
      </c>
      <c r="L168" s="84" t="str">
        <f t="shared" si="130"/>
        <v>Transportes</v>
      </c>
      <c r="M168" s="27" t="str">
        <f t="shared" si="131"/>
        <v>Aquáticos</v>
      </c>
      <c r="N168" s="27" t="str">
        <f t="shared" si="132"/>
        <v>Embarcações</v>
      </c>
      <c r="O168" s="28" t="str">
        <f t="shared" si="133"/>
        <v>Iate</v>
      </c>
      <c r="P168" s="43" t="s">
        <v>451</v>
      </c>
      <c r="Q168" s="84" t="s">
        <v>452</v>
      </c>
      <c r="R168" s="28" t="s">
        <v>1</v>
      </c>
      <c r="S168" s="28" t="str">
        <f t="shared" si="149"/>
        <v>Transportes</v>
      </c>
      <c r="T168" s="28" t="str">
        <f t="shared" si="150"/>
        <v>Aquáticos</v>
      </c>
      <c r="U168" s="28" t="str">
        <f t="shared" si="151"/>
        <v>Embarcações</v>
      </c>
      <c r="V168" s="28" t="s">
        <v>2222</v>
      </c>
      <c r="W168" s="69" t="str">
        <f t="shared" si="129"/>
        <v>Key-INFRA-168</v>
      </c>
      <c r="X168" s="28" t="s">
        <v>2091</v>
      </c>
      <c r="Y168" s="28" t="s">
        <v>2141</v>
      </c>
      <c r="Z168" s="40" t="s">
        <v>1</v>
      </c>
      <c r="AA168" s="28" t="str">
        <f t="shared" si="134"/>
        <v>Yacht-type vessel with full cabin structure.</v>
      </c>
    </row>
    <row r="169" spans="1:27" ht="6.65" customHeight="1" x14ac:dyDescent="0.4">
      <c r="A169" s="77">
        <v>169</v>
      </c>
      <c r="B169" s="66" t="s">
        <v>2219</v>
      </c>
      <c r="C169" s="30" t="s">
        <v>1636</v>
      </c>
      <c r="D169" s="29" t="s">
        <v>1638</v>
      </c>
      <c r="E169" s="85" t="s">
        <v>1606</v>
      </c>
      <c r="F169" s="72" t="s">
        <v>453</v>
      </c>
      <c r="G169" s="86" t="s">
        <v>1</v>
      </c>
      <c r="H169" s="86" t="s">
        <v>1</v>
      </c>
      <c r="I169" s="86" t="s">
        <v>1</v>
      </c>
      <c r="J169" s="83" t="s">
        <v>1</v>
      </c>
      <c r="K169" s="83" t="s">
        <v>1</v>
      </c>
      <c r="L169" s="84" t="str">
        <f t="shared" si="130"/>
        <v>Transportes</v>
      </c>
      <c r="M169" s="27" t="str">
        <f t="shared" si="131"/>
        <v>Aquáticos</v>
      </c>
      <c r="N169" s="27" t="str">
        <f t="shared" si="132"/>
        <v>Embarcações</v>
      </c>
      <c r="O169" s="28" t="str">
        <f t="shared" si="133"/>
        <v>Catamarã</v>
      </c>
      <c r="P169" s="43" t="s">
        <v>454</v>
      </c>
      <c r="Q169" s="84" t="s">
        <v>455</v>
      </c>
      <c r="R169" s="28" t="s">
        <v>1</v>
      </c>
      <c r="S169" s="28" t="str">
        <f t="shared" si="149"/>
        <v>Transportes</v>
      </c>
      <c r="T169" s="28" t="str">
        <f t="shared" si="150"/>
        <v>Aquáticos</v>
      </c>
      <c r="U169" s="28" t="str">
        <f t="shared" si="151"/>
        <v>Embarcações</v>
      </c>
      <c r="V169" s="28" t="s">
        <v>2222</v>
      </c>
      <c r="W169" s="69" t="str">
        <f t="shared" si="129"/>
        <v>Key-INFRA-169</v>
      </c>
      <c r="X169" s="28" t="s">
        <v>2091</v>
      </c>
      <c r="Y169" s="28" t="s">
        <v>2141</v>
      </c>
      <c r="Z169" s="40" t="s">
        <v>1</v>
      </c>
      <c r="AA169" s="28" t="str">
        <f t="shared" si="134"/>
        <v>Catamaran-type vessel with two parallel hulls.</v>
      </c>
    </row>
    <row r="170" spans="1:27" ht="6.65" customHeight="1" x14ac:dyDescent="0.4">
      <c r="A170" s="77">
        <v>170</v>
      </c>
      <c r="B170" s="66" t="s">
        <v>2219</v>
      </c>
      <c r="C170" s="30" t="s">
        <v>1636</v>
      </c>
      <c r="D170" s="29" t="s">
        <v>1638</v>
      </c>
      <c r="E170" s="85" t="s">
        <v>1606</v>
      </c>
      <c r="F170" s="72" t="s">
        <v>456</v>
      </c>
      <c r="G170" s="86" t="s">
        <v>1</v>
      </c>
      <c r="H170" s="86" t="s">
        <v>1</v>
      </c>
      <c r="I170" s="86" t="s">
        <v>1</v>
      </c>
      <c r="J170" s="83" t="s">
        <v>1</v>
      </c>
      <c r="K170" s="83" t="s">
        <v>1</v>
      </c>
      <c r="L170" s="84" t="str">
        <f t="shared" si="130"/>
        <v>Transportes</v>
      </c>
      <c r="M170" s="27" t="str">
        <f t="shared" si="131"/>
        <v>Aquáticos</v>
      </c>
      <c r="N170" s="27" t="str">
        <f t="shared" si="132"/>
        <v>Embarcações</v>
      </c>
      <c r="O170" s="28" t="str">
        <f t="shared" si="133"/>
        <v>Veleiro</v>
      </c>
      <c r="P170" s="43" t="s">
        <v>457</v>
      </c>
      <c r="Q170" s="84" t="s">
        <v>458</v>
      </c>
      <c r="R170" s="28" t="s">
        <v>1</v>
      </c>
      <c r="S170" s="28" t="str">
        <f t="shared" si="149"/>
        <v>Transportes</v>
      </c>
      <c r="T170" s="28" t="str">
        <f t="shared" si="150"/>
        <v>Aquáticos</v>
      </c>
      <c r="U170" s="28" t="str">
        <f t="shared" si="151"/>
        <v>Embarcações</v>
      </c>
      <c r="V170" s="28" t="s">
        <v>2222</v>
      </c>
      <c r="W170" s="69" t="str">
        <f t="shared" si="129"/>
        <v>Key-INFRA-170</v>
      </c>
      <c r="X170" s="28" t="s">
        <v>2091</v>
      </c>
      <c r="Y170" s="28" t="s">
        <v>2142</v>
      </c>
      <c r="Z170" s="40" t="s">
        <v>1</v>
      </c>
      <c r="AA170" s="28" t="str">
        <f t="shared" si="134"/>
        <v>Sailboat type boat for leisure or sport.</v>
      </c>
    </row>
    <row r="171" spans="1:27" ht="6.65" customHeight="1" x14ac:dyDescent="0.4">
      <c r="A171" s="77">
        <v>171</v>
      </c>
      <c r="B171" s="66" t="s">
        <v>2219</v>
      </c>
      <c r="C171" s="30" t="s">
        <v>1636</v>
      </c>
      <c r="D171" s="29" t="s">
        <v>1639</v>
      </c>
      <c r="E171" s="85" t="s">
        <v>1640</v>
      </c>
      <c r="F171" s="72" t="s">
        <v>1720</v>
      </c>
      <c r="G171" s="86" t="s">
        <v>1</v>
      </c>
      <c r="H171" s="86" t="s">
        <v>1</v>
      </c>
      <c r="I171" s="86" t="s">
        <v>1</v>
      </c>
      <c r="J171" s="83" t="s">
        <v>1</v>
      </c>
      <c r="K171" s="83" t="s">
        <v>1</v>
      </c>
      <c r="L171" s="84" t="str">
        <f t="shared" ref="L171:L179" si="152">_xlfn.CONCAT(C171)</f>
        <v>Transportes</v>
      </c>
      <c r="M171" s="27" t="str">
        <f t="shared" ref="M171:M179" si="153">CONCATENATE("", D171)</f>
        <v>Aéreos</v>
      </c>
      <c r="N171" s="27" t="str">
        <f t="shared" ref="N171:N179" si="154">(SUBSTITUTE(SUBSTITUTE(CONCATENATE("",E171),"."," ")," De "," de "))</f>
        <v>Aviões</v>
      </c>
      <c r="O171" s="28" t="str">
        <f t="shared" ref="O171:O179" si="155">F171</f>
        <v>Avião.de.Fuselagem.Larga</v>
      </c>
      <c r="P171" s="43" t="s">
        <v>1646</v>
      </c>
      <c r="Q171" s="84" t="s">
        <v>1655</v>
      </c>
      <c r="R171" s="28" t="s">
        <v>1</v>
      </c>
      <c r="S171" s="28" t="str">
        <f t="shared" ref="S171:S179" si="156">SUBSTITUTE(C171, ".", " ")</f>
        <v>Transportes</v>
      </c>
      <c r="T171" s="28" t="str">
        <f t="shared" ref="T171:T179" si="157">SUBSTITUTE(D171, ".", " ")</f>
        <v>Aéreos</v>
      </c>
      <c r="U171" s="28" t="str">
        <f t="shared" ref="U171:U179" si="158">SUBSTITUTE(E171, ".", " ")</f>
        <v>Aviões</v>
      </c>
      <c r="V171" s="28" t="s">
        <v>2222</v>
      </c>
      <c r="W171" s="69" t="str">
        <f t="shared" si="129"/>
        <v>Key-INFRA-171</v>
      </c>
      <c r="X171" s="28" t="s">
        <v>2091</v>
      </c>
      <c r="Y171" s="28" t="s">
        <v>2142</v>
      </c>
      <c r="Z171" s="40" t="s">
        <v>1</v>
      </c>
      <c r="AA171" s="28" t="str">
        <f t="shared" si="134"/>
        <v>Airplane with two internal aisles, used on international and long-haul flights. Like Boeing or Airbus.</v>
      </c>
    </row>
    <row r="172" spans="1:27" ht="6.65" customHeight="1" x14ac:dyDescent="0.4">
      <c r="A172" s="77">
        <v>172</v>
      </c>
      <c r="B172" s="66" t="s">
        <v>2219</v>
      </c>
      <c r="C172" s="30" t="s">
        <v>1636</v>
      </c>
      <c r="D172" s="29" t="s">
        <v>1639</v>
      </c>
      <c r="E172" s="85" t="s">
        <v>1640</v>
      </c>
      <c r="F172" s="72" t="s">
        <v>1719</v>
      </c>
      <c r="G172" s="86" t="s">
        <v>1</v>
      </c>
      <c r="H172" s="86" t="s">
        <v>1</v>
      </c>
      <c r="I172" s="86" t="s">
        <v>1</v>
      </c>
      <c r="J172" s="83" t="s">
        <v>1</v>
      </c>
      <c r="K172" s="83" t="s">
        <v>1</v>
      </c>
      <c r="L172" s="84" t="str">
        <f t="shared" si="152"/>
        <v>Transportes</v>
      </c>
      <c r="M172" s="27" t="str">
        <f t="shared" si="153"/>
        <v>Aéreos</v>
      </c>
      <c r="N172" s="27" t="str">
        <f t="shared" si="154"/>
        <v>Aviões</v>
      </c>
      <c r="O172" s="28" t="str">
        <f t="shared" si="155"/>
        <v>Avião.de.Fuselagem.Estreita</v>
      </c>
      <c r="P172" s="43" t="s">
        <v>1647</v>
      </c>
      <c r="Q172" s="84" t="s">
        <v>1656</v>
      </c>
      <c r="R172" s="28" t="s">
        <v>1</v>
      </c>
      <c r="S172" s="28" t="str">
        <f t="shared" si="156"/>
        <v>Transportes</v>
      </c>
      <c r="T172" s="28" t="str">
        <f t="shared" si="157"/>
        <v>Aéreos</v>
      </c>
      <c r="U172" s="28" t="str">
        <f t="shared" si="158"/>
        <v>Aviões</v>
      </c>
      <c r="V172" s="28" t="s">
        <v>2222</v>
      </c>
      <c r="W172" s="69" t="str">
        <f t="shared" si="129"/>
        <v>Key-INFRA-172</v>
      </c>
      <c r="X172" s="28" t="s">
        <v>2091</v>
      </c>
      <c r="Y172" s="28" t="s">
        <v>2142</v>
      </c>
      <c r="Z172" s="40" t="s">
        <v>1</v>
      </c>
      <c r="AA172" s="28" t="str">
        <f t="shared" si="134"/>
        <v>Airplane with an internal aisle, used in international and long-haul flights. Like Boeing or Airbus.</v>
      </c>
    </row>
    <row r="173" spans="1:27" ht="6.65" customHeight="1" x14ac:dyDescent="0.4">
      <c r="A173" s="77">
        <v>173</v>
      </c>
      <c r="B173" s="66" t="s">
        <v>2219</v>
      </c>
      <c r="C173" s="30" t="s">
        <v>1636</v>
      </c>
      <c r="D173" s="29" t="s">
        <v>1639</v>
      </c>
      <c r="E173" s="85" t="s">
        <v>1640</v>
      </c>
      <c r="F173" s="72" t="s">
        <v>1643</v>
      </c>
      <c r="G173" s="86" t="s">
        <v>1</v>
      </c>
      <c r="H173" s="86" t="s">
        <v>1</v>
      </c>
      <c r="I173" s="86" t="s">
        <v>1</v>
      </c>
      <c r="J173" s="83" t="s">
        <v>1</v>
      </c>
      <c r="K173" s="83" t="s">
        <v>1</v>
      </c>
      <c r="L173" s="84" t="str">
        <f t="shared" si="152"/>
        <v>Transportes</v>
      </c>
      <c r="M173" s="27" t="str">
        <f t="shared" si="153"/>
        <v>Aéreos</v>
      </c>
      <c r="N173" s="27" t="str">
        <f t="shared" si="154"/>
        <v>Aviões</v>
      </c>
      <c r="O173" s="28" t="str">
        <f t="shared" si="155"/>
        <v>Jet.Executivo</v>
      </c>
      <c r="P173" s="43" t="s">
        <v>1644</v>
      </c>
      <c r="Q173" s="84" t="s">
        <v>1657</v>
      </c>
      <c r="R173" s="28" t="s">
        <v>1</v>
      </c>
      <c r="S173" s="28" t="str">
        <f t="shared" si="156"/>
        <v>Transportes</v>
      </c>
      <c r="T173" s="28" t="str">
        <f t="shared" si="157"/>
        <v>Aéreos</v>
      </c>
      <c r="U173" s="28" t="str">
        <f t="shared" si="158"/>
        <v>Aviões</v>
      </c>
      <c r="V173" s="28" t="s">
        <v>2222</v>
      </c>
      <c r="W173" s="69" t="str">
        <f t="shared" si="129"/>
        <v>Key-INFRA-173</v>
      </c>
      <c r="X173" s="28" t="s">
        <v>2091</v>
      </c>
      <c r="Y173" s="28" t="s">
        <v>2142</v>
      </c>
      <c r="Z173" s="40" t="s">
        <v>1</v>
      </c>
      <c r="AA173" s="28" t="str">
        <f t="shared" si="134"/>
        <v>Learjet type executive jet.</v>
      </c>
    </row>
    <row r="174" spans="1:27" ht="6.65" customHeight="1" x14ac:dyDescent="0.4">
      <c r="A174" s="77">
        <v>174</v>
      </c>
      <c r="B174" s="66" t="s">
        <v>2219</v>
      </c>
      <c r="C174" s="30" t="s">
        <v>1636</v>
      </c>
      <c r="D174" s="29" t="s">
        <v>1639</v>
      </c>
      <c r="E174" s="85" t="s">
        <v>1640</v>
      </c>
      <c r="F174" s="72" t="s">
        <v>1641</v>
      </c>
      <c r="G174" s="86" t="s">
        <v>1</v>
      </c>
      <c r="H174" s="86" t="s">
        <v>1</v>
      </c>
      <c r="I174" s="86" t="s">
        <v>1</v>
      </c>
      <c r="J174" s="83" t="s">
        <v>1</v>
      </c>
      <c r="K174" s="83" t="s">
        <v>1</v>
      </c>
      <c r="L174" s="84" t="str">
        <f t="shared" ref="L174:L178" si="159">_xlfn.CONCAT(C174)</f>
        <v>Transportes</v>
      </c>
      <c r="M174" s="27" t="str">
        <f t="shared" ref="M174:M178" si="160">CONCATENATE("", D174)</f>
        <v>Aéreos</v>
      </c>
      <c r="N174" s="27" t="str">
        <f t="shared" ref="N174:N178" si="161">(SUBSTITUTE(SUBSTITUTE(CONCATENATE("",E174),"."," ")," De "," de "))</f>
        <v>Aviões</v>
      </c>
      <c r="O174" s="28" t="str">
        <f t="shared" ref="O174:O178" si="162">F174</f>
        <v>Avioneta</v>
      </c>
      <c r="P174" s="43" t="s">
        <v>1645</v>
      </c>
      <c r="Q174" s="84" t="s">
        <v>1658</v>
      </c>
      <c r="R174" s="28" t="s">
        <v>1</v>
      </c>
      <c r="S174" s="28" t="str">
        <f t="shared" ref="S174:S178" si="163">SUBSTITUTE(C174, ".", " ")</f>
        <v>Transportes</v>
      </c>
      <c r="T174" s="28" t="str">
        <f t="shared" ref="T174:T178" si="164">SUBSTITUTE(D174, ".", " ")</f>
        <v>Aéreos</v>
      </c>
      <c r="U174" s="28" t="str">
        <f t="shared" ref="U174:U178" si="165">SUBSTITUTE(E174, ".", " ")</f>
        <v>Aviões</v>
      </c>
      <c r="V174" s="28" t="s">
        <v>2222</v>
      </c>
      <c r="W174" s="69" t="str">
        <f t="shared" si="129"/>
        <v>Key-INFRA-174</v>
      </c>
      <c r="X174" s="28" t="s">
        <v>2091</v>
      </c>
      <c r="Y174" s="28" t="s">
        <v>2142</v>
      </c>
      <c r="Z174" s="40" t="s">
        <v>1</v>
      </c>
      <c r="AA174" s="28" t="str">
        <f t="shared" si="134"/>
        <v>Small aircraft type Cessna turboprop aircraft.</v>
      </c>
    </row>
    <row r="175" spans="1:27" ht="6.65" customHeight="1" x14ac:dyDescent="0.4">
      <c r="A175" s="77">
        <v>175</v>
      </c>
      <c r="B175" s="66" t="s">
        <v>2219</v>
      </c>
      <c r="C175" s="30" t="s">
        <v>1636</v>
      </c>
      <c r="D175" s="29" t="s">
        <v>1639</v>
      </c>
      <c r="E175" s="85" t="s">
        <v>1642</v>
      </c>
      <c r="F175" s="72" t="s">
        <v>1649</v>
      </c>
      <c r="G175" s="86" t="s">
        <v>1</v>
      </c>
      <c r="H175" s="86" t="s">
        <v>1</v>
      </c>
      <c r="I175" s="86" t="s">
        <v>1</v>
      </c>
      <c r="J175" s="83" t="s">
        <v>1</v>
      </c>
      <c r="K175" s="83" t="s">
        <v>1</v>
      </c>
      <c r="L175" s="84" t="str">
        <f t="shared" si="159"/>
        <v>Transportes</v>
      </c>
      <c r="M175" s="27" t="str">
        <f t="shared" si="160"/>
        <v>Aéreos</v>
      </c>
      <c r="N175" s="27" t="str">
        <f t="shared" si="161"/>
        <v>Helicópteros</v>
      </c>
      <c r="O175" s="28" t="str">
        <f t="shared" si="162"/>
        <v>Helicoptero.Pistão</v>
      </c>
      <c r="P175" s="43" t="s">
        <v>1648</v>
      </c>
      <c r="Q175" s="84" t="s">
        <v>1659</v>
      </c>
      <c r="R175" s="28" t="s">
        <v>1</v>
      </c>
      <c r="S175" s="28" t="str">
        <f t="shared" si="163"/>
        <v>Transportes</v>
      </c>
      <c r="T175" s="28" t="str">
        <f t="shared" si="164"/>
        <v>Aéreos</v>
      </c>
      <c r="U175" s="28" t="str">
        <f t="shared" si="165"/>
        <v>Helicópteros</v>
      </c>
      <c r="V175" s="28" t="s">
        <v>2222</v>
      </c>
      <c r="W175" s="69" t="str">
        <f t="shared" si="129"/>
        <v>Key-INFRA-175</v>
      </c>
      <c r="X175" s="28" t="s">
        <v>2091</v>
      </c>
      <c r="Y175" s="28" t="s">
        <v>2142</v>
      </c>
      <c r="Z175" s="40" t="s">
        <v>1</v>
      </c>
      <c r="AA175" s="28" t="str">
        <f t="shared" si="134"/>
        <v>Small helicopter.</v>
      </c>
    </row>
    <row r="176" spans="1:27" ht="6.65" customHeight="1" x14ac:dyDescent="0.4">
      <c r="A176" s="77">
        <v>176</v>
      </c>
      <c r="B176" s="66" t="s">
        <v>2219</v>
      </c>
      <c r="C176" s="30" t="s">
        <v>1636</v>
      </c>
      <c r="D176" s="29" t="s">
        <v>1639</v>
      </c>
      <c r="E176" s="85" t="s">
        <v>1642</v>
      </c>
      <c r="F176" s="72" t="s">
        <v>1650</v>
      </c>
      <c r="G176" s="86" t="s">
        <v>1</v>
      </c>
      <c r="H176" s="86" t="s">
        <v>1</v>
      </c>
      <c r="I176" s="86" t="s">
        <v>1</v>
      </c>
      <c r="J176" s="83" t="s">
        <v>1</v>
      </c>
      <c r="K176" s="83" t="s">
        <v>1</v>
      </c>
      <c r="L176" s="84" t="str">
        <f t="shared" si="159"/>
        <v>Transportes</v>
      </c>
      <c r="M176" s="27" t="str">
        <f t="shared" si="160"/>
        <v>Aéreos</v>
      </c>
      <c r="N176" s="27" t="str">
        <f t="shared" si="161"/>
        <v>Helicópteros</v>
      </c>
      <c r="O176" s="28" t="str">
        <f t="shared" si="162"/>
        <v>Helicoptero.Turbina</v>
      </c>
      <c r="P176" s="43" t="s">
        <v>1651</v>
      </c>
      <c r="Q176" s="84" t="s">
        <v>1660</v>
      </c>
      <c r="R176" s="28" t="s">
        <v>1</v>
      </c>
      <c r="S176" s="28" t="str">
        <f t="shared" si="163"/>
        <v>Transportes</v>
      </c>
      <c r="T176" s="28" t="str">
        <f t="shared" si="164"/>
        <v>Aéreos</v>
      </c>
      <c r="U176" s="28" t="str">
        <f t="shared" si="165"/>
        <v>Helicópteros</v>
      </c>
      <c r="V176" s="28" t="s">
        <v>2222</v>
      </c>
      <c r="W176" s="69" t="str">
        <f t="shared" si="129"/>
        <v>Key-INFRA-176</v>
      </c>
      <c r="X176" s="28" t="s">
        <v>2091</v>
      </c>
      <c r="Y176" s="28" t="s">
        <v>2142</v>
      </c>
      <c r="Z176" s="40" t="s">
        <v>1</v>
      </c>
      <c r="AA176" s="28" t="str">
        <f t="shared" si="134"/>
        <v>Large helicopter.</v>
      </c>
    </row>
    <row r="177" spans="1:27" ht="6.65" customHeight="1" x14ac:dyDescent="0.4">
      <c r="A177" s="77">
        <v>177</v>
      </c>
      <c r="B177" s="66" t="s">
        <v>2219</v>
      </c>
      <c r="C177" s="30" t="s">
        <v>1636</v>
      </c>
      <c r="D177" s="29" t="s">
        <v>1639</v>
      </c>
      <c r="E177" s="85" t="s">
        <v>1652</v>
      </c>
      <c r="F177" s="72" t="s">
        <v>1653</v>
      </c>
      <c r="G177" s="86" t="s">
        <v>1</v>
      </c>
      <c r="H177" s="86" t="s">
        <v>1</v>
      </c>
      <c r="I177" s="86" t="s">
        <v>1</v>
      </c>
      <c r="J177" s="83" t="s">
        <v>1</v>
      </c>
      <c r="K177" s="83" t="s">
        <v>1</v>
      </c>
      <c r="L177" s="84" t="str">
        <f t="shared" si="159"/>
        <v>Transportes</v>
      </c>
      <c r="M177" s="27" t="str">
        <f t="shared" si="160"/>
        <v>Aéreos</v>
      </c>
      <c r="N177" s="27" t="str">
        <f t="shared" si="161"/>
        <v>Vants</v>
      </c>
      <c r="O177" s="28" t="str">
        <f t="shared" si="162"/>
        <v>Drone</v>
      </c>
      <c r="P177" s="43" t="s">
        <v>1654</v>
      </c>
      <c r="Q177" s="84" t="s">
        <v>1661</v>
      </c>
      <c r="R177" s="28" t="s">
        <v>1</v>
      </c>
      <c r="S177" s="28" t="str">
        <f t="shared" si="163"/>
        <v>Transportes</v>
      </c>
      <c r="T177" s="28" t="str">
        <f t="shared" si="164"/>
        <v>Aéreos</v>
      </c>
      <c r="U177" s="28" t="str">
        <f t="shared" si="165"/>
        <v>Vants</v>
      </c>
      <c r="V177" s="28" t="s">
        <v>2222</v>
      </c>
      <c r="W177" s="69" t="str">
        <f t="shared" si="129"/>
        <v>Key-INFRA-177</v>
      </c>
      <c r="X177" s="28" t="s">
        <v>2091</v>
      </c>
      <c r="Y177" s="28" t="s">
        <v>2142</v>
      </c>
      <c r="Z177" s="40" t="s">
        <v>1</v>
      </c>
      <c r="AA177" s="28" t="str">
        <f t="shared" si="134"/>
        <v>Drone or UAS unmanned aerial vehicle.</v>
      </c>
    </row>
    <row r="178" spans="1:27" ht="6.65" customHeight="1" x14ac:dyDescent="0.4">
      <c r="A178" s="77">
        <v>178</v>
      </c>
      <c r="B178" s="66" t="s">
        <v>2219</v>
      </c>
      <c r="C178" s="30" t="s">
        <v>1636</v>
      </c>
      <c r="D178" s="29" t="s">
        <v>1639</v>
      </c>
      <c r="E178" s="85" t="s">
        <v>1652</v>
      </c>
      <c r="F178" s="72" t="s">
        <v>1708</v>
      </c>
      <c r="G178" s="86" t="s">
        <v>1</v>
      </c>
      <c r="H178" s="86" t="s">
        <v>1</v>
      </c>
      <c r="I178" s="86" t="s">
        <v>1</v>
      </c>
      <c r="J178" s="83" t="s">
        <v>1</v>
      </c>
      <c r="K178" s="83" t="s">
        <v>1</v>
      </c>
      <c r="L178" s="84" t="str">
        <f t="shared" si="159"/>
        <v>Transportes</v>
      </c>
      <c r="M178" s="27" t="str">
        <f t="shared" si="160"/>
        <v>Aéreos</v>
      </c>
      <c r="N178" s="27" t="str">
        <f t="shared" si="161"/>
        <v>Vants</v>
      </c>
      <c r="O178" s="28" t="str">
        <f t="shared" si="162"/>
        <v>Vant</v>
      </c>
      <c r="P178" s="43" t="s">
        <v>1654</v>
      </c>
      <c r="Q178" s="84" t="s">
        <v>1661</v>
      </c>
      <c r="R178" s="28" t="s">
        <v>1</v>
      </c>
      <c r="S178" s="28" t="str">
        <f t="shared" si="163"/>
        <v>Transportes</v>
      </c>
      <c r="T178" s="28" t="str">
        <f t="shared" si="164"/>
        <v>Aéreos</v>
      </c>
      <c r="U178" s="28" t="str">
        <f t="shared" si="165"/>
        <v>Vants</v>
      </c>
      <c r="V178" s="28" t="s">
        <v>2222</v>
      </c>
      <c r="W178" s="69" t="str">
        <f t="shared" si="129"/>
        <v>Key-INFRA-178</v>
      </c>
      <c r="X178" s="28" t="s">
        <v>2091</v>
      </c>
      <c r="Y178" s="28" t="s">
        <v>2142</v>
      </c>
      <c r="Z178" s="40" t="s">
        <v>1</v>
      </c>
      <c r="AA178" s="28" t="str">
        <f t="shared" si="134"/>
        <v>Drone or UAS unmanned aerial vehicle.</v>
      </c>
    </row>
    <row r="179" spans="1:27" ht="6.65" customHeight="1" x14ac:dyDescent="0.4">
      <c r="A179" s="77">
        <v>179</v>
      </c>
      <c r="B179" s="66" t="s">
        <v>2219</v>
      </c>
      <c r="C179" s="30" t="s">
        <v>1636</v>
      </c>
      <c r="D179" s="29" t="s">
        <v>1639</v>
      </c>
      <c r="E179" s="85" t="s">
        <v>1652</v>
      </c>
      <c r="F179" s="72" t="s">
        <v>1709</v>
      </c>
      <c r="G179" s="86" t="s">
        <v>1</v>
      </c>
      <c r="H179" s="86" t="s">
        <v>1</v>
      </c>
      <c r="I179" s="86" t="s">
        <v>1</v>
      </c>
      <c r="J179" s="83" t="s">
        <v>1</v>
      </c>
      <c r="K179" s="83" t="s">
        <v>1</v>
      </c>
      <c r="L179" s="84" t="str">
        <f t="shared" si="152"/>
        <v>Transportes</v>
      </c>
      <c r="M179" s="27" t="str">
        <f t="shared" si="153"/>
        <v>Aéreos</v>
      </c>
      <c r="N179" s="27" t="str">
        <f t="shared" si="154"/>
        <v>Vants</v>
      </c>
      <c r="O179" s="28" t="str">
        <f t="shared" si="155"/>
        <v>UAS</v>
      </c>
      <c r="P179" s="43" t="s">
        <v>1654</v>
      </c>
      <c r="Q179" s="84" t="s">
        <v>1661</v>
      </c>
      <c r="R179" s="28" t="s">
        <v>1</v>
      </c>
      <c r="S179" s="28" t="str">
        <f t="shared" si="156"/>
        <v>Transportes</v>
      </c>
      <c r="T179" s="28" t="str">
        <f t="shared" si="157"/>
        <v>Aéreos</v>
      </c>
      <c r="U179" s="28" t="str">
        <f t="shared" si="158"/>
        <v>Vants</v>
      </c>
      <c r="V179" s="28" t="s">
        <v>2222</v>
      </c>
      <c r="W179" s="69" t="str">
        <f t="shared" si="129"/>
        <v>Key-INFRA-179</v>
      </c>
      <c r="X179" s="28" t="s">
        <v>2091</v>
      </c>
      <c r="Y179" s="28" t="s">
        <v>2128</v>
      </c>
      <c r="Z179" s="40" t="s">
        <v>1</v>
      </c>
      <c r="AA179" s="28" t="str">
        <f t="shared" si="134"/>
        <v>Drone or UAS unmanned aerial vehicle.</v>
      </c>
    </row>
    <row r="180" spans="1:27" ht="6.65" customHeight="1" x14ac:dyDescent="0.4">
      <c r="A180" s="77">
        <v>180</v>
      </c>
      <c r="B180" s="66" t="s">
        <v>2219</v>
      </c>
      <c r="C180" s="30" t="s">
        <v>1596</v>
      </c>
      <c r="D180" s="44" t="s">
        <v>1598</v>
      </c>
      <c r="E180" s="44" t="s">
        <v>1597</v>
      </c>
      <c r="F180" s="44" t="s">
        <v>1153</v>
      </c>
      <c r="G180" s="80" t="s">
        <v>1</v>
      </c>
      <c r="H180" s="80" t="s">
        <v>1</v>
      </c>
      <c r="I180" s="80" t="s">
        <v>1</v>
      </c>
      <c r="J180" s="80" t="s">
        <v>1</v>
      </c>
      <c r="K180" s="80" t="s">
        <v>1</v>
      </c>
      <c r="L180" s="43" t="str">
        <f t="shared" ref="L180:L189" si="166">_xlfn.CONCAT(SUBSTITUTE(C180,"1.",""))</f>
        <v>Infraestruturas</v>
      </c>
      <c r="M180" s="43" t="str">
        <f t="shared" ref="M180:M189" si="167">_xlfn.CONCAT(SUBSTITUTE(D180,"."," "))</f>
        <v>Urbanas</v>
      </c>
      <c r="N180" s="43" t="str">
        <f t="shared" ref="N180:N189" si="168">_xlfn.CONCAT(SUBSTITUTE(E180,"."," "))</f>
        <v>Paisagísticas</v>
      </c>
      <c r="O180" s="43" t="str">
        <f t="shared" ref="O180:O189" si="169">_xlfn.CONCAT(SUBSTITUTE(F180,"."," "))</f>
        <v>Lagoa</v>
      </c>
      <c r="P180" s="43" t="s">
        <v>1801</v>
      </c>
      <c r="Q180" s="43" t="s">
        <v>1947</v>
      </c>
      <c r="R180" s="28" t="s">
        <v>1</v>
      </c>
      <c r="S180" s="28" t="str">
        <f t="shared" si="149"/>
        <v>Infraestruturas</v>
      </c>
      <c r="T180" s="28" t="str">
        <f t="shared" si="150"/>
        <v>Urbanas</v>
      </c>
      <c r="U180" s="28" t="str">
        <f t="shared" si="151"/>
        <v>Paisagísticas</v>
      </c>
      <c r="V180" s="28" t="s">
        <v>2222</v>
      </c>
      <c r="W180" s="69" t="str">
        <f t="shared" si="129"/>
        <v>Key-INFRA-180</v>
      </c>
      <c r="X180" s="28" t="s">
        <v>2092</v>
      </c>
      <c r="Y180" s="28" t="s">
        <v>2128</v>
      </c>
      <c r="Z180" s="40" t="s">
        <v>1</v>
      </c>
      <c r="AA180" s="28" t="str">
        <f t="shared" si="134"/>
        <v>Element of urban parking: Lagoa.</v>
      </c>
    </row>
    <row r="181" spans="1:27" ht="6.65" customHeight="1" x14ac:dyDescent="0.4">
      <c r="A181" s="77">
        <v>181</v>
      </c>
      <c r="B181" s="66" t="s">
        <v>2219</v>
      </c>
      <c r="C181" s="30" t="s">
        <v>1596</v>
      </c>
      <c r="D181" s="44" t="s">
        <v>1598</v>
      </c>
      <c r="E181" s="44" t="s">
        <v>1597</v>
      </c>
      <c r="F181" s="44" t="s">
        <v>1477</v>
      </c>
      <c r="G181" s="80" t="s">
        <v>1</v>
      </c>
      <c r="H181" s="80" t="s">
        <v>1</v>
      </c>
      <c r="I181" s="80" t="s">
        <v>1</v>
      </c>
      <c r="J181" s="80" t="s">
        <v>1</v>
      </c>
      <c r="K181" s="80" t="s">
        <v>1</v>
      </c>
      <c r="L181" s="43" t="str">
        <f t="shared" si="166"/>
        <v>Infraestruturas</v>
      </c>
      <c r="M181" s="43" t="str">
        <f t="shared" si="167"/>
        <v>Urbanas</v>
      </c>
      <c r="N181" s="43" t="str">
        <f t="shared" si="168"/>
        <v>Paisagísticas</v>
      </c>
      <c r="O181" s="43" t="str">
        <f t="shared" si="169"/>
        <v>Árvore</v>
      </c>
      <c r="P181" s="43" t="s">
        <v>1804</v>
      </c>
      <c r="Q181" s="43" t="s">
        <v>1948</v>
      </c>
      <c r="R181" s="28" t="s">
        <v>1</v>
      </c>
      <c r="S181" s="28" t="str">
        <f t="shared" si="149"/>
        <v>Infraestruturas</v>
      </c>
      <c r="T181" s="28" t="str">
        <f t="shared" si="150"/>
        <v>Urbanas</v>
      </c>
      <c r="U181" s="28" t="str">
        <f t="shared" si="151"/>
        <v>Paisagísticas</v>
      </c>
      <c r="V181" s="28" t="s">
        <v>2222</v>
      </c>
      <c r="W181" s="69" t="str">
        <f t="shared" si="129"/>
        <v>Key-INFRA-181</v>
      </c>
      <c r="X181" s="28" t="s">
        <v>2093</v>
      </c>
      <c r="Y181" s="28" t="s">
        <v>2128</v>
      </c>
      <c r="Z181" s="40" t="s">
        <v>1</v>
      </c>
      <c r="AA181" s="28" t="str">
        <f t="shared" si="134"/>
        <v>Element of urban parking: Tree.</v>
      </c>
    </row>
    <row r="182" spans="1:27" ht="6.65" customHeight="1" x14ac:dyDescent="0.4">
      <c r="A182" s="77">
        <v>182</v>
      </c>
      <c r="B182" s="66" t="s">
        <v>2219</v>
      </c>
      <c r="C182" s="30" t="s">
        <v>1596</v>
      </c>
      <c r="D182" s="44" t="s">
        <v>1598</v>
      </c>
      <c r="E182" s="44" t="s">
        <v>1597</v>
      </c>
      <c r="F182" s="44" t="s">
        <v>1478</v>
      </c>
      <c r="G182" s="80" t="s">
        <v>1</v>
      </c>
      <c r="H182" s="80" t="s">
        <v>1</v>
      </c>
      <c r="I182" s="80" t="s">
        <v>1</v>
      </c>
      <c r="J182" s="80" t="s">
        <v>1</v>
      </c>
      <c r="K182" s="80" t="s">
        <v>1</v>
      </c>
      <c r="L182" s="43" t="str">
        <f t="shared" si="166"/>
        <v>Infraestruturas</v>
      </c>
      <c r="M182" s="43" t="str">
        <f t="shared" si="167"/>
        <v>Urbanas</v>
      </c>
      <c r="N182" s="43" t="str">
        <f t="shared" si="168"/>
        <v>Paisagísticas</v>
      </c>
      <c r="O182" s="43" t="str">
        <f t="shared" si="169"/>
        <v>Gramado</v>
      </c>
      <c r="P182" s="43" t="s">
        <v>1807</v>
      </c>
      <c r="Q182" s="43" t="s">
        <v>1949</v>
      </c>
      <c r="R182" s="28" t="s">
        <v>1</v>
      </c>
      <c r="S182" s="28" t="str">
        <f t="shared" si="149"/>
        <v>Infraestruturas</v>
      </c>
      <c r="T182" s="28" t="str">
        <f t="shared" si="150"/>
        <v>Urbanas</v>
      </c>
      <c r="U182" s="28" t="str">
        <f t="shared" si="151"/>
        <v>Paisagísticas</v>
      </c>
      <c r="V182" s="28" t="s">
        <v>2222</v>
      </c>
      <c r="W182" s="69" t="str">
        <f t="shared" si="129"/>
        <v>Key-INFRA-182</v>
      </c>
      <c r="X182" s="28" t="s">
        <v>2093</v>
      </c>
      <c r="Y182" s="28" t="s">
        <v>2128</v>
      </c>
      <c r="Z182" s="40" t="s">
        <v>1</v>
      </c>
      <c r="AA182" s="28" t="str">
        <f t="shared" si="134"/>
        <v>Urban parking element: Area covered by lawn.</v>
      </c>
    </row>
    <row r="183" spans="1:27" ht="6.65" customHeight="1" x14ac:dyDescent="0.4">
      <c r="A183" s="77">
        <v>183</v>
      </c>
      <c r="B183" s="66" t="s">
        <v>2219</v>
      </c>
      <c r="C183" s="30" t="s">
        <v>1596</v>
      </c>
      <c r="D183" s="44" t="s">
        <v>1598</v>
      </c>
      <c r="E183" s="44" t="s">
        <v>1597</v>
      </c>
      <c r="F183" s="44" t="s">
        <v>1479</v>
      </c>
      <c r="G183" s="80" t="s">
        <v>1</v>
      </c>
      <c r="H183" s="80" t="s">
        <v>1</v>
      </c>
      <c r="I183" s="80" t="s">
        <v>1</v>
      </c>
      <c r="J183" s="80" t="s">
        <v>1</v>
      </c>
      <c r="K183" s="80" t="s">
        <v>1</v>
      </c>
      <c r="L183" s="43" t="str">
        <f t="shared" si="166"/>
        <v>Infraestruturas</v>
      </c>
      <c r="M183" s="43" t="str">
        <f t="shared" si="167"/>
        <v>Urbanas</v>
      </c>
      <c r="N183" s="43" t="str">
        <f t="shared" si="168"/>
        <v>Paisagísticas</v>
      </c>
      <c r="O183" s="43" t="str">
        <f t="shared" si="169"/>
        <v>Monumento</v>
      </c>
      <c r="P183" s="43" t="s">
        <v>1805</v>
      </c>
      <c r="Q183" s="43" t="s">
        <v>1950</v>
      </c>
      <c r="R183" s="28" t="s">
        <v>1</v>
      </c>
      <c r="S183" s="28" t="str">
        <f t="shared" si="149"/>
        <v>Infraestruturas</v>
      </c>
      <c r="T183" s="28" t="str">
        <f t="shared" si="150"/>
        <v>Urbanas</v>
      </c>
      <c r="U183" s="28" t="str">
        <f t="shared" si="151"/>
        <v>Paisagísticas</v>
      </c>
      <c r="V183" s="28" t="s">
        <v>2222</v>
      </c>
      <c r="W183" s="69" t="str">
        <f t="shared" si="129"/>
        <v>Key-INFRA-183</v>
      </c>
      <c r="X183" s="28" t="s">
        <v>2091</v>
      </c>
      <c r="Y183" s="28" t="s">
        <v>2128</v>
      </c>
      <c r="Z183" s="40" t="s">
        <v>1</v>
      </c>
      <c r="AA183" s="28" t="str">
        <f t="shared" si="134"/>
        <v>Element of urban parking: Urban monument.</v>
      </c>
    </row>
    <row r="184" spans="1:27" ht="6.65" customHeight="1" x14ac:dyDescent="0.4">
      <c r="A184" s="77">
        <v>184</v>
      </c>
      <c r="B184" s="66" t="s">
        <v>2219</v>
      </c>
      <c r="C184" s="30" t="s">
        <v>1596</v>
      </c>
      <c r="D184" s="44" t="s">
        <v>1598</v>
      </c>
      <c r="E184" s="44" t="s">
        <v>1597</v>
      </c>
      <c r="F184" s="44" t="s">
        <v>1480</v>
      </c>
      <c r="G184" s="80" t="s">
        <v>1</v>
      </c>
      <c r="H184" s="80" t="s">
        <v>1</v>
      </c>
      <c r="I184" s="80" t="s">
        <v>1</v>
      </c>
      <c r="J184" s="80" t="s">
        <v>1</v>
      </c>
      <c r="K184" s="80" t="s">
        <v>1</v>
      </c>
      <c r="L184" s="43" t="str">
        <f t="shared" si="166"/>
        <v>Infraestruturas</v>
      </c>
      <c r="M184" s="43" t="str">
        <f t="shared" si="167"/>
        <v>Urbanas</v>
      </c>
      <c r="N184" s="43" t="str">
        <f t="shared" si="168"/>
        <v>Paisagísticas</v>
      </c>
      <c r="O184" s="43" t="str">
        <f t="shared" si="169"/>
        <v>Ornamento</v>
      </c>
      <c r="P184" s="43" t="s">
        <v>1803</v>
      </c>
      <c r="Q184" s="43" t="s">
        <v>1951</v>
      </c>
      <c r="R184" s="28" t="s">
        <v>1</v>
      </c>
      <c r="S184" s="28" t="str">
        <f t="shared" si="149"/>
        <v>Infraestruturas</v>
      </c>
      <c r="T184" s="28" t="str">
        <f t="shared" si="150"/>
        <v>Urbanas</v>
      </c>
      <c r="U184" s="28" t="str">
        <f t="shared" si="151"/>
        <v>Paisagísticas</v>
      </c>
      <c r="V184" s="28" t="s">
        <v>2222</v>
      </c>
      <c r="W184" s="69" t="str">
        <f t="shared" si="129"/>
        <v>Key-INFRA-184</v>
      </c>
      <c r="X184" s="28" t="s">
        <v>2091</v>
      </c>
      <c r="Y184" s="28" t="s">
        <v>2128</v>
      </c>
      <c r="Z184" s="40" t="s">
        <v>1</v>
      </c>
      <c r="AA184" s="28" t="str">
        <f t="shared" si="134"/>
        <v>Urban parking element: Urban ornament.</v>
      </c>
    </row>
    <row r="185" spans="1:27" ht="6.65" customHeight="1" x14ac:dyDescent="0.4">
      <c r="A185" s="77">
        <v>185</v>
      </c>
      <c r="B185" s="66" t="s">
        <v>2219</v>
      </c>
      <c r="C185" s="30" t="s">
        <v>1596</v>
      </c>
      <c r="D185" s="44" t="s">
        <v>1598</v>
      </c>
      <c r="E185" s="44" t="s">
        <v>1597</v>
      </c>
      <c r="F185" s="44" t="s">
        <v>1481</v>
      </c>
      <c r="G185" s="80" t="s">
        <v>1</v>
      </c>
      <c r="H185" s="80" t="s">
        <v>1</v>
      </c>
      <c r="I185" s="80" t="s">
        <v>1</v>
      </c>
      <c r="J185" s="80" t="s">
        <v>1</v>
      </c>
      <c r="K185" s="80" t="s">
        <v>1</v>
      </c>
      <c r="L185" s="43" t="str">
        <f t="shared" si="166"/>
        <v>Infraestruturas</v>
      </c>
      <c r="M185" s="43" t="str">
        <f t="shared" si="167"/>
        <v>Urbanas</v>
      </c>
      <c r="N185" s="43" t="str">
        <f t="shared" si="168"/>
        <v>Paisagísticas</v>
      </c>
      <c r="O185" s="43" t="str">
        <f t="shared" si="169"/>
        <v>Fonte Ornamental</v>
      </c>
      <c r="P185" s="43" t="s">
        <v>1806</v>
      </c>
      <c r="Q185" s="43" t="s">
        <v>1952</v>
      </c>
      <c r="R185" s="28" t="s">
        <v>1</v>
      </c>
      <c r="S185" s="28" t="str">
        <f t="shared" si="149"/>
        <v>Infraestruturas</v>
      </c>
      <c r="T185" s="28" t="str">
        <f t="shared" si="150"/>
        <v>Urbanas</v>
      </c>
      <c r="U185" s="28" t="str">
        <f t="shared" si="151"/>
        <v>Paisagísticas</v>
      </c>
      <c r="V185" s="28" t="s">
        <v>2222</v>
      </c>
      <c r="W185" s="69" t="str">
        <f t="shared" si="129"/>
        <v>Key-INFRA-185</v>
      </c>
      <c r="X185" s="28" t="s">
        <v>2091</v>
      </c>
      <c r="Y185" s="28" t="s">
        <v>2143</v>
      </c>
      <c r="Z185" s="40" t="s">
        <v>1</v>
      </c>
      <c r="AA185" s="28" t="str">
        <f t="shared" si="134"/>
        <v>Urban parking element: Ornamental fountain.</v>
      </c>
    </row>
    <row r="186" spans="1:27" ht="6.65" customHeight="1" x14ac:dyDescent="0.4">
      <c r="A186" s="77">
        <v>186</v>
      </c>
      <c r="B186" s="66" t="s">
        <v>2219</v>
      </c>
      <c r="C186" s="30" t="s">
        <v>1596</v>
      </c>
      <c r="D186" s="44" t="s">
        <v>1598</v>
      </c>
      <c r="E186" s="44" t="s">
        <v>1599</v>
      </c>
      <c r="F186" s="44" t="s">
        <v>1482</v>
      </c>
      <c r="G186" s="80" t="s">
        <v>1</v>
      </c>
      <c r="H186" s="80" t="s">
        <v>1</v>
      </c>
      <c r="I186" s="80" t="s">
        <v>1</v>
      </c>
      <c r="J186" s="80" t="s">
        <v>1</v>
      </c>
      <c r="K186" s="80" t="s">
        <v>1</v>
      </c>
      <c r="L186" s="43" t="str">
        <f t="shared" si="166"/>
        <v>Infraestruturas</v>
      </c>
      <c r="M186" s="43" t="str">
        <f t="shared" si="167"/>
        <v>Urbanas</v>
      </c>
      <c r="N186" s="43" t="str">
        <f t="shared" si="168"/>
        <v>Sinalizações</v>
      </c>
      <c r="O186" s="43" t="str">
        <f t="shared" si="169"/>
        <v>Poste Luz Pedestre</v>
      </c>
      <c r="P186" s="43" t="s">
        <v>1808</v>
      </c>
      <c r="Q186" s="43" t="s">
        <v>1953</v>
      </c>
      <c r="R186" s="28" t="s">
        <v>1</v>
      </c>
      <c r="S186" s="28" t="str">
        <f t="shared" si="149"/>
        <v>Infraestruturas</v>
      </c>
      <c r="T186" s="28" t="str">
        <f t="shared" si="150"/>
        <v>Urbanas</v>
      </c>
      <c r="U186" s="28" t="str">
        <f t="shared" si="151"/>
        <v>Sinalizações</v>
      </c>
      <c r="V186" s="28" t="s">
        <v>2222</v>
      </c>
      <c r="W186" s="69" t="str">
        <f t="shared" si="129"/>
        <v>Key-INFRA-186</v>
      </c>
      <c r="X186" s="28" t="s">
        <v>2094</v>
      </c>
      <c r="Y186" s="28" t="s">
        <v>2143</v>
      </c>
      <c r="Z186" s="40" t="s">
        <v>1</v>
      </c>
      <c r="AA186" s="28" t="str">
        <f t="shared" si="134"/>
        <v>Low height pedestrian light pole.</v>
      </c>
    </row>
    <row r="187" spans="1:27" ht="6.65" customHeight="1" x14ac:dyDescent="0.4">
      <c r="A187" s="77">
        <v>187</v>
      </c>
      <c r="B187" s="66" t="s">
        <v>2219</v>
      </c>
      <c r="C187" s="30" t="s">
        <v>1596</v>
      </c>
      <c r="D187" s="44" t="s">
        <v>1598</v>
      </c>
      <c r="E187" s="44" t="s">
        <v>1599</v>
      </c>
      <c r="F187" s="44" t="s">
        <v>1528</v>
      </c>
      <c r="G187" s="80" t="s">
        <v>1</v>
      </c>
      <c r="H187" s="80" t="s">
        <v>1</v>
      </c>
      <c r="I187" s="80" t="s">
        <v>1</v>
      </c>
      <c r="J187" s="80" t="s">
        <v>1</v>
      </c>
      <c r="K187" s="80" t="s">
        <v>1</v>
      </c>
      <c r="L187" s="43" t="str">
        <f t="shared" si="166"/>
        <v>Infraestruturas</v>
      </c>
      <c r="M187" s="43" t="str">
        <f t="shared" si="167"/>
        <v>Urbanas</v>
      </c>
      <c r="N187" s="43" t="str">
        <f t="shared" si="168"/>
        <v>Sinalizações</v>
      </c>
      <c r="O187" s="43" t="str">
        <f t="shared" si="169"/>
        <v>Poste Luz Viário</v>
      </c>
      <c r="P187" s="43" t="s">
        <v>1809</v>
      </c>
      <c r="Q187" s="43" t="s">
        <v>1954</v>
      </c>
      <c r="R187" s="28" t="s">
        <v>1</v>
      </c>
      <c r="S187" s="28" t="str">
        <f t="shared" si="149"/>
        <v>Infraestruturas</v>
      </c>
      <c r="T187" s="28" t="str">
        <f t="shared" si="150"/>
        <v>Urbanas</v>
      </c>
      <c r="U187" s="28" t="str">
        <f t="shared" si="151"/>
        <v>Sinalizações</v>
      </c>
      <c r="V187" s="28" t="s">
        <v>2222</v>
      </c>
      <c r="W187" s="69" t="str">
        <f t="shared" si="129"/>
        <v>Key-INFRA-187</v>
      </c>
      <c r="X187" s="28" t="s">
        <v>2094</v>
      </c>
      <c r="Y187" s="28" t="s">
        <v>2144</v>
      </c>
      <c r="Z187" s="40" t="s">
        <v>1</v>
      </c>
      <c r="AA187" s="28" t="str">
        <f t="shared" si="134"/>
        <v>Tall light poles for lighting avenues.</v>
      </c>
    </row>
    <row r="188" spans="1:27" ht="6.65" customHeight="1" x14ac:dyDescent="0.4">
      <c r="A188" s="77">
        <v>188</v>
      </c>
      <c r="B188" s="66" t="s">
        <v>2219</v>
      </c>
      <c r="C188" s="30" t="s">
        <v>1596</v>
      </c>
      <c r="D188" s="44" t="s">
        <v>1598</v>
      </c>
      <c r="E188" s="44" t="s">
        <v>1599</v>
      </c>
      <c r="F188" s="44" t="s">
        <v>1529</v>
      </c>
      <c r="G188" s="80" t="s">
        <v>1</v>
      </c>
      <c r="H188" s="80" t="s">
        <v>1</v>
      </c>
      <c r="I188" s="80" t="s">
        <v>1</v>
      </c>
      <c r="J188" s="80" t="s">
        <v>1</v>
      </c>
      <c r="K188" s="80" t="s">
        <v>1</v>
      </c>
      <c r="L188" s="43" t="str">
        <f t="shared" si="166"/>
        <v>Infraestruturas</v>
      </c>
      <c r="M188" s="43" t="str">
        <f t="shared" si="167"/>
        <v>Urbanas</v>
      </c>
      <c r="N188" s="43" t="str">
        <f t="shared" si="168"/>
        <v>Sinalizações</v>
      </c>
      <c r="O188" s="43" t="str">
        <f t="shared" si="169"/>
        <v>Semáforo</v>
      </c>
      <c r="P188" s="43" t="s">
        <v>1530</v>
      </c>
      <c r="Q188" s="43" t="s">
        <v>1531</v>
      </c>
      <c r="R188" s="28" t="s">
        <v>1</v>
      </c>
      <c r="S188" s="28" t="str">
        <f t="shared" si="149"/>
        <v>Infraestruturas</v>
      </c>
      <c r="T188" s="28" t="str">
        <f t="shared" si="150"/>
        <v>Urbanas</v>
      </c>
      <c r="U188" s="28" t="str">
        <f t="shared" si="151"/>
        <v>Sinalizações</v>
      </c>
      <c r="V188" s="28" t="s">
        <v>2222</v>
      </c>
      <c r="W188" s="69" t="str">
        <f t="shared" si="129"/>
        <v>Key-INFRA-188</v>
      </c>
      <c r="X188" s="28" t="s">
        <v>2095</v>
      </c>
      <c r="Y188" s="28" t="s">
        <v>2144</v>
      </c>
      <c r="Z188" s="40" t="s">
        <v>1</v>
      </c>
      <c r="AA188" s="28" t="str">
        <f t="shared" si="134"/>
        <v>Urban traffic sign.</v>
      </c>
    </row>
    <row r="189" spans="1:27" ht="6.65" customHeight="1" x14ac:dyDescent="0.4">
      <c r="A189" s="77">
        <v>189</v>
      </c>
      <c r="B189" s="66" t="s">
        <v>2219</v>
      </c>
      <c r="C189" s="30" t="s">
        <v>1596</v>
      </c>
      <c r="D189" s="44" t="s">
        <v>1598</v>
      </c>
      <c r="E189" s="44" t="s">
        <v>1599</v>
      </c>
      <c r="F189" s="44" t="s">
        <v>1600</v>
      </c>
      <c r="G189" s="80" t="s">
        <v>1</v>
      </c>
      <c r="H189" s="80" t="s">
        <v>1</v>
      </c>
      <c r="I189" s="80" t="s">
        <v>1</v>
      </c>
      <c r="J189" s="80" t="s">
        <v>1</v>
      </c>
      <c r="K189" s="80" t="s">
        <v>1</v>
      </c>
      <c r="L189" s="43" t="str">
        <f t="shared" si="166"/>
        <v>Infraestruturas</v>
      </c>
      <c r="M189" s="43" t="str">
        <f t="shared" si="167"/>
        <v>Urbanas</v>
      </c>
      <c r="N189" s="43" t="str">
        <f t="shared" si="168"/>
        <v>Sinalizações</v>
      </c>
      <c r="O189" s="43" t="str">
        <f t="shared" si="169"/>
        <v>Totem Informativo</v>
      </c>
      <c r="P189" s="43" t="s">
        <v>1802</v>
      </c>
      <c r="Q189" s="43" t="s">
        <v>1955</v>
      </c>
      <c r="R189" s="28" t="s">
        <v>1</v>
      </c>
      <c r="S189" s="28" t="str">
        <f t="shared" si="149"/>
        <v>Infraestruturas</v>
      </c>
      <c r="T189" s="28" t="str">
        <f t="shared" si="150"/>
        <v>Urbanas</v>
      </c>
      <c r="U189" s="28" t="str">
        <f t="shared" si="151"/>
        <v>Sinalizações</v>
      </c>
      <c r="V189" s="28" t="s">
        <v>2222</v>
      </c>
      <c r="W189" s="69" t="str">
        <f t="shared" si="129"/>
        <v>Key-INFRA-189</v>
      </c>
      <c r="X189" s="28" t="s">
        <v>2095</v>
      </c>
      <c r="Y189" s="28" t="s">
        <v>2134</v>
      </c>
      <c r="Z189" s="40" t="s">
        <v>1</v>
      </c>
      <c r="AA189" s="28" t="str">
        <f t="shared" si="134"/>
        <v>Urban information totem.</v>
      </c>
    </row>
    <row r="190" spans="1:27" ht="6.65" customHeight="1" x14ac:dyDescent="0.4">
      <c r="A190" s="77">
        <v>190</v>
      </c>
      <c r="B190" s="66" t="s">
        <v>2219</v>
      </c>
      <c r="C190" s="30" t="s">
        <v>1596</v>
      </c>
      <c r="D190" s="29" t="s">
        <v>1601</v>
      </c>
      <c r="E190" s="44" t="s">
        <v>1666</v>
      </c>
      <c r="F190" s="44" t="s">
        <v>1670</v>
      </c>
      <c r="G190" s="83" t="s">
        <v>1</v>
      </c>
      <c r="H190" s="83" t="s">
        <v>1</v>
      </c>
      <c r="I190" s="83" t="s">
        <v>1</v>
      </c>
      <c r="J190" s="83" t="s">
        <v>1</v>
      </c>
      <c r="K190" s="83" t="s">
        <v>1</v>
      </c>
      <c r="L190" s="84" t="str">
        <f t="shared" ref="L190:L191" si="170">_xlfn.CONCAT(C190)</f>
        <v>Infraestruturas</v>
      </c>
      <c r="M190" s="27" t="str">
        <f t="shared" ref="M190:M191" si="171">CONCATENATE("", D190)</f>
        <v>Rodoviárias</v>
      </c>
      <c r="N190" s="27" t="str">
        <f t="shared" ref="N190:N191" si="172">(SUBSTITUTE(SUBSTITUTE(CONCATENATE("",E190),"."," ")," De "," de "))</f>
        <v>Estações Rodoviárias</v>
      </c>
      <c r="O190" s="28" t="str">
        <f t="shared" ref="O190:O191" si="173">F190</f>
        <v>Central.Rodoviário</v>
      </c>
      <c r="P190" s="43" t="s">
        <v>1671</v>
      </c>
      <c r="Q190" s="84" t="s">
        <v>1675</v>
      </c>
      <c r="R190" s="28" t="s">
        <v>1</v>
      </c>
      <c r="S190" s="28" t="str">
        <f t="shared" ref="S190:S191" si="174">SUBSTITUTE(C190, ".", " ")</f>
        <v>Infraestruturas</v>
      </c>
      <c r="T190" s="28" t="str">
        <f t="shared" ref="T190:T191" si="175">SUBSTITUTE(D190, ".", " ")</f>
        <v>Rodoviárias</v>
      </c>
      <c r="U190" s="28" t="str">
        <f t="shared" ref="U190:U191" si="176">SUBSTITUTE(E190, ".", " ")</f>
        <v>Estações Rodoviárias</v>
      </c>
      <c r="V190" s="28" t="s">
        <v>2222</v>
      </c>
      <c r="W190" s="69" t="str">
        <f t="shared" si="129"/>
        <v>Key-INFRA-190</v>
      </c>
      <c r="X190" s="28" t="s">
        <v>2088</v>
      </c>
      <c r="Y190" s="28" t="s">
        <v>2134</v>
      </c>
      <c r="Z190" s="40" t="s">
        <v>1</v>
      </c>
      <c r="AA190" s="28" t="str">
        <f t="shared" si="134"/>
        <v>Intercity bus terminal station.</v>
      </c>
    </row>
    <row r="191" spans="1:27" ht="6.65" customHeight="1" x14ac:dyDescent="0.4">
      <c r="A191" s="77">
        <v>191</v>
      </c>
      <c r="B191" s="66" t="s">
        <v>2219</v>
      </c>
      <c r="C191" s="30" t="s">
        <v>1596</v>
      </c>
      <c r="D191" s="29" t="s">
        <v>1601</v>
      </c>
      <c r="E191" s="44" t="s">
        <v>1666</v>
      </c>
      <c r="F191" s="44" t="s">
        <v>1669</v>
      </c>
      <c r="G191" s="83" t="s">
        <v>1</v>
      </c>
      <c r="H191" s="83" t="s">
        <v>1</v>
      </c>
      <c r="I191" s="83" t="s">
        <v>1</v>
      </c>
      <c r="J191" s="83" t="s">
        <v>1</v>
      </c>
      <c r="K191" s="83" t="s">
        <v>1</v>
      </c>
      <c r="L191" s="84" t="str">
        <f t="shared" si="170"/>
        <v>Infraestruturas</v>
      </c>
      <c r="M191" s="27" t="str">
        <f t="shared" si="171"/>
        <v>Rodoviárias</v>
      </c>
      <c r="N191" s="27" t="str">
        <f t="shared" si="172"/>
        <v>Estações Rodoviárias</v>
      </c>
      <c r="O191" s="28" t="str">
        <f t="shared" si="173"/>
        <v>Terminal.Rodoviário</v>
      </c>
      <c r="P191" s="43" t="s">
        <v>1671</v>
      </c>
      <c r="Q191" s="84" t="s">
        <v>1675</v>
      </c>
      <c r="R191" s="28" t="s">
        <v>1</v>
      </c>
      <c r="S191" s="28" t="str">
        <f t="shared" si="174"/>
        <v>Infraestruturas</v>
      </c>
      <c r="T191" s="28" t="str">
        <f t="shared" si="175"/>
        <v>Rodoviárias</v>
      </c>
      <c r="U191" s="28" t="str">
        <f t="shared" si="176"/>
        <v>Estações Rodoviárias</v>
      </c>
      <c r="V191" s="28" t="s">
        <v>2222</v>
      </c>
      <c r="W191" s="69" t="str">
        <f t="shared" si="129"/>
        <v>Key-INFRA-191</v>
      </c>
      <c r="X191" s="28" t="s">
        <v>2088</v>
      </c>
      <c r="Y191" s="28" t="s">
        <v>2134</v>
      </c>
      <c r="Z191" s="40" t="s">
        <v>1</v>
      </c>
      <c r="AA191" s="28" t="str">
        <f t="shared" si="134"/>
        <v>Intercity bus terminal station.</v>
      </c>
    </row>
    <row r="192" spans="1:27" ht="6.65" customHeight="1" x14ac:dyDescent="0.4">
      <c r="A192" s="77">
        <v>192</v>
      </c>
      <c r="B192" s="66" t="s">
        <v>2219</v>
      </c>
      <c r="C192" s="30" t="s">
        <v>1596</v>
      </c>
      <c r="D192" s="29" t="s">
        <v>1601</v>
      </c>
      <c r="E192" s="44" t="s">
        <v>1666</v>
      </c>
      <c r="F192" s="44" t="s">
        <v>1665</v>
      </c>
      <c r="G192" s="83" t="s">
        <v>1</v>
      </c>
      <c r="H192" s="83" t="s">
        <v>1</v>
      </c>
      <c r="I192" s="83" t="s">
        <v>1</v>
      </c>
      <c r="J192" s="83" t="s">
        <v>1</v>
      </c>
      <c r="K192" s="83" t="s">
        <v>1</v>
      </c>
      <c r="L192" s="84" t="str">
        <f t="shared" ref="L192:L194" si="177">_xlfn.CONCAT(C192)</f>
        <v>Infraestruturas</v>
      </c>
      <c r="M192" s="27" t="str">
        <f t="shared" ref="M192:M194" si="178">CONCATENATE("", D192)</f>
        <v>Rodoviárias</v>
      </c>
      <c r="N192" s="27" t="str">
        <f t="shared" ref="N192:N194" si="179">(SUBSTITUTE(SUBSTITUTE(CONCATENATE("",E192),"."," ")," De "," de "))</f>
        <v>Estações Rodoviárias</v>
      </c>
      <c r="O192" s="28" t="str">
        <f t="shared" ref="O192:O194" si="180">F192</f>
        <v>Estação.Rodoviária</v>
      </c>
      <c r="P192" s="43" t="s">
        <v>1672</v>
      </c>
      <c r="Q192" s="84" t="s">
        <v>1676</v>
      </c>
      <c r="R192" s="28" t="s">
        <v>1</v>
      </c>
      <c r="S192" s="28" t="str">
        <f t="shared" si="149"/>
        <v>Infraestruturas</v>
      </c>
      <c r="T192" s="28" t="str">
        <f t="shared" si="150"/>
        <v>Rodoviárias</v>
      </c>
      <c r="U192" s="28" t="str">
        <f t="shared" si="151"/>
        <v>Estações Rodoviárias</v>
      </c>
      <c r="V192" s="28" t="s">
        <v>2222</v>
      </c>
      <c r="W192" s="69" t="str">
        <f t="shared" si="129"/>
        <v>Key-INFRA-192</v>
      </c>
      <c r="X192" s="28" t="s">
        <v>2088</v>
      </c>
      <c r="Y192" s="28" t="s">
        <v>2134</v>
      </c>
      <c r="Z192" s="40" t="s">
        <v>1</v>
      </c>
      <c r="AA192" s="28" t="str">
        <f t="shared" si="134"/>
        <v>Bus station.</v>
      </c>
    </row>
    <row r="193" spans="1:27" ht="6.65" customHeight="1" x14ac:dyDescent="0.4">
      <c r="A193" s="77">
        <v>193</v>
      </c>
      <c r="B193" s="66" t="s">
        <v>2219</v>
      </c>
      <c r="C193" s="30" t="s">
        <v>1596</v>
      </c>
      <c r="D193" s="29" t="s">
        <v>1601</v>
      </c>
      <c r="E193" s="44" t="s">
        <v>1666</v>
      </c>
      <c r="F193" s="44" t="s">
        <v>1668</v>
      </c>
      <c r="G193" s="83" t="s">
        <v>1</v>
      </c>
      <c r="H193" s="83" t="s">
        <v>1</v>
      </c>
      <c r="I193" s="83" t="s">
        <v>1</v>
      </c>
      <c r="J193" s="83" t="s">
        <v>1</v>
      </c>
      <c r="K193" s="83" t="s">
        <v>1</v>
      </c>
      <c r="L193" s="84" t="str">
        <f t="shared" si="177"/>
        <v>Infraestruturas</v>
      </c>
      <c r="M193" s="27" t="str">
        <f t="shared" si="178"/>
        <v>Rodoviárias</v>
      </c>
      <c r="N193" s="27" t="str">
        <f t="shared" si="179"/>
        <v>Estações Rodoviárias</v>
      </c>
      <c r="O193" s="28" t="str">
        <f t="shared" si="180"/>
        <v>Ponto.de.Ônibus</v>
      </c>
      <c r="P193" s="43" t="s">
        <v>1673</v>
      </c>
      <c r="Q193" s="84" t="s">
        <v>1677</v>
      </c>
      <c r="R193" s="28" t="s">
        <v>1</v>
      </c>
      <c r="S193" s="28" t="str">
        <f t="shared" si="149"/>
        <v>Infraestruturas</v>
      </c>
      <c r="T193" s="28" t="str">
        <f t="shared" si="150"/>
        <v>Rodoviárias</v>
      </c>
      <c r="U193" s="28" t="str">
        <f t="shared" si="151"/>
        <v>Estações Rodoviárias</v>
      </c>
      <c r="V193" s="28" t="s">
        <v>2222</v>
      </c>
      <c r="W193" s="69" t="str">
        <f t="shared" si="129"/>
        <v>Key-INFRA-193</v>
      </c>
      <c r="X193" s="28" t="s">
        <v>2088</v>
      </c>
      <c r="Y193" s="28" t="s">
        <v>2134</v>
      </c>
      <c r="Z193" s="40" t="s">
        <v>1</v>
      </c>
      <c r="AA193" s="28" t="str">
        <f t="shared" si="134"/>
        <v>Urban bus stop.</v>
      </c>
    </row>
    <row r="194" spans="1:27" ht="6.65" customHeight="1" x14ac:dyDescent="0.4">
      <c r="A194" s="77">
        <v>194</v>
      </c>
      <c r="B194" s="66" t="s">
        <v>2219</v>
      </c>
      <c r="C194" s="30" t="s">
        <v>1596</v>
      </c>
      <c r="D194" s="29" t="s">
        <v>1601</v>
      </c>
      <c r="E194" s="44" t="s">
        <v>1666</v>
      </c>
      <c r="F194" s="44" t="s">
        <v>1667</v>
      </c>
      <c r="G194" s="83" t="s">
        <v>1</v>
      </c>
      <c r="H194" s="83" t="s">
        <v>1</v>
      </c>
      <c r="I194" s="83" t="s">
        <v>1</v>
      </c>
      <c r="J194" s="83" t="s">
        <v>1</v>
      </c>
      <c r="K194" s="83" t="s">
        <v>1</v>
      </c>
      <c r="L194" s="84" t="str">
        <f t="shared" si="177"/>
        <v>Infraestruturas</v>
      </c>
      <c r="M194" s="27" t="str">
        <f t="shared" si="178"/>
        <v>Rodoviárias</v>
      </c>
      <c r="N194" s="27" t="str">
        <f t="shared" si="179"/>
        <v>Estações Rodoviárias</v>
      </c>
      <c r="O194" s="28" t="str">
        <f t="shared" si="180"/>
        <v>Parada.de.Ônibus</v>
      </c>
      <c r="P194" s="43" t="s">
        <v>1674</v>
      </c>
      <c r="Q194" s="84" t="s">
        <v>1677</v>
      </c>
      <c r="R194" s="28" t="s">
        <v>1</v>
      </c>
      <c r="S194" s="28" t="str">
        <f t="shared" si="149"/>
        <v>Infraestruturas</v>
      </c>
      <c r="T194" s="28" t="str">
        <f t="shared" si="150"/>
        <v>Rodoviárias</v>
      </c>
      <c r="U194" s="28" t="str">
        <f t="shared" si="151"/>
        <v>Estações Rodoviárias</v>
      </c>
      <c r="V194" s="28" t="s">
        <v>2222</v>
      </c>
      <c r="W194" s="69" t="str">
        <f t="shared" ref="W194:W257" si="181">CONCATENATE("Key-INFRA-",A194)</f>
        <v>Key-INFRA-194</v>
      </c>
      <c r="X194" s="28" t="s">
        <v>2088</v>
      </c>
      <c r="Y194" s="28" t="s">
        <v>2145</v>
      </c>
      <c r="Z194" s="40" t="s">
        <v>1</v>
      </c>
      <c r="AA194" s="28" t="str">
        <f t="shared" si="134"/>
        <v>City bus stop.</v>
      </c>
    </row>
    <row r="195" spans="1:27" ht="6.65" customHeight="1" x14ac:dyDescent="0.4">
      <c r="A195" s="77">
        <v>195</v>
      </c>
      <c r="B195" s="66" t="s">
        <v>2219</v>
      </c>
      <c r="C195" s="30" t="s">
        <v>1596</v>
      </c>
      <c r="D195" s="29" t="s">
        <v>1601</v>
      </c>
      <c r="E195" s="82" t="s">
        <v>1590</v>
      </c>
      <c r="F195" s="44" t="s">
        <v>116</v>
      </c>
      <c r="G195" s="83" t="s">
        <v>1</v>
      </c>
      <c r="H195" s="83" t="s">
        <v>1</v>
      </c>
      <c r="I195" s="83" t="s">
        <v>1</v>
      </c>
      <c r="J195" s="83" t="s">
        <v>1</v>
      </c>
      <c r="K195" s="83" t="s">
        <v>1</v>
      </c>
      <c r="L195" s="84" t="str">
        <f t="shared" ref="L195" si="182">_xlfn.CONCAT(C195)</f>
        <v>Infraestruturas</v>
      </c>
      <c r="M195" s="27" t="str">
        <f t="shared" ref="M195" si="183">CONCATENATE("", D195)</f>
        <v>Rodoviárias</v>
      </c>
      <c r="N195" s="27" t="str">
        <f t="shared" ref="N195" si="184">(SUBSTITUTE(SUBSTITUTE(CONCATENATE("",E195),"."," ")," De "," de "))</f>
        <v>Vias</v>
      </c>
      <c r="O195" s="28" t="str">
        <f t="shared" ref="O195" si="185">F195</f>
        <v>Estrada.Vicinal</v>
      </c>
      <c r="P195" s="43" t="s">
        <v>86</v>
      </c>
      <c r="Q195" s="84" t="s">
        <v>219</v>
      </c>
      <c r="R195" s="28" t="s">
        <v>1</v>
      </c>
      <c r="S195" s="28" t="str">
        <f t="shared" si="81"/>
        <v>Infraestruturas</v>
      </c>
      <c r="T195" s="28" t="str">
        <f t="shared" si="82"/>
        <v>Rodoviárias</v>
      </c>
      <c r="U195" s="28" t="str">
        <f t="shared" si="82"/>
        <v>Vias</v>
      </c>
      <c r="V195" s="28" t="s">
        <v>2222</v>
      </c>
      <c r="W195" s="69" t="str">
        <f t="shared" si="181"/>
        <v>Key-INFRA-195</v>
      </c>
      <c r="X195" s="28" t="s">
        <v>2096</v>
      </c>
      <c r="Y195" s="40" t="s">
        <v>2145</v>
      </c>
      <c r="Z195" s="40" t="s">
        <v>1</v>
      </c>
      <c r="AA195" s="28" t="str">
        <f t="shared" si="134"/>
        <v>Local roads, generally municipal, unpaved with one lane and of modest technical standard.</v>
      </c>
    </row>
    <row r="196" spans="1:27" ht="6.65" customHeight="1" x14ac:dyDescent="0.4">
      <c r="A196" s="77">
        <v>196</v>
      </c>
      <c r="B196" s="66" t="s">
        <v>2219</v>
      </c>
      <c r="C196" s="30" t="s">
        <v>1596</v>
      </c>
      <c r="D196" s="29" t="s">
        <v>1601</v>
      </c>
      <c r="E196" s="82" t="s">
        <v>1590</v>
      </c>
      <c r="F196" s="44" t="s">
        <v>117</v>
      </c>
      <c r="G196" s="83" t="s">
        <v>1</v>
      </c>
      <c r="H196" s="83" t="s">
        <v>1</v>
      </c>
      <c r="I196" s="83" t="s">
        <v>1</v>
      </c>
      <c r="J196" s="83" t="s">
        <v>1</v>
      </c>
      <c r="K196" s="83" t="s">
        <v>1</v>
      </c>
      <c r="L196" s="84" t="str">
        <f t="shared" ref="L196:L211" si="186">_xlfn.CONCAT(C196)</f>
        <v>Infraestruturas</v>
      </c>
      <c r="M196" s="27" t="str">
        <f t="shared" ref="M196:M211" si="187">CONCATENATE("", D196)</f>
        <v>Rodoviárias</v>
      </c>
      <c r="N196" s="27" t="str">
        <f t="shared" ref="N196:N211" si="188">(SUBSTITUTE(SUBSTITUTE(CONCATENATE("",E196),"."," ")," De "," de "))</f>
        <v>Vias</v>
      </c>
      <c r="O196" s="28" t="str">
        <f t="shared" ref="O196:O211" si="189">F196</f>
        <v>Rodovia.Vicinal</v>
      </c>
      <c r="P196" s="43" t="s">
        <v>87</v>
      </c>
      <c r="Q196" s="84" t="s">
        <v>220</v>
      </c>
      <c r="R196" s="28" t="s">
        <v>1</v>
      </c>
      <c r="S196" s="28" t="str">
        <f t="shared" si="81"/>
        <v>Infraestruturas</v>
      </c>
      <c r="T196" s="28" t="str">
        <f t="shared" si="82"/>
        <v>Rodoviárias</v>
      </c>
      <c r="U196" s="28" t="str">
        <f t="shared" si="82"/>
        <v>Vias</v>
      </c>
      <c r="V196" s="28" t="s">
        <v>2222</v>
      </c>
      <c r="W196" s="69" t="str">
        <f t="shared" si="181"/>
        <v>Key-INFRA-196</v>
      </c>
      <c r="X196" s="28" t="s">
        <v>2096</v>
      </c>
      <c r="Y196" s="40" t="s">
        <v>2145</v>
      </c>
      <c r="Z196" s="40" t="s">
        <v>1</v>
      </c>
      <c r="AA196" s="28" t="str">
        <f t="shared" si="134"/>
        <v>Local roads, generally municipal, paved with one lane and of modest technical standard.</v>
      </c>
    </row>
    <row r="197" spans="1:27" ht="6.65" customHeight="1" x14ac:dyDescent="0.4">
      <c r="A197" s="77">
        <v>197</v>
      </c>
      <c r="B197" s="66" t="s">
        <v>2219</v>
      </c>
      <c r="C197" s="30" t="s">
        <v>1596</v>
      </c>
      <c r="D197" s="29" t="s">
        <v>1601</v>
      </c>
      <c r="E197" s="82" t="s">
        <v>1590</v>
      </c>
      <c r="F197" s="44" t="s">
        <v>124</v>
      </c>
      <c r="G197" s="83" t="s">
        <v>1</v>
      </c>
      <c r="H197" s="83" t="s">
        <v>1</v>
      </c>
      <c r="I197" s="83" t="s">
        <v>1</v>
      </c>
      <c r="J197" s="83" t="s">
        <v>1</v>
      </c>
      <c r="K197" s="83" t="s">
        <v>1</v>
      </c>
      <c r="L197" s="84" t="str">
        <f t="shared" si="186"/>
        <v>Infraestruturas</v>
      </c>
      <c r="M197" s="27" t="str">
        <f t="shared" si="187"/>
        <v>Rodoviárias</v>
      </c>
      <c r="N197" s="27" t="str">
        <f t="shared" si="188"/>
        <v>Vias</v>
      </c>
      <c r="O197" s="28" t="str">
        <f t="shared" si="189"/>
        <v>Viela.Urbana</v>
      </c>
      <c r="P197" s="43" t="s">
        <v>129</v>
      </c>
      <c r="Q197" s="84" t="s">
        <v>221</v>
      </c>
      <c r="R197" s="28" t="s">
        <v>1</v>
      </c>
      <c r="S197" s="28" t="str">
        <f t="shared" si="81"/>
        <v>Infraestruturas</v>
      </c>
      <c r="T197" s="28" t="str">
        <f t="shared" si="82"/>
        <v>Rodoviárias</v>
      </c>
      <c r="U197" s="28" t="str">
        <f t="shared" si="82"/>
        <v>Vias</v>
      </c>
      <c r="V197" s="28" t="s">
        <v>2222</v>
      </c>
      <c r="W197" s="69" t="str">
        <f t="shared" si="181"/>
        <v>Key-INFRA-197</v>
      </c>
      <c r="X197" s="28" t="s">
        <v>2096</v>
      </c>
      <c r="Y197" s="40" t="s">
        <v>2145</v>
      </c>
      <c r="Z197" s="40" t="s">
        <v>1</v>
      </c>
      <c r="AA197" s="28" t="str">
        <f t="shared" si="134"/>
        <v>Paved urban roads of one lane with a width of 6 to 9 meters.</v>
      </c>
    </row>
    <row r="198" spans="1:27" ht="6.65" customHeight="1" x14ac:dyDescent="0.4">
      <c r="A198" s="77">
        <v>198</v>
      </c>
      <c r="B198" s="66" t="s">
        <v>2219</v>
      </c>
      <c r="C198" s="30" t="s">
        <v>1596</v>
      </c>
      <c r="D198" s="29" t="s">
        <v>1601</v>
      </c>
      <c r="E198" s="82" t="s">
        <v>1590</v>
      </c>
      <c r="F198" s="44" t="s">
        <v>126</v>
      </c>
      <c r="G198" s="83" t="s">
        <v>1</v>
      </c>
      <c r="H198" s="83" t="s">
        <v>1</v>
      </c>
      <c r="I198" s="83" t="s">
        <v>1</v>
      </c>
      <c r="J198" s="83" t="s">
        <v>1</v>
      </c>
      <c r="K198" s="83" t="s">
        <v>1</v>
      </c>
      <c r="L198" s="84" t="str">
        <f t="shared" ref="L198" si="190">_xlfn.CONCAT(C198)</f>
        <v>Infraestruturas</v>
      </c>
      <c r="M198" s="27" t="str">
        <f t="shared" ref="M198" si="191">CONCATENATE("", D198)</f>
        <v>Rodoviárias</v>
      </c>
      <c r="N198" s="27" t="str">
        <f t="shared" ref="N198" si="192">(SUBSTITUTE(SUBSTITUTE(CONCATENATE("",E198),"."," ")," De "," de "))</f>
        <v>Vias</v>
      </c>
      <c r="O198" s="28" t="str">
        <f t="shared" ref="O198" si="193">F198</f>
        <v>Rua.Local.Urbana</v>
      </c>
      <c r="P198" s="43" t="s">
        <v>133</v>
      </c>
      <c r="Q198" s="84" t="s">
        <v>222</v>
      </c>
      <c r="R198" s="28" t="s">
        <v>1</v>
      </c>
      <c r="S198" s="28" t="str">
        <f t="shared" si="81"/>
        <v>Infraestruturas</v>
      </c>
      <c r="T198" s="28" t="str">
        <f t="shared" si="82"/>
        <v>Rodoviárias</v>
      </c>
      <c r="U198" s="28" t="str">
        <f t="shared" si="82"/>
        <v>Vias</v>
      </c>
      <c r="V198" s="28" t="s">
        <v>2222</v>
      </c>
      <c r="W198" s="69" t="str">
        <f t="shared" si="181"/>
        <v>Key-INFRA-198</v>
      </c>
      <c r="X198" s="28" t="s">
        <v>2096</v>
      </c>
      <c r="Y198" s="40" t="s">
        <v>2145</v>
      </c>
      <c r="Z198" s="40" t="s">
        <v>1</v>
      </c>
      <c r="AA198" s="28" t="str">
        <f t="shared" si="134"/>
        <v>Paved urban roads of one lane with a width of 9 to 12 meters.</v>
      </c>
    </row>
    <row r="199" spans="1:27" ht="6.65" customHeight="1" x14ac:dyDescent="0.4">
      <c r="A199" s="77">
        <v>199</v>
      </c>
      <c r="B199" s="66" t="s">
        <v>2219</v>
      </c>
      <c r="C199" s="30" t="s">
        <v>1596</v>
      </c>
      <c r="D199" s="29" t="s">
        <v>1601</v>
      </c>
      <c r="E199" s="82" t="s">
        <v>1590</v>
      </c>
      <c r="F199" s="44" t="s">
        <v>125</v>
      </c>
      <c r="G199" s="83" t="s">
        <v>1</v>
      </c>
      <c r="H199" s="83" t="s">
        <v>1</v>
      </c>
      <c r="I199" s="83" t="s">
        <v>1</v>
      </c>
      <c r="J199" s="83" t="s">
        <v>1</v>
      </c>
      <c r="K199" s="83" t="s">
        <v>1</v>
      </c>
      <c r="L199" s="84" t="str">
        <f t="shared" ref="L199" si="194">_xlfn.CONCAT(C199)</f>
        <v>Infraestruturas</v>
      </c>
      <c r="M199" s="27" t="str">
        <f t="shared" ref="M199" si="195">CONCATENATE("", D199)</f>
        <v>Rodoviárias</v>
      </c>
      <c r="N199" s="27" t="str">
        <f t="shared" ref="N199" si="196">(SUBSTITUTE(SUBSTITUTE(CONCATENATE("",E199),"."," ")," De "," de "))</f>
        <v>Vias</v>
      </c>
      <c r="O199" s="28" t="str">
        <f t="shared" ref="O199" si="197">F199</f>
        <v>Rua.Coletora.Urbana</v>
      </c>
      <c r="P199" s="43" t="s">
        <v>130</v>
      </c>
      <c r="Q199" s="84" t="s">
        <v>223</v>
      </c>
      <c r="R199" s="28" t="s">
        <v>1</v>
      </c>
      <c r="S199" s="28" t="str">
        <f t="shared" si="81"/>
        <v>Infraestruturas</v>
      </c>
      <c r="T199" s="28" t="str">
        <f t="shared" si="82"/>
        <v>Rodoviárias</v>
      </c>
      <c r="U199" s="28" t="str">
        <f t="shared" si="82"/>
        <v>Vias</v>
      </c>
      <c r="V199" s="28" t="s">
        <v>2222</v>
      </c>
      <c r="W199" s="69" t="str">
        <f t="shared" si="181"/>
        <v>Key-INFRA-199</v>
      </c>
      <c r="X199" s="28" t="s">
        <v>2096</v>
      </c>
      <c r="Y199" s="40" t="s">
        <v>2145</v>
      </c>
      <c r="Z199" s="40" t="s">
        <v>1</v>
      </c>
      <c r="AA199" s="28" t="str">
        <f t="shared" si="134"/>
        <v>Paved urban roads of one or two lanes with widths of 12 to 18 meters.</v>
      </c>
    </row>
    <row r="200" spans="1:27" ht="6.65" customHeight="1" x14ac:dyDescent="0.4">
      <c r="A200" s="77">
        <v>200</v>
      </c>
      <c r="B200" s="66" t="s">
        <v>2219</v>
      </c>
      <c r="C200" s="30" t="s">
        <v>1596</v>
      </c>
      <c r="D200" s="29" t="s">
        <v>1601</v>
      </c>
      <c r="E200" s="82" t="s">
        <v>1590</v>
      </c>
      <c r="F200" s="44" t="s">
        <v>128</v>
      </c>
      <c r="G200" s="83" t="s">
        <v>1</v>
      </c>
      <c r="H200" s="83" t="s">
        <v>1</v>
      </c>
      <c r="I200" s="83" t="s">
        <v>1</v>
      </c>
      <c r="J200" s="83" t="s">
        <v>1</v>
      </c>
      <c r="K200" s="83" t="s">
        <v>1</v>
      </c>
      <c r="L200" s="84" t="str">
        <f t="shared" si="186"/>
        <v>Infraestruturas</v>
      </c>
      <c r="M200" s="27" t="str">
        <f t="shared" si="187"/>
        <v>Rodoviárias</v>
      </c>
      <c r="N200" s="27" t="str">
        <f t="shared" si="188"/>
        <v>Vias</v>
      </c>
      <c r="O200" s="28" t="str">
        <f t="shared" si="189"/>
        <v>Avenida.Arterial</v>
      </c>
      <c r="P200" s="43" t="s">
        <v>131</v>
      </c>
      <c r="Q200" s="84" t="s">
        <v>224</v>
      </c>
      <c r="R200" s="28" t="s">
        <v>1</v>
      </c>
      <c r="S200" s="28" t="str">
        <f t="shared" si="81"/>
        <v>Infraestruturas</v>
      </c>
      <c r="T200" s="28" t="str">
        <f t="shared" si="82"/>
        <v>Rodoviárias</v>
      </c>
      <c r="U200" s="28" t="str">
        <f t="shared" si="82"/>
        <v>Vias</v>
      </c>
      <c r="V200" s="28" t="s">
        <v>2222</v>
      </c>
      <c r="W200" s="69" t="str">
        <f t="shared" si="181"/>
        <v>Key-INFRA-200</v>
      </c>
      <c r="X200" s="28" t="s">
        <v>2096</v>
      </c>
      <c r="Y200" s="40" t="s">
        <v>2145</v>
      </c>
      <c r="Z200" s="40" t="s">
        <v>1</v>
      </c>
      <c r="AA200" s="28" t="str">
        <f t="shared" si="134"/>
        <v>Paved urban roads with a large flow of vehicles and public transport with a width of 20 to 30 meters.</v>
      </c>
    </row>
    <row r="201" spans="1:27" ht="6.65" customHeight="1" x14ac:dyDescent="0.4">
      <c r="A201" s="77">
        <v>201</v>
      </c>
      <c r="B201" s="66" t="s">
        <v>2219</v>
      </c>
      <c r="C201" s="30" t="s">
        <v>1596</v>
      </c>
      <c r="D201" s="29" t="s">
        <v>1601</v>
      </c>
      <c r="E201" s="82" t="s">
        <v>1590</v>
      </c>
      <c r="F201" s="44" t="s">
        <v>127</v>
      </c>
      <c r="G201" s="83" t="s">
        <v>1</v>
      </c>
      <c r="H201" s="83" t="s">
        <v>1</v>
      </c>
      <c r="I201" s="83" t="s">
        <v>1</v>
      </c>
      <c r="J201" s="83" t="s">
        <v>1</v>
      </c>
      <c r="K201" s="83" t="s">
        <v>1</v>
      </c>
      <c r="L201" s="84" t="str">
        <f t="shared" si="186"/>
        <v>Infraestruturas</v>
      </c>
      <c r="M201" s="27" t="str">
        <f t="shared" si="187"/>
        <v>Rodoviárias</v>
      </c>
      <c r="N201" s="27" t="str">
        <f t="shared" si="188"/>
        <v>Vias</v>
      </c>
      <c r="O201" s="28" t="str">
        <f t="shared" si="189"/>
        <v>Avenida.Expressa</v>
      </c>
      <c r="P201" s="43" t="s">
        <v>132</v>
      </c>
      <c r="Q201" s="84" t="s">
        <v>225</v>
      </c>
      <c r="R201" s="28" t="s">
        <v>1</v>
      </c>
      <c r="S201" s="28" t="str">
        <f t="shared" ref="S201" si="198">SUBSTITUTE(C201, ".", " ")</f>
        <v>Infraestruturas</v>
      </c>
      <c r="T201" s="28" t="str">
        <f t="shared" ref="T201" si="199">SUBSTITUTE(D201, ".", " ")</f>
        <v>Rodoviárias</v>
      </c>
      <c r="U201" s="28" t="str">
        <f t="shared" si="82"/>
        <v>Vias</v>
      </c>
      <c r="V201" s="28" t="s">
        <v>2222</v>
      </c>
      <c r="W201" s="69" t="str">
        <f t="shared" si="181"/>
        <v>Key-INFRA-201</v>
      </c>
      <c r="X201" s="28" t="s">
        <v>2096</v>
      </c>
      <c r="Y201" s="40" t="s">
        <v>2145</v>
      </c>
      <c r="Z201" s="40" t="s">
        <v>1</v>
      </c>
      <c r="AA201" s="28" t="str">
        <f t="shared" ref="AA201:AA264" si="200">_xlfn.TRANSLATE(P201,"pt","en")</f>
        <v>High-speed urban roads with separation of lanes from 30 to 60 meters.</v>
      </c>
    </row>
    <row r="202" spans="1:27" ht="6.65" customHeight="1" x14ac:dyDescent="0.4">
      <c r="A202" s="77">
        <v>202</v>
      </c>
      <c r="B202" s="66" t="s">
        <v>2219</v>
      </c>
      <c r="C202" s="30" t="s">
        <v>1596</v>
      </c>
      <c r="D202" s="29" t="s">
        <v>1601</v>
      </c>
      <c r="E202" s="82" t="s">
        <v>1590</v>
      </c>
      <c r="F202" s="44" t="s">
        <v>1493</v>
      </c>
      <c r="G202" s="83" t="s">
        <v>1</v>
      </c>
      <c r="H202" s="83" t="s">
        <v>1</v>
      </c>
      <c r="I202" s="83" t="s">
        <v>1</v>
      </c>
      <c r="J202" s="83" t="s">
        <v>1</v>
      </c>
      <c r="K202" s="83" t="s">
        <v>1</v>
      </c>
      <c r="L202" s="84" t="str">
        <f t="shared" ref="L202" si="201">_xlfn.CONCAT(C202)</f>
        <v>Infraestruturas</v>
      </c>
      <c r="M202" s="27" t="str">
        <f t="shared" ref="M202" si="202">CONCATENATE("", D202)</f>
        <v>Rodoviárias</v>
      </c>
      <c r="N202" s="27" t="str">
        <f t="shared" ref="N202" si="203">(SUBSTITUTE(SUBSTITUTE(CONCATENATE("",E202),"."," ")," De "," de "))</f>
        <v>Vias</v>
      </c>
      <c r="O202" s="28" t="str">
        <f t="shared" ref="O202" si="204">F202</f>
        <v>Corredor.BRT</v>
      </c>
      <c r="P202" s="43" t="s">
        <v>1494</v>
      </c>
      <c r="Q202" s="43" t="s">
        <v>1495</v>
      </c>
      <c r="R202" s="28" t="s">
        <v>1</v>
      </c>
      <c r="S202" s="28" t="str">
        <f t="shared" si="81"/>
        <v>Infraestruturas</v>
      </c>
      <c r="T202" s="28" t="str">
        <f t="shared" si="82"/>
        <v>Rodoviárias</v>
      </c>
      <c r="U202" s="28" t="str">
        <f t="shared" si="82"/>
        <v>Vias</v>
      </c>
      <c r="V202" s="28" t="s">
        <v>2222</v>
      </c>
      <c r="W202" s="69" t="str">
        <f t="shared" si="181"/>
        <v>Key-INFRA-202</v>
      </c>
      <c r="X202" s="28" t="s">
        <v>2096</v>
      </c>
      <c r="Y202" s="40" t="s">
        <v>2145</v>
      </c>
      <c r="Z202" s="40" t="s">
        <v>1</v>
      </c>
      <c r="AA202" s="28" t="str">
        <f t="shared" si="200"/>
        <v>Exclusive urban road for BRT operation.</v>
      </c>
    </row>
    <row r="203" spans="1:27" ht="6.65" customHeight="1" x14ac:dyDescent="0.4">
      <c r="A203" s="77">
        <v>203</v>
      </c>
      <c r="B203" s="66" t="s">
        <v>2219</v>
      </c>
      <c r="C203" s="30" t="s">
        <v>1596</v>
      </c>
      <c r="D203" s="29" t="s">
        <v>1601</v>
      </c>
      <c r="E203" s="82" t="s">
        <v>1591</v>
      </c>
      <c r="F203" s="44" t="s">
        <v>107</v>
      </c>
      <c r="G203" s="83" t="s">
        <v>1</v>
      </c>
      <c r="H203" s="83" t="s">
        <v>1</v>
      </c>
      <c r="I203" s="83" t="s">
        <v>1</v>
      </c>
      <c r="J203" s="83" t="s">
        <v>1</v>
      </c>
      <c r="K203" s="83" t="s">
        <v>1</v>
      </c>
      <c r="L203" s="84" t="str">
        <f t="shared" ref="L203:L205" si="205">_xlfn.CONCAT(C203)</f>
        <v>Infraestruturas</v>
      </c>
      <c r="M203" s="27" t="str">
        <f t="shared" ref="M203:M205" si="206">CONCATENATE("", D203)</f>
        <v>Rodoviárias</v>
      </c>
      <c r="N203" s="27" t="str">
        <f t="shared" ref="N203:N205" si="207">(SUBSTITUTE(SUBSTITUTE(CONCATENATE("",E203),"."," ")," De "," de "))</f>
        <v>Faixas</v>
      </c>
      <c r="O203" s="28" t="str">
        <f t="shared" ref="O203:O205" si="208">F203</f>
        <v>Faixa.de.Rolamento</v>
      </c>
      <c r="P203" s="43" t="s">
        <v>88</v>
      </c>
      <c r="Q203" s="84" t="s">
        <v>226</v>
      </c>
      <c r="R203" s="28" t="s">
        <v>1</v>
      </c>
      <c r="S203" s="28" t="str">
        <f t="shared" si="81"/>
        <v>Infraestruturas</v>
      </c>
      <c r="T203" s="28" t="str">
        <f t="shared" si="82"/>
        <v>Rodoviárias</v>
      </c>
      <c r="U203" s="28" t="str">
        <f t="shared" si="82"/>
        <v>Faixas</v>
      </c>
      <c r="V203" s="28" t="s">
        <v>2222</v>
      </c>
      <c r="W203" s="69" t="str">
        <f t="shared" si="181"/>
        <v>Key-INFRA-203</v>
      </c>
      <c r="X203" s="28" t="s">
        <v>2096</v>
      </c>
      <c r="Y203" s="40" t="s">
        <v>2145</v>
      </c>
      <c r="Z203" s="40" t="s">
        <v>1</v>
      </c>
      <c r="AA203" s="28" t="str">
        <f t="shared" si="200"/>
        <v>Lane used by vehicles.</v>
      </c>
    </row>
    <row r="204" spans="1:27" ht="6.65" customHeight="1" x14ac:dyDescent="0.4">
      <c r="A204" s="77">
        <v>204</v>
      </c>
      <c r="B204" s="66" t="s">
        <v>2219</v>
      </c>
      <c r="C204" s="30" t="s">
        <v>1596</v>
      </c>
      <c r="D204" s="29" t="s">
        <v>1601</v>
      </c>
      <c r="E204" s="82" t="s">
        <v>1591</v>
      </c>
      <c r="F204" s="44" t="s">
        <v>118</v>
      </c>
      <c r="G204" s="83" t="s">
        <v>1</v>
      </c>
      <c r="H204" s="83" t="s">
        <v>1</v>
      </c>
      <c r="I204" s="83" t="s">
        <v>1</v>
      </c>
      <c r="J204" s="83" t="s">
        <v>1</v>
      </c>
      <c r="K204" s="83" t="s">
        <v>1</v>
      </c>
      <c r="L204" s="84" t="str">
        <f t="shared" si="205"/>
        <v>Infraestruturas</v>
      </c>
      <c r="M204" s="27" t="str">
        <f t="shared" si="206"/>
        <v>Rodoviárias</v>
      </c>
      <c r="N204" s="27" t="str">
        <f t="shared" si="207"/>
        <v>Faixas</v>
      </c>
      <c r="O204" s="28" t="str">
        <f t="shared" si="208"/>
        <v>Calçada</v>
      </c>
      <c r="P204" s="43" t="s">
        <v>119</v>
      </c>
      <c r="Q204" s="84" t="s">
        <v>228</v>
      </c>
      <c r="R204" s="28" t="s">
        <v>1</v>
      </c>
      <c r="S204" s="28" t="str">
        <f t="shared" si="81"/>
        <v>Infraestruturas</v>
      </c>
      <c r="T204" s="28" t="str">
        <f t="shared" si="82"/>
        <v>Rodoviárias</v>
      </c>
      <c r="U204" s="28" t="str">
        <f t="shared" si="82"/>
        <v>Faixas</v>
      </c>
      <c r="V204" s="28" t="s">
        <v>2222</v>
      </c>
      <c r="W204" s="69" t="str">
        <f t="shared" si="181"/>
        <v>Key-INFRA-204</v>
      </c>
      <c r="X204" s="28" t="s">
        <v>2096</v>
      </c>
      <c r="Y204" s="40" t="s">
        <v>2145</v>
      </c>
      <c r="Z204" s="40" t="s">
        <v>1</v>
      </c>
      <c r="AA204" s="28" t="str">
        <f t="shared" si="200"/>
        <v>Part of the public road intended for pedestrian traffic positioned next to the lanes. For the project, the Carioca Sidewalks Notebook and the NBR 9050 Standard, which deals with accessibility in urban spaces, can be consulted.</v>
      </c>
    </row>
    <row r="205" spans="1:27" ht="6.65" customHeight="1" x14ac:dyDescent="0.4">
      <c r="A205" s="77">
        <v>205</v>
      </c>
      <c r="B205" s="66" t="s">
        <v>2219</v>
      </c>
      <c r="C205" s="30" t="s">
        <v>1596</v>
      </c>
      <c r="D205" s="29" t="s">
        <v>1601</v>
      </c>
      <c r="E205" s="82" t="s">
        <v>1591</v>
      </c>
      <c r="F205" s="44" t="s">
        <v>122</v>
      </c>
      <c r="G205" s="83" t="s">
        <v>1</v>
      </c>
      <c r="H205" s="83" t="s">
        <v>1</v>
      </c>
      <c r="I205" s="83" t="s">
        <v>1</v>
      </c>
      <c r="J205" s="83" t="s">
        <v>1</v>
      </c>
      <c r="K205" s="83" t="s">
        <v>1</v>
      </c>
      <c r="L205" s="84" t="str">
        <f t="shared" si="205"/>
        <v>Infraestruturas</v>
      </c>
      <c r="M205" s="27" t="str">
        <f t="shared" si="206"/>
        <v>Rodoviárias</v>
      </c>
      <c r="N205" s="27" t="str">
        <f t="shared" si="207"/>
        <v>Faixas</v>
      </c>
      <c r="O205" s="28" t="str">
        <f t="shared" si="208"/>
        <v>Ciclofaixa</v>
      </c>
      <c r="P205" s="43" t="s">
        <v>123</v>
      </c>
      <c r="Q205" s="84" t="s">
        <v>229</v>
      </c>
      <c r="R205" s="28" t="s">
        <v>1</v>
      </c>
      <c r="S205" s="28" t="str">
        <f t="shared" si="81"/>
        <v>Infraestruturas</v>
      </c>
      <c r="T205" s="28" t="str">
        <f t="shared" si="82"/>
        <v>Rodoviárias</v>
      </c>
      <c r="U205" s="28" t="str">
        <f t="shared" si="82"/>
        <v>Faixas</v>
      </c>
      <c r="V205" s="28" t="s">
        <v>2222</v>
      </c>
      <c r="W205" s="69" t="str">
        <f t="shared" si="181"/>
        <v>Key-INFRA-205</v>
      </c>
      <c r="X205" s="28" t="s">
        <v>2096</v>
      </c>
      <c r="Y205" s="40" t="s">
        <v>2145</v>
      </c>
      <c r="Z205" s="40" t="s">
        <v>1</v>
      </c>
      <c r="AA205" s="28" t="str">
        <f t="shared" si="200"/>
        <v>Lane for cyclists integrated into the lane and delimited by a lane painted on the asphalt. It is less safe than the cyclovia.</v>
      </c>
    </row>
    <row r="206" spans="1:27" ht="6.65" customHeight="1" x14ac:dyDescent="0.4">
      <c r="A206" s="77">
        <v>206</v>
      </c>
      <c r="B206" s="66" t="s">
        <v>2219</v>
      </c>
      <c r="C206" s="30" t="s">
        <v>1596</v>
      </c>
      <c r="D206" s="29" t="s">
        <v>1601</v>
      </c>
      <c r="E206" s="82" t="s">
        <v>1591</v>
      </c>
      <c r="F206" s="44" t="s">
        <v>120</v>
      </c>
      <c r="G206" s="83" t="s">
        <v>1</v>
      </c>
      <c r="H206" s="83" t="s">
        <v>1</v>
      </c>
      <c r="I206" s="83" t="s">
        <v>1</v>
      </c>
      <c r="J206" s="83" t="s">
        <v>1</v>
      </c>
      <c r="K206" s="83" t="s">
        <v>1</v>
      </c>
      <c r="L206" s="84" t="str">
        <f t="shared" si="186"/>
        <v>Infraestruturas</v>
      </c>
      <c r="M206" s="27" t="str">
        <f t="shared" si="187"/>
        <v>Rodoviárias</v>
      </c>
      <c r="N206" s="27" t="str">
        <f t="shared" si="188"/>
        <v>Faixas</v>
      </c>
      <c r="O206" s="28" t="str">
        <f t="shared" si="189"/>
        <v>Ciclovia</v>
      </c>
      <c r="P206" s="43" t="s">
        <v>121</v>
      </c>
      <c r="Q206" s="84" t="s">
        <v>230</v>
      </c>
      <c r="R206" s="28" t="s">
        <v>1</v>
      </c>
      <c r="S206" s="28" t="str">
        <f t="shared" si="81"/>
        <v>Infraestruturas</v>
      </c>
      <c r="T206" s="28" t="str">
        <f t="shared" si="82"/>
        <v>Rodoviárias</v>
      </c>
      <c r="U206" s="28" t="str">
        <f t="shared" si="82"/>
        <v>Faixas</v>
      </c>
      <c r="V206" s="28" t="s">
        <v>2222</v>
      </c>
      <c r="W206" s="69" t="str">
        <f t="shared" si="181"/>
        <v>Key-INFRA-206</v>
      </c>
      <c r="X206" s="28" t="s">
        <v>2096</v>
      </c>
      <c r="Y206" s="40" t="s">
        <v>2131</v>
      </c>
      <c r="Z206" s="40" t="s">
        <v>1</v>
      </c>
      <c r="AA206" s="28" t="str">
        <f t="shared" si="200"/>
        <v>Exclusive lane for bicycle circulation, physically separated from the motor vehicle lanes.</v>
      </c>
    </row>
    <row r="207" spans="1:27" ht="6.65" customHeight="1" x14ac:dyDescent="0.4">
      <c r="A207" s="77">
        <v>207</v>
      </c>
      <c r="B207" s="66" t="s">
        <v>2219</v>
      </c>
      <c r="C207" s="30" t="s">
        <v>1596</v>
      </c>
      <c r="D207" s="29" t="s">
        <v>1601</v>
      </c>
      <c r="E207" s="82" t="s">
        <v>1591</v>
      </c>
      <c r="F207" s="44" t="s">
        <v>109</v>
      </c>
      <c r="G207" s="83" t="s">
        <v>1</v>
      </c>
      <c r="H207" s="83" t="s">
        <v>1</v>
      </c>
      <c r="I207" s="83" t="s">
        <v>1</v>
      </c>
      <c r="J207" s="83" t="s">
        <v>1</v>
      </c>
      <c r="K207" s="83" t="s">
        <v>1</v>
      </c>
      <c r="L207" s="84" t="str">
        <f t="shared" si="186"/>
        <v>Infraestruturas</v>
      </c>
      <c r="M207" s="27" t="str">
        <f t="shared" si="187"/>
        <v>Rodoviárias</v>
      </c>
      <c r="N207" s="27" t="str">
        <f t="shared" si="188"/>
        <v>Faixas</v>
      </c>
      <c r="O207" s="28" t="str">
        <f t="shared" si="189"/>
        <v>Meio.Fio</v>
      </c>
      <c r="P207" s="43" t="s">
        <v>110</v>
      </c>
      <c r="Q207" s="84" t="s">
        <v>227</v>
      </c>
      <c r="R207" s="28" t="s">
        <v>1</v>
      </c>
      <c r="S207" s="28" t="str">
        <f t="shared" ref="S207" si="209">SUBSTITUTE(C207, ".", " ")</f>
        <v>Infraestruturas</v>
      </c>
      <c r="T207" s="28" t="str">
        <f t="shared" ref="T207" si="210">SUBSTITUTE(D207, ".", " ")</f>
        <v>Rodoviárias</v>
      </c>
      <c r="U207" s="28" t="str">
        <f t="shared" ref="U207" si="211">SUBSTITUTE(E207, ".", " ")</f>
        <v>Faixas</v>
      </c>
      <c r="V207" s="28" t="s">
        <v>2222</v>
      </c>
      <c r="W207" s="69" t="str">
        <f t="shared" si="181"/>
        <v>Key-INFRA-207</v>
      </c>
      <c r="X207" s="28" t="s">
        <v>2096</v>
      </c>
      <c r="Y207" s="40" t="s">
        <v>2146</v>
      </c>
      <c r="Z207" s="40" t="s">
        <v>1</v>
      </c>
      <c r="AA207" s="28" t="str">
        <f t="shared" si="200"/>
        <v>Element that separates the road from the pedestrian sidewalk vehicles with a height of less than 35 cm.</v>
      </c>
    </row>
    <row r="208" spans="1:27" ht="6.65" customHeight="1" x14ac:dyDescent="0.4">
      <c r="A208" s="77">
        <v>208</v>
      </c>
      <c r="B208" s="66" t="s">
        <v>2219</v>
      </c>
      <c r="C208" s="30" t="s">
        <v>1596</v>
      </c>
      <c r="D208" s="29" t="s">
        <v>1601</v>
      </c>
      <c r="E208" s="82" t="s">
        <v>1592</v>
      </c>
      <c r="F208" s="44" t="s">
        <v>260</v>
      </c>
      <c r="G208" s="83" t="s">
        <v>1</v>
      </c>
      <c r="H208" s="83" t="s">
        <v>1</v>
      </c>
      <c r="I208" s="83" t="s">
        <v>1</v>
      </c>
      <c r="J208" s="83" t="s">
        <v>1</v>
      </c>
      <c r="K208" s="83" t="s">
        <v>1</v>
      </c>
      <c r="L208" s="84" t="str">
        <f t="shared" ref="L208:L210" si="212">_xlfn.CONCAT(C208)</f>
        <v>Infraestruturas</v>
      </c>
      <c r="M208" s="27" t="str">
        <f t="shared" ref="M208:M210" si="213">CONCATENATE("", D208)</f>
        <v>Rodoviárias</v>
      </c>
      <c r="N208" s="27" t="str">
        <f t="shared" ref="N208:N210" si="214">(SUBSTITUTE(SUBSTITUTE(CONCATENATE("",E208),"."," ")," De "," de "))</f>
        <v>Proteções</v>
      </c>
      <c r="O208" s="28" t="str">
        <f t="shared" ref="O208:O210" si="215">F208</f>
        <v>Contenção.Perfil</v>
      </c>
      <c r="P208" s="43" t="s">
        <v>84</v>
      </c>
      <c r="Q208" s="84" t="s">
        <v>231</v>
      </c>
      <c r="R208" s="28" t="s">
        <v>1</v>
      </c>
      <c r="S208" s="28" t="str">
        <f t="shared" si="81"/>
        <v>Infraestruturas</v>
      </c>
      <c r="T208" s="28" t="str">
        <f t="shared" si="82"/>
        <v>Rodoviárias</v>
      </c>
      <c r="U208" s="28" t="str">
        <f t="shared" si="82"/>
        <v>Proteções</v>
      </c>
      <c r="V208" s="28" t="s">
        <v>2222</v>
      </c>
      <c r="W208" s="69" t="str">
        <f t="shared" si="181"/>
        <v>Key-INFRA-208</v>
      </c>
      <c r="X208" s="28" t="s">
        <v>2097</v>
      </c>
      <c r="Y208" s="28" t="s">
        <v>2146</v>
      </c>
      <c r="Z208" s="40" t="s">
        <v>1</v>
      </c>
      <c r="AA208" s="28" t="str">
        <f t="shared" si="200"/>
        <v>ABNT standard profile, embedded in the structure, with the function of lateral protection of the road lane.</v>
      </c>
    </row>
    <row r="209" spans="1:27" ht="6.65" customHeight="1" x14ac:dyDescent="0.4">
      <c r="A209" s="77">
        <v>209</v>
      </c>
      <c r="B209" s="66" t="s">
        <v>2219</v>
      </c>
      <c r="C209" s="30" t="s">
        <v>1596</v>
      </c>
      <c r="D209" s="29" t="s">
        <v>1601</v>
      </c>
      <c r="E209" s="82" t="s">
        <v>1592</v>
      </c>
      <c r="F209" s="44" t="s">
        <v>261</v>
      </c>
      <c r="G209" s="83" t="s">
        <v>1</v>
      </c>
      <c r="H209" s="83" t="s">
        <v>1</v>
      </c>
      <c r="I209" s="83" t="s">
        <v>1</v>
      </c>
      <c r="J209" s="83" t="s">
        <v>1</v>
      </c>
      <c r="K209" s="83" t="s">
        <v>1</v>
      </c>
      <c r="L209" s="84" t="str">
        <f t="shared" si="212"/>
        <v>Infraestruturas</v>
      </c>
      <c r="M209" s="27" t="str">
        <f t="shared" si="213"/>
        <v>Rodoviárias</v>
      </c>
      <c r="N209" s="27" t="str">
        <f t="shared" si="214"/>
        <v>Proteções</v>
      </c>
      <c r="O209" s="28" t="str">
        <f t="shared" si="215"/>
        <v>Contenção.Cortina</v>
      </c>
      <c r="P209" s="43" t="s">
        <v>108</v>
      </c>
      <c r="Q209" s="84" t="s">
        <v>265</v>
      </c>
      <c r="R209" s="28" t="s">
        <v>1</v>
      </c>
      <c r="S209" s="28" t="str">
        <f t="shared" si="81"/>
        <v>Infraestruturas</v>
      </c>
      <c r="T209" s="28" t="str">
        <f t="shared" si="82"/>
        <v>Rodoviárias</v>
      </c>
      <c r="U209" s="28" t="str">
        <f t="shared" si="82"/>
        <v>Proteções</v>
      </c>
      <c r="V209" s="28" t="s">
        <v>2222</v>
      </c>
      <c r="W209" s="69" t="str">
        <f t="shared" si="181"/>
        <v>Key-INFRA-209</v>
      </c>
      <c r="X209" s="28" t="s">
        <v>2097</v>
      </c>
      <c r="Y209" s="28" t="s">
        <v>2146</v>
      </c>
      <c r="Z209" s="40" t="s">
        <v>1</v>
      </c>
      <c r="AA209" s="28" t="str">
        <f t="shared" si="200"/>
        <v>Element with a height of more than 1.5 m, embedded in the superstructure that works to prevent the vehicle from falling from the bridge or viaduct over subway and railway tracks.</v>
      </c>
    </row>
    <row r="210" spans="1:27" ht="6.65" customHeight="1" x14ac:dyDescent="0.4">
      <c r="A210" s="77">
        <v>210</v>
      </c>
      <c r="B210" s="66" t="s">
        <v>2219</v>
      </c>
      <c r="C210" s="30" t="s">
        <v>1596</v>
      </c>
      <c r="D210" s="29" t="s">
        <v>1601</v>
      </c>
      <c r="E210" s="82" t="s">
        <v>1592</v>
      </c>
      <c r="F210" s="44" t="s">
        <v>262</v>
      </c>
      <c r="G210" s="83" t="s">
        <v>1</v>
      </c>
      <c r="H210" s="83" t="s">
        <v>1</v>
      </c>
      <c r="I210" s="83" t="s">
        <v>1</v>
      </c>
      <c r="J210" s="83" t="s">
        <v>1</v>
      </c>
      <c r="K210" s="83" t="s">
        <v>1</v>
      </c>
      <c r="L210" s="84" t="str">
        <f t="shared" si="212"/>
        <v>Infraestruturas</v>
      </c>
      <c r="M210" s="27" t="str">
        <f t="shared" si="213"/>
        <v>Rodoviárias</v>
      </c>
      <c r="N210" s="27" t="str">
        <f t="shared" si="214"/>
        <v>Proteções</v>
      </c>
      <c r="O210" s="28" t="str">
        <f t="shared" si="215"/>
        <v>Contenção.Guardacorpo</v>
      </c>
      <c r="P210" s="43" t="s">
        <v>85</v>
      </c>
      <c r="Q210" s="84" t="s">
        <v>232</v>
      </c>
      <c r="R210" s="28" t="s">
        <v>1</v>
      </c>
      <c r="S210" s="28" t="str">
        <f t="shared" si="81"/>
        <v>Infraestruturas</v>
      </c>
      <c r="T210" s="28" t="str">
        <f t="shared" si="82"/>
        <v>Rodoviárias</v>
      </c>
      <c r="U210" s="28" t="str">
        <f t="shared" si="82"/>
        <v>Proteções</v>
      </c>
      <c r="V210" s="28" t="s">
        <v>2222</v>
      </c>
      <c r="W210" s="69" t="str">
        <f t="shared" si="181"/>
        <v>Key-INFRA-210</v>
      </c>
      <c r="X210" s="28" t="s">
        <v>2097</v>
      </c>
      <c r="Y210" s="28" t="s">
        <v>2146</v>
      </c>
      <c r="Z210" s="40" t="s">
        <v>1</v>
      </c>
      <c r="AA210" s="28" t="str">
        <f t="shared" si="200"/>
        <v>Continuous or hollow element of pedestrian protection on the edge of the sidewalk.</v>
      </c>
    </row>
    <row r="211" spans="1:27" ht="6.65" customHeight="1" x14ac:dyDescent="0.4">
      <c r="A211" s="77">
        <v>211</v>
      </c>
      <c r="B211" s="66" t="s">
        <v>2219</v>
      </c>
      <c r="C211" s="30" t="s">
        <v>1596</v>
      </c>
      <c r="D211" s="29" t="s">
        <v>1601</v>
      </c>
      <c r="E211" s="82" t="s">
        <v>1592</v>
      </c>
      <c r="F211" s="44" t="s">
        <v>263</v>
      </c>
      <c r="G211" s="83" t="s">
        <v>1</v>
      </c>
      <c r="H211" s="83" t="s">
        <v>1</v>
      </c>
      <c r="I211" s="83" t="s">
        <v>1</v>
      </c>
      <c r="J211" s="83" t="s">
        <v>1</v>
      </c>
      <c r="K211" s="83" t="s">
        <v>1</v>
      </c>
      <c r="L211" s="84" t="str">
        <f t="shared" si="186"/>
        <v>Infraestruturas</v>
      </c>
      <c r="M211" s="27" t="str">
        <f t="shared" si="187"/>
        <v>Rodoviárias</v>
      </c>
      <c r="N211" s="27" t="str">
        <f t="shared" si="188"/>
        <v>Proteções</v>
      </c>
      <c r="O211" s="28" t="str">
        <f t="shared" si="189"/>
        <v>Contenção.GuardaRail</v>
      </c>
      <c r="P211" s="43" t="s">
        <v>264</v>
      </c>
      <c r="Q211" s="84" t="s">
        <v>331</v>
      </c>
      <c r="R211" s="28" t="s">
        <v>1</v>
      </c>
      <c r="S211" s="28" t="str">
        <f t="shared" si="81"/>
        <v>Infraestruturas</v>
      </c>
      <c r="T211" s="28" t="str">
        <f t="shared" si="82"/>
        <v>Rodoviárias</v>
      </c>
      <c r="U211" s="28" t="str">
        <f t="shared" si="82"/>
        <v>Proteções</v>
      </c>
      <c r="V211" s="28" t="s">
        <v>2222</v>
      </c>
      <c r="W211" s="69" t="str">
        <f t="shared" si="181"/>
        <v>Key-INFRA-211</v>
      </c>
      <c r="X211" s="28" t="s">
        <v>2097</v>
      </c>
      <c r="Y211" s="28" t="s">
        <v>2147</v>
      </c>
      <c r="Z211" s="40" t="s">
        <v>1</v>
      </c>
      <c r="AA211" s="28" t="str">
        <f t="shared" si="200"/>
        <v>Continuous side protection element at the edge of the high-speed road.</v>
      </c>
    </row>
    <row r="212" spans="1:27" ht="6.65" customHeight="1" x14ac:dyDescent="0.4">
      <c r="A212" s="77">
        <v>212</v>
      </c>
      <c r="B212" s="66" t="s">
        <v>2219</v>
      </c>
      <c r="C212" s="30" t="s">
        <v>1596</v>
      </c>
      <c r="D212" s="29" t="s">
        <v>1601</v>
      </c>
      <c r="E212" s="82" t="s">
        <v>1593</v>
      </c>
      <c r="F212" s="44" t="s">
        <v>111</v>
      </c>
      <c r="G212" s="83" t="s">
        <v>1</v>
      </c>
      <c r="H212" s="83" t="s">
        <v>1</v>
      </c>
      <c r="I212" s="83" t="s">
        <v>1</v>
      </c>
      <c r="J212" s="83" t="s">
        <v>1</v>
      </c>
      <c r="K212" s="83" t="s">
        <v>1</v>
      </c>
      <c r="L212" s="84" t="str">
        <f t="shared" ref="L212:L217" si="216">_xlfn.CONCAT(C212)</f>
        <v>Infraestruturas</v>
      </c>
      <c r="M212" s="27" t="str">
        <f t="shared" ref="M212:M217" si="217">CONCATENATE("", D212)</f>
        <v>Rodoviárias</v>
      </c>
      <c r="N212" s="27" t="str">
        <f t="shared" ref="N212:N238" si="218">(SUBSTITUTE(SUBSTITUTE(CONCATENATE("",E212),"."," ")," De "," de "))</f>
        <v>Obras de Arte Especial</v>
      </c>
      <c r="O212" s="28" t="str">
        <f t="shared" ref="O212:O238" si="219">F212</f>
        <v>Ponte</v>
      </c>
      <c r="P212" s="43" t="s">
        <v>83</v>
      </c>
      <c r="Q212" s="84" t="s">
        <v>233</v>
      </c>
      <c r="R212" s="28" t="s">
        <v>1</v>
      </c>
      <c r="S212" s="28" t="str">
        <f t="shared" si="81"/>
        <v>Infraestruturas</v>
      </c>
      <c r="T212" s="28" t="str">
        <f t="shared" si="82"/>
        <v>Rodoviárias</v>
      </c>
      <c r="U212" s="28" t="str">
        <f t="shared" si="82"/>
        <v>Obras de Arte Especial</v>
      </c>
      <c r="V212" s="28" t="s">
        <v>2222</v>
      </c>
      <c r="W212" s="69" t="str">
        <f t="shared" si="181"/>
        <v>Key-INFRA-212</v>
      </c>
      <c r="X212" s="28" t="s">
        <v>2088</v>
      </c>
      <c r="Y212" s="28" t="s">
        <v>2147</v>
      </c>
      <c r="Z212" s="40" t="s">
        <v>1</v>
      </c>
      <c r="AA212" s="28" t="str">
        <f t="shared" si="200"/>
        <v>Structure subject to the action of load in motion, with variable positioning, here called mobile load, used to overcome a natural obstacle (river, stream, valley, etc.).</v>
      </c>
    </row>
    <row r="213" spans="1:27" ht="6.65" customHeight="1" x14ac:dyDescent="0.4">
      <c r="A213" s="77">
        <v>213</v>
      </c>
      <c r="B213" s="66" t="s">
        <v>2219</v>
      </c>
      <c r="C213" s="30" t="s">
        <v>1596</v>
      </c>
      <c r="D213" s="29" t="s">
        <v>1601</v>
      </c>
      <c r="E213" s="82" t="s">
        <v>1593</v>
      </c>
      <c r="F213" s="44" t="s">
        <v>112</v>
      </c>
      <c r="G213" s="83" t="s">
        <v>1</v>
      </c>
      <c r="H213" s="83" t="s">
        <v>1</v>
      </c>
      <c r="I213" s="83" t="s">
        <v>1</v>
      </c>
      <c r="J213" s="83" t="s">
        <v>1</v>
      </c>
      <c r="K213" s="83" t="s">
        <v>1</v>
      </c>
      <c r="L213" s="84" t="str">
        <f t="shared" si="216"/>
        <v>Infraestruturas</v>
      </c>
      <c r="M213" s="27" t="str">
        <f t="shared" si="217"/>
        <v>Rodoviárias</v>
      </c>
      <c r="N213" s="27" t="str">
        <f t="shared" si="218"/>
        <v>Obras de Arte Especial</v>
      </c>
      <c r="O213" s="28" t="str">
        <f t="shared" si="219"/>
        <v>Viaduto</v>
      </c>
      <c r="P213" s="43" t="s">
        <v>113</v>
      </c>
      <c r="Q213" s="84" t="s">
        <v>234</v>
      </c>
      <c r="R213" s="28" t="s">
        <v>1</v>
      </c>
      <c r="S213" s="28" t="str">
        <f t="shared" si="81"/>
        <v>Infraestruturas</v>
      </c>
      <c r="T213" s="28" t="str">
        <f t="shared" si="82"/>
        <v>Rodoviárias</v>
      </c>
      <c r="U213" s="28" t="str">
        <f t="shared" si="82"/>
        <v>Obras de Arte Especial</v>
      </c>
      <c r="V213" s="28" t="s">
        <v>2222</v>
      </c>
      <c r="W213" s="69" t="str">
        <f t="shared" si="181"/>
        <v>Key-INFRA-213</v>
      </c>
      <c r="X213" s="28" t="s">
        <v>2088</v>
      </c>
      <c r="Y213" s="28" t="s">
        <v>2147</v>
      </c>
      <c r="Z213" s="40" t="s">
        <v>1</v>
      </c>
      <c r="AA213" s="28" t="str">
        <f t="shared" si="200"/>
        <v>Elevated structure so that vehicles can overcome an artificial obstacle such as an avenue, highway, etc.</v>
      </c>
    </row>
    <row r="214" spans="1:27" ht="6.65" customHeight="1" x14ac:dyDescent="0.4">
      <c r="A214" s="77">
        <v>214</v>
      </c>
      <c r="B214" s="66" t="s">
        <v>2219</v>
      </c>
      <c r="C214" s="30" t="s">
        <v>1596</v>
      </c>
      <c r="D214" s="29" t="s">
        <v>1601</v>
      </c>
      <c r="E214" s="82" t="s">
        <v>1593</v>
      </c>
      <c r="F214" s="44" t="s">
        <v>1533</v>
      </c>
      <c r="G214" s="83" t="s">
        <v>1</v>
      </c>
      <c r="H214" s="83" t="s">
        <v>1</v>
      </c>
      <c r="I214" s="83" t="s">
        <v>1</v>
      </c>
      <c r="J214" s="83" t="s">
        <v>1</v>
      </c>
      <c r="K214" s="83" t="s">
        <v>1</v>
      </c>
      <c r="L214" s="84" t="str">
        <f t="shared" si="216"/>
        <v>Infraestruturas</v>
      </c>
      <c r="M214" s="27" t="str">
        <f t="shared" si="217"/>
        <v>Rodoviárias</v>
      </c>
      <c r="N214" s="27" t="str">
        <f t="shared" si="218"/>
        <v>Obras de Arte Especial</v>
      </c>
      <c r="O214" s="28" t="str">
        <f t="shared" si="219"/>
        <v>Passarela.Urbana</v>
      </c>
      <c r="P214" s="43" t="s">
        <v>114</v>
      </c>
      <c r="Q214" s="84" t="s">
        <v>235</v>
      </c>
      <c r="R214" s="28" t="s">
        <v>1</v>
      </c>
      <c r="S214" s="28" t="str">
        <f t="shared" si="81"/>
        <v>Infraestruturas</v>
      </c>
      <c r="T214" s="28" t="str">
        <f t="shared" si="82"/>
        <v>Rodoviárias</v>
      </c>
      <c r="U214" s="28" t="str">
        <f t="shared" si="82"/>
        <v>Obras de Arte Especial</v>
      </c>
      <c r="V214" s="28" t="s">
        <v>2222</v>
      </c>
      <c r="W214" s="69" t="str">
        <f t="shared" si="181"/>
        <v>Key-INFRA-214</v>
      </c>
      <c r="X214" s="28" t="s">
        <v>2088</v>
      </c>
      <c r="Y214" s="28" t="s">
        <v>2134</v>
      </c>
      <c r="Z214" s="40" t="s">
        <v>1</v>
      </c>
      <c r="AA214" s="28" t="str">
        <f t="shared" si="200"/>
        <v>Elevated and elongated structure, intended for pedestrians to overcome natural and/or artificial obstacles. Exclusively for pedestrians and/or cyclists.</v>
      </c>
    </row>
    <row r="215" spans="1:27" ht="6.65" customHeight="1" x14ac:dyDescent="0.4">
      <c r="A215" s="77">
        <v>215</v>
      </c>
      <c r="B215" s="66" t="s">
        <v>2219</v>
      </c>
      <c r="C215" s="30" t="s">
        <v>1596</v>
      </c>
      <c r="D215" s="29" t="s">
        <v>1601</v>
      </c>
      <c r="E215" s="82" t="s">
        <v>1593</v>
      </c>
      <c r="F215" s="44" t="s">
        <v>269</v>
      </c>
      <c r="G215" s="83" t="s">
        <v>1</v>
      </c>
      <c r="H215" s="83" t="s">
        <v>1</v>
      </c>
      <c r="I215" s="83" t="s">
        <v>1</v>
      </c>
      <c r="J215" s="83" t="s">
        <v>1</v>
      </c>
      <c r="K215" s="83" t="s">
        <v>1</v>
      </c>
      <c r="L215" s="84" t="str">
        <f t="shared" si="216"/>
        <v>Infraestruturas</v>
      </c>
      <c r="M215" s="27" t="str">
        <f t="shared" si="217"/>
        <v>Rodoviárias</v>
      </c>
      <c r="N215" s="27" t="str">
        <f t="shared" si="218"/>
        <v>Obras de Arte Especial</v>
      </c>
      <c r="O215" s="28" t="str">
        <f t="shared" si="219"/>
        <v>Túnel.Terrestre</v>
      </c>
      <c r="P215" s="43" t="s">
        <v>181</v>
      </c>
      <c r="Q215" s="84" t="s">
        <v>272</v>
      </c>
      <c r="R215" s="28" t="s">
        <v>1</v>
      </c>
      <c r="S215" s="28" t="str">
        <f t="shared" si="81"/>
        <v>Infraestruturas</v>
      </c>
      <c r="T215" s="28" t="str">
        <f t="shared" si="82"/>
        <v>Rodoviárias</v>
      </c>
      <c r="U215" s="28" t="str">
        <f t="shared" si="82"/>
        <v>Obras de Arte Especial</v>
      </c>
      <c r="V215" s="28" t="s">
        <v>2222</v>
      </c>
      <c r="W215" s="69" t="str">
        <f t="shared" si="181"/>
        <v>Key-INFRA-215</v>
      </c>
      <c r="X215" s="28" t="s">
        <v>2088</v>
      </c>
      <c r="Y215" s="28" t="s">
        <v>2134</v>
      </c>
      <c r="Z215" s="40" t="s">
        <v>1</v>
      </c>
      <c r="AA215" s="28" t="str">
        <f t="shared" si="200"/>
        <v>An underpass that allows people, vehicles, or trains to move through natural or urban obstacles.</v>
      </c>
    </row>
    <row r="216" spans="1:27" ht="6.65" customHeight="1" x14ac:dyDescent="0.4">
      <c r="A216" s="77">
        <v>216</v>
      </c>
      <c r="B216" s="66" t="s">
        <v>2219</v>
      </c>
      <c r="C216" s="30" t="s">
        <v>1596</v>
      </c>
      <c r="D216" s="29" t="s">
        <v>1601</v>
      </c>
      <c r="E216" s="82" t="s">
        <v>1593</v>
      </c>
      <c r="F216" s="44" t="s">
        <v>270</v>
      </c>
      <c r="G216" s="83" t="s">
        <v>1</v>
      </c>
      <c r="H216" s="83" t="s">
        <v>1</v>
      </c>
      <c r="I216" s="83" t="s">
        <v>1</v>
      </c>
      <c r="J216" s="83" t="s">
        <v>1</v>
      </c>
      <c r="K216" s="83" t="s">
        <v>1</v>
      </c>
      <c r="L216" s="84" t="str">
        <f t="shared" ref="L216" si="220">_xlfn.CONCAT(C216)</f>
        <v>Infraestruturas</v>
      </c>
      <c r="M216" s="27" t="str">
        <f t="shared" ref="M216" si="221">CONCATENATE("", D216)</f>
        <v>Rodoviárias</v>
      </c>
      <c r="N216" s="27" t="str">
        <f t="shared" ref="N216" si="222">(SUBSTITUTE(SUBSTITUTE(CONCATENATE("",E216),"."," ")," De "," de "))</f>
        <v>Obras de Arte Especial</v>
      </c>
      <c r="O216" s="28" t="str">
        <f t="shared" ref="O216" si="223">F216</f>
        <v>Túnel.Acuático</v>
      </c>
      <c r="P216" s="43" t="s">
        <v>271</v>
      </c>
      <c r="Q216" s="84" t="s">
        <v>273</v>
      </c>
      <c r="R216" s="28" t="s">
        <v>1</v>
      </c>
      <c r="S216" s="28" t="str">
        <f t="shared" si="81"/>
        <v>Infraestruturas</v>
      </c>
      <c r="T216" s="28" t="str">
        <f t="shared" si="82"/>
        <v>Rodoviárias</v>
      </c>
      <c r="U216" s="28" t="str">
        <f t="shared" si="82"/>
        <v>Obras de Arte Especial</v>
      </c>
      <c r="V216" s="28" t="s">
        <v>2222</v>
      </c>
      <c r="W216" s="69" t="str">
        <f t="shared" si="181"/>
        <v>Key-INFRA-216</v>
      </c>
      <c r="X216" s="28" t="s">
        <v>2088</v>
      </c>
      <c r="Y216" s="28" t="s">
        <v>2134</v>
      </c>
      <c r="Z216" s="40" t="s">
        <v>1</v>
      </c>
      <c r="AA216" s="28" t="str">
        <f t="shared" si="200"/>
        <v>Subfluvial or maritime passage that allows the movement of people, vehicles or trains.</v>
      </c>
    </row>
    <row r="217" spans="1:27" ht="6.65" customHeight="1" x14ac:dyDescent="0.4">
      <c r="A217" s="77">
        <v>217</v>
      </c>
      <c r="B217" s="66" t="s">
        <v>2219</v>
      </c>
      <c r="C217" s="30" t="s">
        <v>1596</v>
      </c>
      <c r="D217" s="29" t="s">
        <v>1601</v>
      </c>
      <c r="E217" s="82" t="s">
        <v>1593</v>
      </c>
      <c r="F217" s="44" t="s">
        <v>1532</v>
      </c>
      <c r="G217" s="83" t="s">
        <v>1</v>
      </c>
      <c r="H217" s="83" t="s">
        <v>1</v>
      </c>
      <c r="I217" s="83" t="s">
        <v>1</v>
      </c>
      <c r="J217" s="83" t="s">
        <v>1</v>
      </c>
      <c r="K217" s="83" t="s">
        <v>1</v>
      </c>
      <c r="L217" s="84" t="str">
        <f t="shared" si="216"/>
        <v>Infraestruturas</v>
      </c>
      <c r="M217" s="27" t="str">
        <f t="shared" si="217"/>
        <v>Rodoviárias</v>
      </c>
      <c r="N217" s="27" t="str">
        <f t="shared" si="218"/>
        <v>Obras de Arte Especial</v>
      </c>
      <c r="O217" s="28" t="str">
        <f t="shared" si="219"/>
        <v>Edifício.Garagem</v>
      </c>
      <c r="P217" s="43" t="s">
        <v>115</v>
      </c>
      <c r="Q217" s="84" t="s">
        <v>236</v>
      </c>
      <c r="R217" s="28" t="s">
        <v>1</v>
      </c>
      <c r="S217" s="28" t="str">
        <f t="shared" si="81"/>
        <v>Infraestruturas</v>
      </c>
      <c r="T217" s="28" t="str">
        <f t="shared" si="82"/>
        <v>Rodoviárias</v>
      </c>
      <c r="U217" s="28" t="str">
        <f t="shared" si="82"/>
        <v>Obras de Arte Especial</v>
      </c>
      <c r="V217" s="28" t="s">
        <v>2222</v>
      </c>
      <c r="W217" s="69" t="str">
        <f t="shared" si="181"/>
        <v>Key-INFRA-217</v>
      </c>
      <c r="X217" s="28" t="s">
        <v>2088</v>
      </c>
      <c r="Y217" s="28" t="s">
        <v>2148</v>
      </c>
      <c r="Z217" s="40" t="s">
        <v>1</v>
      </c>
      <c r="AA217" s="28" t="str">
        <f t="shared" si="200"/>
        <v>Buildings with any floor, with several floors, with access ramps or elevators intended for the parking of light vehicles, for low-speed circulation.</v>
      </c>
    </row>
    <row r="218" spans="1:27" ht="6.65" customHeight="1" x14ac:dyDescent="0.4">
      <c r="A218" s="77">
        <v>218</v>
      </c>
      <c r="B218" s="66" t="s">
        <v>2219</v>
      </c>
      <c r="C218" s="30" t="s">
        <v>1596</v>
      </c>
      <c r="D218" s="29" t="s">
        <v>1601</v>
      </c>
      <c r="E218" s="82" t="s">
        <v>1615</v>
      </c>
      <c r="F218" s="29" t="s">
        <v>136</v>
      </c>
      <c r="G218" s="78" t="s">
        <v>1</v>
      </c>
      <c r="H218" s="78" t="s">
        <v>1</v>
      </c>
      <c r="I218" s="78" t="s">
        <v>1</v>
      </c>
      <c r="J218" s="78" t="s">
        <v>1</v>
      </c>
      <c r="K218" s="78" t="s">
        <v>1</v>
      </c>
      <c r="L218" s="27" t="str">
        <f t="shared" ref="L218:M238" si="224">CONCATENATE("", C218)</f>
        <v>Infraestruturas</v>
      </c>
      <c r="M218" s="27" t="str">
        <f t="shared" si="224"/>
        <v>Rodoviárias</v>
      </c>
      <c r="N218" s="27" t="str">
        <f t="shared" si="218"/>
        <v>OAE Partes</v>
      </c>
      <c r="O218" s="28" t="str">
        <f t="shared" si="219"/>
        <v>OAE.Aparelho.Apóio</v>
      </c>
      <c r="P218" s="28" t="s">
        <v>159</v>
      </c>
      <c r="Q218" s="84" t="s">
        <v>237</v>
      </c>
      <c r="R218" s="28" t="s">
        <v>1</v>
      </c>
      <c r="S218" s="28" t="str">
        <f t="shared" si="81"/>
        <v>Infraestruturas</v>
      </c>
      <c r="T218" s="28" t="str">
        <f t="shared" si="82"/>
        <v>Rodoviárias</v>
      </c>
      <c r="U218" s="28" t="str">
        <f t="shared" si="82"/>
        <v>OAE Partes</v>
      </c>
      <c r="V218" s="28" t="s">
        <v>2222</v>
      </c>
      <c r="W218" s="69" t="str">
        <f t="shared" si="181"/>
        <v>Key-INFRA-218</v>
      </c>
      <c r="X218" s="28" t="s">
        <v>2098</v>
      </c>
      <c r="Y218" s="28" t="s">
        <v>2149</v>
      </c>
      <c r="Z218" s="40" t="s">
        <v>1</v>
      </c>
      <c r="AA218" s="28" t="str">
        <f t="shared" si="200"/>
        <v>Part of a Special Work of Art: A type of structural element generally used to transmit the loads from the deck to the pylon.</v>
      </c>
    </row>
    <row r="219" spans="1:27" ht="6.65" customHeight="1" x14ac:dyDescent="0.4">
      <c r="A219" s="77">
        <v>219</v>
      </c>
      <c r="B219" s="66" t="s">
        <v>2219</v>
      </c>
      <c r="C219" s="30" t="s">
        <v>1596</v>
      </c>
      <c r="D219" s="29" t="s">
        <v>1601</v>
      </c>
      <c r="E219" s="82" t="s">
        <v>1615</v>
      </c>
      <c r="F219" s="29" t="s">
        <v>137</v>
      </c>
      <c r="G219" s="78" t="s">
        <v>1</v>
      </c>
      <c r="H219" s="78" t="s">
        <v>1</v>
      </c>
      <c r="I219" s="78" t="s">
        <v>1</v>
      </c>
      <c r="J219" s="78" t="s">
        <v>1</v>
      </c>
      <c r="K219" s="78" t="s">
        <v>1</v>
      </c>
      <c r="L219" s="27" t="str">
        <f t="shared" ref="L219" si="225">CONCATENATE("", C219)</f>
        <v>Infraestruturas</v>
      </c>
      <c r="M219" s="27" t="str">
        <f t="shared" ref="M219" si="226">CONCATENATE("", D219)</f>
        <v>Rodoviárias</v>
      </c>
      <c r="N219" s="27" t="str">
        <f t="shared" ref="N219" si="227">(SUBSTITUTE(SUBSTITUTE(CONCATENATE("",E219),"."," ")," De "," de "))</f>
        <v>OAE Partes</v>
      </c>
      <c r="O219" s="28" t="str">
        <f t="shared" ref="O219" si="228">F219</f>
        <v>OAE.Estaca</v>
      </c>
      <c r="P219" s="28" t="s">
        <v>160</v>
      </c>
      <c r="Q219" s="84" t="s">
        <v>238</v>
      </c>
      <c r="R219" s="28" t="s">
        <v>1</v>
      </c>
      <c r="S219" s="28" t="str">
        <f t="shared" si="81"/>
        <v>Infraestruturas</v>
      </c>
      <c r="T219" s="28" t="str">
        <f t="shared" si="82"/>
        <v>Rodoviárias</v>
      </c>
      <c r="U219" s="28" t="str">
        <f t="shared" si="82"/>
        <v>OAE Partes</v>
      </c>
      <c r="V219" s="28" t="s">
        <v>2222</v>
      </c>
      <c r="W219" s="69" t="str">
        <f t="shared" si="181"/>
        <v>Key-INFRA-219</v>
      </c>
      <c r="X219" s="28" t="s">
        <v>2099</v>
      </c>
      <c r="Y219" s="28" t="s">
        <v>2149</v>
      </c>
      <c r="Z219" s="40" t="s">
        <v>1</v>
      </c>
      <c r="AA219" s="28" t="str">
        <f t="shared" si="200"/>
        <v>Part of a Special Artwork: Bridge foundation piles.</v>
      </c>
    </row>
    <row r="220" spans="1:27" ht="6.65" customHeight="1" x14ac:dyDescent="0.4">
      <c r="A220" s="77">
        <v>220</v>
      </c>
      <c r="B220" s="66" t="s">
        <v>2219</v>
      </c>
      <c r="C220" s="30" t="s">
        <v>1596</v>
      </c>
      <c r="D220" s="29" t="s">
        <v>1601</v>
      </c>
      <c r="E220" s="82" t="s">
        <v>1615</v>
      </c>
      <c r="F220" s="29" t="s">
        <v>138</v>
      </c>
      <c r="G220" s="78" t="s">
        <v>1</v>
      </c>
      <c r="H220" s="78" t="s">
        <v>1</v>
      </c>
      <c r="I220" s="78" t="s">
        <v>1</v>
      </c>
      <c r="J220" s="78" t="s">
        <v>1</v>
      </c>
      <c r="K220" s="78" t="s">
        <v>1</v>
      </c>
      <c r="L220" s="27" t="str">
        <f t="shared" si="224"/>
        <v>Infraestruturas</v>
      </c>
      <c r="M220" s="27" t="str">
        <f t="shared" si="224"/>
        <v>Rodoviárias</v>
      </c>
      <c r="N220" s="27" t="str">
        <f t="shared" si="218"/>
        <v>OAE Partes</v>
      </c>
      <c r="O220" s="28" t="str">
        <f t="shared" si="219"/>
        <v>OAE.Fundação</v>
      </c>
      <c r="P220" s="28" t="s">
        <v>161</v>
      </c>
      <c r="Q220" s="84" t="s">
        <v>239</v>
      </c>
      <c r="R220" s="28" t="s">
        <v>1</v>
      </c>
      <c r="S220" s="28" t="str">
        <f t="shared" si="81"/>
        <v>Infraestruturas</v>
      </c>
      <c r="T220" s="28" t="str">
        <f t="shared" si="82"/>
        <v>Rodoviárias</v>
      </c>
      <c r="U220" s="28" t="str">
        <f t="shared" si="82"/>
        <v>OAE Partes</v>
      </c>
      <c r="V220" s="28" t="s">
        <v>2222</v>
      </c>
      <c r="W220" s="69" t="str">
        <f t="shared" si="181"/>
        <v>Key-INFRA-220</v>
      </c>
      <c r="X220" s="28" t="s">
        <v>2100</v>
      </c>
      <c r="Y220" s="28" t="s">
        <v>2149</v>
      </c>
      <c r="Z220" s="40" t="s">
        <v>1</v>
      </c>
      <c r="AA220" s="28" t="str">
        <f t="shared" si="200"/>
        <v>Part of a Special Artwork: Bridge Foundation Blocks.</v>
      </c>
    </row>
    <row r="221" spans="1:27" ht="6.65" customHeight="1" x14ac:dyDescent="0.4">
      <c r="A221" s="77">
        <v>221</v>
      </c>
      <c r="B221" s="66" t="s">
        <v>2219</v>
      </c>
      <c r="C221" s="30" t="s">
        <v>1596</v>
      </c>
      <c r="D221" s="29" t="s">
        <v>1601</v>
      </c>
      <c r="E221" s="82" t="s">
        <v>1615</v>
      </c>
      <c r="F221" s="29" t="s">
        <v>139</v>
      </c>
      <c r="G221" s="78" t="s">
        <v>1</v>
      </c>
      <c r="H221" s="78" t="s">
        <v>1</v>
      </c>
      <c r="I221" s="78" t="s">
        <v>1</v>
      </c>
      <c r="J221" s="78" t="s">
        <v>1</v>
      </c>
      <c r="K221" s="78" t="s">
        <v>1</v>
      </c>
      <c r="L221" s="27" t="str">
        <f t="shared" si="224"/>
        <v>Infraestruturas</v>
      </c>
      <c r="M221" s="27" t="str">
        <f t="shared" si="224"/>
        <v>Rodoviárias</v>
      </c>
      <c r="N221" s="27" t="str">
        <f t="shared" si="218"/>
        <v>OAE Partes</v>
      </c>
      <c r="O221" s="28" t="str">
        <f t="shared" si="219"/>
        <v>OAE.Encontro</v>
      </c>
      <c r="P221" s="28" t="s">
        <v>162</v>
      </c>
      <c r="Q221" s="84" t="s">
        <v>240</v>
      </c>
      <c r="R221" s="28" t="s">
        <v>1</v>
      </c>
      <c r="S221" s="28" t="str">
        <f t="shared" si="81"/>
        <v>Infraestruturas</v>
      </c>
      <c r="T221" s="28" t="str">
        <f t="shared" si="82"/>
        <v>Rodoviárias</v>
      </c>
      <c r="U221" s="28" t="str">
        <f t="shared" si="82"/>
        <v>OAE Partes</v>
      </c>
      <c r="V221" s="28" t="s">
        <v>2222</v>
      </c>
      <c r="W221" s="69" t="str">
        <f t="shared" si="181"/>
        <v>Key-INFRA-221</v>
      </c>
      <c r="X221" s="28" t="s">
        <v>2101</v>
      </c>
      <c r="Y221" s="28" t="s">
        <v>2149</v>
      </c>
      <c r="Z221" s="40" t="s">
        <v>1</v>
      </c>
      <c r="AA221" s="28" t="str">
        <f t="shared" si="200"/>
        <v>Part of a Special Work of Art: Structure where the road network meets the bridge heads.</v>
      </c>
    </row>
    <row r="222" spans="1:27" ht="6.65" customHeight="1" x14ac:dyDescent="0.4">
      <c r="A222" s="77">
        <v>222</v>
      </c>
      <c r="B222" s="66" t="s">
        <v>2219</v>
      </c>
      <c r="C222" s="30" t="s">
        <v>1596</v>
      </c>
      <c r="D222" s="29" t="s">
        <v>1601</v>
      </c>
      <c r="E222" s="82" t="s">
        <v>1615</v>
      </c>
      <c r="F222" s="29" t="s">
        <v>140</v>
      </c>
      <c r="G222" s="78" t="s">
        <v>1</v>
      </c>
      <c r="H222" s="78" t="s">
        <v>1</v>
      </c>
      <c r="I222" s="78" t="s">
        <v>1</v>
      </c>
      <c r="J222" s="78" t="s">
        <v>1</v>
      </c>
      <c r="K222" s="78" t="s">
        <v>1</v>
      </c>
      <c r="L222" s="27" t="str">
        <f t="shared" ref="L222:L224" si="229">CONCATENATE("", C222)</f>
        <v>Infraestruturas</v>
      </c>
      <c r="M222" s="27" t="str">
        <f t="shared" ref="M222:M224" si="230">CONCATENATE("", D222)</f>
        <v>Rodoviárias</v>
      </c>
      <c r="N222" s="27" t="str">
        <f t="shared" ref="N222:N224" si="231">(SUBSTITUTE(SUBSTITUTE(CONCATENATE("",E222),"."," ")," De "," de "))</f>
        <v>OAE Partes</v>
      </c>
      <c r="O222" s="28" t="str">
        <f t="shared" ref="O222:O224" si="232">F222</f>
        <v>OAE.Pilone</v>
      </c>
      <c r="P222" s="28" t="s">
        <v>163</v>
      </c>
      <c r="Q222" s="84" t="s">
        <v>241</v>
      </c>
      <c r="R222" s="28" t="s">
        <v>1</v>
      </c>
      <c r="S222" s="28" t="str">
        <f t="shared" si="81"/>
        <v>Infraestruturas</v>
      </c>
      <c r="T222" s="28" t="str">
        <f t="shared" si="82"/>
        <v>Rodoviárias</v>
      </c>
      <c r="U222" s="28" t="str">
        <f t="shared" si="82"/>
        <v>OAE Partes</v>
      </c>
      <c r="V222" s="28" t="s">
        <v>2222</v>
      </c>
      <c r="W222" s="69" t="str">
        <f t="shared" si="181"/>
        <v>Key-INFRA-222</v>
      </c>
      <c r="X222" s="28" t="s">
        <v>2102</v>
      </c>
      <c r="Y222" s="28" t="s">
        <v>2149</v>
      </c>
      <c r="Z222" s="40" t="s">
        <v>1</v>
      </c>
      <c r="AA222" s="28" t="str">
        <f t="shared" si="200"/>
        <v>Part of a Special Work of Art: Pillars supporting the deck also called Pier.</v>
      </c>
    </row>
    <row r="223" spans="1:27" ht="6.65" customHeight="1" x14ac:dyDescent="0.4">
      <c r="A223" s="77">
        <v>223</v>
      </c>
      <c r="B223" s="66" t="s">
        <v>2219</v>
      </c>
      <c r="C223" s="30" t="s">
        <v>1596</v>
      </c>
      <c r="D223" s="29" t="s">
        <v>1601</v>
      </c>
      <c r="E223" s="82" t="s">
        <v>1615</v>
      </c>
      <c r="F223" s="29" t="s">
        <v>141</v>
      </c>
      <c r="G223" s="78" t="s">
        <v>1</v>
      </c>
      <c r="H223" s="78" t="s">
        <v>1</v>
      </c>
      <c r="I223" s="78" t="s">
        <v>1</v>
      </c>
      <c r="J223" s="78" t="s">
        <v>1</v>
      </c>
      <c r="K223" s="78" t="s">
        <v>1</v>
      </c>
      <c r="L223" s="27" t="str">
        <f t="shared" ref="L223" si="233">CONCATENATE("", C223)</f>
        <v>Infraestruturas</v>
      </c>
      <c r="M223" s="27" t="str">
        <f t="shared" ref="M223" si="234">CONCATENATE("", D223)</f>
        <v>Rodoviárias</v>
      </c>
      <c r="N223" s="27" t="str">
        <f t="shared" ref="N223" si="235">(SUBSTITUTE(SUBSTITUTE(CONCATENATE("",E223),"."," ")," De "," de "))</f>
        <v>OAE Partes</v>
      </c>
      <c r="O223" s="28" t="str">
        <f t="shared" ref="O223" si="236">F223</f>
        <v>OAE.Arco</v>
      </c>
      <c r="P223" s="28" t="s">
        <v>164</v>
      </c>
      <c r="Q223" s="84" t="s">
        <v>242</v>
      </c>
      <c r="R223" s="28" t="s">
        <v>1</v>
      </c>
      <c r="S223" s="28" t="str">
        <f t="shared" si="81"/>
        <v>Infraestruturas</v>
      </c>
      <c r="T223" s="28" t="str">
        <f t="shared" si="82"/>
        <v>Rodoviárias</v>
      </c>
      <c r="U223" s="28" t="str">
        <f t="shared" si="82"/>
        <v>OAE Partes</v>
      </c>
      <c r="V223" s="28" t="s">
        <v>2222</v>
      </c>
      <c r="W223" s="69" t="str">
        <f t="shared" si="181"/>
        <v>Key-INFRA-223</v>
      </c>
      <c r="X223" s="28" t="s">
        <v>2103</v>
      </c>
      <c r="Y223" s="28" t="s">
        <v>2149</v>
      </c>
      <c r="Z223" s="40" t="s">
        <v>1</v>
      </c>
      <c r="AA223" s="28" t="str">
        <f t="shared" si="200"/>
        <v>Part of a Special Work of Art: Arched concrete structure to support the bridge.</v>
      </c>
    </row>
    <row r="224" spans="1:27" ht="6.65" customHeight="1" x14ac:dyDescent="0.4">
      <c r="A224" s="77">
        <v>224</v>
      </c>
      <c r="B224" s="66" t="s">
        <v>2219</v>
      </c>
      <c r="C224" s="30" t="s">
        <v>1596</v>
      </c>
      <c r="D224" s="29" t="s">
        <v>1601</v>
      </c>
      <c r="E224" s="82" t="s">
        <v>1615</v>
      </c>
      <c r="F224" s="29" t="s">
        <v>142</v>
      </c>
      <c r="G224" s="78" t="s">
        <v>1</v>
      </c>
      <c r="H224" s="78" t="s">
        <v>1</v>
      </c>
      <c r="I224" s="78" t="s">
        <v>1</v>
      </c>
      <c r="J224" s="78" t="s">
        <v>1</v>
      </c>
      <c r="K224" s="78" t="s">
        <v>1</v>
      </c>
      <c r="L224" s="27" t="str">
        <f t="shared" si="229"/>
        <v>Infraestruturas</v>
      </c>
      <c r="M224" s="27" t="str">
        <f t="shared" si="230"/>
        <v>Rodoviárias</v>
      </c>
      <c r="N224" s="27" t="str">
        <f t="shared" si="231"/>
        <v>OAE Partes</v>
      </c>
      <c r="O224" s="28" t="str">
        <f t="shared" si="232"/>
        <v>OAE.Torre</v>
      </c>
      <c r="P224" s="28" t="s">
        <v>165</v>
      </c>
      <c r="Q224" s="84" t="s">
        <v>243</v>
      </c>
      <c r="R224" s="28" t="s">
        <v>1</v>
      </c>
      <c r="S224" s="28" t="str">
        <f t="shared" si="81"/>
        <v>Infraestruturas</v>
      </c>
      <c r="T224" s="28" t="str">
        <f t="shared" si="82"/>
        <v>Rodoviárias</v>
      </c>
      <c r="U224" s="28" t="str">
        <f t="shared" si="82"/>
        <v>OAE Partes</v>
      </c>
      <c r="V224" s="28" t="s">
        <v>2222</v>
      </c>
      <c r="W224" s="69" t="str">
        <f t="shared" si="181"/>
        <v>Key-INFRA-224</v>
      </c>
      <c r="X224" s="28" t="s">
        <v>2104</v>
      </c>
      <c r="Y224" s="28" t="s">
        <v>2149</v>
      </c>
      <c r="Z224" s="40" t="s">
        <v>1</v>
      </c>
      <c r="AA224" s="28" t="str">
        <f t="shared" si="200"/>
        <v>Part of a Special Work of Art: Vertical concrete structure above the deck to support the bridge cables.</v>
      </c>
    </row>
    <row r="225" spans="1:27" ht="6.65" customHeight="1" x14ac:dyDescent="0.4">
      <c r="A225" s="77">
        <v>225</v>
      </c>
      <c r="B225" s="66" t="s">
        <v>2219</v>
      </c>
      <c r="C225" s="30" t="s">
        <v>1596</v>
      </c>
      <c r="D225" s="29" t="s">
        <v>1601</v>
      </c>
      <c r="E225" s="82" t="s">
        <v>1615</v>
      </c>
      <c r="F225" s="29" t="s">
        <v>143</v>
      </c>
      <c r="G225" s="78" t="s">
        <v>1</v>
      </c>
      <c r="H225" s="78" t="s">
        <v>1</v>
      </c>
      <c r="I225" s="78" t="s">
        <v>1</v>
      </c>
      <c r="J225" s="78" t="s">
        <v>1</v>
      </c>
      <c r="K225" s="78" t="s">
        <v>1</v>
      </c>
      <c r="L225" s="27" t="str">
        <f t="shared" si="224"/>
        <v>Infraestruturas</v>
      </c>
      <c r="M225" s="27" t="str">
        <f t="shared" si="224"/>
        <v>Rodoviárias</v>
      </c>
      <c r="N225" s="27" t="str">
        <f t="shared" si="218"/>
        <v>OAE Partes</v>
      </c>
      <c r="O225" s="28" t="str">
        <f t="shared" si="219"/>
        <v>OAE.Mastro</v>
      </c>
      <c r="P225" s="28" t="s">
        <v>166</v>
      </c>
      <c r="Q225" s="84" t="s">
        <v>244</v>
      </c>
      <c r="R225" s="28" t="s">
        <v>1</v>
      </c>
      <c r="S225" s="28" t="str">
        <f t="shared" si="81"/>
        <v>Infraestruturas</v>
      </c>
      <c r="T225" s="28" t="str">
        <f t="shared" si="82"/>
        <v>Rodoviárias</v>
      </c>
      <c r="U225" s="28" t="str">
        <f t="shared" si="82"/>
        <v>OAE Partes</v>
      </c>
      <c r="V225" s="28" t="s">
        <v>2222</v>
      </c>
      <c r="W225" s="69" t="str">
        <f t="shared" si="181"/>
        <v>Key-INFRA-225</v>
      </c>
      <c r="X225" s="28" t="s">
        <v>2104</v>
      </c>
      <c r="Y225" s="28" t="s">
        <v>2149</v>
      </c>
      <c r="Z225" s="40" t="s">
        <v>1</v>
      </c>
      <c r="AA225" s="28" t="str">
        <f t="shared" si="200"/>
        <v>Part of a Special Work of Art: Vertical metallic structure above the deck to support the bridge cables.</v>
      </c>
    </row>
    <row r="226" spans="1:27" ht="6.65" customHeight="1" x14ac:dyDescent="0.4">
      <c r="A226" s="77">
        <v>226</v>
      </c>
      <c r="B226" s="66" t="s">
        <v>2219</v>
      </c>
      <c r="C226" s="30" t="s">
        <v>1596</v>
      </c>
      <c r="D226" s="29" t="s">
        <v>1601</v>
      </c>
      <c r="E226" s="82" t="s">
        <v>1615</v>
      </c>
      <c r="F226" s="29" t="s">
        <v>144</v>
      </c>
      <c r="G226" s="78" t="s">
        <v>1</v>
      </c>
      <c r="H226" s="78" t="s">
        <v>1</v>
      </c>
      <c r="I226" s="78" t="s">
        <v>1</v>
      </c>
      <c r="J226" s="78" t="s">
        <v>1</v>
      </c>
      <c r="K226" s="78" t="s">
        <v>1</v>
      </c>
      <c r="L226" s="27" t="str">
        <f t="shared" ref="L226" si="237">CONCATENATE("", C226)</f>
        <v>Infraestruturas</v>
      </c>
      <c r="M226" s="27" t="str">
        <f t="shared" ref="M226" si="238">CONCATENATE("", D226)</f>
        <v>Rodoviárias</v>
      </c>
      <c r="N226" s="27" t="str">
        <f t="shared" ref="N226" si="239">(SUBSTITUTE(SUBSTITUTE(CONCATENATE("",E226),"."," ")," De "," de "))</f>
        <v>OAE Partes</v>
      </c>
      <c r="O226" s="28" t="str">
        <f t="shared" ref="O226" si="240">F226</f>
        <v>OAE.Tabuleiro</v>
      </c>
      <c r="P226" s="28" t="s">
        <v>167</v>
      </c>
      <c r="Q226" s="84" t="s">
        <v>245</v>
      </c>
      <c r="R226" s="28" t="s">
        <v>1</v>
      </c>
      <c r="S226" s="28" t="str">
        <f t="shared" si="81"/>
        <v>Infraestruturas</v>
      </c>
      <c r="T226" s="28" t="str">
        <f t="shared" si="82"/>
        <v>Rodoviárias</v>
      </c>
      <c r="U226" s="28" t="str">
        <f t="shared" si="82"/>
        <v>OAE Partes</v>
      </c>
      <c r="V226" s="28" t="s">
        <v>2222</v>
      </c>
      <c r="W226" s="69" t="str">
        <f t="shared" si="181"/>
        <v>Key-INFRA-226</v>
      </c>
      <c r="X226" s="28" t="s">
        <v>2105</v>
      </c>
      <c r="Y226" s="28" t="s">
        <v>2149</v>
      </c>
      <c r="Z226" s="40" t="s">
        <v>1</v>
      </c>
      <c r="AA226" s="28" t="str">
        <f t="shared" si="200"/>
        <v>Part of a Special Artwork: Segments of the bridge deck. The segments can be separated by construction or expansion joints.</v>
      </c>
    </row>
    <row r="227" spans="1:27" ht="6.65" customHeight="1" x14ac:dyDescent="0.4">
      <c r="A227" s="77">
        <v>227</v>
      </c>
      <c r="B227" s="66" t="s">
        <v>2219</v>
      </c>
      <c r="C227" s="30" t="s">
        <v>1596</v>
      </c>
      <c r="D227" s="29" t="s">
        <v>1601</v>
      </c>
      <c r="E227" s="82" t="s">
        <v>1615</v>
      </c>
      <c r="F227" s="29" t="s">
        <v>145</v>
      </c>
      <c r="G227" s="78" t="s">
        <v>1</v>
      </c>
      <c r="H227" s="78" t="s">
        <v>1</v>
      </c>
      <c r="I227" s="78" t="s">
        <v>1</v>
      </c>
      <c r="J227" s="78" t="s">
        <v>1</v>
      </c>
      <c r="K227" s="78" t="s">
        <v>1</v>
      </c>
      <c r="L227" s="27" t="str">
        <f t="shared" ref="L227:L230" si="241">CONCATENATE("", C227)</f>
        <v>Infraestruturas</v>
      </c>
      <c r="M227" s="27" t="str">
        <f t="shared" ref="M227:M230" si="242">CONCATENATE("", D227)</f>
        <v>Rodoviárias</v>
      </c>
      <c r="N227" s="27" t="str">
        <f t="shared" ref="N227:N230" si="243">(SUBSTITUTE(SUBSTITUTE(CONCATENATE("",E227),"."," ")," De "," de "))</f>
        <v>OAE Partes</v>
      </c>
      <c r="O227" s="28" t="str">
        <f t="shared" ref="O227:O230" si="244">F227</f>
        <v>OAE.Estai</v>
      </c>
      <c r="P227" s="28" t="s">
        <v>168</v>
      </c>
      <c r="Q227" s="84" t="s">
        <v>246</v>
      </c>
      <c r="R227" s="28" t="s">
        <v>1</v>
      </c>
      <c r="S227" s="28" t="str">
        <f t="shared" si="81"/>
        <v>Infraestruturas</v>
      </c>
      <c r="T227" s="28" t="str">
        <f t="shared" si="82"/>
        <v>Rodoviárias</v>
      </c>
      <c r="U227" s="28" t="str">
        <f t="shared" si="82"/>
        <v>OAE Partes</v>
      </c>
      <c r="V227" s="28" t="s">
        <v>2222</v>
      </c>
      <c r="W227" s="69" t="str">
        <f t="shared" si="181"/>
        <v>Key-INFRA-227</v>
      </c>
      <c r="X227" s="28" t="s">
        <v>2106</v>
      </c>
      <c r="Y227" s="28" t="s">
        <v>2149</v>
      </c>
      <c r="Z227" s="40" t="s">
        <v>1</v>
      </c>
      <c r="AA227" s="28" t="str">
        <f t="shared" si="200"/>
        <v>Part of a Special Work of Art: Support cables of a cable-stayed bridge.</v>
      </c>
    </row>
    <row r="228" spans="1:27" ht="6.65" customHeight="1" x14ac:dyDescent="0.4">
      <c r="A228" s="77">
        <v>228</v>
      </c>
      <c r="B228" s="66" t="s">
        <v>2219</v>
      </c>
      <c r="C228" s="30" t="s">
        <v>1596</v>
      </c>
      <c r="D228" s="29" t="s">
        <v>1601</v>
      </c>
      <c r="E228" s="82" t="s">
        <v>1615</v>
      </c>
      <c r="F228" s="29" t="s">
        <v>146</v>
      </c>
      <c r="G228" s="78" t="s">
        <v>1</v>
      </c>
      <c r="H228" s="78" t="s">
        <v>1</v>
      </c>
      <c r="I228" s="78" t="s">
        <v>1</v>
      </c>
      <c r="J228" s="78" t="s">
        <v>1</v>
      </c>
      <c r="K228" s="78" t="s">
        <v>1</v>
      </c>
      <c r="L228" s="27" t="str">
        <f t="shared" ref="L228" si="245">CONCATENATE("", C228)</f>
        <v>Infraestruturas</v>
      </c>
      <c r="M228" s="27" t="str">
        <f t="shared" ref="M228" si="246">CONCATENATE("", D228)</f>
        <v>Rodoviárias</v>
      </c>
      <c r="N228" s="27" t="str">
        <f t="shared" ref="N228" si="247">(SUBSTITUTE(SUBSTITUTE(CONCATENATE("",E228),"."," ")," De "," de "))</f>
        <v>OAE Partes</v>
      </c>
      <c r="O228" s="28" t="str">
        <f t="shared" ref="O228" si="248">F228</f>
        <v>OAE.Longarina.de.Bordo</v>
      </c>
      <c r="P228" s="28" t="s">
        <v>169</v>
      </c>
      <c r="Q228" s="84" t="s">
        <v>247</v>
      </c>
      <c r="R228" s="28" t="s">
        <v>1</v>
      </c>
      <c r="S228" s="28" t="str">
        <f t="shared" si="81"/>
        <v>Infraestruturas</v>
      </c>
      <c r="T228" s="28" t="str">
        <f t="shared" si="82"/>
        <v>Rodoviárias</v>
      </c>
      <c r="U228" s="28" t="str">
        <f t="shared" si="82"/>
        <v>OAE Partes</v>
      </c>
      <c r="V228" s="28" t="s">
        <v>2222</v>
      </c>
      <c r="W228" s="69" t="str">
        <f t="shared" si="181"/>
        <v>Key-INFRA-228</v>
      </c>
      <c r="X228" s="28" t="s">
        <v>2107</v>
      </c>
      <c r="Y228" s="28" t="s">
        <v>2149</v>
      </c>
      <c r="Z228" s="40" t="s">
        <v>1</v>
      </c>
      <c r="AA228" s="28" t="str">
        <f t="shared" si="200"/>
        <v>Part of a Special Work of Art: Main beams in the longitudinal direction at the edge of the bridge.</v>
      </c>
    </row>
    <row r="229" spans="1:27" ht="6.65" customHeight="1" x14ac:dyDescent="0.4">
      <c r="A229" s="77">
        <v>229</v>
      </c>
      <c r="B229" s="66" t="s">
        <v>2219</v>
      </c>
      <c r="C229" s="30" t="s">
        <v>1596</v>
      </c>
      <c r="D229" s="29" t="s">
        <v>1601</v>
      </c>
      <c r="E229" s="82" t="s">
        <v>1615</v>
      </c>
      <c r="F229" s="29" t="s">
        <v>147</v>
      </c>
      <c r="G229" s="78" t="s">
        <v>1</v>
      </c>
      <c r="H229" s="78" t="s">
        <v>1</v>
      </c>
      <c r="I229" s="78" t="s">
        <v>1</v>
      </c>
      <c r="J229" s="78" t="s">
        <v>1</v>
      </c>
      <c r="K229" s="78" t="s">
        <v>1</v>
      </c>
      <c r="L229" s="27" t="str">
        <f t="shared" si="241"/>
        <v>Infraestruturas</v>
      </c>
      <c r="M229" s="27" t="str">
        <f t="shared" si="242"/>
        <v>Rodoviárias</v>
      </c>
      <c r="N229" s="27" t="str">
        <f t="shared" si="243"/>
        <v>OAE Partes</v>
      </c>
      <c r="O229" s="28" t="str">
        <f t="shared" si="244"/>
        <v>OAE.Longarina.Interna</v>
      </c>
      <c r="P229" s="28" t="s">
        <v>170</v>
      </c>
      <c r="Q229" s="84" t="s">
        <v>248</v>
      </c>
      <c r="R229" s="28" t="s">
        <v>1</v>
      </c>
      <c r="S229" s="28" t="str">
        <f t="shared" si="81"/>
        <v>Infraestruturas</v>
      </c>
      <c r="T229" s="28" t="str">
        <f t="shared" si="82"/>
        <v>Rodoviárias</v>
      </c>
      <c r="U229" s="28" t="str">
        <f t="shared" si="82"/>
        <v>OAE Partes</v>
      </c>
      <c r="V229" s="28" t="s">
        <v>2222</v>
      </c>
      <c r="W229" s="69" t="str">
        <f t="shared" si="181"/>
        <v>Key-INFRA-229</v>
      </c>
      <c r="X229" s="28" t="s">
        <v>2107</v>
      </c>
      <c r="Y229" s="28" t="s">
        <v>2149</v>
      </c>
      <c r="Z229" s="40" t="s">
        <v>1</v>
      </c>
      <c r="AA229" s="28" t="str">
        <f t="shared" si="200"/>
        <v>Part of a Special Work of Art: Main beams in the longitudinal direction inside the bridge.</v>
      </c>
    </row>
    <row r="230" spans="1:27" ht="6.65" customHeight="1" x14ac:dyDescent="0.4">
      <c r="A230" s="77">
        <v>230</v>
      </c>
      <c r="B230" s="66" t="s">
        <v>2219</v>
      </c>
      <c r="C230" s="30" t="s">
        <v>1596</v>
      </c>
      <c r="D230" s="29" t="s">
        <v>1601</v>
      </c>
      <c r="E230" s="82" t="s">
        <v>1615</v>
      </c>
      <c r="F230" s="29" t="s">
        <v>148</v>
      </c>
      <c r="G230" s="78" t="s">
        <v>1</v>
      </c>
      <c r="H230" s="78" t="s">
        <v>1</v>
      </c>
      <c r="I230" s="78" t="s">
        <v>1</v>
      </c>
      <c r="J230" s="78" t="s">
        <v>1</v>
      </c>
      <c r="K230" s="78" t="s">
        <v>1</v>
      </c>
      <c r="L230" s="27" t="str">
        <f t="shared" si="241"/>
        <v>Infraestruturas</v>
      </c>
      <c r="M230" s="27" t="str">
        <f t="shared" si="242"/>
        <v>Rodoviárias</v>
      </c>
      <c r="N230" s="27" t="str">
        <f t="shared" si="243"/>
        <v>OAE Partes</v>
      </c>
      <c r="O230" s="28" t="str">
        <f t="shared" si="244"/>
        <v>OAE.Transversina</v>
      </c>
      <c r="P230" s="28" t="s">
        <v>171</v>
      </c>
      <c r="Q230" s="84" t="s">
        <v>249</v>
      </c>
      <c r="R230" s="28" t="s">
        <v>1</v>
      </c>
      <c r="S230" s="28" t="str">
        <f t="shared" ref="S230:S296" si="249">SUBSTITUTE(C230, ".", " ")</f>
        <v>Infraestruturas</v>
      </c>
      <c r="T230" s="28" t="str">
        <f t="shared" ref="T230:U296" si="250">SUBSTITUTE(D230, ".", " ")</f>
        <v>Rodoviárias</v>
      </c>
      <c r="U230" s="28" t="str">
        <f t="shared" si="250"/>
        <v>OAE Partes</v>
      </c>
      <c r="V230" s="28" t="s">
        <v>2222</v>
      </c>
      <c r="W230" s="69" t="str">
        <f t="shared" si="181"/>
        <v>Key-INFRA-230</v>
      </c>
      <c r="X230" s="28" t="s">
        <v>2108</v>
      </c>
      <c r="Y230" s="28" t="s">
        <v>2149</v>
      </c>
      <c r="Z230" s="40" t="s">
        <v>1</v>
      </c>
      <c r="AA230" s="28" t="str">
        <f t="shared" si="200"/>
        <v>Part of a Special Work of Art: Beams in the transverse direction of the bridge.</v>
      </c>
    </row>
    <row r="231" spans="1:27" ht="6.65" customHeight="1" x14ac:dyDescent="0.4">
      <c r="A231" s="77">
        <v>231</v>
      </c>
      <c r="B231" s="66" t="s">
        <v>2219</v>
      </c>
      <c r="C231" s="30" t="s">
        <v>1596</v>
      </c>
      <c r="D231" s="29" t="s">
        <v>1601</v>
      </c>
      <c r="E231" s="82" t="s">
        <v>1615</v>
      </c>
      <c r="F231" s="29" t="s">
        <v>149</v>
      </c>
      <c r="G231" s="78" t="s">
        <v>1</v>
      </c>
      <c r="H231" s="78" t="s">
        <v>1</v>
      </c>
      <c r="I231" s="78" t="s">
        <v>1</v>
      </c>
      <c r="J231" s="78" t="s">
        <v>1</v>
      </c>
      <c r="K231" s="78" t="s">
        <v>1</v>
      </c>
      <c r="L231" s="27" t="str">
        <f t="shared" si="224"/>
        <v>Infraestruturas</v>
      </c>
      <c r="M231" s="27" t="str">
        <f t="shared" si="224"/>
        <v>Rodoviárias</v>
      </c>
      <c r="N231" s="27" t="str">
        <f t="shared" si="218"/>
        <v>OAE Partes</v>
      </c>
      <c r="O231" s="28" t="str">
        <f t="shared" si="219"/>
        <v>OAE.Contraventamento</v>
      </c>
      <c r="P231" s="28" t="s">
        <v>172</v>
      </c>
      <c r="Q231" s="84" t="s">
        <v>250</v>
      </c>
      <c r="R231" s="28" t="s">
        <v>1</v>
      </c>
      <c r="S231" s="28" t="str">
        <f t="shared" si="249"/>
        <v>Infraestruturas</v>
      </c>
      <c r="T231" s="28" t="str">
        <f t="shared" si="250"/>
        <v>Rodoviárias</v>
      </c>
      <c r="U231" s="28" t="str">
        <f t="shared" si="250"/>
        <v>OAE Partes</v>
      </c>
      <c r="V231" s="28" t="s">
        <v>2222</v>
      </c>
      <c r="W231" s="69" t="str">
        <f t="shared" si="181"/>
        <v>Key-INFRA-231</v>
      </c>
      <c r="X231" s="28" t="s">
        <v>2109</v>
      </c>
      <c r="Y231" s="28" t="s">
        <v>2149</v>
      </c>
      <c r="Z231" s="40" t="s">
        <v>1</v>
      </c>
      <c r="AA231" s="28" t="str">
        <f t="shared" si="200"/>
        <v>Part of a Special Artwork: Bracing of the bridge.</v>
      </c>
    </row>
    <row r="232" spans="1:27" ht="6.65" customHeight="1" x14ac:dyDescent="0.4">
      <c r="A232" s="77">
        <v>232</v>
      </c>
      <c r="B232" s="66" t="s">
        <v>2219</v>
      </c>
      <c r="C232" s="30" t="s">
        <v>1596</v>
      </c>
      <c r="D232" s="29" t="s">
        <v>1601</v>
      </c>
      <c r="E232" s="82" t="s">
        <v>1615</v>
      </c>
      <c r="F232" s="29" t="s">
        <v>150</v>
      </c>
      <c r="G232" s="78" t="s">
        <v>1</v>
      </c>
      <c r="H232" s="78" t="s">
        <v>1</v>
      </c>
      <c r="I232" s="78" t="s">
        <v>1</v>
      </c>
      <c r="J232" s="78" t="s">
        <v>1</v>
      </c>
      <c r="K232" s="78" t="s">
        <v>1</v>
      </c>
      <c r="L232" s="27" t="str">
        <f t="shared" si="224"/>
        <v>Infraestruturas</v>
      </c>
      <c r="M232" s="27" t="str">
        <f t="shared" si="224"/>
        <v>Rodoviárias</v>
      </c>
      <c r="N232" s="27" t="str">
        <f t="shared" si="218"/>
        <v>OAE Partes</v>
      </c>
      <c r="O232" s="28" t="str">
        <f t="shared" si="219"/>
        <v>OAE.Diafragma</v>
      </c>
      <c r="P232" s="28" t="s">
        <v>173</v>
      </c>
      <c r="Q232" s="84" t="s">
        <v>251</v>
      </c>
      <c r="R232" s="28" t="s">
        <v>1</v>
      </c>
      <c r="S232" s="28" t="str">
        <f t="shared" si="249"/>
        <v>Infraestruturas</v>
      </c>
      <c r="T232" s="28" t="str">
        <f t="shared" si="250"/>
        <v>Rodoviárias</v>
      </c>
      <c r="U232" s="28" t="str">
        <f t="shared" si="250"/>
        <v>OAE Partes</v>
      </c>
      <c r="V232" s="28" t="s">
        <v>2222</v>
      </c>
      <c r="W232" s="69" t="str">
        <f t="shared" si="181"/>
        <v>Key-INFRA-232</v>
      </c>
      <c r="X232" s="28" t="s">
        <v>2110</v>
      </c>
      <c r="Y232" s="28" t="s">
        <v>2149</v>
      </c>
      <c r="Z232" s="40" t="s">
        <v>1</v>
      </c>
      <c r="AA232" s="28" t="str">
        <f t="shared" si="200"/>
        <v>Part of a Special Work of Art: Walls in the transverse direction of the bridge.</v>
      </c>
    </row>
    <row r="233" spans="1:27" ht="6.65" customHeight="1" x14ac:dyDescent="0.4">
      <c r="A233" s="77">
        <v>233</v>
      </c>
      <c r="B233" s="66" t="s">
        <v>2219</v>
      </c>
      <c r="C233" s="30" t="s">
        <v>1596</v>
      </c>
      <c r="D233" s="29" t="s">
        <v>1601</v>
      </c>
      <c r="E233" s="82" t="s">
        <v>1615</v>
      </c>
      <c r="F233" s="29" t="s">
        <v>151</v>
      </c>
      <c r="G233" s="78" t="s">
        <v>1</v>
      </c>
      <c r="H233" s="78" t="s">
        <v>1</v>
      </c>
      <c r="I233" s="78" t="s">
        <v>1</v>
      </c>
      <c r="J233" s="78" t="s">
        <v>1</v>
      </c>
      <c r="K233" s="78" t="s">
        <v>1</v>
      </c>
      <c r="L233" s="27" t="str">
        <f t="shared" si="224"/>
        <v>Infraestruturas</v>
      </c>
      <c r="M233" s="27" t="str">
        <f t="shared" si="224"/>
        <v>Rodoviárias</v>
      </c>
      <c r="N233" s="27" t="str">
        <f t="shared" si="218"/>
        <v>OAE Partes</v>
      </c>
      <c r="O233" s="28" t="str">
        <f t="shared" si="219"/>
        <v>OAE.Treliça</v>
      </c>
      <c r="P233" s="28" t="s">
        <v>1810</v>
      </c>
      <c r="Q233" s="84" t="s">
        <v>252</v>
      </c>
      <c r="R233" s="28" t="s">
        <v>1</v>
      </c>
      <c r="S233" s="28" t="str">
        <f t="shared" si="249"/>
        <v>Infraestruturas</v>
      </c>
      <c r="T233" s="28" t="str">
        <f t="shared" si="250"/>
        <v>Rodoviárias</v>
      </c>
      <c r="U233" s="28" t="str">
        <f t="shared" si="250"/>
        <v>OAE Partes</v>
      </c>
      <c r="V233" s="28" t="s">
        <v>2222</v>
      </c>
      <c r="W233" s="69" t="str">
        <f t="shared" si="181"/>
        <v>Key-INFRA-233</v>
      </c>
      <c r="X233" s="28" t="s">
        <v>2111</v>
      </c>
      <c r="Y233" s="28" t="s">
        <v>2149</v>
      </c>
      <c r="Z233" s="40" t="s">
        <v>1</v>
      </c>
      <c r="AA233" s="28" t="str">
        <f t="shared" si="200"/>
        <v>Part of a Special Artwork: Bridge trusses.</v>
      </c>
    </row>
    <row r="234" spans="1:27" ht="6.65" customHeight="1" x14ac:dyDescent="0.4">
      <c r="A234" s="77">
        <v>234</v>
      </c>
      <c r="B234" s="66" t="s">
        <v>2219</v>
      </c>
      <c r="C234" s="30" t="s">
        <v>1596</v>
      </c>
      <c r="D234" s="29" t="s">
        <v>1601</v>
      </c>
      <c r="E234" s="82" t="s">
        <v>1615</v>
      </c>
      <c r="F234" s="29" t="s">
        <v>152</v>
      </c>
      <c r="G234" s="78" t="s">
        <v>1</v>
      </c>
      <c r="H234" s="78" t="s">
        <v>1</v>
      </c>
      <c r="I234" s="78" t="s">
        <v>1</v>
      </c>
      <c r="J234" s="78" t="s">
        <v>1</v>
      </c>
      <c r="K234" s="78" t="s">
        <v>1</v>
      </c>
      <c r="L234" s="27" t="str">
        <f t="shared" si="224"/>
        <v>Infraestruturas</v>
      </c>
      <c r="M234" s="27" t="str">
        <f t="shared" si="224"/>
        <v>Rodoviárias</v>
      </c>
      <c r="N234" s="27" t="str">
        <f t="shared" si="218"/>
        <v>OAE Partes</v>
      </c>
      <c r="O234" s="28" t="str">
        <f t="shared" si="219"/>
        <v>OAE.Defesa</v>
      </c>
      <c r="P234" s="28" t="s">
        <v>174</v>
      </c>
      <c r="Q234" s="84" t="s">
        <v>253</v>
      </c>
      <c r="R234" s="28" t="s">
        <v>1</v>
      </c>
      <c r="S234" s="28" t="str">
        <f t="shared" si="249"/>
        <v>Infraestruturas</v>
      </c>
      <c r="T234" s="28" t="str">
        <f t="shared" si="250"/>
        <v>Rodoviárias</v>
      </c>
      <c r="U234" s="28" t="str">
        <f t="shared" si="250"/>
        <v>OAE Partes</v>
      </c>
      <c r="V234" s="28" t="s">
        <v>2222</v>
      </c>
      <c r="W234" s="69" t="str">
        <f t="shared" si="181"/>
        <v>Key-INFRA-234</v>
      </c>
      <c r="X234" s="28" t="s">
        <v>2110</v>
      </c>
      <c r="Y234" s="28" t="s">
        <v>2145</v>
      </c>
      <c r="Z234" s="40" t="s">
        <v>1</v>
      </c>
      <c r="AA234" s="28" t="str">
        <f t="shared" si="200"/>
        <v>Part of a Special Work of Art: Element of structural defense of the work of Special Art.</v>
      </c>
    </row>
    <row r="235" spans="1:27" ht="6.65" customHeight="1" x14ac:dyDescent="0.4">
      <c r="A235" s="77">
        <v>235</v>
      </c>
      <c r="B235" s="66" t="s">
        <v>2219</v>
      </c>
      <c r="C235" s="30" t="s">
        <v>1596</v>
      </c>
      <c r="D235" s="29" t="s">
        <v>1601</v>
      </c>
      <c r="E235" s="82" t="s">
        <v>1615</v>
      </c>
      <c r="F235" s="29" t="s">
        <v>153</v>
      </c>
      <c r="G235" s="78" t="s">
        <v>1</v>
      </c>
      <c r="H235" s="78" t="s">
        <v>1</v>
      </c>
      <c r="I235" s="78" t="s">
        <v>1</v>
      </c>
      <c r="J235" s="78" t="s">
        <v>1</v>
      </c>
      <c r="K235" s="78" t="s">
        <v>1</v>
      </c>
      <c r="L235" s="27" t="str">
        <f t="shared" si="224"/>
        <v>Infraestruturas</v>
      </c>
      <c r="M235" s="27" t="str">
        <f t="shared" si="224"/>
        <v>Rodoviárias</v>
      </c>
      <c r="N235" s="27" t="str">
        <f t="shared" si="218"/>
        <v>OAE Partes</v>
      </c>
      <c r="O235" s="28" t="str">
        <f t="shared" si="219"/>
        <v>OAE.Rolamento</v>
      </c>
      <c r="P235" s="28" t="s">
        <v>175</v>
      </c>
      <c r="Q235" s="84" t="s">
        <v>254</v>
      </c>
      <c r="R235" s="28" t="s">
        <v>1</v>
      </c>
      <c r="S235" s="28" t="str">
        <f t="shared" si="249"/>
        <v>Infraestruturas</v>
      </c>
      <c r="T235" s="28" t="str">
        <f t="shared" si="250"/>
        <v>Rodoviárias</v>
      </c>
      <c r="U235" s="28" t="str">
        <f t="shared" si="250"/>
        <v>OAE Partes</v>
      </c>
      <c r="V235" s="28" t="s">
        <v>2222</v>
      </c>
      <c r="W235" s="69" t="str">
        <f t="shared" si="181"/>
        <v>Key-INFRA-235</v>
      </c>
      <c r="X235" s="28" t="s">
        <v>2096</v>
      </c>
      <c r="Y235" s="40" t="s">
        <v>2145</v>
      </c>
      <c r="Z235" s="40" t="s">
        <v>1</v>
      </c>
      <c r="AA235" s="28" t="str">
        <f t="shared" si="200"/>
        <v>Part of a Special Work of Art: Asphalt layer of the road track of the deck.</v>
      </c>
    </row>
    <row r="236" spans="1:27" ht="6.65" customHeight="1" x14ac:dyDescent="0.4">
      <c r="A236" s="77">
        <v>236</v>
      </c>
      <c r="B236" s="66" t="s">
        <v>2219</v>
      </c>
      <c r="C236" s="30" t="s">
        <v>1596</v>
      </c>
      <c r="D236" s="29" t="s">
        <v>1601</v>
      </c>
      <c r="E236" s="82" t="s">
        <v>1615</v>
      </c>
      <c r="F236" s="29" t="s">
        <v>154</v>
      </c>
      <c r="G236" s="78" t="s">
        <v>1</v>
      </c>
      <c r="H236" s="78" t="s">
        <v>1</v>
      </c>
      <c r="I236" s="78" t="s">
        <v>1</v>
      </c>
      <c r="J236" s="78" t="s">
        <v>1</v>
      </c>
      <c r="K236" s="78" t="s">
        <v>1</v>
      </c>
      <c r="L236" s="27" t="str">
        <f t="shared" si="224"/>
        <v>Infraestruturas</v>
      </c>
      <c r="M236" s="27" t="str">
        <f t="shared" si="224"/>
        <v>Rodoviárias</v>
      </c>
      <c r="N236" s="27" t="str">
        <f t="shared" si="218"/>
        <v>OAE Partes</v>
      </c>
      <c r="O236" s="28" t="str">
        <f t="shared" si="219"/>
        <v>OAE.Leito</v>
      </c>
      <c r="P236" s="28" t="s">
        <v>176</v>
      </c>
      <c r="Q236" s="84" t="s">
        <v>255</v>
      </c>
      <c r="R236" s="28" t="s">
        <v>1</v>
      </c>
      <c r="S236" s="28" t="str">
        <f t="shared" si="249"/>
        <v>Infraestruturas</v>
      </c>
      <c r="T236" s="28" t="str">
        <f t="shared" si="250"/>
        <v>Rodoviárias</v>
      </c>
      <c r="U236" s="28" t="str">
        <f t="shared" si="250"/>
        <v>OAE Partes</v>
      </c>
      <c r="V236" s="28" t="s">
        <v>2222</v>
      </c>
      <c r="W236" s="69" t="str">
        <f t="shared" si="181"/>
        <v>Key-INFRA-236</v>
      </c>
      <c r="X236" s="28" t="s">
        <v>2096</v>
      </c>
      <c r="Y236" s="40" t="s">
        <v>2150</v>
      </c>
      <c r="Z236" s="40" t="s">
        <v>1</v>
      </c>
      <c r="AA236" s="28" t="str">
        <f t="shared" si="200"/>
        <v>Part of a Special Work of Art: Subfloor layer of the deck carriageway.</v>
      </c>
    </row>
    <row r="237" spans="1:27" ht="6.65" customHeight="1" x14ac:dyDescent="0.4">
      <c r="A237" s="77">
        <v>237</v>
      </c>
      <c r="B237" s="66" t="s">
        <v>2219</v>
      </c>
      <c r="C237" s="30" t="s">
        <v>1596</v>
      </c>
      <c r="D237" s="29" t="s">
        <v>1601</v>
      </c>
      <c r="E237" s="82" t="s">
        <v>1615</v>
      </c>
      <c r="F237" s="29" t="s">
        <v>155</v>
      </c>
      <c r="G237" s="78" t="s">
        <v>1</v>
      </c>
      <c r="H237" s="78" t="s">
        <v>1</v>
      </c>
      <c r="I237" s="78" t="s">
        <v>1</v>
      </c>
      <c r="J237" s="78" t="s">
        <v>1</v>
      </c>
      <c r="K237" s="78" t="s">
        <v>1</v>
      </c>
      <c r="L237" s="27" t="str">
        <f t="shared" ref="L237" si="251">CONCATENATE("", C237)</f>
        <v>Infraestruturas</v>
      </c>
      <c r="M237" s="27" t="str">
        <f t="shared" ref="M237" si="252">CONCATENATE("", D237)</f>
        <v>Rodoviárias</v>
      </c>
      <c r="N237" s="27" t="str">
        <f t="shared" ref="N237" si="253">(SUBSTITUTE(SUBSTITUTE(CONCATENATE("",E237),"."," ")," De "," de "))</f>
        <v>OAE Partes</v>
      </c>
      <c r="O237" s="28" t="str">
        <f t="shared" ref="O237" si="254">F237</f>
        <v>OAE.Junta</v>
      </c>
      <c r="P237" s="28" t="s">
        <v>177</v>
      </c>
      <c r="Q237" s="84" t="s">
        <v>256</v>
      </c>
      <c r="R237" s="28" t="s">
        <v>1</v>
      </c>
      <c r="S237" s="28" t="str">
        <f t="shared" si="249"/>
        <v>Infraestruturas</v>
      </c>
      <c r="T237" s="28" t="str">
        <f t="shared" si="250"/>
        <v>Rodoviárias</v>
      </c>
      <c r="U237" s="28" t="str">
        <f t="shared" si="250"/>
        <v>OAE Partes</v>
      </c>
      <c r="V237" s="28" t="s">
        <v>2222</v>
      </c>
      <c r="W237" s="69" t="str">
        <f t="shared" si="181"/>
        <v>Key-INFRA-237</v>
      </c>
      <c r="X237" s="28" t="s">
        <v>2096</v>
      </c>
      <c r="Y237" s="28" t="s">
        <v>2151</v>
      </c>
      <c r="Z237" s="40" t="s">
        <v>1</v>
      </c>
      <c r="AA237" s="28" t="str">
        <f t="shared" si="200"/>
        <v>Part of a Special Work of Art: Road expansion joint of the deck.</v>
      </c>
    </row>
    <row r="238" spans="1:27" ht="6.65" customHeight="1" x14ac:dyDescent="0.4">
      <c r="A238" s="77">
        <v>238</v>
      </c>
      <c r="B238" s="66" t="s">
        <v>2219</v>
      </c>
      <c r="C238" s="30" t="s">
        <v>1596</v>
      </c>
      <c r="D238" s="29" t="s">
        <v>1601</v>
      </c>
      <c r="E238" s="82" t="s">
        <v>1615</v>
      </c>
      <c r="F238" s="29" t="s">
        <v>156</v>
      </c>
      <c r="G238" s="78" t="s">
        <v>1</v>
      </c>
      <c r="H238" s="78" t="s">
        <v>1</v>
      </c>
      <c r="I238" s="78" t="s">
        <v>1</v>
      </c>
      <c r="J238" s="78" t="s">
        <v>1</v>
      </c>
      <c r="K238" s="78" t="s">
        <v>1</v>
      </c>
      <c r="L238" s="27" t="str">
        <f t="shared" si="224"/>
        <v>Infraestruturas</v>
      </c>
      <c r="M238" s="27" t="str">
        <f t="shared" si="224"/>
        <v>Rodoviárias</v>
      </c>
      <c r="N238" s="27" t="str">
        <f t="shared" si="218"/>
        <v>OAE Partes</v>
      </c>
      <c r="O238" s="28" t="str">
        <f t="shared" si="219"/>
        <v>OAE.Drenagem</v>
      </c>
      <c r="P238" s="28" t="s">
        <v>178</v>
      </c>
      <c r="Q238" s="84" t="s">
        <v>257</v>
      </c>
      <c r="R238" s="28" t="s">
        <v>1</v>
      </c>
      <c r="S238" s="28" t="str">
        <f t="shared" si="249"/>
        <v>Infraestruturas</v>
      </c>
      <c r="T238" s="28" t="str">
        <f t="shared" si="250"/>
        <v>Rodoviárias</v>
      </c>
      <c r="U238" s="28" t="str">
        <f t="shared" si="250"/>
        <v>OAE Partes</v>
      </c>
      <c r="V238" s="28" t="s">
        <v>2222</v>
      </c>
      <c r="W238" s="69" t="str">
        <f t="shared" si="181"/>
        <v>Key-INFRA-238</v>
      </c>
      <c r="X238" s="41" t="s">
        <v>2112</v>
      </c>
      <c r="Y238" s="41" t="s">
        <v>2152</v>
      </c>
      <c r="Z238" s="40" t="s">
        <v>1</v>
      </c>
      <c r="AA238" s="28" t="str">
        <f t="shared" si="200"/>
        <v>Part of a Special Work of Art: Water drainage element on the bridge.</v>
      </c>
    </row>
    <row r="239" spans="1:27" ht="6.65" customHeight="1" x14ac:dyDescent="0.4">
      <c r="A239" s="77">
        <v>239</v>
      </c>
      <c r="B239" s="66" t="s">
        <v>2219</v>
      </c>
      <c r="C239" s="30" t="s">
        <v>1596</v>
      </c>
      <c r="D239" s="29" t="s">
        <v>1601</v>
      </c>
      <c r="E239" s="82" t="s">
        <v>1615</v>
      </c>
      <c r="F239" s="29" t="s">
        <v>157</v>
      </c>
      <c r="G239" s="78" t="s">
        <v>1</v>
      </c>
      <c r="H239" s="78" t="s">
        <v>1</v>
      </c>
      <c r="I239" s="78" t="s">
        <v>1</v>
      </c>
      <c r="J239" s="78" t="s">
        <v>1</v>
      </c>
      <c r="K239" s="78" t="s">
        <v>1</v>
      </c>
      <c r="L239" s="27" t="str">
        <f t="shared" ref="L239" si="255">CONCATENATE("", C239)</f>
        <v>Infraestruturas</v>
      </c>
      <c r="M239" s="27" t="str">
        <f t="shared" ref="M239" si="256">CONCATENATE("", D239)</f>
        <v>Rodoviárias</v>
      </c>
      <c r="N239" s="27" t="str">
        <f t="shared" ref="N239" si="257">(SUBSTITUTE(SUBSTITUTE(CONCATENATE("",E239),"."," ")," De "," de "))</f>
        <v>OAE Partes</v>
      </c>
      <c r="O239" s="28" t="str">
        <f t="shared" ref="O239" si="258">F239</f>
        <v>OAE.Sinalização</v>
      </c>
      <c r="P239" s="28" t="s">
        <v>179</v>
      </c>
      <c r="Q239" s="84" t="s">
        <v>258</v>
      </c>
      <c r="R239" s="28" t="s">
        <v>1</v>
      </c>
      <c r="S239" s="28" t="str">
        <f t="shared" si="249"/>
        <v>Infraestruturas</v>
      </c>
      <c r="T239" s="28" t="str">
        <f t="shared" si="250"/>
        <v>Rodoviárias</v>
      </c>
      <c r="U239" s="28" t="str">
        <f t="shared" si="250"/>
        <v>OAE Partes</v>
      </c>
      <c r="V239" s="28" t="s">
        <v>2222</v>
      </c>
      <c r="W239" s="69" t="str">
        <f t="shared" si="181"/>
        <v>Key-INFRA-239</v>
      </c>
      <c r="X239" s="28" t="s">
        <v>2095</v>
      </c>
      <c r="Y239" s="28" t="s">
        <v>2143</v>
      </c>
      <c r="Z239" s="40" t="s">
        <v>1</v>
      </c>
      <c r="AA239" s="28" t="str">
        <f t="shared" si="200"/>
        <v>Part of a Special Work of Art: Signage element type information plates.</v>
      </c>
    </row>
    <row r="240" spans="1:27" ht="6.65" customHeight="1" x14ac:dyDescent="0.4">
      <c r="A240" s="77">
        <v>240</v>
      </c>
      <c r="B240" s="66" t="s">
        <v>2219</v>
      </c>
      <c r="C240" s="30" t="s">
        <v>1596</v>
      </c>
      <c r="D240" s="29" t="s">
        <v>1601</v>
      </c>
      <c r="E240" s="82" t="s">
        <v>1615</v>
      </c>
      <c r="F240" s="29" t="s">
        <v>158</v>
      </c>
      <c r="G240" s="78" t="s">
        <v>1</v>
      </c>
      <c r="H240" s="78" t="s">
        <v>1</v>
      </c>
      <c r="I240" s="78" t="s">
        <v>1</v>
      </c>
      <c r="J240" s="78" t="s">
        <v>1</v>
      </c>
      <c r="K240" s="78" t="s">
        <v>1</v>
      </c>
      <c r="L240" s="27" t="str">
        <f t="shared" ref="L240:L245" si="259">CONCATENATE("", C240)</f>
        <v>Infraestruturas</v>
      </c>
      <c r="M240" s="27" t="str">
        <f t="shared" ref="M240:M245" si="260">CONCATENATE("", D240)</f>
        <v>Rodoviárias</v>
      </c>
      <c r="N240" s="27" t="str">
        <f t="shared" ref="N240:N241" si="261">(SUBSTITUTE(SUBSTITUTE(CONCATENATE("",E240),"."," ")," De "," de "))</f>
        <v>OAE Partes</v>
      </c>
      <c r="O240" s="28" t="str">
        <f t="shared" ref="O240:O278" si="262">F240</f>
        <v>OAE.Iluminação</v>
      </c>
      <c r="P240" s="28" t="s">
        <v>180</v>
      </c>
      <c r="Q240" s="84" t="s">
        <v>259</v>
      </c>
      <c r="R240" s="28" t="s">
        <v>1</v>
      </c>
      <c r="S240" s="28" t="str">
        <f t="shared" si="249"/>
        <v>Infraestruturas</v>
      </c>
      <c r="T240" s="28" t="str">
        <f t="shared" si="250"/>
        <v>Rodoviárias</v>
      </c>
      <c r="U240" s="28" t="str">
        <f t="shared" si="250"/>
        <v>OAE Partes</v>
      </c>
      <c r="V240" s="28" t="s">
        <v>2222</v>
      </c>
      <c r="W240" s="69" t="str">
        <f t="shared" si="181"/>
        <v>Key-INFRA-240</v>
      </c>
      <c r="X240" s="28" t="s">
        <v>2094</v>
      </c>
      <c r="Y240" s="28" t="s">
        <v>2153</v>
      </c>
      <c r="Z240" s="40" t="s">
        <v>1</v>
      </c>
      <c r="AA240" s="28" t="str">
        <f t="shared" si="200"/>
        <v>Part of a Special Artwork: Lamppost-like lighting element.</v>
      </c>
    </row>
    <row r="241" spans="1:27" ht="6.65" customHeight="1" x14ac:dyDescent="0.4">
      <c r="A241" s="77">
        <v>241</v>
      </c>
      <c r="B241" s="66" t="s">
        <v>2219</v>
      </c>
      <c r="C241" s="30" t="s">
        <v>1596</v>
      </c>
      <c r="D241" s="29" t="s">
        <v>1602</v>
      </c>
      <c r="E241" s="29" t="s">
        <v>1595</v>
      </c>
      <c r="F241" s="44" t="s">
        <v>2034</v>
      </c>
      <c r="G241" s="78" t="s">
        <v>1</v>
      </c>
      <c r="H241" s="78" t="s">
        <v>1</v>
      </c>
      <c r="I241" s="78" t="s">
        <v>1</v>
      </c>
      <c r="J241" s="78" t="s">
        <v>1</v>
      </c>
      <c r="K241" s="78" t="s">
        <v>1</v>
      </c>
      <c r="L241" s="27" t="str">
        <f t="shared" ref="L241" si="263">CONCATENATE("", C241)</f>
        <v>Infraestruturas</v>
      </c>
      <c r="M241" s="27" t="str">
        <f t="shared" ref="M241" si="264">CONCATENATE("", D241)</f>
        <v>Ferroviárias</v>
      </c>
      <c r="N241" s="27" t="str">
        <f t="shared" si="261"/>
        <v>Ferrovias</v>
      </c>
      <c r="O241" s="28" t="str">
        <f t="shared" ref="O241" si="265">F241</f>
        <v>Ferrovia.AV</v>
      </c>
      <c r="P241" s="43" t="s">
        <v>2035</v>
      </c>
      <c r="Q241" s="28" t="s">
        <v>2036</v>
      </c>
      <c r="R241" s="28" t="s">
        <v>1</v>
      </c>
      <c r="S241" s="28" t="str">
        <f t="shared" ref="S241" si="266">SUBSTITUTE(C241, ".", " ")</f>
        <v>Infraestruturas</v>
      </c>
      <c r="T241" s="28" t="str">
        <f t="shared" ref="T241" si="267">SUBSTITUTE(D241, ".", " ")</f>
        <v>Ferroviárias</v>
      </c>
      <c r="U241" s="28" t="str">
        <f t="shared" ref="U241" si="268">SUBSTITUTE(E241, ".", " ")</f>
        <v>Ferrovias</v>
      </c>
      <c r="V241" s="28" t="s">
        <v>2222</v>
      </c>
      <c r="W241" s="69" t="str">
        <f t="shared" si="181"/>
        <v>Key-INFRA-241</v>
      </c>
      <c r="X241" s="28" t="s">
        <v>2097</v>
      </c>
      <c r="Y241" s="40" t="s">
        <v>2153</v>
      </c>
      <c r="Z241" s="40" t="s">
        <v>1</v>
      </c>
      <c r="AA241" s="28" t="str">
        <f t="shared" si="200"/>
        <v>Railway system designed to travel at high speed.</v>
      </c>
    </row>
    <row r="242" spans="1:27" ht="6.65" customHeight="1" x14ac:dyDescent="0.4">
      <c r="A242" s="77">
        <v>242</v>
      </c>
      <c r="B242" s="66" t="s">
        <v>2219</v>
      </c>
      <c r="C242" s="30" t="s">
        <v>1596</v>
      </c>
      <c r="D242" s="29" t="s">
        <v>1602</v>
      </c>
      <c r="E242" s="29" t="s">
        <v>1595</v>
      </c>
      <c r="F242" s="44" t="s">
        <v>288</v>
      </c>
      <c r="G242" s="78" t="s">
        <v>1</v>
      </c>
      <c r="H242" s="78" t="s">
        <v>1</v>
      </c>
      <c r="I242" s="78" t="s">
        <v>1</v>
      </c>
      <c r="J242" s="78" t="s">
        <v>1</v>
      </c>
      <c r="K242" s="78" t="s">
        <v>1</v>
      </c>
      <c r="L242" s="27" t="str">
        <f t="shared" si="259"/>
        <v>Infraestruturas</v>
      </c>
      <c r="M242" s="27" t="str">
        <f t="shared" si="260"/>
        <v>Ferroviárias</v>
      </c>
      <c r="N242" s="27" t="str">
        <f t="shared" ref="N242:N263" si="269">(SUBSTITUTE(SUBSTITUTE(CONCATENATE("",E242),"."," ")," De "," de "))</f>
        <v>Ferrovias</v>
      </c>
      <c r="O242" s="28" t="str">
        <f t="shared" si="262"/>
        <v>Ferrovia.Radial</v>
      </c>
      <c r="P242" s="43" t="s">
        <v>378</v>
      </c>
      <c r="Q242" s="28" t="s">
        <v>379</v>
      </c>
      <c r="R242" s="28" t="s">
        <v>1</v>
      </c>
      <c r="S242" s="28" t="str">
        <f t="shared" si="249"/>
        <v>Infraestruturas</v>
      </c>
      <c r="T242" s="28" t="str">
        <f t="shared" si="250"/>
        <v>Ferroviárias</v>
      </c>
      <c r="U242" s="28" t="str">
        <f t="shared" si="250"/>
        <v>Ferrovias</v>
      </c>
      <c r="V242" s="28" t="s">
        <v>2222</v>
      </c>
      <c r="W242" s="69" t="str">
        <f t="shared" si="181"/>
        <v>Key-INFRA-242</v>
      </c>
      <c r="X242" s="28" t="s">
        <v>2097</v>
      </c>
      <c r="Y242" s="40" t="s">
        <v>2153</v>
      </c>
      <c r="Z242" s="40" t="s">
        <v>1</v>
      </c>
      <c r="AA242" s="28" t="str">
        <f t="shared" si="200"/>
        <v>A railway that starts from a capital city towards the extremes of the country.</v>
      </c>
    </row>
    <row r="243" spans="1:27" ht="6.65" customHeight="1" x14ac:dyDescent="0.4">
      <c r="A243" s="77">
        <v>243</v>
      </c>
      <c r="B243" s="66" t="s">
        <v>2219</v>
      </c>
      <c r="C243" s="30" t="s">
        <v>1596</v>
      </c>
      <c r="D243" s="29" t="s">
        <v>1602</v>
      </c>
      <c r="E243" s="29" t="s">
        <v>1595</v>
      </c>
      <c r="F243" s="44" t="s">
        <v>289</v>
      </c>
      <c r="G243" s="78" t="s">
        <v>1</v>
      </c>
      <c r="H243" s="78" t="s">
        <v>1</v>
      </c>
      <c r="I243" s="78" t="s">
        <v>1</v>
      </c>
      <c r="J243" s="78" t="s">
        <v>1</v>
      </c>
      <c r="K243" s="78" t="s">
        <v>1</v>
      </c>
      <c r="L243" s="27" t="str">
        <f t="shared" si="259"/>
        <v>Infraestruturas</v>
      </c>
      <c r="M243" s="27" t="str">
        <f t="shared" si="260"/>
        <v>Ferroviárias</v>
      </c>
      <c r="N243" s="27" t="str">
        <f t="shared" si="269"/>
        <v>Ferrovias</v>
      </c>
      <c r="O243" s="28" t="str">
        <f t="shared" si="262"/>
        <v>Ferrovia.NS</v>
      </c>
      <c r="P243" s="43" t="s">
        <v>275</v>
      </c>
      <c r="Q243" s="28" t="s">
        <v>337</v>
      </c>
      <c r="R243" s="28" t="s">
        <v>1</v>
      </c>
      <c r="S243" s="28" t="str">
        <f t="shared" si="249"/>
        <v>Infraestruturas</v>
      </c>
      <c r="T243" s="28" t="str">
        <f t="shared" si="250"/>
        <v>Ferroviárias</v>
      </c>
      <c r="U243" s="28" t="str">
        <f t="shared" si="250"/>
        <v>Ferrovias</v>
      </c>
      <c r="V243" s="28" t="s">
        <v>2222</v>
      </c>
      <c r="W243" s="69" t="str">
        <f t="shared" si="181"/>
        <v>Key-INFRA-243</v>
      </c>
      <c r="X243" s="28" t="s">
        <v>2097</v>
      </c>
      <c r="Y243" s="40" t="s">
        <v>2153</v>
      </c>
      <c r="Z243" s="40" t="s">
        <v>1</v>
      </c>
      <c r="AA243" s="28" t="str">
        <f t="shared" si="200"/>
        <v>A railroad that crosses a country in a North-South direction.</v>
      </c>
    </row>
    <row r="244" spans="1:27" ht="6.65" customHeight="1" x14ac:dyDescent="0.4">
      <c r="A244" s="77">
        <v>244</v>
      </c>
      <c r="B244" s="66" t="s">
        <v>2219</v>
      </c>
      <c r="C244" s="30" t="s">
        <v>1596</v>
      </c>
      <c r="D244" s="29" t="s">
        <v>1602</v>
      </c>
      <c r="E244" s="29" t="s">
        <v>1595</v>
      </c>
      <c r="F244" s="44" t="s">
        <v>290</v>
      </c>
      <c r="G244" s="78" t="s">
        <v>1</v>
      </c>
      <c r="H244" s="78" t="s">
        <v>1</v>
      </c>
      <c r="I244" s="78" t="s">
        <v>1</v>
      </c>
      <c r="J244" s="78" t="s">
        <v>1</v>
      </c>
      <c r="K244" s="78" t="s">
        <v>1</v>
      </c>
      <c r="L244" s="27" t="str">
        <f t="shared" si="259"/>
        <v>Infraestruturas</v>
      </c>
      <c r="M244" s="27" t="str">
        <f t="shared" si="260"/>
        <v>Ferroviárias</v>
      </c>
      <c r="N244" s="27" t="str">
        <f t="shared" si="269"/>
        <v>Ferrovias</v>
      </c>
      <c r="O244" s="28" t="str">
        <f t="shared" si="262"/>
        <v>Ferrovia.EW</v>
      </c>
      <c r="P244" s="43" t="s">
        <v>276</v>
      </c>
      <c r="Q244" s="28" t="s">
        <v>338</v>
      </c>
      <c r="R244" s="28" t="s">
        <v>1</v>
      </c>
      <c r="S244" s="28" t="str">
        <f t="shared" si="249"/>
        <v>Infraestruturas</v>
      </c>
      <c r="T244" s="28" t="str">
        <f t="shared" si="250"/>
        <v>Ferroviárias</v>
      </c>
      <c r="U244" s="28" t="str">
        <f t="shared" si="250"/>
        <v>Ferrovias</v>
      </c>
      <c r="V244" s="28" t="s">
        <v>2222</v>
      </c>
      <c r="W244" s="69" t="str">
        <f t="shared" si="181"/>
        <v>Key-INFRA-244</v>
      </c>
      <c r="X244" s="28" t="s">
        <v>2097</v>
      </c>
      <c r="Y244" s="40" t="s">
        <v>2153</v>
      </c>
      <c r="Z244" s="40" t="s">
        <v>1</v>
      </c>
      <c r="AA244" s="28" t="str">
        <f t="shared" si="200"/>
        <v>A railroad that crosses a country in an East-West direction.</v>
      </c>
    </row>
    <row r="245" spans="1:27" ht="6.65" customHeight="1" x14ac:dyDescent="0.4">
      <c r="A245" s="77">
        <v>245</v>
      </c>
      <c r="B245" s="66" t="s">
        <v>2219</v>
      </c>
      <c r="C245" s="30" t="s">
        <v>1596</v>
      </c>
      <c r="D245" s="29" t="s">
        <v>1602</v>
      </c>
      <c r="E245" s="29" t="s">
        <v>1595</v>
      </c>
      <c r="F245" s="44" t="s">
        <v>291</v>
      </c>
      <c r="G245" s="78" t="s">
        <v>1</v>
      </c>
      <c r="H245" s="78" t="s">
        <v>1</v>
      </c>
      <c r="I245" s="78" t="s">
        <v>1</v>
      </c>
      <c r="J245" s="78" t="s">
        <v>1</v>
      </c>
      <c r="K245" s="78" t="s">
        <v>1</v>
      </c>
      <c r="L245" s="27" t="str">
        <f t="shared" si="259"/>
        <v>Infraestruturas</v>
      </c>
      <c r="M245" s="27" t="str">
        <f t="shared" si="260"/>
        <v>Ferroviárias</v>
      </c>
      <c r="N245" s="27" t="str">
        <f t="shared" si="269"/>
        <v>Ferrovias</v>
      </c>
      <c r="O245" s="28" t="str">
        <f t="shared" si="262"/>
        <v>Ferrovia.Diagonal</v>
      </c>
      <c r="P245" s="43" t="s">
        <v>277</v>
      </c>
      <c r="Q245" s="28" t="s">
        <v>339</v>
      </c>
      <c r="R245" s="28" t="s">
        <v>1</v>
      </c>
      <c r="S245" s="28" t="str">
        <f t="shared" si="249"/>
        <v>Infraestruturas</v>
      </c>
      <c r="T245" s="28" t="str">
        <f t="shared" si="250"/>
        <v>Ferroviárias</v>
      </c>
      <c r="U245" s="28" t="str">
        <f t="shared" si="250"/>
        <v>Ferrovias</v>
      </c>
      <c r="V245" s="28" t="s">
        <v>2222</v>
      </c>
      <c r="W245" s="69" t="str">
        <f t="shared" si="181"/>
        <v>Key-INFRA-245</v>
      </c>
      <c r="X245" s="28" t="s">
        <v>2097</v>
      </c>
      <c r="Y245" s="40" t="s">
        <v>2153</v>
      </c>
      <c r="Z245" s="40" t="s">
        <v>1</v>
      </c>
      <c r="AA245" s="28" t="str">
        <f t="shared" si="200"/>
        <v>A railroad that crosses a country with a northeast-southwest or northwest-southeast orientation.</v>
      </c>
    </row>
    <row r="246" spans="1:27" ht="6.65" customHeight="1" x14ac:dyDescent="0.4">
      <c r="A246" s="77">
        <v>246</v>
      </c>
      <c r="B246" s="66" t="s">
        <v>2219</v>
      </c>
      <c r="C246" s="30" t="s">
        <v>1596</v>
      </c>
      <c r="D246" s="29" t="s">
        <v>1602</v>
      </c>
      <c r="E246" s="29" t="s">
        <v>1595</v>
      </c>
      <c r="F246" s="44" t="s">
        <v>292</v>
      </c>
      <c r="G246" s="78" t="s">
        <v>1</v>
      </c>
      <c r="H246" s="78" t="s">
        <v>1</v>
      </c>
      <c r="I246" s="78" t="s">
        <v>1</v>
      </c>
      <c r="J246" s="78" t="s">
        <v>1</v>
      </c>
      <c r="K246" s="78" t="s">
        <v>1</v>
      </c>
      <c r="L246" s="27" t="str">
        <f t="shared" ref="L246:L262" si="270">CONCATENATE("", C246)</f>
        <v>Infraestruturas</v>
      </c>
      <c r="M246" s="27" t="str">
        <f t="shared" ref="M246:M262" si="271">CONCATENATE("", D246)</f>
        <v>Ferroviárias</v>
      </c>
      <c r="N246" s="27" t="str">
        <f t="shared" si="269"/>
        <v>Ferrovias</v>
      </c>
      <c r="O246" s="28" t="str">
        <f t="shared" ref="O246:O262" si="272">F246</f>
        <v>Ferrovia.Ligação</v>
      </c>
      <c r="P246" s="43" t="s">
        <v>274</v>
      </c>
      <c r="Q246" s="28" t="s">
        <v>340</v>
      </c>
      <c r="R246" s="28" t="s">
        <v>1</v>
      </c>
      <c r="S246" s="28" t="str">
        <f t="shared" si="249"/>
        <v>Infraestruturas</v>
      </c>
      <c r="T246" s="28" t="str">
        <f t="shared" si="250"/>
        <v>Ferroviárias</v>
      </c>
      <c r="U246" s="28" t="str">
        <f t="shared" si="250"/>
        <v>Ferrovias</v>
      </c>
      <c r="V246" s="28" t="s">
        <v>2222</v>
      </c>
      <c r="W246" s="69" t="str">
        <f t="shared" si="181"/>
        <v>Key-INFRA-246</v>
      </c>
      <c r="X246" s="28" t="s">
        <v>2097</v>
      </c>
      <c r="Y246" s="40" t="s">
        <v>2153</v>
      </c>
      <c r="Z246" s="40" t="s">
        <v>1</v>
      </c>
      <c r="AA246" s="28" t="str">
        <f t="shared" si="200"/>
        <v>A railroad that connects railroads to each other or to specific localities.</v>
      </c>
    </row>
    <row r="247" spans="1:27" ht="6.65" customHeight="1" x14ac:dyDescent="0.4">
      <c r="A247" s="77">
        <v>247</v>
      </c>
      <c r="B247" s="66" t="s">
        <v>2219</v>
      </c>
      <c r="C247" s="30" t="s">
        <v>1596</v>
      </c>
      <c r="D247" s="29" t="s">
        <v>1602</v>
      </c>
      <c r="E247" s="29" t="s">
        <v>1595</v>
      </c>
      <c r="F247" s="44" t="s">
        <v>1476</v>
      </c>
      <c r="G247" s="78" t="s">
        <v>1</v>
      </c>
      <c r="H247" s="78" t="s">
        <v>1</v>
      </c>
      <c r="I247" s="78" t="s">
        <v>1</v>
      </c>
      <c r="J247" s="78" t="s">
        <v>1</v>
      </c>
      <c r="K247" s="78" t="s">
        <v>1</v>
      </c>
      <c r="L247" s="27" t="str">
        <f t="shared" si="270"/>
        <v>Infraestruturas</v>
      </c>
      <c r="M247" s="27" t="str">
        <f t="shared" si="271"/>
        <v>Ferroviárias</v>
      </c>
      <c r="N247" s="27" t="str">
        <f t="shared" si="269"/>
        <v>Ferrovias</v>
      </c>
      <c r="O247" s="28" t="str">
        <f t="shared" si="272"/>
        <v>Metrovia</v>
      </c>
      <c r="P247" s="43" t="s">
        <v>364</v>
      </c>
      <c r="Q247" s="28" t="s">
        <v>365</v>
      </c>
      <c r="R247" s="28" t="s">
        <v>1</v>
      </c>
      <c r="S247" s="28" t="str">
        <f t="shared" si="249"/>
        <v>Infraestruturas</v>
      </c>
      <c r="T247" s="28" t="str">
        <f t="shared" si="250"/>
        <v>Ferroviárias</v>
      </c>
      <c r="U247" s="28" t="str">
        <f t="shared" si="250"/>
        <v>Ferrovias</v>
      </c>
      <c r="V247" s="28" t="s">
        <v>2222</v>
      </c>
      <c r="W247" s="69" t="str">
        <f t="shared" si="181"/>
        <v>Key-INFRA-247</v>
      </c>
      <c r="X247" s="28" t="s">
        <v>2097</v>
      </c>
      <c r="Y247" s="40" t="s">
        <v>2153</v>
      </c>
      <c r="Z247" s="40" t="s">
        <v>1</v>
      </c>
      <c r="AA247" s="28" t="str">
        <f t="shared" si="200"/>
        <v>Urban railway. Usually underground, but may have stretches at the urban level.</v>
      </c>
    </row>
    <row r="248" spans="1:27" ht="6.65" customHeight="1" x14ac:dyDescent="0.4">
      <c r="A248" s="77">
        <v>248</v>
      </c>
      <c r="B248" s="66" t="s">
        <v>2219</v>
      </c>
      <c r="C248" s="30" t="s">
        <v>1596</v>
      </c>
      <c r="D248" s="29" t="s">
        <v>1602</v>
      </c>
      <c r="E248" s="29" t="s">
        <v>1595</v>
      </c>
      <c r="F248" s="44" t="s">
        <v>1496</v>
      </c>
      <c r="G248" s="78" t="s">
        <v>1</v>
      </c>
      <c r="H248" s="78" t="s">
        <v>1</v>
      </c>
      <c r="I248" s="78" t="s">
        <v>1</v>
      </c>
      <c r="J248" s="78" t="s">
        <v>1</v>
      </c>
      <c r="K248" s="78" t="s">
        <v>1</v>
      </c>
      <c r="L248" s="27" t="str">
        <f t="shared" si="270"/>
        <v>Infraestruturas</v>
      </c>
      <c r="M248" s="27" t="str">
        <f t="shared" si="271"/>
        <v>Ferroviárias</v>
      </c>
      <c r="N248" s="27" t="str">
        <f t="shared" ref="N248:N249" si="273">(SUBSTITUTE(SUBSTITUTE(CONCATENATE("",E248),"."," ")," De "," de "))</f>
        <v>Ferrovias</v>
      </c>
      <c r="O248" s="28" t="str">
        <f t="shared" si="272"/>
        <v>Metrovia.VLT</v>
      </c>
      <c r="P248" s="43" t="s">
        <v>1497</v>
      </c>
      <c r="Q248" s="43" t="s">
        <v>1498</v>
      </c>
      <c r="R248" s="28" t="s">
        <v>1</v>
      </c>
      <c r="S248" s="28" t="str">
        <f t="shared" ref="S248:S249" si="274">SUBSTITUTE(C248, ".", " ")</f>
        <v>Infraestruturas</v>
      </c>
      <c r="T248" s="28" t="str">
        <f t="shared" ref="T248:T249" si="275">SUBSTITUTE(D248, ".", " ")</f>
        <v>Ferroviárias</v>
      </c>
      <c r="U248" s="28" t="str">
        <f t="shared" si="250"/>
        <v>Ferrovias</v>
      </c>
      <c r="V248" s="28" t="s">
        <v>2222</v>
      </c>
      <c r="W248" s="69" t="str">
        <f t="shared" si="181"/>
        <v>Key-INFRA-248</v>
      </c>
      <c r="X248" s="28" t="s">
        <v>2097</v>
      </c>
      <c r="Y248" s="40" t="s">
        <v>2153</v>
      </c>
      <c r="Z248" s="40" t="s">
        <v>1</v>
      </c>
      <c r="AA248" s="28" t="str">
        <f t="shared" si="200"/>
        <v>Urban railway to VLT. It operates on the urban surface and meets accessibility requirements.</v>
      </c>
    </row>
    <row r="249" spans="1:27" ht="6.65" customHeight="1" x14ac:dyDescent="0.4">
      <c r="A249" s="77">
        <v>249</v>
      </c>
      <c r="B249" s="66" t="s">
        <v>2219</v>
      </c>
      <c r="C249" s="30" t="s">
        <v>1596</v>
      </c>
      <c r="D249" s="29" t="s">
        <v>1602</v>
      </c>
      <c r="E249" s="29" t="s">
        <v>1595</v>
      </c>
      <c r="F249" s="44" t="s">
        <v>366</v>
      </c>
      <c r="G249" s="78" t="s">
        <v>1</v>
      </c>
      <c r="H249" s="78" t="s">
        <v>1</v>
      </c>
      <c r="I249" s="78" t="s">
        <v>1</v>
      </c>
      <c r="J249" s="78" t="s">
        <v>1</v>
      </c>
      <c r="K249" s="78" t="s">
        <v>1</v>
      </c>
      <c r="L249" s="27" t="str">
        <f t="shared" ref="L249" si="276">CONCATENATE("", C249)</f>
        <v>Infraestruturas</v>
      </c>
      <c r="M249" s="27" t="str">
        <f t="shared" ref="M249" si="277">CONCATENATE("", D249)</f>
        <v>Ferroviárias</v>
      </c>
      <c r="N249" s="27" t="str">
        <f t="shared" si="273"/>
        <v>Ferrovias</v>
      </c>
      <c r="O249" s="28" t="str">
        <f t="shared" ref="O249" si="278">F249</f>
        <v>Monotrilho</v>
      </c>
      <c r="P249" s="43" t="s">
        <v>367</v>
      </c>
      <c r="Q249" s="28" t="s">
        <v>368</v>
      </c>
      <c r="R249" s="28" t="s">
        <v>1</v>
      </c>
      <c r="S249" s="28" t="str">
        <f t="shared" si="274"/>
        <v>Infraestruturas</v>
      </c>
      <c r="T249" s="28" t="str">
        <f t="shared" si="275"/>
        <v>Ferroviárias</v>
      </c>
      <c r="U249" s="28" t="str">
        <f t="shared" ref="U249" si="279">SUBSTITUTE(E249, ".", " ")</f>
        <v>Ferrovias</v>
      </c>
      <c r="V249" s="28" t="s">
        <v>2222</v>
      </c>
      <c r="W249" s="69" t="str">
        <f t="shared" si="181"/>
        <v>Key-INFRA-249</v>
      </c>
      <c r="X249" s="28" t="s">
        <v>2097</v>
      </c>
      <c r="Y249" s="40" t="s">
        <v>2134</v>
      </c>
      <c r="Z249" s="40" t="s">
        <v>1</v>
      </c>
      <c r="AA249" s="28" t="str">
        <f t="shared" si="200"/>
        <v>A railway system in which vehicles run on a single elevated rail that serves as both a guide and a structural support.</v>
      </c>
    </row>
    <row r="250" spans="1:27" ht="6.65" customHeight="1" x14ac:dyDescent="0.4">
      <c r="A250" s="77">
        <v>250</v>
      </c>
      <c r="B250" s="66" t="s">
        <v>2219</v>
      </c>
      <c r="C250" s="30" t="s">
        <v>1596</v>
      </c>
      <c r="D250" s="29" t="s">
        <v>1602</v>
      </c>
      <c r="E250" s="29" t="s">
        <v>1595</v>
      </c>
      <c r="F250" s="44" t="s">
        <v>2052</v>
      </c>
      <c r="G250" s="78" t="s">
        <v>1</v>
      </c>
      <c r="H250" s="78" t="s">
        <v>1</v>
      </c>
      <c r="I250" s="78" t="s">
        <v>1</v>
      </c>
      <c r="J250" s="78" t="s">
        <v>1</v>
      </c>
      <c r="K250" s="78" t="s">
        <v>1</v>
      </c>
      <c r="L250" s="27" t="str">
        <f t="shared" si="270"/>
        <v>Infraestruturas</v>
      </c>
      <c r="M250" s="27" t="str">
        <f t="shared" si="271"/>
        <v>Ferroviárias</v>
      </c>
      <c r="N250" s="27" t="str">
        <f t="shared" ref="N250:N262" si="280">(SUBSTITUTE(SUBSTITUTE(CONCATENATE("",E250),"."," ")," De "," de "))</f>
        <v>Ferrovias</v>
      </c>
      <c r="O250" s="28" t="str">
        <f t="shared" si="272"/>
        <v>Túnel.Ferroviário</v>
      </c>
      <c r="P250" s="43" t="s">
        <v>2050</v>
      </c>
      <c r="Q250" s="43" t="s">
        <v>2051</v>
      </c>
      <c r="R250" s="28" t="s">
        <v>1</v>
      </c>
      <c r="S250" s="28" t="str">
        <f t="shared" ref="S250:S262" si="281">SUBSTITUTE(C250, ".", " ")</f>
        <v>Infraestruturas</v>
      </c>
      <c r="T250" s="28" t="str">
        <f t="shared" ref="T250:T262" si="282">SUBSTITUTE(D250, ".", " ")</f>
        <v>Ferroviárias</v>
      </c>
      <c r="U250" s="28" t="str">
        <f t="shared" si="250"/>
        <v>Ferrovias</v>
      </c>
      <c r="V250" s="28" t="s">
        <v>2222</v>
      </c>
      <c r="W250" s="69" t="str">
        <f t="shared" si="181"/>
        <v>Key-INFRA-250</v>
      </c>
      <c r="X250" s="28" t="s">
        <v>2088</v>
      </c>
      <c r="Y250" s="40" t="s">
        <v>2134</v>
      </c>
      <c r="Z250" s="40" t="s">
        <v>1</v>
      </c>
      <c r="AA250" s="28" t="str">
        <f t="shared" si="200"/>
        <v>Tunnel for railroad passage.</v>
      </c>
    </row>
    <row r="251" spans="1:27" ht="6.65" customHeight="1" x14ac:dyDescent="0.4">
      <c r="A251" s="77">
        <v>251</v>
      </c>
      <c r="B251" s="66" t="s">
        <v>2219</v>
      </c>
      <c r="C251" s="30" t="s">
        <v>1596</v>
      </c>
      <c r="D251" s="29" t="s">
        <v>1602</v>
      </c>
      <c r="E251" s="29" t="s">
        <v>2037</v>
      </c>
      <c r="F251" s="44" t="s">
        <v>1662</v>
      </c>
      <c r="G251" s="78" t="s">
        <v>1</v>
      </c>
      <c r="H251" s="78" t="s">
        <v>1</v>
      </c>
      <c r="I251" s="78" t="s">
        <v>1</v>
      </c>
      <c r="J251" s="78" t="s">
        <v>1</v>
      </c>
      <c r="K251" s="78" t="s">
        <v>1</v>
      </c>
      <c r="L251" s="27" t="str">
        <f t="shared" si="270"/>
        <v>Infraestruturas</v>
      </c>
      <c r="M251" s="27" t="str">
        <f t="shared" si="271"/>
        <v>Ferroviárias</v>
      </c>
      <c r="N251" s="27" t="str">
        <f t="shared" si="280"/>
        <v>Ferrovias Estações</v>
      </c>
      <c r="O251" s="28" t="str">
        <f t="shared" si="272"/>
        <v>Estação.Central</v>
      </c>
      <c r="P251" s="43" t="s">
        <v>1663</v>
      </c>
      <c r="Q251" s="43" t="s">
        <v>1664</v>
      </c>
      <c r="R251" s="28" t="s">
        <v>1</v>
      </c>
      <c r="S251" s="28" t="str">
        <f t="shared" si="281"/>
        <v>Infraestruturas</v>
      </c>
      <c r="T251" s="28" t="str">
        <f t="shared" si="282"/>
        <v>Ferroviárias</v>
      </c>
      <c r="U251" s="28" t="str">
        <f t="shared" ref="U251" si="283">SUBSTITUTE(E251, ".", " ")</f>
        <v>Ferrovias Estações</v>
      </c>
      <c r="V251" s="28" t="s">
        <v>2222</v>
      </c>
      <c r="W251" s="69" t="str">
        <f t="shared" si="181"/>
        <v>Key-INFRA-251</v>
      </c>
      <c r="X251" s="28" t="s">
        <v>2088</v>
      </c>
      <c r="Y251" s="40" t="s">
        <v>2134</v>
      </c>
      <c r="Z251" s="40" t="s">
        <v>1</v>
      </c>
      <c r="AA251" s="28" t="str">
        <f t="shared" si="200"/>
        <v>Central station of the line. Large stations such as Central do Brasil, Leopoldina or Retiro.</v>
      </c>
    </row>
    <row r="252" spans="1:27" ht="6.65" customHeight="1" x14ac:dyDescent="0.4">
      <c r="A252" s="77">
        <v>252</v>
      </c>
      <c r="B252" s="66" t="s">
        <v>2219</v>
      </c>
      <c r="C252" s="30" t="s">
        <v>1596</v>
      </c>
      <c r="D252" s="29" t="s">
        <v>1602</v>
      </c>
      <c r="E252" s="29" t="s">
        <v>2037</v>
      </c>
      <c r="F252" s="44" t="s">
        <v>1516</v>
      </c>
      <c r="G252" s="78" t="s">
        <v>1</v>
      </c>
      <c r="H252" s="78" t="s">
        <v>1</v>
      </c>
      <c r="I252" s="78" t="s">
        <v>1</v>
      </c>
      <c r="J252" s="78" t="s">
        <v>1</v>
      </c>
      <c r="K252" s="78" t="s">
        <v>1</v>
      </c>
      <c r="L252" s="27" t="str">
        <f t="shared" ref="L252" si="284">CONCATENATE("", C252)</f>
        <v>Infraestruturas</v>
      </c>
      <c r="M252" s="27" t="str">
        <f t="shared" ref="M252" si="285">CONCATENATE("", D252)</f>
        <v>Ferroviárias</v>
      </c>
      <c r="N252" s="27" t="str">
        <f t="shared" ref="N252" si="286">(SUBSTITUTE(SUBSTITUTE(CONCATENATE("",E252),"."," ")," De "," de "))</f>
        <v>Ferrovias Estações</v>
      </c>
      <c r="O252" s="28" t="str">
        <f t="shared" ref="O252" si="287">F252</f>
        <v>Estação.Terminal</v>
      </c>
      <c r="P252" s="43" t="s">
        <v>1517</v>
      </c>
      <c r="Q252" s="43" t="s">
        <v>1518</v>
      </c>
      <c r="R252" s="28" t="s">
        <v>1</v>
      </c>
      <c r="S252" s="28" t="str">
        <f t="shared" ref="S252" si="288">SUBSTITUTE(C252, ".", " ")</f>
        <v>Infraestruturas</v>
      </c>
      <c r="T252" s="28" t="str">
        <f t="shared" ref="T252" si="289">SUBSTITUTE(D252, ".", " ")</f>
        <v>Ferroviárias</v>
      </c>
      <c r="U252" s="28" t="str">
        <f t="shared" si="250"/>
        <v>Ferrovias Estações</v>
      </c>
      <c r="V252" s="28" t="s">
        <v>2222</v>
      </c>
      <c r="W252" s="69" t="str">
        <f t="shared" si="181"/>
        <v>Key-INFRA-252</v>
      </c>
      <c r="X252" s="28" t="s">
        <v>2088</v>
      </c>
      <c r="Y252" s="40" t="s">
        <v>2134</v>
      </c>
      <c r="Z252" s="40" t="s">
        <v>1</v>
      </c>
      <c r="AA252" s="28" t="str">
        <f t="shared" si="200"/>
        <v>Line terminal station.</v>
      </c>
    </row>
    <row r="253" spans="1:27" ht="6.65" customHeight="1" x14ac:dyDescent="0.4">
      <c r="A253" s="77">
        <v>253</v>
      </c>
      <c r="B253" s="66" t="s">
        <v>2219</v>
      </c>
      <c r="C253" s="30" t="s">
        <v>1596</v>
      </c>
      <c r="D253" s="29" t="s">
        <v>1602</v>
      </c>
      <c r="E253" s="29" t="s">
        <v>2037</v>
      </c>
      <c r="F253" s="44" t="s">
        <v>1511</v>
      </c>
      <c r="G253" s="78" t="s">
        <v>1</v>
      </c>
      <c r="H253" s="78" t="s">
        <v>1</v>
      </c>
      <c r="I253" s="78" t="s">
        <v>1</v>
      </c>
      <c r="J253" s="78" t="s">
        <v>1</v>
      </c>
      <c r="K253" s="78" t="s">
        <v>1</v>
      </c>
      <c r="L253" s="27" t="str">
        <f t="shared" si="270"/>
        <v>Infraestruturas</v>
      </c>
      <c r="M253" s="27" t="str">
        <f t="shared" si="271"/>
        <v>Ferroviárias</v>
      </c>
      <c r="N253" s="27" t="str">
        <f t="shared" si="280"/>
        <v>Ferrovias Estações</v>
      </c>
      <c r="O253" s="28" t="str">
        <f t="shared" si="272"/>
        <v>Estação.de.Transferência</v>
      </c>
      <c r="P253" s="43" t="s">
        <v>1512</v>
      </c>
      <c r="Q253" s="43" t="s">
        <v>1514</v>
      </c>
      <c r="R253" s="28" t="s">
        <v>1</v>
      </c>
      <c r="S253" s="28" t="str">
        <f t="shared" si="281"/>
        <v>Infraestruturas</v>
      </c>
      <c r="T253" s="28" t="str">
        <f t="shared" si="282"/>
        <v>Ferroviárias</v>
      </c>
      <c r="U253" s="28" t="str">
        <f t="shared" si="250"/>
        <v>Ferrovias Estações</v>
      </c>
      <c r="V253" s="28" t="s">
        <v>2222</v>
      </c>
      <c r="W253" s="69" t="str">
        <f t="shared" si="181"/>
        <v>Key-INFRA-253</v>
      </c>
      <c r="X253" s="28" t="s">
        <v>2088</v>
      </c>
      <c r="Y253" s="40" t="s">
        <v>2134</v>
      </c>
      <c r="Z253" s="40" t="s">
        <v>1</v>
      </c>
      <c r="AA253" s="28" t="str">
        <f t="shared" si="200"/>
        <v>Transfer station of the same modal.</v>
      </c>
    </row>
    <row r="254" spans="1:27" ht="6.65" customHeight="1" x14ac:dyDescent="0.4">
      <c r="A254" s="77">
        <v>254</v>
      </c>
      <c r="B254" s="66" t="s">
        <v>2219</v>
      </c>
      <c r="C254" s="30" t="s">
        <v>1596</v>
      </c>
      <c r="D254" s="29" t="s">
        <v>1602</v>
      </c>
      <c r="E254" s="29" t="s">
        <v>2037</v>
      </c>
      <c r="F254" s="44" t="s">
        <v>1519</v>
      </c>
      <c r="G254" s="78" t="s">
        <v>1</v>
      </c>
      <c r="H254" s="78" t="s">
        <v>1</v>
      </c>
      <c r="I254" s="78" t="s">
        <v>1</v>
      </c>
      <c r="J254" s="78" t="s">
        <v>1</v>
      </c>
      <c r="K254" s="78" t="s">
        <v>1</v>
      </c>
      <c r="L254" s="27" t="str">
        <f t="shared" ref="L254" si="290">CONCATENATE("", C254)</f>
        <v>Infraestruturas</v>
      </c>
      <c r="M254" s="27" t="str">
        <f t="shared" ref="M254" si="291">CONCATENATE("", D254)</f>
        <v>Ferroviárias</v>
      </c>
      <c r="N254" s="27" t="str">
        <f t="shared" ref="N254" si="292">(SUBSTITUTE(SUBSTITUTE(CONCATENATE("",E254),"."," ")," De "," de "))</f>
        <v>Ferrovias Estações</v>
      </c>
      <c r="O254" s="28" t="str">
        <f t="shared" ref="O254" si="293">F254</f>
        <v>Estação.Intermodal</v>
      </c>
      <c r="P254" s="43" t="s">
        <v>1513</v>
      </c>
      <c r="Q254" s="43" t="s">
        <v>1515</v>
      </c>
      <c r="R254" s="28" t="s">
        <v>1</v>
      </c>
      <c r="S254" s="28" t="str">
        <f t="shared" ref="S254" si="294">SUBSTITUTE(C254, ".", " ")</f>
        <v>Infraestruturas</v>
      </c>
      <c r="T254" s="28" t="str">
        <f t="shared" ref="T254" si="295">SUBSTITUTE(D254, ".", " ")</f>
        <v>Ferroviárias</v>
      </c>
      <c r="U254" s="28" t="str">
        <f t="shared" si="250"/>
        <v>Ferrovias Estações</v>
      </c>
      <c r="V254" s="28" t="s">
        <v>2222</v>
      </c>
      <c r="W254" s="69" t="str">
        <f t="shared" si="181"/>
        <v>Key-INFRA-254</v>
      </c>
      <c r="X254" s="28" t="s">
        <v>2088</v>
      </c>
      <c r="Y254" s="40" t="s">
        <v>2134</v>
      </c>
      <c r="Z254" s="40" t="s">
        <v>1</v>
      </c>
      <c r="AA254" s="28" t="str">
        <f t="shared" si="200"/>
        <v>Multimodal transfer station.</v>
      </c>
    </row>
    <row r="255" spans="1:27" ht="6.65" customHeight="1" x14ac:dyDescent="0.4">
      <c r="A255" s="77">
        <v>255</v>
      </c>
      <c r="B255" s="66" t="s">
        <v>2219</v>
      </c>
      <c r="C255" s="30" t="s">
        <v>1596</v>
      </c>
      <c r="D255" s="29" t="s">
        <v>1602</v>
      </c>
      <c r="E255" s="29" t="s">
        <v>2037</v>
      </c>
      <c r="F255" s="44" t="s">
        <v>1499</v>
      </c>
      <c r="G255" s="78" t="s">
        <v>1</v>
      </c>
      <c r="H255" s="78" t="s">
        <v>1</v>
      </c>
      <c r="I255" s="78" t="s">
        <v>1</v>
      </c>
      <c r="J255" s="78" t="s">
        <v>1</v>
      </c>
      <c r="K255" s="78" t="s">
        <v>1</v>
      </c>
      <c r="L255" s="27" t="str">
        <f t="shared" si="270"/>
        <v>Infraestruturas</v>
      </c>
      <c r="M255" s="27" t="str">
        <f t="shared" si="271"/>
        <v>Ferroviárias</v>
      </c>
      <c r="N255" s="27" t="str">
        <f t="shared" si="280"/>
        <v>Ferrovias Estações</v>
      </c>
      <c r="O255" s="28" t="str">
        <f t="shared" si="272"/>
        <v>Estação.de.Trem</v>
      </c>
      <c r="P255" s="43" t="s">
        <v>1503</v>
      </c>
      <c r="Q255" s="43" t="s">
        <v>1507</v>
      </c>
      <c r="R255" s="28" t="s">
        <v>1</v>
      </c>
      <c r="S255" s="28" t="str">
        <f t="shared" si="281"/>
        <v>Infraestruturas</v>
      </c>
      <c r="T255" s="28" t="str">
        <f t="shared" si="282"/>
        <v>Ferroviárias</v>
      </c>
      <c r="U255" s="28" t="str">
        <f t="shared" si="250"/>
        <v>Ferrovias Estações</v>
      </c>
      <c r="V255" s="28" t="s">
        <v>2222</v>
      </c>
      <c r="W255" s="69" t="str">
        <f t="shared" si="181"/>
        <v>Key-INFRA-255</v>
      </c>
      <c r="X255" s="28" t="s">
        <v>2088</v>
      </c>
      <c r="Y255" s="40" t="s">
        <v>2134</v>
      </c>
      <c r="Z255" s="40" t="s">
        <v>1</v>
      </c>
      <c r="AA255" s="28" t="str">
        <f t="shared" si="200"/>
        <v>Train station.</v>
      </c>
    </row>
    <row r="256" spans="1:27" ht="6.65" customHeight="1" x14ac:dyDescent="0.4">
      <c r="A256" s="77">
        <v>256</v>
      </c>
      <c r="B256" s="66" t="s">
        <v>2219</v>
      </c>
      <c r="C256" s="30" t="s">
        <v>1596</v>
      </c>
      <c r="D256" s="29" t="s">
        <v>1602</v>
      </c>
      <c r="E256" s="29" t="s">
        <v>2037</v>
      </c>
      <c r="F256" s="44" t="s">
        <v>1500</v>
      </c>
      <c r="G256" s="78" t="s">
        <v>1</v>
      </c>
      <c r="H256" s="78" t="s">
        <v>1</v>
      </c>
      <c r="I256" s="78" t="s">
        <v>1</v>
      </c>
      <c r="J256" s="78" t="s">
        <v>1</v>
      </c>
      <c r="K256" s="78" t="s">
        <v>1</v>
      </c>
      <c r="L256" s="27" t="str">
        <f t="shared" si="270"/>
        <v>Infraestruturas</v>
      </c>
      <c r="M256" s="27" t="str">
        <f t="shared" si="271"/>
        <v>Ferroviárias</v>
      </c>
      <c r="N256" s="27" t="str">
        <f t="shared" si="280"/>
        <v>Ferrovias Estações</v>
      </c>
      <c r="O256" s="28" t="str">
        <f t="shared" si="272"/>
        <v>Estação.de.Metro</v>
      </c>
      <c r="P256" s="43" t="s">
        <v>1504</v>
      </c>
      <c r="Q256" s="43" t="s">
        <v>1508</v>
      </c>
      <c r="R256" s="28" t="s">
        <v>1</v>
      </c>
      <c r="S256" s="28" t="str">
        <f t="shared" si="281"/>
        <v>Infraestruturas</v>
      </c>
      <c r="T256" s="28" t="str">
        <f t="shared" si="282"/>
        <v>Ferroviárias</v>
      </c>
      <c r="U256" s="28" t="str">
        <f t="shared" si="250"/>
        <v>Ferrovias Estações</v>
      </c>
      <c r="V256" s="28" t="s">
        <v>2222</v>
      </c>
      <c r="W256" s="69" t="str">
        <f t="shared" si="181"/>
        <v>Key-INFRA-256</v>
      </c>
      <c r="X256" s="28" t="s">
        <v>2088</v>
      </c>
      <c r="Y256" s="40" t="s">
        <v>2134</v>
      </c>
      <c r="Z256" s="40" t="s">
        <v>1</v>
      </c>
      <c r="AA256" s="28" t="str">
        <f t="shared" si="200"/>
        <v>Metro station.</v>
      </c>
    </row>
    <row r="257" spans="1:27" ht="6.65" customHeight="1" x14ac:dyDescent="0.4">
      <c r="A257" s="77">
        <v>257</v>
      </c>
      <c r="B257" s="66" t="s">
        <v>2219</v>
      </c>
      <c r="C257" s="30" t="s">
        <v>1596</v>
      </c>
      <c r="D257" s="29" t="s">
        <v>1602</v>
      </c>
      <c r="E257" s="29" t="s">
        <v>2037</v>
      </c>
      <c r="F257" s="44" t="s">
        <v>1501</v>
      </c>
      <c r="G257" s="78" t="s">
        <v>1</v>
      </c>
      <c r="H257" s="78" t="s">
        <v>1</v>
      </c>
      <c r="I257" s="78" t="s">
        <v>1</v>
      </c>
      <c r="J257" s="78" t="s">
        <v>1</v>
      </c>
      <c r="K257" s="78" t="s">
        <v>1</v>
      </c>
      <c r="L257" s="27" t="str">
        <f t="shared" si="270"/>
        <v>Infraestruturas</v>
      </c>
      <c r="M257" s="27" t="str">
        <f t="shared" si="271"/>
        <v>Ferroviárias</v>
      </c>
      <c r="N257" s="27" t="str">
        <f t="shared" si="280"/>
        <v>Ferrovias Estações</v>
      </c>
      <c r="O257" s="28" t="str">
        <f t="shared" si="272"/>
        <v>Estação.de.VLT</v>
      </c>
      <c r="P257" s="43" t="s">
        <v>1505</v>
      </c>
      <c r="Q257" s="43" t="s">
        <v>1509</v>
      </c>
      <c r="R257" s="28" t="s">
        <v>1</v>
      </c>
      <c r="S257" s="28" t="str">
        <f t="shared" si="281"/>
        <v>Infraestruturas</v>
      </c>
      <c r="T257" s="28" t="str">
        <f t="shared" si="282"/>
        <v>Ferroviárias</v>
      </c>
      <c r="U257" s="28" t="str">
        <f t="shared" si="250"/>
        <v>Ferrovias Estações</v>
      </c>
      <c r="V257" s="28" t="s">
        <v>2222</v>
      </c>
      <c r="W257" s="69" t="str">
        <f t="shared" si="181"/>
        <v>Key-INFRA-257</v>
      </c>
      <c r="X257" s="28" t="s">
        <v>2088</v>
      </c>
      <c r="Y257" s="40" t="s">
        <v>2134</v>
      </c>
      <c r="Z257" s="40" t="s">
        <v>1</v>
      </c>
      <c r="AA257" s="28" t="str">
        <f t="shared" si="200"/>
        <v>Light rail station.</v>
      </c>
    </row>
    <row r="258" spans="1:27" ht="6.65" customHeight="1" x14ac:dyDescent="0.4">
      <c r="A258" s="77">
        <v>258</v>
      </c>
      <c r="B258" s="66" t="s">
        <v>2219</v>
      </c>
      <c r="C258" s="30" t="s">
        <v>1596</v>
      </c>
      <c r="D258" s="29" t="s">
        <v>1602</v>
      </c>
      <c r="E258" s="29" t="s">
        <v>2037</v>
      </c>
      <c r="F258" s="44" t="s">
        <v>1502</v>
      </c>
      <c r="G258" s="78" t="s">
        <v>1</v>
      </c>
      <c r="H258" s="78" t="s">
        <v>1</v>
      </c>
      <c r="I258" s="78" t="s">
        <v>1</v>
      </c>
      <c r="J258" s="78" t="s">
        <v>1</v>
      </c>
      <c r="K258" s="78" t="s">
        <v>1</v>
      </c>
      <c r="L258" s="27" t="str">
        <f t="shared" si="270"/>
        <v>Infraestruturas</v>
      </c>
      <c r="M258" s="27" t="str">
        <f t="shared" si="271"/>
        <v>Ferroviárias</v>
      </c>
      <c r="N258" s="27" t="str">
        <f t="shared" si="280"/>
        <v>Ferrovias Estações</v>
      </c>
      <c r="O258" s="28" t="str">
        <f t="shared" si="272"/>
        <v>Estação.de.Monotrilho</v>
      </c>
      <c r="P258" s="43" t="s">
        <v>1506</v>
      </c>
      <c r="Q258" s="43" t="s">
        <v>1510</v>
      </c>
      <c r="R258" s="28" t="s">
        <v>1</v>
      </c>
      <c r="S258" s="28" t="str">
        <f t="shared" si="281"/>
        <v>Infraestruturas</v>
      </c>
      <c r="T258" s="28" t="str">
        <f t="shared" si="282"/>
        <v>Ferroviárias</v>
      </c>
      <c r="U258" s="28" t="str">
        <f t="shared" si="250"/>
        <v>Ferrovias Estações</v>
      </c>
      <c r="V258" s="28" t="s">
        <v>2222</v>
      </c>
      <c r="W258" s="69" t="str">
        <f t="shared" ref="W258:W321" si="296">CONCATENATE("Key-INFRA-",A258)</f>
        <v>Key-INFRA-258</v>
      </c>
      <c r="X258" s="28" t="s">
        <v>2088</v>
      </c>
      <c r="Y258" s="40" t="s">
        <v>2153</v>
      </c>
      <c r="Z258" s="40" t="s">
        <v>1</v>
      </c>
      <c r="AA258" s="28" t="str">
        <f t="shared" si="200"/>
        <v>Monorail station.</v>
      </c>
    </row>
    <row r="259" spans="1:27" ht="6.65" customHeight="1" x14ac:dyDescent="0.4">
      <c r="A259" s="77">
        <v>259</v>
      </c>
      <c r="B259" s="66" t="s">
        <v>2219</v>
      </c>
      <c r="C259" s="30" t="s">
        <v>1596</v>
      </c>
      <c r="D259" s="29" t="s">
        <v>1602</v>
      </c>
      <c r="E259" s="29" t="s">
        <v>1613</v>
      </c>
      <c r="F259" s="44" t="s">
        <v>2038</v>
      </c>
      <c r="G259" s="78" t="s">
        <v>1</v>
      </c>
      <c r="H259" s="78" t="s">
        <v>1</v>
      </c>
      <c r="I259" s="78" t="s">
        <v>1</v>
      </c>
      <c r="J259" s="78" t="s">
        <v>1</v>
      </c>
      <c r="K259" s="78" t="s">
        <v>1</v>
      </c>
      <c r="L259" s="27" t="str">
        <f t="shared" si="270"/>
        <v>Infraestruturas</v>
      </c>
      <c r="M259" s="27" t="str">
        <f t="shared" si="271"/>
        <v>Ferroviárias</v>
      </c>
      <c r="N259" s="27" t="str">
        <f t="shared" si="280"/>
        <v>Ferrovias Trilhos</v>
      </c>
      <c r="O259" s="28" t="str">
        <f t="shared" si="272"/>
        <v>Trilho.de.Bitola.Métrica</v>
      </c>
      <c r="P259" s="43" t="s">
        <v>2042</v>
      </c>
      <c r="Q259" s="28" t="s">
        <v>2047</v>
      </c>
      <c r="R259" s="28" t="s">
        <v>1</v>
      </c>
      <c r="S259" s="28" t="str">
        <f t="shared" si="281"/>
        <v>Infraestruturas</v>
      </c>
      <c r="T259" s="28" t="str">
        <f t="shared" si="282"/>
        <v>Ferroviárias</v>
      </c>
      <c r="U259" s="28" t="str">
        <f t="shared" si="250"/>
        <v>Ferrovias Trilhos</v>
      </c>
      <c r="V259" s="28" t="s">
        <v>2222</v>
      </c>
      <c r="W259" s="69" t="str">
        <f t="shared" si="296"/>
        <v>Key-INFRA-259</v>
      </c>
      <c r="X259" s="28" t="s">
        <v>2097</v>
      </c>
      <c r="Y259" s="40" t="s">
        <v>2153</v>
      </c>
      <c r="Z259" s="40" t="s">
        <v>1</v>
      </c>
      <c r="AA259" s="28" t="str">
        <f t="shared" si="200"/>
        <v>Rail designed with the internal distance between rails of 1000 mm.</v>
      </c>
    </row>
    <row r="260" spans="1:27" ht="6.65" customHeight="1" x14ac:dyDescent="0.4">
      <c r="A260" s="77">
        <v>260</v>
      </c>
      <c r="B260" s="66" t="s">
        <v>2219</v>
      </c>
      <c r="C260" s="30" t="s">
        <v>1596</v>
      </c>
      <c r="D260" s="29" t="s">
        <v>1602</v>
      </c>
      <c r="E260" s="29" t="s">
        <v>1613</v>
      </c>
      <c r="F260" s="44" t="s">
        <v>2039</v>
      </c>
      <c r="G260" s="78" t="s">
        <v>1</v>
      </c>
      <c r="H260" s="78" t="s">
        <v>1</v>
      </c>
      <c r="I260" s="78" t="s">
        <v>1</v>
      </c>
      <c r="J260" s="78" t="s">
        <v>1</v>
      </c>
      <c r="K260" s="78" t="s">
        <v>1</v>
      </c>
      <c r="L260" s="27" t="str">
        <f t="shared" si="270"/>
        <v>Infraestruturas</v>
      </c>
      <c r="M260" s="27" t="str">
        <f t="shared" si="271"/>
        <v>Ferroviárias</v>
      </c>
      <c r="N260" s="27" t="str">
        <f t="shared" si="280"/>
        <v>Ferrovias Trilhos</v>
      </c>
      <c r="O260" s="28" t="str">
        <f t="shared" si="272"/>
        <v>Trilho.de.Bitola.Internacional</v>
      </c>
      <c r="P260" s="43" t="s">
        <v>2044</v>
      </c>
      <c r="Q260" s="28" t="s">
        <v>2048</v>
      </c>
      <c r="R260" s="28" t="s">
        <v>1</v>
      </c>
      <c r="S260" s="28" t="str">
        <f t="shared" si="281"/>
        <v>Infraestruturas</v>
      </c>
      <c r="T260" s="28" t="str">
        <f t="shared" si="282"/>
        <v>Ferroviárias</v>
      </c>
      <c r="U260" s="28" t="str">
        <f t="shared" ref="U260:U262" si="297">SUBSTITUTE(E260, ".", " ")</f>
        <v>Ferrovias Trilhos</v>
      </c>
      <c r="V260" s="28" t="s">
        <v>2222</v>
      </c>
      <c r="W260" s="69" t="str">
        <f t="shared" si="296"/>
        <v>Key-INFRA-260</v>
      </c>
      <c r="X260" s="28" t="s">
        <v>2097</v>
      </c>
      <c r="Y260" s="40" t="s">
        <v>2153</v>
      </c>
      <c r="Z260" s="40" t="s">
        <v>1</v>
      </c>
      <c r="AA260" s="28" t="str">
        <f t="shared" si="200"/>
        <v>Rail designed with the internal distance between rails of 1435 mm.</v>
      </c>
    </row>
    <row r="261" spans="1:27" ht="6.65" customHeight="1" x14ac:dyDescent="0.4">
      <c r="A261" s="77">
        <v>261</v>
      </c>
      <c r="B261" s="66" t="s">
        <v>2219</v>
      </c>
      <c r="C261" s="30" t="s">
        <v>1596</v>
      </c>
      <c r="D261" s="29" t="s">
        <v>1602</v>
      </c>
      <c r="E261" s="29" t="s">
        <v>1613</v>
      </c>
      <c r="F261" s="44" t="s">
        <v>2040</v>
      </c>
      <c r="G261" s="78" t="s">
        <v>1</v>
      </c>
      <c r="H261" s="78" t="s">
        <v>1</v>
      </c>
      <c r="I261" s="78" t="s">
        <v>1</v>
      </c>
      <c r="J261" s="78" t="s">
        <v>1</v>
      </c>
      <c r="K261" s="78" t="s">
        <v>1</v>
      </c>
      <c r="L261" s="27" t="str">
        <f t="shared" si="270"/>
        <v>Infraestruturas</v>
      </c>
      <c r="M261" s="27" t="str">
        <f t="shared" si="271"/>
        <v>Ferroviárias</v>
      </c>
      <c r="N261" s="27" t="str">
        <f t="shared" si="280"/>
        <v>Ferrovias Trilhos</v>
      </c>
      <c r="O261" s="28" t="str">
        <f t="shared" si="272"/>
        <v>Trilho.de.Bitola.Irlandesa</v>
      </c>
      <c r="P261" s="43" t="s">
        <v>2043</v>
      </c>
      <c r="Q261" s="28" t="s">
        <v>2049</v>
      </c>
      <c r="R261" s="28" t="s">
        <v>1</v>
      </c>
      <c r="S261" s="28" t="str">
        <f t="shared" si="281"/>
        <v>Infraestruturas</v>
      </c>
      <c r="T261" s="28" t="str">
        <f t="shared" si="282"/>
        <v>Ferroviárias</v>
      </c>
      <c r="U261" s="28" t="str">
        <f t="shared" si="297"/>
        <v>Ferrovias Trilhos</v>
      </c>
      <c r="V261" s="28" t="s">
        <v>2222</v>
      </c>
      <c r="W261" s="69" t="str">
        <f t="shared" si="296"/>
        <v>Key-INFRA-261</v>
      </c>
      <c r="X261" s="28" t="s">
        <v>2097</v>
      </c>
      <c r="Y261" s="40" t="s">
        <v>2153</v>
      </c>
      <c r="Z261" s="40" t="s">
        <v>1</v>
      </c>
      <c r="AA261" s="28" t="str">
        <f t="shared" si="200"/>
        <v>Rail designed with the internal distance between rails of 1600 mm.</v>
      </c>
    </row>
    <row r="262" spans="1:27" ht="6.65" customHeight="1" x14ac:dyDescent="0.4">
      <c r="A262" s="77">
        <v>262</v>
      </c>
      <c r="B262" s="66" t="s">
        <v>2219</v>
      </c>
      <c r="C262" s="30" t="s">
        <v>1596</v>
      </c>
      <c r="D262" s="29" t="s">
        <v>1602</v>
      </c>
      <c r="E262" s="29" t="s">
        <v>1613</v>
      </c>
      <c r="F262" s="44" t="s">
        <v>2041</v>
      </c>
      <c r="G262" s="78" t="s">
        <v>1</v>
      </c>
      <c r="H262" s="78" t="s">
        <v>1</v>
      </c>
      <c r="I262" s="78" t="s">
        <v>1</v>
      </c>
      <c r="J262" s="78" t="s">
        <v>1</v>
      </c>
      <c r="K262" s="78" t="s">
        <v>1</v>
      </c>
      <c r="L262" s="27" t="str">
        <f t="shared" si="270"/>
        <v>Infraestruturas</v>
      </c>
      <c r="M262" s="27" t="str">
        <f t="shared" si="271"/>
        <v>Ferroviárias</v>
      </c>
      <c r="N262" s="27" t="str">
        <f t="shared" si="280"/>
        <v>Ferrovias Trilhos</v>
      </c>
      <c r="O262" s="28" t="str">
        <f t="shared" si="272"/>
        <v>Trilho.de.Bitola.Mista</v>
      </c>
      <c r="P262" s="43" t="s">
        <v>2045</v>
      </c>
      <c r="Q262" s="28" t="s">
        <v>2046</v>
      </c>
      <c r="R262" s="28" t="s">
        <v>1</v>
      </c>
      <c r="S262" s="28" t="str">
        <f t="shared" si="281"/>
        <v>Infraestruturas</v>
      </c>
      <c r="T262" s="28" t="str">
        <f t="shared" si="282"/>
        <v>Ferroviárias</v>
      </c>
      <c r="U262" s="28" t="str">
        <f t="shared" si="297"/>
        <v>Ferrovias Trilhos</v>
      </c>
      <c r="V262" s="28" t="s">
        <v>2222</v>
      </c>
      <c r="W262" s="69" t="str">
        <f t="shared" si="296"/>
        <v>Key-INFRA-262</v>
      </c>
      <c r="X262" s="28" t="s">
        <v>2097</v>
      </c>
      <c r="Y262" s="40" t="s">
        <v>2154</v>
      </c>
      <c r="Z262" s="40" t="s">
        <v>1</v>
      </c>
      <c r="AA262" s="28" t="str">
        <f t="shared" si="200"/>
        <v>Railway track designed with International and Irish gauge.</v>
      </c>
    </row>
    <row r="263" spans="1:27" ht="6.65" customHeight="1" x14ac:dyDescent="0.4">
      <c r="A263" s="77">
        <v>263</v>
      </c>
      <c r="B263" s="66" t="s">
        <v>2219</v>
      </c>
      <c r="C263" s="30" t="s">
        <v>1596</v>
      </c>
      <c r="D263" s="29" t="s">
        <v>1602</v>
      </c>
      <c r="E263" s="29" t="s">
        <v>1613</v>
      </c>
      <c r="F263" s="87" t="s">
        <v>282</v>
      </c>
      <c r="G263" s="78" t="s">
        <v>1</v>
      </c>
      <c r="H263" s="78" t="s">
        <v>1</v>
      </c>
      <c r="I263" s="78" t="s">
        <v>1</v>
      </c>
      <c r="J263" s="78" t="s">
        <v>1</v>
      </c>
      <c r="K263" s="78" t="s">
        <v>1</v>
      </c>
      <c r="L263" s="27" t="str">
        <f t="shared" ref="L263" si="298">CONCATENATE("", C263)</f>
        <v>Infraestruturas</v>
      </c>
      <c r="M263" s="27" t="str">
        <f t="shared" ref="M263" si="299">CONCATENATE("", D263)</f>
        <v>Ferroviárias</v>
      </c>
      <c r="N263" s="27" t="str">
        <f t="shared" si="269"/>
        <v>Ferrovias Trilhos</v>
      </c>
      <c r="O263" s="28" t="str">
        <f t="shared" si="262"/>
        <v>Trilho</v>
      </c>
      <c r="P263" s="88" t="s">
        <v>283</v>
      </c>
      <c r="Q263" s="28" t="s">
        <v>341</v>
      </c>
      <c r="R263" s="28" t="s">
        <v>1</v>
      </c>
      <c r="S263" s="28" t="str">
        <f t="shared" si="249"/>
        <v>Infraestruturas</v>
      </c>
      <c r="T263" s="28" t="str">
        <f t="shared" si="250"/>
        <v>Ferroviárias</v>
      </c>
      <c r="U263" s="28" t="str">
        <f t="shared" si="250"/>
        <v>Ferrovias Trilhos</v>
      </c>
      <c r="V263" s="28" t="s">
        <v>2222</v>
      </c>
      <c r="W263" s="69" t="str">
        <f t="shared" si="296"/>
        <v>Key-INFRA-263</v>
      </c>
      <c r="X263" s="28" t="s">
        <v>2097</v>
      </c>
      <c r="Y263" s="40" t="s">
        <v>2154</v>
      </c>
      <c r="Z263" s="40" t="s">
        <v>1</v>
      </c>
      <c r="AA263" s="28" t="str">
        <f t="shared" si="200"/>
        <v>The basic component of the railroad on which trains run.</v>
      </c>
    </row>
    <row r="264" spans="1:27" ht="6.65" customHeight="1" x14ac:dyDescent="0.4">
      <c r="A264" s="77">
        <v>264</v>
      </c>
      <c r="B264" s="66" t="s">
        <v>2219</v>
      </c>
      <c r="C264" s="30" t="s">
        <v>1596</v>
      </c>
      <c r="D264" s="29" t="s">
        <v>1602</v>
      </c>
      <c r="E264" s="29" t="s">
        <v>1613</v>
      </c>
      <c r="F264" s="87" t="s">
        <v>287</v>
      </c>
      <c r="G264" s="78" t="s">
        <v>1</v>
      </c>
      <c r="H264" s="78" t="s">
        <v>1</v>
      </c>
      <c r="I264" s="78" t="s">
        <v>1</v>
      </c>
      <c r="J264" s="78" t="s">
        <v>1</v>
      </c>
      <c r="K264" s="78" t="s">
        <v>1</v>
      </c>
      <c r="L264" s="27" t="str">
        <f t="shared" ref="L264:L278" si="300">CONCATENATE("", C264)</f>
        <v>Infraestruturas</v>
      </c>
      <c r="M264" s="27" t="str">
        <f t="shared" ref="M264:M278" si="301">CONCATENATE("", D264)</f>
        <v>Ferroviárias</v>
      </c>
      <c r="N264" s="27" t="str">
        <f t="shared" ref="N264:N278" si="302">(SUBSTITUTE(SUBSTITUTE(CONCATENATE("",E264),"."," ")," De "," de "))</f>
        <v>Ferrovias Trilhos</v>
      </c>
      <c r="O264" s="28" t="str">
        <f t="shared" si="262"/>
        <v>Trilho.Lâmina</v>
      </c>
      <c r="P264" s="88" t="s">
        <v>278</v>
      </c>
      <c r="Q264" s="28" t="s">
        <v>342</v>
      </c>
      <c r="R264" s="28" t="s">
        <v>1</v>
      </c>
      <c r="S264" s="28" t="str">
        <f t="shared" si="249"/>
        <v>Infraestruturas</v>
      </c>
      <c r="T264" s="28" t="str">
        <f t="shared" si="250"/>
        <v>Ferroviárias</v>
      </c>
      <c r="U264" s="28" t="str">
        <f t="shared" si="250"/>
        <v>Ferrovias Trilhos</v>
      </c>
      <c r="V264" s="28" t="s">
        <v>2222</v>
      </c>
      <c r="W264" s="69" t="str">
        <f t="shared" si="296"/>
        <v>Key-INFRA-264</v>
      </c>
      <c r="X264" s="28" t="s">
        <v>2097</v>
      </c>
      <c r="Y264" s="40" t="s">
        <v>2154</v>
      </c>
      <c r="Z264" s="40" t="s">
        <v>1</v>
      </c>
      <c r="AA264" s="28" t="str">
        <f t="shared" si="200"/>
        <v>It can refer to the cutting edge or profile of the rail, used in technical contexts.</v>
      </c>
    </row>
    <row r="265" spans="1:27" ht="6.65" customHeight="1" x14ac:dyDescent="0.4">
      <c r="A265" s="77">
        <v>265</v>
      </c>
      <c r="B265" s="66" t="s">
        <v>2219</v>
      </c>
      <c r="C265" s="30" t="s">
        <v>1596</v>
      </c>
      <c r="D265" s="29" t="s">
        <v>1602</v>
      </c>
      <c r="E265" s="29" t="s">
        <v>1613</v>
      </c>
      <c r="F265" s="87" t="s">
        <v>1564</v>
      </c>
      <c r="G265" s="78" t="s">
        <v>1</v>
      </c>
      <c r="H265" s="78" t="s">
        <v>1</v>
      </c>
      <c r="I265" s="78" t="s">
        <v>1</v>
      </c>
      <c r="J265" s="78" t="s">
        <v>1</v>
      </c>
      <c r="K265" s="78" t="s">
        <v>1</v>
      </c>
      <c r="L265" s="27" t="str">
        <f t="shared" si="300"/>
        <v>Infraestruturas</v>
      </c>
      <c r="M265" s="27" t="str">
        <f t="shared" si="301"/>
        <v>Ferroviárias</v>
      </c>
      <c r="N265" s="27" t="str">
        <f t="shared" si="302"/>
        <v>Ferrovias Trilhos</v>
      </c>
      <c r="O265" s="28" t="str">
        <f t="shared" si="262"/>
        <v>Trilho.de.Contenção</v>
      </c>
      <c r="P265" s="88" t="s">
        <v>279</v>
      </c>
      <c r="Q265" s="28" t="s">
        <v>343</v>
      </c>
      <c r="R265" s="28" t="s">
        <v>1</v>
      </c>
      <c r="S265" s="28" t="str">
        <f t="shared" si="249"/>
        <v>Infraestruturas</v>
      </c>
      <c r="T265" s="28" t="str">
        <f t="shared" si="250"/>
        <v>Ferroviárias</v>
      </c>
      <c r="U265" s="28" t="str">
        <f t="shared" si="250"/>
        <v>Ferrovias Trilhos</v>
      </c>
      <c r="V265" s="28" t="s">
        <v>2222</v>
      </c>
      <c r="W265" s="69" t="str">
        <f t="shared" si="296"/>
        <v>Key-INFRA-265</v>
      </c>
      <c r="X265" s="28" t="s">
        <v>2097</v>
      </c>
      <c r="Y265" s="40" t="s">
        <v>2154</v>
      </c>
      <c r="Z265" s="40" t="s">
        <v>1</v>
      </c>
      <c r="AA265" s="28" t="str">
        <f t="shared" ref="AA265:AA328" si="303">_xlfn.TRANSLATE(P265,"pt","en")</f>
        <v>Additional rail placed next to the main rail on sharp turns to prevent derailment.</v>
      </c>
    </row>
    <row r="266" spans="1:27" ht="6.65" customHeight="1" x14ac:dyDescent="0.4">
      <c r="A266" s="77">
        <v>266</v>
      </c>
      <c r="B266" s="66" t="s">
        <v>2219</v>
      </c>
      <c r="C266" s="30" t="s">
        <v>1596</v>
      </c>
      <c r="D266" s="29" t="s">
        <v>1602</v>
      </c>
      <c r="E266" s="29" t="s">
        <v>1613</v>
      </c>
      <c r="F266" s="87" t="s">
        <v>1565</v>
      </c>
      <c r="G266" s="78" t="s">
        <v>1</v>
      </c>
      <c r="H266" s="78" t="s">
        <v>1</v>
      </c>
      <c r="I266" s="78" t="s">
        <v>1</v>
      </c>
      <c r="J266" s="78" t="s">
        <v>1</v>
      </c>
      <c r="K266" s="78" t="s">
        <v>1</v>
      </c>
      <c r="L266" s="27" t="str">
        <f t="shared" si="300"/>
        <v>Infraestruturas</v>
      </c>
      <c r="M266" s="27" t="str">
        <f t="shared" si="301"/>
        <v>Ferroviárias</v>
      </c>
      <c r="N266" s="27" t="str">
        <f t="shared" si="302"/>
        <v>Ferrovias Trilhos</v>
      </c>
      <c r="O266" s="28" t="str">
        <f t="shared" si="262"/>
        <v>Trilho.de.Segurança</v>
      </c>
      <c r="P266" s="88" t="s">
        <v>280</v>
      </c>
      <c r="Q266" s="28" t="s">
        <v>344</v>
      </c>
      <c r="R266" s="28" t="s">
        <v>1</v>
      </c>
      <c r="S266" s="28" t="str">
        <f t="shared" si="249"/>
        <v>Infraestruturas</v>
      </c>
      <c r="T266" s="28" t="str">
        <f t="shared" si="250"/>
        <v>Ferroviárias</v>
      </c>
      <c r="U266" s="28" t="str">
        <f t="shared" si="250"/>
        <v>Ferrovias Trilhos</v>
      </c>
      <c r="V266" s="28" t="s">
        <v>2222</v>
      </c>
      <c r="W266" s="69" t="str">
        <f t="shared" si="296"/>
        <v>Key-INFRA-266</v>
      </c>
      <c r="X266" s="28" t="s">
        <v>2097</v>
      </c>
      <c r="Y266" s="40" t="s">
        <v>2154</v>
      </c>
      <c r="Z266" s="40" t="s">
        <v>1</v>
      </c>
      <c r="AA266" s="28" t="str">
        <f t="shared" si="303"/>
        <v>Similar to checkrail, it protects against derailments, especially at bridges and crossings.</v>
      </c>
    </row>
    <row r="267" spans="1:27" ht="6.65" customHeight="1" x14ac:dyDescent="0.4">
      <c r="A267" s="77">
        <v>267</v>
      </c>
      <c r="B267" s="66" t="s">
        <v>2219</v>
      </c>
      <c r="C267" s="30" t="s">
        <v>1596</v>
      </c>
      <c r="D267" s="29" t="s">
        <v>1602</v>
      </c>
      <c r="E267" s="29" t="s">
        <v>1613</v>
      </c>
      <c r="F267" s="87" t="s">
        <v>286</v>
      </c>
      <c r="G267" s="78" t="s">
        <v>1</v>
      </c>
      <c r="H267" s="78" t="s">
        <v>1</v>
      </c>
      <c r="I267" s="78" t="s">
        <v>1</v>
      </c>
      <c r="J267" s="78" t="s">
        <v>1</v>
      </c>
      <c r="K267" s="78" t="s">
        <v>1</v>
      </c>
      <c r="L267" s="27" t="str">
        <f t="shared" si="300"/>
        <v>Infraestruturas</v>
      </c>
      <c r="M267" s="27" t="str">
        <f t="shared" si="301"/>
        <v>Ferroviárias</v>
      </c>
      <c r="N267" s="27" t="str">
        <f t="shared" si="302"/>
        <v>Ferrovias Trilhos</v>
      </c>
      <c r="O267" s="28" t="str">
        <f t="shared" si="262"/>
        <v>Trilho.Dentado</v>
      </c>
      <c r="P267" s="88" t="s">
        <v>281</v>
      </c>
      <c r="Q267" s="28" t="s">
        <v>345</v>
      </c>
      <c r="R267" s="28" t="s">
        <v>1</v>
      </c>
      <c r="S267" s="28" t="str">
        <f t="shared" si="249"/>
        <v>Infraestruturas</v>
      </c>
      <c r="T267" s="28" t="str">
        <f t="shared" si="250"/>
        <v>Ferroviárias</v>
      </c>
      <c r="U267" s="28" t="str">
        <f t="shared" si="250"/>
        <v>Ferrovias Trilhos</v>
      </c>
      <c r="V267" s="28" t="s">
        <v>2222</v>
      </c>
      <c r="W267" s="69" t="str">
        <f t="shared" si="296"/>
        <v>Key-INFRA-267</v>
      </c>
      <c r="X267" s="28" t="s">
        <v>2097</v>
      </c>
      <c r="Y267" s="40" t="s">
        <v>2154</v>
      </c>
      <c r="Z267" s="40" t="s">
        <v>1</v>
      </c>
      <c r="AA267" s="28" t="str">
        <f t="shared" si="303"/>
        <v>Used on cogwheel railways, where locomotives climb steep inclines with gears.</v>
      </c>
    </row>
    <row r="268" spans="1:27" ht="6.65" customHeight="1" x14ac:dyDescent="0.4">
      <c r="A268" s="77">
        <v>268</v>
      </c>
      <c r="B268" s="66" t="s">
        <v>2219</v>
      </c>
      <c r="C268" s="30" t="s">
        <v>1596</v>
      </c>
      <c r="D268" s="29" t="s">
        <v>1602</v>
      </c>
      <c r="E268" s="29" t="s">
        <v>1613</v>
      </c>
      <c r="F268" s="87" t="s">
        <v>285</v>
      </c>
      <c r="G268" s="78" t="s">
        <v>1</v>
      </c>
      <c r="H268" s="78" t="s">
        <v>1</v>
      </c>
      <c r="I268" s="78" t="s">
        <v>1</v>
      </c>
      <c r="J268" s="78" t="s">
        <v>1</v>
      </c>
      <c r="K268" s="78" t="s">
        <v>1</v>
      </c>
      <c r="L268" s="27" t="str">
        <f t="shared" si="300"/>
        <v>Infraestruturas</v>
      </c>
      <c r="M268" s="27" t="str">
        <f t="shared" si="301"/>
        <v>Ferroviárias</v>
      </c>
      <c r="N268" s="27" t="str">
        <f t="shared" si="302"/>
        <v>Ferrovias Trilhos</v>
      </c>
      <c r="O268" s="28" t="str">
        <f t="shared" si="262"/>
        <v>Trilho.Fixo</v>
      </c>
      <c r="P268" s="88" t="s">
        <v>284</v>
      </c>
      <c r="Q268" s="28" t="s">
        <v>346</v>
      </c>
      <c r="R268" s="28" t="s">
        <v>1</v>
      </c>
      <c r="S268" s="28" t="str">
        <f t="shared" si="249"/>
        <v>Infraestruturas</v>
      </c>
      <c r="T268" s="28" t="str">
        <f t="shared" si="250"/>
        <v>Ferroviárias</v>
      </c>
      <c r="U268" s="28" t="str">
        <f t="shared" si="250"/>
        <v>Ferrovias Trilhos</v>
      </c>
      <c r="V268" s="28" t="s">
        <v>2222</v>
      </c>
      <c r="W268" s="69" t="str">
        <f t="shared" si="296"/>
        <v>Key-INFRA-268</v>
      </c>
      <c r="X268" s="28" t="s">
        <v>2097</v>
      </c>
      <c r="Y268" s="40" t="s">
        <v>2155</v>
      </c>
      <c r="Z268" s="40" t="s">
        <v>1</v>
      </c>
      <c r="AA268" s="28" t="str">
        <f t="shared" si="303"/>
        <v>Part of the rail that remains fixed on turnouts, against which the moving rail rests.</v>
      </c>
    </row>
    <row r="269" spans="1:27" ht="6.65" customHeight="1" x14ac:dyDescent="0.4">
      <c r="A269" s="77">
        <v>269</v>
      </c>
      <c r="B269" s="66" t="s">
        <v>2219</v>
      </c>
      <c r="C269" s="30" t="s">
        <v>1596</v>
      </c>
      <c r="D269" s="29" t="s">
        <v>1602</v>
      </c>
      <c r="E269" s="29" t="s">
        <v>1613</v>
      </c>
      <c r="F269" s="87" t="s">
        <v>308</v>
      </c>
      <c r="G269" s="78" t="s">
        <v>1</v>
      </c>
      <c r="H269" s="78" t="s">
        <v>1</v>
      </c>
      <c r="I269" s="78" t="s">
        <v>1</v>
      </c>
      <c r="J269" s="78" t="s">
        <v>1</v>
      </c>
      <c r="K269" s="78" t="s">
        <v>1</v>
      </c>
      <c r="L269" s="27" t="str">
        <f t="shared" si="300"/>
        <v>Infraestruturas</v>
      </c>
      <c r="M269" s="27" t="str">
        <f t="shared" si="301"/>
        <v>Ferroviárias</v>
      </c>
      <c r="N269" s="27" t="str">
        <f t="shared" si="302"/>
        <v>Ferrovias Trilhos</v>
      </c>
      <c r="O269" s="28" t="str">
        <f t="shared" si="262"/>
        <v>Trilho.AMV</v>
      </c>
      <c r="P269" s="88" t="s">
        <v>299</v>
      </c>
      <c r="Q269" s="28" t="s">
        <v>347</v>
      </c>
      <c r="R269" s="28" t="s">
        <v>1</v>
      </c>
      <c r="S269" s="28" t="str">
        <f t="shared" si="249"/>
        <v>Infraestruturas</v>
      </c>
      <c r="T269" s="28" t="str">
        <f t="shared" si="250"/>
        <v>Ferroviárias</v>
      </c>
      <c r="U269" s="28" t="str">
        <f t="shared" si="250"/>
        <v>Ferrovias Trilhos</v>
      </c>
      <c r="V269" s="28" t="s">
        <v>2222</v>
      </c>
      <c r="W269" s="69" t="str">
        <f t="shared" si="296"/>
        <v>Key-INFRA-269</v>
      </c>
      <c r="X269" s="28" t="s">
        <v>2097</v>
      </c>
      <c r="Y269" s="43" t="s">
        <v>2155</v>
      </c>
      <c r="Z269" s="40" t="s">
        <v>1</v>
      </c>
      <c r="AA269" s="28" t="str">
        <f t="shared" si="303"/>
        <v>A section that allows the train to change tracks, such as at crossings or detours.</v>
      </c>
    </row>
    <row r="270" spans="1:27" ht="6.65" customHeight="1" x14ac:dyDescent="0.4">
      <c r="A270" s="77">
        <v>270</v>
      </c>
      <c r="B270" s="66" t="s">
        <v>2219</v>
      </c>
      <c r="C270" s="30" t="s">
        <v>1596</v>
      </c>
      <c r="D270" s="29" t="s">
        <v>1602</v>
      </c>
      <c r="E270" s="29" t="s">
        <v>1613</v>
      </c>
      <c r="F270" s="87" t="s">
        <v>312</v>
      </c>
      <c r="G270" s="78" t="s">
        <v>1</v>
      </c>
      <c r="H270" s="78" t="s">
        <v>1</v>
      </c>
      <c r="I270" s="78" t="s">
        <v>1</v>
      </c>
      <c r="J270" s="78" t="s">
        <v>1</v>
      </c>
      <c r="K270" s="78" t="s">
        <v>1</v>
      </c>
      <c r="L270" s="27" t="str">
        <f t="shared" si="300"/>
        <v>Infraestruturas</v>
      </c>
      <c r="M270" s="27" t="str">
        <f t="shared" si="301"/>
        <v>Ferroviárias</v>
      </c>
      <c r="N270" s="27" t="str">
        <f t="shared" si="302"/>
        <v>Ferrovias Trilhos</v>
      </c>
      <c r="O270" s="28" t="str">
        <f t="shared" si="262"/>
        <v>Trilho.Bloqueador</v>
      </c>
      <c r="P270" s="88" t="s">
        <v>300</v>
      </c>
      <c r="Q270" s="28" t="s">
        <v>348</v>
      </c>
      <c r="R270" s="28" t="s">
        <v>1</v>
      </c>
      <c r="S270" s="28" t="str">
        <f t="shared" si="249"/>
        <v>Infraestruturas</v>
      </c>
      <c r="T270" s="28" t="str">
        <f t="shared" si="250"/>
        <v>Ferroviárias</v>
      </c>
      <c r="U270" s="28" t="str">
        <f t="shared" si="250"/>
        <v>Ferrovias Trilhos</v>
      </c>
      <c r="V270" s="28" t="s">
        <v>2222</v>
      </c>
      <c r="W270" s="69" t="str">
        <f t="shared" si="296"/>
        <v>Key-INFRA-270</v>
      </c>
      <c r="X270" s="28" t="s">
        <v>2097</v>
      </c>
      <c r="Y270" s="43" t="s">
        <v>2155</v>
      </c>
      <c r="Z270" s="40" t="s">
        <v>1</v>
      </c>
      <c r="AA270" s="28" t="str">
        <f t="shared" si="303"/>
        <v>Equipment that prevents the movement of trains under certain conditions.</v>
      </c>
    </row>
    <row r="271" spans="1:27" ht="6.65" customHeight="1" x14ac:dyDescent="0.4">
      <c r="A271" s="77">
        <v>271</v>
      </c>
      <c r="B271" s="66" t="s">
        <v>2219</v>
      </c>
      <c r="C271" s="30" t="s">
        <v>1596</v>
      </c>
      <c r="D271" s="29" t="s">
        <v>1602</v>
      </c>
      <c r="E271" s="29" t="s">
        <v>1613</v>
      </c>
      <c r="F271" s="87" t="s">
        <v>309</v>
      </c>
      <c r="G271" s="78" t="s">
        <v>1</v>
      </c>
      <c r="H271" s="78" t="s">
        <v>1</v>
      </c>
      <c r="I271" s="78" t="s">
        <v>1</v>
      </c>
      <c r="J271" s="78" t="s">
        <v>1</v>
      </c>
      <c r="K271" s="78" t="s">
        <v>1</v>
      </c>
      <c r="L271" s="27" t="str">
        <f t="shared" si="300"/>
        <v>Infraestruturas</v>
      </c>
      <c r="M271" s="27" t="str">
        <f t="shared" si="301"/>
        <v>Ferroviárias</v>
      </c>
      <c r="N271" s="27" t="str">
        <f t="shared" si="302"/>
        <v>Ferrovias Trilhos</v>
      </c>
      <c r="O271" s="28" t="str">
        <f t="shared" si="262"/>
        <v>Trilho.Descarrilador</v>
      </c>
      <c r="P271" s="88" t="s">
        <v>301</v>
      </c>
      <c r="Q271" s="28" t="s">
        <v>349</v>
      </c>
      <c r="R271" s="28" t="s">
        <v>1</v>
      </c>
      <c r="S271" s="28" t="str">
        <f t="shared" si="249"/>
        <v>Infraestruturas</v>
      </c>
      <c r="T271" s="28" t="str">
        <f t="shared" si="250"/>
        <v>Ferroviárias</v>
      </c>
      <c r="U271" s="28" t="str">
        <f t="shared" si="250"/>
        <v>Ferrovias Trilhos</v>
      </c>
      <c r="V271" s="28" t="s">
        <v>2222</v>
      </c>
      <c r="W271" s="69" t="str">
        <f t="shared" si="296"/>
        <v>Key-INFRA-271</v>
      </c>
      <c r="X271" s="28" t="s">
        <v>2097</v>
      </c>
      <c r="Y271" s="43" t="s">
        <v>2155</v>
      </c>
      <c r="Z271" s="40" t="s">
        <v>1</v>
      </c>
      <c r="AA271" s="28" t="str">
        <f t="shared" si="303"/>
        <v>Safety device that forces the train off the tracks in the event of an emergency.</v>
      </c>
    </row>
    <row r="272" spans="1:27" ht="6.65" customHeight="1" x14ac:dyDescent="0.4">
      <c r="A272" s="77">
        <v>272</v>
      </c>
      <c r="B272" s="66" t="s">
        <v>2219</v>
      </c>
      <c r="C272" s="30" t="s">
        <v>1596</v>
      </c>
      <c r="D272" s="29" t="s">
        <v>1602</v>
      </c>
      <c r="E272" s="29" t="s">
        <v>1613</v>
      </c>
      <c r="F272" s="87" t="s">
        <v>311</v>
      </c>
      <c r="G272" s="78" t="s">
        <v>1</v>
      </c>
      <c r="H272" s="78" t="s">
        <v>1</v>
      </c>
      <c r="I272" s="78" t="s">
        <v>1</v>
      </c>
      <c r="J272" s="78" t="s">
        <v>1</v>
      </c>
      <c r="K272" s="78" t="s">
        <v>1</v>
      </c>
      <c r="L272" s="27" t="str">
        <f t="shared" si="300"/>
        <v>Infraestruturas</v>
      </c>
      <c r="M272" s="27" t="str">
        <f t="shared" si="301"/>
        <v>Ferroviárias</v>
      </c>
      <c r="N272" s="27" t="str">
        <f t="shared" si="302"/>
        <v>Ferrovias Trilhos</v>
      </c>
      <c r="O272" s="28" t="str">
        <f t="shared" si="262"/>
        <v>Trilho.Cruz</v>
      </c>
      <c r="P272" s="88" t="s">
        <v>302</v>
      </c>
      <c r="Q272" s="28" t="s">
        <v>350</v>
      </c>
      <c r="R272" s="28" t="s">
        <v>1</v>
      </c>
      <c r="S272" s="28" t="str">
        <f t="shared" si="249"/>
        <v>Infraestruturas</v>
      </c>
      <c r="T272" s="28" t="str">
        <f t="shared" si="250"/>
        <v>Ferroviárias</v>
      </c>
      <c r="U272" s="28" t="str">
        <f t="shared" si="250"/>
        <v>Ferrovias Trilhos</v>
      </c>
      <c r="V272" s="28" t="s">
        <v>2222</v>
      </c>
      <c r="W272" s="69" t="str">
        <f t="shared" si="296"/>
        <v>Key-INFRA-272</v>
      </c>
      <c r="X272" s="28" t="s">
        <v>2097</v>
      </c>
      <c r="Y272" s="43" t="s">
        <v>2155</v>
      </c>
      <c r="Z272" s="40" t="s">
        <v>1</v>
      </c>
      <c r="AA272" s="28" t="str">
        <f t="shared" si="303"/>
        <v>Metal piece where the rails intersect in turnouts.</v>
      </c>
    </row>
    <row r="273" spans="1:27" ht="6.65" customHeight="1" x14ac:dyDescent="0.4">
      <c r="A273" s="77">
        <v>273</v>
      </c>
      <c r="B273" s="66" t="s">
        <v>2219</v>
      </c>
      <c r="C273" s="30" t="s">
        <v>1596</v>
      </c>
      <c r="D273" s="29" t="s">
        <v>1602</v>
      </c>
      <c r="E273" s="29" t="s">
        <v>1613</v>
      </c>
      <c r="F273" s="87" t="s">
        <v>313</v>
      </c>
      <c r="G273" s="78" t="s">
        <v>1</v>
      </c>
      <c r="H273" s="78" t="s">
        <v>1</v>
      </c>
      <c r="I273" s="78" t="s">
        <v>1</v>
      </c>
      <c r="J273" s="78" t="s">
        <v>1</v>
      </c>
      <c r="K273" s="78" t="s">
        <v>1</v>
      </c>
      <c r="L273" s="27" t="str">
        <f t="shared" si="300"/>
        <v>Infraestruturas</v>
      </c>
      <c r="M273" s="27" t="str">
        <f t="shared" si="301"/>
        <v>Ferroviárias</v>
      </c>
      <c r="N273" s="27" t="str">
        <f t="shared" si="302"/>
        <v>Ferrovias Trilhos</v>
      </c>
      <c r="O273" s="28" t="str">
        <f t="shared" si="262"/>
        <v>Trilho.Lâmina.Desviadora</v>
      </c>
      <c r="P273" s="88" t="s">
        <v>1523</v>
      </c>
      <c r="Q273" s="28" t="s">
        <v>1524</v>
      </c>
      <c r="R273" s="28" t="s">
        <v>1</v>
      </c>
      <c r="S273" s="28" t="str">
        <f t="shared" si="249"/>
        <v>Infraestruturas</v>
      </c>
      <c r="T273" s="28" t="str">
        <f t="shared" si="250"/>
        <v>Ferroviárias</v>
      </c>
      <c r="U273" s="28" t="str">
        <f t="shared" si="250"/>
        <v>Ferrovias Trilhos</v>
      </c>
      <c r="V273" s="28" t="s">
        <v>2222</v>
      </c>
      <c r="W273" s="69" t="str">
        <f t="shared" si="296"/>
        <v>Key-INFRA-273</v>
      </c>
      <c r="X273" s="28" t="s">
        <v>2097</v>
      </c>
      <c r="Y273" s="43" t="s">
        <v>2155</v>
      </c>
      <c r="Z273" s="40" t="s">
        <v>1</v>
      </c>
      <c r="AA273" s="28" t="str">
        <f t="shared" si="303"/>
        <v>Moving part of a Turnout Device (AMV) that directs the train to different tracks.</v>
      </c>
    </row>
    <row r="274" spans="1:27" ht="6.65" customHeight="1" x14ac:dyDescent="0.4">
      <c r="A274" s="77">
        <v>274</v>
      </c>
      <c r="B274" s="66" t="s">
        <v>2219</v>
      </c>
      <c r="C274" s="30" t="s">
        <v>1596</v>
      </c>
      <c r="D274" s="29" t="s">
        <v>1602</v>
      </c>
      <c r="E274" s="29" t="s">
        <v>1613</v>
      </c>
      <c r="F274" s="87" t="s">
        <v>310</v>
      </c>
      <c r="G274" s="78" t="s">
        <v>1</v>
      </c>
      <c r="H274" s="78" t="s">
        <v>1</v>
      </c>
      <c r="I274" s="78" t="s">
        <v>1</v>
      </c>
      <c r="J274" s="78" t="s">
        <v>1</v>
      </c>
      <c r="K274" s="78" t="s">
        <v>1</v>
      </c>
      <c r="L274" s="27" t="str">
        <f t="shared" si="300"/>
        <v>Infraestruturas</v>
      </c>
      <c r="M274" s="27" t="str">
        <f t="shared" si="301"/>
        <v>Ferroviárias</v>
      </c>
      <c r="N274" s="27" t="str">
        <f t="shared" si="302"/>
        <v>Ferrovias Trilhos</v>
      </c>
      <c r="O274" s="28" t="str">
        <f t="shared" si="262"/>
        <v>Trilho.Dormente</v>
      </c>
      <c r="P274" s="88" t="s">
        <v>303</v>
      </c>
      <c r="Q274" s="28" t="s">
        <v>351</v>
      </c>
      <c r="R274" s="28" t="s">
        <v>1</v>
      </c>
      <c r="S274" s="28" t="str">
        <f t="shared" si="249"/>
        <v>Infraestruturas</v>
      </c>
      <c r="T274" s="28" t="str">
        <f t="shared" si="250"/>
        <v>Ferroviárias</v>
      </c>
      <c r="U274" s="28" t="str">
        <f t="shared" si="250"/>
        <v>Ferrovias Trilhos</v>
      </c>
      <c r="V274" s="28" t="s">
        <v>2222</v>
      </c>
      <c r="W274" s="69" t="str">
        <f t="shared" si="296"/>
        <v>Key-INFRA-274</v>
      </c>
      <c r="X274" s="28" t="s">
        <v>2097</v>
      </c>
      <c r="Y274" s="43" t="s">
        <v>2155</v>
      </c>
      <c r="Z274" s="40" t="s">
        <v>1</v>
      </c>
      <c r="AA274" s="28" t="str">
        <f t="shared" si="303"/>
        <v>Transverse piece that supports the rails and distributes the load to the ballast.</v>
      </c>
    </row>
    <row r="275" spans="1:27" s="89" customFormat="1" ht="6.65" customHeight="1" x14ac:dyDescent="0.2">
      <c r="A275" s="77">
        <v>275</v>
      </c>
      <c r="B275" s="66" t="s">
        <v>2219</v>
      </c>
      <c r="C275" s="30" t="s">
        <v>1596</v>
      </c>
      <c r="D275" s="29" t="s">
        <v>1602</v>
      </c>
      <c r="E275" s="29" t="s">
        <v>1613</v>
      </c>
      <c r="F275" s="87" t="s">
        <v>1566</v>
      </c>
      <c r="G275" s="78" t="s">
        <v>1</v>
      </c>
      <c r="H275" s="78" t="s">
        <v>1</v>
      </c>
      <c r="I275" s="78" t="s">
        <v>1</v>
      </c>
      <c r="J275" s="78" t="s">
        <v>1</v>
      </c>
      <c r="K275" s="78" t="s">
        <v>1</v>
      </c>
      <c r="L275" s="27" t="str">
        <f t="shared" si="300"/>
        <v>Infraestruturas</v>
      </c>
      <c r="M275" s="27" t="str">
        <f t="shared" si="301"/>
        <v>Ferroviárias</v>
      </c>
      <c r="N275" s="27" t="str">
        <f t="shared" si="302"/>
        <v>Ferrovias Trilhos</v>
      </c>
      <c r="O275" s="28" t="str">
        <f t="shared" si="262"/>
        <v>Trilho.Regulador.de.Velocidade</v>
      </c>
      <c r="P275" s="88" t="s">
        <v>304</v>
      </c>
      <c r="Q275" s="28" t="s">
        <v>352</v>
      </c>
      <c r="R275" s="28" t="s">
        <v>1</v>
      </c>
      <c r="S275" s="28" t="str">
        <f t="shared" si="249"/>
        <v>Infraestruturas</v>
      </c>
      <c r="T275" s="28" t="str">
        <f t="shared" si="250"/>
        <v>Ferroviárias</v>
      </c>
      <c r="U275" s="28" t="str">
        <f t="shared" si="250"/>
        <v>Ferrovias Trilhos</v>
      </c>
      <c r="V275" s="28" t="s">
        <v>2222</v>
      </c>
      <c r="W275" s="69" t="str">
        <f t="shared" si="296"/>
        <v>Key-INFRA-275</v>
      </c>
      <c r="X275" s="28" t="s">
        <v>2097</v>
      </c>
      <c r="Y275" s="43" t="s">
        <v>2155</v>
      </c>
      <c r="Z275" s="40" t="s">
        <v>1</v>
      </c>
      <c r="AA275" s="28" t="str">
        <f t="shared" si="303"/>
        <v>Equipment that controls the speed of trains, usually via signaling.</v>
      </c>
    </row>
    <row r="276" spans="1:27" s="89" customFormat="1" ht="6.65" customHeight="1" x14ac:dyDescent="0.2">
      <c r="A276" s="77">
        <v>276</v>
      </c>
      <c r="B276" s="66" t="s">
        <v>2219</v>
      </c>
      <c r="C276" s="30" t="s">
        <v>1596</v>
      </c>
      <c r="D276" s="29" t="s">
        <v>1602</v>
      </c>
      <c r="E276" s="29" t="s">
        <v>1613</v>
      </c>
      <c r="F276" s="87" t="s">
        <v>363</v>
      </c>
      <c r="G276" s="78" t="s">
        <v>1</v>
      </c>
      <c r="H276" s="78" t="s">
        <v>1</v>
      </c>
      <c r="I276" s="78" t="s">
        <v>1</v>
      </c>
      <c r="J276" s="78" t="s">
        <v>1</v>
      </c>
      <c r="K276" s="78" t="s">
        <v>1</v>
      </c>
      <c r="L276" s="27" t="str">
        <f t="shared" si="300"/>
        <v>Infraestruturas</v>
      </c>
      <c r="M276" s="27" t="str">
        <f t="shared" si="301"/>
        <v>Ferroviárias</v>
      </c>
      <c r="N276" s="27" t="str">
        <f t="shared" si="302"/>
        <v>Ferrovias Trilhos</v>
      </c>
      <c r="O276" s="28" t="str">
        <f t="shared" si="262"/>
        <v>Trilho.Batente.Via</v>
      </c>
      <c r="P276" s="88" t="s">
        <v>305</v>
      </c>
      <c r="Q276" s="28" t="s">
        <v>353</v>
      </c>
      <c r="R276" s="28" t="s">
        <v>1</v>
      </c>
      <c r="S276" s="28" t="str">
        <f t="shared" si="249"/>
        <v>Infraestruturas</v>
      </c>
      <c r="T276" s="28" t="str">
        <f t="shared" si="250"/>
        <v>Ferroviárias</v>
      </c>
      <c r="U276" s="28" t="str">
        <f t="shared" si="250"/>
        <v>Ferrovias Trilhos</v>
      </c>
      <c r="V276" s="28" t="s">
        <v>2222</v>
      </c>
      <c r="W276" s="69" t="str">
        <f t="shared" si="296"/>
        <v>Key-INFRA-276</v>
      </c>
      <c r="X276" s="28" t="s">
        <v>2097</v>
      </c>
      <c r="Y276" s="43" t="s">
        <v>2155</v>
      </c>
      <c r="Z276" s="40" t="s">
        <v>1</v>
      </c>
      <c r="AA276" s="28" t="str">
        <f t="shared" si="303"/>
        <v>End point of a railway section, where the route ends.</v>
      </c>
    </row>
    <row r="277" spans="1:27" s="89" customFormat="1" ht="6.65" customHeight="1" x14ac:dyDescent="0.2">
      <c r="A277" s="77">
        <v>277</v>
      </c>
      <c r="B277" s="66" t="s">
        <v>2219</v>
      </c>
      <c r="C277" s="30" t="s">
        <v>1596</v>
      </c>
      <c r="D277" s="29" t="s">
        <v>1602</v>
      </c>
      <c r="E277" s="29" t="s">
        <v>1613</v>
      </c>
      <c r="F277" s="87" t="s">
        <v>362</v>
      </c>
      <c r="G277" s="78" t="s">
        <v>1</v>
      </c>
      <c r="H277" s="78" t="s">
        <v>1</v>
      </c>
      <c r="I277" s="78" t="s">
        <v>1</v>
      </c>
      <c r="J277" s="78" t="s">
        <v>1</v>
      </c>
      <c r="K277" s="78" t="s">
        <v>1</v>
      </c>
      <c r="L277" s="27" t="str">
        <f t="shared" si="300"/>
        <v>Infraestruturas</v>
      </c>
      <c r="M277" s="27" t="str">
        <f t="shared" si="301"/>
        <v>Ferroviárias</v>
      </c>
      <c r="N277" s="27" t="str">
        <f t="shared" si="302"/>
        <v>Ferrovias Trilhos</v>
      </c>
      <c r="O277" s="28" t="str">
        <f t="shared" si="262"/>
        <v>Trilho.Batente.Veícular</v>
      </c>
      <c r="P277" s="88" t="s">
        <v>306</v>
      </c>
      <c r="Q277" s="28" t="s">
        <v>354</v>
      </c>
      <c r="R277" s="28" t="s">
        <v>1</v>
      </c>
      <c r="S277" s="28" t="str">
        <f t="shared" si="249"/>
        <v>Infraestruturas</v>
      </c>
      <c r="T277" s="28" t="str">
        <f t="shared" si="250"/>
        <v>Ferroviárias</v>
      </c>
      <c r="U277" s="28" t="str">
        <f t="shared" si="250"/>
        <v>Ferrovias Trilhos</v>
      </c>
      <c r="V277" s="28" t="s">
        <v>2222</v>
      </c>
      <c r="W277" s="69" t="str">
        <f t="shared" si="296"/>
        <v>Key-INFRA-277</v>
      </c>
      <c r="X277" s="28" t="s">
        <v>2097</v>
      </c>
      <c r="Y277" s="43" t="s">
        <v>2156</v>
      </c>
      <c r="Z277" s="40" t="s">
        <v>1</v>
      </c>
      <c r="AA277" s="28" t="str">
        <f t="shared" si="303"/>
        <v>A physical device that prevents movement beyond a safe point.</v>
      </c>
    </row>
    <row r="278" spans="1:27" ht="6.65" customHeight="1" x14ac:dyDescent="0.4">
      <c r="A278" s="77">
        <v>278</v>
      </c>
      <c r="B278" s="66" t="s">
        <v>2219</v>
      </c>
      <c r="C278" s="30" t="s">
        <v>1596</v>
      </c>
      <c r="D278" s="29" t="s">
        <v>1602</v>
      </c>
      <c r="E278" s="29" t="s">
        <v>1614</v>
      </c>
      <c r="F278" s="87" t="s">
        <v>330</v>
      </c>
      <c r="G278" s="78" t="s">
        <v>1</v>
      </c>
      <c r="H278" s="78" t="s">
        <v>1</v>
      </c>
      <c r="I278" s="78" t="s">
        <v>1</v>
      </c>
      <c r="J278" s="78" t="s">
        <v>1</v>
      </c>
      <c r="K278" s="78" t="s">
        <v>1</v>
      </c>
      <c r="L278" s="27" t="str">
        <f t="shared" si="300"/>
        <v>Infraestruturas</v>
      </c>
      <c r="M278" s="27" t="str">
        <f t="shared" si="301"/>
        <v>Ferroviárias</v>
      </c>
      <c r="N278" s="27" t="str">
        <f t="shared" si="302"/>
        <v>Ferrovias Partes</v>
      </c>
      <c r="O278" s="28" t="str">
        <f t="shared" si="262"/>
        <v>Ferrovia.Componente</v>
      </c>
      <c r="P278" s="88" t="s">
        <v>298</v>
      </c>
      <c r="Q278" s="28" t="s">
        <v>360</v>
      </c>
      <c r="R278" s="28" t="s">
        <v>1</v>
      </c>
      <c r="S278" s="28" t="str">
        <f t="shared" ref="S278" si="304">SUBSTITUTE(C278, ".", " ")</f>
        <v>Infraestruturas</v>
      </c>
      <c r="T278" s="28" t="str">
        <f t="shared" ref="T278" si="305">SUBSTITUTE(D278, ".", " ")</f>
        <v>Ferroviárias</v>
      </c>
      <c r="U278" s="28" t="str">
        <f t="shared" si="250"/>
        <v>Ferrovias Partes</v>
      </c>
      <c r="V278" s="28" t="s">
        <v>2222</v>
      </c>
      <c r="W278" s="69" t="str">
        <f t="shared" si="296"/>
        <v>Key-INFRA-278</v>
      </c>
      <c r="X278" s="28" t="s">
        <v>2097</v>
      </c>
      <c r="Y278" s="43" t="s">
        <v>2156</v>
      </c>
      <c r="Z278" s="40" t="s">
        <v>1</v>
      </c>
      <c r="AA278" s="28" t="str">
        <f t="shared" si="303"/>
        <v>Individual elements that make up the railroad, such as rails and sleepers.</v>
      </c>
    </row>
    <row r="279" spans="1:27" ht="6.65" customHeight="1" x14ac:dyDescent="0.4">
      <c r="A279" s="77">
        <v>279</v>
      </c>
      <c r="B279" s="66" t="s">
        <v>2219</v>
      </c>
      <c r="C279" s="30" t="s">
        <v>1596</v>
      </c>
      <c r="D279" s="29" t="s">
        <v>1602</v>
      </c>
      <c r="E279" s="29" t="s">
        <v>1614</v>
      </c>
      <c r="F279" s="87" t="s">
        <v>1525</v>
      </c>
      <c r="G279" s="78" t="s">
        <v>1</v>
      </c>
      <c r="H279" s="78" t="s">
        <v>1</v>
      </c>
      <c r="I279" s="78" t="s">
        <v>1</v>
      </c>
      <c r="J279" s="78" t="s">
        <v>1</v>
      </c>
      <c r="K279" s="78" t="s">
        <v>1</v>
      </c>
      <c r="L279" s="27" t="str">
        <f t="shared" ref="L279" si="306">CONCATENATE("", C279)</f>
        <v>Infraestruturas</v>
      </c>
      <c r="M279" s="27" t="str">
        <f t="shared" ref="M279" si="307">CONCATENATE("", D279)</f>
        <v>Ferroviárias</v>
      </c>
      <c r="N279" s="27" t="str">
        <f t="shared" ref="N279" si="308">(SUBSTITUTE(SUBSTITUTE(CONCATENATE("",E279),"."," ")," De "," de "))</f>
        <v>Ferrovias Partes</v>
      </c>
      <c r="O279" s="28" t="str">
        <f t="shared" ref="O279" si="309">F279</f>
        <v>Ferrovia.Cancela</v>
      </c>
      <c r="P279" s="88" t="s">
        <v>1526</v>
      </c>
      <c r="Q279" s="28" t="s">
        <v>1527</v>
      </c>
      <c r="R279" s="28" t="s">
        <v>1</v>
      </c>
      <c r="S279" s="28" t="str">
        <f t="shared" si="249"/>
        <v>Infraestruturas</v>
      </c>
      <c r="T279" s="28" t="str">
        <f t="shared" si="250"/>
        <v>Ferroviárias</v>
      </c>
      <c r="U279" s="28" t="str">
        <f t="shared" si="250"/>
        <v>Ferrovias Partes</v>
      </c>
      <c r="V279" s="28" t="s">
        <v>2222</v>
      </c>
      <c r="W279" s="69" t="str">
        <f t="shared" si="296"/>
        <v>Key-INFRA-279</v>
      </c>
      <c r="X279" s="28" t="s">
        <v>2097</v>
      </c>
      <c r="Y279" s="43" t="s">
        <v>2156</v>
      </c>
      <c r="Z279" s="40" t="s">
        <v>1</v>
      </c>
      <c r="AA279" s="28" t="str">
        <f t="shared" si="303"/>
        <v>Railway barrier safety device installed at local level crossings where the railway line crosses urban or rural tracks.</v>
      </c>
    </row>
    <row r="280" spans="1:27" ht="6.65" customHeight="1" x14ac:dyDescent="0.4">
      <c r="A280" s="77">
        <v>280</v>
      </c>
      <c r="B280" s="66" t="s">
        <v>2219</v>
      </c>
      <c r="C280" s="30" t="s">
        <v>1596</v>
      </c>
      <c r="D280" s="29" t="s">
        <v>1602</v>
      </c>
      <c r="E280" s="29" t="s">
        <v>1614</v>
      </c>
      <c r="F280" s="87" t="s">
        <v>1520</v>
      </c>
      <c r="G280" s="78" t="s">
        <v>1</v>
      </c>
      <c r="H280" s="78" t="s">
        <v>1</v>
      </c>
      <c r="I280" s="78" t="s">
        <v>1</v>
      </c>
      <c r="J280" s="78" t="s">
        <v>1</v>
      </c>
      <c r="K280" s="78" t="s">
        <v>1</v>
      </c>
      <c r="L280" s="27" t="str">
        <f t="shared" ref="L280:L284" si="310">CONCATENATE("", C280)</f>
        <v>Infraestruturas</v>
      </c>
      <c r="M280" s="27" t="str">
        <f t="shared" ref="M280:M284" si="311">CONCATENATE("", D280)</f>
        <v>Ferroviárias</v>
      </c>
      <c r="N280" s="27" t="str">
        <f t="shared" ref="N280:N284" si="312">(SUBSTITUTE(SUBSTITUTE(CONCATENATE("",E280),"."," ")," De "," de "))</f>
        <v>Ferrovias Partes</v>
      </c>
      <c r="O280" s="28" t="str">
        <f t="shared" ref="O280:O284" si="313">F280</f>
        <v>Ferrovia.Berma</v>
      </c>
      <c r="P280" s="88" t="s">
        <v>1521</v>
      </c>
      <c r="Q280" s="28" t="s">
        <v>1522</v>
      </c>
      <c r="R280" s="28" t="s">
        <v>1</v>
      </c>
      <c r="S280" s="28" t="str">
        <f t="shared" si="249"/>
        <v>Infraestruturas</v>
      </c>
      <c r="T280" s="28" t="str">
        <f t="shared" si="250"/>
        <v>Ferroviárias</v>
      </c>
      <c r="U280" s="28" t="str">
        <f t="shared" si="250"/>
        <v>Ferrovias Partes</v>
      </c>
      <c r="V280" s="28" t="s">
        <v>2222</v>
      </c>
      <c r="W280" s="69" t="str">
        <f t="shared" si="296"/>
        <v>Key-INFRA-280</v>
      </c>
      <c r="X280" s="28" t="s">
        <v>2097</v>
      </c>
      <c r="Y280" s="43" t="s">
        <v>2156</v>
      </c>
      <c r="Z280" s="40" t="s">
        <v>1</v>
      </c>
      <c r="AA280" s="28" t="str">
        <f t="shared" si="303"/>
        <v>Area next to the railroad, where equipment, signaling and infrastructure are located. Service range.</v>
      </c>
    </row>
    <row r="281" spans="1:27" ht="6.65" customHeight="1" x14ac:dyDescent="0.4">
      <c r="A281" s="77">
        <v>281</v>
      </c>
      <c r="B281" s="66" t="s">
        <v>2219</v>
      </c>
      <c r="C281" s="30" t="s">
        <v>1596</v>
      </c>
      <c r="D281" s="29" t="s">
        <v>1602</v>
      </c>
      <c r="E281" s="29" t="s">
        <v>1614</v>
      </c>
      <c r="F281" s="87" t="s">
        <v>318</v>
      </c>
      <c r="G281" s="78" t="s">
        <v>1</v>
      </c>
      <c r="H281" s="78" t="s">
        <v>1</v>
      </c>
      <c r="I281" s="78" t="s">
        <v>1</v>
      </c>
      <c r="J281" s="78" t="s">
        <v>1</v>
      </c>
      <c r="K281" s="78" t="s">
        <v>1</v>
      </c>
      <c r="L281" s="27" t="str">
        <f t="shared" ref="L281" si="314">CONCATENATE("", C281)</f>
        <v>Infraestruturas</v>
      </c>
      <c r="M281" s="27" t="str">
        <f t="shared" ref="M281" si="315">CONCATENATE("", D281)</f>
        <v>Ferroviárias</v>
      </c>
      <c r="N281" s="27" t="str">
        <f t="shared" ref="N281" si="316">(SUBSTITUTE(SUBSTITUTE(CONCATENATE("",E281),"."," ")," De "," de "))</f>
        <v>Ferrovias Partes</v>
      </c>
      <c r="O281" s="28" t="str">
        <f t="shared" ref="O281" si="317">F281</f>
        <v>Ferrovia.Aerea</v>
      </c>
      <c r="P281" s="88" t="s">
        <v>307</v>
      </c>
      <c r="Q281" s="28" t="s">
        <v>355</v>
      </c>
      <c r="R281" s="28" t="s">
        <v>1</v>
      </c>
      <c r="S281" s="28" t="str">
        <f t="shared" si="249"/>
        <v>Infraestruturas</v>
      </c>
      <c r="T281" s="28" t="str">
        <f t="shared" si="250"/>
        <v>Ferroviárias</v>
      </c>
      <c r="U281" s="28" t="str">
        <f t="shared" si="250"/>
        <v>Ferrovias Partes</v>
      </c>
      <c r="V281" s="28" t="s">
        <v>2222</v>
      </c>
      <c r="W281" s="69" t="str">
        <f t="shared" si="296"/>
        <v>Key-INFRA-281</v>
      </c>
      <c r="X281" s="28" t="s">
        <v>2097</v>
      </c>
      <c r="Y281" s="43" t="s">
        <v>2156</v>
      </c>
      <c r="Z281" s="40" t="s">
        <v>1</v>
      </c>
      <c r="AA281" s="28" t="str">
        <f t="shared" si="303"/>
        <v>Aerial parts of the railway, such as signallers, electrification of railway wires, etc.</v>
      </c>
    </row>
    <row r="282" spans="1:27" ht="6.65" customHeight="1" x14ac:dyDescent="0.4">
      <c r="A282" s="77">
        <v>282</v>
      </c>
      <c r="B282" s="66" t="s">
        <v>2219</v>
      </c>
      <c r="C282" s="30" t="s">
        <v>1596</v>
      </c>
      <c r="D282" s="29" t="s">
        <v>1602</v>
      </c>
      <c r="E282" s="29" t="s">
        <v>1614</v>
      </c>
      <c r="F282" s="87" t="s">
        <v>317</v>
      </c>
      <c r="G282" s="78" t="s">
        <v>1</v>
      </c>
      <c r="H282" s="78" t="s">
        <v>1</v>
      </c>
      <c r="I282" s="78" t="s">
        <v>1</v>
      </c>
      <c r="J282" s="78" t="s">
        <v>1</v>
      </c>
      <c r="K282" s="78" t="s">
        <v>1</v>
      </c>
      <c r="L282" s="27" t="str">
        <f t="shared" si="310"/>
        <v>Infraestruturas</v>
      </c>
      <c r="M282" s="27" t="str">
        <f t="shared" si="311"/>
        <v>Ferroviárias</v>
      </c>
      <c r="N282" s="27" t="str">
        <f t="shared" si="312"/>
        <v>Ferrovias Partes</v>
      </c>
      <c r="O282" s="28" t="str">
        <f t="shared" si="313"/>
        <v>Ferrovia.Superestrutura</v>
      </c>
      <c r="P282" s="88" t="s">
        <v>294</v>
      </c>
      <c r="Q282" s="28" t="s">
        <v>356</v>
      </c>
      <c r="R282" s="28" t="s">
        <v>1</v>
      </c>
      <c r="S282" s="28" t="str">
        <f t="shared" si="249"/>
        <v>Infraestruturas</v>
      </c>
      <c r="T282" s="28" t="str">
        <f t="shared" si="250"/>
        <v>Ferroviárias</v>
      </c>
      <c r="U282" s="28" t="str">
        <f t="shared" si="250"/>
        <v>Ferrovias Partes</v>
      </c>
      <c r="V282" s="28" t="s">
        <v>2222</v>
      </c>
      <c r="W282" s="69" t="str">
        <f t="shared" si="296"/>
        <v>Key-INFRA-282</v>
      </c>
      <c r="X282" s="28" t="s">
        <v>2097</v>
      </c>
      <c r="Y282" s="43" t="s">
        <v>2156</v>
      </c>
      <c r="Z282" s="40" t="s">
        <v>1</v>
      </c>
      <c r="AA282" s="28" t="str">
        <f t="shared" si="303"/>
        <v>Elements such as poles, signs, control boxes next to the rails.</v>
      </c>
    </row>
    <row r="283" spans="1:27" ht="6.65" customHeight="1" x14ac:dyDescent="0.4">
      <c r="A283" s="77">
        <v>283</v>
      </c>
      <c r="B283" s="66" t="s">
        <v>2219</v>
      </c>
      <c r="C283" s="30" t="s">
        <v>1596</v>
      </c>
      <c r="D283" s="29" t="s">
        <v>1602</v>
      </c>
      <c r="E283" s="29" t="s">
        <v>1614</v>
      </c>
      <c r="F283" s="87" t="s">
        <v>316</v>
      </c>
      <c r="G283" s="78" t="s">
        <v>1</v>
      </c>
      <c r="H283" s="78" t="s">
        <v>1</v>
      </c>
      <c r="I283" s="78" t="s">
        <v>1</v>
      </c>
      <c r="J283" s="78" t="s">
        <v>1</v>
      </c>
      <c r="K283" s="78" t="s">
        <v>1</v>
      </c>
      <c r="L283" s="27" t="str">
        <f t="shared" ref="L283" si="318">CONCATENATE("", C283)</f>
        <v>Infraestruturas</v>
      </c>
      <c r="M283" s="27" t="str">
        <f t="shared" ref="M283" si="319">CONCATENATE("", D283)</f>
        <v>Ferroviárias</v>
      </c>
      <c r="N283" s="27" t="str">
        <f t="shared" ref="N283" si="320">(SUBSTITUTE(SUBSTITUTE(CONCATENATE("",E283),"."," ")," De "," de "))</f>
        <v>Ferrovias Partes</v>
      </c>
      <c r="O283" s="28" t="str">
        <f t="shared" ref="O283" si="321">F283</f>
        <v>Ferrovia.Subestrutura</v>
      </c>
      <c r="P283" s="88" t="s">
        <v>296</v>
      </c>
      <c r="Q283" s="28" t="s">
        <v>357</v>
      </c>
      <c r="R283" s="28" t="s">
        <v>1</v>
      </c>
      <c r="S283" s="28" t="str">
        <f t="shared" si="249"/>
        <v>Infraestruturas</v>
      </c>
      <c r="T283" s="28" t="str">
        <f t="shared" si="250"/>
        <v>Ferroviárias</v>
      </c>
      <c r="U283" s="28" t="str">
        <f t="shared" si="250"/>
        <v>Ferrovias Partes</v>
      </c>
      <c r="V283" s="28" t="s">
        <v>2222</v>
      </c>
      <c r="W283" s="69" t="str">
        <f t="shared" si="296"/>
        <v>Key-INFRA-283</v>
      </c>
      <c r="X283" s="28" t="s">
        <v>2097</v>
      </c>
      <c r="Y283" s="43" t="s">
        <v>2156</v>
      </c>
      <c r="Z283" s="40" t="s">
        <v>1</v>
      </c>
      <c r="AA283" s="28" t="str">
        <f t="shared" si="303"/>
        <v>Railroad base: includes the bed, ballast, and foundations that support the tracks.</v>
      </c>
    </row>
    <row r="284" spans="1:27" ht="6.65" customHeight="1" x14ac:dyDescent="0.4">
      <c r="A284" s="77">
        <v>284</v>
      </c>
      <c r="B284" s="66" t="s">
        <v>2219</v>
      </c>
      <c r="C284" s="30" t="s">
        <v>1596</v>
      </c>
      <c r="D284" s="29" t="s">
        <v>1602</v>
      </c>
      <c r="E284" s="29" t="s">
        <v>1614</v>
      </c>
      <c r="F284" s="87" t="s">
        <v>314</v>
      </c>
      <c r="G284" s="78" t="s">
        <v>1</v>
      </c>
      <c r="H284" s="78" t="s">
        <v>1</v>
      </c>
      <c r="I284" s="78" t="s">
        <v>1</v>
      </c>
      <c r="J284" s="78" t="s">
        <v>1</v>
      </c>
      <c r="K284" s="78" t="s">
        <v>1</v>
      </c>
      <c r="L284" s="27" t="str">
        <f t="shared" si="310"/>
        <v>Infraestruturas</v>
      </c>
      <c r="M284" s="27" t="str">
        <f t="shared" si="311"/>
        <v>Ferroviárias</v>
      </c>
      <c r="N284" s="27" t="str">
        <f t="shared" si="312"/>
        <v>Ferrovias Partes</v>
      </c>
      <c r="O284" s="28" t="str">
        <f t="shared" si="313"/>
        <v>Ferrovia.Simples</v>
      </c>
      <c r="P284" s="88" t="s">
        <v>295</v>
      </c>
      <c r="Q284" s="28" t="s">
        <v>358</v>
      </c>
      <c r="R284" s="28" t="s">
        <v>1</v>
      </c>
      <c r="S284" s="28" t="str">
        <f t="shared" si="249"/>
        <v>Infraestruturas</v>
      </c>
      <c r="T284" s="28" t="str">
        <f t="shared" si="250"/>
        <v>Ferroviárias</v>
      </c>
      <c r="U284" s="28" t="str">
        <f t="shared" si="250"/>
        <v>Ferrovias Partes</v>
      </c>
      <c r="V284" s="28" t="s">
        <v>2222</v>
      </c>
      <c r="W284" s="69" t="str">
        <f t="shared" si="296"/>
        <v>Key-INFRA-284</v>
      </c>
      <c r="X284" s="28" t="s">
        <v>2097</v>
      </c>
      <c r="Y284" s="43" t="s">
        <v>2156</v>
      </c>
      <c r="Z284" s="40" t="s">
        <v>1</v>
      </c>
      <c r="AA284" s="28" t="str">
        <f t="shared" si="303"/>
        <v>Straight and continuous stretch of the railroad, without switches and turnouts.</v>
      </c>
    </row>
    <row r="285" spans="1:27" ht="6.65" customHeight="1" x14ac:dyDescent="0.4">
      <c r="A285" s="77">
        <v>285</v>
      </c>
      <c r="B285" s="66" t="s">
        <v>2219</v>
      </c>
      <c r="C285" s="30" t="s">
        <v>1596</v>
      </c>
      <c r="D285" s="29" t="s">
        <v>1602</v>
      </c>
      <c r="E285" s="29" t="s">
        <v>1614</v>
      </c>
      <c r="F285" s="87" t="s">
        <v>315</v>
      </c>
      <c r="G285" s="78" t="s">
        <v>1</v>
      </c>
      <c r="H285" s="78" t="s">
        <v>1</v>
      </c>
      <c r="I285" s="78" t="s">
        <v>1</v>
      </c>
      <c r="J285" s="78" t="s">
        <v>1</v>
      </c>
      <c r="K285" s="78" t="s">
        <v>1</v>
      </c>
      <c r="L285" s="27" t="str">
        <f t="shared" ref="L285:L286" si="322">CONCATENATE("", C285)</f>
        <v>Infraestruturas</v>
      </c>
      <c r="M285" s="27" t="str">
        <f t="shared" ref="M285:M323" si="323">CONCATENATE("", D285)</f>
        <v>Ferroviárias</v>
      </c>
      <c r="N285" s="27" t="str">
        <f t="shared" ref="N285:N323" si="324">(SUBSTITUTE(SUBSTITUTE(CONCATENATE("",E285),"."," ")," De "," de "))</f>
        <v>Ferrovias Partes</v>
      </c>
      <c r="O285" s="28" t="str">
        <f t="shared" ref="O285:O323" si="325">F285</f>
        <v>Ferrovia.Completa</v>
      </c>
      <c r="P285" s="88" t="s">
        <v>297</v>
      </c>
      <c r="Q285" s="28" t="s">
        <v>361</v>
      </c>
      <c r="R285" s="28" t="s">
        <v>1</v>
      </c>
      <c r="S285" s="28" t="str">
        <f t="shared" si="249"/>
        <v>Infraestruturas</v>
      </c>
      <c r="T285" s="28" t="str">
        <f t="shared" si="250"/>
        <v>Ferroviárias</v>
      </c>
      <c r="U285" s="28" t="str">
        <f t="shared" si="250"/>
        <v>Ferrovias Partes</v>
      </c>
      <c r="V285" s="28" t="s">
        <v>2222</v>
      </c>
      <c r="W285" s="69" t="str">
        <f t="shared" si="296"/>
        <v>Key-INFRA-285</v>
      </c>
      <c r="X285" s="28" t="s">
        <v>2097</v>
      </c>
      <c r="Y285" s="43" t="s">
        <v>2156</v>
      </c>
      <c r="Z285" s="40" t="s">
        <v>1</v>
      </c>
      <c r="AA285" s="28" t="str">
        <f t="shared" si="303"/>
        <v>Complete set of rails, sleepers, fixings and base.</v>
      </c>
    </row>
    <row r="286" spans="1:27" ht="6.65" customHeight="1" x14ac:dyDescent="0.4">
      <c r="A286" s="77">
        <v>286</v>
      </c>
      <c r="B286" s="66" t="s">
        <v>2219</v>
      </c>
      <c r="C286" s="30" t="s">
        <v>1596</v>
      </c>
      <c r="D286" s="29" t="s">
        <v>1602</v>
      </c>
      <c r="E286" s="29" t="s">
        <v>1614</v>
      </c>
      <c r="F286" s="87" t="s">
        <v>319</v>
      </c>
      <c r="G286" s="78" t="s">
        <v>1</v>
      </c>
      <c r="H286" s="78" t="s">
        <v>1</v>
      </c>
      <c r="I286" s="78" t="s">
        <v>1</v>
      </c>
      <c r="J286" s="78" t="s">
        <v>1</v>
      </c>
      <c r="K286" s="78" t="s">
        <v>1</v>
      </c>
      <c r="L286" s="27" t="str">
        <f t="shared" si="322"/>
        <v>Infraestruturas</v>
      </c>
      <c r="M286" s="27" t="str">
        <f t="shared" si="323"/>
        <v>Ferroviárias</v>
      </c>
      <c r="N286" s="27" t="str">
        <f t="shared" si="324"/>
        <v>Ferrovias Partes</v>
      </c>
      <c r="O286" s="28" t="str">
        <f t="shared" si="325"/>
        <v>Ferrovia.Dilatação</v>
      </c>
      <c r="P286" s="88" t="s">
        <v>293</v>
      </c>
      <c r="Q286" s="28" t="s">
        <v>359</v>
      </c>
      <c r="R286" s="28" t="s">
        <v>1</v>
      </c>
      <c r="S286" s="28" t="str">
        <f t="shared" si="249"/>
        <v>Infraestruturas</v>
      </c>
      <c r="T286" s="28" t="str">
        <f t="shared" si="250"/>
        <v>Ferroviárias</v>
      </c>
      <c r="U286" s="28" t="str">
        <f t="shared" si="250"/>
        <v>Ferrovias Partes</v>
      </c>
      <c r="V286" s="28" t="s">
        <v>2222</v>
      </c>
      <c r="W286" s="69" t="str">
        <f t="shared" si="296"/>
        <v>Key-INFRA-286</v>
      </c>
      <c r="X286" s="28" t="s">
        <v>2097</v>
      </c>
      <c r="Y286" s="43" t="s">
        <v>2157</v>
      </c>
      <c r="Z286" s="40" t="s">
        <v>1</v>
      </c>
      <c r="AA286" s="28" t="str">
        <f t="shared" si="303"/>
        <v>Section with special joints to accommodate the thermal expansion of the rails.</v>
      </c>
    </row>
    <row r="287" spans="1:27" ht="6.65" customHeight="1" x14ac:dyDescent="0.4">
      <c r="A287" s="77">
        <v>287</v>
      </c>
      <c r="B287" s="66" t="s">
        <v>2219</v>
      </c>
      <c r="C287" s="30" t="s">
        <v>1596</v>
      </c>
      <c r="D287" s="29" t="s">
        <v>1603</v>
      </c>
      <c r="E287" s="33" t="s">
        <v>1604</v>
      </c>
      <c r="F287" s="35" t="s">
        <v>486</v>
      </c>
      <c r="G287" s="90" t="s">
        <v>1</v>
      </c>
      <c r="H287" s="90" t="s">
        <v>1</v>
      </c>
      <c r="I287" s="90" t="s">
        <v>1</v>
      </c>
      <c r="J287" s="78" t="s">
        <v>1</v>
      </c>
      <c r="K287" s="78" t="s">
        <v>1</v>
      </c>
      <c r="L287" s="84" t="str">
        <f t="shared" ref="L287:L296" si="326">_xlfn.CONCAT(C287)</f>
        <v>Infraestruturas</v>
      </c>
      <c r="M287" s="27" t="str">
        <f t="shared" ref="M287:M296" si="327">CONCATENATE("", D287)</f>
        <v>Hidroviárias</v>
      </c>
      <c r="N287" s="27" t="str">
        <f t="shared" ref="N287:N296" si="328">(SUBSTITUTE(SUBSTITUTE(CONCATENATE("",E287),"."," ")," De "," de "))</f>
        <v>Vias de Navegação</v>
      </c>
      <c r="O287" s="28" t="str">
        <f t="shared" ref="O287:O296" si="329">F287</f>
        <v>Farol</v>
      </c>
      <c r="P287" s="28" t="s">
        <v>487</v>
      </c>
      <c r="Q287" s="84" t="s">
        <v>488</v>
      </c>
      <c r="R287" s="28" t="s">
        <v>1</v>
      </c>
      <c r="S287" s="28" t="str">
        <f t="shared" si="249"/>
        <v>Infraestruturas</v>
      </c>
      <c r="T287" s="28" t="str">
        <f t="shared" si="250"/>
        <v>Hidroviárias</v>
      </c>
      <c r="U287" s="28" t="str">
        <f t="shared" si="250"/>
        <v>Vias de Navegação</v>
      </c>
      <c r="V287" s="28" t="s">
        <v>2222</v>
      </c>
      <c r="W287" s="69" t="str">
        <f t="shared" si="296"/>
        <v>Key-INFRA-287</v>
      </c>
      <c r="X287" s="28" t="s">
        <v>2113</v>
      </c>
      <c r="Y287" s="28" t="s">
        <v>2157</v>
      </c>
      <c r="Z287" s="40" t="s">
        <v>1</v>
      </c>
      <c r="AA287" s="28" t="str">
        <f t="shared" si="303"/>
        <v>Fixed vertical structure that serves as a navigational mark, to show reefs or other hazards, or to provide.</v>
      </c>
    </row>
    <row r="288" spans="1:27" ht="6.65" customHeight="1" x14ac:dyDescent="0.4">
      <c r="A288" s="77">
        <v>288</v>
      </c>
      <c r="B288" s="66" t="s">
        <v>2219</v>
      </c>
      <c r="C288" s="30" t="s">
        <v>1596</v>
      </c>
      <c r="D288" s="29" t="s">
        <v>1603</v>
      </c>
      <c r="E288" s="33" t="s">
        <v>1604</v>
      </c>
      <c r="F288" s="35" t="s">
        <v>489</v>
      </c>
      <c r="G288" s="90" t="s">
        <v>1</v>
      </c>
      <c r="H288" s="90" t="s">
        <v>1</v>
      </c>
      <c r="I288" s="90" t="s">
        <v>1</v>
      </c>
      <c r="J288" s="78" t="s">
        <v>1</v>
      </c>
      <c r="K288" s="78" t="s">
        <v>1</v>
      </c>
      <c r="L288" s="84" t="str">
        <f t="shared" si="326"/>
        <v>Infraestruturas</v>
      </c>
      <c r="M288" s="27" t="str">
        <f t="shared" si="327"/>
        <v>Hidroviárias</v>
      </c>
      <c r="N288" s="27" t="str">
        <f t="shared" si="328"/>
        <v>Vias de Navegação</v>
      </c>
      <c r="O288" s="28" t="str">
        <f t="shared" si="329"/>
        <v>Bóia</v>
      </c>
      <c r="P288" s="28" t="s">
        <v>490</v>
      </c>
      <c r="Q288" s="84" t="s">
        <v>491</v>
      </c>
      <c r="R288" s="28" t="s">
        <v>1</v>
      </c>
      <c r="S288" s="28" t="str">
        <f t="shared" si="249"/>
        <v>Infraestruturas</v>
      </c>
      <c r="T288" s="28" t="str">
        <f t="shared" si="250"/>
        <v>Hidroviárias</v>
      </c>
      <c r="U288" s="28" t="str">
        <f t="shared" si="250"/>
        <v>Vias de Navegação</v>
      </c>
      <c r="V288" s="28" t="s">
        <v>2222</v>
      </c>
      <c r="W288" s="69" t="str">
        <f t="shared" si="296"/>
        <v>Key-INFRA-288</v>
      </c>
      <c r="X288" s="28" t="s">
        <v>2113</v>
      </c>
      <c r="Y288" s="28" t="s">
        <v>2157</v>
      </c>
      <c r="Z288" s="40" t="s">
        <v>1</v>
      </c>
      <c r="AA288" s="28" t="str">
        <f t="shared" si="303"/>
        <v>Anchored floating structure that serves as a navigational mark, to show reefs or other hazards.</v>
      </c>
    </row>
    <row r="289" spans="1:27" ht="6.65" customHeight="1" x14ac:dyDescent="0.4">
      <c r="A289" s="77">
        <v>289</v>
      </c>
      <c r="B289" s="66" t="s">
        <v>2219</v>
      </c>
      <c r="C289" s="30" t="s">
        <v>1596</v>
      </c>
      <c r="D289" s="29" t="s">
        <v>1603</v>
      </c>
      <c r="E289" s="33" t="s">
        <v>1604</v>
      </c>
      <c r="F289" s="91" t="s">
        <v>492</v>
      </c>
      <c r="G289" s="90" t="s">
        <v>1</v>
      </c>
      <c r="H289" s="90" t="s">
        <v>1</v>
      </c>
      <c r="I289" s="90" t="s">
        <v>1</v>
      </c>
      <c r="J289" s="78" t="s">
        <v>1</v>
      </c>
      <c r="K289" s="78" t="s">
        <v>1</v>
      </c>
      <c r="L289" s="84" t="str">
        <f t="shared" si="326"/>
        <v>Infraestruturas</v>
      </c>
      <c r="M289" s="27" t="str">
        <f t="shared" si="327"/>
        <v>Hidroviárias</v>
      </c>
      <c r="N289" s="27" t="str">
        <f t="shared" si="328"/>
        <v>Vias de Navegação</v>
      </c>
      <c r="O289" s="28" t="str">
        <f t="shared" si="329"/>
        <v>Bóia.de.Navegação</v>
      </c>
      <c r="P289" s="28" t="s">
        <v>493</v>
      </c>
      <c r="Q289" s="32" t="s">
        <v>494</v>
      </c>
      <c r="R289" s="28" t="s">
        <v>1</v>
      </c>
      <c r="S289" s="28" t="str">
        <f t="shared" si="249"/>
        <v>Infraestruturas</v>
      </c>
      <c r="T289" s="28" t="str">
        <f t="shared" si="250"/>
        <v>Hidroviárias</v>
      </c>
      <c r="U289" s="28" t="str">
        <f t="shared" si="250"/>
        <v>Vias de Navegação</v>
      </c>
      <c r="V289" s="28" t="s">
        <v>2222</v>
      </c>
      <c r="W289" s="69" t="str">
        <f t="shared" si="296"/>
        <v>Key-INFRA-289</v>
      </c>
      <c r="X289" s="28" t="s">
        <v>2113</v>
      </c>
      <c r="Y289" s="28" t="s">
        <v>2157</v>
      </c>
      <c r="Z289" s="40" t="s">
        <v>1</v>
      </c>
      <c r="AA289" s="28" t="str">
        <f t="shared" si="303"/>
        <v>Buoy that assists maritime navigation, used to guide vessels, delimit channels, indicate hazards or special areas. Standardized by the IALA (International Association of Marine Aids to Navigation and Lighthouse Authorities) system.</v>
      </c>
    </row>
    <row r="290" spans="1:27" ht="6.65" customHeight="1" x14ac:dyDescent="0.4">
      <c r="A290" s="77">
        <v>290</v>
      </c>
      <c r="B290" s="66" t="s">
        <v>2219</v>
      </c>
      <c r="C290" s="30" t="s">
        <v>1596</v>
      </c>
      <c r="D290" s="29" t="s">
        <v>1603</v>
      </c>
      <c r="E290" s="33" t="s">
        <v>1604</v>
      </c>
      <c r="F290" s="91" t="s">
        <v>495</v>
      </c>
      <c r="G290" s="90" t="s">
        <v>1</v>
      </c>
      <c r="H290" s="90" t="s">
        <v>1</v>
      </c>
      <c r="I290" s="90" t="s">
        <v>1</v>
      </c>
      <c r="J290" s="78" t="s">
        <v>1</v>
      </c>
      <c r="K290" s="78" t="s">
        <v>1</v>
      </c>
      <c r="L290" s="84" t="str">
        <f t="shared" si="326"/>
        <v>Infraestruturas</v>
      </c>
      <c r="M290" s="27" t="str">
        <f t="shared" si="327"/>
        <v>Hidroviárias</v>
      </c>
      <c r="N290" s="27" t="str">
        <f t="shared" si="328"/>
        <v>Vias de Navegação</v>
      </c>
      <c r="O290" s="28" t="str">
        <f t="shared" si="329"/>
        <v>Fundeadouro</v>
      </c>
      <c r="P290" s="28" t="s">
        <v>496</v>
      </c>
      <c r="Q290" s="43" t="s">
        <v>497</v>
      </c>
      <c r="R290" s="28" t="s">
        <v>1</v>
      </c>
      <c r="S290" s="28" t="str">
        <f t="shared" si="249"/>
        <v>Infraestruturas</v>
      </c>
      <c r="T290" s="28" t="str">
        <f t="shared" si="250"/>
        <v>Hidroviárias</v>
      </c>
      <c r="U290" s="28" t="str">
        <f t="shared" si="250"/>
        <v>Vias de Navegação</v>
      </c>
      <c r="V290" s="28" t="s">
        <v>2222</v>
      </c>
      <c r="W290" s="69" t="str">
        <f t="shared" si="296"/>
        <v>Key-INFRA-290</v>
      </c>
      <c r="X290" s="28" t="s">
        <v>2089</v>
      </c>
      <c r="Y290" s="28" t="s">
        <v>2157</v>
      </c>
      <c r="Z290" s="40" t="s">
        <v>1</v>
      </c>
      <c r="AA290" s="28" t="str">
        <f t="shared" si="303"/>
        <v>Spatial part of the region that represents a managed area for the anchorage of vessels waiting for space in the port.</v>
      </c>
    </row>
    <row r="291" spans="1:27" ht="6.65" customHeight="1" x14ac:dyDescent="0.4">
      <c r="A291" s="77">
        <v>291</v>
      </c>
      <c r="B291" s="66" t="s">
        <v>2219</v>
      </c>
      <c r="C291" s="30" t="s">
        <v>1596</v>
      </c>
      <c r="D291" s="29" t="s">
        <v>1603</v>
      </c>
      <c r="E291" s="33" t="s">
        <v>1604</v>
      </c>
      <c r="F291" s="91" t="s">
        <v>498</v>
      </c>
      <c r="G291" s="90" t="s">
        <v>1</v>
      </c>
      <c r="H291" s="90" t="s">
        <v>1</v>
      </c>
      <c r="I291" s="90" t="s">
        <v>1</v>
      </c>
      <c r="J291" s="78" t="s">
        <v>1</v>
      </c>
      <c r="K291" s="78" t="s">
        <v>1</v>
      </c>
      <c r="L291" s="84" t="str">
        <f t="shared" si="326"/>
        <v>Infraestruturas</v>
      </c>
      <c r="M291" s="27" t="str">
        <f t="shared" si="327"/>
        <v>Hidroviárias</v>
      </c>
      <c r="N291" s="27" t="str">
        <f t="shared" si="328"/>
        <v>Vias de Navegação</v>
      </c>
      <c r="O291" s="28" t="str">
        <f t="shared" si="329"/>
        <v>Atracadouro</v>
      </c>
      <c r="P291" s="28" t="s">
        <v>499</v>
      </c>
      <c r="Q291" s="43" t="s">
        <v>500</v>
      </c>
      <c r="R291" s="28" t="s">
        <v>1</v>
      </c>
      <c r="S291" s="28" t="str">
        <f t="shared" si="249"/>
        <v>Infraestruturas</v>
      </c>
      <c r="T291" s="28" t="str">
        <f t="shared" si="250"/>
        <v>Hidroviárias</v>
      </c>
      <c r="U291" s="28" t="str">
        <f t="shared" si="250"/>
        <v>Vias de Navegação</v>
      </c>
      <c r="V291" s="28" t="s">
        <v>2222</v>
      </c>
      <c r="W291" s="69" t="str">
        <f t="shared" si="296"/>
        <v>Key-INFRA-291</v>
      </c>
      <c r="X291" s="28" t="s">
        <v>2089</v>
      </c>
      <c r="Y291" s="28" t="s">
        <v>2157</v>
      </c>
      <c r="Z291" s="40" t="s">
        <v>1</v>
      </c>
      <c r="AA291" s="28" t="str">
        <f t="shared" si="303"/>
        <v>Longitudinal spatial part of a waterway or port facility that provides facilities for berthing.</v>
      </c>
    </row>
    <row r="292" spans="1:27" ht="6.65" customHeight="1" x14ac:dyDescent="0.4">
      <c r="A292" s="77">
        <v>292</v>
      </c>
      <c r="B292" s="66" t="s">
        <v>2219</v>
      </c>
      <c r="C292" s="30" t="s">
        <v>1596</v>
      </c>
      <c r="D292" s="29" t="s">
        <v>1603</v>
      </c>
      <c r="E292" s="33" t="s">
        <v>1604</v>
      </c>
      <c r="F292" s="35" t="s">
        <v>501</v>
      </c>
      <c r="G292" s="90" t="s">
        <v>1</v>
      </c>
      <c r="H292" s="90" t="s">
        <v>1</v>
      </c>
      <c r="I292" s="90" t="s">
        <v>1</v>
      </c>
      <c r="J292" s="78" t="s">
        <v>1</v>
      </c>
      <c r="K292" s="78" t="s">
        <v>1</v>
      </c>
      <c r="L292" s="84" t="str">
        <f t="shared" si="326"/>
        <v>Infraestruturas</v>
      </c>
      <c r="M292" s="27" t="str">
        <f t="shared" si="327"/>
        <v>Hidroviárias</v>
      </c>
      <c r="N292" s="27" t="str">
        <f t="shared" si="328"/>
        <v>Vias de Navegação</v>
      </c>
      <c r="O292" s="28" t="str">
        <f t="shared" si="329"/>
        <v>Canal</v>
      </c>
      <c r="P292" s="28" t="s">
        <v>502</v>
      </c>
      <c r="Q292" s="43" t="s">
        <v>503</v>
      </c>
      <c r="R292" s="28" t="s">
        <v>1</v>
      </c>
      <c r="S292" s="28" t="str">
        <f t="shared" si="249"/>
        <v>Infraestruturas</v>
      </c>
      <c r="T292" s="28" t="str">
        <f t="shared" si="250"/>
        <v>Hidroviárias</v>
      </c>
      <c r="U292" s="28" t="str">
        <f t="shared" si="250"/>
        <v>Vias de Navegação</v>
      </c>
      <c r="V292" s="28" t="s">
        <v>2222</v>
      </c>
      <c r="W292" s="69" t="str">
        <f t="shared" si="296"/>
        <v>Key-INFRA-292</v>
      </c>
      <c r="X292" s="28" t="s">
        <v>2089</v>
      </c>
      <c r="Y292" s="28" t="s">
        <v>2157</v>
      </c>
      <c r="Z292" s="40" t="s">
        <v>1</v>
      </c>
      <c r="AA292" s="28" t="str">
        <f t="shared" si="303"/>
        <v>Artificial watercourse usually built to join rivers, lakes or seas and often of an appropriate size.</v>
      </c>
    </row>
    <row r="293" spans="1:27" ht="6.65" customHeight="1" x14ac:dyDescent="0.4">
      <c r="A293" s="77">
        <v>293</v>
      </c>
      <c r="B293" s="66" t="s">
        <v>2219</v>
      </c>
      <c r="C293" s="30" t="s">
        <v>1596</v>
      </c>
      <c r="D293" s="29" t="s">
        <v>1603</v>
      </c>
      <c r="E293" s="33" t="s">
        <v>1604</v>
      </c>
      <c r="F293" s="91" t="s">
        <v>504</v>
      </c>
      <c r="G293" s="90" t="s">
        <v>1</v>
      </c>
      <c r="H293" s="90" t="s">
        <v>1</v>
      </c>
      <c r="I293" s="90" t="s">
        <v>1</v>
      </c>
      <c r="J293" s="78" t="s">
        <v>1</v>
      </c>
      <c r="K293" s="78" t="s">
        <v>1</v>
      </c>
      <c r="L293" s="84" t="str">
        <f t="shared" si="326"/>
        <v>Infraestruturas</v>
      </c>
      <c r="M293" s="27" t="str">
        <f t="shared" si="327"/>
        <v>Hidroviárias</v>
      </c>
      <c r="N293" s="27" t="str">
        <f t="shared" si="328"/>
        <v>Vias de Navegação</v>
      </c>
      <c r="O293" s="28" t="str">
        <f t="shared" si="329"/>
        <v>Canal.Acesso</v>
      </c>
      <c r="P293" s="28" t="s">
        <v>505</v>
      </c>
      <c r="Q293" s="43" t="s">
        <v>506</v>
      </c>
      <c r="R293" s="28" t="s">
        <v>1</v>
      </c>
      <c r="S293" s="28" t="str">
        <f t="shared" si="249"/>
        <v>Infraestruturas</v>
      </c>
      <c r="T293" s="28" t="str">
        <f t="shared" si="250"/>
        <v>Hidroviárias</v>
      </c>
      <c r="U293" s="28" t="str">
        <f t="shared" si="250"/>
        <v>Vias de Navegação</v>
      </c>
      <c r="V293" s="28" t="s">
        <v>2222</v>
      </c>
      <c r="W293" s="69" t="str">
        <f t="shared" si="296"/>
        <v>Key-INFRA-293</v>
      </c>
      <c r="X293" s="28" t="s">
        <v>2089</v>
      </c>
      <c r="Y293" s="28" t="s">
        <v>2157</v>
      </c>
      <c r="Z293" s="40" t="s">
        <v>1</v>
      </c>
      <c r="AA293" s="28" t="str">
        <f t="shared" si="303"/>
        <v>The longitudinal spatial part of a waterway or port facility covering the approach.</v>
      </c>
    </row>
    <row r="294" spans="1:27" ht="6.65" customHeight="1" x14ac:dyDescent="0.4">
      <c r="A294" s="77">
        <v>294</v>
      </c>
      <c r="B294" s="66" t="s">
        <v>2219</v>
      </c>
      <c r="C294" s="30" t="s">
        <v>1596</v>
      </c>
      <c r="D294" s="29" t="s">
        <v>1603</v>
      </c>
      <c r="E294" s="33" t="s">
        <v>1604</v>
      </c>
      <c r="F294" s="35" t="s">
        <v>507</v>
      </c>
      <c r="G294" s="90" t="s">
        <v>1</v>
      </c>
      <c r="H294" s="90" t="s">
        <v>1</v>
      </c>
      <c r="I294" s="90" t="s">
        <v>1</v>
      </c>
      <c r="J294" s="78" t="s">
        <v>1</v>
      </c>
      <c r="K294" s="78" t="s">
        <v>1</v>
      </c>
      <c r="L294" s="84" t="str">
        <f t="shared" si="326"/>
        <v>Infraestruturas</v>
      </c>
      <c r="M294" s="27" t="str">
        <f t="shared" si="327"/>
        <v>Hidroviárias</v>
      </c>
      <c r="N294" s="27" t="str">
        <f t="shared" si="328"/>
        <v>Vias de Navegação</v>
      </c>
      <c r="O294" s="28" t="str">
        <f t="shared" si="329"/>
        <v>Canal.Navegável</v>
      </c>
      <c r="P294" s="28" t="s">
        <v>508</v>
      </c>
      <c r="Q294" s="43" t="s">
        <v>509</v>
      </c>
      <c r="R294" s="28" t="s">
        <v>1</v>
      </c>
      <c r="S294" s="28" t="str">
        <f t="shared" si="249"/>
        <v>Infraestruturas</v>
      </c>
      <c r="T294" s="28" t="str">
        <f t="shared" si="250"/>
        <v>Hidroviárias</v>
      </c>
      <c r="U294" s="28" t="str">
        <f t="shared" si="250"/>
        <v>Vias de Navegação</v>
      </c>
      <c r="V294" s="28" t="s">
        <v>2222</v>
      </c>
      <c r="W294" s="69" t="str">
        <f t="shared" si="296"/>
        <v>Key-INFRA-294</v>
      </c>
      <c r="X294" s="28" t="s">
        <v>2089</v>
      </c>
      <c r="Y294" s="28" t="s">
        <v>2157</v>
      </c>
      <c r="Z294" s="40" t="s">
        <v>1</v>
      </c>
      <c r="AA294" s="28" t="str">
        <f t="shared" si="303"/>
        <v>Natural navigable watercourse (such as a river) that needs to be managed or have improvements applied.</v>
      </c>
    </row>
    <row r="295" spans="1:27" ht="6.65" customHeight="1" x14ac:dyDescent="0.4">
      <c r="A295" s="77">
        <v>295</v>
      </c>
      <c r="B295" s="66" t="s">
        <v>2219</v>
      </c>
      <c r="C295" s="30" t="s">
        <v>1596</v>
      </c>
      <c r="D295" s="29" t="s">
        <v>1603</v>
      </c>
      <c r="E295" s="33" t="s">
        <v>1604</v>
      </c>
      <c r="F295" s="35" t="s">
        <v>510</v>
      </c>
      <c r="G295" s="90" t="s">
        <v>1</v>
      </c>
      <c r="H295" s="90" t="s">
        <v>1</v>
      </c>
      <c r="I295" s="90" t="s">
        <v>1</v>
      </c>
      <c r="J295" s="78" t="s">
        <v>1</v>
      </c>
      <c r="K295" s="78" t="s">
        <v>1</v>
      </c>
      <c r="L295" s="84" t="str">
        <f t="shared" si="326"/>
        <v>Infraestruturas</v>
      </c>
      <c r="M295" s="27" t="str">
        <f t="shared" si="327"/>
        <v>Hidroviárias</v>
      </c>
      <c r="N295" s="27" t="str">
        <f t="shared" si="328"/>
        <v>Vias de Navegação</v>
      </c>
      <c r="O295" s="28" t="str">
        <f t="shared" si="329"/>
        <v>Via.Navegável</v>
      </c>
      <c r="P295" s="28" t="s">
        <v>511</v>
      </c>
      <c r="Q295" s="43" t="s">
        <v>512</v>
      </c>
      <c r="R295" s="28" t="s">
        <v>1</v>
      </c>
      <c r="S295" s="28" t="str">
        <f t="shared" si="249"/>
        <v>Infraestruturas</v>
      </c>
      <c r="T295" s="28" t="str">
        <f t="shared" si="250"/>
        <v>Hidroviárias</v>
      </c>
      <c r="U295" s="28" t="str">
        <f t="shared" si="250"/>
        <v>Vias de Navegação</v>
      </c>
      <c r="V295" s="28" t="s">
        <v>2222</v>
      </c>
      <c r="W295" s="69" t="str">
        <f t="shared" si="296"/>
        <v>Key-INFRA-295</v>
      </c>
      <c r="X295" s="28" t="s">
        <v>2089</v>
      </c>
      <c r="Y295" s="28" t="s">
        <v>2157</v>
      </c>
      <c r="Z295" s="40" t="s">
        <v>1</v>
      </c>
      <c r="AA295" s="28" t="str">
        <f t="shared" si="303"/>
        <v>Subset of facilities that have the primary function of providing a navigable area of water.</v>
      </c>
    </row>
    <row r="296" spans="1:27" ht="6.65" customHeight="1" x14ac:dyDescent="0.4">
      <c r="A296" s="77">
        <v>296</v>
      </c>
      <c r="B296" s="66" t="s">
        <v>2219</v>
      </c>
      <c r="C296" s="30" t="s">
        <v>1596</v>
      </c>
      <c r="D296" s="29" t="s">
        <v>1603</v>
      </c>
      <c r="E296" s="33" t="s">
        <v>1604</v>
      </c>
      <c r="F296" s="35" t="s">
        <v>483</v>
      </c>
      <c r="G296" s="90" t="s">
        <v>1</v>
      </c>
      <c r="H296" s="90" t="s">
        <v>1</v>
      </c>
      <c r="I296" s="90" t="s">
        <v>1</v>
      </c>
      <c r="J296" s="78" t="s">
        <v>1</v>
      </c>
      <c r="K296" s="78" t="s">
        <v>1</v>
      </c>
      <c r="L296" s="84" t="str">
        <f t="shared" si="326"/>
        <v>Infraestruturas</v>
      </c>
      <c r="M296" s="27" t="str">
        <f t="shared" si="327"/>
        <v>Hidroviárias</v>
      </c>
      <c r="N296" s="27" t="str">
        <f t="shared" si="328"/>
        <v>Vias de Navegação</v>
      </c>
      <c r="O296" s="28" t="str">
        <f t="shared" si="329"/>
        <v>Elemento.de.Navegação</v>
      </c>
      <c r="P296" s="28" t="s">
        <v>484</v>
      </c>
      <c r="Q296" s="84" t="s">
        <v>485</v>
      </c>
      <c r="R296" s="28" t="s">
        <v>1</v>
      </c>
      <c r="S296" s="28" t="str">
        <f t="shared" si="249"/>
        <v>Infraestruturas</v>
      </c>
      <c r="T296" s="28" t="str">
        <f t="shared" si="250"/>
        <v>Hidroviárias</v>
      </c>
      <c r="U296" s="28" t="str">
        <f t="shared" si="250"/>
        <v>Vias de Navegação</v>
      </c>
      <c r="V296" s="28" t="s">
        <v>2222</v>
      </c>
      <c r="W296" s="69" t="str">
        <f t="shared" si="296"/>
        <v>Key-INFRA-296</v>
      </c>
      <c r="X296" s="28" t="s">
        <v>2089</v>
      </c>
      <c r="Y296" s="28" t="s">
        <v>2157</v>
      </c>
      <c r="Z296" s="40" t="s">
        <v>1</v>
      </c>
      <c r="AA296" s="28" t="str">
        <f t="shared" si="303"/>
        <v>A navigation element is an active or passive constructed element whose primary function is to provide navigation.</v>
      </c>
    </row>
    <row r="297" spans="1:27" ht="6.65" customHeight="1" x14ac:dyDescent="0.4">
      <c r="A297" s="77">
        <v>297</v>
      </c>
      <c r="B297" s="66" t="s">
        <v>2219</v>
      </c>
      <c r="C297" s="30" t="s">
        <v>1596</v>
      </c>
      <c r="D297" s="29" t="s">
        <v>1603</v>
      </c>
      <c r="E297" s="29" t="s">
        <v>1607</v>
      </c>
      <c r="F297" s="45" t="s">
        <v>1567</v>
      </c>
      <c r="G297" s="78" t="s">
        <v>1</v>
      </c>
      <c r="H297" s="78" t="s">
        <v>1</v>
      </c>
      <c r="I297" s="78" t="s">
        <v>1</v>
      </c>
      <c r="J297" s="78" t="s">
        <v>1</v>
      </c>
      <c r="K297" s="78" t="s">
        <v>1</v>
      </c>
      <c r="L297" s="43" t="str">
        <f t="shared" ref="L297:L324" si="330">_xlfn.CONCAT(C297)</f>
        <v>Infraestruturas</v>
      </c>
      <c r="M297" s="27" t="str">
        <f t="shared" si="323"/>
        <v>Hidroviárias</v>
      </c>
      <c r="N297" s="27" t="str">
        <f t="shared" si="324"/>
        <v>Amarrações</v>
      </c>
      <c r="O297" s="28" t="str">
        <f t="shared" si="325"/>
        <v>Dispositivo.de.Amarração</v>
      </c>
      <c r="P297" s="28" t="s">
        <v>461</v>
      </c>
      <c r="Q297" s="43" t="s">
        <v>462</v>
      </c>
      <c r="R297" s="28" t="s">
        <v>1</v>
      </c>
      <c r="S297" s="28" t="str">
        <f t="shared" ref="S297:S341" si="331">SUBSTITUTE(C297, ".", " ")</f>
        <v>Infraestruturas</v>
      </c>
      <c r="T297" s="28" t="str">
        <f t="shared" ref="T297:U341" si="332">SUBSTITUTE(D297, ".", " ")</f>
        <v>Hidroviárias</v>
      </c>
      <c r="U297" s="28" t="str">
        <f t="shared" si="332"/>
        <v>Amarrações</v>
      </c>
      <c r="V297" s="28" t="s">
        <v>2222</v>
      </c>
      <c r="W297" s="69" t="str">
        <f t="shared" si="296"/>
        <v>Key-INFRA-297</v>
      </c>
      <c r="X297" s="28" t="s">
        <v>2089</v>
      </c>
      <c r="Y297" s="28" t="s">
        <v>2157</v>
      </c>
      <c r="Z297" s="40" t="s">
        <v>1</v>
      </c>
      <c r="AA297" s="28" t="str">
        <f t="shared" si="303"/>
        <v>A lashing device is an active or passive constructed element whose primary function is to participate in the lashing.</v>
      </c>
    </row>
    <row r="298" spans="1:27" ht="6.65" customHeight="1" x14ac:dyDescent="0.4">
      <c r="A298" s="77">
        <v>298</v>
      </c>
      <c r="B298" s="66" t="s">
        <v>2219</v>
      </c>
      <c r="C298" s="30" t="s">
        <v>1596</v>
      </c>
      <c r="D298" s="29" t="s">
        <v>1603</v>
      </c>
      <c r="E298" s="29" t="s">
        <v>1607</v>
      </c>
      <c r="F298" s="35" t="s">
        <v>1568</v>
      </c>
      <c r="G298" s="90" t="s">
        <v>1</v>
      </c>
      <c r="H298" s="90" t="s">
        <v>1</v>
      </c>
      <c r="I298" s="90" t="s">
        <v>1</v>
      </c>
      <c r="J298" s="78" t="s">
        <v>1</v>
      </c>
      <c r="K298" s="78" t="s">
        <v>1</v>
      </c>
      <c r="L298" s="84" t="str">
        <f t="shared" si="330"/>
        <v>Infraestruturas</v>
      </c>
      <c r="M298" s="27" t="str">
        <f t="shared" si="323"/>
        <v>Hidroviárias</v>
      </c>
      <c r="N298" s="27" t="str">
        <f t="shared" si="324"/>
        <v>Amarrações</v>
      </c>
      <c r="O298" s="28" t="str">
        <f t="shared" si="325"/>
        <v>Guincho.de.Amarração</v>
      </c>
      <c r="P298" s="28" t="s">
        <v>463</v>
      </c>
      <c r="Q298" s="84" t="s">
        <v>464</v>
      </c>
      <c r="R298" s="28" t="s">
        <v>1</v>
      </c>
      <c r="S298" s="28" t="str">
        <f t="shared" si="331"/>
        <v>Infraestruturas</v>
      </c>
      <c r="T298" s="28" t="str">
        <f t="shared" si="332"/>
        <v>Hidroviárias</v>
      </c>
      <c r="U298" s="28" t="str">
        <f t="shared" si="332"/>
        <v>Amarrações</v>
      </c>
      <c r="V298" s="28" t="s">
        <v>2222</v>
      </c>
      <c r="W298" s="69" t="str">
        <f t="shared" si="296"/>
        <v>Key-INFRA-298</v>
      </c>
      <c r="X298" s="28" t="s">
        <v>2089</v>
      </c>
      <c r="Y298" s="28" t="s">
        <v>2157</v>
      </c>
      <c r="Z298" s="40" t="s">
        <v>1</v>
      </c>
      <c r="AA298" s="28" t="str">
        <f t="shared" si="303"/>
        <v>Quick release mooring hooks – an active device used to secure a vessel and provide automated release.</v>
      </c>
    </row>
    <row r="299" spans="1:27" ht="6.65" customHeight="1" x14ac:dyDescent="0.4">
      <c r="A299" s="77">
        <v>299</v>
      </c>
      <c r="B299" s="66" t="s">
        <v>2219</v>
      </c>
      <c r="C299" s="30" t="s">
        <v>1596</v>
      </c>
      <c r="D299" s="29" t="s">
        <v>1603</v>
      </c>
      <c r="E299" s="29" t="s">
        <v>1607</v>
      </c>
      <c r="F299" s="35" t="s">
        <v>1569</v>
      </c>
      <c r="G299" s="90" t="s">
        <v>1</v>
      </c>
      <c r="H299" s="90" t="s">
        <v>1</v>
      </c>
      <c r="I299" s="90" t="s">
        <v>1</v>
      </c>
      <c r="J299" s="78" t="s">
        <v>1</v>
      </c>
      <c r="K299" s="78" t="s">
        <v>1</v>
      </c>
      <c r="L299" s="84" t="str">
        <f t="shared" si="330"/>
        <v>Infraestruturas</v>
      </c>
      <c r="M299" s="27" t="str">
        <f t="shared" si="323"/>
        <v>Hidroviárias</v>
      </c>
      <c r="N299" s="27" t="str">
        <f t="shared" si="324"/>
        <v>Amarrações</v>
      </c>
      <c r="O299" s="28" t="str">
        <f t="shared" si="325"/>
        <v>Cabeço.de.Amarração</v>
      </c>
      <c r="P299" s="28" t="s">
        <v>465</v>
      </c>
      <c r="Q299" s="84" t="s">
        <v>466</v>
      </c>
      <c r="R299" s="28" t="s">
        <v>1</v>
      </c>
      <c r="S299" s="28" t="str">
        <f t="shared" si="331"/>
        <v>Infraestruturas</v>
      </c>
      <c r="T299" s="28" t="str">
        <f t="shared" si="332"/>
        <v>Hidroviárias</v>
      </c>
      <c r="U299" s="28" t="str">
        <f t="shared" si="332"/>
        <v>Amarrações</v>
      </c>
      <c r="V299" s="28" t="s">
        <v>2222</v>
      </c>
      <c r="W299" s="69" t="str">
        <f t="shared" si="296"/>
        <v>Key-INFRA-299</v>
      </c>
      <c r="X299" s="28" t="s">
        <v>2089</v>
      </c>
      <c r="Y299" s="28" t="s">
        <v>2157</v>
      </c>
      <c r="Z299" s="40" t="s">
        <v>1</v>
      </c>
      <c r="AA299" s="28" t="str">
        <f t="shared" si="303"/>
        <v>Short, thick post on a ship's deck or quayside, to which the ship's rope can be attached to keep the vessel safe and stable during berthing. The distance between them can vary from 5 to 10 meters.</v>
      </c>
    </row>
    <row r="300" spans="1:27" ht="6.65" customHeight="1" x14ac:dyDescent="0.4">
      <c r="A300" s="77">
        <v>300</v>
      </c>
      <c r="B300" s="66" t="s">
        <v>2219</v>
      </c>
      <c r="C300" s="30" t="s">
        <v>1596</v>
      </c>
      <c r="D300" s="29" t="s">
        <v>1603</v>
      </c>
      <c r="E300" s="29" t="s">
        <v>1607</v>
      </c>
      <c r="F300" s="35" t="s">
        <v>467</v>
      </c>
      <c r="G300" s="90" t="s">
        <v>1</v>
      </c>
      <c r="H300" s="90" t="s">
        <v>1</v>
      </c>
      <c r="I300" s="90" t="s">
        <v>1</v>
      </c>
      <c r="J300" s="78" t="s">
        <v>1</v>
      </c>
      <c r="K300" s="78" t="s">
        <v>1</v>
      </c>
      <c r="L300" s="84" t="str">
        <f t="shared" si="330"/>
        <v>Infraestruturas</v>
      </c>
      <c r="M300" s="27" t="str">
        <f t="shared" si="323"/>
        <v>Hidroviárias</v>
      </c>
      <c r="N300" s="27" t="str">
        <f t="shared" si="324"/>
        <v>Amarrações</v>
      </c>
      <c r="O300" s="28" t="str">
        <f t="shared" si="325"/>
        <v>Cabrestante</v>
      </c>
      <c r="P300" s="32" t="s">
        <v>468</v>
      </c>
      <c r="Q300" s="84" t="s">
        <v>469</v>
      </c>
      <c r="R300" s="28" t="s">
        <v>1</v>
      </c>
      <c r="S300" s="28" t="str">
        <f t="shared" si="331"/>
        <v>Infraestruturas</v>
      </c>
      <c r="T300" s="28" t="str">
        <f t="shared" si="332"/>
        <v>Hidroviárias</v>
      </c>
      <c r="U300" s="28" t="str">
        <f t="shared" si="332"/>
        <v>Amarrações</v>
      </c>
      <c r="V300" s="28" t="s">
        <v>2222</v>
      </c>
      <c r="W300" s="69" t="str">
        <f t="shared" si="296"/>
        <v>Key-INFRA-300</v>
      </c>
      <c r="X300" s="28" t="s">
        <v>2089</v>
      </c>
      <c r="Y300" s="28" t="s">
        <v>2157</v>
      </c>
      <c r="Z300" s="40" t="s">
        <v>1</v>
      </c>
      <c r="AA300" s="28" t="str">
        <f t="shared" si="303"/>
        <v>A motorized mechanical device used to apply a tensioning load to mooring lines to improve the stability of the vessel.</v>
      </c>
    </row>
    <row r="301" spans="1:27" ht="6.65" customHeight="1" x14ac:dyDescent="0.4">
      <c r="A301" s="77">
        <v>301</v>
      </c>
      <c r="B301" s="66" t="s">
        <v>2219</v>
      </c>
      <c r="C301" s="30" t="s">
        <v>1596</v>
      </c>
      <c r="D301" s="29" t="s">
        <v>1603</v>
      </c>
      <c r="E301" s="29" t="s">
        <v>1607</v>
      </c>
      <c r="F301" s="35" t="s">
        <v>470</v>
      </c>
      <c r="G301" s="90" t="s">
        <v>1</v>
      </c>
      <c r="H301" s="90" t="s">
        <v>1</v>
      </c>
      <c r="I301" s="90" t="s">
        <v>1</v>
      </c>
      <c r="J301" s="78" t="s">
        <v>1</v>
      </c>
      <c r="K301" s="78" t="s">
        <v>1</v>
      </c>
      <c r="L301" s="84" t="str">
        <f t="shared" si="330"/>
        <v>Infraestruturas</v>
      </c>
      <c r="M301" s="27" t="str">
        <f t="shared" si="323"/>
        <v>Hidroviárias</v>
      </c>
      <c r="N301" s="27" t="str">
        <f t="shared" si="324"/>
        <v>Amarrações</v>
      </c>
      <c r="O301" s="28" t="str">
        <f t="shared" si="325"/>
        <v>Esticador</v>
      </c>
      <c r="P301" s="32" t="s">
        <v>471</v>
      </c>
      <c r="Q301" s="84" t="s">
        <v>472</v>
      </c>
      <c r="R301" s="28" t="s">
        <v>1</v>
      </c>
      <c r="S301" s="28" t="str">
        <f t="shared" si="331"/>
        <v>Infraestruturas</v>
      </c>
      <c r="T301" s="28" t="str">
        <f t="shared" si="332"/>
        <v>Hidroviárias</v>
      </c>
      <c r="U301" s="28" t="str">
        <f t="shared" si="332"/>
        <v>Amarrações</v>
      </c>
      <c r="V301" s="28" t="s">
        <v>2222</v>
      </c>
      <c r="W301" s="69" t="str">
        <f t="shared" si="296"/>
        <v>Key-INFRA-301</v>
      </c>
      <c r="X301" s="28" t="s">
        <v>2089</v>
      </c>
      <c r="Y301" s="28" t="s">
        <v>2157</v>
      </c>
      <c r="Z301" s="40" t="s">
        <v>1</v>
      </c>
      <c r="AA301" s="28" t="str">
        <f t="shared" si="303"/>
        <v>A mechanical device used to apply a tensioning load to mooring lines to improve the stability of the vessel.</v>
      </c>
    </row>
    <row r="302" spans="1:27" ht="6.65" customHeight="1" x14ac:dyDescent="0.4">
      <c r="A302" s="77">
        <v>302</v>
      </c>
      <c r="B302" s="66" t="s">
        <v>2219</v>
      </c>
      <c r="C302" s="30" t="s">
        <v>1596</v>
      </c>
      <c r="D302" s="29" t="s">
        <v>1603</v>
      </c>
      <c r="E302" s="29" t="s">
        <v>1607</v>
      </c>
      <c r="F302" s="35" t="s">
        <v>1570</v>
      </c>
      <c r="G302" s="90" t="s">
        <v>1</v>
      </c>
      <c r="H302" s="90" t="s">
        <v>1</v>
      </c>
      <c r="I302" s="90" t="s">
        <v>1</v>
      </c>
      <c r="J302" s="78" t="s">
        <v>1</v>
      </c>
      <c r="K302" s="78" t="s">
        <v>1</v>
      </c>
      <c r="L302" s="84" t="str">
        <f t="shared" si="330"/>
        <v>Infraestruturas</v>
      </c>
      <c r="M302" s="27" t="str">
        <f t="shared" si="323"/>
        <v>Hidroviárias</v>
      </c>
      <c r="N302" s="27" t="str">
        <f t="shared" si="324"/>
        <v>Amarrações</v>
      </c>
      <c r="O302" s="28" t="str">
        <f t="shared" si="325"/>
        <v>Amarra.de.Vácuo</v>
      </c>
      <c r="P302" s="28" t="s">
        <v>473</v>
      </c>
      <c r="Q302" s="84" t="s">
        <v>474</v>
      </c>
      <c r="R302" s="28" t="s">
        <v>1</v>
      </c>
      <c r="S302" s="28" t="str">
        <f t="shared" si="331"/>
        <v>Infraestruturas</v>
      </c>
      <c r="T302" s="28" t="str">
        <f t="shared" si="332"/>
        <v>Hidroviárias</v>
      </c>
      <c r="U302" s="28" t="str">
        <f t="shared" si="332"/>
        <v>Amarrações</v>
      </c>
      <c r="V302" s="28" t="s">
        <v>2222</v>
      </c>
      <c r="W302" s="69" t="str">
        <f t="shared" si="296"/>
        <v>Key-INFRA-302</v>
      </c>
      <c r="X302" s="28" t="s">
        <v>2089</v>
      </c>
      <c r="Y302" s="28" t="s">
        <v>2157</v>
      </c>
      <c r="Z302" s="40" t="s">
        <v>1</v>
      </c>
      <c r="AA302" s="28" t="str">
        <f t="shared" si="303"/>
        <v>Mooring device that uses vacuum suction as the primary method of securing the vessel.</v>
      </c>
    </row>
    <row r="303" spans="1:27" ht="6.65" customHeight="1" x14ac:dyDescent="0.4">
      <c r="A303" s="77">
        <v>303</v>
      </c>
      <c r="B303" s="66" t="s">
        <v>2219</v>
      </c>
      <c r="C303" s="30" t="s">
        <v>1596</v>
      </c>
      <c r="D303" s="29" t="s">
        <v>1603</v>
      </c>
      <c r="E303" s="29" t="s">
        <v>1607</v>
      </c>
      <c r="F303" s="35" t="s">
        <v>475</v>
      </c>
      <c r="G303" s="90" t="s">
        <v>1</v>
      </c>
      <c r="H303" s="90" t="s">
        <v>1</v>
      </c>
      <c r="I303" s="90" t="s">
        <v>1</v>
      </c>
      <c r="J303" s="78" t="s">
        <v>1</v>
      </c>
      <c r="K303" s="78" t="s">
        <v>1</v>
      </c>
      <c r="L303" s="84" t="str">
        <f t="shared" si="330"/>
        <v>Infraestruturas</v>
      </c>
      <c r="M303" s="27" t="str">
        <f t="shared" si="323"/>
        <v>Hidroviárias</v>
      </c>
      <c r="N303" s="27" t="str">
        <f t="shared" si="324"/>
        <v>Amarrações</v>
      </c>
      <c r="O303" s="28" t="str">
        <f t="shared" si="325"/>
        <v>Amarra.Magnética</v>
      </c>
      <c r="P303" s="32" t="s">
        <v>476</v>
      </c>
      <c r="Q303" s="84" t="s">
        <v>477</v>
      </c>
      <c r="R303" s="28" t="s">
        <v>1</v>
      </c>
      <c r="S303" s="28" t="str">
        <f t="shared" si="331"/>
        <v>Infraestruturas</v>
      </c>
      <c r="T303" s="28" t="str">
        <f t="shared" si="332"/>
        <v>Hidroviárias</v>
      </c>
      <c r="U303" s="28" t="str">
        <f t="shared" si="332"/>
        <v>Amarrações</v>
      </c>
      <c r="V303" s="28" t="s">
        <v>2222</v>
      </c>
      <c r="W303" s="69" t="str">
        <f t="shared" si="296"/>
        <v>Key-INFRA-303</v>
      </c>
      <c r="X303" s="28" t="s">
        <v>2089</v>
      </c>
      <c r="Y303" s="28" t="s">
        <v>2157</v>
      </c>
      <c r="Z303" s="40" t="s">
        <v>1</v>
      </c>
      <c r="AA303" s="28" t="str">
        <f t="shared" si="303"/>
        <v>A mooring device that uses magnets as the primary method of securing the vessel.</v>
      </c>
    </row>
    <row r="304" spans="1:27" ht="6.65" customHeight="1" x14ac:dyDescent="0.4">
      <c r="A304" s="77">
        <v>304</v>
      </c>
      <c r="B304" s="66" t="s">
        <v>2219</v>
      </c>
      <c r="C304" s="30" t="s">
        <v>1596</v>
      </c>
      <c r="D304" s="29" t="s">
        <v>1603</v>
      </c>
      <c r="E304" s="29" t="s">
        <v>1607</v>
      </c>
      <c r="F304" s="35" t="s">
        <v>478</v>
      </c>
      <c r="G304" s="90" t="s">
        <v>1</v>
      </c>
      <c r="H304" s="90" t="s">
        <v>1</v>
      </c>
      <c r="I304" s="90" t="s">
        <v>1</v>
      </c>
      <c r="J304" s="78" t="s">
        <v>1</v>
      </c>
      <c r="K304" s="78" t="s">
        <v>1</v>
      </c>
      <c r="L304" s="84" t="str">
        <f t="shared" si="330"/>
        <v>Infraestruturas</v>
      </c>
      <c r="M304" s="27" t="str">
        <f t="shared" si="323"/>
        <v>Hidroviárias</v>
      </c>
      <c r="N304" s="27" t="str">
        <f t="shared" si="324"/>
        <v>Amarrações</v>
      </c>
      <c r="O304" s="28" t="str">
        <f t="shared" si="325"/>
        <v>Ligação.SafeCom</v>
      </c>
      <c r="P304" s="28" t="s">
        <v>479</v>
      </c>
      <c r="Q304" s="84" t="s">
        <v>480</v>
      </c>
      <c r="R304" s="28" t="s">
        <v>1</v>
      </c>
      <c r="S304" s="28" t="str">
        <f t="shared" si="331"/>
        <v>Infraestruturas</v>
      </c>
      <c r="T304" s="28" t="str">
        <f t="shared" si="332"/>
        <v>Hidroviárias</v>
      </c>
      <c r="U304" s="28" t="str">
        <f t="shared" si="332"/>
        <v>Amarrações</v>
      </c>
      <c r="V304" s="28" t="s">
        <v>2222</v>
      </c>
      <c r="W304" s="69" t="str">
        <f t="shared" si="296"/>
        <v>Key-INFRA-304</v>
      </c>
      <c r="X304" s="28" t="s">
        <v>2089</v>
      </c>
      <c r="Y304" s="28" t="s">
        <v>2158</v>
      </c>
      <c r="Z304" s="40" t="s">
        <v>1</v>
      </c>
      <c r="AA304" s="28" t="str">
        <f t="shared" si="303"/>
        <v>SafeCom Ship-to-Shore (SSL) Connection System is a security communication system used for the transfer of hazardous liquids and gases.</v>
      </c>
    </row>
    <row r="305" spans="1:27" ht="6.65" customHeight="1" x14ac:dyDescent="0.4">
      <c r="A305" s="77">
        <v>305</v>
      </c>
      <c r="B305" s="66" t="s">
        <v>2219</v>
      </c>
      <c r="C305" s="30" t="s">
        <v>1596</v>
      </c>
      <c r="D305" s="29" t="s">
        <v>1603</v>
      </c>
      <c r="E305" s="29" t="s">
        <v>1812</v>
      </c>
      <c r="F305" s="87" t="s">
        <v>513</v>
      </c>
      <c r="G305" s="78" t="s">
        <v>1</v>
      </c>
      <c r="H305" s="78" t="s">
        <v>1</v>
      </c>
      <c r="I305" s="78" t="s">
        <v>1</v>
      </c>
      <c r="J305" s="78" t="s">
        <v>1</v>
      </c>
      <c r="K305" s="78" t="s">
        <v>1</v>
      </c>
      <c r="L305" s="84" t="str">
        <f t="shared" si="330"/>
        <v>Infraestruturas</v>
      </c>
      <c r="M305" s="27" t="str">
        <f t="shared" si="323"/>
        <v>Hidroviárias</v>
      </c>
      <c r="N305" s="27" t="str">
        <f t="shared" si="324"/>
        <v>Níveis Portuários</v>
      </c>
      <c r="O305" s="28" t="str">
        <f t="shared" si="325"/>
        <v>Maré.Alta</v>
      </c>
      <c r="P305" s="28" t="s">
        <v>514</v>
      </c>
      <c r="Q305" s="84" t="s">
        <v>515</v>
      </c>
      <c r="R305" s="28" t="s">
        <v>1</v>
      </c>
      <c r="S305" s="28" t="str">
        <f t="shared" si="331"/>
        <v>Infraestruturas</v>
      </c>
      <c r="T305" s="28" t="str">
        <f t="shared" si="332"/>
        <v>Hidroviárias</v>
      </c>
      <c r="U305" s="28" t="str">
        <f t="shared" si="332"/>
        <v>Níveis Portuários</v>
      </c>
      <c r="V305" s="28" t="s">
        <v>2222</v>
      </c>
      <c r="W305" s="69" t="str">
        <f t="shared" si="296"/>
        <v>Key-INFRA-305</v>
      </c>
      <c r="X305" s="28" t="s">
        <v>2114</v>
      </c>
      <c r="Y305" s="28" t="s">
        <v>2158</v>
      </c>
      <c r="Z305" s="40" t="s">
        <v>1</v>
      </c>
      <c r="AA305" s="28" t="str">
        <f t="shared" si="303"/>
        <v>Level that represents the elevation of the waterline at high tide.</v>
      </c>
    </row>
    <row r="306" spans="1:27" ht="6.65" customHeight="1" x14ac:dyDescent="0.4">
      <c r="A306" s="77">
        <v>306</v>
      </c>
      <c r="B306" s="66" t="s">
        <v>2219</v>
      </c>
      <c r="C306" s="30" t="s">
        <v>1596</v>
      </c>
      <c r="D306" s="29" t="s">
        <v>1603</v>
      </c>
      <c r="E306" s="29" t="s">
        <v>1812</v>
      </c>
      <c r="F306" s="87" t="s">
        <v>516</v>
      </c>
      <c r="G306" s="78" t="s">
        <v>1</v>
      </c>
      <c r="H306" s="78" t="s">
        <v>1</v>
      </c>
      <c r="I306" s="78" t="s">
        <v>1</v>
      </c>
      <c r="J306" s="78" t="s">
        <v>1</v>
      </c>
      <c r="K306" s="78" t="s">
        <v>1</v>
      </c>
      <c r="L306" s="84" t="str">
        <f t="shared" si="330"/>
        <v>Infraestruturas</v>
      </c>
      <c r="M306" s="27" t="str">
        <f t="shared" si="323"/>
        <v>Hidroviárias</v>
      </c>
      <c r="N306" s="27" t="str">
        <f t="shared" si="324"/>
        <v>Níveis Portuários</v>
      </c>
      <c r="O306" s="28" t="str">
        <f t="shared" si="325"/>
        <v>Maré.Baixa</v>
      </c>
      <c r="P306" s="28" t="s">
        <v>517</v>
      </c>
      <c r="Q306" s="84" t="s">
        <v>518</v>
      </c>
      <c r="R306" s="28" t="s">
        <v>1</v>
      </c>
      <c r="S306" s="28" t="str">
        <f t="shared" si="331"/>
        <v>Infraestruturas</v>
      </c>
      <c r="T306" s="28" t="str">
        <f t="shared" si="332"/>
        <v>Hidroviárias</v>
      </c>
      <c r="U306" s="28" t="str">
        <f t="shared" si="332"/>
        <v>Níveis Portuários</v>
      </c>
      <c r="V306" s="28" t="s">
        <v>2222</v>
      </c>
      <c r="W306" s="69" t="str">
        <f t="shared" si="296"/>
        <v>Key-INFRA-306</v>
      </c>
      <c r="X306" s="28" t="s">
        <v>2114</v>
      </c>
      <c r="Y306" s="28" t="s">
        <v>2158</v>
      </c>
      <c r="Z306" s="40" t="s">
        <v>1</v>
      </c>
      <c r="AA306" s="28" t="str">
        <f t="shared" si="303"/>
        <v>Level that represents the elevation of the waterline at low tide.</v>
      </c>
    </row>
    <row r="307" spans="1:27" ht="6.65" customHeight="1" x14ac:dyDescent="0.4">
      <c r="A307" s="77">
        <v>307</v>
      </c>
      <c r="B307" s="66" t="s">
        <v>2219</v>
      </c>
      <c r="C307" s="30" t="s">
        <v>1596</v>
      </c>
      <c r="D307" s="29" t="s">
        <v>1603</v>
      </c>
      <c r="E307" s="29" t="s">
        <v>1812</v>
      </c>
      <c r="F307" s="87" t="s">
        <v>519</v>
      </c>
      <c r="G307" s="78" t="s">
        <v>1</v>
      </c>
      <c r="H307" s="78" t="s">
        <v>1</v>
      </c>
      <c r="I307" s="78" t="s">
        <v>1</v>
      </c>
      <c r="J307" s="78" t="s">
        <v>1</v>
      </c>
      <c r="K307" s="78" t="s">
        <v>1</v>
      </c>
      <c r="L307" s="84" t="str">
        <f t="shared" si="330"/>
        <v>Infraestruturas</v>
      </c>
      <c r="M307" s="27" t="str">
        <f t="shared" si="323"/>
        <v>Hidroviárias</v>
      </c>
      <c r="N307" s="27" t="str">
        <f t="shared" si="324"/>
        <v>Níveis Portuários</v>
      </c>
      <c r="O307" s="28" t="str">
        <f t="shared" si="325"/>
        <v>Flotação.Superior</v>
      </c>
      <c r="P307" s="28" t="s">
        <v>520</v>
      </c>
      <c r="Q307" s="84" t="s">
        <v>521</v>
      </c>
      <c r="R307" s="28" t="s">
        <v>1</v>
      </c>
      <c r="S307" s="28" t="str">
        <f t="shared" si="331"/>
        <v>Infraestruturas</v>
      </c>
      <c r="T307" s="28" t="str">
        <f t="shared" si="332"/>
        <v>Hidroviárias</v>
      </c>
      <c r="U307" s="28" t="str">
        <f t="shared" si="332"/>
        <v>Níveis Portuários</v>
      </c>
      <c r="V307" s="28" t="s">
        <v>2222</v>
      </c>
      <c r="W307" s="69" t="str">
        <f t="shared" si="296"/>
        <v>Key-INFRA-307</v>
      </c>
      <c r="X307" s="28" t="s">
        <v>2114</v>
      </c>
      <c r="Y307" s="28" t="s">
        <v>2158</v>
      </c>
      <c r="Z307" s="40" t="s">
        <v>1</v>
      </c>
      <c r="AA307" s="28" t="str">
        <f t="shared" si="303"/>
        <v>Level that represents the part above the average waterline defined within the site area.</v>
      </c>
    </row>
    <row r="308" spans="1:27" ht="6.65" customHeight="1" x14ac:dyDescent="0.4">
      <c r="A308" s="77">
        <v>308</v>
      </c>
      <c r="B308" s="66" t="s">
        <v>2219</v>
      </c>
      <c r="C308" s="30" t="s">
        <v>1596</v>
      </c>
      <c r="D308" s="29" t="s">
        <v>1603</v>
      </c>
      <c r="E308" s="29" t="s">
        <v>1812</v>
      </c>
      <c r="F308" s="87" t="s">
        <v>522</v>
      </c>
      <c r="G308" s="78" t="s">
        <v>1</v>
      </c>
      <c r="H308" s="78" t="s">
        <v>1</v>
      </c>
      <c r="I308" s="78" t="s">
        <v>1</v>
      </c>
      <c r="J308" s="78" t="s">
        <v>1</v>
      </c>
      <c r="K308" s="78" t="s">
        <v>1</v>
      </c>
      <c r="L308" s="84" t="str">
        <f t="shared" si="330"/>
        <v>Infraestruturas</v>
      </c>
      <c r="M308" s="27" t="str">
        <f t="shared" si="323"/>
        <v>Hidroviárias</v>
      </c>
      <c r="N308" s="27" t="str">
        <f t="shared" si="324"/>
        <v>Níveis Portuários</v>
      </c>
      <c r="O308" s="28" t="str">
        <f t="shared" si="325"/>
        <v>Flotação.Inferior</v>
      </c>
      <c r="P308" s="28" t="s">
        <v>523</v>
      </c>
      <c r="Q308" s="84" t="s">
        <v>524</v>
      </c>
      <c r="R308" s="28" t="s">
        <v>1</v>
      </c>
      <c r="S308" s="28" t="str">
        <f t="shared" si="331"/>
        <v>Infraestruturas</v>
      </c>
      <c r="T308" s="28" t="str">
        <f t="shared" si="332"/>
        <v>Hidroviárias</v>
      </c>
      <c r="U308" s="28" t="str">
        <f t="shared" si="332"/>
        <v>Níveis Portuários</v>
      </c>
      <c r="V308" s="28" t="s">
        <v>2222</v>
      </c>
      <c r="W308" s="69" t="str">
        <f t="shared" si="296"/>
        <v>Key-INFRA-308</v>
      </c>
      <c r="X308" s="28" t="s">
        <v>2114</v>
      </c>
      <c r="Y308" s="28" t="s">
        <v>2158</v>
      </c>
      <c r="Z308" s="40" t="s">
        <v>1</v>
      </c>
      <c r="AA308" s="28" t="str">
        <f t="shared" si="303"/>
        <v>Level that represents the part below the average waterline defined within the site area.</v>
      </c>
    </row>
    <row r="309" spans="1:27" ht="6.65" customHeight="1" x14ac:dyDescent="0.4">
      <c r="A309" s="77">
        <v>309</v>
      </c>
      <c r="B309" s="66" t="s">
        <v>2219</v>
      </c>
      <c r="C309" s="30" t="s">
        <v>1596</v>
      </c>
      <c r="D309" s="29" t="s">
        <v>1603</v>
      </c>
      <c r="E309" s="29" t="s">
        <v>1812</v>
      </c>
      <c r="F309" s="87" t="s">
        <v>525</v>
      </c>
      <c r="G309" s="78" t="s">
        <v>1</v>
      </c>
      <c r="H309" s="78" t="s">
        <v>1</v>
      </c>
      <c r="I309" s="78" t="s">
        <v>1</v>
      </c>
      <c r="J309" s="78" t="s">
        <v>1</v>
      </c>
      <c r="K309" s="78" t="s">
        <v>1</v>
      </c>
      <c r="L309" s="84" t="str">
        <f t="shared" si="330"/>
        <v>Infraestruturas</v>
      </c>
      <c r="M309" s="27" t="str">
        <f t="shared" si="323"/>
        <v>Hidroviárias</v>
      </c>
      <c r="N309" s="27" t="str">
        <f t="shared" si="324"/>
        <v>Níveis Portuários</v>
      </c>
      <c r="O309" s="28" t="str">
        <f t="shared" si="325"/>
        <v>Nível.Operacional</v>
      </c>
      <c r="P309" s="28" t="s">
        <v>526</v>
      </c>
      <c r="Q309" s="84" t="s">
        <v>527</v>
      </c>
      <c r="R309" s="28" t="s">
        <v>1</v>
      </c>
      <c r="S309" s="28" t="str">
        <f t="shared" si="331"/>
        <v>Infraestruturas</v>
      </c>
      <c r="T309" s="28" t="str">
        <f t="shared" si="332"/>
        <v>Hidroviárias</v>
      </c>
      <c r="U309" s="28" t="str">
        <f t="shared" si="332"/>
        <v>Níveis Portuários</v>
      </c>
      <c r="V309" s="28" t="s">
        <v>2222</v>
      </c>
      <c r="W309" s="69" t="str">
        <f t="shared" si="296"/>
        <v>Key-INFRA-309</v>
      </c>
      <c r="X309" s="28" t="s">
        <v>2114</v>
      </c>
      <c r="Y309" s="28" t="s">
        <v>2158</v>
      </c>
      <c r="Z309" s="40" t="s">
        <v>1</v>
      </c>
      <c r="AA309" s="28" t="str">
        <f t="shared" si="303"/>
        <v>Level that represents the minimum operating depth.</v>
      </c>
    </row>
    <row r="310" spans="1:27" ht="6.65" customHeight="1" x14ac:dyDescent="0.4">
      <c r="A310" s="77">
        <v>310</v>
      </c>
      <c r="B310" s="66" t="s">
        <v>2219</v>
      </c>
      <c r="C310" s="30" t="s">
        <v>1596</v>
      </c>
      <c r="D310" s="29" t="s">
        <v>1603</v>
      </c>
      <c r="E310" s="29" t="s">
        <v>1812</v>
      </c>
      <c r="F310" s="87" t="s">
        <v>1811</v>
      </c>
      <c r="G310" s="78" t="s">
        <v>1</v>
      </c>
      <c r="H310" s="78" t="s">
        <v>1</v>
      </c>
      <c r="I310" s="78" t="s">
        <v>1</v>
      </c>
      <c r="J310" s="78" t="s">
        <v>1</v>
      </c>
      <c r="K310" s="78" t="s">
        <v>1</v>
      </c>
      <c r="L310" s="84" t="str">
        <f t="shared" si="330"/>
        <v>Infraestruturas</v>
      </c>
      <c r="M310" s="27" t="str">
        <f t="shared" si="323"/>
        <v>Hidroviárias</v>
      </c>
      <c r="N310" s="27" t="str">
        <f t="shared" si="324"/>
        <v>Níveis Portuários</v>
      </c>
      <c r="O310" s="28" t="str">
        <f t="shared" si="325"/>
        <v>Nível.de.Piso</v>
      </c>
      <c r="P310" s="28" t="s">
        <v>528</v>
      </c>
      <c r="Q310" s="84" t="s">
        <v>1816</v>
      </c>
      <c r="R310" s="28" t="s">
        <v>1</v>
      </c>
      <c r="S310" s="28" t="str">
        <f t="shared" si="331"/>
        <v>Infraestruturas</v>
      </c>
      <c r="T310" s="28" t="str">
        <f t="shared" si="332"/>
        <v>Hidroviárias</v>
      </c>
      <c r="U310" s="28" t="str">
        <f t="shared" si="332"/>
        <v>Níveis Portuários</v>
      </c>
      <c r="V310" s="28" t="s">
        <v>2222</v>
      </c>
      <c r="W310" s="69" t="str">
        <f t="shared" si="296"/>
        <v>Key-INFRA-310</v>
      </c>
      <c r="X310" s="28" t="s">
        <v>2114</v>
      </c>
      <c r="Y310" s="28" t="s">
        <v>2158</v>
      </c>
      <c r="Z310" s="40" t="s">
        <v>1</v>
      </c>
      <c r="AA310" s="28" t="str">
        <f t="shared" si="303"/>
        <v>Level that represents the working floor of the pier, where the crane rails and the people working are located.</v>
      </c>
    </row>
    <row r="311" spans="1:27" ht="6.65" customHeight="1" x14ac:dyDescent="0.4">
      <c r="A311" s="77">
        <v>311</v>
      </c>
      <c r="B311" s="66" t="s">
        <v>2219</v>
      </c>
      <c r="C311" s="30" t="s">
        <v>1596</v>
      </c>
      <c r="D311" s="29" t="s">
        <v>1603</v>
      </c>
      <c r="E311" s="29" t="s">
        <v>1812</v>
      </c>
      <c r="F311" s="87" t="s">
        <v>529</v>
      </c>
      <c r="G311" s="78" t="s">
        <v>1</v>
      </c>
      <c r="H311" s="78" t="s">
        <v>1</v>
      </c>
      <c r="I311" s="78" t="s">
        <v>1</v>
      </c>
      <c r="J311" s="78" t="s">
        <v>1</v>
      </c>
      <c r="K311" s="78" t="s">
        <v>1</v>
      </c>
      <c r="L311" s="84" t="str">
        <f t="shared" si="330"/>
        <v>Infraestruturas</v>
      </c>
      <c r="M311" s="27" t="str">
        <f t="shared" si="323"/>
        <v>Hidroviárias</v>
      </c>
      <c r="N311" s="27" t="str">
        <f t="shared" si="324"/>
        <v>Níveis Portuários</v>
      </c>
      <c r="O311" s="28" t="str">
        <f t="shared" si="325"/>
        <v>Nível.Hidrográfico</v>
      </c>
      <c r="P311" s="28" t="s">
        <v>530</v>
      </c>
      <c r="Q311" s="28" t="s">
        <v>531</v>
      </c>
      <c r="R311" s="28" t="s">
        <v>1</v>
      </c>
      <c r="S311" s="28" t="str">
        <f t="shared" si="331"/>
        <v>Infraestruturas</v>
      </c>
      <c r="T311" s="28" t="str">
        <f t="shared" si="332"/>
        <v>Hidroviárias</v>
      </c>
      <c r="U311" s="28" t="str">
        <f t="shared" si="332"/>
        <v>Níveis Portuários</v>
      </c>
      <c r="V311" s="28" t="s">
        <v>2222</v>
      </c>
      <c r="W311" s="69" t="str">
        <f t="shared" si="296"/>
        <v>Key-INFRA-311</v>
      </c>
      <c r="X311" s="28" t="s">
        <v>2114</v>
      </c>
      <c r="Y311" s="28" t="s">
        <v>2134</v>
      </c>
      <c r="Z311" s="40" t="s">
        <v>1</v>
      </c>
      <c r="AA311" s="28" t="str">
        <f t="shared" si="303"/>
        <v>Reference level provided by hydrographic survey of the port.</v>
      </c>
    </row>
    <row r="312" spans="1:27" ht="6.65" customHeight="1" x14ac:dyDescent="0.4">
      <c r="A312" s="77">
        <v>312</v>
      </c>
      <c r="B312" s="66" t="s">
        <v>2219</v>
      </c>
      <c r="C312" s="30" t="s">
        <v>1596</v>
      </c>
      <c r="D312" s="29" t="s">
        <v>1603</v>
      </c>
      <c r="E312" s="29" t="s">
        <v>1608</v>
      </c>
      <c r="F312" s="45" t="s">
        <v>1813</v>
      </c>
      <c r="G312" s="78" t="s">
        <v>1</v>
      </c>
      <c r="H312" s="78" t="s">
        <v>1</v>
      </c>
      <c r="I312" s="78" t="s">
        <v>1</v>
      </c>
      <c r="J312" s="78" t="s">
        <v>1</v>
      </c>
      <c r="K312" s="78" t="s">
        <v>1</v>
      </c>
      <c r="L312" s="84" t="str">
        <f t="shared" si="330"/>
        <v>Infraestruturas</v>
      </c>
      <c r="M312" s="27" t="str">
        <f t="shared" ref="M312:M313" si="333">CONCATENATE("", D312)</f>
        <v>Hidroviárias</v>
      </c>
      <c r="N312" s="27" t="str">
        <f t="shared" ref="N312:N313" si="334">(SUBSTITUTE(SUBSTITUTE(CONCATENATE("",E312),"."," ")," De "," de "))</f>
        <v>Portos</v>
      </c>
      <c r="O312" s="28" t="str">
        <f t="shared" ref="O312:O313" si="335">F312</f>
        <v>Porto.de.Aguas.Profundas</v>
      </c>
      <c r="P312" s="28" t="s">
        <v>1814</v>
      </c>
      <c r="Q312" s="84" t="s">
        <v>560</v>
      </c>
      <c r="R312" s="28" t="s">
        <v>1</v>
      </c>
      <c r="S312" s="28" t="str">
        <f t="shared" si="331"/>
        <v>Infraestruturas</v>
      </c>
      <c r="T312" s="28" t="str">
        <f t="shared" si="332"/>
        <v>Hidroviárias</v>
      </c>
      <c r="U312" s="28" t="str">
        <f t="shared" ref="U312:U313" si="336">SUBSTITUTE(E312, ".", " ")</f>
        <v>Portos</v>
      </c>
      <c r="V312" s="28" t="s">
        <v>2222</v>
      </c>
      <c r="W312" s="69" t="str">
        <f t="shared" si="296"/>
        <v>Key-INFRA-312</v>
      </c>
      <c r="X312" s="28" t="s">
        <v>2088</v>
      </c>
      <c r="Y312" s="40" t="s">
        <v>2134</v>
      </c>
      <c r="Z312" s="40" t="s">
        <v>1</v>
      </c>
      <c r="AA312" s="28" t="str">
        <f t="shared" si="303"/>
        <v>Complex/facility to receive ships with a large draft. Built in a coastal area with direct access to the ocean, without the need for artificial channels or frequent dredging.</v>
      </c>
    </row>
    <row r="313" spans="1:27" ht="6.65" customHeight="1" x14ac:dyDescent="0.4">
      <c r="A313" s="77">
        <v>313</v>
      </c>
      <c r="B313" s="66" t="s">
        <v>2219</v>
      </c>
      <c r="C313" s="30" t="s">
        <v>1596</v>
      </c>
      <c r="D313" s="29" t="s">
        <v>1603</v>
      </c>
      <c r="E313" s="29" t="s">
        <v>1608</v>
      </c>
      <c r="F313" s="45" t="s">
        <v>559</v>
      </c>
      <c r="G313" s="78" t="s">
        <v>1</v>
      </c>
      <c r="H313" s="78" t="s">
        <v>1</v>
      </c>
      <c r="I313" s="78" t="s">
        <v>1</v>
      </c>
      <c r="J313" s="78" t="s">
        <v>1</v>
      </c>
      <c r="K313" s="78" t="s">
        <v>1</v>
      </c>
      <c r="L313" s="84" t="str">
        <f t="shared" si="330"/>
        <v>Infraestruturas</v>
      </c>
      <c r="M313" s="27" t="str">
        <f t="shared" si="333"/>
        <v>Hidroviárias</v>
      </c>
      <c r="N313" s="27" t="str">
        <f t="shared" si="334"/>
        <v>Portos</v>
      </c>
      <c r="O313" s="28" t="str">
        <f t="shared" si="335"/>
        <v>Porto.Marítimo</v>
      </c>
      <c r="P313" s="28" t="s">
        <v>1815</v>
      </c>
      <c r="Q313" s="84" t="s">
        <v>560</v>
      </c>
      <c r="R313" s="28" t="s">
        <v>1</v>
      </c>
      <c r="S313" s="28" t="str">
        <f t="shared" si="331"/>
        <v>Infraestruturas</v>
      </c>
      <c r="T313" s="28" t="str">
        <f t="shared" si="332"/>
        <v>Hidroviárias</v>
      </c>
      <c r="U313" s="28" t="str">
        <f t="shared" si="336"/>
        <v>Portos</v>
      </c>
      <c r="V313" s="28" t="s">
        <v>2222</v>
      </c>
      <c r="W313" s="69" t="str">
        <f t="shared" si="296"/>
        <v>Key-INFRA-313</v>
      </c>
      <c r="X313" s="28" t="s">
        <v>2088</v>
      </c>
      <c r="Y313" s="40" t="s">
        <v>2134</v>
      </c>
      <c r="Z313" s="40" t="s">
        <v>1</v>
      </c>
      <c r="AA313" s="28" t="str">
        <f t="shared" si="303"/>
        <v>Complex/facility for maritime activities, which includes cargo, people and storage.</v>
      </c>
    </row>
    <row r="314" spans="1:27" ht="6.65" customHeight="1" x14ac:dyDescent="0.4">
      <c r="A314" s="77">
        <v>314</v>
      </c>
      <c r="B314" s="66" t="s">
        <v>2219</v>
      </c>
      <c r="C314" s="30" t="s">
        <v>1596</v>
      </c>
      <c r="D314" s="29" t="s">
        <v>1603</v>
      </c>
      <c r="E314" s="29" t="s">
        <v>1608</v>
      </c>
      <c r="F314" s="45" t="s">
        <v>1920</v>
      </c>
      <c r="G314" s="78" t="s">
        <v>1</v>
      </c>
      <c r="H314" s="78" t="s">
        <v>1</v>
      </c>
      <c r="I314" s="78" t="s">
        <v>1</v>
      </c>
      <c r="J314" s="78" t="s">
        <v>1</v>
      </c>
      <c r="K314" s="78" t="s">
        <v>1</v>
      </c>
      <c r="L314" s="84" t="str">
        <f t="shared" ref="L314:L315" si="337">_xlfn.CONCAT(C314)</f>
        <v>Infraestruturas</v>
      </c>
      <c r="M314" s="27" t="str">
        <f t="shared" si="323"/>
        <v>Hidroviárias</v>
      </c>
      <c r="N314" s="27" t="str">
        <f t="shared" si="324"/>
        <v>Portos</v>
      </c>
      <c r="O314" s="28" t="str">
        <f t="shared" si="325"/>
        <v>Base.Naval</v>
      </c>
      <c r="P314" s="28" t="s">
        <v>1815</v>
      </c>
      <c r="Q314" s="84" t="s">
        <v>1921</v>
      </c>
      <c r="R314" s="28" t="s">
        <v>1</v>
      </c>
      <c r="S314" s="28" t="str">
        <f t="shared" ref="S314:S315" si="338">SUBSTITUTE(C314, ".", " ")</f>
        <v>Infraestruturas</v>
      </c>
      <c r="T314" s="28" t="str">
        <f t="shared" ref="T314:T315" si="339">SUBSTITUTE(D314, ".", " ")</f>
        <v>Hidroviárias</v>
      </c>
      <c r="U314" s="28" t="str">
        <f t="shared" si="332"/>
        <v>Portos</v>
      </c>
      <c r="V314" s="28" t="s">
        <v>2222</v>
      </c>
      <c r="W314" s="69" t="str">
        <f t="shared" si="296"/>
        <v>Key-INFRA-314</v>
      </c>
      <c r="X314" s="28" t="s">
        <v>2088</v>
      </c>
      <c r="Y314" s="40" t="s">
        <v>2134</v>
      </c>
      <c r="Z314" s="40" t="s">
        <v>1</v>
      </c>
      <c r="AA314" s="28" t="str">
        <f t="shared" si="303"/>
        <v>Complex/facility for maritime activities, which includes cargo, people and storage.</v>
      </c>
    </row>
    <row r="315" spans="1:27" ht="6.65" customHeight="1" x14ac:dyDescent="0.4">
      <c r="A315" s="77">
        <v>315</v>
      </c>
      <c r="B315" s="66" t="s">
        <v>2219</v>
      </c>
      <c r="C315" s="30" t="s">
        <v>1596</v>
      </c>
      <c r="D315" s="29" t="s">
        <v>1603</v>
      </c>
      <c r="E315" s="29" t="s">
        <v>1608</v>
      </c>
      <c r="F315" s="45" t="s">
        <v>561</v>
      </c>
      <c r="G315" s="78" t="s">
        <v>1</v>
      </c>
      <c r="H315" s="78" t="s">
        <v>1</v>
      </c>
      <c r="I315" s="78" t="s">
        <v>1</v>
      </c>
      <c r="J315" s="78" t="s">
        <v>1</v>
      </c>
      <c r="K315" s="78" t="s">
        <v>1</v>
      </c>
      <c r="L315" s="84" t="str">
        <f t="shared" si="337"/>
        <v>Infraestruturas</v>
      </c>
      <c r="M315" s="27" t="str">
        <f t="shared" si="323"/>
        <v>Hidroviárias</v>
      </c>
      <c r="N315" s="27" t="str">
        <f t="shared" si="324"/>
        <v>Portos</v>
      </c>
      <c r="O315" s="28" t="str">
        <f t="shared" si="325"/>
        <v>Porto.Fluvial</v>
      </c>
      <c r="P315" s="28" t="s">
        <v>562</v>
      </c>
      <c r="Q315" s="84" t="s">
        <v>563</v>
      </c>
      <c r="R315" s="28" t="s">
        <v>1</v>
      </c>
      <c r="S315" s="28" t="str">
        <f t="shared" si="338"/>
        <v>Infraestruturas</v>
      </c>
      <c r="T315" s="28" t="str">
        <f t="shared" si="339"/>
        <v>Hidroviárias</v>
      </c>
      <c r="U315" s="28" t="str">
        <f t="shared" si="332"/>
        <v>Portos</v>
      </c>
      <c r="V315" s="28" t="s">
        <v>2222</v>
      </c>
      <c r="W315" s="69" t="str">
        <f t="shared" si="296"/>
        <v>Key-INFRA-315</v>
      </c>
      <c r="X315" s="28" t="s">
        <v>2088</v>
      </c>
      <c r="Y315" s="40" t="s">
        <v>2157</v>
      </c>
      <c r="Z315" s="40" t="s">
        <v>1</v>
      </c>
      <c r="AA315" s="28" t="str">
        <f t="shared" si="303"/>
        <v>Complex/facility for river activities, which includes cargo, people and storage.</v>
      </c>
    </row>
    <row r="316" spans="1:27" ht="6.65" customHeight="1" x14ac:dyDescent="0.4">
      <c r="A316" s="77">
        <v>316</v>
      </c>
      <c r="B316" s="66" t="s">
        <v>2219</v>
      </c>
      <c r="C316" s="30" t="s">
        <v>1596</v>
      </c>
      <c r="D316" s="29" t="s">
        <v>1603</v>
      </c>
      <c r="E316" s="29" t="s">
        <v>1609</v>
      </c>
      <c r="F316" s="45" t="s">
        <v>532</v>
      </c>
      <c r="G316" s="78" t="s">
        <v>1</v>
      </c>
      <c r="H316" s="78" t="s">
        <v>1</v>
      </c>
      <c r="I316" s="78" t="s">
        <v>1</v>
      </c>
      <c r="J316" s="78" t="s">
        <v>1</v>
      </c>
      <c r="K316" s="78" t="s">
        <v>1</v>
      </c>
      <c r="L316" s="84" t="str">
        <f t="shared" si="330"/>
        <v>Infraestruturas</v>
      </c>
      <c r="M316" s="27" t="str">
        <f t="shared" si="323"/>
        <v>Hidroviárias</v>
      </c>
      <c r="N316" s="27" t="str">
        <f t="shared" si="324"/>
        <v>Portos Defesas</v>
      </c>
      <c r="O316" s="28" t="str">
        <f t="shared" si="325"/>
        <v>Quebra.Ondas</v>
      </c>
      <c r="P316" s="28" t="s">
        <v>533</v>
      </c>
      <c r="Q316" s="84" t="s">
        <v>534</v>
      </c>
      <c r="R316" s="28" t="s">
        <v>1</v>
      </c>
      <c r="S316" s="28" t="str">
        <f t="shared" si="331"/>
        <v>Infraestruturas</v>
      </c>
      <c r="T316" s="28" t="str">
        <f t="shared" si="332"/>
        <v>Hidroviárias</v>
      </c>
      <c r="U316" s="28" t="str">
        <f t="shared" si="332"/>
        <v>Portos Defesas</v>
      </c>
      <c r="V316" s="28" t="s">
        <v>2222</v>
      </c>
      <c r="W316" s="69" t="str">
        <f t="shared" si="296"/>
        <v>Key-INFRA-316</v>
      </c>
      <c r="X316" s="28" t="s">
        <v>2089</v>
      </c>
      <c r="Y316" s="28" t="s">
        <v>2157</v>
      </c>
      <c r="Z316" s="40" t="s">
        <v>1</v>
      </c>
      <c r="AA316" s="28" t="str">
        <f t="shared" si="303"/>
        <v>Line where there is a decrease in the energy of the sea waves.</v>
      </c>
    </row>
    <row r="317" spans="1:27" ht="6.65" customHeight="1" x14ac:dyDescent="0.4">
      <c r="A317" s="77">
        <v>317</v>
      </c>
      <c r="B317" s="66" t="s">
        <v>2219</v>
      </c>
      <c r="C317" s="30" t="s">
        <v>1596</v>
      </c>
      <c r="D317" s="29" t="s">
        <v>1603</v>
      </c>
      <c r="E317" s="29" t="s">
        <v>1609</v>
      </c>
      <c r="F317" s="45" t="s">
        <v>535</v>
      </c>
      <c r="G317" s="78" t="s">
        <v>1</v>
      </c>
      <c r="H317" s="78" t="s">
        <v>1</v>
      </c>
      <c r="I317" s="78" t="s">
        <v>1</v>
      </c>
      <c r="J317" s="78" t="s">
        <v>1</v>
      </c>
      <c r="K317" s="78" t="s">
        <v>1</v>
      </c>
      <c r="L317" s="84" t="str">
        <f t="shared" si="330"/>
        <v>Infraestruturas</v>
      </c>
      <c r="M317" s="27" t="str">
        <f t="shared" si="323"/>
        <v>Hidroviárias</v>
      </c>
      <c r="N317" s="27" t="str">
        <f t="shared" si="324"/>
        <v>Portos Defesas</v>
      </c>
      <c r="O317" s="28" t="str">
        <f t="shared" si="325"/>
        <v>Quebra.Mar</v>
      </c>
      <c r="P317" s="28" t="s">
        <v>536</v>
      </c>
      <c r="Q317" s="84" t="s">
        <v>537</v>
      </c>
      <c r="R317" s="28" t="s">
        <v>1</v>
      </c>
      <c r="S317" s="28" t="str">
        <f t="shared" si="331"/>
        <v>Infraestruturas</v>
      </c>
      <c r="T317" s="28" t="str">
        <f t="shared" si="332"/>
        <v>Hidroviárias</v>
      </c>
      <c r="U317" s="28" t="str">
        <f t="shared" si="332"/>
        <v>Portos Defesas</v>
      </c>
      <c r="V317" s="28" t="s">
        <v>2222</v>
      </c>
      <c r="W317" s="69" t="str">
        <f t="shared" si="296"/>
        <v>Key-INFRA-317</v>
      </c>
      <c r="X317" s="28" t="s">
        <v>2089</v>
      </c>
      <c r="Y317" s="28" t="s">
        <v>2157</v>
      </c>
      <c r="Z317" s="40" t="s">
        <v>1</v>
      </c>
      <c r="AA317" s="28" t="str">
        <f t="shared" si="303"/>
        <v>A structure built to protect the coast, ports or urban areas from the force of waves and sea currents, it can be parallel or perpendicular to the coast.</v>
      </c>
    </row>
    <row r="318" spans="1:27" ht="6.65" customHeight="1" x14ac:dyDescent="0.4">
      <c r="A318" s="77">
        <v>318</v>
      </c>
      <c r="B318" s="66" t="s">
        <v>2219</v>
      </c>
      <c r="C318" s="30" t="s">
        <v>1596</v>
      </c>
      <c r="D318" s="29" t="s">
        <v>1603</v>
      </c>
      <c r="E318" s="29" t="s">
        <v>1609</v>
      </c>
      <c r="F318" s="45" t="s">
        <v>538</v>
      </c>
      <c r="G318" s="78" t="s">
        <v>1</v>
      </c>
      <c r="H318" s="78" t="s">
        <v>1</v>
      </c>
      <c r="I318" s="78" t="s">
        <v>1</v>
      </c>
      <c r="J318" s="78" t="s">
        <v>1</v>
      </c>
      <c r="K318" s="78" t="s">
        <v>1</v>
      </c>
      <c r="L318" s="84" t="str">
        <f t="shared" si="330"/>
        <v>Infraestruturas</v>
      </c>
      <c r="M318" s="27" t="str">
        <f t="shared" si="323"/>
        <v>Hidroviárias</v>
      </c>
      <c r="N318" s="27" t="str">
        <f t="shared" si="324"/>
        <v>Portos Defesas</v>
      </c>
      <c r="O318" s="28" t="str">
        <f t="shared" si="325"/>
        <v>Costa.Defesa</v>
      </c>
      <c r="P318" s="28" t="s">
        <v>539</v>
      </c>
      <c r="Q318" s="28" t="s">
        <v>540</v>
      </c>
      <c r="R318" s="28" t="s">
        <v>1</v>
      </c>
      <c r="S318" s="28" t="str">
        <f t="shared" si="331"/>
        <v>Infraestruturas</v>
      </c>
      <c r="T318" s="28" t="str">
        <f t="shared" si="332"/>
        <v>Hidroviárias</v>
      </c>
      <c r="U318" s="28" t="str">
        <f t="shared" si="332"/>
        <v>Portos Defesas</v>
      </c>
      <c r="V318" s="28" t="s">
        <v>2222</v>
      </c>
      <c r="W318" s="69" t="str">
        <f t="shared" si="296"/>
        <v>Key-INFRA-318</v>
      </c>
      <c r="X318" s="28" t="s">
        <v>2089</v>
      </c>
      <c r="Y318" s="28" t="s">
        <v>2157</v>
      </c>
      <c r="Z318" s="40" t="s">
        <v>1</v>
      </c>
      <c r="AA318" s="28" t="str">
        <f t="shared" si="303"/>
        <v>Protection device that absorbs the impact between the ship and the quay.</v>
      </c>
    </row>
    <row r="319" spans="1:27" ht="6.65" customHeight="1" x14ac:dyDescent="0.4">
      <c r="A319" s="77">
        <v>319</v>
      </c>
      <c r="B319" s="66" t="s">
        <v>2219</v>
      </c>
      <c r="C319" s="30" t="s">
        <v>1596</v>
      </c>
      <c r="D319" s="29" t="s">
        <v>1603</v>
      </c>
      <c r="E319" s="29" t="s">
        <v>1609</v>
      </c>
      <c r="F319" s="45" t="s">
        <v>541</v>
      </c>
      <c r="G319" s="78" t="s">
        <v>1</v>
      </c>
      <c r="H319" s="78" t="s">
        <v>1</v>
      </c>
      <c r="I319" s="78" t="s">
        <v>1</v>
      </c>
      <c r="J319" s="78" t="s">
        <v>1</v>
      </c>
      <c r="K319" s="78" t="s">
        <v>1</v>
      </c>
      <c r="L319" s="84" t="str">
        <f t="shared" si="330"/>
        <v>Infraestruturas</v>
      </c>
      <c r="M319" s="27" t="str">
        <f t="shared" si="323"/>
        <v>Hidroviárias</v>
      </c>
      <c r="N319" s="27" t="str">
        <f t="shared" si="324"/>
        <v>Portos Defesas</v>
      </c>
      <c r="O319" s="28" t="str">
        <f t="shared" si="325"/>
        <v>Costa.Contenção</v>
      </c>
      <c r="P319" s="28" t="s">
        <v>542</v>
      </c>
      <c r="Q319" s="84" t="s">
        <v>543</v>
      </c>
      <c r="R319" s="28" t="s">
        <v>1</v>
      </c>
      <c r="S319" s="28" t="str">
        <f t="shared" si="331"/>
        <v>Infraestruturas</v>
      </c>
      <c r="T319" s="28" t="str">
        <f t="shared" si="332"/>
        <v>Hidroviárias</v>
      </c>
      <c r="U319" s="28" t="str">
        <f t="shared" si="332"/>
        <v>Portos Defesas</v>
      </c>
      <c r="V319" s="28" t="s">
        <v>2222</v>
      </c>
      <c r="W319" s="69" t="str">
        <f t="shared" si="296"/>
        <v>Key-INFRA-319</v>
      </c>
      <c r="X319" s="28" t="s">
        <v>2089</v>
      </c>
      <c r="Y319" s="28" t="s">
        <v>2157</v>
      </c>
      <c r="Z319" s="40" t="s">
        <v>1</v>
      </c>
      <c r="AA319" s="28" t="str">
        <f t="shared" si="303"/>
        <v>Marine defensive structure made of earthworks, masonry and rocks.</v>
      </c>
    </row>
    <row r="320" spans="1:27" ht="6.65" customHeight="1" x14ac:dyDescent="0.4">
      <c r="A320" s="77">
        <v>320</v>
      </c>
      <c r="B320" s="66" t="s">
        <v>2219</v>
      </c>
      <c r="C320" s="30" t="s">
        <v>1596</v>
      </c>
      <c r="D320" s="29" t="s">
        <v>1603</v>
      </c>
      <c r="E320" s="29" t="s">
        <v>1610</v>
      </c>
      <c r="F320" s="45" t="s">
        <v>544</v>
      </c>
      <c r="G320" s="78" t="s">
        <v>1</v>
      </c>
      <c r="H320" s="78" t="s">
        <v>1</v>
      </c>
      <c r="I320" s="78" t="s">
        <v>1</v>
      </c>
      <c r="J320" s="78" t="s">
        <v>1</v>
      </c>
      <c r="K320" s="78" t="s">
        <v>1</v>
      </c>
      <c r="L320" s="84" t="str">
        <f t="shared" si="330"/>
        <v>Infraestruturas</v>
      </c>
      <c r="M320" s="27" t="str">
        <f t="shared" si="323"/>
        <v>Hidroviárias</v>
      </c>
      <c r="N320" s="27" t="str">
        <f t="shared" si="324"/>
        <v>Portos Docas</v>
      </c>
      <c r="O320" s="28" t="str">
        <f t="shared" si="325"/>
        <v>Dique.Seco</v>
      </c>
      <c r="P320" s="28" t="s">
        <v>545</v>
      </c>
      <c r="Q320" s="84" t="s">
        <v>546</v>
      </c>
      <c r="R320" s="28" t="s">
        <v>1</v>
      </c>
      <c r="S320" s="28" t="str">
        <f t="shared" si="331"/>
        <v>Infraestruturas</v>
      </c>
      <c r="T320" s="28" t="str">
        <f t="shared" si="332"/>
        <v>Hidroviárias</v>
      </c>
      <c r="U320" s="28" t="str">
        <f t="shared" si="332"/>
        <v>Portos Docas</v>
      </c>
      <c r="V320" s="28" t="s">
        <v>2222</v>
      </c>
      <c r="W320" s="69" t="str">
        <f t="shared" si="296"/>
        <v>Key-INFRA-320</v>
      </c>
      <c r="X320" s="28" t="s">
        <v>2089</v>
      </c>
      <c r="Y320" s="28" t="s">
        <v>2157</v>
      </c>
      <c r="Z320" s="40" t="s">
        <v>1</v>
      </c>
      <c r="AA320" s="28" t="str">
        <f t="shared" si="303"/>
        <v>The dry dock is a closed chamber (by gate) that allows the drainage of water into the building.</v>
      </c>
    </row>
    <row r="321" spans="1:27" ht="6.65" customHeight="1" x14ac:dyDescent="0.4">
      <c r="A321" s="77">
        <v>321</v>
      </c>
      <c r="B321" s="66" t="s">
        <v>2219</v>
      </c>
      <c r="C321" s="30" t="s">
        <v>1596</v>
      </c>
      <c r="D321" s="29" t="s">
        <v>1603</v>
      </c>
      <c r="E321" s="29" t="s">
        <v>1610</v>
      </c>
      <c r="F321" s="45" t="s">
        <v>547</v>
      </c>
      <c r="G321" s="78" t="s">
        <v>1</v>
      </c>
      <c r="H321" s="78" t="s">
        <v>1</v>
      </c>
      <c r="I321" s="78" t="s">
        <v>1</v>
      </c>
      <c r="J321" s="78" t="s">
        <v>1</v>
      </c>
      <c r="K321" s="78" t="s">
        <v>1</v>
      </c>
      <c r="L321" s="84" t="str">
        <f t="shared" si="330"/>
        <v>Infraestruturas</v>
      </c>
      <c r="M321" s="27" t="str">
        <f t="shared" si="323"/>
        <v>Hidroviárias</v>
      </c>
      <c r="N321" s="27" t="str">
        <f t="shared" si="324"/>
        <v>Portos Docas</v>
      </c>
      <c r="O321" s="28" t="str">
        <f t="shared" si="325"/>
        <v>Doca.Flutuante</v>
      </c>
      <c r="P321" s="28" t="s">
        <v>548</v>
      </c>
      <c r="Q321" s="84" t="s">
        <v>549</v>
      </c>
      <c r="R321" s="28" t="s">
        <v>1</v>
      </c>
      <c r="S321" s="28" t="str">
        <f t="shared" si="331"/>
        <v>Infraestruturas</v>
      </c>
      <c r="T321" s="28" t="str">
        <f t="shared" si="332"/>
        <v>Hidroviárias</v>
      </c>
      <c r="U321" s="28" t="str">
        <f t="shared" si="332"/>
        <v>Portos Docas</v>
      </c>
      <c r="V321" s="28" t="s">
        <v>2222</v>
      </c>
      <c r="W321" s="69" t="str">
        <f t="shared" si="296"/>
        <v>Key-INFRA-321</v>
      </c>
      <c r="X321" s="28" t="s">
        <v>2089</v>
      </c>
      <c r="Y321" s="28" t="s">
        <v>2157</v>
      </c>
      <c r="Z321" s="40" t="s">
        <v>1</v>
      </c>
      <c r="AA321" s="28" t="str">
        <f t="shared" si="303"/>
        <v>Space element that encompasses a floating dry dock and lateral support quay auxiliaries.</v>
      </c>
    </row>
    <row r="322" spans="1:27" ht="6.65" customHeight="1" x14ac:dyDescent="0.4">
      <c r="A322" s="77">
        <v>322</v>
      </c>
      <c r="B322" s="66" t="s">
        <v>2219</v>
      </c>
      <c r="C322" s="30" t="s">
        <v>1596</v>
      </c>
      <c r="D322" s="29" t="s">
        <v>1603</v>
      </c>
      <c r="E322" s="29" t="s">
        <v>1611</v>
      </c>
      <c r="F322" s="45" t="s">
        <v>550</v>
      </c>
      <c r="G322" s="78" t="s">
        <v>1</v>
      </c>
      <c r="H322" s="78" t="s">
        <v>1</v>
      </c>
      <c r="I322" s="78" t="s">
        <v>1</v>
      </c>
      <c r="J322" s="78" t="s">
        <v>1</v>
      </c>
      <c r="K322" s="78" t="s">
        <v>1</v>
      </c>
      <c r="L322" s="84" t="str">
        <f t="shared" si="330"/>
        <v>Infraestruturas</v>
      </c>
      <c r="M322" s="27" t="str">
        <f t="shared" si="323"/>
        <v>Hidroviárias</v>
      </c>
      <c r="N322" s="27" t="str">
        <f t="shared" si="324"/>
        <v>Portos Partes</v>
      </c>
      <c r="O322" s="28" t="str">
        <f t="shared" si="325"/>
        <v>Infra.Portuária</v>
      </c>
      <c r="P322" s="28" t="s">
        <v>551</v>
      </c>
      <c r="Q322" s="84" t="s">
        <v>552</v>
      </c>
      <c r="R322" s="28" t="s">
        <v>1</v>
      </c>
      <c r="S322" s="28" t="str">
        <f t="shared" si="331"/>
        <v>Infraestruturas</v>
      </c>
      <c r="T322" s="28" t="str">
        <f t="shared" si="332"/>
        <v>Hidroviárias</v>
      </c>
      <c r="U322" s="28" t="str">
        <f t="shared" si="332"/>
        <v>Portos Partes</v>
      </c>
      <c r="V322" s="28" t="s">
        <v>2222</v>
      </c>
      <c r="W322" s="69" t="str">
        <f t="shared" ref="W322:W385" si="340">CONCATENATE("Key-INFRA-",A322)</f>
        <v>Key-INFRA-322</v>
      </c>
      <c r="X322" s="28" t="s">
        <v>2089</v>
      </c>
      <c r="Y322" s="28" t="s">
        <v>2157</v>
      </c>
      <c r="Z322" s="40" t="s">
        <v>1</v>
      </c>
      <c r="AA322" s="28" t="str">
        <f t="shared" si="303"/>
        <v>Marine facility represents any major structure or entity that is specific to ports and waters.</v>
      </c>
    </row>
    <row r="323" spans="1:27" ht="6.65" customHeight="1" x14ac:dyDescent="0.4">
      <c r="A323" s="77">
        <v>323</v>
      </c>
      <c r="B323" s="66" t="s">
        <v>2219</v>
      </c>
      <c r="C323" s="30" t="s">
        <v>1596</v>
      </c>
      <c r="D323" s="29" t="s">
        <v>1603</v>
      </c>
      <c r="E323" s="29" t="s">
        <v>1611</v>
      </c>
      <c r="F323" s="45" t="s">
        <v>553</v>
      </c>
      <c r="G323" s="78" t="s">
        <v>1</v>
      </c>
      <c r="H323" s="78" t="s">
        <v>1</v>
      </c>
      <c r="I323" s="78" t="s">
        <v>1</v>
      </c>
      <c r="J323" s="78" t="s">
        <v>1</v>
      </c>
      <c r="K323" s="78" t="s">
        <v>1</v>
      </c>
      <c r="L323" s="84" t="str">
        <f t="shared" si="330"/>
        <v>Infraestruturas</v>
      </c>
      <c r="M323" s="27" t="str">
        <f t="shared" si="323"/>
        <v>Hidroviárias</v>
      </c>
      <c r="N323" s="27" t="str">
        <f t="shared" si="324"/>
        <v>Portos Partes</v>
      </c>
      <c r="O323" s="28" t="str">
        <f t="shared" si="325"/>
        <v>Praia</v>
      </c>
      <c r="P323" s="28" t="s">
        <v>554</v>
      </c>
      <c r="Q323" s="84" t="s">
        <v>555</v>
      </c>
      <c r="R323" s="28" t="s">
        <v>1</v>
      </c>
      <c r="S323" s="28" t="str">
        <f t="shared" si="331"/>
        <v>Infraestruturas</v>
      </c>
      <c r="T323" s="28" t="str">
        <f t="shared" si="332"/>
        <v>Hidroviárias</v>
      </c>
      <c r="U323" s="28" t="str">
        <f t="shared" si="332"/>
        <v>Portos Partes</v>
      </c>
      <c r="V323" s="28" t="s">
        <v>2222</v>
      </c>
      <c r="W323" s="69" t="str">
        <f t="shared" si="340"/>
        <v>Key-INFRA-323</v>
      </c>
      <c r="X323" s="28" t="s">
        <v>2089</v>
      </c>
      <c r="Y323" s="28" t="s">
        <v>2157</v>
      </c>
      <c r="Z323" s="40" t="s">
        <v>1</v>
      </c>
      <c r="AA323" s="28" t="str">
        <f t="shared" si="303"/>
        <v>A mountain range of sand that rises slightly above the surface of the sea and runs roughly parallel to the coast.</v>
      </c>
    </row>
    <row r="324" spans="1:27" ht="6.65" customHeight="1" x14ac:dyDescent="0.4">
      <c r="A324" s="77">
        <v>324</v>
      </c>
      <c r="B324" s="66" t="s">
        <v>2219</v>
      </c>
      <c r="C324" s="30" t="s">
        <v>1596</v>
      </c>
      <c r="D324" s="29" t="s">
        <v>1603</v>
      </c>
      <c r="E324" s="29" t="s">
        <v>1611</v>
      </c>
      <c r="F324" s="45" t="s">
        <v>556</v>
      </c>
      <c r="G324" s="78" t="s">
        <v>1</v>
      </c>
      <c r="H324" s="78" t="s">
        <v>1</v>
      </c>
      <c r="I324" s="78" t="s">
        <v>1</v>
      </c>
      <c r="J324" s="78" t="s">
        <v>1</v>
      </c>
      <c r="K324" s="78" t="s">
        <v>1</v>
      </c>
      <c r="L324" s="84" t="str">
        <f t="shared" si="330"/>
        <v>Infraestruturas</v>
      </c>
      <c r="M324" s="27" t="str">
        <f t="shared" ref="M324:M348" si="341">CONCATENATE("", D324)</f>
        <v>Hidroviárias</v>
      </c>
      <c r="N324" s="27" t="str">
        <f t="shared" ref="N324:N348" si="342">(SUBSTITUTE(SUBSTITUTE(CONCATENATE("",E324),"."," ")," De "," de "))</f>
        <v>Portos Partes</v>
      </c>
      <c r="O324" s="28" t="str">
        <f t="shared" ref="O324:O348" si="343">F324</f>
        <v>Hidroelevador</v>
      </c>
      <c r="P324" s="28" t="s">
        <v>557</v>
      </c>
      <c r="Q324" s="84" t="s">
        <v>558</v>
      </c>
      <c r="R324" s="28" t="s">
        <v>1</v>
      </c>
      <c r="S324" s="28" t="str">
        <f t="shared" si="331"/>
        <v>Infraestruturas</v>
      </c>
      <c r="T324" s="28" t="str">
        <f t="shared" si="332"/>
        <v>Hidroviárias</v>
      </c>
      <c r="U324" s="28" t="str">
        <f t="shared" si="332"/>
        <v>Portos Partes</v>
      </c>
      <c r="V324" s="28" t="s">
        <v>2222</v>
      </c>
      <c r="W324" s="69" t="str">
        <f t="shared" si="340"/>
        <v>Key-INFRA-324</v>
      </c>
      <c r="X324" s="28" t="s">
        <v>2089</v>
      </c>
      <c r="Y324" s="28" t="s">
        <v>2157</v>
      </c>
      <c r="Z324" s="40" t="s">
        <v>1</v>
      </c>
      <c r="AA324" s="28" t="str">
        <f t="shared" si="303"/>
        <v>A type of vessel launch recovery facility, also known as a hydraulic lifting dock, where ships are lifted.</v>
      </c>
    </row>
    <row r="325" spans="1:27" ht="6.65" customHeight="1" x14ac:dyDescent="0.4">
      <c r="A325" s="77">
        <v>325</v>
      </c>
      <c r="B325" s="66" t="s">
        <v>2219</v>
      </c>
      <c r="C325" s="30" t="s">
        <v>1596</v>
      </c>
      <c r="D325" s="29" t="s">
        <v>1603</v>
      </c>
      <c r="E325" s="29" t="s">
        <v>1611</v>
      </c>
      <c r="F325" s="45" t="s">
        <v>564</v>
      </c>
      <c r="G325" s="78" t="s">
        <v>1</v>
      </c>
      <c r="H325" s="78" t="s">
        <v>1</v>
      </c>
      <c r="I325" s="78" t="s">
        <v>1</v>
      </c>
      <c r="J325" s="78" t="s">
        <v>1</v>
      </c>
      <c r="K325" s="78" t="s">
        <v>1</v>
      </c>
      <c r="L325" s="84" t="str">
        <f t="shared" ref="L325:L348" si="344">_xlfn.CONCAT(C325)</f>
        <v>Infraestruturas</v>
      </c>
      <c r="M325" s="27" t="str">
        <f t="shared" si="341"/>
        <v>Hidroviárias</v>
      </c>
      <c r="N325" s="27" t="str">
        <f t="shared" si="342"/>
        <v>Portos Partes</v>
      </c>
      <c r="O325" s="28" t="str">
        <f t="shared" si="343"/>
        <v>Dolfin</v>
      </c>
      <c r="P325" s="28" t="s">
        <v>565</v>
      </c>
      <c r="Q325" s="84" t="s">
        <v>566</v>
      </c>
      <c r="R325" s="28" t="s">
        <v>1</v>
      </c>
      <c r="S325" s="28" t="str">
        <f t="shared" si="331"/>
        <v>Infraestruturas</v>
      </c>
      <c r="T325" s="28" t="str">
        <f t="shared" si="332"/>
        <v>Hidroviárias</v>
      </c>
      <c r="U325" s="28" t="str">
        <f t="shared" si="332"/>
        <v>Portos Partes</v>
      </c>
      <c r="V325" s="28" t="s">
        <v>2222</v>
      </c>
      <c r="W325" s="69" t="str">
        <f t="shared" si="340"/>
        <v>Key-INFRA-325</v>
      </c>
      <c r="X325" s="28" t="s">
        <v>2089</v>
      </c>
      <c r="Y325" s="28" t="s">
        <v>2157</v>
      </c>
      <c r="Z325" s="40" t="s">
        <v>1</v>
      </c>
      <c r="AA325" s="28" t="str">
        <f t="shared" si="303"/>
        <v>Place for mooring vessels without contact with the shore of the coast.</v>
      </c>
    </row>
    <row r="326" spans="1:27" ht="6.65" customHeight="1" x14ac:dyDescent="0.4">
      <c r="A326" s="77">
        <v>326</v>
      </c>
      <c r="B326" s="66" t="s">
        <v>2219</v>
      </c>
      <c r="C326" s="30" t="s">
        <v>1596</v>
      </c>
      <c r="D326" s="29" t="s">
        <v>1603</v>
      </c>
      <c r="E326" s="29" t="s">
        <v>1611</v>
      </c>
      <c r="F326" s="45" t="s">
        <v>567</v>
      </c>
      <c r="G326" s="78" t="s">
        <v>1</v>
      </c>
      <c r="H326" s="78" t="s">
        <v>1</v>
      </c>
      <c r="I326" s="78" t="s">
        <v>1</v>
      </c>
      <c r="J326" s="78" t="s">
        <v>1</v>
      </c>
      <c r="K326" s="78" t="s">
        <v>1</v>
      </c>
      <c r="L326" s="84" t="str">
        <f t="shared" si="344"/>
        <v>Infraestruturas</v>
      </c>
      <c r="M326" s="27" t="str">
        <f t="shared" si="341"/>
        <v>Hidroviárias</v>
      </c>
      <c r="N326" s="27" t="str">
        <f t="shared" si="342"/>
        <v>Portos Partes</v>
      </c>
      <c r="O326" s="28" t="str">
        <f t="shared" si="343"/>
        <v>Pier</v>
      </c>
      <c r="P326" s="28" t="s">
        <v>568</v>
      </c>
      <c r="Q326" s="84" t="s">
        <v>569</v>
      </c>
      <c r="R326" s="28" t="s">
        <v>1</v>
      </c>
      <c r="S326" s="28" t="str">
        <f t="shared" si="331"/>
        <v>Infraestruturas</v>
      </c>
      <c r="T326" s="28" t="str">
        <f t="shared" si="332"/>
        <v>Hidroviárias</v>
      </c>
      <c r="U326" s="28" t="str">
        <f t="shared" si="332"/>
        <v>Portos Partes</v>
      </c>
      <c r="V326" s="28" t="s">
        <v>2222</v>
      </c>
      <c r="W326" s="69" t="str">
        <f t="shared" si="340"/>
        <v>Key-INFRA-326</v>
      </c>
      <c r="X326" s="28" t="s">
        <v>2089</v>
      </c>
      <c r="Y326" s="28" t="s">
        <v>2157</v>
      </c>
      <c r="Z326" s="40" t="s">
        <v>1</v>
      </c>
      <c r="AA326" s="28" t="str">
        <f t="shared" si="303"/>
        <v>Place for the mooring of vessels accompanied by elements for loading and unloading products or people positioned perpendicular to the coast.</v>
      </c>
    </row>
    <row r="327" spans="1:27" ht="6.65" customHeight="1" x14ac:dyDescent="0.4">
      <c r="A327" s="77">
        <v>327</v>
      </c>
      <c r="B327" s="66" t="s">
        <v>2219</v>
      </c>
      <c r="C327" s="30" t="s">
        <v>1596</v>
      </c>
      <c r="D327" s="29" t="s">
        <v>1603</v>
      </c>
      <c r="E327" s="29" t="s">
        <v>1611</v>
      </c>
      <c r="F327" s="45" t="s">
        <v>570</v>
      </c>
      <c r="G327" s="78" t="s">
        <v>1</v>
      </c>
      <c r="H327" s="78" t="s">
        <v>1</v>
      </c>
      <c r="I327" s="78" t="s">
        <v>1</v>
      </c>
      <c r="J327" s="78" t="s">
        <v>1</v>
      </c>
      <c r="K327" s="78" t="s">
        <v>1</v>
      </c>
      <c r="L327" s="84" t="str">
        <f t="shared" si="344"/>
        <v>Infraestruturas</v>
      </c>
      <c r="M327" s="27" t="str">
        <f t="shared" si="341"/>
        <v>Hidroviárias</v>
      </c>
      <c r="N327" s="27" t="str">
        <f t="shared" si="342"/>
        <v>Portos Partes</v>
      </c>
      <c r="O327" s="28" t="str">
        <f t="shared" si="343"/>
        <v>Cais</v>
      </c>
      <c r="P327" s="28" t="s">
        <v>571</v>
      </c>
      <c r="Q327" s="84" t="s">
        <v>572</v>
      </c>
      <c r="R327" s="28" t="s">
        <v>1</v>
      </c>
      <c r="S327" s="28" t="str">
        <f t="shared" si="331"/>
        <v>Infraestruturas</v>
      </c>
      <c r="T327" s="28" t="str">
        <f t="shared" si="332"/>
        <v>Hidroviárias</v>
      </c>
      <c r="U327" s="28" t="str">
        <f t="shared" si="332"/>
        <v>Portos Partes</v>
      </c>
      <c r="V327" s="28" t="s">
        <v>2222</v>
      </c>
      <c r="W327" s="69" t="str">
        <f t="shared" si="340"/>
        <v>Key-INFRA-327</v>
      </c>
      <c r="X327" s="28" t="s">
        <v>2089</v>
      </c>
      <c r="Y327" s="28" t="s">
        <v>2157</v>
      </c>
      <c r="Z327" s="40" t="s">
        <v>1</v>
      </c>
      <c r="AA327" s="28" t="str">
        <f t="shared" si="303"/>
        <v>Place for the mooring of vessels accompanied by elements for loading and unloading products or people positioned parallel to the coast.</v>
      </c>
    </row>
    <row r="328" spans="1:27" ht="6.65" customHeight="1" x14ac:dyDescent="0.4">
      <c r="A328" s="77">
        <v>328</v>
      </c>
      <c r="B328" s="66" t="s">
        <v>2219</v>
      </c>
      <c r="C328" s="30" t="s">
        <v>1596</v>
      </c>
      <c r="D328" s="29" t="s">
        <v>1603</v>
      </c>
      <c r="E328" s="29" t="s">
        <v>1611</v>
      </c>
      <c r="F328" s="87" t="s">
        <v>573</v>
      </c>
      <c r="G328" s="78" t="s">
        <v>1</v>
      </c>
      <c r="H328" s="78" t="s">
        <v>1</v>
      </c>
      <c r="I328" s="78" t="s">
        <v>1</v>
      </c>
      <c r="J328" s="78" t="s">
        <v>1</v>
      </c>
      <c r="K328" s="78" t="s">
        <v>1</v>
      </c>
      <c r="L328" s="84" t="str">
        <f t="shared" si="344"/>
        <v>Infraestruturas</v>
      </c>
      <c r="M328" s="27" t="str">
        <f t="shared" si="341"/>
        <v>Hidroviárias</v>
      </c>
      <c r="N328" s="27" t="str">
        <f t="shared" si="342"/>
        <v>Portos Partes</v>
      </c>
      <c r="O328" s="28" t="str">
        <f t="shared" si="343"/>
        <v>Cais.Berço</v>
      </c>
      <c r="P328" s="28" t="s">
        <v>574</v>
      </c>
      <c r="Q328" s="84" t="s">
        <v>575</v>
      </c>
      <c r="R328" s="28" t="s">
        <v>1</v>
      </c>
      <c r="S328" s="28" t="str">
        <f t="shared" si="331"/>
        <v>Infraestruturas</v>
      </c>
      <c r="T328" s="28" t="str">
        <f t="shared" si="332"/>
        <v>Hidroviárias</v>
      </c>
      <c r="U328" s="28" t="str">
        <f t="shared" si="332"/>
        <v>Portos Partes</v>
      </c>
      <c r="V328" s="28" t="s">
        <v>2222</v>
      </c>
      <c r="W328" s="69" t="str">
        <f t="shared" si="340"/>
        <v>Key-INFRA-328</v>
      </c>
      <c r="X328" s="28" t="s">
        <v>2089</v>
      </c>
      <c r="Y328" s="28" t="s">
        <v>2157</v>
      </c>
      <c r="Z328" s="40" t="s">
        <v>1</v>
      </c>
      <c r="AA328" s="28" t="str">
        <f t="shared" si="303"/>
        <v>Water space that the ship occupies when it docks at the pier. The submerged wall and bed should be designed to minimize erosion and sedimentation processes.</v>
      </c>
    </row>
    <row r="329" spans="1:27" ht="6.65" customHeight="1" x14ac:dyDescent="0.4">
      <c r="A329" s="77">
        <v>329</v>
      </c>
      <c r="B329" s="66" t="s">
        <v>2219</v>
      </c>
      <c r="C329" s="30" t="s">
        <v>1596</v>
      </c>
      <c r="D329" s="29" t="s">
        <v>1603</v>
      </c>
      <c r="E329" s="29" t="s">
        <v>1611</v>
      </c>
      <c r="F329" s="45" t="s">
        <v>576</v>
      </c>
      <c r="G329" s="78" t="s">
        <v>1</v>
      </c>
      <c r="H329" s="78" t="s">
        <v>1</v>
      </c>
      <c r="I329" s="78" t="s">
        <v>1</v>
      </c>
      <c r="J329" s="78" t="s">
        <v>1</v>
      </c>
      <c r="K329" s="78" t="s">
        <v>1</v>
      </c>
      <c r="L329" s="84" t="str">
        <f t="shared" si="344"/>
        <v>Infraestruturas</v>
      </c>
      <c r="M329" s="27" t="str">
        <f t="shared" si="341"/>
        <v>Hidroviárias</v>
      </c>
      <c r="N329" s="27" t="str">
        <f t="shared" si="342"/>
        <v>Portos Partes</v>
      </c>
      <c r="O329" s="28" t="str">
        <f t="shared" si="343"/>
        <v>Elevador.de.Navio</v>
      </c>
      <c r="P329" s="28" t="s">
        <v>577</v>
      </c>
      <c r="Q329" s="84" t="s">
        <v>578</v>
      </c>
      <c r="R329" s="28" t="s">
        <v>1</v>
      </c>
      <c r="S329" s="28" t="str">
        <f t="shared" si="331"/>
        <v>Infraestruturas</v>
      </c>
      <c r="T329" s="28" t="str">
        <f t="shared" si="332"/>
        <v>Hidroviárias</v>
      </c>
      <c r="U329" s="28" t="str">
        <f t="shared" si="332"/>
        <v>Portos Partes</v>
      </c>
      <c r="V329" s="28" t="s">
        <v>2222</v>
      </c>
      <c r="W329" s="69" t="str">
        <f t="shared" si="340"/>
        <v>Key-INFRA-329</v>
      </c>
      <c r="X329" s="28" t="s">
        <v>2089</v>
      </c>
      <c r="Y329" s="28" t="s">
        <v>2157</v>
      </c>
      <c r="Z329" s="40" t="s">
        <v>1</v>
      </c>
      <c r="AA329" s="28" t="str">
        <f t="shared" ref="AA329:AA392" si="345">_xlfn.TRANSLATE(P329,"pt","en")</f>
        <v>A type of vessel launch recovery facility, where ships are lifted vertically out of the water.</v>
      </c>
    </row>
    <row r="330" spans="1:27" ht="6.65" customHeight="1" x14ac:dyDescent="0.4">
      <c r="A330" s="77">
        <v>330</v>
      </c>
      <c r="B330" s="66" t="s">
        <v>2219</v>
      </c>
      <c r="C330" s="30" t="s">
        <v>1596</v>
      </c>
      <c r="D330" s="29" t="s">
        <v>1603</v>
      </c>
      <c r="E330" s="29" t="s">
        <v>1611</v>
      </c>
      <c r="F330" s="45" t="s">
        <v>579</v>
      </c>
      <c r="G330" s="78" t="s">
        <v>1</v>
      </c>
      <c r="H330" s="78" t="s">
        <v>1</v>
      </c>
      <c r="I330" s="78" t="s">
        <v>1</v>
      </c>
      <c r="J330" s="78" t="s">
        <v>1</v>
      </c>
      <c r="K330" s="78" t="s">
        <v>1</v>
      </c>
      <c r="L330" s="84" t="str">
        <f t="shared" si="344"/>
        <v>Infraestruturas</v>
      </c>
      <c r="M330" s="27" t="str">
        <f t="shared" si="341"/>
        <v>Hidroviárias</v>
      </c>
      <c r="N330" s="27" t="str">
        <f t="shared" si="342"/>
        <v>Portos Partes</v>
      </c>
      <c r="O330" s="28" t="str">
        <f t="shared" si="343"/>
        <v>Eclusa.de.Navio</v>
      </c>
      <c r="P330" s="28" t="s">
        <v>481</v>
      </c>
      <c r="Q330" s="84" t="s">
        <v>482</v>
      </c>
      <c r="R330" s="28" t="s">
        <v>1</v>
      </c>
      <c r="S330" s="28" t="str">
        <f t="shared" si="331"/>
        <v>Infraestruturas</v>
      </c>
      <c r="T330" s="28" t="str">
        <f t="shared" si="332"/>
        <v>Hidroviárias</v>
      </c>
      <c r="U330" s="28" t="str">
        <f t="shared" si="332"/>
        <v>Portos Partes</v>
      </c>
      <c r="V330" s="28" t="s">
        <v>2222</v>
      </c>
      <c r="W330" s="69" t="str">
        <f t="shared" si="340"/>
        <v>Key-INFRA-330</v>
      </c>
      <c r="X330" s="28" t="s">
        <v>2089</v>
      </c>
      <c r="Y330" s="28" t="s">
        <v>2157</v>
      </c>
      <c r="Z330" s="40" t="s">
        <v>1</v>
      </c>
      <c r="AA330" s="28" t="str">
        <f t="shared" si="345"/>
        <v>Facility used to raise and lower boats, ships, and other vessels between stretches of water.</v>
      </c>
    </row>
    <row r="331" spans="1:27" ht="6.65" customHeight="1" x14ac:dyDescent="0.4">
      <c r="A331" s="77">
        <v>331</v>
      </c>
      <c r="B331" s="66" t="s">
        <v>2219</v>
      </c>
      <c r="C331" s="30" t="s">
        <v>1596</v>
      </c>
      <c r="D331" s="29" t="s">
        <v>1603</v>
      </c>
      <c r="E331" s="29" t="s">
        <v>1611</v>
      </c>
      <c r="F331" s="45" t="s">
        <v>580</v>
      </c>
      <c r="G331" s="78" t="s">
        <v>1</v>
      </c>
      <c r="H331" s="78" t="s">
        <v>1</v>
      </c>
      <c r="I331" s="78" t="s">
        <v>1</v>
      </c>
      <c r="J331" s="78" t="s">
        <v>1</v>
      </c>
      <c r="K331" s="78" t="s">
        <v>1</v>
      </c>
      <c r="L331" s="84" t="str">
        <f t="shared" si="344"/>
        <v>Infraestruturas</v>
      </c>
      <c r="M331" s="27" t="str">
        <f t="shared" si="341"/>
        <v>Hidroviárias</v>
      </c>
      <c r="N331" s="27" t="str">
        <f t="shared" si="342"/>
        <v>Portos Partes</v>
      </c>
      <c r="O331" s="28" t="str">
        <f t="shared" si="343"/>
        <v>Estaleiro</v>
      </c>
      <c r="P331" s="28" t="s">
        <v>581</v>
      </c>
      <c r="Q331" s="84" t="s">
        <v>582</v>
      </c>
      <c r="R331" s="28" t="s">
        <v>1</v>
      </c>
      <c r="S331" s="28" t="str">
        <f t="shared" si="331"/>
        <v>Infraestruturas</v>
      </c>
      <c r="T331" s="28" t="str">
        <f t="shared" si="332"/>
        <v>Hidroviárias</v>
      </c>
      <c r="U331" s="28" t="str">
        <f t="shared" si="332"/>
        <v>Portos Partes</v>
      </c>
      <c r="V331" s="28" t="s">
        <v>2222</v>
      </c>
      <c r="W331" s="69" t="str">
        <f t="shared" si="340"/>
        <v>Key-INFRA-331</v>
      </c>
      <c r="X331" s="28" t="s">
        <v>2089</v>
      </c>
      <c r="Y331" s="28" t="s">
        <v>2157</v>
      </c>
      <c r="Z331" s="40" t="s">
        <v>1</v>
      </c>
      <c r="AA331" s="28" t="str">
        <f t="shared" si="345"/>
        <v>Coastal/waterfront facility where ships are built and repaired.</v>
      </c>
    </row>
    <row r="332" spans="1:27" ht="6.65" customHeight="1" x14ac:dyDescent="0.4">
      <c r="A332" s="77">
        <v>332</v>
      </c>
      <c r="B332" s="66" t="s">
        <v>2219</v>
      </c>
      <c r="C332" s="30" t="s">
        <v>1596</v>
      </c>
      <c r="D332" s="29" t="s">
        <v>1603</v>
      </c>
      <c r="E332" s="29" t="s">
        <v>1611</v>
      </c>
      <c r="F332" s="45" t="s">
        <v>583</v>
      </c>
      <c r="G332" s="78" t="s">
        <v>1</v>
      </c>
      <c r="H332" s="78" t="s">
        <v>1</v>
      </c>
      <c r="I332" s="78" t="s">
        <v>1</v>
      </c>
      <c r="J332" s="78" t="s">
        <v>1</v>
      </c>
      <c r="K332" s="78" t="s">
        <v>1</v>
      </c>
      <c r="L332" s="84" t="str">
        <f t="shared" si="344"/>
        <v>Infraestruturas</v>
      </c>
      <c r="M332" s="27" t="str">
        <f t="shared" si="341"/>
        <v>Hidroviárias</v>
      </c>
      <c r="N332" s="27" t="str">
        <f t="shared" si="342"/>
        <v>Portos Partes</v>
      </c>
      <c r="O332" s="28" t="str">
        <f t="shared" si="343"/>
        <v>Lançamento.Rampa</v>
      </c>
      <c r="P332" s="28" t="s">
        <v>584</v>
      </c>
      <c r="Q332" s="43" t="s">
        <v>585</v>
      </c>
      <c r="R332" s="28" t="s">
        <v>1</v>
      </c>
      <c r="S332" s="28" t="str">
        <f t="shared" si="331"/>
        <v>Infraestruturas</v>
      </c>
      <c r="T332" s="28" t="str">
        <f t="shared" si="332"/>
        <v>Hidroviárias</v>
      </c>
      <c r="U332" s="28" t="str">
        <f t="shared" si="332"/>
        <v>Portos Partes</v>
      </c>
      <c r="V332" s="28" t="s">
        <v>2222</v>
      </c>
      <c r="W332" s="69" t="str">
        <f t="shared" si="340"/>
        <v>Key-INFRA-332</v>
      </c>
      <c r="X332" s="28" t="s">
        <v>2089</v>
      </c>
      <c r="Y332" s="28" t="s">
        <v>2157</v>
      </c>
      <c r="Z332" s="40" t="s">
        <v>1</v>
      </c>
      <c r="AA332" s="28" t="str">
        <f t="shared" si="345"/>
        <v>Installation for the dynamic launch or recovery of a vessel using an inclined ramp and gravitation.</v>
      </c>
    </row>
    <row r="333" spans="1:27" ht="6.65" customHeight="1" x14ac:dyDescent="0.4">
      <c r="A333" s="77">
        <v>333</v>
      </c>
      <c r="B333" s="66" t="s">
        <v>2219</v>
      </c>
      <c r="C333" s="30" t="s">
        <v>1596</v>
      </c>
      <c r="D333" s="29" t="s">
        <v>1603</v>
      </c>
      <c r="E333" s="29" t="s">
        <v>1611</v>
      </c>
      <c r="F333" s="45" t="s">
        <v>586</v>
      </c>
      <c r="G333" s="78" t="s">
        <v>1</v>
      </c>
      <c r="H333" s="78" t="s">
        <v>1</v>
      </c>
      <c r="I333" s="78" t="s">
        <v>1</v>
      </c>
      <c r="J333" s="78" t="s">
        <v>1</v>
      </c>
      <c r="K333" s="78" t="s">
        <v>1</v>
      </c>
      <c r="L333" s="84" t="str">
        <f t="shared" si="344"/>
        <v>Infraestruturas</v>
      </c>
      <c r="M333" s="27" t="str">
        <f t="shared" si="341"/>
        <v>Hidroviárias</v>
      </c>
      <c r="N333" s="27" t="str">
        <f t="shared" si="342"/>
        <v>Portos Partes</v>
      </c>
      <c r="O333" s="28" t="str">
        <f t="shared" si="343"/>
        <v>Lançamento.Recuperação</v>
      </c>
      <c r="P333" s="28" t="s">
        <v>587</v>
      </c>
      <c r="Q333" s="84" t="s">
        <v>588</v>
      </c>
      <c r="R333" s="28" t="s">
        <v>1</v>
      </c>
      <c r="S333" s="28" t="str">
        <f t="shared" si="331"/>
        <v>Infraestruturas</v>
      </c>
      <c r="T333" s="28" t="str">
        <f t="shared" si="332"/>
        <v>Hidroviárias</v>
      </c>
      <c r="U333" s="28" t="str">
        <f t="shared" si="332"/>
        <v>Portos Partes</v>
      </c>
      <c r="V333" s="28" t="s">
        <v>2222</v>
      </c>
      <c r="W333" s="69" t="str">
        <f t="shared" si="340"/>
        <v>Key-INFRA-333</v>
      </c>
      <c r="X333" s="28" t="s">
        <v>2089</v>
      </c>
      <c r="Y333" s="28" t="s">
        <v>2157</v>
      </c>
      <c r="Z333" s="40" t="s">
        <v>1</v>
      </c>
      <c r="AA333" s="28" t="str">
        <f t="shared" si="345"/>
        <v>Subset of facilities for the ship launching or recovery function.</v>
      </c>
    </row>
    <row r="334" spans="1:27" ht="6.65" customHeight="1" x14ac:dyDescent="0.4">
      <c r="A334" s="77">
        <v>334</v>
      </c>
      <c r="B334" s="66" t="s">
        <v>2219</v>
      </c>
      <c r="C334" s="30" t="s">
        <v>1596</v>
      </c>
      <c r="D334" s="29" t="s">
        <v>1603</v>
      </c>
      <c r="E334" s="29" t="s">
        <v>1611</v>
      </c>
      <c r="F334" s="87" t="s">
        <v>589</v>
      </c>
      <c r="G334" s="78" t="s">
        <v>1</v>
      </c>
      <c r="H334" s="78" t="s">
        <v>1</v>
      </c>
      <c r="I334" s="78" t="s">
        <v>1</v>
      </c>
      <c r="J334" s="78" t="s">
        <v>1</v>
      </c>
      <c r="K334" s="78" t="s">
        <v>1</v>
      </c>
      <c r="L334" s="84" t="str">
        <f t="shared" si="344"/>
        <v>Infraestruturas</v>
      </c>
      <c r="M334" s="27" t="str">
        <f t="shared" si="341"/>
        <v>Hidroviárias</v>
      </c>
      <c r="N334" s="27" t="str">
        <f t="shared" si="342"/>
        <v>Portos Partes</v>
      </c>
      <c r="O334" s="28" t="str">
        <f t="shared" si="343"/>
        <v>Câmara</v>
      </c>
      <c r="P334" s="28" t="s">
        <v>590</v>
      </c>
      <c r="Q334" s="84" t="s">
        <v>591</v>
      </c>
      <c r="R334" s="28" t="s">
        <v>1</v>
      </c>
      <c r="S334" s="28" t="str">
        <f t="shared" si="331"/>
        <v>Infraestruturas</v>
      </c>
      <c r="T334" s="28" t="str">
        <f t="shared" si="332"/>
        <v>Hidroviárias</v>
      </c>
      <c r="U334" s="28" t="str">
        <f t="shared" si="332"/>
        <v>Portos Partes</v>
      </c>
      <c r="V334" s="28" t="s">
        <v>2222</v>
      </c>
      <c r="W334" s="69" t="str">
        <f t="shared" si="340"/>
        <v>Key-INFRA-334</v>
      </c>
      <c r="X334" s="28" t="s">
        <v>2089</v>
      </c>
      <c r="Y334" s="28" t="s">
        <v>2157</v>
      </c>
      <c r="Z334" s="40" t="s">
        <v>1</v>
      </c>
      <c r="AA334" s="28" t="str">
        <f t="shared" si="345"/>
        <v>The longitudinal spatial part of a waterway or port facility that forms the dammed chamber.</v>
      </c>
    </row>
    <row r="335" spans="1:27" ht="6.65" customHeight="1" x14ac:dyDescent="0.4">
      <c r="A335" s="77">
        <v>335</v>
      </c>
      <c r="B335" s="66" t="s">
        <v>2219</v>
      </c>
      <c r="C335" s="30" t="s">
        <v>1596</v>
      </c>
      <c r="D335" s="29" t="s">
        <v>1603</v>
      </c>
      <c r="E335" s="29" t="s">
        <v>1611</v>
      </c>
      <c r="F335" s="87" t="s">
        <v>592</v>
      </c>
      <c r="G335" s="78" t="s">
        <v>1</v>
      </c>
      <c r="H335" s="78" t="s">
        <v>1</v>
      </c>
      <c r="I335" s="78" t="s">
        <v>1</v>
      </c>
      <c r="J335" s="78" t="s">
        <v>1</v>
      </c>
      <c r="K335" s="78" t="s">
        <v>1</v>
      </c>
      <c r="L335" s="84" t="str">
        <f t="shared" si="344"/>
        <v>Infraestruturas</v>
      </c>
      <c r="M335" s="27" t="str">
        <f t="shared" si="341"/>
        <v>Hidroviárias</v>
      </c>
      <c r="N335" s="27" t="str">
        <f t="shared" si="342"/>
        <v>Portos Partes</v>
      </c>
      <c r="O335" s="28" t="str">
        <f t="shared" si="343"/>
        <v>Núcleo</v>
      </c>
      <c r="P335" s="28" t="s">
        <v>593</v>
      </c>
      <c r="Q335" s="84" t="s">
        <v>594</v>
      </c>
      <c r="R335" s="28" t="s">
        <v>1</v>
      </c>
      <c r="S335" s="28" t="str">
        <f t="shared" si="331"/>
        <v>Infraestruturas</v>
      </c>
      <c r="T335" s="28" t="str">
        <f t="shared" si="332"/>
        <v>Hidroviárias</v>
      </c>
      <c r="U335" s="28" t="str">
        <f t="shared" si="332"/>
        <v>Portos Partes</v>
      </c>
      <c r="V335" s="28" t="s">
        <v>2222</v>
      </c>
      <c r="W335" s="69" t="str">
        <f t="shared" si="340"/>
        <v>Key-INFRA-335</v>
      </c>
      <c r="X335" s="28" t="s">
        <v>2089</v>
      </c>
      <c r="Y335" s="28" t="s">
        <v>2157</v>
      </c>
      <c r="Z335" s="40" t="s">
        <v>1</v>
      </c>
      <c r="AA335" s="28" t="str">
        <f t="shared" si="345"/>
        <v>A lateral spatial part that subdivides the central structure of a facility, such as a breakwater.</v>
      </c>
    </row>
    <row r="336" spans="1:27" ht="6.65" customHeight="1" x14ac:dyDescent="0.4">
      <c r="A336" s="77">
        <v>336</v>
      </c>
      <c r="B336" s="66" t="s">
        <v>2219</v>
      </c>
      <c r="C336" s="30" t="s">
        <v>1596</v>
      </c>
      <c r="D336" s="29" t="s">
        <v>1603</v>
      </c>
      <c r="E336" s="29" t="s">
        <v>1611</v>
      </c>
      <c r="F336" s="87" t="s">
        <v>595</v>
      </c>
      <c r="G336" s="78" t="s">
        <v>1</v>
      </c>
      <c r="H336" s="78" t="s">
        <v>1</v>
      </c>
      <c r="I336" s="78" t="s">
        <v>1</v>
      </c>
      <c r="J336" s="78" t="s">
        <v>1</v>
      </c>
      <c r="K336" s="78" t="s">
        <v>1</v>
      </c>
      <c r="L336" s="84" t="str">
        <f t="shared" si="344"/>
        <v>Infraestruturas</v>
      </c>
      <c r="M336" s="27" t="str">
        <f t="shared" si="341"/>
        <v>Hidroviárias</v>
      </c>
      <c r="N336" s="27" t="str">
        <f t="shared" si="342"/>
        <v>Portos Partes</v>
      </c>
      <c r="O336" s="28" t="str">
        <f t="shared" si="343"/>
        <v>Crista</v>
      </c>
      <c r="P336" s="28" t="s">
        <v>596</v>
      </c>
      <c r="Q336" s="84" t="s">
        <v>597</v>
      </c>
      <c r="R336" s="28" t="s">
        <v>1</v>
      </c>
      <c r="S336" s="28" t="str">
        <f t="shared" si="331"/>
        <v>Infraestruturas</v>
      </c>
      <c r="T336" s="28" t="str">
        <f t="shared" si="332"/>
        <v>Hidroviárias</v>
      </c>
      <c r="U336" s="28" t="str">
        <f t="shared" si="332"/>
        <v>Portos Partes</v>
      </c>
      <c r="V336" s="28" t="s">
        <v>2222</v>
      </c>
      <c r="W336" s="69" t="str">
        <f t="shared" si="340"/>
        <v>Key-INFRA-336</v>
      </c>
      <c r="X336" s="28" t="s">
        <v>2089</v>
      </c>
      <c r="Y336" s="28" t="s">
        <v>2157</v>
      </c>
      <c r="Z336" s="40" t="s">
        <v>1</v>
      </c>
      <c r="AA336" s="28" t="str">
        <f t="shared" si="345"/>
        <v>Lateral spatial part that forms the area of the ridge of the breakwater or embankment where additional structures.</v>
      </c>
    </row>
    <row r="337" spans="1:27" ht="6.65" customHeight="1" x14ac:dyDescent="0.4">
      <c r="A337" s="77">
        <v>337</v>
      </c>
      <c r="B337" s="66" t="s">
        <v>2219</v>
      </c>
      <c r="C337" s="30" t="s">
        <v>1596</v>
      </c>
      <c r="D337" s="29" t="s">
        <v>1603</v>
      </c>
      <c r="E337" s="29" t="s">
        <v>1611</v>
      </c>
      <c r="F337" s="87" t="s">
        <v>598</v>
      </c>
      <c r="G337" s="78" t="s">
        <v>1</v>
      </c>
      <c r="H337" s="78" t="s">
        <v>1</v>
      </c>
      <c r="I337" s="78" t="s">
        <v>1</v>
      </c>
      <c r="J337" s="78" t="s">
        <v>1</v>
      </c>
      <c r="K337" s="78" t="s">
        <v>1</v>
      </c>
      <c r="L337" s="84" t="str">
        <f t="shared" si="344"/>
        <v>Infraestruturas</v>
      </c>
      <c r="M337" s="27" t="str">
        <f t="shared" si="341"/>
        <v>Hidroviárias</v>
      </c>
      <c r="N337" s="27" t="str">
        <f t="shared" si="342"/>
        <v>Portos Partes</v>
      </c>
      <c r="O337" s="28" t="str">
        <f t="shared" si="343"/>
        <v>Comporta</v>
      </c>
      <c r="P337" s="28" t="s">
        <v>599</v>
      </c>
      <c r="Q337" s="84" t="s">
        <v>600</v>
      </c>
      <c r="R337" s="28" t="s">
        <v>1</v>
      </c>
      <c r="S337" s="28" t="str">
        <f t="shared" si="331"/>
        <v>Infraestruturas</v>
      </c>
      <c r="T337" s="28" t="str">
        <f t="shared" si="332"/>
        <v>Hidroviárias</v>
      </c>
      <c r="U337" s="28" t="str">
        <f t="shared" si="332"/>
        <v>Portos Partes</v>
      </c>
      <c r="V337" s="28" t="s">
        <v>2222</v>
      </c>
      <c r="W337" s="69" t="str">
        <f t="shared" si="340"/>
        <v>Key-INFRA-337</v>
      </c>
      <c r="X337" s="28" t="s">
        <v>2089</v>
      </c>
      <c r="Y337" s="28" t="s">
        <v>2157</v>
      </c>
      <c r="Z337" s="40" t="s">
        <v>1</v>
      </c>
      <c r="AA337" s="28" t="str">
        <f t="shared" si="345"/>
        <v>The longitudinal spatial part of a waterway or port facility that forms the gate, the supporting structure.</v>
      </c>
    </row>
    <row r="338" spans="1:27" ht="6.65" customHeight="1" x14ac:dyDescent="0.4">
      <c r="A338" s="77">
        <v>338</v>
      </c>
      <c r="B338" s="66" t="s">
        <v>2219</v>
      </c>
      <c r="C338" s="30" t="s">
        <v>1596</v>
      </c>
      <c r="D338" s="29" t="s">
        <v>1603</v>
      </c>
      <c r="E338" s="29" t="s">
        <v>1611</v>
      </c>
      <c r="F338" s="72" t="s">
        <v>1826</v>
      </c>
      <c r="G338" s="86" t="s">
        <v>1</v>
      </c>
      <c r="H338" s="86" t="s">
        <v>1</v>
      </c>
      <c r="I338" s="86" t="s">
        <v>1</v>
      </c>
      <c r="J338" s="83" t="s">
        <v>1</v>
      </c>
      <c r="K338" s="83" t="s">
        <v>1</v>
      </c>
      <c r="L338" s="84" t="str">
        <f t="shared" ref="L338" si="346">_xlfn.CONCAT(C338)</f>
        <v>Infraestruturas</v>
      </c>
      <c r="M338" s="27" t="str">
        <f t="shared" ref="M338" si="347">CONCATENATE("", D338)</f>
        <v>Hidroviárias</v>
      </c>
      <c r="N338" s="27" t="str">
        <f t="shared" ref="N338" si="348">(SUBSTITUTE(SUBSTITUTE(CONCATENATE("",E338),"."," ")," De "," de "))</f>
        <v>Portos Partes</v>
      </c>
      <c r="O338" s="28" t="str">
        <f t="shared" ref="O338" si="349">F338</f>
        <v>Contenedor.de.Carga</v>
      </c>
      <c r="P338" s="43" t="s">
        <v>459</v>
      </c>
      <c r="Q338" s="84" t="s">
        <v>460</v>
      </c>
      <c r="R338" s="28" t="s">
        <v>1</v>
      </c>
      <c r="S338" s="28" t="str">
        <f t="shared" si="331"/>
        <v>Infraestruturas</v>
      </c>
      <c r="T338" s="28" t="str">
        <f t="shared" si="332"/>
        <v>Hidroviárias</v>
      </c>
      <c r="U338" s="28" t="str">
        <f t="shared" si="332"/>
        <v>Portos Partes</v>
      </c>
      <c r="V338" s="28" t="s">
        <v>2222</v>
      </c>
      <c r="W338" s="69" t="str">
        <f t="shared" si="340"/>
        <v>Key-INFRA-338</v>
      </c>
      <c r="X338" s="28" t="s">
        <v>2089</v>
      </c>
      <c r="Y338" s="28" t="s">
        <v>2157</v>
      </c>
      <c r="Z338" s="40" t="s">
        <v>1</v>
      </c>
      <c r="AA338" s="28" t="str">
        <f t="shared" si="345"/>
        <v>Standardized metal rectangular structure mainly used for the transportation of goods.</v>
      </c>
    </row>
    <row r="339" spans="1:27" ht="6.65" customHeight="1" x14ac:dyDescent="0.4">
      <c r="A339" s="77">
        <v>339</v>
      </c>
      <c r="B339" s="66" t="s">
        <v>2219</v>
      </c>
      <c r="C339" s="30" t="s">
        <v>1596</v>
      </c>
      <c r="D339" s="29" t="s">
        <v>1603</v>
      </c>
      <c r="E339" s="29" t="s">
        <v>1612</v>
      </c>
      <c r="F339" s="87" t="s">
        <v>601</v>
      </c>
      <c r="G339" s="78" t="s">
        <v>1</v>
      </c>
      <c r="H339" s="78" t="s">
        <v>1</v>
      </c>
      <c r="I339" s="78" t="s">
        <v>1</v>
      </c>
      <c r="J339" s="78" t="s">
        <v>1</v>
      </c>
      <c r="K339" s="78" t="s">
        <v>1</v>
      </c>
      <c r="L339" s="84" t="str">
        <f t="shared" si="344"/>
        <v>Infraestruturas</v>
      </c>
      <c r="M339" s="27" t="str">
        <f t="shared" si="341"/>
        <v>Hidroviárias</v>
      </c>
      <c r="N339" s="27" t="str">
        <f t="shared" si="342"/>
        <v>Portos Zonas</v>
      </c>
      <c r="O339" s="28" t="str">
        <f t="shared" si="343"/>
        <v>Barlavento</v>
      </c>
      <c r="P339" s="28" t="s">
        <v>602</v>
      </c>
      <c r="Q339" s="32" t="s">
        <v>603</v>
      </c>
      <c r="R339" s="28" t="s">
        <v>1</v>
      </c>
      <c r="S339" s="28" t="str">
        <f t="shared" si="331"/>
        <v>Infraestruturas</v>
      </c>
      <c r="T339" s="28" t="str">
        <f t="shared" si="332"/>
        <v>Hidroviárias</v>
      </c>
      <c r="U339" s="28" t="str">
        <f t="shared" si="332"/>
        <v>Portos Zonas</v>
      </c>
      <c r="V339" s="28" t="s">
        <v>2222</v>
      </c>
      <c r="W339" s="69" t="str">
        <f t="shared" si="340"/>
        <v>Key-INFRA-339</v>
      </c>
      <c r="X339" s="28" t="s">
        <v>2089</v>
      </c>
      <c r="Y339" s="28" t="s">
        <v>2157</v>
      </c>
      <c r="Z339" s="40" t="s">
        <v>1</v>
      </c>
      <c r="AA339" s="28" t="str">
        <f t="shared" si="345"/>
        <v>Spatial part of the structure that is on the side exposed to the prevailing wind.</v>
      </c>
    </row>
    <row r="340" spans="1:27" ht="6.65" customHeight="1" x14ac:dyDescent="0.4">
      <c r="A340" s="77">
        <v>340</v>
      </c>
      <c r="B340" s="66" t="s">
        <v>2219</v>
      </c>
      <c r="C340" s="30" t="s">
        <v>1596</v>
      </c>
      <c r="D340" s="29" t="s">
        <v>1603</v>
      </c>
      <c r="E340" s="29" t="s">
        <v>1612</v>
      </c>
      <c r="F340" s="87" t="s">
        <v>604</v>
      </c>
      <c r="G340" s="78" t="s">
        <v>1</v>
      </c>
      <c r="H340" s="78" t="s">
        <v>1</v>
      </c>
      <c r="I340" s="78" t="s">
        <v>1</v>
      </c>
      <c r="J340" s="78" t="s">
        <v>1</v>
      </c>
      <c r="K340" s="78" t="s">
        <v>1</v>
      </c>
      <c r="L340" s="84" t="str">
        <f t="shared" si="344"/>
        <v>Infraestruturas</v>
      </c>
      <c r="M340" s="27" t="str">
        <f t="shared" si="341"/>
        <v>Hidroviárias</v>
      </c>
      <c r="N340" s="27" t="str">
        <f t="shared" si="342"/>
        <v>Portos Zonas</v>
      </c>
      <c r="O340" s="28" t="str">
        <f t="shared" si="343"/>
        <v>Sotavento</v>
      </c>
      <c r="P340" s="28" t="s">
        <v>605</v>
      </c>
      <c r="Q340" s="84" t="s">
        <v>606</v>
      </c>
      <c r="R340" s="28" t="s">
        <v>1</v>
      </c>
      <c r="S340" s="28" t="str">
        <f t="shared" si="331"/>
        <v>Infraestruturas</v>
      </c>
      <c r="T340" s="28" t="str">
        <f t="shared" si="332"/>
        <v>Hidroviárias</v>
      </c>
      <c r="U340" s="28" t="str">
        <f t="shared" si="332"/>
        <v>Portos Zonas</v>
      </c>
      <c r="V340" s="28" t="s">
        <v>2222</v>
      </c>
      <c r="W340" s="69" t="str">
        <f t="shared" si="340"/>
        <v>Key-INFRA-340</v>
      </c>
      <c r="X340" s="28" t="s">
        <v>2089</v>
      </c>
      <c r="Y340" s="28" t="s">
        <v>2159</v>
      </c>
      <c r="Z340" s="40" t="s">
        <v>1</v>
      </c>
      <c r="AA340" s="28" t="str">
        <f t="shared" si="345"/>
        <v>Spatial part of the structure that is protected from the prevailing wind.</v>
      </c>
    </row>
    <row r="341" spans="1:27" ht="6.65" customHeight="1" x14ac:dyDescent="0.4">
      <c r="A341" s="77">
        <v>341</v>
      </c>
      <c r="B341" s="66" t="s">
        <v>2219</v>
      </c>
      <c r="C341" s="30" t="s">
        <v>1596</v>
      </c>
      <c r="D341" s="29" t="s">
        <v>1603</v>
      </c>
      <c r="E341" s="29" t="s">
        <v>1612</v>
      </c>
      <c r="F341" s="87" t="s">
        <v>607</v>
      </c>
      <c r="G341" s="78" t="s">
        <v>1</v>
      </c>
      <c r="H341" s="78" t="s">
        <v>1</v>
      </c>
      <c r="I341" s="78" t="s">
        <v>1</v>
      </c>
      <c r="J341" s="78" t="s">
        <v>1</v>
      </c>
      <c r="K341" s="78" t="s">
        <v>1</v>
      </c>
      <c r="L341" s="84" t="str">
        <f t="shared" si="344"/>
        <v>Infraestruturas</v>
      </c>
      <c r="M341" s="27" t="str">
        <f t="shared" si="341"/>
        <v>Hidroviárias</v>
      </c>
      <c r="N341" s="27" t="str">
        <f t="shared" si="342"/>
        <v>Portos Zonas</v>
      </c>
      <c r="O341" s="28" t="str">
        <f t="shared" si="343"/>
        <v>Zona.Aquática</v>
      </c>
      <c r="P341" s="28" t="s">
        <v>608</v>
      </c>
      <c r="Q341" s="84" t="s">
        <v>609</v>
      </c>
      <c r="R341" s="28" t="s">
        <v>1</v>
      </c>
      <c r="S341" s="28" t="str">
        <f t="shared" si="331"/>
        <v>Infraestruturas</v>
      </c>
      <c r="T341" s="28" t="str">
        <f t="shared" si="332"/>
        <v>Hidroviárias</v>
      </c>
      <c r="U341" s="28" t="str">
        <f t="shared" si="332"/>
        <v>Portos Zonas</v>
      </c>
      <c r="V341" s="28" t="s">
        <v>2222</v>
      </c>
      <c r="W341" s="69" t="str">
        <f t="shared" si="340"/>
        <v>Key-INFRA-341</v>
      </c>
      <c r="X341" s="28" t="s">
        <v>2115</v>
      </c>
      <c r="Y341" s="28" t="s">
        <v>2159</v>
      </c>
      <c r="Z341" s="40" t="s">
        <v>1</v>
      </c>
      <c r="AA341" s="28" t="str">
        <f t="shared" si="345"/>
        <v>Region that covers the water field of a port. It includes navigable and non-navigable canals.</v>
      </c>
    </row>
    <row r="342" spans="1:27" ht="6.65" customHeight="1" x14ac:dyDescent="0.4">
      <c r="A342" s="77">
        <v>342</v>
      </c>
      <c r="B342" s="66" t="s">
        <v>2219</v>
      </c>
      <c r="C342" s="30" t="s">
        <v>1596</v>
      </c>
      <c r="D342" s="29" t="s">
        <v>1603</v>
      </c>
      <c r="E342" s="29" t="s">
        <v>1612</v>
      </c>
      <c r="F342" s="87" t="s">
        <v>610</v>
      </c>
      <c r="G342" s="78" t="s">
        <v>1</v>
      </c>
      <c r="H342" s="78" t="s">
        <v>1</v>
      </c>
      <c r="I342" s="78" t="s">
        <v>1</v>
      </c>
      <c r="J342" s="78" t="s">
        <v>1</v>
      </c>
      <c r="K342" s="78" t="s">
        <v>1</v>
      </c>
      <c r="L342" s="84" t="str">
        <f t="shared" si="344"/>
        <v>Infraestruturas</v>
      </c>
      <c r="M342" s="27" t="str">
        <f t="shared" si="341"/>
        <v>Hidroviárias</v>
      </c>
      <c r="N342" s="27" t="str">
        <f t="shared" si="342"/>
        <v>Portos Zonas</v>
      </c>
      <c r="O342" s="28" t="str">
        <f t="shared" si="343"/>
        <v>Zona.Terrestre</v>
      </c>
      <c r="P342" s="28" t="s">
        <v>611</v>
      </c>
      <c r="Q342" s="43" t="s">
        <v>612</v>
      </c>
      <c r="R342" s="28" t="s">
        <v>1</v>
      </c>
      <c r="S342" s="28" t="str">
        <f t="shared" ref="S342:S348" si="350">SUBSTITUTE(C342, ".", " ")</f>
        <v>Infraestruturas</v>
      </c>
      <c r="T342" s="28" t="str">
        <f t="shared" ref="T342:U348" si="351">SUBSTITUTE(D342, ".", " ")</f>
        <v>Hidroviárias</v>
      </c>
      <c r="U342" s="28" t="str">
        <f t="shared" si="351"/>
        <v>Portos Zonas</v>
      </c>
      <c r="V342" s="28" t="s">
        <v>2222</v>
      </c>
      <c r="W342" s="69" t="str">
        <f t="shared" si="340"/>
        <v>Key-INFRA-342</v>
      </c>
      <c r="X342" s="28" t="s">
        <v>2115</v>
      </c>
      <c r="Y342" s="28" t="s">
        <v>2159</v>
      </c>
      <c r="Z342" s="40" t="s">
        <v>1</v>
      </c>
      <c r="AA342" s="28" t="str">
        <f t="shared" si="345"/>
        <v>Region or side part of the facility that covers the onshore field of seaside installation, such as a wharf.</v>
      </c>
    </row>
    <row r="343" spans="1:27" ht="6.65" customHeight="1" x14ac:dyDescent="0.4">
      <c r="A343" s="77">
        <v>343</v>
      </c>
      <c r="B343" s="66" t="s">
        <v>2219</v>
      </c>
      <c r="C343" s="30" t="s">
        <v>1596</v>
      </c>
      <c r="D343" s="29" t="s">
        <v>1603</v>
      </c>
      <c r="E343" s="29" t="s">
        <v>1612</v>
      </c>
      <c r="F343" s="87" t="s">
        <v>613</v>
      </c>
      <c r="G343" s="78" t="s">
        <v>1</v>
      </c>
      <c r="H343" s="78" t="s">
        <v>1</v>
      </c>
      <c r="I343" s="78" t="s">
        <v>1</v>
      </c>
      <c r="J343" s="78" t="s">
        <v>1</v>
      </c>
      <c r="K343" s="78" t="s">
        <v>1</v>
      </c>
      <c r="L343" s="84" t="str">
        <f t="shared" si="344"/>
        <v>Infraestruturas</v>
      </c>
      <c r="M343" s="27" t="str">
        <f t="shared" si="341"/>
        <v>Hidroviárias</v>
      </c>
      <c r="N343" s="27" t="str">
        <f t="shared" si="342"/>
        <v>Portos Zonas</v>
      </c>
      <c r="O343" s="28" t="str">
        <f t="shared" si="343"/>
        <v>Zona.Navegável</v>
      </c>
      <c r="P343" s="28" t="s">
        <v>614</v>
      </c>
      <c r="Q343" s="84" t="s">
        <v>615</v>
      </c>
      <c r="R343" s="28" t="s">
        <v>1</v>
      </c>
      <c r="S343" s="28" t="str">
        <f t="shared" si="350"/>
        <v>Infraestruturas</v>
      </c>
      <c r="T343" s="28" t="str">
        <f t="shared" si="351"/>
        <v>Hidroviárias</v>
      </c>
      <c r="U343" s="28" t="str">
        <f t="shared" si="351"/>
        <v>Portos Zonas</v>
      </c>
      <c r="V343" s="28" t="s">
        <v>2222</v>
      </c>
      <c r="W343" s="69" t="str">
        <f t="shared" si="340"/>
        <v>Key-INFRA-343</v>
      </c>
      <c r="X343" s="28" t="s">
        <v>2115</v>
      </c>
      <c r="Y343" s="28" t="s">
        <v>2159</v>
      </c>
      <c r="Z343" s="40" t="s">
        <v>1</v>
      </c>
      <c r="AA343" s="28" t="str">
        <f t="shared" si="345"/>
        <v>Region that covers the water field of the harbor's navigable canals.</v>
      </c>
    </row>
    <row r="344" spans="1:27" ht="6.65" customHeight="1" x14ac:dyDescent="0.4">
      <c r="A344" s="77">
        <v>344</v>
      </c>
      <c r="B344" s="66" t="s">
        <v>2219</v>
      </c>
      <c r="C344" s="30" t="s">
        <v>1596</v>
      </c>
      <c r="D344" s="29" t="s">
        <v>1603</v>
      </c>
      <c r="E344" s="29" t="s">
        <v>1612</v>
      </c>
      <c r="F344" s="87" t="s">
        <v>1686</v>
      </c>
      <c r="G344" s="78" t="s">
        <v>1</v>
      </c>
      <c r="H344" s="78" t="s">
        <v>1</v>
      </c>
      <c r="I344" s="78" t="s">
        <v>1</v>
      </c>
      <c r="J344" s="78" t="s">
        <v>1</v>
      </c>
      <c r="K344" s="78" t="s">
        <v>1</v>
      </c>
      <c r="L344" s="84" t="str">
        <f t="shared" si="344"/>
        <v>Infraestruturas</v>
      </c>
      <c r="M344" s="27" t="str">
        <f t="shared" si="341"/>
        <v>Hidroviárias</v>
      </c>
      <c r="N344" s="27" t="str">
        <f t="shared" si="342"/>
        <v>Portos Zonas</v>
      </c>
      <c r="O344" s="28" t="str">
        <f t="shared" si="343"/>
        <v>Zona.de.Estocagem</v>
      </c>
      <c r="P344" s="28" t="s">
        <v>616</v>
      </c>
      <c r="Q344" s="28" t="s">
        <v>617</v>
      </c>
      <c r="R344" s="28" t="s">
        <v>1</v>
      </c>
      <c r="S344" s="28" t="str">
        <f t="shared" si="350"/>
        <v>Infraestruturas</v>
      </c>
      <c r="T344" s="28" t="str">
        <f t="shared" si="351"/>
        <v>Hidroviárias</v>
      </c>
      <c r="U344" s="28" t="str">
        <f t="shared" si="351"/>
        <v>Portos Zonas</v>
      </c>
      <c r="V344" s="28" t="s">
        <v>2222</v>
      </c>
      <c r="W344" s="69" t="str">
        <f t="shared" si="340"/>
        <v>Key-INFRA-344</v>
      </c>
      <c r="X344" s="28" t="s">
        <v>2115</v>
      </c>
      <c r="Y344" s="28" t="s">
        <v>2159</v>
      </c>
      <c r="Z344" s="40" t="s">
        <v>1</v>
      </c>
      <c r="AA344" s="28" t="str">
        <f t="shared" si="345"/>
        <v>Covered space such as shed or storage for cargo storage.</v>
      </c>
    </row>
    <row r="345" spans="1:27" ht="6.65" customHeight="1" x14ac:dyDescent="0.4">
      <c r="A345" s="77">
        <v>345</v>
      </c>
      <c r="B345" s="66" t="s">
        <v>2219</v>
      </c>
      <c r="C345" s="30" t="s">
        <v>1596</v>
      </c>
      <c r="D345" s="29" t="s">
        <v>1603</v>
      </c>
      <c r="E345" s="29" t="s">
        <v>1612</v>
      </c>
      <c r="F345" s="87" t="s">
        <v>1682</v>
      </c>
      <c r="G345" s="78" t="s">
        <v>1</v>
      </c>
      <c r="H345" s="78" t="s">
        <v>1</v>
      </c>
      <c r="I345" s="78" t="s">
        <v>1</v>
      </c>
      <c r="J345" s="78" t="s">
        <v>1</v>
      </c>
      <c r="K345" s="78" t="s">
        <v>1</v>
      </c>
      <c r="L345" s="84" t="str">
        <f t="shared" si="344"/>
        <v>Infraestruturas</v>
      </c>
      <c r="M345" s="27" t="str">
        <f t="shared" si="341"/>
        <v>Hidroviárias</v>
      </c>
      <c r="N345" s="27" t="str">
        <f t="shared" si="342"/>
        <v>Portos Zonas</v>
      </c>
      <c r="O345" s="28" t="str">
        <f t="shared" si="343"/>
        <v>Zona.de.Pátio</v>
      </c>
      <c r="P345" s="28" t="s">
        <v>618</v>
      </c>
      <c r="Q345" s="28" t="s">
        <v>619</v>
      </c>
      <c r="R345" s="28" t="s">
        <v>1</v>
      </c>
      <c r="S345" s="28" t="str">
        <f t="shared" si="350"/>
        <v>Infraestruturas</v>
      </c>
      <c r="T345" s="28" t="str">
        <f t="shared" si="351"/>
        <v>Hidroviárias</v>
      </c>
      <c r="U345" s="28" t="str">
        <f t="shared" si="351"/>
        <v>Portos Zonas</v>
      </c>
      <c r="V345" s="28" t="s">
        <v>2222</v>
      </c>
      <c r="W345" s="69" t="str">
        <f t="shared" si="340"/>
        <v>Key-INFRA-345</v>
      </c>
      <c r="X345" s="28" t="s">
        <v>2115</v>
      </c>
      <c r="Y345" s="28" t="s">
        <v>2159</v>
      </c>
      <c r="Z345" s="40" t="s">
        <v>1</v>
      </c>
      <c r="AA345" s="28" t="str">
        <f t="shared" si="345"/>
        <v>External cargo storage space.</v>
      </c>
    </row>
    <row r="346" spans="1:27" ht="6.65" customHeight="1" x14ac:dyDescent="0.4">
      <c r="A346" s="77">
        <v>346</v>
      </c>
      <c r="B346" s="66" t="s">
        <v>2219</v>
      </c>
      <c r="C346" s="30" t="s">
        <v>1596</v>
      </c>
      <c r="D346" s="29" t="s">
        <v>1603</v>
      </c>
      <c r="E346" s="29" t="s">
        <v>1612</v>
      </c>
      <c r="F346" s="87" t="s">
        <v>1683</v>
      </c>
      <c r="G346" s="78" t="s">
        <v>1</v>
      </c>
      <c r="H346" s="78" t="s">
        <v>1</v>
      </c>
      <c r="I346" s="78" t="s">
        <v>1</v>
      </c>
      <c r="J346" s="78" t="s">
        <v>1</v>
      </c>
      <c r="K346" s="78" t="s">
        <v>1</v>
      </c>
      <c r="L346" s="84" t="str">
        <f t="shared" si="344"/>
        <v>Infraestruturas</v>
      </c>
      <c r="M346" s="27" t="str">
        <f t="shared" si="341"/>
        <v>Hidroviárias</v>
      </c>
      <c r="N346" s="27" t="str">
        <f t="shared" si="342"/>
        <v>Portos Zonas</v>
      </c>
      <c r="O346" s="28" t="str">
        <f t="shared" si="343"/>
        <v>Zona.de.Operação</v>
      </c>
      <c r="P346" s="28" t="s">
        <v>620</v>
      </c>
      <c r="Q346" s="84" t="s">
        <v>621</v>
      </c>
      <c r="R346" s="28" t="s">
        <v>1</v>
      </c>
      <c r="S346" s="28" t="str">
        <f t="shared" si="350"/>
        <v>Infraestruturas</v>
      </c>
      <c r="T346" s="28" t="str">
        <f t="shared" si="351"/>
        <v>Hidroviárias</v>
      </c>
      <c r="U346" s="28" t="str">
        <f t="shared" si="351"/>
        <v>Portos Zonas</v>
      </c>
      <c r="V346" s="28" t="s">
        <v>2222</v>
      </c>
      <c r="W346" s="69" t="str">
        <f t="shared" si="340"/>
        <v>Key-INFRA-346</v>
      </c>
      <c r="X346" s="28" t="s">
        <v>2115</v>
      </c>
      <c r="Y346" s="28" t="s">
        <v>2159</v>
      </c>
      <c r="Z346" s="40" t="s">
        <v>1</v>
      </c>
      <c r="AA346" s="28" t="str">
        <f t="shared" si="345"/>
        <v>Spatial part of the region that represents a functional division designed for operation.</v>
      </c>
    </row>
    <row r="347" spans="1:27" ht="6.65" customHeight="1" x14ac:dyDescent="0.4">
      <c r="A347" s="77">
        <v>347</v>
      </c>
      <c r="B347" s="66" t="s">
        <v>2219</v>
      </c>
      <c r="C347" s="30" t="s">
        <v>1596</v>
      </c>
      <c r="D347" s="29" t="s">
        <v>1603</v>
      </c>
      <c r="E347" s="29" t="s">
        <v>1612</v>
      </c>
      <c r="F347" s="87" t="s">
        <v>1684</v>
      </c>
      <c r="G347" s="78" t="s">
        <v>1</v>
      </c>
      <c r="H347" s="78" t="s">
        <v>1</v>
      </c>
      <c r="I347" s="78" t="s">
        <v>1</v>
      </c>
      <c r="J347" s="78" t="s">
        <v>1</v>
      </c>
      <c r="K347" s="78" t="s">
        <v>1</v>
      </c>
      <c r="L347" s="84" t="str">
        <f t="shared" si="344"/>
        <v>Infraestruturas</v>
      </c>
      <c r="M347" s="27" t="str">
        <f t="shared" si="341"/>
        <v>Hidroviárias</v>
      </c>
      <c r="N347" s="27" t="str">
        <f t="shared" si="342"/>
        <v>Portos Zonas</v>
      </c>
      <c r="O347" s="28" t="str">
        <f t="shared" si="343"/>
        <v>Zona.de.Fabricação</v>
      </c>
      <c r="P347" s="28" t="s">
        <v>622</v>
      </c>
      <c r="Q347" s="84" t="s">
        <v>623</v>
      </c>
      <c r="R347" s="28" t="s">
        <v>1</v>
      </c>
      <c r="S347" s="28" t="str">
        <f t="shared" si="350"/>
        <v>Infraestruturas</v>
      </c>
      <c r="T347" s="28" t="str">
        <f t="shared" si="351"/>
        <v>Hidroviárias</v>
      </c>
      <c r="U347" s="28" t="str">
        <f t="shared" si="351"/>
        <v>Portos Zonas</v>
      </c>
      <c r="V347" s="28" t="s">
        <v>2222</v>
      </c>
      <c r="W347" s="69" t="str">
        <f t="shared" si="340"/>
        <v>Key-INFRA-347</v>
      </c>
      <c r="X347" s="28" t="s">
        <v>2115</v>
      </c>
      <c r="Y347" s="28" t="s">
        <v>2159</v>
      </c>
      <c r="Z347" s="40" t="s">
        <v>1</v>
      </c>
      <c r="AA347" s="28" t="str">
        <f t="shared" si="345"/>
        <v>Spatial part of the region that forms a subdivision of facility for manufacturing purposes.</v>
      </c>
    </row>
    <row r="348" spans="1:27" ht="6.65" customHeight="1" x14ac:dyDescent="0.4">
      <c r="A348" s="77">
        <v>348</v>
      </c>
      <c r="B348" s="66" t="s">
        <v>2219</v>
      </c>
      <c r="C348" s="30" t="s">
        <v>1596</v>
      </c>
      <c r="D348" s="29" t="s">
        <v>1603</v>
      </c>
      <c r="E348" s="29" t="s">
        <v>1612</v>
      </c>
      <c r="F348" s="87" t="s">
        <v>1685</v>
      </c>
      <c r="G348" s="78" t="s">
        <v>1</v>
      </c>
      <c r="H348" s="78" t="s">
        <v>1</v>
      </c>
      <c r="I348" s="78" t="s">
        <v>1</v>
      </c>
      <c r="J348" s="78" t="s">
        <v>1</v>
      </c>
      <c r="K348" s="78" t="s">
        <v>1</v>
      </c>
      <c r="L348" s="84" t="str">
        <f t="shared" si="344"/>
        <v>Infraestruturas</v>
      </c>
      <c r="M348" s="27" t="str">
        <f t="shared" si="341"/>
        <v>Hidroviárias</v>
      </c>
      <c r="N348" s="27" t="str">
        <f t="shared" si="342"/>
        <v>Portos Zonas</v>
      </c>
      <c r="O348" s="28" t="str">
        <f t="shared" si="343"/>
        <v>Zona.de.Transbordo</v>
      </c>
      <c r="P348" s="28" t="s">
        <v>624</v>
      </c>
      <c r="Q348" s="84" t="s">
        <v>625</v>
      </c>
      <c r="R348" s="28" t="s">
        <v>1</v>
      </c>
      <c r="S348" s="28" t="str">
        <f t="shared" si="350"/>
        <v>Infraestruturas</v>
      </c>
      <c r="T348" s="28" t="str">
        <f t="shared" si="351"/>
        <v>Hidroviárias</v>
      </c>
      <c r="U348" s="28" t="str">
        <f t="shared" si="351"/>
        <v>Portos Zonas</v>
      </c>
      <c r="V348" s="28" t="s">
        <v>2222</v>
      </c>
      <c r="W348" s="69" t="str">
        <f t="shared" si="340"/>
        <v>Key-INFRA-348</v>
      </c>
      <c r="X348" s="28" t="s">
        <v>2115</v>
      </c>
      <c r="Y348" s="28" t="s">
        <v>2134</v>
      </c>
      <c r="Z348" s="40" t="s">
        <v>1</v>
      </c>
      <c r="AA348" s="28" t="str">
        <f t="shared" si="345"/>
        <v>Spatial part of the region that represents a free area used for the transfer and movement of vessels.</v>
      </c>
    </row>
    <row r="349" spans="1:27" ht="6.65" customHeight="1" x14ac:dyDescent="0.4">
      <c r="A349" s="77">
        <v>349</v>
      </c>
      <c r="B349" s="66" t="s">
        <v>2219</v>
      </c>
      <c r="C349" s="30" t="s">
        <v>1596</v>
      </c>
      <c r="D349" s="29" t="s">
        <v>1911</v>
      </c>
      <c r="E349" s="29" t="s">
        <v>1968</v>
      </c>
      <c r="F349" s="87" t="s">
        <v>1912</v>
      </c>
      <c r="G349" s="78" t="s">
        <v>1</v>
      </c>
      <c r="H349" s="78" t="s">
        <v>1</v>
      </c>
      <c r="I349" s="78" t="s">
        <v>1</v>
      </c>
      <c r="J349" s="78" t="s">
        <v>1</v>
      </c>
      <c r="K349" s="78" t="s">
        <v>1</v>
      </c>
      <c r="L349" s="84" t="str">
        <f t="shared" ref="L349:L357" si="352">_xlfn.CONCAT(C349)</f>
        <v>Infraestruturas</v>
      </c>
      <c r="M349" s="27" t="str">
        <f t="shared" ref="M349:M357" si="353">CONCATENATE("", D349)</f>
        <v>Aeroportuárias</v>
      </c>
      <c r="N349" s="27" t="str">
        <f t="shared" ref="N349:N357" si="354">(SUBSTITUTE(SUBSTITUTE(CONCATENATE("",E349),"."," ")," De "," de "))</f>
        <v>Aeródromos</v>
      </c>
      <c r="O349" s="28" t="str">
        <f t="shared" ref="O349:O357" si="355">F349</f>
        <v>Aeroporto.Internacional</v>
      </c>
      <c r="P349" s="40" t="s">
        <v>1917</v>
      </c>
      <c r="Q349" s="28" t="s">
        <v>2011</v>
      </c>
      <c r="R349" s="28" t="s">
        <v>1</v>
      </c>
      <c r="S349" s="28" t="str">
        <f t="shared" ref="S349:S357" si="356">SUBSTITUTE(C349, ".", " ")</f>
        <v>Infraestruturas</v>
      </c>
      <c r="T349" s="28" t="str">
        <f t="shared" ref="T349:T357" si="357">SUBSTITUTE(D349, ".", " ")</f>
        <v>Aeroportuárias</v>
      </c>
      <c r="U349" s="28" t="str">
        <f t="shared" ref="U349:U357" si="358">SUBSTITUTE(E349, ".", " ")</f>
        <v>Aeródromos</v>
      </c>
      <c r="V349" s="28" t="s">
        <v>2222</v>
      </c>
      <c r="W349" s="69" t="str">
        <f t="shared" si="340"/>
        <v>Key-INFRA-349</v>
      </c>
      <c r="X349" s="28" t="s">
        <v>2088</v>
      </c>
      <c r="Y349" s="40" t="s">
        <v>2134</v>
      </c>
      <c r="Z349" s="40" t="s">
        <v>1</v>
      </c>
      <c r="AA349" s="28" t="str">
        <f t="shared" si="345"/>
        <v>International Airport must have infrastructure for international flights, with customs, immigration and sanitary control.</v>
      </c>
    </row>
    <row r="350" spans="1:27" ht="6.65" customHeight="1" x14ac:dyDescent="0.4">
      <c r="A350" s="77">
        <v>350</v>
      </c>
      <c r="B350" s="66" t="s">
        <v>2219</v>
      </c>
      <c r="C350" s="30" t="s">
        <v>1596</v>
      </c>
      <c r="D350" s="29" t="s">
        <v>1911</v>
      </c>
      <c r="E350" s="29" t="s">
        <v>1968</v>
      </c>
      <c r="F350" s="87" t="s">
        <v>1916</v>
      </c>
      <c r="G350" s="78" t="s">
        <v>1</v>
      </c>
      <c r="H350" s="78" t="s">
        <v>1</v>
      </c>
      <c r="I350" s="78" t="s">
        <v>1</v>
      </c>
      <c r="J350" s="78" t="s">
        <v>1</v>
      </c>
      <c r="K350" s="78" t="s">
        <v>1</v>
      </c>
      <c r="L350" s="84" t="str">
        <f t="shared" ref="L350:L351" si="359">_xlfn.CONCAT(C350)</f>
        <v>Infraestruturas</v>
      </c>
      <c r="M350" s="27" t="str">
        <f t="shared" ref="M350:M351" si="360">CONCATENATE("", D350)</f>
        <v>Aeroportuárias</v>
      </c>
      <c r="N350" s="27" t="str">
        <f t="shared" ref="N350:N351" si="361">(SUBSTITUTE(SUBSTITUTE(CONCATENATE("",E350),"."," ")," De "," de "))</f>
        <v>Aeródromos</v>
      </c>
      <c r="O350" s="28" t="str">
        <f t="shared" ref="O350:O351" si="362">F350</f>
        <v>Aeroporto.Regional</v>
      </c>
      <c r="P350" s="40" t="s">
        <v>1918</v>
      </c>
      <c r="Q350" s="28" t="s">
        <v>2012</v>
      </c>
      <c r="R350" s="28" t="s">
        <v>1</v>
      </c>
      <c r="S350" s="28" t="str">
        <f t="shared" ref="S350:S351" si="363">SUBSTITUTE(C350, ".", " ")</f>
        <v>Infraestruturas</v>
      </c>
      <c r="T350" s="28" t="str">
        <f t="shared" ref="T350:T351" si="364">SUBSTITUTE(D350, ".", " ")</f>
        <v>Aeroportuárias</v>
      </c>
      <c r="U350" s="28" t="str">
        <f t="shared" ref="U350:U351" si="365">SUBSTITUTE(E350, ".", " ")</f>
        <v>Aeródromos</v>
      </c>
      <c r="V350" s="28" t="s">
        <v>2222</v>
      </c>
      <c r="W350" s="69" t="str">
        <f t="shared" si="340"/>
        <v>Key-INFRA-350</v>
      </c>
      <c r="X350" s="28" t="s">
        <v>2088</v>
      </c>
      <c r="Y350" s="40" t="s">
        <v>2134</v>
      </c>
      <c r="Z350" s="40" t="s">
        <v>1</v>
      </c>
      <c r="AA350" s="28" t="str">
        <f t="shared" si="345"/>
        <v>Regional airports serve smaller areas of the territory, connecting medium and small cities to large centers.</v>
      </c>
    </row>
    <row r="351" spans="1:27" ht="6.65" customHeight="1" x14ac:dyDescent="0.4">
      <c r="A351" s="77">
        <v>351</v>
      </c>
      <c r="B351" s="66" t="s">
        <v>2219</v>
      </c>
      <c r="C351" s="30" t="s">
        <v>1596</v>
      </c>
      <c r="D351" s="29" t="s">
        <v>1911</v>
      </c>
      <c r="E351" s="29" t="s">
        <v>1968</v>
      </c>
      <c r="F351" s="87" t="s">
        <v>1915</v>
      </c>
      <c r="G351" s="78" t="s">
        <v>1</v>
      </c>
      <c r="H351" s="78" t="s">
        <v>1</v>
      </c>
      <c r="I351" s="78" t="s">
        <v>1</v>
      </c>
      <c r="J351" s="78" t="s">
        <v>1</v>
      </c>
      <c r="K351" s="78" t="s">
        <v>1</v>
      </c>
      <c r="L351" s="84" t="str">
        <f t="shared" si="359"/>
        <v>Infraestruturas</v>
      </c>
      <c r="M351" s="27" t="str">
        <f t="shared" si="360"/>
        <v>Aeroportuárias</v>
      </c>
      <c r="N351" s="27" t="str">
        <f t="shared" si="361"/>
        <v>Aeródromos</v>
      </c>
      <c r="O351" s="28" t="str">
        <f t="shared" si="362"/>
        <v>Aeroporto.Doméstico</v>
      </c>
      <c r="P351" s="40" t="s">
        <v>2063</v>
      </c>
      <c r="Q351" s="28" t="s">
        <v>2061</v>
      </c>
      <c r="R351" s="28" t="s">
        <v>1</v>
      </c>
      <c r="S351" s="28" t="str">
        <f t="shared" si="363"/>
        <v>Infraestruturas</v>
      </c>
      <c r="T351" s="28" t="str">
        <f t="shared" si="364"/>
        <v>Aeroportuárias</v>
      </c>
      <c r="U351" s="28" t="str">
        <f t="shared" si="365"/>
        <v>Aeródromos</v>
      </c>
      <c r="V351" s="28" t="s">
        <v>2222</v>
      </c>
      <c r="W351" s="69" t="str">
        <f t="shared" si="340"/>
        <v>Key-INFRA-351</v>
      </c>
      <c r="X351" s="28" t="s">
        <v>2088</v>
      </c>
      <c r="Y351" s="40" t="s">
        <v>2134</v>
      </c>
      <c r="Z351" s="40" t="s">
        <v>1</v>
      </c>
      <c r="AA351" s="28" t="str">
        <f>_xlfn.TRANSLATE(P351,"pt","en")</f>
        <v>Domestic Airport only serves flights within the national territory.</v>
      </c>
    </row>
    <row r="352" spans="1:27" ht="6.65" customHeight="1" x14ac:dyDescent="0.4">
      <c r="A352" s="77">
        <v>352</v>
      </c>
      <c r="B352" s="66" t="s">
        <v>2219</v>
      </c>
      <c r="C352" s="30" t="s">
        <v>1596</v>
      </c>
      <c r="D352" s="29" t="s">
        <v>1911</v>
      </c>
      <c r="E352" s="29" t="s">
        <v>1968</v>
      </c>
      <c r="F352" s="87" t="s">
        <v>1919</v>
      </c>
      <c r="G352" s="78" t="s">
        <v>1</v>
      </c>
      <c r="H352" s="78" t="s">
        <v>1</v>
      </c>
      <c r="I352" s="78" t="s">
        <v>1</v>
      </c>
      <c r="J352" s="78" t="s">
        <v>1</v>
      </c>
      <c r="K352" s="78" t="s">
        <v>1</v>
      </c>
      <c r="L352" s="84" t="str">
        <f t="shared" si="352"/>
        <v>Infraestruturas</v>
      </c>
      <c r="M352" s="27" t="str">
        <f t="shared" si="353"/>
        <v>Aeroportuárias</v>
      </c>
      <c r="N352" s="27" t="str">
        <f t="shared" si="354"/>
        <v>Aeródromos</v>
      </c>
      <c r="O352" s="28" t="str">
        <f t="shared" si="355"/>
        <v>Aeroporto.Militar</v>
      </c>
      <c r="P352" s="40" t="s">
        <v>2064</v>
      </c>
      <c r="Q352" s="28" t="s">
        <v>2062</v>
      </c>
      <c r="R352" s="28" t="s">
        <v>1</v>
      </c>
      <c r="S352" s="28" t="str">
        <f t="shared" si="356"/>
        <v>Infraestruturas</v>
      </c>
      <c r="T352" s="28" t="str">
        <f t="shared" si="357"/>
        <v>Aeroportuárias</v>
      </c>
      <c r="U352" s="28" t="str">
        <f t="shared" si="358"/>
        <v>Aeródromos</v>
      </c>
      <c r="V352" s="28" t="s">
        <v>2222</v>
      </c>
      <c r="W352" s="69" t="str">
        <f t="shared" si="340"/>
        <v>Key-INFRA-352</v>
      </c>
      <c r="X352" s="28" t="s">
        <v>2088</v>
      </c>
      <c r="Y352" s="40" t="s">
        <v>2134</v>
      </c>
      <c r="Z352" s="40" t="s">
        <v>1</v>
      </c>
      <c r="AA352" s="28" t="str">
        <f t="shared" si="345"/>
        <v>Military Airport. used exclusively by the Armed Forces for strategic purposes, training, troop transport, and equipment.</v>
      </c>
    </row>
    <row r="353" spans="1:27" ht="6.65" customHeight="1" x14ac:dyDescent="0.4">
      <c r="A353" s="77">
        <v>353</v>
      </c>
      <c r="B353" s="66" t="s">
        <v>2219</v>
      </c>
      <c r="C353" s="30" t="s">
        <v>1596</v>
      </c>
      <c r="D353" s="29" t="s">
        <v>1911</v>
      </c>
      <c r="E353" s="29" t="s">
        <v>1968</v>
      </c>
      <c r="F353" s="87" t="s">
        <v>1967</v>
      </c>
      <c r="G353" s="78" t="s">
        <v>1</v>
      </c>
      <c r="H353" s="78" t="s">
        <v>1</v>
      </c>
      <c r="I353" s="78" t="s">
        <v>1</v>
      </c>
      <c r="J353" s="78" t="s">
        <v>1</v>
      </c>
      <c r="K353" s="78" t="s">
        <v>1</v>
      </c>
      <c r="L353" s="84" t="str">
        <f t="shared" si="352"/>
        <v>Infraestruturas</v>
      </c>
      <c r="M353" s="27" t="str">
        <f t="shared" si="353"/>
        <v>Aeroportuárias</v>
      </c>
      <c r="N353" s="27" t="str">
        <f t="shared" si="354"/>
        <v>Aeródromos</v>
      </c>
      <c r="O353" s="28" t="str">
        <f t="shared" si="355"/>
        <v>Aeroclub</v>
      </c>
      <c r="P353" s="40" t="s">
        <v>1969</v>
      </c>
      <c r="Q353" s="28" t="s">
        <v>2013</v>
      </c>
      <c r="R353" s="28" t="s">
        <v>1</v>
      </c>
      <c r="S353" s="28" t="str">
        <f t="shared" si="356"/>
        <v>Infraestruturas</v>
      </c>
      <c r="T353" s="28" t="str">
        <f t="shared" si="357"/>
        <v>Aeroportuárias</v>
      </c>
      <c r="U353" s="28" t="str">
        <f t="shared" si="358"/>
        <v>Aeródromos</v>
      </c>
      <c r="V353" s="28" t="s">
        <v>2222</v>
      </c>
      <c r="W353" s="69" t="str">
        <f t="shared" si="340"/>
        <v>Key-INFRA-353</v>
      </c>
      <c r="X353" s="28" t="s">
        <v>2088</v>
      </c>
      <c r="Y353" s="40" t="s">
        <v>2134</v>
      </c>
      <c r="Z353" s="40" t="s">
        <v>1</v>
      </c>
      <c r="AA353" s="28" t="str">
        <f t="shared" si="345"/>
        <v>A center for the education and training of civilian pilots, for practical or recreational purposes. It needs to be authorized by the National Civil Aviation Agency (ANAC) to operate legally.</v>
      </c>
    </row>
    <row r="354" spans="1:27" ht="6.65" customHeight="1" x14ac:dyDescent="0.4">
      <c r="A354" s="77">
        <v>354</v>
      </c>
      <c r="B354" s="66" t="s">
        <v>2219</v>
      </c>
      <c r="C354" s="30" t="s">
        <v>1596</v>
      </c>
      <c r="D354" s="29" t="s">
        <v>1911</v>
      </c>
      <c r="E354" s="29" t="s">
        <v>1968</v>
      </c>
      <c r="F354" s="87" t="s">
        <v>1971</v>
      </c>
      <c r="G354" s="78" t="s">
        <v>1</v>
      </c>
      <c r="H354" s="78" t="s">
        <v>1</v>
      </c>
      <c r="I354" s="78" t="s">
        <v>1</v>
      </c>
      <c r="J354" s="78" t="s">
        <v>1</v>
      </c>
      <c r="K354" s="78" t="s">
        <v>1</v>
      </c>
      <c r="L354" s="84" t="str">
        <f t="shared" ref="L354" si="366">_xlfn.CONCAT(C354)</f>
        <v>Infraestruturas</v>
      </c>
      <c r="M354" s="27" t="str">
        <f t="shared" ref="M354" si="367">CONCATENATE("", D354)</f>
        <v>Aeroportuárias</v>
      </c>
      <c r="N354" s="27" t="str">
        <f t="shared" ref="N354" si="368">(SUBSTITUTE(SUBSTITUTE(CONCATENATE("",E354),"."," ")," De "," de "))</f>
        <v>Aeródromos</v>
      </c>
      <c r="O354" s="28" t="str">
        <f t="shared" ref="O354" si="369">F354</f>
        <v>Pista.de.Pouso.e.Decolagem</v>
      </c>
      <c r="P354" s="40" t="s">
        <v>1970</v>
      </c>
      <c r="Q354" s="28" t="s">
        <v>2014</v>
      </c>
      <c r="R354" s="28" t="s">
        <v>1</v>
      </c>
      <c r="S354" s="28" t="str">
        <f t="shared" ref="S354" si="370">SUBSTITUTE(C354, ".", " ")</f>
        <v>Infraestruturas</v>
      </c>
      <c r="T354" s="28" t="str">
        <f t="shared" ref="T354" si="371">SUBSTITUTE(D354, ".", " ")</f>
        <v>Aeroportuárias</v>
      </c>
      <c r="U354" s="28" t="str">
        <f t="shared" ref="U354" si="372">SUBSTITUTE(E354, ".", " ")</f>
        <v>Aeródromos</v>
      </c>
      <c r="V354" s="28" t="s">
        <v>2222</v>
      </c>
      <c r="W354" s="69" t="str">
        <f t="shared" si="340"/>
        <v>Key-INFRA-354</v>
      </c>
      <c r="X354" s="28" t="s">
        <v>2088</v>
      </c>
      <c r="Y354" s="40" t="s">
        <v>2134</v>
      </c>
      <c r="Z354" s="40" t="s">
        <v>1</v>
      </c>
      <c r="AA354" s="28" t="str">
        <f t="shared" si="345"/>
        <v>The landing and takeoff runway comprises the rectangular area, defined on land, prepared for aircraft landings and takeoffs. Brazilian Civil Aviation Regulation (RBAC).</v>
      </c>
    </row>
    <row r="355" spans="1:27" ht="6.65" customHeight="1" x14ac:dyDescent="0.4">
      <c r="A355" s="77">
        <v>355</v>
      </c>
      <c r="B355" s="66" t="s">
        <v>2219</v>
      </c>
      <c r="C355" s="30" t="s">
        <v>1596</v>
      </c>
      <c r="D355" s="29" t="s">
        <v>1911</v>
      </c>
      <c r="E355" s="29" t="s">
        <v>1968</v>
      </c>
      <c r="F355" s="87" t="s">
        <v>1972</v>
      </c>
      <c r="G355" s="78" t="s">
        <v>1</v>
      </c>
      <c r="H355" s="78" t="s">
        <v>1</v>
      </c>
      <c r="I355" s="78" t="s">
        <v>1</v>
      </c>
      <c r="J355" s="78" t="s">
        <v>1</v>
      </c>
      <c r="K355" s="78" t="s">
        <v>1</v>
      </c>
      <c r="L355" s="84" t="str">
        <f t="shared" si="352"/>
        <v>Infraestruturas</v>
      </c>
      <c r="M355" s="27" t="str">
        <f t="shared" si="353"/>
        <v>Aeroportuárias</v>
      </c>
      <c r="N355" s="27" t="str">
        <f t="shared" si="354"/>
        <v>Aeródromos</v>
      </c>
      <c r="O355" s="28" t="str">
        <f t="shared" si="355"/>
        <v>Pista.Auxiliar</v>
      </c>
      <c r="P355" s="40" t="s">
        <v>1973</v>
      </c>
      <c r="Q355" s="28" t="s">
        <v>2015</v>
      </c>
      <c r="R355" s="28" t="s">
        <v>1</v>
      </c>
      <c r="S355" s="28" t="str">
        <f t="shared" si="356"/>
        <v>Infraestruturas</v>
      </c>
      <c r="T355" s="28" t="str">
        <f t="shared" si="357"/>
        <v>Aeroportuárias</v>
      </c>
      <c r="U355" s="28" t="str">
        <f t="shared" si="358"/>
        <v>Aeródromos</v>
      </c>
      <c r="V355" s="28" t="s">
        <v>2222</v>
      </c>
      <c r="W355" s="69" t="str">
        <f t="shared" si="340"/>
        <v>Key-INFRA-355</v>
      </c>
      <c r="X355" s="28" t="s">
        <v>2088</v>
      </c>
      <c r="Y355" s="40" t="s">
        <v>2134</v>
      </c>
      <c r="Z355" s="40" t="s">
        <v>1</v>
      </c>
      <c r="AA355" s="28" t="str">
        <f t="shared" si="345"/>
        <v>Auxiliary runways allow aircraft to move before taking off or after landing and speed up their traffic on the ground.</v>
      </c>
    </row>
    <row r="356" spans="1:27" ht="6.65" customHeight="1" x14ac:dyDescent="0.4">
      <c r="A356" s="77">
        <v>356</v>
      </c>
      <c r="B356" s="66" t="s">
        <v>2219</v>
      </c>
      <c r="C356" s="30" t="s">
        <v>1596</v>
      </c>
      <c r="D356" s="29" t="s">
        <v>1911</v>
      </c>
      <c r="E356" s="29" t="s">
        <v>1968</v>
      </c>
      <c r="F356" s="87" t="s">
        <v>1913</v>
      </c>
      <c r="G356" s="78" t="s">
        <v>1</v>
      </c>
      <c r="H356" s="78" t="s">
        <v>1</v>
      </c>
      <c r="I356" s="78" t="s">
        <v>1</v>
      </c>
      <c r="J356" s="78" t="s">
        <v>1</v>
      </c>
      <c r="K356" s="78" t="s">
        <v>1</v>
      </c>
      <c r="L356" s="84" t="str">
        <f t="shared" si="352"/>
        <v>Infraestruturas</v>
      </c>
      <c r="M356" s="27" t="str">
        <f t="shared" si="353"/>
        <v>Aeroportuárias</v>
      </c>
      <c r="N356" s="27" t="str">
        <f t="shared" si="354"/>
        <v>Aeródromos</v>
      </c>
      <c r="O356" s="28" t="str">
        <f t="shared" si="355"/>
        <v>Heliporto</v>
      </c>
      <c r="P356" s="28" t="s">
        <v>1965</v>
      </c>
      <c r="Q356" s="28" t="s">
        <v>2016</v>
      </c>
      <c r="R356" s="28" t="s">
        <v>1</v>
      </c>
      <c r="S356" s="28" t="str">
        <f t="shared" si="356"/>
        <v>Infraestruturas</v>
      </c>
      <c r="T356" s="28" t="str">
        <f t="shared" si="357"/>
        <v>Aeroportuárias</v>
      </c>
      <c r="U356" s="28" t="str">
        <f t="shared" si="358"/>
        <v>Aeródromos</v>
      </c>
      <c r="V356" s="28" t="s">
        <v>2222</v>
      </c>
      <c r="W356" s="69" t="str">
        <f t="shared" si="340"/>
        <v>Key-INFRA-356</v>
      </c>
      <c r="X356" s="28" t="s">
        <v>2088</v>
      </c>
      <c r="Y356" s="40" t="s">
        <v>2134</v>
      </c>
      <c r="Z356" s="40" t="s">
        <v>1</v>
      </c>
      <c r="AA356" s="28" t="str">
        <f t="shared" si="345"/>
        <v>A Heliport must be prepared to operate helicopters with airstrip infrastructure, hangars, fueling, departure lounge, air traffic control, maintenance, security and logistics.</v>
      </c>
    </row>
    <row r="357" spans="1:27" ht="6.65" customHeight="1" x14ac:dyDescent="0.4">
      <c r="A357" s="77">
        <v>357</v>
      </c>
      <c r="B357" s="66" t="s">
        <v>2219</v>
      </c>
      <c r="C357" s="30" t="s">
        <v>1596</v>
      </c>
      <c r="D357" s="29" t="s">
        <v>1911</v>
      </c>
      <c r="E357" s="29" t="s">
        <v>1968</v>
      </c>
      <c r="F357" s="87" t="s">
        <v>1914</v>
      </c>
      <c r="G357" s="78" t="s">
        <v>1</v>
      </c>
      <c r="H357" s="78" t="s">
        <v>1</v>
      </c>
      <c r="I357" s="78" t="s">
        <v>1</v>
      </c>
      <c r="J357" s="78" t="s">
        <v>1</v>
      </c>
      <c r="K357" s="78" t="s">
        <v>1</v>
      </c>
      <c r="L357" s="84" t="str">
        <f t="shared" si="352"/>
        <v>Infraestruturas</v>
      </c>
      <c r="M357" s="27" t="str">
        <f t="shared" si="353"/>
        <v>Aeroportuárias</v>
      </c>
      <c r="N357" s="27" t="str">
        <f t="shared" si="354"/>
        <v>Aeródromos</v>
      </c>
      <c r="O357" s="28" t="str">
        <f t="shared" si="355"/>
        <v>Heliponto</v>
      </c>
      <c r="P357" s="28" t="s">
        <v>1964</v>
      </c>
      <c r="Q357" s="28" t="s">
        <v>1966</v>
      </c>
      <c r="R357" s="28" t="s">
        <v>1</v>
      </c>
      <c r="S357" s="28" t="str">
        <f t="shared" si="356"/>
        <v>Infraestruturas</v>
      </c>
      <c r="T357" s="28" t="str">
        <f t="shared" si="357"/>
        <v>Aeroportuárias</v>
      </c>
      <c r="U357" s="28" t="str">
        <f t="shared" si="358"/>
        <v>Aeródromos</v>
      </c>
      <c r="V357" s="28" t="s">
        <v>2222</v>
      </c>
      <c r="W357" s="69" t="str">
        <f t="shared" si="340"/>
        <v>Key-INFRA-357</v>
      </c>
      <c r="X357" s="28" t="s">
        <v>2088</v>
      </c>
      <c r="Y357" s="40" t="s">
        <v>2160</v>
      </c>
      <c r="Z357" s="40" t="s">
        <v>1</v>
      </c>
      <c r="AA357" s="28" t="str">
        <f t="shared" si="345"/>
        <v>Area intended exclusively for helicopter landing and takeoff.</v>
      </c>
    </row>
    <row r="358" spans="1:27" ht="6.65" customHeight="1" x14ac:dyDescent="0.4">
      <c r="A358" s="77">
        <v>358</v>
      </c>
      <c r="B358" s="66" t="s">
        <v>2219</v>
      </c>
      <c r="C358" s="30" t="s">
        <v>1876</v>
      </c>
      <c r="D358" s="29" t="s">
        <v>1896</v>
      </c>
      <c r="E358" s="29" t="s">
        <v>1827</v>
      </c>
      <c r="F358" s="45" t="s">
        <v>1828</v>
      </c>
      <c r="G358" s="78" t="s">
        <v>1</v>
      </c>
      <c r="H358" s="78" t="s">
        <v>1</v>
      </c>
      <c r="I358" s="78" t="s">
        <v>1</v>
      </c>
      <c r="J358" s="78" t="s">
        <v>1</v>
      </c>
      <c r="K358" s="78" t="s">
        <v>1</v>
      </c>
      <c r="L358" s="27" t="str">
        <f t="shared" ref="L358:O384" si="373">SUBSTITUTE(CONCATENATE("", C358), ".", " ")</f>
        <v>Redes</v>
      </c>
      <c r="M358" s="27" t="str">
        <f t="shared" si="373"/>
        <v>Redes de Fluídos</v>
      </c>
      <c r="N358" s="27" t="str">
        <f t="shared" si="373"/>
        <v>Redes Fornecedoras</v>
      </c>
      <c r="O358" s="27" t="str">
        <f t="shared" si="373"/>
        <v>Rede de Agua</v>
      </c>
      <c r="P358" s="28" t="s">
        <v>2008</v>
      </c>
      <c r="Q358" s="28" t="s">
        <v>2009</v>
      </c>
      <c r="R358" s="28" t="s">
        <v>1</v>
      </c>
      <c r="S358" s="28" t="str">
        <f t="shared" ref="S358:S384" si="374">SUBSTITUTE(C358, ".", " ")</f>
        <v>Redes</v>
      </c>
      <c r="T358" s="28" t="str">
        <f t="shared" ref="T358:T384" si="375">SUBSTITUTE(D358, ".", " ")</f>
        <v>Redes de Fluídos</v>
      </c>
      <c r="U358" s="28" t="str">
        <f t="shared" ref="U358:U384" si="376">SUBSTITUTE(E358, ".", " ")</f>
        <v>Redes Fornecedoras</v>
      </c>
      <c r="V358" s="28" t="s">
        <v>2222</v>
      </c>
      <c r="W358" s="69" t="str">
        <f t="shared" si="340"/>
        <v>Key-INFRA-358</v>
      </c>
      <c r="X358" s="28" t="s">
        <v>2116</v>
      </c>
      <c r="Y358" s="40" t="s">
        <v>2161</v>
      </c>
      <c r="Z358" s="40" t="s">
        <v>1</v>
      </c>
      <c r="AA358" s="28" t="str">
        <f t="shared" si="345"/>
        <v>Drinking water supply network system.</v>
      </c>
    </row>
    <row r="359" spans="1:27" ht="6.65" customHeight="1" x14ac:dyDescent="0.4">
      <c r="A359" s="77">
        <v>359</v>
      </c>
      <c r="B359" s="66" t="s">
        <v>2219</v>
      </c>
      <c r="C359" s="30" t="s">
        <v>1876</v>
      </c>
      <c r="D359" s="29" t="s">
        <v>1896</v>
      </c>
      <c r="E359" s="29" t="s">
        <v>1827</v>
      </c>
      <c r="F359" s="45" t="s">
        <v>1829</v>
      </c>
      <c r="G359" s="78" t="s">
        <v>1</v>
      </c>
      <c r="H359" s="78" t="s">
        <v>1</v>
      </c>
      <c r="I359" s="78" t="s">
        <v>1</v>
      </c>
      <c r="J359" s="78" t="s">
        <v>1</v>
      </c>
      <c r="K359" s="78" t="s">
        <v>1</v>
      </c>
      <c r="L359" s="27" t="str">
        <f t="shared" si="373"/>
        <v>Redes</v>
      </c>
      <c r="M359" s="27" t="str">
        <f t="shared" si="373"/>
        <v>Redes de Fluídos</v>
      </c>
      <c r="N359" s="27" t="str">
        <f t="shared" si="373"/>
        <v>Redes Fornecedoras</v>
      </c>
      <c r="O359" s="27" t="str">
        <f t="shared" si="373"/>
        <v>Rede de Substâncias</v>
      </c>
      <c r="P359" s="28" t="s">
        <v>1830</v>
      </c>
      <c r="Q359" s="28" t="s">
        <v>1831</v>
      </c>
      <c r="R359" s="28" t="s">
        <v>1</v>
      </c>
      <c r="S359" s="28" t="str">
        <f t="shared" si="374"/>
        <v>Redes</v>
      </c>
      <c r="T359" s="28" t="str">
        <f t="shared" si="375"/>
        <v>Redes de Fluídos</v>
      </c>
      <c r="U359" s="28" t="str">
        <f t="shared" si="376"/>
        <v>Redes Fornecedoras</v>
      </c>
      <c r="V359" s="28" t="s">
        <v>2222</v>
      </c>
      <c r="W359" s="69" t="str">
        <f t="shared" si="340"/>
        <v>Key-INFRA-359</v>
      </c>
      <c r="X359" s="28" t="s">
        <v>2116</v>
      </c>
      <c r="Y359" s="40" t="s">
        <v>2162</v>
      </c>
      <c r="Z359" s="40" t="s">
        <v>1</v>
      </c>
      <c r="AA359" s="28" t="str">
        <f t="shared" si="345"/>
        <v>A network system for the supply of substances (e.g. fuels).</v>
      </c>
    </row>
    <row r="360" spans="1:27" ht="6.65" customHeight="1" x14ac:dyDescent="0.4">
      <c r="A360" s="77">
        <v>360</v>
      </c>
      <c r="B360" s="66" t="s">
        <v>2219</v>
      </c>
      <c r="C360" s="30" t="s">
        <v>1876</v>
      </c>
      <c r="D360" s="29" t="s">
        <v>1896</v>
      </c>
      <c r="E360" s="29" t="s">
        <v>1827</v>
      </c>
      <c r="F360" s="29" t="s">
        <v>1832</v>
      </c>
      <c r="G360" s="78" t="s">
        <v>1</v>
      </c>
      <c r="H360" s="78" t="s">
        <v>1</v>
      </c>
      <c r="I360" s="78" t="s">
        <v>1</v>
      </c>
      <c r="J360" s="78" t="s">
        <v>1</v>
      </c>
      <c r="K360" s="78" t="s">
        <v>1</v>
      </c>
      <c r="L360" s="27" t="str">
        <f t="shared" ref="L360" si="377">SUBSTITUTE(CONCATENATE("", C360), ".", " ")</f>
        <v>Redes</v>
      </c>
      <c r="M360" s="27" t="str">
        <f t="shared" ref="M360" si="378">SUBSTITUTE(CONCATENATE("", D360), ".", " ")</f>
        <v>Redes de Fluídos</v>
      </c>
      <c r="N360" s="27" t="str">
        <f t="shared" ref="N360" si="379">SUBSTITUTE(CONCATENATE("", E360), ".", " ")</f>
        <v>Redes Fornecedoras</v>
      </c>
      <c r="O360" s="27" t="str">
        <f t="shared" ref="O360" si="380">SUBSTITUTE(CONCATENATE("", F360), ".", " ")</f>
        <v>Rede de Combustíveis</v>
      </c>
      <c r="P360" s="28" t="s">
        <v>2007</v>
      </c>
      <c r="Q360" s="28" t="s">
        <v>1833</v>
      </c>
      <c r="R360" s="28" t="s">
        <v>1</v>
      </c>
      <c r="S360" s="28" t="str">
        <f t="shared" ref="S360" si="381">SUBSTITUTE(C360, ".", " ")</f>
        <v>Redes</v>
      </c>
      <c r="T360" s="28" t="str">
        <f t="shared" ref="T360" si="382">SUBSTITUTE(D360, ".", " ")</f>
        <v>Redes de Fluídos</v>
      </c>
      <c r="U360" s="28" t="str">
        <f t="shared" ref="U360" si="383">SUBSTITUTE(E360, ".", " ")</f>
        <v>Redes Fornecedoras</v>
      </c>
      <c r="V360" s="28" t="s">
        <v>2222</v>
      </c>
      <c r="W360" s="69" t="str">
        <f t="shared" si="340"/>
        <v>Key-INFRA-360</v>
      </c>
      <c r="X360" s="28" t="s">
        <v>2116</v>
      </c>
      <c r="Y360" s="40" t="s">
        <v>2163</v>
      </c>
      <c r="Z360" s="40" t="s">
        <v>1</v>
      </c>
      <c r="AA360" s="28" t="str">
        <f t="shared" si="345"/>
        <v>Fuel supply network system.</v>
      </c>
    </row>
    <row r="361" spans="1:27" ht="6.65" customHeight="1" x14ac:dyDescent="0.4">
      <c r="A361" s="77">
        <v>361</v>
      </c>
      <c r="B361" s="66" t="s">
        <v>2219</v>
      </c>
      <c r="C361" s="30" t="s">
        <v>1876</v>
      </c>
      <c r="D361" s="29" t="s">
        <v>1896</v>
      </c>
      <c r="E361" s="29" t="s">
        <v>1827</v>
      </c>
      <c r="F361" s="29" t="s">
        <v>2005</v>
      </c>
      <c r="G361" s="78" t="s">
        <v>1</v>
      </c>
      <c r="H361" s="78" t="s">
        <v>1</v>
      </c>
      <c r="I361" s="78" t="s">
        <v>1</v>
      </c>
      <c r="J361" s="78" t="s">
        <v>1</v>
      </c>
      <c r="K361" s="78" t="s">
        <v>1</v>
      </c>
      <c r="L361" s="27" t="str">
        <f t="shared" si="373"/>
        <v>Redes</v>
      </c>
      <c r="M361" s="27" t="str">
        <f t="shared" si="373"/>
        <v>Redes de Fluídos</v>
      </c>
      <c r="N361" s="27" t="str">
        <f t="shared" si="373"/>
        <v>Redes Fornecedoras</v>
      </c>
      <c r="O361" s="27" t="str">
        <f t="shared" si="373"/>
        <v>Rede de Gás</v>
      </c>
      <c r="P361" s="28" t="s">
        <v>2006</v>
      </c>
      <c r="Q361" s="28" t="s">
        <v>2010</v>
      </c>
      <c r="R361" s="28" t="s">
        <v>1</v>
      </c>
      <c r="S361" s="28" t="str">
        <f t="shared" si="374"/>
        <v>Redes</v>
      </c>
      <c r="T361" s="28" t="str">
        <f t="shared" si="375"/>
        <v>Redes de Fluídos</v>
      </c>
      <c r="U361" s="28" t="str">
        <f t="shared" si="376"/>
        <v>Redes Fornecedoras</v>
      </c>
      <c r="V361" s="28" t="s">
        <v>2222</v>
      </c>
      <c r="W361" s="69" t="str">
        <f t="shared" si="340"/>
        <v>Key-INFRA-361</v>
      </c>
      <c r="X361" s="28" t="s">
        <v>2116</v>
      </c>
      <c r="Y361" s="40" t="s">
        <v>2164</v>
      </c>
      <c r="Z361" s="40" t="s">
        <v>1</v>
      </c>
      <c r="AA361" s="28" t="str">
        <f t="shared" si="345"/>
        <v>Gas supply network system.</v>
      </c>
    </row>
    <row r="362" spans="1:27" ht="6.65" customHeight="1" x14ac:dyDescent="0.4">
      <c r="A362" s="77">
        <v>362</v>
      </c>
      <c r="B362" s="66" t="s">
        <v>2219</v>
      </c>
      <c r="C362" s="30" t="s">
        <v>1876</v>
      </c>
      <c r="D362" s="29" t="s">
        <v>1896</v>
      </c>
      <c r="E362" s="29" t="s">
        <v>1827</v>
      </c>
      <c r="F362" s="45" t="s">
        <v>1834</v>
      </c>
      <c r="G362" s="78" t="s">
        <v>1</v>
      </c>
      <c r="H362" s="78" t="s">
        <v>1</v>
      </c>
      <c r="I362" s="78" t="s">
        <v>1</v>
      </c>
      <c r="J362" s="78" t="s">
        <v>1</v>
      </c>
      <c r="K362" s="78" t="s">
        <v>1</v>
      </c>
      <c r="L362" s="27" t="str">
        <f t="shared" si="373"/>
        <v>Redes</v>
      </c>
      <c r="M362" s="27" t="str">
        <f t="shared" si="373"/>
        <v>Redes de Fluídos</v>
      </c>
      <c r="N362" s="27" t="str">
        <f t="shared" si="373"/>
        <v>Redes Fornecedoras</v>
      </c>
      <c r="O362" s="27" t="str">
        <f t="shared" si="373"/>
        <v>Rede de Operacionalização</v>
      </c>
      <c r="P362" s="28" t="s">
        <v>1835</v>
      </c>
      <c r="Q362" s="28" t="s">
        <v>1836</v>
      </c>
      <c r="R362" s="28" t="s">
        <v>1</v>
      </c>
      <c r="S362" s="28" t="str">
        <f t="shared" si="374"/>
        <v>Redes</v>
      </c>
      <c r="T362" s="28" t="str">
        <f t="shared" si="375"/>
        <v>Redes de Fluídos</v>
      </c>
      <c r="U362" s="28" t="str">
        <f t="shared" si="376"/>
        <v>Redes Fornecedoras</v>
      </c>
      <c r="V362" s="28" t="s">
        <v>2222</v>
      </c>
      <c r="W362" s="69" t="str">
        <f t="shared" si="340"/>
        <v>Key-INFRA-362</v>
      </c>
      <c r="X362" s="28" t="s">
        <v>2116</v>
      </c>
      <c r="Y362" s="40" t="s">
        <v>2165</v>
      </c>
      <c r="Z362" s="40" t="s">
        <v>1</v>
      </c>
      <c r="AA362" s="28" t="str">
        <f t="shared" si="345"/>
        <v>System of operational substances (fuels, hospital fluids, etc.).</v>
      </c>
    </row>
    <row r="363" spans="1:27" ht="6.65" customHeight="1" x14ac:dyDescent="0.4">
      <c r="A363" s="77">
        <v>363</v>
      </c>
      <c r="B363" s="66" t="s">
        <v>2219</v>
      </c>
      <c r="C363" s="30" t="s">
        <v>1876</v>
      </c>
      <c r="D363" s="29" t="s">
        <v>1896</v>
      </c>
      <c r="E363" s="29" t="s">
        <v>1837</v>
      </c>
      <c r="F363" s="45" t="s">
        <v>1838</v>
      </c>
      <c r="G363" s="78" t="s">
        <v>1</v>
      </c>
      <c r="H363" s="78" t="s">
        <v>1</v>
      </c>
      <c r="I363" s="78" t="s">
        <v>1</v>
      </c>
      <c r="J363" s="78" t="s">
        <v>1</v>
      </c>
      <c r="K363" s="78" t="s">
        <v>1</v>
      </c>
      <c r="L363" s="27" t="str">
        <f t="shared" si="373"/>
        <v>Redes</v>
      </c>
      <c r="M363" s="27" t="str">
        <f t="shared" si="373"/>
        <v>Redes de Fluídos</v>
      </c>
      <c r="N363" s="27" t="str">
        <f t="shared" si="373"/>
        <v>Redes Coletoras</v>
      </c>
      <c r="O363" s="27" t="str">
        <f t="shared" si="373"/>
        <v>Rede de Tormenta</v>
      </c>
      <c r="P363" s="28" t="s">
        <v>1839</v>
      </c>
      <c r="Q363" s="28" t="s">
        <v>1840</v>
      </c>
      <c r="R363" s="28" t="s">
        <v>1</v>
      </c>
      <c r="S363" s="28" t="str">
        <f t="shared" si="374"/>
        <v>Redes</v>
      </c>
      <c r="T363" s="28" t="str">
        <f t="shared" si="375"/>
        <v>Redes de Fluídos</v>
      </c>
      <c r="U363" s="28" t="str">
        <f t="shared" si="376"/>
        <v>Redes Coletoras</v>
      </c>
      <c r="V363" s="28" t="s">
        <v>2222</v>
      </c>
      <c r="W363" s="69" t="str">
        <f t="shared" si="340"/>
        <v>Key-INFRA-363</v>
      </c>
      <c r="X363" s="28" t="s">
        <v>2116</v>
      </c>
      <c r="Y363" s="40" t="s">
        <v>2166</v>
      </c>
      <c r="Z363" s="40" t="s">
        <v>1</v>
      </c>
      <c r="AA363" s="28" t="str">
        <f t="shared" si="345"/>
        <v>Urban rainwater system (storm water that runs across the urban surface).</v>
      </c>
    </row>
    <row r="364" spans="1:27" ht="6.65" customHeight="1" x14ac:dyDescent="0.4">
      <c r="A364" s="77">
        <v>364</v>
      </c>
      <c r="B364" s="66" t="s">
        <v>2219</v>
      </c>
      <c r="C364" s="30" t="s">
        <v>1876</v>
      </c>
      <c r="D364" s="29" t="s">
        <v>1896</v>
      </c>
      <c r="E364" s="29" t="s">
        <v>1837</v>
      </c>
      <c r="F364" s="45" t="s">
        <v>1841</v>
      </c>
      <c r="G364" s="78" t="s">
        <v>1</v>
      </c>
      <c r="H364" s="78" t="s">
        <v>1</v>
      </c>
      <c r="I364" s="78" t="s">
        <v>1</v>
      </c>
      <c r="J364" s="78" t="s">
        <v>1</v>
      </c>
      <c r="K364" s="78" t="s">
        <v>1</v>
      </c>
      <c r="L364" s="27" t="str">
        <f t="shared" si="373"/>
        <v>Redes</v>
      </c>
      <c r="M364" s="27" t="str">
        <f t="shared" si="373"/>
        <v>Redes de Fluídos</v>
      </c>
      <c r="N364" s="27" t="str">
        <f t="shared" si="373"/>
        <v>Redes Coletoras</v>
      </c>
      <c r="O364" s="27" t="str">
        <f t="shared" si="373"/>
        <v>Rede de Agua Residual</v>
      </c>
      <c r="P364" s="28" t="s">
        <v>1842</v>
      </c>
      <c r="Q364" s="28" t="s">
        <v>1843</v>
      </c>
      <c r="R364" s="28" t="s">
        <v>1</v>
      </c>
      <c r="S364" s="28" t="str">
        <f t="shared" si="374"/>
        <v>Redes</v>
      </c>
      <c r="T364" s="28" t="str">
        <f t="shared" si="375"/>
        <v>Redes de Fluídos</v>
      </c>
      <c r="U364" s="28" t="str">
        <f t="shared" si="376"/>
        <v>Redes Coletoras</v>
      </c>
      <c r="V364" s="28" t="s">
        <v>2222</v>
      </c>
      <c r="W364" s="69" t="str">
        <f t="shared" si="340"/>
        <v>Key-INFRA-364</v>
      </c>
      <c r="X364" s="28" t="s">
        <v>2116</v>
      </c>
      <c r="Y364" s="40" t="s">
        <v>2167</v>
      </c>
      <c r="Z364" s="40" t="s">
        <v>1</v>
      </c>
      <c r="AA364" s="28" t="str">
        <f t="shared" si="345"/>
        <v>Recycling water system (water that has been negatively affected by anthropogenic influence).</v>
      </c>
    </row>
    <row r="365" spans="1:27" ht="6.65" customHeight="1" x14ac:dyDescent="0.4">
      <c r="A365" s="77">
        <v>365</v>
      </c>
      <c r="B365" s="66" t="s">
        <v>2219</v>
      </c>
      <c r="C365" s="30" t="s">
        <v>1876</v>
      </c>
      <c r="D365" s="29" t="s">
        <v>1896</v>
      </c>
      <c r="E365" s="29" t="s">
        <v>1837</v>
      </c>
      <c r="F365" s="45" t="s">
        <v>1844</v>
      </c>
      <c r="G365" s="78" t="s">
        <v>1</v>
      </c>
      <c r="H365" s="78" t="s">
        <v>1</v>
      </c>
      <c r="I365" s="78" t="s">
        <v>1</v>
      </c>
      <c r="J365" s="78" t="s">
        <v>1</v>
      </c>
      <c r="K365" s="78" t="s">
        <v>1</v>
      </c>
      <c r="L365" s="27" t="str">
        <f t="shared" si="373"/>
        <v>Redes</v>
      </c>
      <c r="M365" s="27" t="str">
        <f t="shared" si="373"/>
        <v>Redes de Fluídos</v>
      </c>
      <c r="N365" s="27" t="str">
        <f t="shared" si="373"/>
        <v>Redes Coletoras</v>
      </c>
      <c r="O365" s="27" t="str">
        <f t="shared" si="373"/>
        <v>Rede de Esgoto</v>
      </c>
      <c r="P365" s="28" t="s">
        <v>1845</v>
      </c>
      <c r="Q365" s="28" t="s">
        <v>1846</v>
      </c>
      <c r="R365" s="28" t="s">
        <v>1</v>
      </c>
      <c r="S365" s="28" t="str">
        <f t="shared" si="374"/>
        <v>Redes</v>
      </c>
      <c r="T365" s="28" t="str">
        <f t="shared" si="375"/>
        <v>Redes de Fluídos</v>
      </c>
      <c r="U365" s="28" t="str">
        <f t="shared" si="376"/>
        <v>Redes Coletoras</v>
      </c>
      <c r="V365" s="28" t="s">
        <v>2222</v>
      </c>
      <c r="W365" s="69" t="str">
        <f t="shared" si="340"/>
        <v>Key-INFRA-365</v>
      </c>
      <c r="X365" s="28" t="s">
        <v>2116</v>
      </c>
      <c r="Y365" s="40" t="s">
        <v>2168</v>
      </c>
      <c r="Z365" s="40" t="s">
        <v>1</v>
      </c>
      <c r="AA365" s="28" t="str">
        <f t="shared" si="345"/>
        <v>Urban sewage collection system.</v>
      </c>
    </row>
    <row r="366" spans="1:27" ht="6.65" customHeight="1" x14ac:dyDescent="0.4">
      <c r="A366" s="77">
        <v>366</v>
      </c>
      <c r="B366" s="66" t="s">
        <v>2219</v>
      </c>
      <c r="C366" s="30" t="s">
        <v>1876</v>
      </c>
      <c r="D366" s="29" t="s">
        <v>1896</v>
      </c>
      <c r="E366" s="29" t="s">
        <v>1837</v>
      </c>
      <c r="F366" s="29" t="s">
        <v>1847</v>
      </c>
      <c r="G366" s="78" t="s">
        <v>1</v>
      </c>
      <c r="H366" s="78" t="s">
        <v>1</v>
      </c>
      <c r="I366" s="78" t="s">
        <v>1</v>
      </c>
      <c r="J366" s="78" t="s">
        <v>1</v>
      </c>
      <c r="K366" s="78" t="s">
        <v>1</v>
      </c>
      <c r="L366" s="27" t="str">
        <f t="shared" si="373"/>
        <v>Redes</v>
      </c>
      <c r="M366" s="27" t="str">
        <f t="shared" si="373"/>
        <v>Redes de Fluídos</v>
      </c>
      <c r="N366" s="27" t="str">
        <f t="shared" si="373"/>
        <v>Redes Coletoras</v>
      </c>
      <c r="O366" s="27" t="str">
        <f t="shared" si="373"/>
        <v>Rede de Descartes</v>
      </c>
      <c r="P366" s="28" t="s">
        <v>1848</v>
      </c>
      <c r="Q366" s="28" t="s">
        <v>1849</v>
      </c>
      <c r="R366" s="28" t="s">
        <v>1</v>
      </c>
      <c r="S366" s="28" t="str">
        <f t="shared" si="374"/>
        <v>Redes</v>
      </c>
      <c r="T366" s="28" t="str">
        <f t="shared" si="375"/>
        <v>Redes de Fluídos</v>
      </c>
      <c r="U366" s="28" t="str">
        <f t="shared" si="376"/>
        <v>Redes Coletoras</v>
      </c>
      <c r="V366" s="28" t="s">
        <v>2222</v>
      </c>
      <c r="W366" s="69" t="str">
        <f t="shared" si="340"/>
        <v>Key-INFRA-366</v>
      </c>
      <c r="X366" s="28" t="s">
        <v>2116</v>
      </c>
      <c r="Y366" s="40" t="s">
        <v>2169</v>
      </c>
      <c r="Z366" s="40" t="s">
        <v>1</v>
      </c>
      <c r="AA366" s="28" t="str">
        <f t="shared" si="345"/>
        <v>Sewage system for substances (special substances, for example).</v>
      </c>
    </row>
    <row r="367" spans="1:27" ht="6.65" customHeight="1" x14ac:dyDescent="0.4">
      <c r="A367" s="77">
        <v>367</v>
      </c>
      <c r="B367" s="66" t="s">
        <v>2219</v>
      </c>
      <c r="C367" s="30" t="s">
        <v>1876</v>
      </c>
      <c r="D367" s="29" t="s">
        <v>1896</v>
      </c>
      <c r="E367" s="29" t="s">
        <v>1837</v>
      </c>
      <c r="F367" s="29" t="s">
        <v>1850</v>
      </c>
      <c r="G367" s="78" t="s">
        <v>1</v>
      </c>
      <c r="H367" s="78" t="s">
        <v>1</v>
      </c>
      <c r="I367" s="78" t="s">
        <v>1</v>
      </c>
      <c r="J367" s="78" t="s">
        <v>1</v>
      </c>
      <c r="K367" s="78" t="s">
        <v>1</v>
      </c>
      <c r="L367" s="27" t="str">
        <f t="shared" si="373"/>
        <v>Redes</v>
      </c>
      <c r="M367" s="27" t="str">
        <f t="shared" si="373"/>
        <v>Redes de Fluídos</v>
      </c>
      <c r="N367" s="27" t="str">
        <f t="shared" si="373"/>
        <v>Redes Coletoras</v>
      </c>
      <c r="O367" s="27" t="str">
        <f t="shared" si="373"/>
        <v>Rede de Hospitalares</v>
      </c>
      <c r="P367" s="28" t="s">
        <v>1851</v>
      </c>
      <c r="Q367" s="28" t="s">
        <v>1852</v>
      </c>
      <c r="R367" s="28" t="s">
        <v>1</v>
      </c>
      <c r="S367" s="28" t="str">
        <f t="shared" si="374"/>
        <v>Redes</v>
      </c>
      <c r="T367" s="28" t="str">
        <f t="shared" si="375"/>
        <v>Redes de Fluídos</v>
      </c>
      <c r="U367" s="28" t="str">
        <f t="shared" si="376"/>
        <v>Redes Coletoras</v>
      </c>
      <c r="V367" s="28" t="s">
        <v>2222</v>
      </c>
      <c r="W367" s="69" t="str">
        <f t="shared" si="340"/>
        <v>Key-INFRA-367</v>
      </c>
      <c r="X367" s="28" t="s">
        <v>2116</v>
      </c>
      <c r="Y367" s="40" t="s">
        <v>2170</v>
      </c>
      <c r="Z367" s="40" t="s">
        <v>1</v>
      </c>
      <c r="AA367" s="28" t="str">
        <f t="shared" si="345"/>
        <v>Hospital gas or liquid network system.</v>
      </c>
    </row>
    <row r="368" spans="1:27" ht="6.65" customHeight="1" x14ac:dyDescent="0.4">
      <c r="A368" s="77">
        <v>368</v>
      </c>
      <c r="B368" s="66" t="s">
        <v>2219</v>
      </c>
      <c r="C368" s="30" t="s">
        <v>1876</v>
      </c>
      <c r="D368" s="29" t="s">
        <v>1853</v>
      </c>
      <c r="E368" s="29" t="s">
        <v>1854</v>
      </c>
      <c r="F368" s="29" t="s">
        <v>1855</v>
      </c>
      <c r="G368" s="78" t="s">
        <v>1</v>
      </c>
      <c r="H368" s="78" t="s">
        <v>1</v>
      </c>
      <c r="I368" s="78" t="s">
        <v>1</v>
      </c>
      <c r="J368" s="78" t="s">
        <v>1</v>
      </c>
      <c r="K368" s="78" t="s">
        <v>1</v>
      </c>
      <c r="L368" s="27" t="str">
        <f t="shared" ref="L368" si="384">SUBSTITUTE(CONCATENATE("", C368), ".", " ")</f>
        <v>Redes</v>
      </c>
      <c r="M368" s="27" t="str">
        <f t="shared" ref="M368" si="385">SUBSTITUTE(CONCATENATE("", D368), ".", " ")</f>
        <v>Redes Elétricas</v>
      </c>
      <c r="N368" s="27" t="str">
        <f t="shared" ref="N368" si="386">SUBSTITUTE(CONCATENATE("", E368), ".", " ")</f>
        <v>Redes de Transmissão</v>
      </c>
      <c r="O368" s="27" t="str">
        <f t="shared" ref="O368" si="387">SUBSTITUTE(CONCATENATE("", F368), ".", " ")</f>
        <v>Rede de Alta Tensão</v>
      </c>
      <c r="P368" s="28" t="s">
        <v>1856</v>
      </c>
      <c r="Q368" s="28" t="s">
        <v>2017</v>
      </c>
      <c r="R368" s="28" t="s">
        <v>1</v>
      </c>
      <c r="S368" s="28" t="str">
        <f t="shared" ref="S368" si="388">SUBSTITUTE(C368, ".", " ")</f>
        <v>Redes</v>
      </c>
      <c r="T368" s="28" t="str">
        <f t="shared" ref="T368" si="389">SUBSTITUTE(D368, ".", " ")</f>
        <v>Redes Elétricas</v>
      </c>
      <c r="U368" s="28" t="str">
        <f t="shared" ref="U368" si="390">SUBSTITUTE(E368, ".", " ")</f>
        <v>Redes de Transmissão</v>
      </c>
      <c r="V368" s="28" t="s">
        <v>2222</v>
      </c>
      <c r="W368" s="69" t="str">
        <f t="shared" si="340"/>
        <v>Key-INFRA-368</v>
      </c>
      <c r="X368" s="28" t="s">
        <v>2117</v>
      </c>
      <c r="Y368" s="40" t="s">
        <v>2170</v>
      </c>
      <c r="Z368" s="40" t="s">
        <v>1</v>
      </c>
      <c r="AA368" s="28" t="str">
        <f t="shared" si="345"/>
        <v>High Voltage transmission power line with more than 69 kV.</v>
      </c>
    </row>
    <row r="369" spans="1:27" ht="6.65" customHeight="1" x14ac:dyDescent="0.4">
      <c r="A369" s="77">
        <v>369</v>
      </c>
      <c r="B369" s="66" t="s">
        <v>2219</v>
      </c>
      <c r="C369" s="30" t="s">
        <v>1876</v>
      </c>
      <c r="D369" s="29" t="s">
        <v>1853</v>
      </c>
      <c r="E369" s="29" t="s">
        <v>1854</v>
      </c>
      <c r="F369" s="29" t="s">
        <v>1982</v>
      </c>
      <c r="G369" s="78" t="s">
        <v>1</v>
      </c>
      <c r="H369" s="78" t="s">
        <v>1</v>
      </c>
      <c r="I369" s="78" t="s">
        <v>1</v>
      </c>
      <c r="J369" s="78" t="s">
        <v>1</v>
      </c>
      <c r="K369" s="78" t="s">
        <v>1</v>
      </c>
      <c r="L369" s="27" t="str">
        <f t="shared" si="373"/>
        <v>Redes</v>
      </c>
      <c r="M369" s="27" t="str">
        <f t="shared" si="373"/>
        <v>Redes Elétricas</v>
      </c>
      <c r="N369" s="27" t="str">
        <f t="shared" si="373"/>
        <v>Redes de Transmissão</v>
      </c>
      <c r="O369" s="27" t="str">
        <f t="shared" si="373"/>
        <v>Torre de Transmissão</v>
      </c>
      <c r="P369" s="28" t="s">
        <v>1983</v>
      </c>
      <c r="Q369" s="28" t="s">
        <v>2018</v>
      </c>
      <c r="R369" s="28" t="s">
        <v>1</v>
      </c>
      <c r="S369" s="28" t="str">
        <f t="shared" si="374"/>
        <v>Redes</v>
      </c>
      <c r="T369" s="28" t="str">
        <f t="shared" si="375"/>
        <v>Redes Elétricas</v>
      </c>
      <c r="U369" s="28" t="str">
        <f t="shared" si="376"/>
        <v>Redes de Transmissão</v>
      </c>
      <c r="V369" s="28" t="s">
        <v>2222</v>
      </c>
      <c r="W369" s="69" t="str">
        <f t="shared" si="340"/>
        <v>Key-INFRA-369</v>
      </c>
      <c r="X369" s="28" t="s">
        <v>2117</v>
      </c>
      <c r="Y369" s="40" t="s">
        <v>2170</v>
      </c>
      <c r="Z369" s="40" t="s">
        <v>1</v>
      </c>
      <c r="AA369" s="28" t="str">
        <f t="shared" si="345"/>
        <v>Metal support structure of the High Voltage transmission power line with more than 69 kV.</v>
      </c>
    </row>
    <row r="370" spans="1:27" ht="6.65" customHeight="1" x14ac:dyDescent="0.4">
      <c r="A370" s="77">
        <v>370</v>
      </c>
      <c r="B370" s="66" t="s">
        <v>2219</v>
      </c>
      <c r="C370" s="30" t="s">
        <v>1876</v>
      </c>
      <c r="D370" s="29" t="s">
        <v>1853</v>
      </c>
      <c r="E370" s="29" t="s">
        <v>1857</v>
      </c>
      <c r="F370" s="29" t="s">
        <v>1984</v>
      </c>
      <c r="G370" s="78" t="s">
        <v>1</v>
      </c>
      <c r="H370" s="78" t="s">
        <v>1</v>
      </c>
      <c r="I370" s="78" t="s">
        <v>1</v>
      </c>
      <c r="J370" s="78" t="s">
        <v>1</v>
      </c>
      <c r="K370" s="78" t="s">
        <v>1</v>
      </c>
      <c r="L370" s="27" t="str">
        <f t="shared" si="373"/>
        <v>Redes</v>
      </c>
      <c r="M370" s="27" t="str">
        <f t="shared" si="373"/>
        <v>Redes Elétricas</v>
      </c>
      <c r="N370" s="27" t="str">
        <f t="shared" si="373"/>
        <v>Redes de Distribuição</v>
      </c>
      <c r="O370" s="27" t="str">
        <f t="shared" si="373"/>
        <v>Rede de MT Nua</v>
      </c>
      <c r="P370" s="28" t="s">
        <v>1989</v>
      </c>
      <c r="Q370" s="28" t="s">
        <v>2019</v>
      </c>
      <c r="R370" s="28" t="s">
        <v>1</v>
      </c>
      <c r="S370" s="28" t="str">
        <f t="shared" si="374"/>
        <v>Redes</v>
      </c>
      <c r="T370" s="28" t="str">
        <f t="shared" si="375"/>
        <v>Redes Elétricas</v>
      </c>
      <c r="U370" s="28" t="str">
        <f t="shared" si="376"/>
        <v>Redes de Distribuição</v>
      </c>
      <c r="V370" s="28" t="s">
        <v>2222</v>
      </c>
      <c r="W370" s="69" t="str">
        <f t="shared" si="340"/>
        <v>Key-INFRA-370</v>
      </c>
      <c r="X370" s="28" t="s">
        <v>2117</v>
      </c>
      <c r="Y370" s="40" t="s">
        <v>2170</v>
      </c>
      <c r="Z370" s="40" t="s">
        <v>1</v>
      </c>
      <c r="AA370" s="28" t="str">
        <f t="shared" si="345"/>
        <v>Physical structure of EE distribution circuits. Posts, supports with insulators and bare conductors of aluminum or copper on pin or rod insulators on concrete crossarms.</v>
      </c>
    </row>
    <row r="371" spans="1:27" ht="6.65" customHeight="1" x14ac:dyDescent="0.4">
      <c r="A371" s="77">
        <v>371</v>
      </c>
      <c r="B371" s="66" t="s">
        <v>2219</v>
      </c>
      <c r="C371" s="30" t="s">
        <v>1876</v>
      </c>
      <c r="D371" s="29" t="s">
        <v>1853</v>
      </c>
      <c r="E371" s="29" t="s">
        <v>1857</v>
      </c>
      <c r="F371" s="29" t="s">
        <v>1985</v>
      </c>
      <c r="G371" s="78" t="s">
        <v>1</v>
      </c>
      <c r="H371" s="78" t="s">
        <v>1</v>
      </c>
      <c r="I371" s="78" t="s">
        <v>1</v>
      </c>
      <c r="J371" s="78" t="s">
        <v>1</v>
      </c>
      <c r="K371" s="78" t="s">
        <v>1</v>
      </c>
      <c r="L371" s="27" t="str">
        <f t="shared" si="373"/>
        <v>Redes</v>
      </c>
      <c r="M371" s="27" t="str">
        <f t="shared" si="373"/>
        <v>Redes Elétricas</v>
      </c>
      <c r="N371" s="27" t="str">
        <f t="shared" si="373"/>
        <v>Redes de Distribuição</v>
      </c>
      <c r="O371" s="27" t="str">
        <f t="shared" si="373"/>
        <v>Rede de MT Multiplex</v>
      </c>
      <c r="P371" s="28" t="s">
        <v>1990</v>
      </c>
      <c r="Q371" s="28" t="s">
        <v>2020</v>
      </c>
      <c r="R371" s="28" t="s">
        <v>1</v>
      </c>
      <c r="S371" s="28" t="str">
        <f t="shared" si="374"/>
        <v>Redes</v>
      </c>
      <c r="T371" s="28" t="str">
        <f t="shared" si="375"/>
        <v>Redes Elétricas</v>
      </c>
      <c r="U371" s="28" t="str">
        <f t="shared" si="376"/>
        <v>Redes de Distribuição</v>
      </c>
      <c r="V371" s="28" t="s">
        <v>2222</v>
      </c>
      <c r="W371" s="69" t="str">
        <f t="shared" si="340"/>
        <v>Key-INFRA-371</v>
      </c>
      <c r="X371" s="28" t="s">
        <v>2117</v>
      </c>
      <c r="Y371" s="40" t="s">
        <v>2170</v>
      </c>
      <c r="Z371" s="40" t="s">
        <v>1</v>
      </c>
      <c r="AA371" s="28" t="str">
        <f t="shared" si="345"/>
        <v>Physical structure of EE distribution circuits. Poles, supports with insulators and aluminium conductors covered by a layer of insulation, grouped in bundles.</v>
      </c>
    </row>
    <row r="372" spans="1:27" ht="6.65" customHeight="1" x14ac:dyDescent="0.4">
      <c r="A372" s="77">
        <v>372</v>
      </c>
      <c r="B372" s="66" t="s">
        <v>2219</v>
      </c>
      <c r="C372" s="30" t="s">
        <v>1876</v>
      </c>
      <c r="D372" s="29" t="s">
        <v>1853</v>
      </c>
      <c r="E372" s="29" t="s">
        <v>1857</v>
      </c>
      <c r="F372" s="29" t="s">
        <v>1986</v>
      </c>
      <c r="G372" s="78" t="s">
        <v>1</v>
      </c>
      <c r="H372" s="78" t="s">
        <v>1</v>
      </c>
      <c r="I372" s="78" t="s">
        <v>1</v>
      </c>
      <c r="J372" s="78" t="s">
        <v>1</v>
      </c>
      <c r="K372" s="78" t="s">
        <v>1</v>
      </c>
      <c r="L372" s="27" t="str">
        <f t="shared" ref="L372:L373" si="391">SUBSTITUTE(CONCATENATE("", C372), ".", " ")</f>
        <v>Redes</v>
      </c>
      <c r="M372" s="27" t="str">
        <f t="shared" ref="M372:M373" si="392">SUBSTITUTE(CONCATENATE("", D372), ".", " ")</f>
        <v>Redes Elétricas</v>
      </c>
      <c r="N372" s="27" t="str">
        <f t="shared" ref="N372:N373" si="393">SUBSTITUTE(CONCATENATE("", E372), ".", " ")</f>
        <v>Redes de Distribuição</v>
      </c>
      <c r="O372" s="27" t="str">
        <f t="shared" ref="O372:O373" si="394">SUBSTITUTE(CONCATENATE("", F372), ".", " ")</f>
        <v>Rede de MT Compacta</v>
      </c>
      <c r="P372" s="28" t="s">
        <v>2002</v>
      </c>
      <c r="Q372" s="28" t="s">
        <v>2021</v>
      </c>
      <c r="R372" s="28" t="s">
        <v>1</v>
      </c>
      <c r="S372" s="28" t="str">
        <f t="shared" ref="S372:S373" si="395">SUBSTITUTE(C372, ".", " ")</f>
        <v>Redes</v>
      </c>
      <c r="T372" s="28" t="str">
        <f t="shared" ref="T372:T373" si="396">SUBSTITUTE(D372, ".", " ")</f>
        <v>Redes Elétricas</v>
      </c>
      <c r="U372" s="28" t="str">
        <f t="shared" ref="U372:U373" si="397">SUBSTITUTE(E372, ".", " ")</f>
        <v>Redes de Distribuição</v>
      </c>
      <c r="V372" s="28" t="s">
        <v>2222</v>
      </c>
      <c r="W372" s="69" t="str">
        <f t="shared" si="340"/>
        <v>Key-INFRA-372</v>
      </c>
      <c r="X372" s="28" t="s">
        <v>2117</v>
      </c>
      <c r="Y372" s="40" t="s">
        <v>2170</v>
      </c>
      <c r="Z372" s="40" t="s">
        <v>1</v>
      </c>
      <c r="AA372" s="28" t="str">
        <f t="shared" si="345"/>
        <v>Physical structure of compact EE distribution circuits. Poles, supports with insulators and aluminium conductors covered by a layer of insulation, grouped in bundles.</v>
      </c>
    </row>
    <row r="373" spans="1:27" ht="6.65" customHeight="1" x14ac:dyDescent="0.4">
      <c r="A373" s="77">
        <v>373</v>
      </c>
      <c r="B373" s="66" t="s">
        <v>2219</v>
      </c>
      <c r="C373" s="30" t="s">
        <v>1876</v>
      </c>
      <c r="D373" s="29" t="s">
        <v>1853</v>
      </c>
      <c r="E373" s="29" t="s">
        <v>1857</v>
      </c>
      <c r="F373" s="29" t="s">
        <v>1988</v>
      </c>
      <c r="G373" s="78" t="s">
        <v>1</v>
      </c>
      <c r="H373" s="78" t="s">
        <v>1</v>
      </c>
      <c r="I373" s="78" t="s">
        <v>1</v>
      </c>
      <c r="J373" s="78" t="s">
        <v>1</v>
      </c>
      <c r="K373" s="78" t="s">
        <v>1</v>
      </c>
      <c r="L373" s="27" t="str">
        <f t="shared" si="391"/>
        <v>Redes</v>
      </c>
      <c r="M373" s="27" t="str">
        <f t="shared" si="392"/>
        <v>Redes Elétricas</v>
      </c>
      <c r="N373" s="27" t="str">
        <f t="shared" si="393"/>
        <v>Redes de Distribuição</v>
      </c>
      <c r="O373" s="27" t="str">
        <f t="shared" si="394"/>
        <v>Poste de Concreto Circular</v>
      </c>
      <c r="P373" s="28" t="s">
        <v>2003</v>
      </c>
      <c r="Q373" s="28" t="s">
        <v>2022</v>
      </c>
      <c r="R373" s="28" t="s">
        <v>1</v>
      </c>
      <c r="S373" s="28" t="str">
        <f t="shared" si="395"/>
        <v>Redes</v>
      </c>
      <c r="T373" s="28" t="str">
        <f t="shared" si="396"/>
        <v>Redes Elétricas</v>
      </c>
      <c r="U373" s="28" t="str">
        <f t="shared" si="397"/>
        <v>Redes de Distribuição</v>
      </c>
      <c r="V373" s="28" t="s">
        <v>2222</v>
      </c>
      <c r="W373" s="69" t="str">
        <f t="shared" si="340"/>
        <v>Key-INFRA-373</v>
      </c>
      <c r="X373" s="28" t="s">
        <v>2117</v>
      </c>
      <c r="Y373" s="40" t="s">
        <v>2170</v>
      </c>
      <c r="Z373" s="40" t="s">
        <v>1</v>
      </c>
      <c r="AA373" s="28" t="str">
        <f t="shared" si="345"/>
        <v>See NBR 8451. Circular section concrete pole to conduct Medium Voltage overhead power grid.</v>
      </c>
    </row>
    <row r="374" spans="1:27" ht="6.65" customHeight="1" x14ac:dyDescent="0.4">
      <c r="A374" s="77">
        <v>374</v>
      </c>
      <c r="B374" s="66" t="s">
        <v>2219</v>
      </c>
      <c r="C374" s="30" t="s">
        <v>1876</v>
      </c>
      <c r="D374" s="29" t="s">
        <v>1853</v>
      </c>
      <c r="E374" s="29" t="s">
        <v>1857</v>
      </c>
      <c r="F374" s="29" t="s">
        <v>1987</v>
      </c>
      <c r="G374" s="78" t="s">
        <v>1</v>
      </c>
      <c r="H374" s="78" t="s">
        <v>1</v>
      </c>
      <c r="I374" s="78" t="s">
        <v>1</v>
      </c>
      <c r="J374" s="78" t="s">
        <v>1</v>
      </c>
      <c r="K374" s="78" t="s">
        <v>1</v>
      </c>
      <c r="L374" s="27" t="str">
        <f t="shared" si="373"/>
        <v>Redes</v>
      </c>
      <c r="M374" s="27" t="str">
        <f t="shared" si="373"/>
        <v>Redes Elétricas</v>
      </c>
      <c r="N374" s="27" t="str">
        <f t="shared" si="373"/>
        <v>Redes de Distribuição</v>
      </c>
      <c r="O374" s="27" t="str">
        <f t="shared" si="373"/>
        <v>Poste de Concreto DT</v>
      </c>
      <c r="P374" s="28" t="s">
        <v>2004</v>
      </c>
      <c r="Q374" s="28" t="s">
        <v>2023</v>
      </c>
      <c r="R374" s="28" t="s">
        <v>1</v>
      </c>
      <c r="S374" s="28" t="str">
        <f t="shared" si="374"/>
        <v>Redes</v>
      </c>
      <c r="T374" s="28" t="str">
        <f t="shared" si="375"/>
        <v>Redes Elétricas</v>
      </c>
      <c r="U374" s="28" t="str">
        <f t="shared" si="376"/>
        <v>Redes de Distribuição</v>
      </c>
      <c r="V374" s="28" t="s">
        <v>2222</v>
      </c>
      <c r="W374" s="69" t="str">
        <f t="shared" si="340"/>
        <v>Key-INFRA-374</v>
      </c>
      <c r="X374" s="28" t="s">
        <v>2117</v>
      </c>
      <c r="Y374" s="40" t="s">
        <v>2170</v>
      </c>
      <c r="Z374" s="40" t="s">
        <v>1</v>
      </c>
      <c r="AA374" s="28" t="str">
        <f t="shared" si="345"/>
        <v>See NBR 8451. Double Tee (DT) section concrete pole to conduct Medium Voltage overhead power grid.</v>
      </c>
    </row>
    <row r="375" spans="1:27" ht="6.65" customHeight="1" x14ac:dyDescent="0.4">
      <c r="A375" s="77">
        <v>375</v>
      </c>
      <c r="B375" s="66" t="s">
        <v>2219</v>
      </c>
      <c r="C375" s="30" t="s">
        <v>1876</v>
      </c>
      <c r="D375" s="29" t="s">
        <v>1853</v>
      </c>
      <c r="E375" s="29" t="s">
        <v>1857</v>
      </c>
      <c r="F375" s="29" t="s">
        <v>1858</v>
      </c>
      <c r="G375" s="78" t="s">
        <v>1</v>
      </c>
      <c r="H375" s="78" t="s">
        <v>1</v>
      </c>
      <c r="I375" s="78" t="s">
        <v>1</v>
      </c>
      <c r="J375" s="78" t="s">
        <v>1</v>
      </c>
      <c r="K375" s="78" t="s">
        <v>1</v>
      </c>
      <c r="L375" s="27" t="str">
        <f t="shared" si="373"/>
        <v>Redes</v>
      </c>
      <c r="M375" s="27" t="str">
        <f t="shared" si="373"/>
        <v>Redes Elétricas</v>
      </c>
      <c r="N375" s="27" t="str">
        <f t="shared" si="373"/>
        <v>Redes de Distribuição</v>
      </c>
      <c r="O375" s="27" t="str">
        <f t="shared" si="373"/>
        <v>Rede de MT Subterrânea</v>
      </c>
      <c r="P375" s="28" t="s">
        <v>1859</v>
      </c>
      <c r="Q375" s="28" t="s">
        <v>2024</v>
      </c>
      <c r="R375" s="28" t="s">
        <v>1</v>
      </c>
      <c r="S375" s="28" t="str">
        <f t="shared" si="374"/>
        <v>Redes</v>
      </c>
      <c r="T375" s="28" t="str">
        <f t="shared" si="375"/>
        <v>Redes Elétricas</v>
      </c>
      <c r="U375" s="28" t="str">
        <f t="shared" si="376"/>
        <v>Redes de Distribuição</v>
      </c>
      <c r="V375" s="28" t="s">
        <v>2222</v>
      </c>
      <c r="W375" s="69" t="str">
        <f t="shared" si="340"/>
        <v>Key-INFRA-375</v>
      </c>
      <c r="X375" s="28" t="s">
        <v>2117</v>
      </c>
      <c r="Y375" s="40" t="s">
        <v>2170</v>
      </c>
      <c r="Z375" s="40" t="s">
        <v>1</v>
      </c>
      <c r="AA375" s="28" t="str">
        <f t="shared" si="345"/>
        <v>Medium Voltage underground electrical network between 1 kV and 69 kV.</v>
      </c>
    </row>
    <row r="376" spans="1:27" ht="6.65" customHeight="1" x14ac:dyDescent="0.4">
      <c r="A376" s="77">
        <v>376</v>
      </c>
      <c r="B376" s="66" t="s">
        <v>2219</v>
      </c>
      <c r="C376" s="30" t="s">
        <v>1876</v>
      </c>
      <c r="D376" s="29" t="s">
        <v>1853</v>
      </c>
      <c r="E376" s="29" t="s">
        <v>1857</v>
      </c>
      <c r="F376" s="29" t="s">
        <v>1860</v>
      </c>
      <c r="G376" s="78" t="s">
        <v>1</v>
      </c>
      <c r="H376" s="78" t="s">
        <v>1</v>
      </c>
      <c r="I376" s="78" t="s">
        <v>1</v>
      </c>
      <c r="J376" s="78" t="s">
        <v>1</v>
      </c>
      <c r="K376" s="78" t="s">
        <v>1</v>
      </c>
      <c r="L376" s="27" t="str">
        <f t="shared" si="373"/>
        <v>Redes</v>
      </c>
      <c r="M376" s="27" t="str">
        <f t="shared" si="373"/>
        <v>Redes Elétricas</v>
      </c>
      <c r="N376" s="27" t="str">
        <f t="shared" si="373"/>
        <v>Redes de Distribuição</v>
      </c>
      <c r="O376" s="27" t="str">
        <f t="shared" si="373"/>
        <v>Rede de BT Aérea</v>
      </c>
      <c r="P376" s="28" t="s">
        <v>1861</v>
      </c>
      <c r="Q376" s="28" t="s">
        <v>2025</v>
      </c>
      <c r="R376" s="28" t="s">
        <v>1</v>
      </c>
      <c r="S376" s="28" t="str">
        <f t="shared" si="374"/>
        <v>Redes</v>
      </c>
      <c r="T376" s="28" t="str">
        <f t="shared" si="375"/>
        <v>Redes Elétricas</v>
      </c>
      <c r="U376" s="28" t="str">
        <f t="shared" si="376"/>
        <v>Redes de Distribuição</v>
      </c>
      <c r="V376" s="28" t="s">
        <v>2222</v>
      </c>
      <c r="W376" s="69" t="str">
        <f t="shared" si="340"/>
        <v>Key-INFRA-376</v>
      </c>
      <c r="X376" s="28" t="s">
        <v>2117</v>
      </c>
      <c r="Y376" s="40" t="s">
        <v>2170</v>
      </c>
      <c r="Z376" s="40" t="s">
        <v>1</v>
      </c>
      <c r="AA376" s="28" t="str">
        <f t="shared" si="345"/>
        <v>Low Voltage overhead power grid up to 1,000 volts (1Kv).</v>
      </c>
    </row>
    <row r="377" spans="1:27" ht="6.65" customHeight="1" x14ac:dyDescent="0.4">
      <c r="A377" s="77">
        <v>377</v>
      </c>
      <c r="B377" s="66" t="s">
        <v>2219</v>
      </c>
      <c r="C377" s="30" t="s">
        <v>1876</v>
      </c>
      <c r="D377" s="29" t="s">
        <v>1853</v>
      </c>
      <c r="E377" s="29" t="s">
        <v>1857</v>
      </c>
      <c r="F377" s="29" t="s">
        <v>1862</v>
      </c>
      <c r="G377" s="78" t="s">
        <v>1</v>
      </c>
      <c r="H377" s="78" t="s">
        <v>1</v>
      </c>
      <c r="I377" s="78" t="s">
        <v>1</v>
      </c>
      <c r="J377" s="78" t="s">
        <v>1</v>
      </c>
      <c r="K377" s="78" t="s">
        <v>1</v>
      </c>
      <c r="L377" s="27" t="str">
        <f t="shared" ref="L377:L381" si="398">SUBSTITUTE(CONCATENATE("", C377), ".", " ")</f>
        <v>Redes</v>
      </c>
      <c r="M377" s="27" t="str">
        <f t="shared" ref="M377:M381" si="399">SUBSTITUTE(CONCATENATE("", D377), ".", " ")</f>
        <v>Redes Elétricas</v>
      </c>
      <c r="N377" s="27" t="str">
        <f t="shared" ref="N377:N381" si="400">SUBSTITUTE(CONCATENATE("", E377), ".", " ")</f>
        <v>Redes de Distribuição</v>
      </c>
      <c r="O377" s="27" t="str">
        <f t="shared" ref="O377:O381" si="401">SUBSTITUTE(CONCATENATE("", F377), ".", " ")</f>
        <v>Rede de BT Subterrânea</v>
      </c>
      <c r="P377" s="28" t="s">
        <v>1863</v>
      </c>
      <c r="Q377" s="28" t="s">
        <v>2026</v>
      </c>
      <c r="R377" s="28" t="s">
        <v>1</v>
      </c>
      <c r="S377" s="28" t="str">
        <f t="shared" ref="S377:S381" si="402">SUBSTITUTE(C377, ".", " ")</f>
        <v>Redes</v>
      </c>
      <c r="T377" s="28" t="str">
        <f t="shared" ref="T377:T381" si="403">SUBSTITUTE(D377, ".", " ")</f>
        <v>Redes Elétricas</v>
      </c>
      <c r="U377" s="28" t="str">
        <f t="shared" ref="U377:U381" si="404">SUBSTITUTE(E377, ".", " ")</f>
        <v>Redes de Distribuição</v>
      </c>
      <c r="V377" s="28" t="s">
        <v>2222</v>
      </c>
      <c r="W377" s="69" t="str">
        <f t="shared" si="340"/>
        <v>Key-INFRA-377</v>
      </c>
      <c r="X377" s="28" t="s">
        <v>2117</v>
      </c>
      <c r="Y377" s="40" t="s">
        <v>2170</v>
      </c>
      <c r="Z377" s="40" t="s">
        <v>1</v>
      </c>
      <c r="AA377" s="28" t="str">
        <f t="shared" si="345"/>
        <v>Low Voltage underground electrical network up to 1,000 volts (1Kv).</v>
      </c>
    </row>
    <row r="378" spans="1:27" ht="6.65" customHeight="1" x14ac:dyDescent="0.4">
      <c r="A378" s="77">
        <v>378</v>
      </c>
      <c r="B378" s="66" t="s">
        <v>2219</v>
      </c>
      <c r="C378" s="30" t="s">
        <v>1876</v>
      </c>
      <c r="D378" s="29" t="s">
        <v>1853</v>
      </c>
      <c r="E378" s="29" t="s">
        <v>2001</v>
      </c>
      <c r="F378" s="29" t="s">
        <v>1991</v>
      </c>
      <c r="G378" s="78" t="s">
        <v>1</v>
      </c>
      <c r="H378" s="78" t="s">
        <v>1</v>
      </c>
      <c r="I378" s="78" t="s">
        <v>1</v>
      </c>
      <c r="J378" s="78" t="s">
        <v>1</v>
      </c>
      <c r="K378" s="78" t="s">
        <v>1</v>
      </c>
      <c r="L378" s="27" t="str">
        <f t="shared" si="398"/>
        <v>Redes</v>
      </c>
      <c r="M378" s="27" t="str">
        <f t="shared" si="399"/>
        <v>Redes Elétricas</v>
      </c>
      <c r="N378" s="27" t="str">
        <f t="shared" si="400"/>
        <v>Conexões de EE</v>
      </c>
      <c r="O378" s="27" t="str">
        <f t="shared" si="401"/>
        <v>Ponto de Entrega</v>
      </c>
      <c r="P378" s="28" t="s">
        <v>1999</v>
      </c>
      <c r="Q378" s="28" t="s">
        <v>2027</v>
      </c>
      <c r="R378" s="28" t="s">
        <v>1</v>
      </c>
      <c r="S378" s="28" t="str">
        <f t="shared" si="402"/>
        <v>Redes</v>
      </c>
      <c r="T378" s="28" t="str">
        <f t="shared" si="403"/>
        <v>Redes Elétricas</v>
      </c>
      <c r="U378" s="28" t="str">
        <f t="shared" si="404"/>
        <v>Conexões de EE</v>
      </c>
      <c r="V378" s="28" t="s">
        <v>2222</v>
      </c>
      <c r="W378" s="69" t="str">
        <f t="shared" si="340"/>
        <v>Key-INFRA-378</v>
      </c>
      <c r="X378" s="28" t="s">
        <v>2117</v>
      </c>
      <c r="Y378" s="40" t="s">
        <v>2170</v>
      </c>
      <c r="Z378" s="40" t="s">
        <v>1</v>
      </c>
      <c r="AA378" s="28" t="str">
        <f t="shared" si="345"/>
        <v>Consult NBR 5410 Standard. Point of connection of the electrical system of the electricity distribution company with the electrical installation of the consumer unit(s) and which delimits the responsibilities of the distributor, defined by the regulatory authority.</v>
      </c>
    </row>
    <row r="379" spans="1:27" ht="6.65" customHeight="1" x14ac:dyDescent="0.4">
      <c r="A379" s="77">
        <v>379</v>
      </c>
      <c r="B379" s="66" t="s">
        <v>2219</v>
      </c>
      <c r="C379" s="30" t="s">
        <v>1876</v>
      </c>
      <c r="D379" s="29" t="s">
        <v>1853</v>
      </c>
      <c r="E379" s="29" t="s">
        <v>2001</v>
      </c>
      <c r="F379" s="29" t="s">
        <v>1992</v>
      </c>
      <c r="G379" s="78" t="s">
        <v>1</v>
      </c>
      <c r="H379" s="78" t="s">
        <v>1</v>
      </c>
      <c r="I379" s="78" t="s">
        <v>1</v>
      </c>
      <c r="J379" s="78" t="s">
        <v>1</v>
      </c>
      <c r="K379" s="78" t="s">
        <v>1</v>
      </c>
      <c r="L379" s="27" t="str">
        <f t="shared" si="398"/>
        <v>Redes</v>
      </c>
      <c r="M379" s="27" t="str">
        <f t="shared" si="399"/>
        <v>Redes Elétricas</v>
      </c>
      <c r="N379" s="27" t="str">
        <f t="shared" si="400"/>
        <v>Conexões de EE</v>
      </c>
      <c r="O379" s="27" t="str">
        <f t="shared" si="401"/>
        <v>Ponto de Entrada</v>
      </c>
      <c r="P379" s="28" t="s">
        <v>2000</v>
      </c>
      <c r="Q379" s="28" t="s">
        <v>2028</v>
      </c>
      <c r="R379" s="28" t="s">
        <v>1</v>
      </c>
      <c r="S379" s="28" t="str">
        <f t="shared" si="402"/>
        <v>Redes</v>
      </c>
      <c r="T379" s="28" t="str">
        <f t="shared" si="403"/>
        <v>Redes Elétricas</v>
      </c>
      <c r="U379" s="28" t="str">
        <f t="shared" si="404"/>
        <v>Conexões de EE</v>
      </c>
      <c r="V379" s="28" t="s">
        <v>2222</v>
      </c>
      <c r="W379" s="69" t="str">
        <f t="shared" si="340"/>
        <v>Key-INFRA-379</v>
      </c>
      <c r="X379" s="28" t="s">
        <v>2117</v>
      </c>
      <c r="Y379" s="40" t="s">
        <v>2170</v>
      </c>
      <c r="Z379" s="40" t="s">
        <v>1</v>
      </c>
      <c r="AA379" s="28" t="str">
        <f t="shared" si="345"/>
        <v>Consult NBR 5410 Standard. Point at which an external line penetrates the building.</v>
      </c>
    </row>
    <row r="380" spans="1:27" ht="6.65" customHeight="1" x14ac:dyDescent="0.4">
      <c r="A380" s="77">
        <v>380</v>
      </c>
      <c r="B380" s="66" t="s">
        <v>2219</v>
      </c>
      <c r="C380" s="30" t="s">
        <v>1876</v>
      </c>
      <c r="D380" s="29" t="s">
        <v>1853</v>
      </c>
      <c r="E380" s="29" t="s">
        <v>2001</v>
      </c>
      <c r="F380" s="29" t="s">
        <v>1993</v>
      </c>
      <c r="G380" s="78" t="s">
        <v>1</v>
      </c>
      <c r="H380" s="78" t="s">
        <v>1</v>
      </c>
      <c r="I380" s="78" t="s">
        <v>1</v>
      </c>
      <c r="J380" s="78" t="s">
        <v>1</v>
      </c>
      <c r="K380" s="78" t="s">
        <v>1</v>
      </c>
      <c r="L380" s="27" t="str">
        <f t="shared" si="398"/>
        <v>Redes</v>
      </c>
      <c r="M380" s="27" t="str">
        <f t="shared" si="399"/>
        <v>Redes Elétricas</v>
      </c>
      <c r="N380" s="27" t="str">
        <f t="shared" si="400"/>
        <v>Conexões de EE</v>
      </c>
      <c r="O380" s="27" t="str">
        <f t="shared" si="401"/>
        <v>Esquema TN</v>
      </c>
      <c r="P380" s="28" t="s">
        <v>1996</v>
      </c>
      <c r="Q380" s="28" t="s">
        <v>2029</v>
      </c>
      <c r="R380" s="28" t="s">
        <v>1</v>
      </c>
      <c r="S380" s="28" t="str">
        <f t="shared" si="402"/>
        <v>Redes</v>
      </c>
      <c r="T380" s="28" t="str">
        <f t="shared" si="403"/>
        <v>Redes Elétricas</v>
      </c>
      <c r="U380" s="28" t="str">
        <f t="shared" si="404"/>
        <v>Conexões de EE</v>
      </c>
      <c r="V380" s="28" t="s">
        <v>2222</v>
      </c>
      <c r="W380" s="69" t="str">
        <f t="shared" si="340"/>
        <v>Key-INFRA-380</v>
      </c>
      <c r="X380" s="28" t="s">
        <v>2117</v>
      </c>
      <c r="Y380" s="40" t="s">
        <v>2170</v>
      </c>
      <c r="Z380" s="40" t="s">
        <v>1</v>
      </c>
      <c r="AA380" s="28" t="str">
        <f t="shared" si="345"/>
        <v>Consult NBR 5410 Standard. The point of the supply is directly grounded, with the masses connected to this point by protective conductors. Three variants of TN scheme are considered, according to the arrangement of the neutral conductor and the protective conductor: TN-S scheme, the neutral conductor and the protective conductor are distinct; TN-C-S scheme, neutral and protection functions are combined in a single conductor; In the TN-C scheme, the neutral and protection functions are combined in a single conductor in the entire scheme.</v>
      </c>
    </row>
    <row r="381" spans="1:27" ht="6.65" customHeight="1" x14ac:dyDescent="0.4">
      <c r="A381" s="77">
        <v>381</v>
      </c>
      <c r="B381" s="66" t="s">
        <v>2219</v>
      </c>
      <c r="C381" s="30" t="s">
        <v>1876</v>
      </c>
      <c r="D381" s="29" t="s">
        <v>1853</v>
      </c>
      <c r="E381" s="29" t="s">
        <v>2001</v>
      </c>
      <c r="F381" s="29" t="s">
        <v>1994</v>
      </c>
      <c r="G381" s="78" t="s">
        <v>1</v>
      </c>
      <c r="H381" s="78" t="s">
        <v>1</v>
      </c>
      <c r="I381" s="78" t="s">
        <v>1</v>
      </c>
      <c r="J381" s="78" t="s">
        <v>1</v>
      </c>
      <c r="K381" s="78" t="s">
        <v>1</v>
      </c>
      <c r="L381" s="27" t="str">
        <f t="shared" si="398"/>
        <v>Redes</v>
      </c>
      <c r="M381" s="27" t="str">
        <f t="shared" si="399"/>
        <v>Redes Elétricas</v>
      </c>
      <c r="N381" s="27" t="str">
        <f t="shared" si="400"/>
        <v>Conexões de EE</v>
      </c>
      <c r="O381" s="27" t="str">
        <f t="shared" si="401"/>
        <v>Esquema TT</v>
      </c>
      <c r="P381" s="28" t="s">
        <v>1997</v>
      </c>
      <c r="Q381" s="28" t="s">
        <v>2030</v>
      </c>
      <c r="R381" s="28" t="s">
        <v>1</v>
      </c>
      <c r="S381" s="28" t="str">
        <f t="shared" si="402"/>
        <v>Redes</v>
      </c>
      <c r="T381" s="28" t="str">
        <f t="shared" si="403"/>
        <v>Redes Elétricas</v>
      </c>
      <c r="U381" s="28" t="str">
        <f t="shared" si="404"/>
        <v>Conexões de EE</v>
      </c>
      <c r="V381" s="28" t="s">
        <v>2222</v>
      </c>
      <c r="W381" s="69" t="str">
        <f t="shared" si="340"/>
        <v>Key-INFRA-381</v>
      </c>
      <c r="X381" s="28" t="s">
        <v>2117</v>
      </c>
      <c r="Y381" s="40" t="s">
        <v>2170</v>
      </c>
      <c r="Z381" s="40" t="s">
        <v>1</v>
      </c>
      <c r="AA381" s="28" t="str">
        <f t="shared" si="345"/>
        <v>Consult NBR 5410 Standard. Directly grounded supply point, with the installation grounds connected to grounding electrode(s) electrically distinct from the grounding electrode of the supply</v>
      </c>
    </row>
    <row r="382" spans="1:27" ht="6.65" customHeight="1" x14ac:dyDescent="0.4">
      <c r="A382" s="77">
        <v>382</v>
      </c>
      <c r="B382" s="66" t="s">
        <v>2219</v>
      </c>
      <c r="C382" s="30" t="s">
        <v>1876</v>
      </c>
      <c r="D382" s="29" t="s">
        <v>1853</v>
      </c>
      <c r="E382" s="29" t="s">
        <v>2001</v>
      </c>
      <c r="F382" s="29" t="s">
        <v>1995</v>
      </c>
      <c r="G382" s="78" t="s">
        <v>1</v>
      </c>
      <c r="H382" s="78" t="s">
        <v>1</v>
      </c>
      <c r="I382" s="78" t="s">
        <v>1</v>
      </c>
      <c r="J382" s="78" t="s">
        <v>1</v>
      </c>
      <c r="K382" s="78" t="s">
        <v>1</v>
      </c>
      <c r="L382" s="27" t="str">
        <f t="shared" si="373"/>
        <v>Redes</v>
      </c>
      <c r="M382" s="27" t="str">
        <f t="shared" si="373"/>
        <v>Redes Elétricas</v>
      </c>
      <c r="N382" s="27" t="str">
        <f t="shared" si="373"/>
        <v>Conexões de EE</v>
      </c>
      <c r="O382" s="27" t="str">
        <f t="shared" si="373"/>
        <v>Esquema TI</v>
      </c>
      <c r="P382" s="28" t="s">
        <v>1998</v>
      </c>
      <c r="Q382" s="28" t="s">
        <v>2031</v>
      </c>
      <c r="R382" s="28" t="s">
        <v>1</v>
      </c>
      <c r="S382" s="28" t="str">
        <f t="shared" si="374"/>
        <v>Redes</v>
      </c>
      <c r="T382" s="28" t="str">
        <f t="shared" si="375"/>
        <v>Redes Elétricas</v>
      </c>
      <c r="U382" s="28" t="str">
        <f t="shared" si="376"/>
        <v>Conexões de EE</v>
      </c>
      <c r="V382" s="28" t="s">
        <v>2222</v>
      </c>
      <c r="W382" s="69" t="str">
        <f t="shared" si="340"/>
        <v>Key-INFRA-382</v>
      </c>
      <c r="X382" s="28" t="s">
        <v>2117</v>
      </c>
      <c r="Y382" s="40" t="s">
        <v>2171</v>
      </c>
      <c r="Z382" s="40" t="s">
        <v>1</v>
      </c>
      <c r="AA382" s="28" t="str">
        <f t="shared" si="345"/>
        <v>Consult NBR 5410 Standard. All living parts are isolated from the earth or a feed point is grounded via impedance. The masses of the installation are grounded.</v>
      </c>
    </row>
    <row r="383" spans="1:27" ht="6.65" customHeight="1" x14ac:dyDescent="0.4">
      <c r="A383" s="77">
        <v>383</v>
      </c>
      <c r="B383" s="66" t="s">
        <v>2219</v>
      </c>
      <c r="C383" s="30" t="s">
        <v>1876</v>
      </c>
      <c r="D383" s="29" t="s">
        <v>2033</v>
      </c>
      <c r="E383" s="29" t="s">
        <v>1864</v>
      </c>
      <c r="F383" s="29" t="s">
        <v>1909</v>
      </c>
      <c r="G383" s="78" t="s">
        <v>1</v>
      </c>
      <c r="H383" s="78" t="s">
        <v>1</v>
      </c>
      <c r="I383" s="78" t="s">
        <v>1</v>
      </c>
      <c r="J383" s="78" t="s">
        <v>1</v>
      </c>
      <c r="K383" s="78" t="s">
        <v>1</v>
      </c>
      <c r="L383" s="27" t="str">
        <f t="shared" si="373"/>
        <v>Redes</v>
      </c>
      <c r="M383" s="27" t="str">
        <f t="shared" si="373"/>
        <v>Redes Iluminação</v>
      </c>
      <c r="N383" s="27" t="str">
        <f t="shared" si="373"/>
        <v>Redes de Iluminação</v>
      </c>
      <c r="O383" s="27" t="str">
        <f t="shared" si="373"/>
        <v>Rede Pública de Iluminação</v>
      </c>
      <c r="P383" s="28" t="s">
        <v>1865</v>
      </c>
      <c r="Q383" s="28" t="s">
        <v>2032</v>
      </c>
      <c r="R383" s="28" t="s">
        <v>1</v>
      </c>
      <c r="S383" s="28" t="str">
        <f t="shared" si="374"/>
        <v>Redes</v>
      </c>
      <c r="T383" s="28" t="str">
        <f t="shared" si="375"/>
        <v>Redes Iluminação</v>
      </c>
      <c r="U383" s="28" t="str">
        <f t="shared" si="376"/>
        <v>Redes de Iluminação</v>
      </c>
      <c r="V383" s="28" t="s">
        <v>2222</v>
      </c>
      <c r="W383" s="69" t="str">
        <f t="shared" si="340"/>
        <v>Key-INFRA-383</v>
      </c>
      <c r="X383" s="28" t="s">
        <v>2117</v>
      </c>
      <c r="Y383" s="40" t="s">
        <v>2172</v>
      </c>
      <c r="Z383" s="40" t="s">
        <v>1</v>
      </c>
      <c r="AA383" s="28" t="str">
        <f t="shared" si="345"/>
        <v>Urban public lighting electrical network.</v>
      </c>
    </row>
    <row r="384" spans="1:27" ht="6.65" customHeight="1" x14ac:dyDescent="0.4">
      <c r="A384" s="77">
        <v>384</v>
      </c>
      <c r="B384" s="66" t="s">
        <v>2219</v>
      </c>
      <c r="C384" s="30" t="s">
        <v>1876</v>
      </c>
      <c r="D384" s="29" t="s">
        <v>2033</v>
      </c>
      <c r="E384" s="29" t="s">
        <v>1864</v>
      </c>
      <c r="F384" s="29" t="s">
        <v>1910</v>
      </c>
      <c r="G384" s="78" t="s">
        <v>1</v>
      </c>
      <c r="H384" s="78" t="s">
        <v>1</v>
      </c>
      <c r="I384" s="78" t="s">
        <v>1</v>
      </c>
      <c r="J384" s="78" t="s">
        <v>1</v>
      </c>
      <c r="K384" s="78" t="s">
        <v>1</v>
      </c>
      <c r="L384" s="27" t="str">
        <f t="shared" si="373"/>
        <v>Redes</v>
      </c>
      <c r="M384" s="27" t="str">
        <f t="shared" si="373"/>
        <v>Redes Iluminação</v>
      </c>
      <c r="N384" s="27" t="str">
        <f t="shared" si="373"/>
        <v>Redes de Iluminação</v>
      </c>
      <c r="O384" s="27" t="str">
        <f t="shared" si="373"/>
        <v>Rede Pública de Sinalização</v>
      </c>
      <c r="P384" s="28" t="s">
        <v>1866</v>
      </c>
      <c r="Q384" s="28" t="s">
        <v>1867</v>
      </c>
      <c r="R384" s="28" t="s">
        <v>1</v>
      </c>
      <c r="S384" s="28" t="str">
        <f t="shared" si="374"/>
        <v>Redes</v>
      </c>
      <c r="T384" s="28" t="str">
        <f t="shared" si="375"/>
        <v>Redes Iluminação</v>
      </c>
      <c r="U384" s="28" t="str">
        <f t="shared" si="376"/>
        <v>Redes de Iluminação</v>
      </c>
      <c r="V384" s="28" t="s">
        <v>2222</v>
      </c>
      <c r="W384" s="69" t="str">
        <f t="shared" si="340"/>
        <v>Key-INFRA-384</v>
      </c>
      <c r="X384" s="28" t="s">
        <v>2117</v>
      </c>
      <c r="Y384" s="40" t="s">
        <v>2173</v>
      </c>
      <c r="Z384" s="40" t="s">
        <v>1</v>
      </c>
      <c r="AA384" s="28" t="str">
        <f t="shared" si="345"/>
        <v>Urban public signaling electrical network (traffic signals and totems).</v>
      </c>
    </row>
    <row r="385" spans="1:27" ht="6.65" customHeight="1" x14ac:dyDescent="0.4">
      <c r="A385" s="77">
        <v>385</v>
      </c>
      <c r="B385" s="66" t="s">
        <v>2219</v>
      </c>
      <c r="C385" s="30" t="s">
        <v>1876</v>
      </c>
      <c r="D385" s="29" t="s">
        <v>1897</v>
      </c>
      <c r="E385" s="29" t="s">
        <v>1906</v>
      </c>
      <c r="F385" s="29" t="s">
        <v>1898</v>
      </c>
      <c r="G385" s="78" t="s">
        <v>1</v>
      </c>
      <c r="H385" s="78" t="s">
        <v>1</v>
      </c>
      <c r="I385" s="78" t="s">
        <v>1</v>
      </c>
      <c r="J385" s="78" t="s">
        <v>1</v>
      </c>
      <c r="K385" s="78" t="s">
        <v>1</v>
      </c>
      <c r="L385" s="27" t="str">
        <f t="shared" ref="L385:L391" si="405">SUBSTITUTE(CONCATENATE("", C385), ".", " ")</f>
        <v>Redes</v>
      </c>
      <c r="M385" s="27" t="str">
        <f t="shared" ref="M385:M391" si="406">SUBSTITUTE(CONCATENATE("", D385), ".", " ")</f>
        <v>Redes de Telecom</v>
      </c>
      <c r="N385" s="27" t="str">
        <f t="shared" ref="N385:N391" si="407">SUBSTITUTE(CONCATENATE("", E385), ".", " ")</f>
        <v>Redes de Fibra Ótica</v>
      </c>
      <c r="O385" s="27" t="str">
        <f t="shared" ref="O385:O391" si="408">SUBSTITUTE(CONCATENATE("", F385), ".", " ")</f>
        <v>Rede Fibra Ótica Aérea</v>
      </c>
      <c r="P385" s="28" t="s">
        <v>1868</v>
      </c>
      <c r="Q385" s="28" t="s">
        <v>1956</v>
      </c>
      <c r="R385" s="28" t="s">
        <v>1</v>
      </c>
      <c r="S385" s="28" t="str">
        <f t="shared" ref="S385:S391" si="409">SUBSTITUTE(C385, ".", " ")</f>
        <v>Redes</v>
      </c>
      <c r="T385" s="28" t="str">
        <f t="shared" ref="T385:T391" si="410">SUBSTITUTE(D385, ".", " ")</f>
        <v>Redes de Telecom</v>
      </c>
      <c r="U385" s="28" t="str">
        <f t="shared" ref="U385:U391" si="411">SUBSTITUTE(E385, ".", " ")</f>
        <v>Redes de Fibra Ótica</v>
      </c>
      <c r="V385" s="28" t="s">
        <v>2222</v>
      </c>
      <c r="W385" s="69" t="str">
        <f t="shared" si="340"/>
        <v>Key-INFRA-385</v>
      </c>
      <c r="X385" s="28" t="s">
        <v>2117</v>
      </c>
      <c r="Y385" s="40" t="s">
        <v>2173</v>
      </c>
      <c r="Z385" s="40" t="s">
        <v>1</v>
      </c>
      <c r="AA385" s="28" t="str">
        <f t="shared" si="345"/>
        <v>Aerial Fiber Optic Network.</v>
      </c>
    </row>
    <row r="386" spans="1:27" ht="6.65" customHeight="1" x14ac:dyDescent="0.4">
      <c r="A386" s="77">
        <v>386</v>
      </c>
      <c r="B386" s="66" t="s">
        <v>2219</v>
      </c>
      <c r="C386" s="30" t="s">
        <v>1876</v>
      </c>
      <c r="D386" s="29" t="s">
        <v>1897</v>
      </c>
      <c r="E386" s="29" t="s">
        <v>1906</v>
      </c>
      <c r="F386" s="29" t="s">
        <v>1899</v>
      </c>
      <c r="G386" s="78" t="s">
        <v>1</v>
      </c>
      <c r="H386" s="78" t="s">
        <v>1</v>
      </c>
      <c r="I386" s="78" t="s">
        <v>1</v>
      </c>
      <c r="J386" s="78" t="s">
        <v>1</v>
      </c>
      <c r="K386" s="78" t="s">
        <v>1</v>
      </c>
      <c r="L386" s="27" t="str">
        <f t="shared" ref="L386" si="412">SUBSTITUTE(CONCATENATE("", C386), ".", " ")</f>
        <v>Redes</v>
      </c>
      <c r="M386" s="27" t="str">
        <f t="shared" ref="M386" si="413">SUBSTITUTE(CONCATENATE("", D386), ".", " ")</f>
        <v>Redes de Telecom</v>
      </c>
      <c r="N386" s="27" t="str">
        <f t="shared" ref="N386" si="414">SUBSTITUTE(CONCATENATE("", E386), ".", " ")</f>
        <v>Redes de Fibra Ótica</v>
      </c>
      <c r="O386" s="27" t="str">
        <f t="shared" ref="O386" si="415">SUBSTITUTE(CONCATENATE("", F386), ".", " ")</f>
        <v>Rede Fibra Ótica Subterrânea</v>
      </c>
      <c r="P386" s="28" t="s">
        <v>1873</v>
      </c>
      <c r="Q386" s="28" t="s">
        <v>1957</v>
      </c>
      <c r="R386" s="28" t="s">
        <v>1</v>
      </c>
      <c r="S386" s="28" t="str">
        <f t="shared" ref="S386" si="416">SUBSTITUTE(C386, ".", " ")</f>
        <v>Redes</v>
      </c>
      <c r="T386" s="28" t="str">
        <f t="shared" ref="T386" si="417">SUBSTITUTE(D386, ".", " ")</f>
        <v>Redes de Telecom</v>
      </c>
      <c r="U386" s="28" t="str">
        <f t="shared" ref="U386" si="418">SUBSTITUTE(E386, ".", " ")</f>
        <v>Redes de Fibra Ótica</v>
      </c>
      <c r="V386" s="28" t="s">
        <v>2222</v>
      </c>
      <c r="W386" s="69" t="str">
        <f t="shared" ref="W386:W393" si="419">CONCATENATE("Key-INFRA-",A386)</f>
        <v>Key-INFRA-386</v>
      </c>
      <c r="X386" s="28" t="s">
        <v>2117</v>
      </c>
      <c r="Y386" s="40" t="s">
        <v>2174</v>
      </c>
      <c r="Z386" s="40" t="s">
        <v>1</v>
      </c>
      <c r="AA386" s="28" t="str">
        <f t="shared" si="345"/>
        <v>Underground telephone network.</v>
      </c>
    </row>
    <row r="387" spans="1:27" ht="6.65" customHeight="1" x14ac:dyDescent="0.4">
      <c r="A387" s="77">
        <v>387</v>
      </c>
      <c r="B387" s="66" t="s">
        <v>2219</v>
      </c>
      <c r="C387" s="30" t="s">
        <v>1876</v>
      </c>
      <c r="D387" s="29" t="s">
        <v>1897</v>
      </c>
      <c r="E387" s="29" t="s">
        <v>1907</v>
      </c>
      <c r="F387" s="29" t="s">
        <v>1900</v>
      </c>
      <c r="G387" s="78" t="s">
        <v>1</v>
      </c>
      <c r="H387" s="78" t="s">
        <v>1</v>
      </c>
      <c r="I387" s="78" t="s">
        <v>1</v>
      </c>
      <c r="J387" s="78" t="s">
        <v>1</v>
      </c>
      <c r="K387" s="78" t="s">
        <v>1</v>
      </c>
      <c r="L387" s="27" t="str">
        <f t="shared" si="405"/>
        <v>Redes</v>
      </c>
      <c r="M387" s="27" t="str">
        <f t="shared" si="406"/>
        <v>Redes de Telecom</v>
      </c>
      <c r="N387" s="27" t="str">
        <f t="shared" si="407"/>
        <v>Redes de Dados</v>
      </c>
      <c r="O387" s="27" t="str">
        <f t="shared" si="408"/>
        <v>Rede de Dados Aérea</v>
      </c>
      <c r="P387" s="28" t="s">
        <v>1870</v>
      </c>
      <c r="Q387" s="28" t="s">
        <v>1958</v>
      </c>
      <c r="R387" s="28" t="s">
        <v>1</v>
      </c>
      <c r="S387" s="28" t="str">
        <f t="shared" si="409"/>
        <v>Redes</v>
      </c>
      <c r="T387" s="28" t="str">
        <f t="shared" si="410"/>
        <v>Redes de Telecom</v>
      </c>
      <c r="U387" s="28" t="str">
        <f t="shared" si="411"/>
        <v>Redes de Dados</v>
      </c>
      <c r="V387" s="28" t="s">
        <v>2222</v>
      </c>
      <c r="W387" s="69" t="str">
        <f t="shared" si="419"/>
        <v>Key-INFRA-387</v>
      </c>
      <c r="X387" s="28" t="s">
        <v>2117</v>
      </c>
      <c r="Y387" s="40" t="s">
        <v>2174</v>
      </c>
      <c r="Z387" s="40" t="s">
        <v>1</v>
      </c>
      <c r="AA387" s="28" t="str">
        <f t="shared" si="345"/>
        <v>Network data overhead logic.</v>
      </c>
    </row>
    <row r="388" spans="1:27" ht="6.65" customHeight="1" x14ac:dyDescent="0.4">
      <c r="A388" s="77">
        <v>388</v>
      </c>
      <c r="B388" s="66" t="s">
        <v>2219</v>
      </c>
      <c r="C388" s="30" t="s">
        <v>1876</v>
      </c>
      <c r="D388" s="29" t="s">
        <v>1897</v>
      </c>
      <c r="E388" s="29" t="s">
        <v>1907</v>
      </c>
      <c r="F388" s="29" t="s">
        <v>1901</v>
      </c>
      <c r="G388" s="78" t="s">
        <v>1</v>
      </c>
      <c r="H388" s="78" t="s">
        <v>1</v>
      </c>
      <c r="I388" s="78" t="s">
        <v>1</v>
      </c>
      <c r="J388" s="78" t="s">
        <v>1</v>
      </c>
      <c r="K388" s="78" t="s">
        <v>1</v>
      </c>
      <c r="L388" s="27" t="str">
        <f t="shared" ref="L388:L389" si="420">SUBSTITUTE(CONCATENATE("", C388), ".", " ")</f>
        <v>Redes</v>
      </c>
      <c r="M388" s="27" t="str">
        <f t="shared" ref="M388:M389" si="421">SUBSTITUTE(CONCATENATE("", D388), ".", " ")</f>
        <v>Redes de Telecom</v>
      </c>
      <c r="N388" s="27" t="str">
        <f t="shared" ref="N388:N389" si="422">SUBSTITUTE(CONCATENATE("", E388), ".", " ")</f>
        <v>Redes de Dados</v>
      </c>
      <c r="O388" s="27" t="str">
        <f t="shared" ref="O388:O389" si="423">SUBSTITUTE(CONCATENATE("", F388), ".", " ")</f>
        <v>Rede de Dados Subterrânea</v>
      </c>
      <c r="P388" s="28" t="s">
        <v>1874</v>
      </c>
      <c r="Q388" s="28" t="s">
        <v>1959</v>
      </c>
      <c r="R388" s="28" t="s">
        <v>1</v>
      </c>
      <c r="S388" s="28" t="str">
        <f t="shared" ref="S388:S389" si="424">SUBSTITUTE(C388, ".", " ")</f>
        <v>Redes</v>
      </c>
      <c r="T388" s="28" t="str">
        <f t="shared" ref="T388:T389" si="425">SUBSTITUTE(D388, ".", " ")</f>
        <v>Redes de Telecom</v>
      </c>
      <c r="U388" s="28" t="str">
        <f t="shared" ref="U388:U389" si="426">SUBSTITUTE(E388, ".", " ")</f>
        <v>Redes de Dados</v>
      </c>
      <c r="V388" s="28" t="s">
        <v>2222</v>
      </c>
      <c r="W388" s="69" t="str">
        <f t="shared" si="419"/>
        <v>Key-INFRA-388</v>
      </c>
      <c r="X388" s="28" t="s">
        <v>2117</v>
      </c>
      <c r="Y388" s="40" t="s">
        <v>2175</v>
      </c>
      <c r="Z388" s="40" t="s">
        <v>1</v>
      </c>
      <c r="AA388" s="28" t="str">
        <f t="shared" si="345"/>
        <v>Network data underground logic.</v>
      </c>
    </row>
    <row r="389" spans="1:27" ht="6.65" customHeight="1" x14ac:dyDescent="0.4">
      <c r="A389" s="77">
        <v>389</v>
      </c>
      <c r="B389" s="66" t="s">
        <v>2219</v>
      </c>
      <c r="C389" s="30" t="s">
        <v>1876</v>
      </c>
      <c r="D389" s="29" t="s">
        <v>1897</v>
      </c>
      <c r="E389" s="29" t="s">
        <v>1907</v>
      </c>
      <c r="F389" s="29" t="s">
        <v>1975</v>
      </c>
      <c r="G389" s="78" t="s">
        <v>1</v>
      </c>
      <c r="H389" s="78" t="s">
        <v>1</v>
      </c>
      <c r="I389" s="78" t="s">
        <v>1</v>
      </c>
      <c r="J389" s="78" t="s">
        <v>1</v>
      </c>
      <c r="K389" s="78" t="s">
        <v>1</v>
      </c>
      <c r="L389" s="27" t="str">
        <f t="shared" si="420"/>
        <v>Redes</v>
      </c>
      <c r="M389" s="27" t="str">
        <f t="shared" si="421"/>
        <v>Redes de Telecom</v>
      </c>
      <c r="N389" s="27" t="str">
        <f t="shared" si="422"/>
        <v>Redes de Dados</v>
      </c>
      <c r="O389" s="27" t="str">
        <f t="shared" si="423"/>
        <v>Rede de Dados Ponto de Acesso</v>
      </c>
      <c r="P389" s="28" t="s">
        <v>1872</v>
      </c>
      <c r="Q389" s="28" t="s">
        <v>1962</v>
      </c>
      <c r="R389" s="28" t="s">
        <v>1</v>
      </c>
      <c r="S389" s="28" t="str">
        <f t="shared" si="424"/>
        <v>Redes</v>
      </c>
      <c r="T389" s="28" t="str">
        <f t="shared" si="425"/>
        <v>Redes de Telecom</v>
      </c>
      <c r="U389" s="28" t="str">
        <f t="shared" si="426"/>
        <v>Redes de Dados</v>
      </c>
      <c r="V389" s="28" t="s">
        <v>2222</v>
      </c>
      <c r="W389" s="69" t="str">
        <f t="shared" si="419"/>
        <v>Key-INFRA-389</v>
      </c>
      <c r="X389" s="28" t="s">
        <v>2117</v>
      </c>
      <c r="Y389" s="40" t="s">
        <v>2176</v>
      </c>
      <c r="Z389" s="40" t="s">
        <v>1</v>
      </c>
      <c r="AA389" s="28" t="str">
        <f t="shared" si="345"/>
        <v>Aerial Mobile Internet Network.</v>
      </c>
    </row>
    <row r="390" spans="1:27" ht="6.65" customHeight="1" x14ac:dyDescent="0.4">
      <c r="A390" s="77">
        <v>390</v>
      </c>
      <c r="B390" s="66" t="s">
        <v>2219</v>
      </c>
      <c r="C390" s="30" t="s">
        <v>1876</v>
      </c>
      <c r="D390" s="29" t="s">
        <v>1897</v>
      </c>
      <c r="E390" s="29" t="s">
        <v>1974</v>
      </c>
      <c r="F390" s="29" t="s">
        <v>1902</v>
      </c>
      <c r="G390" s="78" t="s">
        <v>1</v>
      </c>
      <c r="H390" s="78" t="s">
        <v>1</v>
      </c>
      <c r="I390" s="78" t="s">
        <v>1</v>
      </c>
      <c r="J390" s="78" t="s">
        <v>1</v>
      </c>
      <c r="K390" s="78" t="s">
        <v>1</v>
      </c>
      <c r="L390" s="27" t="str">
        <f t="shared" si="405"/>
        <v>Redes</v>
      </c>
      <c r="M390" s="27" t="str">
        <f t="shared" si="406"/>
        <v>Redes de Telecom</v>
      </c>
      <c r="N390" s="27" t="str">
        <f t="shared" si="407"/>
        <v>Redes de Net</v>
      </c>
      <c r="O390" s="27" t="str">
        <f t="shared" si="408"/>
        <v>Rede Net Fixa Aerea</v>
      </c>
      <c r="P390" s="28" t="s">
        <v>1871</v>
      </c>
      <c r="Q390" s="28" t="s">
        <v>1960</v>
      </c>
      <c r="R390" s="28" t="s">
        <v>1</v>
      </c>
      <c r="S390" s="28" t="str">
        <f t="shared" si="409"/>
        <v>Redes</v>
      </c>
      <c r="T390" s="28" t="str">
        <f t="shared" si="410"/>
        <v>Redes de Telecom</v>
      </c>
      <c r="U390" s="28" t="str">
        <f t="shared" si="411"/>
        <v>Redes de Net</v>
      </c>
      <c r="V390" s="28" t="s">
        <v>2222</v>
      </c>
      <c r="W390" s="69" t="str">
        <f t="shared" si="419"/>
        <v>Key-INFRA-390</v>
      </c>
      <c r="X390" s="28" t="s">
        <v>2117</v>
      </c>
      <c r="Y390" s="40" t="s">
        <v>2176</v>
      </c>
      <c r="Z390" s="40" t="s">
        <v>1</v>
      </c>
      <c r="AA390" s="28" t="str">
        <f t="shared" si="345"/>
        <v>Aerial Fixed Internet Network.</v>
      </c>
    </row>
    <row r="391" spans="1:27" ht="6.65" customHeight="1" x14ac:dyDescent="0.4">
      <c r="A391" s="77">
        <v>391</v>
      </c>
      <c r="B391" s="66" t="s">
        <v>2219</v>
      </c>
      <c r="C391" s="30" t="s">
        <v>1876</v>
      </c>
      <c r="D391" s="29" t="s">
        <v>1897</v>
      </c>
      <c r="E391" s="29" t="s">
        <v>1974</v>
      </c>
      <c r="F391" s="29" t="s">
        <v>1903</v>
      </c>
      <c r="G391" s="78" t="s">
        <v>1</v>
      </c>
      <c r="H391" s="78" t="s">
        <v>1</v>
      </c>
      <c r="I391" s="78" t="s">
        <v>1</v>
      </c>
      <c r="J391" s="78" t="s">
        <v>1</v>
      </c>
      <c r="K391" s="78" t="s">
        <v>1</v>
      </c>
      <c r="L391" s="27" t="str">
        <f t="shared" si="405"/>
        <v>Redes</v>
      </c>
      <c r="M391" s="27" t="str">
        <f t="shared" si="406"/>
        <v>Redes de Telecom</v>
      </c>
      <c r="N391" s="27" t="str">
        <f t="shared" si="407"/>
        <v>Redes de Net</v>
      </c>
      <c r="O391" s="27" t="str">
        <f t="shared" si="408"/>
        <v>Rede Net Fixa Subterrânea</v>
      </c>
      <c r="P391" s="28" t="s">
        <v>1875</v>
      </c>
      <c r="Q391" s="28" t="s">
        <v>1961</v>
      </c>
      <c r="R391" s="28" t="s">
        <v>1</v>
      </c>
      <c r="S391" s="28" t="str">
        <f t="shared" si="409"/>
        <v>Redes</v>
      </c>
      <c r="T391" s="28" t="str">
        <f t="shared" si="410"/>
        <v>Redes de Telecom</v>
      </c>
      <c r="U391" s="28" t="str">
        <f t="shared" si="411"/>
        <v>Redes de Net</v>
      </c>
      <c r="V391" s="28" t="s">
        <v>2222</v>
      </c>
      <c r="W391" s="69" t="str">
        <f t="shared" si="419"/>
        <v>Key-INFRA-391</v>
      </c>
      <c r="X391" s="28" t="s">
        <v>2117</v>
      </c>
      <c r="Y391" s="40" t="s">
        <v>2173</v>
      </c>
      <c r="Z391" s="40" t="s">
        <v>1</v>
      </c>
      <c r="AA391" s="28" t="str">
        <f t="shared" si="345"/>
        <v>Underground Fixed Internet Network.</v>
      </c>
    </row>
    <row r="392" spans="1:27" ht="6.65" customHeight="1" x14ac:dyDescent="0.4">
      <c r="A392" s="77">
        <v>392</v>
      </c>
      <c r="B392" s="66" t="s">
        <v>2219</v>
      </c>
      <c r="C392" s="30" t="s">
        <v>1876</v>
      </c>
      <c r="D392" s="29" t="s">
        <v>1897</v>
      </c>
      <c r="E392" s="29" t="s">
        <v>1908</v>
      </c>
      <c r="F392" s="29" t="s">
        <v>1904</v>
      </c>
      <c r="G392" s="78" t="s">
        <v>1</v>
      </c>
      <c r="H392" s="78" t="s">
        <v>1</v>
      </c>
      <c r="I392" s="78" t="s">
        <v>1</v>
      </c>
      <c r="J392" s="78" t="s">
        <v>1</v>
      </c>
      <c r="K392" s="78" t="s">
        <v>1</v>
      </c>
      <c r="L392" s="27" t="str">
        <f t="shared" ref="L392" si="427">SUBSTITUTE(CONCATENATE("", C392), ".", " ")</f>
        <v>Redes</v>
      </c>
      <c r="M392" s="27" t="str">
        <f t="shared" ref="M392" si="428">SUBSTITUTE(CONCATENATE("", D392), ".", " ")</f>
        <v>Redes de Telecom</v>
      </c>
      <c r="N392" s="27" t="str">
        <f t="shared" ref="N392" si="429">SUBSTITUTE(CONCATENATE("", E392), ".", " ")</f>
        <v>Redes de Telefonia</v>
      </c>
      <c r="O392" s="27" t="str">
        <f t="shared" ref="O392" si="430">SUBSTITUTE(CONCATENATE("", F392), ".", " ")</f>
        <v>Rede Telefonia Aerea</v>
      </c>
      <c r="P392" s="28" t="s">
        <v>1869</v>
      </c>
      <c r="Q392" s="28" t="s">
        <v>1963</v>
      </c>
      <c r="R392" s="28" t="s">
        <v>1</v>
      </c>
      <c r="S392" s="28" t="str">
        <f t="shared" ref="S392" si="431">SUBSTITUTE(C392, ".", " ")</f>
        <v>Redes</v>
      </c>
      <c r="T392" s="28" t="str">
        <f t="shared" ref="T392" si="432">SUBSTITUTE(D392, ".", " ")</f>
        <v>Redes de Telecom</v>
      </c>
      <c r="U392" s="28" t="str">
        <f t="shared" ref="U392" si="433">SUBSTITUTE(E392, ".", " ")</f>
        <v>Redes de Telefonia</v>
      </c>
      <c r="V392" s="28" t="s">
        <v>2222</v>
      </c>
      <c r="W392" s="69" t="str">
        <f t="shared" si="419"/>
        <v>Key-INFRA-392</v>
      </c>
      <c r="X392" s="28" t="s">
        <v>2117</v>
      </c>
      <c r="Y392" s="40" t="s">
        <v>2173</v>
      </c>
      <c r="Z392" s="40" t="s">
        <v>1</v>
      </c>
      <c r="AA392" s="28" t="str">
        <f t="shared" si="345"/>
        <v>Air telephone network.</v>
      </c>
    </row>
    <row r="393" spans="1:27" ht="6.65" customHeight="1" x14ac:dyDescent="0.4">
      <c r="A393" s="77">
        <v>393</v>
      </c>
      <c r="B393" s="66" t="s">
        <v>2219</v>
      </c>
      <c r="C393" s="30" t="s">
        <v>1876</v>
      </c>
      <c r="D393" s="29" t="s">
        <v>1897</v>
      </c>
      <c r="E393" s="29" t="s">
        <v>1908</v>
      </c>
      <c r="F393" s="29" t="s">
        <v>1905</v>
      </c>
      <c r="G393" s="78" t="s">
        <v>1</v>
      </c>
      <c r="H393" s="78" t="s">
        <v>1</v>
      </c>
      <c r="I393" s="78" t="s">
        <v>1</v>
      </c>
      <c r="J393" s="78" t="s">
        <v>1</v>
      </c>
      <c r="K393" s="78" t="s">
        <v>1</v>
      </c>
      <c r="L393" s="27" t="str">
        <f t="shared" ref="L393" si="434">SUBSTITUTE(CONCATENATE("", C393), ".", " ")</f>
        <v>Redes</v>
      </c>
      <c r="M393" s="27" t="str">
        <f t="shared" ref="M393" si="435">SUBSTITUTE(CONCATENATE("", D393), ".", " ")</f>
        <v>Redes de Telecom</v>
      </c>
      <c r="N393" s="27" t="str">
        <f t="shared" ref="N393" si="436">SUBSTITUTE(CONCATENATE("", E393), ".", " ")</f>
        <v>Redes de Telefonia</v>
      </c>
      <c r="O393" s="27" t="str">
        <f t="shared" ref="O393" si="437">SUBSTITUTE(CONCATENATE("", F393), ".", " ")</f>
        <v>Rede Telefonia Subterrânea</v>
      </c>
      <c r="P393" s="28" t="s">
        <v>1873</v>
      </c>
      <c r="Q393" s="28" t="s">
        <v>1957</v>
      </c>
      <c r="R393" s="28" t="s">
        <v>1</v>
      </c>
      <c r="S393" s="28" t="str">
        <f t="shared" ref="S393" si="438">SUBSTITUTE(C393, ".", " ")</f>
        <v>Redes</v>
      </c>
      <c r="T393" s="28" t="str">
        <f t="shared" ref="T393" si="439">SUBSTITUTE(D393, ".", " ")</f>
        <v>Redes de Telecom</v>
      </c>
      <c r="U393" s="28" t="str">
        <f t="shared" ref="U393" si="440">SUBSTITUTE(E393, ".", " ")</f>
        <v>Redes de Telefonia</v>
      </c>
      <c r="V393" s="28" t="s">
        <v>2222</v>
      </c>
      <c r="W393" s="69" t="str">
        <f t="shared" si="419"/>
        <v>Key-INFRA-393</v>
      </c>
      <c r="X393" s="28" t="s">
        <v>2117</v>
      </c>
      <c r="Y393" s="40" t="s">
        <v>2177</v>
      </c>
      <c r="Z393" s="40" t="s">
        <v>1</v>
      </c>
      <c r="AA393" s="28" t="str">
        <f t="shared" ref="AA393" si="441">_xlfn.TRANSLATE(P393,"pt","en")</f>
        <v>Underground telephone network.</v>
      </c>
    </row>
  </sheetData>
  <phoneticPr fontId="1" type="noConversion"/>
  <conditionalFormatting sqref="A2:B393">
    <cfRule type="cellIs" dxfId="66" priority="6" operator="equal">
      <formula>"null"</formula>
    </cfRule>
  </conditionalFormatting>
  <conditionalFormatting sqref="C14:D357 F43:F348 L43:Q348 AB43:XFD357 S43:U393">
    <cfRule type="cellIs" dxfId="65" priority="27" operator="equal">
      <formula>"null"</formula>
    </cfRule>
  </conditionalFormatting>
  <conditionalFormatting sqref="F1 F14:F31 F349:F357 F394:F1048576 A1:D1 L1:Q1 S1:W1 AB1:XFD1 L14:Q18 S14:U30 AB14:XFD31 L19:O21 Q19:Q21 L22:Q31 S31:T31 U31:U42 O32:O42 L349:P357 C358:C393 A394:D1048576 L394:Q1048576 S394:W1048576 AA394:XFD1048576">
    <cfRule type="cellIs" dxfId="64" priority="384" operator="equal">
      <formula>"null"</formula>
    </cfRule>
  </conditionalFormatting>
  <conditionalFormatting sqref="F1">
    <cfRule type="duplicateValues" dxfId="63" priority="1422"/>
  </conditionalFormatting>
  <conditionalFormatting sqref="F3:F6">
    <cfRule type="duplicateValues" dxfId="62" priority="1"/>
    <cfRule type="duplicateValues" dxfId="61" priority="2"/>
    <cfRule type="duplicateValues" dxfId="60" priority="3"/>
    <cfRule type="duplicateValues" dxfId="59" priority="4"/>
  </conditionalFormatting>
  <conditionalFormatting sqref="F7:F13">
    <cfRule type="duplicateValues" dxfId="58" priority="25"/>
    <cfRule type="duplicateValues" dxfId="57" priority="26"/>
  </conditionalFormatting>
  <conditionalFormatting sqref="F32:F33">
    <cfRule type="duplicateValues" dxfId="56" priority="94"/>
    <cfRule type="duplicateValues" dxfId="55" priority="95"/>
  </conditionalFormatting>
  <conditionalFormatting sqref="F32:F42">
    <cfRule type="duplicateValues" dxfId="54" priority="961"/>
  </conditionalFormatting>
  <conditionalFormatting sqref="F34:F42">
    <cfRule type="duplicateValues" dxfId="53" priority="966"/>
    <cfRule type="duplicateValues" dxfId="52" priority="965"/>
    <cfRule type="duplicateValues" dxfId="51" priority="964"/>
    <cfRule type="duplicateValues" dxfId="50" priority="963"/>
  </conditionalFormatting>
  <conditionalFormatting sqref="F43:F100 F14:F31">
    <cfRule type="duplicateValues" dxfId="49" priority="1314"/>
  </conditionalFormatting>
  <conditionalFormatting sqref="F101:F110">
    <cfRule type="duplicateValues" dxfId="48" priority="46"/>
    <cfRule type="duplicateValues" dxfId="47" priority="47"/>
  </conditionalFormatting>
  <conditionalFormatting sqref="F118:F121">
    <cfRule type="duplicateValues" dxfId="46" priority="33"/>
    <cfRule type="duplicateValues" dxfId="45" priority="34"/>
  </conditionalFormatting>
  <conditionalFormatting sqref="F145:F163">
    <cfRule type="duplicateValues" dxfId="44" priority="49"/>
  </conditionalFormatting>
  <conditionalFormatting sqref="F145:F179">
    <cfRule type="duplicateValues" dxfId="43" priority="50"/>
  </conditionalFormatting>
  <conditionalFormatting sqref="F164:F179">
    <cfRule type="duplicateValues" dxfId="42" priority="48"/>
  </conditionalFormatting>
  <conditionalFormatting sqref="F180:F189">
    <cfRule type="duplicateValues" dxfId="41" priority="62"/>
  </conditionalFormatting>
  <conditionalFormatting sqref="F190:F211 F111:F117 F122:F144">
    <cfRule type="duplicateValues" dxfId="40" priority="1250"/>
  </conditionalFormatting>
  <conditionalFormatting sqref="F212:F217">
    <cfRule type="duplicateValues" dxfId="39" priority="578"/>
  </conditionalFormatting>
  <conditionalFormatting sqref="F287:F295">
    <cfRule type="duplicateValues" dxfId="38" priority="776"/>
  </conditionalFormatting>
  <conditionalFormatting sqref="F287:F357">
    <cfRule type="duplicateValues" dxfId="37" priority="1628"/>
  </conditionalFormatting>
  <conditionalFormatting sqref="F296">
    <cfRule type="duplicateValues" dxfId="36" priority="359"/>
  </conditionalFormatting>
  <conditionalFormatting sqref="F297">
    <cfRule type="duplicateValues" dxfId="35" priority="457"/>
    <cfRule type="duplicateValues" dxfId="34" priority="458"/>
    <cfRule type="duplicateValues" dxfId="33" priority="459"/>
    <cfRule type="duplicateValues" dxfId="32" priority="455"/>
    <cfRule type="duplicateValues" dxfId="31" priority="454"/>
    <cfRule type="duplicateValues" dxfId="30" priority="453"/>
    <cfRule type="duplicateValues" dxfId="29" priority="456"/>
  </conditionalFormatting>
  <conditionalFormatting sqref="F298:F304">
    <cfRule type="duplicateValues" dxfId="28" priority="747"/>
  </conditionalFormatting>
  <conditionalFormatting sqref="F320:F324 F305:F311 F316:F317">
    <cfRule type="duplicateValues" dxfId="27" priority="461"/>
  </conditionalFormatting>
  <conditionalFormatting sqref="F338">
    <cfRule type="duplicateValues" dxfId="26" priority="31"/>
  </conditionalFormatting>
  <conditionalFormatting sqref="F358:F384">
    <cfRule type="duplicateValues" dxfId="25" priority="1587"/>
    <cfRule type="duplicateValues" dxfId="24" priority="1588"/>
  </conditionalFormatting>
  <conditionalFormatting sqref="F385:F393">
    <cfRule type="duplicateValues" dxfId="23" priority="1663"/>
    <cfRule type="duplicateValues" dxfId="22" priority="1662"/>
  </conditionalFormatting>
  <conditionalFormatting sqref="F394:F1048576 F1 F14:F357">
    <cfRule type="duplicateValues" dxfId="21" priority="88"/>
    <cfRule type="duplicateValues" dxfId="20" priority="87"/>
  </conditionalFormatting>
  <conditionalFormatting sqref="F394:F1048576 F1 F43:F357 F14:F31">
    <cfRule type="duplicateValues" dxfId="19" priority="901"/>
    <cfRule type="duplicateValues" dxfId="18" priority="920"/>
  </conditionalFormatting>
  <conditionalFormatting sqref="F394:F1048576 F1 F101:F117 F122:F144 F190:F286">
    <cfRule type="duplicateValues" dxfId="17" priority="916"/>
  </conditionalFormatting>
  <conditionalFormatting sqref="F394:F1048576 F1 F101:F179 F190:F357">
    <cfRule type="duplicateValues" dxfId="16" priority="904"/>
  </conditionalFormatting>
  <conditionalFormatting sqref="F394:F1048576 F1 F190:F217 F111:F117 F122:F144">
    <cfRule type="duplicateValues" dxfId="15" priority="908"/>
  </conditionalFormatting>
  <conditionalFormatting sqref="F394:F1048576 F1 F190:F240 F101:F117 F122:F144">
    <cfRule type="duplicateValues" dxfId="14" priority="912"/>
  </conditionalFormatting>
  <conditionalFormatting sqref="AA1:AA393">
    <cfRule type="cellIs" dxfId="13" priority="5" operator="equal">
      <formula>"null"</formula>
    </cfRule>
  </conditionalFormatting>
  <pageMargins left="0.511811024" right="0.511811024" top="0.78740157499999996" bottom="0.78740157499999996" header="0.31496062000000002" footer="0.31496062000000002"/>
  <ignoredErrors>
    <ignoredError sqref="K2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5234375" defaultRowHeight="7.95" customHeight="1" x14ac:dyDescent="0.2"/>
  <cols>
    <col min="1" max="1" width="2.53515625" style="1" bestFit="1" customWidth="1"/>
    <col min="2" max="10" width="6" style="2" bestFit="1" customWidth="1"/>
    <col min="11" max="21" width="6" style="5" bestFit="1" customWidth="1"/>
    <col min="22" max="16384" width="11.15234375" style="5"/>
  </cols>
  <sheetData>
    <row r="1" spans="1:21" s="3" customFormat="1" ht="49.5" customHeight="1" x14ac:dyDescent="0.2">
      <c r="A1" s="23" t="s">
        <v>22</v>
      </c>
      <c r="B1" s="24" t="s">
        <v>2</v>
      </c>
      <c r="C1" s="24" t="s">
        <v>3</v>
      </c>
      <c r="D1" s="24" t="s">
        <v>4</v>
      </c>
      <c r="E1" s="24" t="s">
        <v>5</v>
      </c>
      <c r="F1" s="24" t="s">
        <v>6</v>
      </c>
      <c r="G1" s="24" t="s">
        <v>7</v>
      </c>
      <c r="H1" s="24" t="s">
        <v>8</v>
      </c>
      <c r="I1" s="24" t="s">
        <v>9</v>
      </c>
      <c r="J1" s="24" t="s">
        <v>10</v>
      </c>
      <c r="K1" s="24" t="s">
        <v>11</v>
      </c>
      <c r="L1" s="24" t="s">
        <v>12</v>
      </c>
      <c r="M1" s="24" t="s">
        <v>13</v>
      </c>
      <c r="N1" s="24" t="s">
        <v>14</v>
      </c>
      <c r="O1" s="24" t="s">
        <v>15</v>
      </c>
      <c r="P1" s="24" t="s">
        <v>16</v>
      </c>
      <c r="Q1" s="24" t="s">
        <v>17</v>
      </c>
      <c r="R1" s="24" t="s">
        <v>18</v>
      </c>
      <c r="S1" s="24" t="s">
        <v>19</v>
      </c>
      <c r="T1" s="24" t="s">
        <v>20</v>
      </c>
      <c r="U1" s="24" t="s">
        <v>21</v>
      </c>
    </row>
    <row r="2" spans="1:21" ht="9" customHeight="1" x14ac:dyDescent="0.2">
      <c r="A2" s="23">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2">
      <c r="A3" s="23">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12"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13"/>
  <sheetViews>
    <sheetView zoomScale="295" zoomScaleNormal="295" workbookViewId="0">
      <pane ySplit="1" topLeftCell="A2" activePane="bottomLeft" state="frozen"/>
      <selection activeCell="C18" sqref="C18"/>
      <selection pane="bottomLeft" activeCell="D15" sqref="D15"/>
    </sheetView>
  </sheetViews>
  <sheetFormatPr defaultColWidth="9.15234375" defaultRowHeight="6" customHeight="1" x14ac:dyDescent="0.4"/>
  <cols>
    <col min="1" max="1" width="2.69140625" bestFit="1" customWidth="1"/>
    <col min="2" max="2" width="10.53515625" bestFit="1" customWidth="1"/>
    <col min="3" max="3" width="7.84375" bestFit="1" customWidth="1"/>
  </cols>
  <sheetData>
    <row r="1" spans="1:4" ht="12.65" customHeight="1" x14ac:dyDescent="0.4">
      <c r="A1" s="21">
        <v>1</v>
      </c>
      <c r="B1" s="22" t="s">
        <v>76</v>
      </c>
      <c r="C1" s="22" t="s">
        <v>77</v>
      </c>
      <c r="D1" s="22" t="s">
        <v>77</v>
      </c>
    </row>
    <row r="2" spans="1:4" s="42" customFormat="1" ht="6" customHeight="1" x14ac:dyDescent="0.2">
      <c r="A2" s="13">
        <v>2</v>
      </c>
      <c r="B2" s="59" t="s">
        <v>678</v>
      </c>
      <c r="C2" s="60" t="s">
        <v>676</v>
      </c>
      <c r="D2" s="60" t="s">
        <v>1</v>
      </c>
    </row>
    <row r="3" spans="1:4" s="42" customFormat="1" ht="6" customHeight="1" x14ac:dyDescent="0.2">
      <c r="A3" s="13">
        <v>3</v>
      </c>
      <c r="B3" s="59" t="s">
        <v>632</v>
      </c>
      <c r="C3" s="60" t="s">
        <v>633</v>
      </c>
      <c r="D3" s="60" t="s">
        <v>1</v>
      </c>
    </row>
    <row r="4" spans="1:4" s="42" customFormat="1" ht="6" customHeight="1" x14ac:dyDescent="0.2">
      <c r="A4" s="13">
        <v>4</v>
      </c>
      <c r="B4" s="59" t="s">
        <v>637</v>
      </c>
      <c r="C4" s="60" t="s">
        <v>638</v>
      </c>
      <c r="D4" s="60" t="s">
        <v>640</v>
      </c>
    </row>
    <row r="5" spans="1:4" s="42" customFormat="1" ht="6" customHeight="1" x14ac:dyDescent="0.2">
      <c r="A5" s="13">
        <v>5</v>
      </c>
      <c r="B5" s="59" t="s">
        <v>58</v>
      </c>
      <c r="C5" s="34" t="s">
        <v>644</v>
      </c>
      <c r="D5" s="34" t="s">
        <v>645</v>
      </c>
    </row>
    <row r="6" spans="1:4" s="42" customFormat="1" ht="6" customHeight="1" x14ac:dyDescent="0.2">
      <c r="A6" s="13">
        <v>6</v>
      </c>
      <c r="B6" s="59" t="s">
        <v>647</v>
      </c>
      <c r="C6" s="34" t="s">
        <v>649</v>
      </c>
      <c r="D6" s="60" t="s">
        <v>1</v>
      </c>
    </row>
    <row r="7" spans="1:4" ht="6" customHeight="1" x14ac:dyDescent="0.4">
      <c r="A7" s="13">
        <v>7</v>
      </c>
      <c r="B7" s="59" t="s">
        <v>547</v>
      </c>
      <c r="C7" s="60" t="s">
        <v>564</v>
      </c>
      <c r="D7" s="60" t="s">
        <v>1</v>
      </c>
    </row>
    <row r="8" spans="1:4" ht="6" customHeight="1" x14ac:dyDescent="0.4">
      <c r="A8" s="13">
        <v>8</v>
      </c>
      <c r="B8" s="61" t="s">
        <v>1528</v>
      </c>
      <c r="C8" s="29" t="s">
        <v>158</v>
      </c>
      <c r="D8" s="60" t="s">
        <v>1</v>
      </c>
    </row>
    <row r="9" spans="1:4" ht="6" customHeight="1" x14ac:dyDescent="0.4">
      <c r="A9" s="13">
        <v>9</v>
      </c>
      <c r="B9" s="61" t="s">
        <v>1662</v>
      </c>
      <c r="C9" s="29" t="s">
        <v>1516</v>
      </c>
      <c r="D9" s="60" t="s">
        <v>1</v>
      </c>
    </row>
    <row r="10" spans="1:4" ht="6" customHeight="1" x14ac:dyDescent="0.4">
      <c r="A10" s="13">
        <v>10</v>
      </c>
      <c r="B10" s="61" t="s">
        <v>1670</v>
      </c>
      <c r="C10" s="29" t="s">
        <v>1669</v>
      </c>
      <c r="D10" s="60" t="s">
        <v>1</v>
      </c>
    </row>
    <row r="11" spans="1:4" ht="6" customHeight="1" x14ac:dyDescent="0.4">
      <c r="A11" s="13">
        <v>11</v>
      </c>
      <c r="B11" s="61" t="s">
        <v>1668</v>
      </c>
      <c r="C11" s="29" t="s">
        <v>1667</v>
      </c>
      <c r="D11" s="60" t="s">
        <v>1</v>
      </c>
    </row>
    <row r="12" spans="1:4" ht="6" customHeight="1" x14ac:dyDescent="0.4">
      <c r="A12" s="13">
        <v>12</v>
      </c>
      <c r="B12" s="61" t="s">
        <v>1653</v>
      </c>
      <c r="C12" s="29" t="s">
        <v>1708</v>
      </c>
      <c r="D12" s="60" t="s">
        <v>1709</v>
      </c>
    </row>
    <row r="13" spans="1:4" ht="6" customHeight="1" x14ac:dyDescent="0.4">
      <c r="A13" s="13">
        <v>13</v>
      </c>
      <c r="B13" s="61" t="s">
        <v>1712</v>
      </c>
      <c r="C13" s="29" t="s">
        <v>1717</v>
      </c>
      <c r="D13" s="60" t="s">
        <v>1</v>
      </c>
    </row>
  </sheetData>
  <conditionalFormatting sqref="A1:A13">
    <cfRule type="cellIs" dxfId="11" priority="32" operator="equal">
      <formula>"null"</formula>
    </cfRule>
  </conditionalFormatting>
  <conditionalFormatting sqref="B8:B10">
    <cfRule type="duplicateValues" dxfId="10" priority="30"/>
  </conditionalFormatting>
  <conditionalFormatting sqref="B11:B13">
    <cfRule type="duplicateValues" dxfId="9" priority="13"/>
  </conditionalFormatting>
  <conditionalFormatting sqref="B8:C13">
    <cfRule type="cellIs" dxfId="8" priority="9" operator="equal">
      <formula>"null"</formula>
    </cfRule>
  </conditionalFormatting>
  <conditionalFormatting sqref="C8:C10">
    <cfRule type="duplicateValues" dxfId="7" priority="26"/>
    <cfRule type="duplicateValues" dxfId="6" priority="27"/>
    <cfRule type="duplicateValues" dxfId="5" priority="28"/>
  </conditionalFormatting>
  <conditionalFormatting sqref="C11:C13">
    <cfRule type="duplicateValues" dxfId="4" priority="10"/>
    <cfRule type="duplicateValues" dxfId="3" priority="11"/>
    <cfRule type="duplicateValues" dxfId="2" priority="12"/>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99C1-0E19-4A63-895C-569018907C4F}">
  <dimension ref="A1:BE518"/>
  <sheetViews>
    <sheetView tabSelected="1" zoomScale="280" zoomScaleNormal="280" workbookViewId="0">
      <pane ySplit="1" topLeftCell="A493" activePane="bottomLeft" state="frozen"/>
      <selection pane="bottomLeft" activeCell="D503" sqref="D503"/>
    </sheetView>
  </sheetViews>
  <sheetFormatPr defaultColWidth="9.3046875" defaultRowHeight="6.65" customHeight="1" x14ac:dyDescent="0.4"/>
  <cols>
    <col min="1" max="1" width="3.15234375" style="94" bestFit="1" customWidth="1"/>
    <col min="2" max="2" width="14.3828125" style="70" bestFit="1" customWidth="1"/>
    <col min="3" max="3" width="12.3828125" style="70" bestFit="1" customWidth="1"/>
    <col min="4" max="4" width="9.53515625" style="70" bestFit="1" customWidth="1"/>
    <col min="5" max="5" width="12.3828125" style="70" bestFit="1" customWidth="1"/>
    <col min="6" max="6" width="8.84375" style="70" bestFit="1" customWidth="1"/>
    <col min="7" max="7" width="9.84375" style="70" bestFit="1" customWidth="1"/>
    <col min="8" max="8" width="12.53515625" style="70" bestFit="1" customWidth="1"/>
    <col min="9" max="9" width="14.3046875" style="70" bestFit="1" customWidth="1"/>
    <col min="10" max="10" width="9.3046875" style="70" bestFit="1" customWidth="1"/>
    <col min="11" max="11" width="12.3828125" style="70" bestFit="1" customWidth="1"/>
    <col min="12" max="12" width="4.3046875" style="70" bestFit="1" customWidth="1"/>
    <col min="13" max="13" width="3.84375" style="70" bestFit="1" customWidth="1"/>
    <col min="14" max="14" width="6" style="70" bestFit="1" customWidth="1"/>
    <col min="15" max="15" width="64.3046875" style="70" bestFit="1" customWidth="1"/>
    <col min="16" max="16" width="8.3046875" style="70" bestFit="1" customWidth="1"/>
    <col min="17" max="17" width="19.15234375" style="70" bestFit="1" customWidth="1"/>
    <col min="18" max="18" width="4.3046875" style="70" bestFit="1" customWidth="1"/>
    <col min="19" max="19" width="13.84375" style="70" bestFit="1" customWidth="1"/>
    <col min="20" max="20" width="9.69140625" style="70" bestFit="1" customWidth="1"/>
    <col min="21" max="21" width="10.3046875" style="70" bestFit="1" customWidth="1"/>
    <col min="22" max="22" width="10.3828125" style="70" bestFit="1" customWidth="1"/>
    <col min="23" max="23" width="9.53515625" style="70" bestFit="1" customWidth="1"/>
    <col min="24" max="24" width="12.15234375" style="70" bestFit="1" customWidth="1"/>
    <col min="25" max="25" width="4.84375" style="70" bestFit="1" customWidth="1"/>
    <col min="26" max="26" width="8" style="70" bestFit="1" customWidth="1"/>
    <col min="27" max="27" width="4.15234375" style="70" bestFit="1" customWidth="1"/>
    <col min="28" max="28" width="8.15234375" style="70" bestFit="1" customWidth="1"/>
    <col min="29" max="29" width="5.53515625" style="70" bestFit="1" customWidth="1"/>
    <col min="30" max="30" width="9.3828125" style="70" bestFit="1" customWidth="1"/>
    <col min="31" max="31" width="3.84375" style="70" bestFit="1" customWidth="1"/>
    <col min="32" max="32" width="7" style="70" bestFit="1" customWidth="1"/>
    <col min="33" max="33" width="5.3046875" style="70" bestFit="1" customWidth="1"/>
    <col min="34" max="34" width="7.15234375" style="70" bestFit="1" customWidth="1"/>
    <col min="35" max="35" width="5.3046875" style="70" bestFit="1" customWidth="1"/>
    <col min="36" max="36" width="12" style="70" bestFit="1" customWidth="1"/>
    <col min="37" max="37" width="3.84375" style="70" bestFit="1" customWidth="1"/>
    <col min="38" max="38" width="6.3828125" style="70" bestFit="1" customWidth="1"/>
    <col min="39" max="39" width="13.69140625" style="70" bestFit="1" customWidth="1"/>
    <col min="40" max="40" width="8.84375" style="70" bestFit="1" customWidth="1"/>
    <col min="41" max="41" width="56.69140625" style="70" bestFit="1" customWidth="1"/>
    <col min="42" max="42" width="9.3046875" style="70" bestFit="1" customWidth="1"/>
    <col min="43" max="43" width="5.3046875" style="70" bestFit="1" customWidth="1"/>
    <col min="44" max="44" width="11.53515625" style="70" bestFit="1" customWidth="1"/>
    <col min="45" max="45" width="3.84375" style="70" bestFit="1" customWidth="1"/>
    <col min="46" max="46" width="8.3046875" style="70" bestFit="1" customWidth="1"/>
    <col min="47" max="47" width="3.84375" style="70" bestFit="1" customWidth="1"/>
    <col min="48" max="48" width="7.53515625" style="70" bestFit="1" customWidth="1"/>
    <col min="49" max="49" width="3.84375" style="70" bestFit="1" customWidth="1"/>
    <col min="50" max="50" width="8.3828125" style="70" bestFit="1" customWidth="1"/>
    <col min="51" max="51" width="17.3046875" style="70" bestFit="1" customWidth="1"/>
    <col min="52" max="52" width="5.69140625" style="70" bestFit="1" customWidth="1"/>
    <col min="53" max="53" width="19.69140625" style="70" bestFit="1" customWidth="1"/>
    <col min="54" max="54" width="4.3046875" style="70" bestFit="1" customWidth="1"/>
    <col min="55" max="55" width="9.53515625" style="70" bestFit="1" customWidth="1"/>
    <col min="56" max="56" width="5.3046875" style="70" bestFit="1" customWidth="1"/>
    <col min="57" max="57" width="13.69140625" style="70" bestFit="1" customWidth="1"/>
    <col min="58" max="16384" width="9.3046875" style="70"/>
  </cols>
  <sheetData>
    <row r="1" spans="1:57" ht="16.95" customHeight="1" x14ac:dyDescent="0.4">
      <c r="A1" s="92" t="s">
        <v>74</v>
      </c>
      <c r="B1" s="19" t="s">
        <v>34</v>
      </c>
      <c r="C1" s="19" t="s">
        <v>2206</v>
      </c>
      <c r="D1" s="19" t="s">
        <v>33</v>
      </c>
      <c r="E1" s="19" t="s">
        <v>75</v>
      </c>
      <c r="F1" s="19" t="s">
        <v>33</v>
      </c>
      <c r="G1" s="19" t="s">
        <v>75</v>
      </c>
      <c r="H1" s="19" t="s">
        <v>33</v>
      </c>
      <c r="I1" s="19" t="s">
        <v>75</v>
      </c>
      <c r="J1" s="19" t="s">
        <v>33</v>
      </c>
      <c r="K1" s="19" t="s">
        <v>75</v>
      </c>
      <c r="L1" s="19" t="s">
        <v>33</v>
      </c>
      <c r="M1" s="19" t="s">
        <v>75</v>
      </c>
      <c r="N1" s="19" t="s">
        <v>33</v>
      </c>
      <c r="O1" s="19" t="s">
        <v>75</v>
      </c>
      <c r="P1" s="19"/>
      <c r="Q1" s="19"/>
      <c r="R1" s="19" t="s">
        <v>33</v>
      </c>
      <c r="S1" s="19" t="s">
        <v>75</v>
      </c>
      <c r="T1" s="19" t="s">
        <v>33</v>
      </c>
      <c r="U1" s="19" t="s">
        <v>75</v>
      </c>
      <c r="V1" s="19" t="s">
        <v>33</v>
      </c>
      <c r="W1" s="19" t="s">
        <v>75</v>
      </c>
      <c r="X1" s="19" t="s">
        <v>33</v>
      </c>
      <c r="Y1" s="39" t="s">
        <v>75</v>
      </c>
      <c r="Z1" s="19" t="s">
        <v>33</v>
      </c>
      <c r="AA1" s="39" t="s">
        <v>75</v>
      </c>
      <c r="AB1" s="19" t="s">
        <v>33</v>
      </c>
      <c r="AC1" s="39" t="s">
        <v>75</v>
      </c>
      <c r="AD1" s="19" t="s">
        <v>33</v>
      </c>
      <c r="AE1" s="38" t="s">
        <v>75</v>
      </c>
      <c r="AF1" s="19" t="s">
        <v>33</v>
      </c>
      <c r="AG1" s="38" t="s">
        <v>75</v>
      </c>
      <c r="AH1" s="19" t="s">
        <v>33</v>
      </c>
      <c r="AI1" s="38" t="s">
        <v>75</v>
      </c>
      <c r="AJ1" s="19" t="s">
        <v>33</v>
      </c>
      <c r="AK1" s="38" t="s">
        <v>75</v>
      </c>
      <c r="AL1" s="19" t="s">
        <v>33</v>
      </c>
      <c r="AM1" s="19" t="s">
        <v>75</v>
      </c>
      <c r="AN1" s="19" t="s">
        <v>33</v>
      </c>
      <c r="AO1" s="19" t="s">
        <v>75</v>
      </c>
      <c r="AP1" s="19" t="s">
        <v>33</v>
      </c>
      <c r="AQ1" s="38" t="s">
        <v>75</v>
      </c>
      <c r="AR1" s="19" t="s">
        <v>33</v>
      </c>
      <c r="AS1" s="39" t="s">
        <v>75</v>
      </c>
      <c r="AT1" s="19" t="s">
        <v>33</v>
      </c>
      <c r="AU1" s="39" t="s">
        <v>75</v>
      </c>
      <c r="AV1" s="19" t="s">
        <v>33</v>
      </c>
      <c r="AW1" s="39" t="s">
        <v>75</v>
      </c>
      <c r="AX1" s="19" t="s">
        <v>33</v>
      </c>
      <c r="AY1" s="39" t="s">
        <v>75</v>
      </c>
      <c r="AZ1" s="19" t="s">
        <v>33</v>
      </c>
      <c r="BA1" s="39" t="s">
        <v>75</v>
      </c>
      <c r="BB1" s="19" t="s">
        <v>33</v>
      </c>
      <c r="BC1" s="39" t="s">
        <v>75</v>
      </c>
      <c r="BD1" s="19" t="s">
        <v>33</v>
      </c>
      <c r="BE1" s="39" t="s">
        <v>75</v>
      </c>
    </row>
    <row r="2" spans="1:57" ht="6.65" customHeight="1" x14ac:dyDescent="0.4">
      <c r="A2" s="93">
        <v>2</v>
      </c>
      <c r="B2" s="71" t="s">
        <v>380</v>
      </c>
      <c r="C2" s="72" t="s">
        <v>79</v>
      </c>
      <c r="D2" s="18" t="s">
        <v>1</v>
      </c>
      <c r="E2" s="20" t="s">
        <v>1</v>
      </c>
      <c r="F2" s="18" t="s">
        <v>1</v>
      </c>
      <c r="G2" s="20" t="s">
        <v>1</v>
      </c>
      <c r="H2" s="18" t="s">
        <v>1</v>
      </c>
      <c r="I2" s="20" t="s">
        <v>1</v>
      </c>
      <c r="J2" s="18" t="s">
        <v>1</v>
      </c>
      <c r="K2" s="20" t="s">
        <v>1</v>
      </c>
      <c r="L2" s="18" t="s">
        <v>1</v>
      </c>
      <c r="M2" s="20" t="s">
        <v>1</v>
      </c>
      <c r="N2" s="36" t="s">
        <v>82</v>
      </c>
      <c r="O2" s="31" t="s">
        <v>1295</v>
      </c>
      <c r="P2" s="36" t="s">
        <v>1</v>
      </c>
      <c r="Q2" s="31" t="s">
        <v>1</v>
      </c>
      <c r="R2" s="36" t="s">
        <v>1</v>
      </c>
      <c r="S2" s="31" t="s">
        <v>1</v>
      </c>
      <c r="T2" s="36" t="s">
        <v>1</v>
      </c>
      <c r="U2" s="31" t="s">
        <v>1</v>
      </c>
      <c r="V2" s="36" t="s">
        <v>1</v>
      </c>
      <c r="W2" s="31" t="s">
        <v>1</v>
      </c>
      <c r="X2" s="36" t="s">
        <v>1</v>
      </c>
      <c r="Y2" s="47" t="s">
        <v>1</v>
      </c>
      <c r="Z2" s="36" t="s">
        <v>1</v>
      </c>
      <c r="AA2" s="47" t="s">
        <v>1</v>
      </c>
      <c r="AB2" s="36" t="s">
        <v>1</v>
      </c>
      <c r="AC2" s="47" t="s">
        <v>1</v>
      </c>
      <c r="AD2" s="36" t="s">
        <v>1</v>
      </c>
      <c r="AE2" s="51" t="s">
        <v>1</v>
      </c>
      <c r="AF2" s="36" t="s">
        <v>1</v>
      </c>
      <c r="AG2" s="51" t="s">
        <v>1</v>
      </c>
      <c r="AH2" s="36" t="s">
        <v>1</v>
      </c>
      <c r="AI2" s="51" t="s">
        <v>1</v>
      </c>
      <c r="AJ2" s="36" t="s">
        <v>1</v>
      </c>
      <c r="AK2" s="51" t="s">
        <v>1</v>
      </c>
      <c r="AL2" s="36" t="s">
        <v>1</v>
      </c>
      <c r="AM2" s="31" t="s">
        <v>1</v>
      </c>
      <c r="AN2" s="36" t="s">
        <v>1</v>
      </c>
      <c r="AO2" s="31" t="s">
        <v>1</v>
      </c>
      <c r="AP2" s="36" t="s">
        <v>1</v>
      </c>
      <c r="AQ2" s="51" t="s">
        <v>1</v>
      </c>
      <c r="AR2" s="36" t="s">
        <v>1</v>
      </c>
      <c r="AS2" s="47" t="s">
        <v>1</v>
      </c>
      <c r="AT2" s="36" t="s">
        <v>1</v>
      </c>
      <c r="AU2" s="47" t="s">
        <v>1</v>
      </c>
      <c r="AV2" s="36" t="s">
        <v>1</v>
      </c>
      <c r="AW2" s="47" t="s">
        <v>1</v>
      </c>
      <c r="AX2" s="36" t="s">
        <v>2065</v>
      </c>
      <c r="AY2" s="47" t="s">
        <v>2193</v>
      </c>
      <c r="AZ2" s="36" t="s">
        <v>1299</v>
      </c>
      <c r="BA2" s="47" t="s">
        <v>2193</v>
      </c>
      <c r="BB2" s="36" t="s">
        <v>2188</v>
      </c>
      <c r="BC2" s="47" t="s">
        <v>2190</v>
      </c>
      <c r="BD2" s="36" t="s">
        <v>1</v>
      </c>
      <c r="BE2" s="47" t="s">
        <v>1</v>
      </c>
    </row>
    <row r="3" spans="1:57" ht="6.65" customHeight="1" x14ac:dyDescent="0.4">
      <c r="A3" s="93">
        <v>3</v>
      </c>
      <c r="B3" s="71" t="s">
        <v>103</v>
      </c>
      <c r="C3" s="72" t="s">
        <v>79</v>
      </c>
      <c r="D3" s="18" t="s">
        <v>1</v>
      </c>
      <c r="E3" s="20" t="s">
        <v>1</v>
      </c>
      <c r="F3" s="18" t="s">
        <v>1</v>
      </c>
      <c r="G3" s="20" t="s">
        <v>1</v>
      </c>
      <c r="H3" s="18" t="s">
        <v>1</v>
      </c>
      <c r="I3" s="20" t="s">
        <v>1</v>
      </c>
      <c r="J3" s="18" t="s">
        <v>1</v>
      </c>
      <c r="K3" s="20" t="s">
        <v>1</v>
      </c>
      <c r="L3" s="18" t="s">
        <v>1</v>
      </c>
      <c r="M3" s="20" t="s">
        <v>1</v>
      </c>
      <c r="N3" s="36" t="s">
        <v>82</v>
      </c>
      <c r="O3" s="31" t="s">
        <v>104</v>
      </c>
      <c r="P3" s="46" t="s">
        <v>1</v>
      </c>
      <c r="Q3" s="25" t="s">
        <v>1</v>
      </c>
      <c r="R3" s="36" t="s">
        <v>1</v>
      </c>
      <c r="S3" s="31" t="s">
        <v>1</v>
      </c>
      <c r="T3" s="36" t="s">
        <v>1</v>
      </c>
      <c r="U3" s="31" t="s">
        <v>1</v>
      </c>
      <c r="V3" s="36" t="s">
        <v>1</v>
      </c>
      <c r="W3" s="31" t="s">
        <v>1</v>
      </c>
      <c r="X3" s="36" t="s">
        <v>1</v>
      </c>
      <c r="Y3" s="47" t="s">
        <v>1</v>
      </c>
      <c r="Z3" s="36" t="s">
        <v>1</v>
      </c>
      <c r="AA3" s="47" t="s">
        <v>1</v>
      </c>
      <c r="AB3" s="36" t="s">
        <v>1</v>
      </c>
      <c r="AC3" s="47" t="s">
        <v>1</v>
      </c>
      <c r="AD3" s="36" t="s">
        <v>1</v>
      </c>
      <c r="AE3" s="51" t="s">
        <v>1</v>
      </c>
      <c r="AF3" s="36" t="s">
        <v>1</v>
      </c>
      <c r="AG3" s="51" t="s">
        <v>1</v>
      </c>
      <c r="AH3" s="36" t="s">
        <v>1</v>
      </c>
      <c r="AI3" s="51" t="s">
        <v>1</v>
      </c>
      <c r="AJ3" s="36" t="s">
        <v>1</v>
      </c>
      <c r="AK3" s="51" t="s">
        <v>1</v>
      </c>
      <c r="AL3" s="36" t="s">
        <v>1</v>
      </c>
      <c r="AM3" s="31" t="s">
        <v>1</v>
      </c>
      <c r="AN3" s="36" t="s">
        <v>1</v>
      </c>
      <c r="AO3" s="31" t="s">
        <v>1</v>
      </c>
      <c r="AP3" s="36" t="s">
        <v>1</v>
      </c>
      <c r="AQ3" s="51" t="s">
        <v>1</v>
      </c>
      <c r="AR3" s="36" t="s">
        <v>1</v>
      </c>
      <c r="AS3" s="47" t="s">
        <v>1</v>
      </c>
      <c r="AT3" s="36" t="s">
        <v>1</v>
      </c>
      <c r="AU3" s="47" t="s">
        <v>1</v>
      </c>
      <c r="AV3" s="36" t="s">
        <v>1</v>
      </c>
      <c r="AW3" s="47" t="s">
        <v>1</v>
      </c>
      <c r="AX3" s="36" t="s">
        <v>2065</v>
      </c>
      <c r="AY3" s="47" t="s">
        <v>2193</v>
      </c>
      <c r="AZ3" s="36" t="s">
        <v>1299</v>
      </c>
      <c r="BA3" s="47" t="s">
        <v>2193</v>
      </c>
      <c r="BB3" s="36" t="s">
        <v>2188</v>
      </c>
      <c r="BC3" s="47" t="s">
        <v>2190</v>
      </c>
      <c r="BD3" s="36" t="s">
        <v>1</v>
      </c>
      <c r="BE3" s="47" t="s">
        <v>1</v>
      </c>
    </row>
    <row r="4" spans="1:57" ht="6.65" customHeight="1" x14ac:dyDescent="0.4">
      <c r="A4" s="93">
        <v>4</v>
      </c>
      <c r="B4" s="73" t="s">
        <v>741</v>
      </c>
      <c r="C4" s="72" t="s">
        <v>79</v>
      </c>
      <c r="D4" s="18" t="s">
        <v>1</v>
      </c>
      <c r="E4" s="20" t="s">
        <v>1</v>
      </c>
      <c r="F4" s="18" t="s">
        <v>1</v>
      </c>
      <c r="G4" s="20" t="s">
        <v>1</v>
      </c>
      <c r="H4" s="18" t="s">
        <v>1</v>
      </c>
      <c r="I4" s="20" t="s">
        <v>1</v>
      </c>
      <c r="J4" s="18" t="s">
        <v>1</v>
      </c>
      <c r="K4" s="20" t="s">
        <v>1</v>
      </c>
      <c r="L4" s="18" t="s">
        <v>1</v>
      </c>
      <c r="M4" s="20" t="s">
        <v>1</v>
      </c>
      <c r="N4" s="46" t="s">
        <v>82</v>
      </c>
      <c r="O4" s="31" t="s">
        <v>742</v>
      </c>
      <c r="P4" s="46" t="s">
        <v>1</v>
      </c>
      <c r="Q4" s="25" t="s">
        <v>1</v>
      </c>
      <c r="R4" s="46" t="s">
        <v>1</v>
      </c>
      <c r="S4" s="52" t="s">
        <v>1</v>
      </c>
      <c r="T4" s="46" t="s">
        <v>1</v>
      </c>
      <c r="U4" s="31" t="s">
        <v>1</v>
      </c>
      <c r="V4" s="46" t="s">
        <v>1</v>
      </c>
      <c r="W4" s="31" t="s">
        <v>1</v>
      </c>
      <c r="X4" s="46" t="s">
        <v>1</v>
      </c>
      <c r="Y4" s="31" t="s">
        <v>1</v>
      </c>
      <c r="Z4" s="46" t="s">
        <v>1</v>
      </c>
      <c r="AA4" s="31" t="s">
        <v>1</v>
      </c>
      <c r="AB4" s="46" t="s">
        <v>1</v>
      </c>
      <c r="AC4" s="47" t="s">
        <v>1</v>
      </c>
      <c r="AD4" s="36" t="s">
        <v>1</v>
      </c>
      <c r="AE4" s="51" t="s">
        <v>1</v>
      </c>
      <c r="AF4" s="36" t="s">
        <v>1</v>
      </c>
      <c r="AG4" s="51" t="s">
        <v>1</v>
      </c>
      <c r="AH4" s="36" t="s">
        <v>1</v>
      </c>
      <c r="AI4" s="51" t="s">
        <v>1</v>
      </c>
      <c r="AJ4" s="36" t="s">
        <v>1</v>
      </c>
      <c r="AK4" s="51" t="s">
        <v>1</v>
      </c>
      <c r="AL4" s="36" t="s">
        <v>1</v>
      </c>
      <c r="AM4" s="31" t="s">
        <v>1</v>
      </c>
      <c r="AN4" s="36" t="s">
        <v>1</v>
      </c>
      <c r="AO4" s="31" t="s">
        <v>1</v>
      </c>
      <c r="AP4" s="36" t="s">
        <v>1</v>
      </c>
      <c r="AQ4" s="51" t="s">
        <v>1</v>
      </c>
      <c r="AR4" s="36" t="s">
        <v>1</v>
      </c>
      <c r="AS4" s="47" t="s">
        <v>1</v>
      </c>
      <c r="AT4" s="36" t="s">
        <v>1</v>
      </c>
      <c r="AU4" s="47" t="s">
        <v>1</v>
      </c>
      <c r="AV4" s="36" t="s">
        <v>1</v>
      </c>
      <c r="AW4" s="47" t="s">
        <v>1</v>
      </c>
      <c r="AX4" s="36" t="s">
        <v>2065</v>
      </c>
      <c r="AY4" s="47" t="s">
        <v>2193</v>
      </c>
      <c r="AZ4" s="36" t="s">
        <v>1299</v>
      </c>
      <c r="BA4" s="47" t="s">
        <v>2193</v>
      </c>
      <c r="BB4" s="36" t="s">
        <v>2188</v>
      </c>
      <c r="BC4" s="47" t="s">
        <v>2190</v>
      </c>
      <c r="BD4" s="36" t="s">
        <v>1</v>
      </c>
      <c r="BE4" s="47" t="s">
        <v>1</v>
      </c>
    </row>
    <row r="5" spans="1:57" ht="6.65" customHeight="1" x14ac:dyDescent="0.4">
      <c r="A5" s="93">
        <v>5</v>
      </c>
      <c r="B5" s="73" t="s">
        <v>743</v>
      </c>
      <c r="C5" s="44" t="s">
        <v>629</v>
      </c>
      <c r="D5" s="18" t="s">
        <v>744</v>
      </c>
      <c r="E5" s="20" t="s">
        <v>741</v>
      </c>
      <c r="F5" s="18" t="s">
        <v>1</v>
      </c>
      <c r="G5" s="20" t="s">
        <v>1</v>
      </c>
      <c r="H5" s="18" t="s">
        <v>1</v>
      </c>
      <c r="I5" s="20" t="s">
        <v>1</v>
      </c>
      <c r="J5" s="18" t="s">
        <v>1</v>
      </c>
      <c r="K5" s="20" t="s">
        <v>1</v>
      </c>
      <c r="L5" s="18" t="s">
        <v>1</v>
      </c>
      <c r="M5" s="20" t="s">
        <v>1</v>
      </c>
      <c r="N5" s="46" t="s">
        <v>82</v>
      </c>
      <c r="O5" s="31" t="s">
        <v>745</v>
      </c>
      <c r="P5" s="46" t="s">
        <v>1</v>
      </c>
      <c r="Q5" s="25" t="s">
        <v>1</v>
      </c>
      <c r="R5" s="46" t="s">
        <v>1</v>
      </c>
      <c r="S5" s="52" t="s">
        <v>1</v>
      </c>
      <c r="T5" s="46" t="s">
        <v>1</v>
      </c>
      <c r="U5" s="31" t="s">
        <v>1</v>
      </c>
      <c r="V5" s="46" t="s">
        <v>1</v>
      </c>
      <c r="W5" s="31" t="s">
        <v>1</v>
      </c>
      <c r="X5" s="46" t="s">
        <v>1</v>
      </c>
      <c r="Y5" s="31" t="s">
        <v>1</v>
      </c>
      <c r="Z5" s="46" t="s">
        <v>1</v>
      </c>
      <c r="AA5" s="31" t="s">
        <v>1</v>
      </c>
      <c r="AB5" s="46" t="s">
        <v>1</v>
      </c>
      <c r="AC5" s="47" t="s">
        <v>1</v>
      </c>
      <c r="AD5" s="36" t="s">
        <v>1</v>
      </c>
      <c r="AE5" s="51" t="s">
        <v>1</v>
      </c>
      <c r="AF5" s="36" t="s">
        <v>1</v>
      </c>
      <c r="AG5" s="51" t="s">
        <v>1</v>
      </c>
      <c r="AH5" s="36" t="s">
        <v>1</v>
      </c>
      <c r="AI5" s="51" t="s">
        <v>1</v>
      </c>
      <c r="AJ5" s="36" t="s">
        <v>1</v>
      </c>
      <c r="AK5" s="51" t="s">
        <v>1</v>
      </c>
      <c r="AL5" s="36" t="s">
        <v>1</v>
      </c>
      <c r="AM5" s="31" t="s">
        <v>1</v>
      </c>
      <c r="AN5" s="36" t="s">
        <v>1</v>
      </c>
      <c r="AO5" s="31" t="s">
        <v>1</v>
      </c>
      <c r="AP5" s="36" t="s">
        <v>1</v>
      </c>
      <c r="AQ5" s="51" t="s">
        <v>1</v>
      </c>
      <c r="AR5" s="36" t="s">
        <v>1</v>
      </c>
      <c r="AS5" s="47" t="s">
        <v>1</v>
      </c>
      <c r="AT5" s="36" t="s">
        <v>1</v>
      </c>
      <c r="AU5" s="47" t="s">
        <v>1</v>
      </c>
      <c r="AV5" s="36" t="s">
        <v>1</v>
      </c>
      <c r="AW5" s="47" t="s">
        <v>1</v>
      </c>
      <c r="AX5" s="36" t="s">
        <v>2065</v>
      </c>
      <c r="AY5" s="47" t="s">
        <v>2193</v>
      </c>
      <c r="AZ5" s="36" t="s">
        <v>1299</v>
      </c>
      <c r="BA5" s="47" t="s">
        <v>2193</v>
      </c>
      <c r="BB5" s="36" t="s">
        <v>2188</v>
      </c>
      <c r="BC5" s="47" t="s">
        <v>2191</v>
      </c>
      <c r="BD5" s="36" t="s">
        <v>2189</v>
      </c>
      <c r="BE5" s="47" t="str">
        <f t="shared" ref="BE5:BE68" si="0">_xlfn.CONCAT("""",C5,"""")</f>
        <v>"SubContinente"</v>
      </c>
    </row>
    <row r="6" spans="1:57" ht="6.65" customHeight="1" x14ac:dyDescent="0.4">
      <c r="A6" s="93">
        <v>6</v>
      </c>
      <c r="B6" s="74" t="s">
        <v>746</v>
      </c>
      <c r="C6" s="44" t="s">
        <v>632</v>
      </c>
      <c r="D6" s="18" t="s">
        <v>744</v>
      </c>
      <c r="E6" s="20" t="s">
        <v>743</v>
      </c>
      <c r="F6" s="18" t="s">
        <v>1</v>
      </c>
      <c r="G6" s="20" t="s">
        <v>1</v>
      </c>
      <c r="H6" s="18" t="s">
        <v>1</v>
      </c>
      <c r="I6" s="20" t="s">
        <v>1</v>
      </c>
      <c r="J6" s="18" t="s">
        <v>1</v>
      </c>
      <c r="K6" s="20" t="s">
        <v>1</v>
      </c>
      <c r="L6" s="18" t="s">
        <v>1</v>
      </c>
      <c r="M6" s="20" t="s">
        <v>1</v>
      </c>
      <c r="N6" s="46" t="s">
        <v>82</v>
      </c>
      <c r="O6" s="31" t="s">
        <v>747</v>
      </c>
      <c r="P6" s="46" t="s">
        <v>1</v>
      </c>
      <c r="Q6" s="25" t="s">
        <v>1</v>
      </c>
      <c r="R6" s="46" t="s">
        <v>1</v>
      </c>
      <c r="S6" s="52" t="s">
        <v>1</v>
      </c>
      <c r="T6" s="46" t="s">
        <v>1</v>
      </c>
      <c r="U6" s="31" t="s">
        <v>1</v>
      </c>
      <c r="V6" s="46" t="s">
        <v>1</v>
      </c>
      <c r="W6" s="31" t="s">
        <v>1</v>
      </c>
      <c r="X6" s="46" t="s">
        <v>1</v>
      </c>
      <c r="Y6" s="31" t="s">
        <v>1</v>
      </c>
      <c r="Z6" s="46" t="s">
        <v>1</v>
      </c>
      <c r="AA6" s="31" t="s">
        <v>1</v>
      </c>
      <c r="AB6" s="46" t="s">
        <v>1</v>
      </c>
      <c r="AC6" s="47" t="s">
        <v>1</v>
      </c>
      <c r="AD6" s="36" t="s">
        <v>1</v>
      </c>
      <c r="AE6" s="51" t="s">
        <v>1</v>
      </c>
      <c r="AF6" s="36" t="s">
        <v>1</v>
      </c>
      <c r="AG6" s="51" t="s">
        <v>1</v>
      </c>
      <c r="AH6" s="36" t="s">
        <v>1</v>
      </c>
      <c r="AI6" s="51" t="s">
        <v>1</v>
      </c>
      <c r="AJ6" s="36" t="s">
        <v>1</v>
      </c>
      <c r="AK6" s="51" t="s">
        <v>1</v>
      </c>
      <c r="AL6" s="36" t="s">
        <v>1</v>
      </c>
      <c r="AM6" s="31" t="s">
        <v>1</v>
      </c>
      <c r="AN6" s="36" t="s">
        <v>1</v>
      </c>
      <c r="AO6" s="31" t="s">
        <v>1</v>
      </c>
      <c r="AP6" s="36" t="s">
        <v>1</v>
      </c>
      <c r="AQ6" s="51" t="s">
        <v>1</v>
      </c>
      <c r="AR6" s="36" t="s">
        <v>1</v>
      </c>
      <c r="AS6" s="47" t="s">
        <v>1</v>
      </c>
      <c r="AT6" s="36" t="s">
        <v>1</v>
      </c>
      <c r="AU6" s="47" t="s">
        <v>1</v>
      </c>
      <c r="AV6" s="36" t="s">
        <v>1</v>
      </c>
      <c r="AW6" s="47" t="s">
        <v>1</v>
      </c>
      <c r="AX6" s="36" t="s">
        <v>2065</v>
      </c>
      <c r="AY6" s="47" t="s">
        <v>2193</v>
      </c>
      <c r="AZ6" s="36" t="s">
        <v>1299</v>
      </c>
      <c r="BA6" s="47" t="s">
        <v>2193</v>
      </c>
      <c r="BB6" s="36" t="s">
        <v>2188</v>
      </c>
      <c r="BC6" s="47" t="s">
        <v>2191</v>
      </c>
      <c r="BD6" s="36" t="s">
        <v>2189</v>
      </c>
      <c r="BE6" s="47" t="str">
        <f t="shared" si="0"/>
        <v>"País"</v>
      </c>
    </row>
    <row r="7" spans="1:57" ht="6.65" customHeight="1" x14ac:dyDescent="0.4">
      <c r="A7" s="93">
        <v>7</v>
      </c>
      <c r="B7" s="75" t="s">
        <v>751</v>
      </c>
      <c r="C7" s="44" t="s">
        <v>635</v>
      </c>
      <c r="D7" s="53" t="s">
        <v>744</v>
      </c>
      <c r="E7" s="54" t="s">
        <v>746</v>
      </c>
      <c r="F7" s="18" t="s">
        <v>758</v>
      </c>
      <c r="G7" s="54" t="s">
        <v>752</v>
      </c>
      <c r="H7" s="53" t="s">
        <v>759</v>
      </c>
      <c r="I7" s="54" t="s">
        <v>752</v>
      </c>
      <c r="J7" s="18" t="s">
        <v>1</v>
      </c>
      <c r="K7" s="20" t="s">
        <v>1</v>
      </c>
      <c r="L7" s="18" t="s">
        <v>1</v>
      </c>
      <c r="M7" s="48" t="s">
        <v>1</v>
      </c>
      <c r="N7" s="46" t="s">
        <v>82</v>
      </c>
      <c r="O7" s="25" t="s">
        <v>760</v>
      </c>
      <c r="P7" s="46" t="s">
        <v>1</v>
      </c>
      <c r="Q7" s="25" t="s">
        <v>1</v>
      </c>
      <c r="R7" s="46" t="s">
        <v>1</v>
      </c>
      <c r="S7" s="52" t="s">
        <v>1</v>
      </c>
      <c r="T7" s="46" t="s">
        <v>1</v>
      </c>
      <c r="U7" s="31" t="s">
        <v>1</v>
      </c>
      <c r="V7" s="46" t="s">
        <v>1</v>
      </c>
      <c r="W7" s="31" t="s">
        <v>1</v>
      </c>
      <c r="X7" s="46" t="s">
        <v>1</v>
      </c>
      <c r="Y7" s="31" t="s">
        <v>1</v>
      </c>
      <c r="Z7" s="46" t="s">
        <v>1</v>
      </c>
      <c r="AA7" s="31" t="s">
        <v>1</v>
      </c>
      <c r="AB7" s="46" t="s">
        <v>1</v>
      </c>
      <c r="AC7" s="47" t="s">
        <v>1</v>
      </c>
      <c r="AD7" s="36" t="s">
        <v>1</v>
      </c>
      <c r="AE7" s="51" t="s">
        <v>1</v>
      </c>
      <c r="AF7" s="36" t="s">
        <v>1</v>
      </c>
      <c r="AG7" s="51" t="s">
        <v>1</v>
      </c>
      <c r="AH7" s="36" t="s">
        <v>1</v>
      </c>
      <c r="AI7" s="51" t="s">
        <v>1</v>
      </c>
      <c r="AJ7" s="36" t="s">
        <v>1</v>
      </c>
      <c r="AK7" s="51" t="s">
        <v>1</v>
      </c>
      <c r="AL7" s="36" t="s">
        <v>1</v>
      </c>
      <c r="AM7" s="31" t="s">
        <v>1</v>
      </c>
      <c r="AN7" s="36" t="s">
        <v>1</v>
      </c>
      <c r="AO7" s="31" t="s">
        <v>1</v>
      </c>
      <c r="AP7" s="36" t="s">
        <v>1</v>
      </c>
      <c r="AQ7" s="51" t="s">
        <v>1</v>
      </c>
      <c r="AR7" s="36" t="s">
        <v>1</v>
      </c>
      <c r="AS7" s="47" t="s">
        <v>1</v>
      </c>
      <c r="AT7" s="36" t="s">
        <v>1</v>
      </c>
      <c r="AU7" s="47" t="s">
        <v>1</v>
      </c>
      <c r="AV7" s="36" t="s">
        <v>1</v>
      </c>
      <c r="AW7" s="47" t="s">
        <v>1</v>
      </c>
      <c r="AX7" s="36" t="s">
        <v>2065</v>
      </c>
      <c r="AY7" s="47" t="s">
        <v>2193</v>
      </c>
      <c r="AZ7" s="36" t="s">
        <v>1299</v>
      </c>
      <c r="BA7" s="47" t="s">
        <v>2193</v>
      </c>
      <c r="BB7" s="36" t="s">
        <v>2188</v>
      </c>
      <c r="BC7" s="47" t="s">
        <v>2191</v>
      </c>
      <c r="BD7" s="36" t="s">
        <v>2189</v>
      </c>
      <c r="BE7" s="47" t="str">
        <f t="shared" si="0"/>
        <v>"Região"</v>
      </c>
    </row>
    <row r="8" spans="1:57" ht="6.65" customHeight="1" x14ac:dyDescent="0.4">
      <c r="A8" s="93">
        <v>8</v>
      </c>
      <c r="B8" s="75" t="s">
        <v>752</v>
      </c>
      <c r="C8" s="44" t="s">
        <v>635</v>
      </c>
      <c r="D8" s="53" t="s">
        <v>744</v>
      </c>
      <c r="E8" s="54" t="s">
        <v>746</v>
      </c>
      <c r="F8" s="18" t="s">
        <v>1</v>
      </c>
      <c r="G8" s="20" t="s">
        <v>1</v>
      </c>
      <c r="H8" s="18" t="s">
        <v>1</v>
      </c>
      <c r="I8" s="20" t="s">
        <v>1</v>
      </c>
      <c r="J8" s="18" t="s">
        <v>1</v>
      </c>
      <c r="K8" s="20" t="s">
        <v>1</v>
      </c>
      <c r="L8" s="18" t="s">
        <v>1</v>
      </c>
      <c r="M8" s="48" t="s">
        <v>1</v>
      </c>
      <c r="N8" s="46" t="s">
        <v>82</v>
      </c>
      <c r="O8" s="25" t="s">
        <v>757</v>
      </c>
      <c r="P8" s="46" t="s">
        <v>1</v>
      </c>
      <c r="Q8" s="25" t="s">
        <v>1</v>
      </c>
      <c r="R8" s="46" t="s">
        <v>755</v>
      </c>
      <c r="S8" s="25" t="s">
        <v>756</v>
      </c>
      <c r="T8" s="46" t="s">
        <v>1</v>
      </c>
      <c r="U8" s="31" t="s">
        <v>1</v>
      </c>
      <c r="V8" s="46" t="s">
        <v>1</v>
      </c>
      <c r="W8" s="31" t="s">
        <v>1</v>
      </c>
      <c r="X8" s="46" t="s">
        <v>1</v>
      </c>
      <c r="Y8" s="31" t="s">
        <v>1</v>
      </c>
      <c r="Z8" s="46" t="s">
        <v>1</v>
      </c>
      <c r="AA8" s="31" t="s">
        <v>1</v>
      </c>
      <c r="AB8" s="46" t="s">
        <v>1</v>
      </c>
      <c r="AC8" s="47" t="s">
        <v>1</v>
      </c>
      <c r="AD8" s="36" t="s">
        <v>1</v>
      </c>
      <c r="AE8" s="51" t="s">
        <v>1</v>
      </c>
      <c r="AF8" s="36" t="s">
        <v>1</v>
      </c>
      <c r="AG8" s="51" t="s">
        <v>1</v>
      </c>
      <c r="AH8" s="36" t="s">
        <v>1</v>
      </c>
      <c r="AI8" s="51" t="s">
        <v>1</v>
      </c>
      <c r="AJ8" s="36" t="s">
        <v>1</v>
      </c>
      <c r="AK8" s="51" t="s">
        <v>1</v>
      </c>
      <c r="AL8" s="36" t="s">
        <v>1</v>
      </c>
      <c r="AM8" s="31" t="s">
        <v>1</v>
      </c>
      <c r="AN8" s="36" t="s">
        <v>1</v>
      </c>
      <c r="AO8" s="31" t="s">
        <v>1</v>
      </c>
      <c r="AP8" s="36" t="s">
        <v>1</v>
      </c>
      <c r="AQ8" s="51" t="s">
        <v>1</v>
      </c>
      <c r="AR8" s="36" t="s">
        <v>1</v>
      </c>
      <c r="AS8" s="47" t="s">
        <v>1</v>
      </c>
      <c r="AT8" s="36" t="s">
        <v>1</v>
      </c>
      <c r="AU8" s="47" t="s">
        <v>1</v>
      </c>
      <c r="AV8" s="36" t="s">
        <v>1</v>
      </c>
      <c r="AW8" s="47" t="s">
        <v>1</v>
      </c>
      <c r="AX8" s="36" t="s">
        <v>2065</v>
      </c>
      <c r="AY8" s="47" t="s">
        <v>2193</v>
      </c>
      <c r="AZ8" s="36" t="s">
        <v>1299</v>
      </c>
      <c r="BA8" s="47" t="s">
        <v>2193</v>
      </c>
      <c r="BB8" s="36" t="s">
        <v>2188</v>
      </c>
      <c r="BC8" s="47" t="s">
        <v>2191</v>
      </c>
      <c r="BD8" s="36" t="s">
        <v>2189</v>
      </c>
      <c r="BE8" s="47" t="str">
        <f t="shared" si="0"/>
        <v>"Região"</v>
      </c>
    </row>
    <row r="9" spans="1:57" ht="6.65" customHeight="1" x14ac:dyDescent="0.4">
      <c r="A9" s="93">
        <v>9</v>
      </c>
      <c r="B9" s="74" t="s">
        <v>811</v>
      </c>
      <c r="C9" s="44" t="s">
        <v>630</v>
      </c>
      <c r="D9" s="18" t="s">
        <v>744</v>
      </c>
      <c r="E9" s="20" t="s">
        <v>746</v>
      </c>
      <c r="F9" s="18" t="s">
        <v>1</v>
      </c>
      <c r="G9" s="20" t="s">
        <v>1</v>
      </c>
      <c r="H9" s="18" t="s">
        <v>1</v>
      </c>
      <c r="I9" s="20" t="s">
        <v>1</v>
      </c>
      <c r="J9" s="18" t="s">
        <v>1</v>
      </c>
      <c r="K9" s="20" t="s">
        <v>1</v>
      </c>
      <c r="L9" s="18" t="s">
        <v>1</v>
      </c>
      <c r="M9" s="20" t="s">
        <v>1</v>
      </c>
      <c r="N9" s="46" t="s">
        <v>82</v>
      </c>
      <c r="O9" s="31" t="s">
        <v>812</v>
      </c>
      <c r="P9" s="46" t="s">
        <v>1</v>
      </c>
      <c r="Q9" s="25" t="s">
        <v>1</v>
      </c>
      <c r="R9" s="46" t="s">
        <v>1</v>
      </c>
      <c r="S9" s="52" t="s">
        <v>1</v>
      </c>
      <c r="T9" s="46" t="s">
        <v>1</v>
      </c>
      <c r="U9" s="31" t="s">
        <v>1</v>
      </c>
      <c r="V9" s="46" t="s">
        <v>1</v>
      </c>
      <c r="W9" s="31" t="s">
        <v>1</v>
      </c>
      <c r="X9" s="46" t="s">
        <v>1</v>
      </c>
      <c r="Y9" s="31" t="s">
        <v>1</v>
      </c>
      <c r="Z9" s="46" t="s">
        <v>1</v>
      </c>
      <c r="AA9" s="31" t="s">
        <v>1</v>
      </c>
      <c r="AB9" s="46" t="s">
        <v>1</v>
      </c>
      <c r="AC9" s="47" t="s">
        <v>1</v>
      </c>
      <c r="AD9" s="36" t="s">
        <v>1</v>
      </c>
      <c r="AE9" s="51" t="s">
        <v>1</v>
      </c>
      <c r="AF9" s="36" t="s">
        <v>1</v>
      </c>
      <c r="AG9" s="51" t="s">
        <v>1</v>
      </c>
      <c r="AH9" s="36" t="s">
        <v>1</v>
      </c>
      <c r="AI9" s="51" t="s">
        <v>1</v>
      </c>
      <c r="AJ9" s="36" t="s">
        <v>1</v>
      </c>
      <c r="AK9" s="51" t="s">
        <v>1</v>
      </c>
      <c r="AL9" s="36" t="s">
        <v>1</v>
      </c>
      <c r="AM9" s="31" t="s">
        <v>1</v>
      </c>
      <c r="AN9" s="36" t="s">
        <v>1</v>
      </c>
      <c r="AO9" s="31" t="s">
        <v>1</v>
      </c>
      <c r="AP9" s="36" t="s">
        <v>1</v>
      </c>
      <c r="AQ9" s="51" t="s">
        <v>1</v>
      </c>
      <c r="AR9" s="36" t="s">
        <v>1</v>
      </c>
      <c r="AS9" s="47" t="s">
        <v>1</v>
      </c>
      <c r="AT9" s="36" t="s">
        <v>1</v>
      </c>
      <c r="AU9" s="47" t="s">
        <v>1</v>
      </c>
      <c r="AV9" s="36" t="s">
        <v>1</v>
      </c>
      <c r="AW9" s="47" t="s">
        <v>1</v>
      </c>
      <c r="AX9" s="36" t="s">
        <v>2065</v>
      </c>
      <c r="AY9" s="47" t="s">
        <v>2193</v>
      </c>
      <c r="AZ9" s="36" t="s">
        <v>1299</v>
      </c>
      <c r="BA9" s="47" t="s">
        <v>2193</v>
      </c>
      <c r="BB9" s="36" t="s">
        <v>2188</v>
      </c>
      <c r="BC9" s="47" t="s">
        <v>2191</v>
      </c>
      <c r="BD9" s="36" t="s">
        <v>2189</v>
      </c>
      <c r="BE9" s="47" t="str">
        <f t="shared" si="0"/>
        <v>"Bioma"</v>
      </c>
    </row>
    <row r="10" spans="1:57" ht="6.65" customHeight="1" x14ac:dyDescent="0.4">
      <c r="A10" s="93">
        <v>10</v>
      </c>
      <c r="B10" s="74" t="s">
        <v>2218</v>
      </c>
      <c r="C10" s="44" t="s">
        <v>637</v>
      </c>
      <c r="D10" s="18" t="s">
        <v>744</v>
      </c>
      <c r="E10" s="48" t="s">
        <v>746</v>
      </c>
      <c r="F10" s="18" t="s">
        <v>1</v>
      </c>
      <c r="G10" s="20" t="s">
        <v>1</v>
      </c>
      <c r="H10" s="18" t="s">
        <v>1</v>
      </c>
      <c r="I10" s="20" t="s">
        <v>1</v>
      </c>
      <c r="J10" s="18" t="s">
        <v>1</v>
      </c>
      <c r="K10" s="20" t="s">
        <v>1</v>
      </c>
      <c r="L10" s="18" t="s">
        <v>1</v>
      </c>
      <c r="M10" s="20" t="s">
        <v>1</v>
      </c>
      <c r="N10" s="46" t="s">
        <v>82</v>
      </c>
      <c r="O10" s="31" t="s">
        <v>748</v>
      </c>
      <c r="P10" s="46" t="s">
        <v>1</v>
      </c>
      <c r="Q10" s="25" t="s">
        <v>1</v>
      </c>
      <c r="R10" s="46" t="s">
        <v>1</v>
      </c>
      <c r="S10" s="52" t="s">
        <v>1</v>
      </c>
      <c r="T10" s="46" t="s">
        <v>1</v>
      </c>
      <c r="U10" s="31" t="s">
        <v>1</v>
      </c>
      <c r="V10" s="46" t="s">
        <v>1</v>
      </c>
      <c r="W10" s="31" t="s">
        <v>1</v>
      </c>
      <c r="X10" s="46" t="s">
        <v>1</v>
      </c>
      <c r="Y10" s="31" t="s">
        <v>1</v>
      </c>
      <c r="Z10" s="46" t="s">
        <v>1</v>
      </c>
      <c r="AA10" s="31" t="s">
        <v>1</v>
      </c>
      <c r="AB10" s="46" t="s">
        <v>1</v>
      </c>
      <c r="AC10" s="47" t="s">
        <v>1</v>
      </c>
      <c r="AD10" s="36" t="s">
        <v>1</v>
      </c>
      <c r="AE10" s="51" t="s">
        <v>1</v>
      </c>
      <c r="AF10" s="36" t="s">
        <v>1</v>
      </c>
      <c r="AG10" s="51" t="s">
        <v>1</v>
      </c>
      <c r="AH10" s="36" t="s">
        <v>1</v>
      </c>
      <c r="AI10" s="51" t="s">
        <v>1</v>
      </c>
      <c r="AJ10" s="36" t="s">
        <v>1</v>
      </c>
      <c r="AK10" s="51" t="s">
        <v>1</v>
      </c>
      <c r="AL10" s="36" t="s">
        <v>1</v>
      </c>
      <c r="AM10" s="31" t="s">
        <v>1</v>
      </c>
      <c r="AN10" s="36" t="s">
        <v>1</v>
      </c>
      <c r="AO10" s="31" t="s">
        <v>1</v>
      </c>
      <c r="AP10" s="36" t="s">
        <v>1</v>
      </c>
      <c r="AQ10" s="51" t="s">
        <v>1</v>
      </c>
      <c r="AR10" s="36" t="s">
        <v>1</v>
      </c>
      <c r="AS10" s="47" t="s">
        <v>1</v>
      </c>
      <c r="AT10" s="36" t="s">
        <v>1</v>
      </c>
      <c r="AU10" s="47" t="s">
        <v>1</v>
      </c>
      <c r="AV10" s="36" t="s">
        <v>1</v>
      </c>
      <c r="AW10" s="47" t="s">
        <v>1</v>
      </c>
      <c r="AX10" s="36" t="s">
        <v>2065</v>
      </c>
      <c r="AY10" s="47" t="s">
        <v>2193</v>
      </c>
      <c r="AZ10" s="36" t="s">
        <v>1299</v>
      </c>
      <c r="BA10" s="47" t="s">
        <v>2193</v>
      </c>
      <c r="BB10" s="36" t="s">
        <v>2188</v>
      </c>
      <c r="BC10" s="47" t="s">
        <v>2191</v>
      </c>
      <c r="BD10" s="36" t="s">
        <v>2189</v>
      </c>
      <c r="BE10" s="47" t="str">
        <f t="shared" si="0"/>
        <v>"Estado"</v>
      </c>
    </row>
    <row r="11" spans="1:57" ht="6.65" customHeight="1" x14ac:dyDescent="0.4">
      <c r="A11" s="93">
        <v>11</v>
      </c>
      <c r="B11" s="75" t="s">
        <v>753</v>
      </c>
      <c r="C11" s="44" t="s">
        <v>642</v>
      </c>
      <c r="D11" s="53" t="s">
        <v>744</v>
      </c>
      <c r="E11" s="54" t="s">
        <v>754</v>
      </c>
      <c r="F11" s="53" t="s">
        <v>744</v>
      </c>
      <c r="G11" s="54" t="s">
        <v>751</v>
      </c>
      <c r="H11" s="53" t="s">
        <v>749</v>
      </c>
      <c r="I11" s="54" t="s">
        <v>752</v>
      </c>
      <c r="J11" s="18" t="s">
        <v>750</v>
      </c>
      <c r="K11" s="48" t="s">
        <v>2218</v>
      </c>
      <c r="L11" s="18" t="s">
        <v>1</v>
      </c>
      <c r="M11" s="48" t="s">
        <v>1</v>
      </c>
      <c r="N11" s="46" t="s">
        <v>82</v>
      </c>
      <c r="O11" s="25" t="str">
        <f t="shared" ref="O11" si="1">_xlfn.CONCAT("""É a cidade capital do Estado de ",K11," do Brasil """)</f>
        <v>"É a cidade capital do Estado de Rio.de.Janeiro.Estado do Brasil "</v>
      </c>
      <c r="P11" s="46" t="s">
        <v>1</v>
      </c>
      <c r="Q11" s="25" t="s">
        <v>1</v>
      </c>
      <c r="R11" s="46" t="s">
        <v>1</v>
      </c>
      <c r="S11" s="52" t="s">
        <v>1</v>
      </c>
      <c r="T11" s="46" t="s">
        <v>1</v>
      </c>
      <c r="U11" s="31" t="s">
        <v>1</v>
      </c>
      <c r="V11" s="46" t="s">
        <v>1</v>
      </c>
      <c r="W11" s="31" t="s">
        <v>1</v>
      </c>
      <c r="X11" s="46" t="s">
        <v>1</v>
      </c>
      <c r="Y11" s="31" t="s">
        <v>1</v>
      </c>
      <c r="Z11" s="46" t="s">
        <v>1</v>
      </c>
      <c r="AA11" s="31" t="s">
        <v>1</v>
      </c>
      <c r="AB11" s="46" t="s">
        <v>1</v>
      </c>
      <c r="AC11" s="47" t="s">
        <v>1</v>
      </c>
      <c r="AD11" s="36" t="s">
        <v>1</v>
      </c>
      <c r="AE11" s="51" t="s">
        <v>1</v>
      </c>
      <c r="AF11" s="36" t="s">
        <v>1</v>
      </c>
      <c r="AG11" s="51" t="s">
        <v>1</v>
      </c>
      <c r="AH11" s="36" t="s">
        <v>1</v>
      </c>
      <c r="AI11" s="51" t="s">
        <v>1</v>
      </c>
      <c r="AJ11" s="36" t="s">
        <v>1</v>
      </c>
      <c r="AK11" s="51" t="s">
        <v>1</v>
      </c>
      <c r="AL11" s="36" t="s">
        <v>1</v>
      </c>
      <c r="AM11" s="31" t="s">
        <v>1</v>
      </c>
      <c r="AN11" s="36" t="s">
        <v>1</v>
      </c>
      <c r="AO11" s="31" t="s">
        <v>1</v>
      </c>
      <c r="AP11" s="36" t="s">
        <v>1</v>
      </c>
      <c r="AQ11" s="51" t="s">
        <v>1</v>
      </c>
      <c r="AR11" s="36" t="s">
        <v>1</v>
      </c>
      <c r="AS11" s="47" t="s">
        <v>1</v>
      </c>
      <c r="AT11" s="36" t="s">
        <v>1</v>
      </c>
      <c r="AU11" s="47" t="s">
        <v>1</v>
      </c>
      <c r="AV11" s="36" t="s">
        <v>1</v>
      </c>
      <c r="AW11" s="47" t="s">
        <v>1</v>
      </c>
      <c r="AX11" s="36" t="s">
        <v>2065</v>
      </c>
      <c r="AY11" s="47" t="s">
        <v>2193</v>
      </c>
      <c r="AZ11" s="36" t="s">
        <v>1299</v>
      </c>
      <c r="BA11" s="47" t="s">
        <v>2193</v>
      </c>
      <c r="BB11" s="36" t="s">
        <v>2188</v>
      </c>
      <c r="BC11" s="47" t="s">
        <v>2191</v>
      </c>
      <c r="BD11" s="36" t="s">
        <v>2189</v>
      </c>
      <c r="BE11" s="47" t="str">
        <f t="shared" si="0"/>
        <v>"Capital"</v>
      </c>
    </row>
    <row r="12" spans="1:57" ht="6.65" customHeight="1" x14ac:dyDescent="0.4">
      <c r="A12" s="93">
        <v>12</v>
      </c>
      <c r="B12" s="75" t="s">
        <v>816</v>
      </c>
      <c r="C12" s="44" t="s">
        <v>638</v>
      </c>
      <c r="D12" s="18" t="s">
        <v>744</v>
      </c>
      <c r="E12" s="48" t="s">
        <v>746</v>
      </c>
      <c r="F12" s="53" t="s">
        <v>820</v>
      </c>
      <c r="G12" s="54" t="s">
        <v>754</v>
      </c>
      <c r="H12" s="53" t="s">
        <v>820</v>
      </c>
      <c r="I12" s="48" t="s">
        <v>2218</v>
      </c>
      <c r="J12" s="53" t="s">
        <v>749</v>
      </c>
      <c r="K12" s="54" t="s">
        <v>752</v>
      </c>
      <c r="L12" s="18" t="s">
        <v>1</v>
      </c>
      <c r="M12" s="20" t="s">
        <v>1</v>
      </c>
      <c r="N12" s="46" t="s">
        <v>82</v>
      </c>
      <c r="O12" s="31" t="s">
        <v>748</v>
      </c>
      <c r="P12" s="46" t="s">
        <v>1</v>
      </c>
      <c r="Q12" s="25" t="s">
        <v>1</v>
      </c>
      <c r="R12" s="46" t="s">
        <v>813</v>
      </c>
      <c r="S12" s="55" t="s">
        <v>817</v>
      </c>
      <c r="T12" s="46" t="s">
        <v>814</v>
      </c>
      <c r="U12" s="50" t="s">
        <v>818</v>
      </c>
      <c r="V12" s="46" t="s">
        <v>815</v>
      </c>
      <c r="W12" s="25" t="s">
        <v>819</v>
      </c>
      <c r="X12" s="46" t="s">
        <v>1</v>
      </c>
      <c r="Y12" s="31" t="s">
        <v>1</v>
      </c>
      <c r="Z12" s="46" t="s">
        <v>1</v>
      </c>
      <c r="AA12" s="31" t="s">
        <v>1</v>
      </c>
      <c r="AB12" s="46" t="s">
        <v>1</v>
      </c>
      <c r="AC12" s="47" t="s">
        <v>1</v>
      </c>
      <c r="AD12" s="36" t="s">
        <v>1</v>
      </c>
      <c r="AE12" s="51" t="s">
        <v>1</v>
      </c>
      <c r="AF12" s="36" t="s">
        <v>1</v>
      </c>
      <c r="AG12" s="51" t="s">
        <v>1</v>
      </c>
      <c r="AH12" s="36" t="s">
        <v>1</v>
      </c>
      <c r="AI12" s="51" t="s">
        <v>1</v>
      </c>
      <c r="AJ12" s="36" t="s">
        <v>1</v>
      </c>
      <c r="AK12" s="51" t="s">
        <v>1</v>
      </c>
      <c r="AL12" s="36" t="s">
        <v>1</v>
      </c>
      <c r="AM12" s="31" t="s">
        <v>1</v>
      </c>
      <c r="AN12" s="36" t="s">
        <v>1</v>
      </c>
      <c r="AO12" s="31" t="s">
        <v>1</v>
      </c>
      <c r="AP12" s="36" t="s">
        <v>1</v>
      </c>
      <c r="AQ12" s="51" t="s">
        <v>1</v>
      </c>
      <c r="AR12" s="36" t="s">
        <v>1</v>
      </c>
      <c r="AS12" s="47" t="s">
        <v>1</v>
      </c>
      <c r="AT12" s="36" t="s">
        <v>1</v>
      </c>
      <c r="AU12" s="47" t="s">
        <v>1</v>
      </c>
      <c r="AV12" s="36" t="s">
        <v>1</v>
      </c>
      <c r="AW12" s="47" t="s">
        <v>1</v>
      </c>
      <c r="AX12" s="36" t="s">
        <v>2065</v>
      </c>
      <c r="AY12" s="47" t="s">
        <v>2193</v>
      </c>
      <c r="AZ12" s="36" t="s">
        <v>1299</v>
      </c>
      <c r="BA12" s="47" t="s">
        <v>2193</v>
      </c>
      <c r="BB12" s="36" t="s">
        <v>2188</v>
      </c>
      <c r="BC12" s="47" t="s">
        <v>2191</v>
      </c>
      <c r="BD12" s="36" t="s">
        <v>2189</v>
      </c>
      <c r="BE12" s="47" t="str">
        <f t="shared" si="0"/>
        <v>"UF"</v>
      </c>
    </row>
    <row r="13" spans="1:57" ht="6.65" customHeight="1" x14ac:dyDescent="0.4">
      <c r="A13" s="93">
        <v>13</v>
      </c>
      <c r="B13" s="74" t="s">
        <v>754</v>
      </c>
      <c r="C13" s="44" t="s">
        <v>638</v>
      </c>
      <c r="D13" s="18" t="s">
        <v>744</v>
      </c>
      <c r="E13" s="48" t="s">
        <v>746</v>
      </c>
      <c r="F13" s="53" t="s">
        <v>820</v>
      </c>
      <c r="G13" s="54" t="s">
        <v>816</v>
      </c>
      <c r="H13" s="53" t="s">
        <v>820</v>
      </c>
      <c r="I13" s="48" t="s">
        <v>2218</v>
      </c>
      <c r="J13" s="53" t="s">
        <v>749</v>
      </c>
      <c r="K13" s="54" t="s">
        <v>752</v>
      </c>
      <c r="L13" s="18" t="s">
        <v>1</v>
      </c>
      <c r="M13" s="20" t="s">
        <v>1</v>
      </c>
      <c r="N13" s="46" t="s">
        <v>82</v>
      </c>
      <c r="O13" s="31" t="s">
        <v>748</v>
      </c>
      <c r="P13" s="46" t="s">
        <v>1</v>
      </c>
      <c r="Q13" s="25" t="s">
        <v>1</v>
      </c>
      <c r="R13" s="46" t="s">
        <v>813</v>
      </c>
      <c r="S13" s="55" t="s">
        <v>817</v>
      </c>
      <c r="T13" s="46" t="s">
        <v>814</v>
      </c>
      <c r="U13" s="50" t="s">
        <v>818</v>
      </c>
      <c r="V13" s="46" t="s">
        <v>815</v>
      </c>
      <c r="W13" s="25" t="s">
        <v>819</v>
      </c>
      <c r="X13" s="46" t="s">
        <v>1</v>
      </c>
      <c r="Y13" s="31" t="s">
        <v>1</v>
      </c>
      <c r="Z13" s="46" t="s">
        <v>1</v>
      </c>
      <c r="AA13" s="31" t="s">
        <v>1</v>
      </c>
      <c r="AB13" s="46" t="s">
        <v>1</v>
      </c>
      <c r="AC13" s="47" t="s">
        <v>1</v>
      </c>
      <c r="AD13" s="36" t="s">
        <v>1</v>
      </c>
      <c r="AE13" s="51" t="s">
        <v>1</v>
      </c>
      <c r="AF13" s="36" t="s">
        <v>1</v>
      </c>
      <c r="AG13" s="51" t="s">
        <v>1</v>
      </c>
      <c r="AH13" s="36" t="s">
        <v>1</v>
      </c>
      <c r="AI13" s="51" t="s">
        <v>1</v>
      </c>
      <c r="AJ13" s="36" t="s">
        <v>1</v>
      </c>
      <c r="AK13" s="51" t="s">
        <v>1</v>
      </c>
      <c r="AL13" s="36" t="s">
        <v>1</v>
      </c>
      <c r="AM13" s="31" t="s">
        <v>1</v>
      </c>
      <c r="AN13" s="36" t="s">
        <v>1</v>
      </c>
      <c r="AO13" s="31" t="s">
        <v>1</v>
      </c>
      <c r="AP13" s="36" t="s">
        <v>1</v>
      </c>
      <c r="AQ13" s="51" t="s">
        <v>1</v>
      </c>
      <c r="AR13" s="36" t="s">
        <v>1</v>
      </c>
      <c r="AS13" s="47" t="s">
        <v>1</v>
      </c>
      <c r="AT13" s="36" t="s">
        <v>1</v>
      </c>
      <c r="AU13" s="47" t="s">
        <v>1</v>
      </c>
      <c r="AV13" s="36" t="s">
        <v>1</v>
      </c>
      <c r="AW13" s="47" t="s">
        <v>1</v>
      </c>
      <c r="AX13" s="36" t="s">
        <v>2065</v>
      </c>
      <c r="AY13" s="47" t="s">
        <v>2193</v>
      </c>
      <c r="AZ13" s="36" t="s">
        <v>1299</v>
      </c>
      <c r="BA13" s="47" t="s">
        <v>2193</v>
      </c>
      <c r="BB13" s="36" t="s">
        <v>2188</v>
      </c>
      <c r="BC13" s="47" t="s">
        <v>2191</v>
      </c>
      <c r="BD13" s="36" t="s">
        <v>2189</v>
      </c>
      <c r="BE13" s="47" t="str">
        <f t="shared" si="0"/>
        <v>"UF"</v>
      </c>
    </row>
    <row r="14" spans="1:57" ht="6.65" customHeight="1" x14ac:dyDescent="0.4">
      <c r="A14" s="93">
        <v>14</v>
      </c>
      <c r="B14" s="74" t="s">
        <v>761</v>
      </c>
      <c r="C14" s="44" t="s">
        <v>649</v>
      </c>
      <c r="D14" s="18" t="s">
        <v>744</v>
      </c>
      <c r="E14" s="20" t="s">
        <v>746</v>
      </c>
      <c r="F14" s="18" t="s">
        <v>1</v>
      </c>
      <c r="G14" s="20" t="s">
        <v>1</v>
      </c>
      <c r="H14" s="18" t="s">
        <v>1</v>
      </c>
      <c r="I14" s="20" t="s">
        <v>1</v>
      </c>
      <c r="J14" s="18" t="s">
        <v>1</v>
      </c>
      <c r="K14" s="20" t="s">
        <v>1</v>
      </c>
      <c r="L14" s="18" t="s">
        <v>1</v>
      </c>
      <c r="M14" s="20" t="s">
        <v>1</v>
      </c>
      <c r="N14" s="46" t="s">
        <v>82</v>
      </c>
      <c r="O14" s="31" t="s">
        <v>762</v>
      </c>
      <c r="P14" s="46" t="s">
        <v>1</v>
      </c>
      <c r="Q14" s="25" t="s">
        <v>1</v>
      </c>
      <c r="R14" s="46" t="s">
        <v>1</v>
      </c>
      <c r="S14" s="52" t="s">
        <v>1</v>
      </c>
      <c r="T14" s="46" t="s">
        <v>1</v>
      </c>
      <c r="U14" s="31" t="s">
        <v>1</v>
      </c>
      <c r="V14" s="46" t="s">
        <v>1</v>
      </c>
      <c r="W14" s="31" t="s">
        <v>1</v>
      </c>
      <c r="X14" s="46" t="s">
        <v>1</v>
      </c>
      <c r="Y14" s="31" t="s">
        <v>1</v>
      </c>
      <c r="Z14" s="46" t="s">
        <v>1</v>
      </c>
      <c r="AA14" s="31" t="s">
        <v>1</v>
      </c>
      <c r="AB14" s="46" t="s">
        <v>1</v>
      </c>
      <c r="AC14" s="47" t="s">
        <v>1</v>
      </c>
      <c r="AD14" s="36" t="s">
        <v>1</v>
      </c>
      <c r="AE14" s="51" t="s">
        <v>1</v>
      </c>
      <c r="AF14" s="36" t="s">
        <v>1</v>
      </c>
      <c r="AG14" s="51" t="s">
        <v>1</v>
      </c>
      <c r="AH14" s="36" t="s">
        <v>1</v>
      </c>
      <c r="AI14" s="51" t="s">
        <v>1</v>
      </c>
      <c r="AJ14" s="36" t="s">
        <v>1</v>
      </c>
      <c r="AK14" s="51" t="s">
        <v>1</v>
      </c>
      <c r="AL14" s="36" t="s">
        <v>1</v>
      </c>
      <c r="AM14" s="31" t="s">
        <v>1</v>
      </c>
      <c r="AN14" s="36" t="s">
        <v>1</v>
      </c>
      <c r="AO14" s="31" t="s">
        <v>1</v>
      </c>
      <c r="AP14" s="36" t="s">
        <v>1</v>
      </c>
      <c r="AQ14" s="51" t="s">
        <v>1</v>
      </c>
      <c r="AR14" s="36" t="s">
        <v>1</v>
      </c>
      <c r="AS14" s="47" t="s">
        <v>1</v>
      </c>
      <c r="AT14" s="36" t="s">
        <v>1</v>
      </c>
      <c r="AU14" s="47" t="s">
        <v>1</v>
      </c>
      <c r="AV14" s="36" t="s">
        <v>1</v>
      </c>
      <c r="AW14" s="47" t="s">
        <v>1</v>
      </c>
      <c r="AX14" s="36" t="s">
        <v>2065</v>
      </c>
      <c r="AY14" s="47" t="s">
        <v>2193</v>
      </c>
      <c r="AZ14" s="36" t="s">
        <v>1299</v>
      </c>
      <c r="BA14" s="47" t="s">
        <v>2193</v>
      </c>
      <c r="BB14" s="36" t="s">
        <v>2188</v>
      </c>
      <c r="BC14" s="47" t="s">
        <v>2191</v>
      </c>
      <c r="BD14" s="36" t="s">
        <v>2189</v>
      </c>
      <c r="BE14" s="47" t="str">
        <f t="shared" si="0"/>
        <v>"Zona.Climática"</v>
      </c>
    </row>
    <row r="15" spans="1:57" ht="6.65" customHeight="1" x14ac:dyDescent="0.4">
      <c r="A15" s="93">
        <v>15</v>
      </c>
      <c r="B15" s="74" t="s">
        <v>763</v>
      </c>
      <c r="C15" s="44" t="s">
        <v>649</v>
      </c>
      <c r="D15" s="18" t="s">
        <v>744</v>
      </c>
      <c r="E15" s="20" t="s">
        <v>746</v>
      </c>
      <c r="F15" s="18" t="s">
        <v>1</v>
      </c>
      <c r="G15" s="20" t="s">
        <v>1</v>
      </c>
      <c r="H15" s="18" t="s">
        <v>1</v>
      </c>
      <c r="I15" s="20" t="s">
        <v>1</v>
      </c>
      <c r="J15" s="18" t="s">
        <v>1</v>
      </c>
      <c r="K15" s="20" t="s">
        <v>1</v>
      </c>
      <c r="L15" s="18" t="s">
        <v>1</v>
      </c>
      <c r="M15" s="20" t="s">
        <v>1</v>
      </c>
      <c r="N15" s="46" t="s">
        <v>82</v>
      </c>
      <c r="O15" s="31" t="s">
        <v>764</v>
      </c>
      <c r="P15" s="46" t="s">
        <v>1</v>
      </c>
      <c r="Q15" s="25" t="s">
        <v>1</v>
      </c>
      <c r="R15" s="46" t="s">
        <v>1</v>
      </c>
      <c r="S15" s="52" t="s">
        <v>1</v>
      </c>
      <c r="T15" s="46" t="s">
        <v>1</v>
      </c>
      <c r="U15" s="31" t="s">
        <v>1</v>
      </c>
      <c r="V15" s="46" t="s">
        <v>1</v>
      </c>
      <c r="W15" s="31" t="s">
        <v>1</v>
      </c>
      <c r="X15" s="46" t="s">
        <v>1</v>
      </c>
      <c r="Y15" s="31" t="s">
        <v>1</v>
      </c>
      <c r="Z15" s="46" t="s">
        <v>1</v>
      </c>
      <c r="AA15" s="31" t="s">
        <v>1</v>
      </c>
      <c r="AB15" s="46" t="s">
        <v>1</v>
      </c>
      <c r="AC15" s="47" t="s">
        <v>1</v>
      </c>
      <c r="AD15" s="36" t="s">
        <v>1</v>
      </c>
      <c r="AE15" s="51" t="s">
        <v>1</v>
      </c>
      <c r="AF15" s="36" t="s">
        <v>1</v>
      </c>
      <c r="AG15" s="51" t="s">
        <v>1</v>
      </c>
      <c r="AH15" s="36" t="s">
        <v>1</v>
      </c>
      <c r="AI15" s="51" t="s">
        <v>1</v>
      </c>
      <c r="AJ15" s="36" t="s">
        <v>1</v>
      </c>
      <c r="AK15" s="51" t="s">
        <v>1</v>
      </c>
      <c r="AL15" s="36" t="s">
        <v>1</v>
      </c>
      <c r="AM15" s="31" t="s">
        <v>1</v>
      </c>
      <c r="AN15" s="36" t="s">
        <v>1</v>
      </c>
      <c r="AO15" s="31" t="s">
        <v>1</v>
      </c>
      <c r="AP15" s="36" t="s">
        <v>1</v>
      </c>
      <c r="AQ15" s="51" t="s">
        <v>1</v>
      </c>
      <c r="AR15" s="36" t="s">
        <v>1</v>
      </c>
      <c r="AS15" s="47" t="s">
        <v>1</v>
      </c>
      <c r="AT15" s="36" t="s">
        <v>1</v>
      </c>
      <c r="AU15" s="47" t="s">
        <v>1</v>
      </c>
      <c r="AV15" s="36" t="s">
        <v>1</v>
      </c>
      <c r="AW15" s="47" t="s">
        <v>1</v>
      </c>
      <c r="AX15" s="36" t="s">
        <v>2065</v>
      </c>
      <c r="AY15" s="47" t="s">
        <v>2193</v>
      </c>
      <c r="AZ15" s="36" t="s">
        <v>1299</v>
      </c>
      <c r="BA15" s="47" t="s">
        <v>2193</v>
      </c>
      <c r="BB15" s="36" t="s">
        <v>2188</v>
      </c>
      <c r="BC15" s="47" t="s">
        <v>2191</v>
      </c>
      <c r="BD15" s="36" t="s">
        <v>2189</v>
      </c>
      <c r="BE15" s="47" t="str">
        <f t="shared" si="0"/>
        <v>"Zona.Climática"</v>
      </c>
    </row>
    <row r="16" spans="1:57" ht="6.65" customHeight="1" x14ac:dyDescent="0.4">
      <c r="A16" s="93">
        <v>16</v>
      </c>
      <c r="B16" s="74" t="s">
        <v>765</v>
      </c>
      <c r="C16" s="44" t="s">
        <v>649</v>
      </c>
      <c r="D16" s="18" t="s">
        <v>744</v>
      </c>
      <c r="E16" s="20" t="s">
        <v>746</v>
      </c>
      <c r="F16" s="18" t="s">
        <v>1</v>
      </c>
      <c r="G16" s="20" t="s">
        <v>1</v>
      </c>
      <c r="H16" s="18" t="s">
        <v>1</v>
      </c>
      <c r="I16" s="20" t="s">
        <v>1</v>
      </c>
      <c r="J16" s="18" t="s">
        <v>1</v>
      </c>
      <c r="K16" s="20" t="s">
        <v>1</v>
      </c>
      <c r="L16" s="18" t="s">
        <v>1</v>
      </c>
      <c r="M16" s="20" t="s">
        <v>1</v>
      </c>
      <c r="N16" s="46" t="s">
        <v>82</v>
      </c>
      <c r="O16" s="31" t="s">
        <v>766</v>
      </c>
      <c r="P16" s="46" t="s">
        <v>1</v>
      </c>
      <c r="Q16" s="25" t="s">
        <v>1</v>
      </c>
      <c r="R16" s="46" t="s">
        <v>1</v>
      </c>
      <c r="S16" s="52" t="s">
        <v>1</v>
      </c>
      <c r="T16" s="46" t="s">
        <v>1</v>
      </c>
      <c r="U16" s="31" t="s">
        <v>1</v>
      </c>
      <c r="V16" s="46" t="s">
        <v>1</v>
      </c>
      <c r="W16" s="31" t="s">
        <v>1</v>
      </c>
      <c r="X16" s="46" t="s">
        <v>1</v>
      </c>
      <c r="Y16" s="31" t="s">
        <v>1</v>
      </c>
      <c r="Z16" s="46" t="s">
        <v>1</v>
      </c>
      <c r="AA16" s="31" t="s">
        <v>1</v>
      </c>
      <c r="AB16" s="46" t="s">
        <v>1</v>
      </c>
      <c r="AC16" s="47" t="s">
        <v>1</v>
      </c>
      <c r="AD16" s="36" t="s">
        <v>1</v>
      </c>
      <c r="AE16" s="51" t="s">
        <v>1</v>
      </c>
      <c r="AF16" s="36" t="s">
        <v>1</v>
      </c>
      <c r="AG16" s="51" t="s">
        <v>1</v>
      </c>
      <c r="AH16" s="36" t="s">
        <v>1</v>
      </c>
      <c r="AI16" s="51" t="s">
        <v>1</v>
      </c>
      <c r="AJ16" s="36" t="s">
        <v>1</v>
      </c>
      <c r="AK16" s="51" t="s">
        <v>1</v>
      </c>
      <c r="AL16" s="36" t="s">
        <v>1</v>
      </c>
      <c r="AM16" s="31" t="s">
        <v>1</v>
      </c>
      <c r="AN16" s="36" t="s">
        <v>1</v>
      </c>
      <c r="AO16" s="31" t="s">
        <v>1</v>
      </c>
      <c r="AP16" s="36" t="s">
        <v>1</v>
      </c>
      <c r="AQ16" s="51" t="s">
        <v>1</v>
      </c>
      <c r="AR16" s="36" t="s">
        <v>1</v>
      </c>
      <c r="AS16" s="47" t="s">
        <v>1</v>
      </c>
      <c r="AT16" s="36" t="s">
        <v>1</v>
      </c>
      <c r="AU16" s="47" t="s">
        <v>1</v>
      </c>
      <c r="AV16" s="36" t="s">
        <v>1</v>
      </c>
      <c r="AW16" s="47" t="s">
        <v>1</v>
      </c>
      <c r="AX16" s="36" t="s">
        <v>2065</v>
      </c>
      <c r="AY16" s="47" t="s">
        <v>2193</v>
      </c>
      <c r="AZ16" s="36" t="s">
        <v>1299</v>
      </c>
      <c r="BA16" s="47" t="s">
        <v>2193</v>
      </c>
      <c r="BB16" s="36" t="s">
        <v>2188</v>
      </c>
      <c r="BC16" s="47" t="s">
        <v>2191</v>
      </c>
      <c r="BD16" s="36" t="s">
        <v>2189</v>
      </c>
      <c r="BE16" s="47" t="str">
        <f t="shared" si="0"/>
        <v>"Zona.Climática"</v>
      </c>
    </row>
    <row r="17" spans="1:57" ht="6.65" customHeight="1" x14ac:dyDescent="0.4">
      <c r="A17" s="93">
        <v>17</v>
      </c>
      <c r="B17" s="74" t="s">
        <v>767</v>
      </c>
      <c r="C17" s="44" t="s">
        <v>649</v>
      </c>
      <c r="D17" s="18" t="s">
        <v>744</v>
      </c>
      <c r="E17" s="20" t="s">
        <v>746</v>
      </c>
      <c r="F17" s="18" t="s">
        <v>1</v>
      </c>
      <c r="G17" s="20" t="s">
        <v>1</v>
      </c>
      <c r="H17" s="18" t="s">
        <v>1</v>
      </c>
      <c r="I17" s="20" t="s">
        <v>1</v>
      </c>
      <c r="J17" s="18" t="s">
        <v>1</v>
      </c>
      <c r="K17" s="20" t="s">
        <v>1</v>
      </c>
      <c r="L17" s="18" t="s">
        <v>1</v>
      </c>
      <c r="M17" s="20" t="s">
        <v>1</v>
      </c>
      <c r="N17" s="46" t="s">
        <v>82</v>
      </c>
      <c r="O17" s="31" t="s">
        <v>768</v>
      </c>
      <c r="P17" s="46" t="s">
        <v>1</v>
      </c>
      <c r="Q17" s="25" t="s">
        <v>1</v>
      </c>
      <c r="R17" s="46" t="s">
        <v>1</v>
      </c>
      <c r="S17" s="52" t="s">
        <v>1</v>
      </c>
      <c r="T17" s="46" t="s">
        <v>1</v>
      </c>
      <c r="U17" s="31" t="s">
        <v>1</v>
      </c>
      <c r="V17" s="46" t="s">
        <v>1</v>
      </c>
      <c r="W17" s="31" t="s">
        <v>1</v>
      </c>
      <c r="X17" s="46" t="s">
        <v>1</v>
      </c>
      <c r="Y17" s="31" t="s">
        <v>1</v>
      </c>
      <c r="Z17" s="46" t="s">
        <v>1</v>
      </c>
      <c r="AA17" s="31" t="s">
        <v>1</v>
      </c>
      <c r="AB17" s="46" t="s">
        <v>1</v>
      </c>
      <c r="AC17" s="47" t="s">
        <v>1</v>
      </c>
      <c r="AD17" s="36" t="s">
        <v>1</v>
      </c>
      <c r="AE17" s="51" t="s">
        <v>1</v>
      </c>
      <c r="AF17" s="36" t="s">
        <v>1</v>
      </c>
      <c r="AG17" s="51" t="s">
        <v>1</v>
      </c>
      <c r="AH17" s="36" t="s">
        <v>1</v>
      </c>
      <c r="AI17" s="51" t="s">
        <v>1</v>
      </c>
      <c r="AJ17" s="36" t="s">
        <v>1</v>
      </c>
      <c r="AK17" s="51" t="s">
        <v>1</v>
      </c>
      <c r="AL17" s="36" t="s">
        <v>1</v>
      </c>
      <c r="AM17" s="31" t="s">
        <v>1</v>
      </c>
      <c r="AN17" s="36" t="s">
        <v>1</v>
      </c>
      <c r="AO17" s="31" t="s">
        <v>1</v>
      </c>
      <c r="AP17" s="36" t="s">
        <v>1</v>
      </c>
      <c r="AQ17" s="51" t="s">
        <v>1</v>
      </c>
      <c r="AR17" s="36" t="s">
        <v>1</v>
      </c>
      <c r="AS17" s="47" t="s">
        <v>1</v>
      </c>
      <c r="AT17" s="36" t="s">
        <v>1</v>
      </c>
      <c r="AU17" s="47" t="s">
        <v>1</v>
      </c>
      <c r="AV17" s="36" t="s">
        <v>1</v>
      </c>
      <c r="AW17" s="47" t="s">
        <v>1</v>
      </c>
      <c r="AX17" s="36" t="s">
        <v>2065</v>
      </c>
      <c r="AY17" s="47" t="s">
        <v>2193</v>
      </c>
      <c r="AZ17" s="36" t="s">
        <v>1299</v>
      </c>
      <c r="BA17" s="47" t="s">
        <v>2193</v>
      </c>
      <c r="BB17" s="36" t="s">
        <v>2188</v>
      </c>
      <c r="BC17" s="47" t="s">
        <v>2191</v>
      </c>
      <c r="BD17" s="36" t="s">
        <v>2189</v>
      </c>
      <c r="BE17" s="47" t="str">
        <f t="shared" si="0"/>
        <v>"Zona.Climática"</v>
      </c>
    </row>
    <row r="18" spans="1:57" ht="6.65" customHeight="1" x14ac:dyDescent="0.4">
      <c r="A18" s="93">
        <v>18</v>
      </c>
      <c r="B18" s="74" t="s">
        <v>769</v>
      </c>
      <c r="C18" s="44" t="s">
        <v>649</v>
      </c>
      <c r="D18" s="18" t="s">
        <v>744</v>
      </c>
      <c r="E18" s="20" t="s">
        <v>746</v>
      </c>
      <c r="F18" s="18" t="s">
        <v>1</v>
      </c>
      <c r="G18" s="20" t="s">
        <v>1</v>
      </c>
      <c r="H18" s="18" t="s">
        <v>1</v>
      </c>
      <c r="I18" s="20" t="s">
        <v>1</v>
      </c>
      <c r="J18" s="18" t="s">
        <v>1</v>
      </c>
      <c r="K18" s="20" t="s">
        <v>1</v>
      </c>
      <c r="L18" s="18" t="s">
        <v>1</v>
      </c>
      <c r="M18" s="20" t="s">
        <v>1</v>
      </c>
      <c r="N18" s="46" t="s">
        <v>82</v>
      </c>
      <c r="O18" s="31" t="s">
        <v>770</v>
      </c>
      <c r="P18" s="46" t="s">
        <v>1</v>
      </c>
      <c r="Q18" s="25" t="s">
        <v>1</v>
      </c>
      <c r="R18" s="46" t="s">
        <v>1</v>
      </c>
      <c r="S18" s="52" t="s">
        <v>1</v>
      </c>
      <c r="T18" s="46" t="s">
        <v>1</v>
      </c>
      <c r="U18" s="31" t="s">
        <v>1</v>
      </c>
      <c r="V18" s="46" t="s">
        <v>1</v>
      </c>
      <c r="W18" s="31" t="s">
        <v>1</v>
      </c>
      <c r="X18" s="46" t="s">
        <v>1</v>
      </c>
      <c r="Y18" s="31" t="s">
        <v>1</v>
      </c>
      <c r="Z18" s="46" t="s">
        <v>1</v>
      </c>
      <c r="AA18" s="31" t="s">
        <v>1</v>
      </c>
      <c r="AB18" s="46" t="s">
        <v>1</v>
      </c>
      <c r="AC18" s="47" t="s">
        <v>1</v>
      </c>
      <c r="AD18" s="36" t="s">
        <v>1</v>
      </c>
      <c r="AE18" s="51" t="s">
        <v>1</v>
      </c>
      <c r="AF18" s="36" t="s">
        <v>1</v>
      </c>
      <c r="AG18" s="51" t="s">
        <v>1</v>
      </c>
      <c r="AH18" s="36" t="s">
        <v>1</v>
      </c>
      <c r="AI18" s="51" t="s">
        <v>1</v>
      </c>
      <c r="AJ18" s="36" t="s">
        <v>1</v>
      </c>
      <c r="AK18" s="51" t="s">
        <v>1</v>
      </c>
      <c r="AL18" s="36" t="s">
        <v>1</v>
      </c>
      <c r="AM18" s="31" t="s">
        <v>1</v>
      </c>
      <c r="AN18" s="36" t="s">
        <v>1</v>
      </c>
      <c r="AO18" s="31" t="s">
        <v>1</v>
      </c>
      <c r="AP18" s="36" t="s">
        <v>1</v>
      </c>
      <c r="AQ18" s="51" t="s">
        <v>1</v>
      </c>
      <c r="AR18" s="36" t="s">
        <v>1</v>
      </c>
      <c r="AS18" s="47" t="s">
        <v>1</v>
      </c>
      <c r="AT18" s="36" t="s">
        <v>1</v>
      </c>
      <c r="AU18" s="47" t="s">
        <v>1</v>
      </c>
      <c r="AV18" s="36" t="s">
        <v>1</v>
      </c>
      <c r="AW18" s="47" t="s">
        <v>1</v>
      </c>
      <c r="AX18" s="36" t="s">
        <v>2065</v>
      </c>
      <c r="AY18" s="47" t="s">
        <v>2193</v>
      </c>
      <c r="AZ18" s="36" t="s">
        <v>1299</v>
      </c>
      <c r="BA18" s="47" t="s">
        <v>2193</v>
      </c>
      <c r="BB18" s="36" t="s">
        <v>2188</v>
      </c>
      <c r="BC18" s="47" t="s">
        <v>2191</v>
      </c>
      <c r="BD18" s="36" t="s">
        <v>2189</v>
      </c>
      <c r="BE18" s="47" t="str">
        <f t="shared" si="0"/>
        <v>"Zona.Climática"</v>
      </c>
    </row>
    <row r="19" spans="1:57" ht="6.65" customHeight="1" x14ac:dyDescent="0.4">
      <c r="A19" s="93">
        <v>19</v>
      </c>
      <c r="B19" s="74" t="s">
        <v>771</v>
      </c>
      <c r="C19" s="44" t="s">
        <v>649</v>
      </c>
      <c r="D19" s="18" t="s">
        <v>744</v>
      </c>
      <c r="E19" s="20" t="s">
        <v>746</v>
      </c>
      <c r="F19" s="18" t="s">
        <v>1</v>
      </c>
      <c r="G19" s="20" t="s">
        <v>1</v>
      </c>
      <c r="H19" s="18" t="s">
        <v>1</v>
      </c>
      <c r="I19" s="20" t="s">
        <v>1</v>
      </c>
      <c r="J19" s="18" t="s">
        <v>1</v>
      </c>
      <c r="K19" s="20" t="s">
        <v>1</v>
      </c>
      <c r="L19" s="18" t="s">
        <v>1</v>
      </c>
      <c r="M19" s="20" t="s">
        <v>1</v>
      </c>
      <c r="N19" s="46" t="s">
        <v>82</v>
      </c>
      <c r="O19" s="31" t="s">
        <v>772</v>
      </c>
      <c r="P19" s="46" t="s">
        <v>1</v>
      </c>
      <c r="Q19" s="25" t="s">
        <v>1</v>
      </c>
      <c r="R19" s="46" t="s">
        <v>1</v>
      </c>
      <c r="S19" s="52" t="s">
        <v>1</v>
      </c>
      <c r="T19" s="46" t="s">
        <v>1</v>
      </c>
      <c r="U19" s="31" t="s">
        <v>1</v>
      </c>
      <c r="V19" s="46" t="s">
        <v>1</v>
      </c>
      <c r="W19" s="31" t="s">
        <v>1</v>
      </c>
      <c r="X19" s="46" t="s">
        <v>1</v>
      </c>
      <c r="Y19" s="31" t="s">
        <v>1</v>
      </c>
      <c r="Z19" s="46" t="s">
        <v>1</v>
      </c>
      <c r="AA19" s="31" t="s">
        <v>1</v>
      </c>
      <c r="AB19" s="46" t="s">
        <v>1</v>
      </c>
      <c r="AC19" s="47" t="s">
        <v>1</v>
      </c>
      <c r="AD19" s="36" t="s">
        <v>1</v>
      </c>
      <c r="AE19" s="51" t="s">
        <v>1</v>
      </c>
      <c r="AF19" s="36" t="s">
        <v>1</v>
      </c>
      <c r="AG19" s="51" t="s">
        <v>1</v>
      </c>
      <c r="AH19" s="36" t="s">
        <v>1</v>
      </c>
      <c r="AI19" s="51" t="s">
        <v>1</v>
      </c>
      <c r="AJ19" s="36" t="s">
        <v>1</v>
      </c>
      <c r="AK19" s="51" t="s">
        <v>1</v>
      </c>
      <c r="AL19" s="36" t="s">
        <v>1</v>
      </c>
      <c r="AM19" s="31" t="s">
        <v>1</v>
      </c>
      <c r="AN19" s="36" t="s">
        <v>1</v>
      </c>
      <c r="AO19" s="31" t="s">
        <v>1</v>
      </c>
      <c r="AP19" s="36" t="s">
        <v>1</v>
      </c>
      <c r="AQ19" s="51" t="s">
        <v>1</v>
      </c>
      <c r="AR19" s="36" t="s">
        <v>1</v>
      </c>
      <c r="AS19" s="47" t="s">
        <v>1</v>
      </c>
      <c r="AT19" s="36" t="s">
        <v>1</v>
      </c>
      <c r="AU19" s="47" t="s">
        <v>1</v>
      </c>
      <c r="AV19" s="36" t="s">
        <v>1</v>
      </c>
      <c r="AW19" s="47" t="s">
        <v>1</v>
      </c>
      <c r="AX19" s="36" t="s">
        <v>2065</v>
      </c>
      <c r="AY19" s="47" t="s">
        <v>2193</v>
      </c>
      <c r="AZ19" s="36" t="s">
        <v>1299</v>
      </c>
      <c r="BA19" s="47" t="s">
        <v>2193</v>
      </c>
      <c r="BB19" s="36" t="s">
        <v>2188</v>
      </c>
      <c r="BC19" s="47" t="s">
        <v>2191</v>
      </c>
      <c r="BD19" s="36" t="s">
        <v>2189</v>
      </c>
      <c r="BE19" s="47" t="str">
        <f t="shared" si="0"/>
        <v>"Zona.Climática"</v>
      </c>
    </row>
    <row r="20" spans="1:57" ht="6.65" customHeight="1" x14ac:dyDescent="0.4">
      <c r="A20" s="93">
        <v>20</v>
      </c>
      <c r="B20" s="74" t="s">
        <v>773</v>
      </c>
      <c r="C20" s="44" t="s">
        <v>649</v>
      </c>
      <c r="D20" s="18" t="s">
        <v>744</v>
      </c>
      <c r="E20" s="20" t="s">
        <v>746</v>
      </c>
      <c r="F20" s="18" t="s">
        <v>1</v>
      </c>
      <c r="G20" s="20" t="s">
        <v>1</v>
      </c>
      <c r="H20" s="18" t="s">
        <v>1</v>
      </c>
      <c r="I20" s="20" t="s">
        <v>1</v>
      </c>
      <c r="J20" s="18" t="s">
        <v>1</v>
      </c>
      <c r="K20" s="20" t="s">
        <v>1</v>
      </c>
      <c r="L20" s="18" t="s">
        <v>1</v>
      </c>
      <c r="M20" s="20" t="s">
        <v>1</v>
      </c>
      <c r="N20" s="46" t="s">
        <v>82</v>
      </c>
      <c r="O20" s="31" t="s">
        <v>774</v>
      </c>
      <c r="P20" s="46" t="s">
        <v>1</v>
      </c>
      <c r="Q20" s="25" t="s">
        <v>1</v>
      </c>
      <c r="R20" s="46" t="s">
        <v>1</v>
      </c>
      <c r="S20" s="52" t="s">
        <v>1</v>
      </c>
      <c r="T20" s="46" t="s">
        <v>1</v>
      </c>
      <c r="U20" s="31" t="s">
        <v>1</v>
      </c>
      <c r="V20" s="46" t="s">
        <v>1</v>
      </c>
      <c r="W20" s="31" t="s">
        <v>1</v>
      </c>
      <c r="X20" s="46" t="s">
        <v>1</v>
      </c>
      <c r="Y20" s="31" t="s">
        <v>1</v>
      </c>
      <c r="Z20" s="46" t="s">
        <v>1</v>
      </c>
      <c r="AA20" s="31" t="s">
        <v>1</v>
      </c>
      <c r="AB20" s="46" t="s">
        <v>1</v>
      </c>
      <c r="AC20" s="47" t="s">
        <v>1</v>
      </c>
      <c r="AD20" s="36" t="s">
        <v>1</v>
      </c>
      <c r="AE20" s="51" t="s">
        <v>1</v>
      </c>
      <c r="AF20" s="36" t="s">
        <v>1</v>
      </c>
      <c r="AG20" s="51" t="s">
        <v>1</v>
      </c>
      <c r="AH20" s="36" t="s">
        <v>1</v>
      </c>
      <c r="AI20" s="51" t="s">
        <v>1</v>
      </c>
      <c r="AJ20" s="36" t="s">
        <v>1</v>
      </c>
      <c r="AK20" s="51" t="s">
        <v>1</v>
      </c>
      <c r="AL20" s="36" t="s">
        <v>1</v>
      </c>
      <c r="AM20" s="31" t="s">
        <v>1</v>
      </c>
      <c r="AN20" s="36" t="s">
        <v>1</v>
      </c>
      <c r="AO20" s="31" t="s">
        <v>1</v>
      </c>
      <c r="AP20" s="36" t="s">
        <v>1</v>
      </c>
      <c r="AQ20" s="51" t="s">
        <v>1</v>
      </c>
      <c r="AR20" s="36" t="s">
        <v>1</v>
      </c>
      <c r="AS20" s="47" t="s">
        <v>1</v>
      </c>
      <c r="AT20" s="36" t="s">
        <v>1</v>
      </c>
      <c r="AU20" s="47" t="s">
        <v>1</v>
      </c>
      <c r="AV20" s="36" t="s">
        <v>1</v>
      </c>
      <c r="AW20" s="47" t="s">
        <v>1</v>
      </c>
      <c r="AX20" s="36" t="s">
        <v>2065</v>
      </c>
      <c r="AY20" s="47" t="s">
        <v>2193</v>
      </c>
      <c r="AZ20" s="36" t="s">
        <v>1299</v>
      </c>
      <c r="BA20" s="47" t="s">
        <v>2193</v>
      </c>
      <c r="BB20" s="36" t="s">
        <v>2188</v>
      </c>
      <c r="BC20" s="47" t="s">
        <v>2191</v>
      </c>
      <c r="BD20" s="36" t="s">
        <v>2189</v>
      </c>
      <c r="BE20" s="47" t="str">
        <f t="shared" si="0"/>
        <v>"Zona.Climática"</v>
      </c>
    </row>
    <row r="21" spans="1:57" ht="6.65" customHeight="1" x14ac:dyDescent="0.4">
      <c r="A21" s="93">
        <v>21</v>
      </c>
      <c r="B21" s="74" t="s">
        <v>775</v>
      </c>
      <c r="C21" s="44" t="s">
        <v>649</v>
      </c>
      <c r="D21" s="18" t="s">
        <v>744</v>
      </c>
      <c r="E21" s="20" t="s">
        <v>746</v>
      </c>
      <c r="F21" s="18" t="s">
        <v>1</v>
      </c>
      <c r="G21" s="20" t="s">
        <v>1</v>
      </c>
      <c r="H21" s="18" t="s">
        <v>1</v>
      </c>
      <c r="I21" s="20" t="s">
        <v>1</v>
      </c>
      <c r="J21" s="18" t="s">
        <v>1</v>
      </c>
      <c r="K21" s="20" t="s">
        <v>1</v>
      </c>
      <c r="L21" s="18" t="s">
        <v>1</v>
      </c>
      <c r="M21" s="20" t="s">
        <v>1</v>
      </c>
      <c r="N21" s="46" t="s">
        <v>82</v>
      </c>
      <c r="O21" s="31" t="s">
        <v>776</v>
      </c>
      <c r="P21" s="46" t="s">
        <v>1</v>
      </c>
      <c r="Q21" s="25" t="s">
        <v>1</v>
      </c>
      <c r="R21" s="46" t="s">
        <v>1</v>
      </c>
      <c r="S21" s="52" t="s">
        <v>1</v>
      </c>
      <c r="T21" s="46" t="s">
        <v>1</v>
      </c>
      <c r="U21" s="31" t="s">
        <v>1</v>
      </c>
      <c r="V21" s="46" t="s">
        <v>1</v>
      </c>
      <c r="W21" s="31" t="s">
        <v>1</v>
      </c>
      <c r="X21" s="46" t="s">
        <v>1</v>
      </c>
      <c r="Y21" s="31" t="s">
        <v>1</v>
      </c>
      <c r="Z21" s="46" t="s">
        <v>1</v>
      </c>
      <c r="AA21" s="31" t="s">
        <v>1</v>
      </c>
      <c r="AB21" s="46" t="s">
        <v>1</v>
      </c>
      <c r="AC21" s="47" t="s">
        <v>1</v>
      </c>
      <c r="AD21" s="36" t="s">
        <v>1</v>
      </c>
      <c r="AE21" s="51" t="s">
        <v>1</v>
      </c>
      <c r="AF21" s="36" t="s">
        <v>1</v>
      </c>
      <c r="AG21" s="51" t="s">
        <v>1</v>
      </c>
      <c r="AH21" s="36" t="s">
        <v>1</v>
      </c>
      <c r="AI21" s="51" t="s">
        <v>1</v>
      </c>
      <c r="AJ21" s="36" t="s">
        <v>1</v>
      </c>
      <c r="AK21" s="51" t="s">
        <v>1</v>
      </c>
      <c r="AL21" s="36" t="s">
        <v>1</v>
      </c>
      <c r="AM21" s="31" t="s">
        <v>1</v>
      </c>
      <c r="AN21" s="36" t="s">
        <v>1</v>
      </c>
      <c r="AO21" s="31" t="s">
        <v>1</v>
      </c>
      <c r="AP21" s="36" t="s">
        <v>1</v>
      </c>
      <c r="AQ21" s="51" t="s">
        <v>1</v>
      </c>
      <c r="AR21" s="36" t="s">
        <v>1</v>
      </c>
      <c r="AS21" s="47" t="s">
        <v>1</v>
      </c>
      <c r="AT21" s="36" t="s">
        <v>1</v>
      </c>
      <c r="AU21" s="47" t="s">
        <v>1</v>
      </c>
      <c r="AV21" s="36" t="s">
        <v>1</v>
      </c>
      <c r="AW21" s="47" t="s">
        <v>1</v>
      </c>
      <c r="AX21" s="36" t="s">
        <v>2065</v>
      </c>
      <c r="AY21" s="47" t="s">
        <v>2193</v>
      </c>
      <c r="AZ21" s="36" t="s">
        <v>1299</v>
      </c>
      <c r="BA21" s="47" t="s">
        <v>2193</v>
      </c>
      <c r="BB21" s="36" t="s">
        <v>2188</v>
      </c>
      <c r="BC21" s="47" t="s">
        <v>2191</v>
      </c>
      <c r="BD21" s="36" t="s">
        <v>2189</v>
      </c>
      <c r="BE21" s="47" t="str">
        <f t="shared" si="0"/>
        <v>"Zona.Climática"</v>
      </c>
    </row>
    <row r="22" spans="1:57" ht="6.65" customHeight="1" x14ac:dyDescent="0.4">
      <c r="A22" s="93">
        <v>22</v>
      </c>
      <c r="B22" s="74" t="s">
        <v>777</v>
      </c>
      <c r="C22" s="44" t="s">
        <v>651</v>
      </c>
      <c r="D22" s="18" t="s">
        <v>744</v>
      </c>
      <c r="E22" s="20" t="s">
        <v>753</v>
      </c>
      <c r="F22" s="18" t="s">
        <v>1</v>
      </c>
      <c r="G22" s="20" t="s">
        <v>1</v>
      </c>
      <c r="H22" s="18" t="s">
        <v>1</v>
      </c>
      <c r="I22" s="20" t="s">
        <v>1</v>
      </c>
      <c r="J22" s="18" t="s">
        <v>1</v>
      </c>
      <c r="K22" s="20" t="s">
        <v>1</v>
      </c>
      <c r="L22" s="18" t="s">
        <v>1</v>
      </c>
      <c r="M22" s="20" t="s">
        <v>1</v>
      </c>
      <c r="N22" s="46" t="s">
        <v>82</v>
      </c>
      <c r="O22" s="31" t="s">
        <v>778</v>
      </c>
      <c r="P22" s="46" t="s">
        <v>1</v>
      </c>
      <c r="Q22" s="25" t="s">
        <v>1</v>
      </c>
      <c r="R22" s="46" t="s">
        <v>1</v>
      </c>
      <c r="S22" s="52" t="s">
        <v>1</v>
      </c>
      <c r="T22" s="46" t="s">
        <v>1</v>
      </c>
      <c r="U22" s="31" t="s">
        <v>1</v>
      </c>
      <c r="V22" s="46" t="s">
        <v>1</v>
      </c>
      <c r="W22" s="31" t="s">
        <v>1</v>
      </c>
      <c r="X22" s="46" t="s">
        <v>1</v>
      </c>
      <c r="Y22" s="31" t="s">
        <v>1</v>
      </c>
      <c r="Z22" s="46" t="s">
        <v>1</v>
      </c>
      <c r="AA22" s="31" t="s">
        <v>1</v>
      </c>
      <c r="AB22" s="46" t="s">
        <v>1</v>
      </c>
      <c r="AC22" s="47" t="s">
        <v>1</v>
      </c>
      <c r="AD22" s="36" t="s">
        <v>1</v>
      </c>
      <c r="AE22" s="51" t="s">
        <v>1</v>
      </c>
      <c r="AF22" s="36" t="s">
        <v>1</v>
      </c>
      <c r="AG22" s="51" t="s">
        <v>1</v>
      </c>
      <c r="AH22" s="36" t="s">
        <v>1</v>
      </c>
      <c r="AI22" s="51" t="s">
        <v>1</v>
      </c>
      <c r="AJ22" s="36" t="s">
        <v>1</v>
      </c>
      <c r="AK22" s="51" t="s">
        <v>1</v>
      </c>
      <c r="AL22" s="36" t="s">
        <v>1</v>
      </c>
      <c r="AM22" s="31" t="s">
        <v>1</v>
      </c>
      <c r="AN22" s="36" t="s">
        <v>1</v>
      </c>
      <c r="AO22" s="31" t="s">
        <v>1</v>
      </c>
      <c r="AP22" s="36" t="s">
        <v>1</v>
      </c>
      <c r="AQ22" s="51" t="s">
        <v>1</v>
      </c>
      <c r="AR22" s="36" t="s">
        <v>1</v>
      </c>
      <c r="AS22" s="47" t="s">
        <v>1</v>
      </c>
      <c r="AT22" s="36" t="s">
        <v>1</v>
      </c>
      <c r="AU22" s="47" t="s">
        <v>1</v>
      </c>
      <c r="AV22" s="36" t="s">
        <v>1</v>
      </c>
      <c r="AW22" s="47" t="s">
        <v>1</v>
      </c>
      <c r="AX22" s="36" t="s">
        <v>2065</v>
      </c>
      <c r="AY22" s="47" t="s">
        <v>2193</v>
      </c>
      <c r="AZ22" s="36" t="s">
        <v>1299</v>
      </c>
      <c r="BA22" s="47" t="s">
        <v>2193</v>
      </c>
      <c r="BB22" s="36" t="s">
        <v>2188</v>
      </c>
      <c r="BC22" s="47" t="s">
        <v>2191</v>
      </c>
      <c r="BD22" s="36" t="s">
        <v>2189</v>
      </c>
      <c r="BE22" s="47" t="str">
        <f t="shared" si="0"/>
        <v>"Zona.Climática.Local"</v>
      </c>
    </row>
    <row r="23" spans="1:57" ht="6.65" customHeight="1" x14ac:dyDescent="0.4">
      <c r="A23" s="93">
        <v>23</v>
      </c>
      <c r="B23" s="74" t="s">
        <v>779</v>
      </c>
      <c r="C23" s="44" t="s">
        <v>651</v>
      </c>
      <c r="D23" s="18" t="s">
        <v>744</v>
      </c>
      <c r="E23" s="20" t="s">
        <v>753</v>
      </c>
      <c r="F23" s="18" t="s">
        <v>1</v>
      </c>
      <c r="G23" s="20" t="s">
        <v>1</v>
      </c>
      <c r="H23" s="18" t="s">
        <v>1</v>
      </c>
      <c r="I23" s="20" t="s">
        <v>1</v>
      </c>
      <c r="J23" s="18" t="s">
        <v>1</v>
      </c>
      <c r="K23" s="20" t="s">
        <v>1</v>
      </c>
      <c r="L23" s="18" t="s">
        <v>1</v>
      </c>
      <c r="M23" s="20" t="s">
        <v>1</v>
      </c>
      <c r="N23" s="46" t="s">
        <v>82</v>
      </c>
      <c r="O23" s="31" t="s">
        <v>780</v>
      </c>
      <c r="P23" s="46" t="s">
        <v>1</v>
      </c>
      <c r="Q23" s="25" t="s">
        <v>1</v>
      </c>
      <c r="R23" s="46" t="s">
        <v>1</v>
      </c>
      <c r="S23" s="52" t="s">
        <v>1</v>
      </c>
      <c r="T23" s="46" t="s">
        <v>1</v>
      </c>
      <c r="U23" s="31" t="s">
        <v>1</v>
      </c>
      <c r="V23" s="46" t="s">
        <v>1</v>
      </c>
      <c r="W23" s="31" t="s">
        <v>1</v>
      </c>
      <c r="X23" s="46" t="s">
        <v>1</v>
      </c>
      <c r="Y23" s="31" t="s">
        <v>1</v>
      </c>
      <c r="Z23" s="46" t="s">
        <v>1</v>
      </c>
      <c r="AA23" s="31" t="s">
        <v>1</v>
      </c>
      <c r="AB23" s="46" t="s">
        <v>1</v>
      </c>
      <c r="AC23" s="47" t="s">
        <v>1</v>
      </c>
      <c r="AD23" s="36" t="s">
        <v>1</v>
      </c>
      <c r="AE23" s="51" t="s">
        <v>1</v>
      </c>
      <c r="AF23" s="36" t="s">
        <v>1</v>
      </c>
      <c r="AG23" s="51" t="s">
        <v>1</v>
      </c>
      <c r="AH23" s="36" t="s">
        <v>1</v>
      </c>
      <c r="AI23" s="51" t="s">
        <v>1</v>
      </c>
      <c r="AJ23" s="36" t="s">
        <v>1</v>
      </c>
      <c r="AK23" s="51" t="s">
        <v>1</v>
      </c>
      <c r="AL23" s="36" t="s">
        <v>1</v>
      </c>
      <c r="AM23" s="31" t="s">
        <v>1</v>
      </c>
      <c r="AN23" s="36" t="s">
        <v>1</v>
      </c>
      <c r="AO23" s="31" t="s">
        <v>1</v>
      </c>
      <c r="AP23" s="36" t="s">
        <v>1</v>
      </c>
      <c r="AQ23" s="51" t="s">
        <v>1</v>
      </c>
      <c r="AR23" s="36" t="s">
        <v>1</v>
      </c>
      <c r="AS23" s="47" t="s">
        <v>1</v>
      </c>
      <c r="AT23" s="36" t="s">
        <v>1</v>
      </c>
      <c r="AU23" s="47" t="s">
        <v>1</v>
      </c>
      <c r="AV23" s="36" t="s">
        <v>1</v>
      </c>
      <c r="AW23" s="47" t="s">
        <v>1</v>
      </c>
      <c r="AX23" s="36" t="s">
        <v>2065</v>
      </c>
      <c r="AY23" s="47" t="s">
        <v>2193</v>
      </c>
      <c r="AZ23" s="36" t="s">
        <v>1299</v>
      </c>
      <c r="BA23" s="47" t="s">
        <v>2193</v>
      </c>
      <c r="BB23" s="36" t="s">
        <v>2188</v>
      </c>
      <c r="BC23" s="47" t="s">
        <v>2191</v>
      </c>
      <c r="BD23" s="36" t="s">
        <v>2189</v>
      </c>
      <c r="BE23" s="47" t="str">
        <f t="shared" si="0"/>
        <v>"Zona.Climática.Local"</v>
      </c>
    </row>
    <row r="24" spans="1:57" ht="6.65" customHeight="1" x14ac:dyDescent="0.4">
      <c r="A24" s="93">
        <v>24</v>
      </c>
      <c r="B24" s="74" t="s">
        <v>781</v>
      </c>
      <c r="C24" s="44" t="s">
        <v>651</v>
      </c>
      <c r="D24" s="18" t="s">
        <v>744</v>
      </c>
      <c r="E24" s="20" t="s">
        <v>753</v>
      </c>
      <c r="F24" s="18" t="s">
        <v>1</v>
      </c>
      <c r="G24" s="20" t="s">
        <v>1</v>
      </c>
      <c r="H24" s="18" t="s">
        <v>1</v>
      </c>
      <c r="I24" s="20" t="s">
        <v>1</v>
      </c>
      <c r="J24" s="18" t="s">
        <v>1</v>
      </c>
      <c r="K24" s="20" t="s">
        <v>1</v>
      </c>
      <c r="L24" s="18" t="s">
        <v>1</v>
      </c>
      <c r="M24" s="20" t="s">
        <v>1</v>
      </c>
      <c r="N24" s="46" t="s">
        <v>82</v>
      </c>
      <c r="O24" s="31" t="s">
        <v>782</v>
      </c>
      <c r="P24" s="46" t="s">
        <v>1</v>
      </c>
      <c r="Q24" s="25" t="s">
        <v>1</v>
      </c>
      <c r="R24" s="46" t="s">
        <v>1</v>
      </c>
      <c r="S24" s="52" t="s">
        <v>1</v>
      </c>
      <c r="T24" s="46" t="s">
        <v>1</v>
      </c>
      <c r="U24" s="31" t="s">
        <v>1</v>
      </c>
      <c r="V24" s="46" t="s">
        <v>1</v>
      </c>
      <c r="W24" s="31" t="s">
        <v>1</v>
      </c>
      <c r="X24" s="46" t="s">
        <v>1</v>
      </c>
      <c r="Y24" s="31" t="s">
        <v>1</v>
      </c>
      <c r="Z24" s="46" t="s">
        <v>1</v>
      </c>
      <c r="AA24" s="31" t="s">
        <v>1</v>
      </c>
      <c r="AB24" s="46" t="s">
        <v>1</v>
      </c>
      <c r="AC24" s="47" t="s">
        <v>1</v>
      </c>
      <c r="AD24" s="36" t="s">
        <v>1</v>
      </c>
      <c r="AE24" s="51" t="s">
        <v>1</v>
      </c>
      <c r="AF24" s="36" t="s">
        <v>1</v>
      </c>
      <c r="AG24" s="51" t="s">
        <v>1</v>
      </c>
      <c r="AH24" s="36" t="s">
        <v>1</v>
      </c>
      <c r="AI24" s="51" t="s">
        <v>1</v>
      </c>
      <c r="AJ24" s="36" t="s">
        <v>1</v>
      </c>
      <c r="AK24" s="51" t="s">
        <v>1</v>
      </c>
      <c r="AL24" s="36" t="s">
        <v>1</v>
      </c>
      <c r="AM24" s="31" t="s">
        <v>1</v>
      </c>
      <c r="AN24" s="36" t="s">
        <v>1</v>
      </c>
      <c r="AO24" s="31" t="s">
        <v>1</v>
      </c>
      <c r="AP24" s="36" t="s">
        <v>1</v>
      </c>
      <c r="AQ24" s="51" t="s">
        <v>1</v>
      </c>
      <c r="AR24" s="36" t="s">
        <v>1</v>
      </c>
      <c r="AS24" s="47" t="s">
        <v>1</v>
      </c>
      <c r="AT24" s="36" t="s">
        <v>1</v>
      </c>
      <c r="AU24" s="47" t="s">
        <v>1</v>
      </c>
      <c r="AV24" s="36" t="s">
        <v>1</v>
      </c>
      <c r="AW24" s="47" t="s">
        <v>1</v>
      </c>
      <c r="AX24" s="36" t="s">
        <v>2065</v>
      </c>
      <c r="AY24" s="47" t="s">
        <v>2193</v>
      </c>
      <c r="AZ24" s="36" t="s">
        <v>1299</v>
      </c>
      <c r="BA24" s="47" t="s">
        <v>2193</v>
      </c>
      <c r="BB24" s="36" t="s">
        <v>2188</v>
      </c>
      <c r="BC24" s="47" t="s">
        <v>2191</v>
      </c>
      <c r="BD24" s="36" t="s">
        <v>2189</v>
      </c>
      <c r="BE24" s="47" t="str">
        <f t="shared" si="0"/>
        <v>"Zona.Climática.Local"</v>
      </c>
    </row>
    <row r="25" spans="1:57" ht="6.65" customHeight="1" x14ac:dyDescent="0.4">
      <c r="A25" s="93">
        <v>25</v>
      </c>
      <c r="B25" s="74" t="s">
        <v>783</v>
      </c>
      <c r="C25" s="44" t="s">
        <v>651</v>
      </c>
      <c r="D25" s="18" t="s">
        <v>744</v>
      </c>
      <c r="E25" s="20" t="s">
        <v>753</v>
      </c>
      <c r="F25" s="18" t="s">
        <v>1</v>
      </c>
      <c r="G25" s="20" t="s">
        <v>1</v>
      </c>
      <c r="H25" s="18" t="s">
        <v>1</v>
      </c>
      <c r="I25" s="20" t="s">
        <v>1</v>
      </c>
      <c r="J25" s="18" t="s">
        <v>1</v>
      </c>
      <c r="K25" s="20" t="s">
        <v>1</v>
      </c>
      <c r="L25" s="18" t="s">
        <v>1</v>
      </c>
      <c r="M25" s="20" t="s">
        <v>1</v>
      </c>
      <c r="N25" s="46" t="s">
        <v>82</v>
      </c>
      <c r="O25" s="31" t="s">
        <v>784</v>
      </c>
      <c r="P25" s="46" t="s">
        <v>1</v>
      </c>
      <c r="Q25" s="25" t="s">
        <v>1</v>
      </c>
      <c r="R25" s="46" t="s">
        <v>1</v>
      </c>
      <c r="S25" s="52" t="s">
        <v>1</v>
      </c>
      <c r="T25" s="46" t="s">
        <v>1</v>
      </c>
      <c r="U25" s="31" t="s">
        <v>1</v>
      </c>
      <c r="V25" s="46" t="s">
        <v>1</v>
      </c>
      <c r="W25" s="31" t="s">
        <v>1</v>
      </c>
      <c r="X25" s="46" t="s">
        <v>1</v>
      </c>
      <c r="Y25" s="31" t="s">
        <v>1</v>
      </c>
      <c r="Z25" s="46" t="s">
        <v>1</v>
      </c>
      <c r="AA25" s="31" t="s">
        <v>1</v>
      </c>
      <c r="AB25" s="46" t="s">
        <v>1</v>
      </c>
      <c r="AC25" s="47" t="s">
        <v>1</v>
      </c>
      <c r="AD25" s="36" t="s">
        <v>1</v>
      </c>
      <c r="AE25" s="51" t="s">
        <v>1</v>
      </c>
      <c r="AF25" s="36" t="s">
        <v>1</v>
      </c>
      <c r="AG25" s="51" t="s">
        <v>1</v>
      </c>
      <c r="AH25" s="36" t="s">
        <v>1</v>
      </c>
      <c r="AI25" s="51" t="s">
        <v>1</v>
      </c>
      <c r="AJ25" s="36" t="s">
        <v>1</v>
      </c>
      <c r="AK25" s="51" t="s">
        <v>1</v>
      </c>
      <c r="AL25" s="36" t="s">
        <v>1</v>
      </c>
      <c r="AM25" s="31" t="s">
        <v>1</v>
      </c>
      <c r="AN25" s="36" t="s">
        <v>1</v>
      </c>
      <c r="AO25" s="31" t="s">
        <v>1</v>
      </c>
      <c r="AP25" s="36" t="s">
        <v>1</v>
      </c>
      <c r="AQ25" s="51" t="s">
        <v>1</v>
      </c>
      <c r="AR25" s="36" t="s">
        <v>1</v>
      </c>
      <c r="AS25" s="47" t="s">
        <v>1</v>
      </c>
      <c r="AT25" s="36" t="s">
        <v>1</v>
      </c>
      <c r="AU25" s="47" t="s">
        <v>1</v>
      </c>
      <c r="AV25" s="36" t="s">
        <v>1</v>
      </c>
      <c r="AW25" s="47" t="s">
        <v>1</v>
      </c>
      <c r="AX25" s="36" t="s">
        <v>2065</v>
      </c>
      <c r="AY25" s="47" t="s">
        <v>2193</v>
      </c>
      <c r="AZ25" s="36" t="s">
        <v>1299</v>
      </c>
      <c r="BA25" s="47" t="s">
        <v>2193</v>
      </c>
      <c r="BB25" s="36" t="s">
        <v>2188</v>
      </c>
      <c r="BC25" s="47" t="s">
        <v>2191</v>
      </c>
      <c r="BD25" s="36" t="s">
        <v>2189</v>
      </c>
      <c r="BE25" s="47" t="str">
        <f t="shared" si="0"/>
        <v>"Zona.Climática.Local"</v>
      </c>
    </row>
    <row r="26" spans="1:57" ht="6.65" customHeight="1" x14ac:dyDescent="0.4">
      <c r="A26" s="93">
        <v>26</v>
      </c>
      <c r="B26" s="74" t="s">
        <v>785</v>
      </c>
      <c r="C26" s="44" t="s">
        <v>651</v>
      </c>
      <c r="D26" s="18" t="s">
        <v>744</v>
      </c>
      <c r="E26" s="20" t="s">
        <v>753</v>
      </c>
      <c r="F26" s="18" t="s">
        <v>1</v>
      </c>
      <c r="G26" s="20" t="s">
        <v>1</v>
      </c>
      <c r="H26" s="18" t="s">
        <v>1</v>
      </c>
      <c r="I26" s="20" t="s">
        <v>1</v>
      </c>
      <c r="J26" s="18" t="s">
        <v>1</v>
      </c>
      <c r="K26" s="20" t="s">
        <v>1</v>
      </c>
      <c r="L26" s="18" t="s">
        <v>1</v>
      </c>
      <c r="M26" s="20" t="s">
        <v>1</v>
      </c>
      <c r="N26" s="46" t="s">
        <v>82</v>
      </c>
      <c r="O26" s="31" t="s">
        <v>786</v>
      </c>
      <c r="P26" s="46" t="s">
        <v>1</v>
      </c>
      <c r="Q26" s="25" t="s">
        <v>1</v>
      </c>
      <c r="R26" s="46" t="s">
        <v>1</v>
      </c>
      <c r="S26" s="52" t="s">
        <v>1</v>
      </c>
      <c r="T26" s="46" t="s">
        <v>1</v>
      </c>
      <c r="U26" s="31" t="s">
        <v>1</v>
      </c>
      <c r="V26" s="46" t="s">
        <v>1</v>
      </c>
      <c r="W26" s="31" t="s">
        <v>1</v>
      </c>
      <c r="X26" s="46" t="s">
        <v>1</v>
      </c>
      <c r="Y26" s="31" t="s">
        <v>1</v>
      </c>
      <c r="Z26" s="46" t="s">
        <v>1</v>
      </c>
      <c r="AA26" s="31" t="s">
        <v>1</v>
      </c>
      <c r="AB26" s="46" t="s">
        <v>1</v>
      </c>
      <c r="AC26" s="47" t="s">
        <v>1</v>
      </c>
      <c r="AD26" s="36" t="s">
        <v>1</v>
      </c>
      <c r="AE26" s="51" t="s">
        <v>1</v>
      </c>
      <c r="AF26" s="36" t="s">
        <v>1</v>
      </c>
      <c r="AG26" s="51" t="s">
        <v>1</v>
      </c>
      <c r="AH26" s="36" t="s">
        <v>1</v>
      </c>
      <c r="AI26" s="51" t="s">
        <v>1</v>
      </c>
      <c r="AJ26" s="36" t="s">
        <v>1</v>
      </c>
      <c r="AK26" s="51" t="s">
        <v>1</v>
      </c>
      <c r="AL26" s="36" t="s">
        <v>1</v>
      </c>
      <c r="AM26" s="31" t="s">
        <v>1</v>
      </c>
      <c r="AN26" s="36" t="s">
        <v>1</v>
      </c>
      <c r="AO26" s="31" t="s">
        <v>1</v>
      </c>
      <c r="AP26" s="36" t="s">
        <v>1</v>
      </c>
      <c r="AQ26" s="51" t="s">
        <v>1</v>
      </c>
      <c r="AR26" s="36" t="s">
        <v>1</v>
      </c>
      <c r="AS26" s="47" t="s">
        <v>1</v>
      </c>
      <c r="AT26" s="36" t="s">
        <v>1</v>
      </c>
      <c r="AU26" s="47" t="s">
        <v>1</v>
      </c>
      <c r="AV26" s="36" t="s">
        <v>1</v>
      </c>
      <c r="AW26" s="47" t="s">
        <v>1</v>
      </c>
      <c r="AX26" s="36" t="s">
        <v>2065</v>
      </c>
      <c r="AY26" s="47" t="s">
        <v>2193</v>
      </c>
      <c r="AZ26" s="36" t="s">
        <v>1299</v>
      </c>
      <c r="BA26" s="47" t="s">
        <v>2193</v>
      </c>
      <c r="BB26" s="36" t="s">
        <v>2188</v>
      </c>
      <c r="BC26" s="47" t="s">
        <v>2191</v>
      </c>
      <c r="BD26" s="36" t="s">
        <v>2189</v>
      </c>
      <c r="BE26" s="47" t="str">
        <f t="shared" si="0"/>
        <v>"Zona.Climática.Local"</v>
      </c>
    </row>
    <row r="27" spans="1:57" ht="6.65" customHeight="1" x14ac:dyDescent="0.4">
      <c r="A27" s="93">
        <v>27</v>
      </c>
      <c r="B27" s="74" t="s">
        <v>787</v>
      </c>
      <c r="C27" s="44" t="s">
        <v>651</v>
      </c>
      <c r="D27" s="18" t="s">
        <v>744</v>
      </c>
      <c r="E27" s="20" t="s">
        <v>753</v>
      </c>
      <c r="F27" s="18" t="s">
        <v>1</v>
      </c>
      <c r="G27" s="20" t="s">
        <v>1</v>
      </c>
      <c r="H27" s="18" t="s">
        <v>1</v>
      </c>
      <c r="I27" s="20" t="s">
        <v>1</v>
      </c>
      <c r="J27" s="18" t="s">
        <v>1</v>
      </c>
      <c r="K27" s="20" t="s">
        <v>1</v>
      </c>
      <c r="L27" s="18" t="s">
        <v>1</v>
      </c>
      <c r="M27" s="20" t="s">
        <v>1</v>
      </c>
      <c r="N27" s="46" t="s">
        <v>82</v>
      </c>
      <c r="O27" s="31" t="s">
        <v>788</v>
      </c>
      <c r="P27" s="46" t="s">
        <v>1</v>
      </c>
      <c r="Q27" s="25" t="s">
        <v>1</v>
      </c>
      <c r="R27" s="46" t="s">
        <v>1</v>
      </c>
      <c r="S27" s="52" t="s">
        <v>1</v>
      </c>
      <c r="T27" s="46" t="s">
        <v>1</v>
      </c>
      <c r="U27" s="31" t="s">
        <v>1</v>
      </c>
      <c r="V27" s="46" t="s">
        <v>1</v>
      </c>
      <c r="W27" s="31" t="s">
        <v>1</v>
      </c>
      <c r="X27" s="46" t="s">
        <v>1</v>
      </c>
      <c r="Y27" s="31" t="s">
        <v>1</v>
      </c>
      <c r="Z27" s="46" t="s">
        <v>1</v>
      </c>
      <c r="AA27" s="31" t="s">
        <v>1</v>
      </c>
      <c r="AB27" s="46" t="s">
        <v>1</v>
      </c>
      <c r="AC27" s="47" t="s">
        <v>1</v>
      </c>
      <c r="AD27" s="36" t="s">
        <v>1</v>
      </c>
      <c r="AE27" s="51" t="s">
        <v>1</v>
      </c>
      <c r="AF27" s="36" t="s">
        <v>1</v>
      </c>
      <c r="AG27" s="51" t="s">
        <v>1</v>
      </c>
      <c r="AH27" s="36" t="s">
        <v>1</v>
      </c>
      <c r="AI27" s="51" t="s">
        <v>1</v>
      </c>
      <c r="AJ27" s="36" t="s">
        <v>1</v>
      </c>
      <c r="AK27" s="51" t="s">
        <v>1</v>
      </c>
      <c r="AL27" s="36" t="s">
        <v>1</v>
      </c>
      <c r="AM27" s="31" t="s">
        <v>1</v>
      </c>
      <c r="AN27" s="36" t="s">
        <v>1</v>
      </c>
      <c r="AO27" s="31" t="s">
        <v>1</v>
      </c>
      <c r="AP27" s="36" t="s">
        <v>1</v>
      </c>
      <c r="AQ27" s="51" t="s">
        <v>1</v>
      </c>
      <c r="AR27" s="36" t="s">
        <v>1</v>
      </c>
      <c r="AS27" s="47" t="s">
        <v>1</v>
      </c>
      <c r="AT27" s="36" t="s">
        <v>1</v>
      </c>
      <c r="AU27" s="47" t="s">
        <v>1</v>
      </c>
      <c r="AV27" s="36" t="s">
        <v>1</v>
      </c>
      <c r="AW27" s="47" t="s">
        <v>1</v>
      </c>
      <c r="AX27" s="36" t="s">
        <v>2065</v>
      </c>
      <c r="AY27" s="47" t="s">
        <v>2193</v>
      </c>
      <c r="AZ27" s="36" t="s">
        <v>1299</v>
      </c>
      <c r="BA27" s="47" t="s">
        <v>2193</v>
      </c>
      <c r="BB27" s="36" t="s">
        <v>2188</v>
      </c>
      <c r="BC27" s="47" t="s">
        <v>2191</v>
      </c>
      <c r="BD27" s="36" t="s">
        <v>2189</v>
      </c>
      <c r="BE27" s="47" t="str">
        <f t="shared" si="0"/>
        <v>"Zona.Climática.Local"</v>
      </c>
    </row>
    <row r="28" spans="1:57" ht="6.65" customHeight="1" x14ac:dyDescent="0.4">
      <c r="A28" s="93">
        <v>28</v>
      </c>
      <c r="B28" s="74" t="s">
        <v>789</v>
      </c>
      <c r="C28" s="44" t="s">
        <v>651</v>
      </c>
      <c r="D28" s="18" t="s">
        <v>744</v>
      </c>
      <c r="E28" s="20" t="s">
        <v>753</v>
      </c>
      <c r="F28" s="18" t="s">
        <v>1</v>
      </c>
      <c r="G28" s="20" t="s">
        <v>1</v>
      </c>
      <c r="H28" s="18" t="s">
        <v>1</v>
      </c>
      <c r="I28" s="20" t="s">
        <v>1</v>
      </c>
      <c r="J28" s="18" t="s">
        <v>1</v>
      </c>
      <c r="K28" s="20" t="s">
        <v>1</v>
      </c>
      <c r="L28" s="18" t="s">
        <v>1</v>
      </c>
      <c r="M28" s="20" t="s">
        <v>1</v>
      </c>
      <c r="N28" s="46" t="s">
        <v>82</v>
      </c>
      <c r="O28" s="31" t="s">
        <v>790</v>
      </c>
      <c r="P28" s="46" t="s">
        <v>1</v>
      </c>
      <c r="Q28" s="25" t="s">
        <v>1</v>
      </c>
      <c r="R28" s="46" t="s">
        <v>1</v>
      </c>
      <c r="S28" s="52" t="s">
        <v>1</v>
      </c>
      <c r="T28" s="46" t="s">
        <v>1</v>
      </c>
      <c r="U28" s="31" t="s">
        <v>1</v>
      </c>
      <c r="V28" s="46" t="s">
        <v>1</v>
      </c>
      <c r="W28" s="31" t="s">
        <v>1</v>
      </c>
      <c r="X28" s="46" t="s">
        <v>1</v>
      </c>
      <c r="Y28" s="31" t="s">
        <v>1</v>
      </c>
      <c r="Z28" s="46" t="s">
        <v>1</v>
      </c>
      <c r="AA28" s="31" t="s">
        <v>1</v>
      </c>
      <c r="AB28" s="46" t="s">
        <v>1</v>
      </c>
      <c r="AC28" s="47" t="s">
        <v>1</v>
      </c>
      <c r="AD28" s="36" t="s">
        <v>1</v>
      </c>
      <c r="AE28" s="51" t="s">
        <v>1</v>
      </c>
      <c r="AF28" s="36" t="s">
        <v>1</v>
      </c>
      <c r="AG28" s="51" t="s">
        <v>1</v>
      </c>
      <c r="AH28" s="36" t="s">
        <v>1</v>
      </c>
      <c r="AI28" s="51" t="s">
        <v>1</v>
      </c>
      <c r="AJ28" s="36" t="s">
        <v>1</v>
      </c>
      <c r="AK28" s="51" t="s">
        <v>1</v>
      </c>
      <c r="AL28" s="36" t="s">
        <v>1</v>
      </c>
      <c r="AM28" s="31" t="s">
        <v>1</v>
      </c>
      <c r="AN28" s="36" t="s">
        <v>1</v>
      </c>
      <c r="AO28" s="31" t="s">
        <v>1</v>
      </c>
      <c r="AP28" s="36" t="s">
        <v>1</v>
      </c>
      <c r="AQ28" s="51" t="s">
        <v>1</v>
      </c>
      <c r="AR28" s="36" t="s">
        <v>1</v>
      </c>
      <c r="AS28" s="47" t="s">
        <v>1</v>
      </c>
      <c r="AT28" s="36" t="s">
        <v>1</v>
      </c>
      <c r="AU28" s="47" t="s">
        <v>1</v>
      </c>
      <c r="AV28" s="36" t="s">
        <v>1</v>
      </c>
      <c r="AW28" s="47" t="s">
        <v>1</v>
      </c>
      <c r="AX28" s="36" t="s">
        <v>2065</v>
      </c>
      <c r="AY28" s="47" t="s">
        <v>2193</v>
      </c>
      <c r="AZ28" s="36" t="s">
        <v>1299</v>
      </c>
      <c r="BA28" s="47" t="s">
        <v>2193</v>
      </c>
      <c r="BB28" s="36" t="s">
        <v>2188</v>
      </c>
      <c r="BC28" s="47" t="s">
        <v>2191</v>
      </c>
      <c r="BD28" s="36" t="s">
        <v>2189</v>
      </c>
      <c r="BE28" s="47" t="str">
        <f t="shared" si="0"/>
        <v>"Zona.Climática.Local"</v>
      </c>
    </row>
    <row r="29" spans="1:57" ht="6.65" customHeight="1" x14ac:dyDescent="0.4">
      <c r="A29" s="93">
        <v>29</v>
      </c>
      <c r="B29" s="74" t="s">
        <v>791</v>
      </c>
      <c r="C29" s="44" t="s">
        <v>651</v>
      </c>
      <c r="D29" s="18" t="s">
        <v>744</v>
      </c>
      <c r="E29" s="20" t="s">
        <v>753</v>
      </c>
      <c r="F29" s="18" t="s">
        <v>1</v>
      </c>
      <c r="G29" s="20" t="s">
        <v>1</v>
      </c>
      <c r="H29" s="18" t="s">
        <v>1</v>
      </c>
      <c r="I29" s="20" t="s">
        <v>1</v>
      </c>
      <c r="J29" s="18" t="s">
        <v>1</v>
      </c>
      <c r="K29" s="20" t="s">
        <v>1</v>
      </c>
      <c r="L29" s="18" t="s">
        <v>1</v>
      </c>
      <c r="M29" s="20" t="s">
        <v>1</v>
      </c>
      <c r="N29" s="46" t="s">
        <v>82</v>
      </c>
      <c r="O29" s="31" t="s">
        <v>792</v>
      </c>
      <c r="P29" s="46" t="s">
        <v>1</v>
      </c>
      <c r="Q29" s="25" t="s">
        <v>1</v>
      </c>
      <c r="R29" s="46" t="s">
        <v>1</v>
      </c>
      <c r="S29" s="52" t="s">
        <v>1</v>
      </c>
      <c r="T29" s="46" t="s">
        <v>1</v>
      </c>
      <c r="U29" s="31" t="s">
        <v>1</v>
      </c>
      <c r="V29" s="46" t="s">
        <v>1</v>
      </c>
      <c r="W29" s="31" t="s">
        <v>1</v>
      </c>
      <c r="X29" s="46" t="s">
        <v>1</v>
      </c>
      <c r="Y29" s="31" t="s">
        <v>1</v>
      </c>
      <c r="Z29" s="46" t="s">
        <v>1</v>
      </c>
      <c r="AA29" s="31" t="s">
        <v>1</v>
      </c>
      <c r="AB29" s="46" t="s">
        <v>1</v>
      </c>
      <c r="AC29" s="47" t="s">
        <v>1</v>
      </c>
      <c r="AD29" s="36" t="s">
        <v>1</v>
      </c>
      <c r="AE29" s="51" t="s">
        <v>1</v>
      </c>
      <c r="AF29" s="36" t="s">
        <v>1</v>
      </c>
      <c r="AG29" s="51" t="s">
        <v>1</v>
      </c>
      <c r="AH29" s="36" t="s">
        <v>1</v>
      </c>
      <c r="AI29" s="51" t="s">
        <v>1</v>
      </c>
      <c r="AJ29" s="36" t="s">
        <v>1</v>
      </c>
      <c r="AK29" s="51" t="s">
        <v>1</v>
      </c>
      <c r="AL29" s="36" t="s">
        <v>1</v>
      </c>
      <c r="AM29" s="31" t="s">
        <v>1</v>
      </c>
      <c r="AN29" s="36" t="s">
        <v>1</v>
      </c>
      <c r="AO29" s="31" t="s">
        <v>1</v>
      </c>
      <c r="AP29" s="36" t="s">
        <v>1</v>
      </c>
      <c r="AQ29" s="51" t="s">
        <v>1</v>
      </c>
      <c r="AR29" s="36" t="s">
        <v>1</v>
      </c>
      <c r="AS29" s="47" t="s">
        <v>1</v>
      </c>
      <c r="AT29" s="36" t="s">
        <v>1</v>
      </c>
      <c r="AU29" s="47" t="s">
        <v>1</v>
      </c>
      <c r="AV29" s="36" t="s">
        <v>1</v>
      </c>
      <c r="AW29" s="47" t="s">
        <v>1</v>
      </c>
      <c r="AX29" s="36" t="s">
        <v>2065</v>
      </c>
      <c r="AY29" s="47" t="s">
        <v>2193</v>
      </c>
      <c r="AZ29" s="36" t="s">
        <v>1299</v>
      </c>
      <c r="BA29" s="47" t="s">
        <v>2193</v>
      </c>
      <c r="BB29" s="36" t="s">
        <v>2188</v>
      </c>
      <c r="BC29" s="47" t="s">
        <v>2191</v>
      </c>
      <c r="BD29" s="36" t="s">
        <v>2189</v>
      </c>
      <c r="BE29" s="47" t="str">
        <f t="shared" si="0"/>
        <v>"Zona.Climática.Local"</v>
      </c>
    </row>
    <row r="30" spans="1:57" ht="6.65" customHeight="1" x14ac:dyDescent="0.4">
      <c r="A30" s="93">
        <v>30</v>
      </c>
      <c r="B30" s="74" t="s">
        <v>793</v>
      </c>
      <c r="C30" s="44" t="s">
        <v>651</v>
      </c>
      <c r="D30" s="18" t="s">
        <v>744</v>
      </c>
      <c r="E30" s="20" t="s">
        <v>753</v>
      </c>
      <c r="F30" s="18" t="s">
        <v>1</v>
      </c>
      <c r="G30" s="20" t="s">
        <v>1</v>
      </c>
      <c r="H30" s="18" t="s">
        <v>1</v>
      </c>
      <c r="I30" s="20" t="s">
        <v>1</v>
      </c>
      <c r="J30" s="18" t="s">
        <v>1</v>
      </c>
      <c r="K30" s="20" t="s">
        <v>1</v>
      </c>
      <c r="L30" s="18" t="s">
        <v>1</v>
      </c>
      <c r="M30" s="20" t="s">
        <v>1</v>
      </c>
      <c r="N30" s="46" t="s">
        <v>82</v>
      </c>
      <c r="O30" s="31" t="s">
        <v>794</v>
      </c>
      <c r="P30" s="46" t="s">
        <v>1</v>
      </c>
      <c r="Q30" s="25" t="s">
        <v>1</v>
      </c>
      <c r="R30" s="46" t="s">
        <v>1</v>
      </c>
      <c r="S30" s="52" t="s">
        <v>1</v>
      </c>
      <c r="T30" s="46" t="s">
        <v>1</v>
      </c>
      <c r="U30" s="31" t="s">
        <v>1</v>
      </c>
      <c r="V30" s="46" t="s">
        <v>1</v>
      </c>
      <c r="W30" s="31" t="s">
        <v>1</v>
      </c>
      <c r="X30" s="46" t="s">
        <v>1</v>
      </c>
      <c r="Y30" s="31" t="s">
        <v>1</v>
      </c>
      <c r="Z30" s="46" t="s">
        <v>1</v>
      </c>
      <c r="AA30" s="31" t="s">
        <v>1</v>
      </c>
      <c r="AB30" s="46" t="s">
        <v>1</v>
      </c>
      <c r="AC30" s="47" t="s">
        <v>1</v>
      </c>
      <c r="AD30" s="36" t="s">
        <v>1</v>
      </c>
      <c r="AE30" s="51" t="s">
        <v>1</v>
      </c>
      <c r="AF30" s="36" t="s">
        <v>1</v>
      </c>
      <c r="AG30" s="51" t="s">
        <v>1</v>
      </c>
      <c r="AH30" s="36" t="s">
        <v>1</v>
      </c>
      <c r="AI30" s="51" t="s">
        <v>1</v>
      </c>
      <c r="AJ30" s="36" t="s">
        <v>1</v>
      </c>
      <c r="AK30" s="51" t="s">
        <v>1</v>
      </c>
      <c r="AL30" s="36" t="s">
        <v>1</v>
      </c>
      <c r="AM30" s="31" t="s">
        <v>1</v>
      </c>
      <c r="AN30" s="36" t="s">
        <v>1</v>
      </c>
      <c r="AO30" s="31" t="s">
        <v>1</v>
      </c>
      <c r="AP30" s="36" t="s">
        <v>1</v>
      </c>
      <c r="AQ30" s="51" t="s">
        <v>1</v>
      </c>
      <c r="AR30" s="36" t="s">
        <v>1</v>
      </c>
      <c r="AS30" s="47" t="s">
        <v>1</v>
      </c>
      <c r="AT30" s="36" t="s">
        <v>1</v>
      </c>
      <c r="AU30" s="47" t="s">
        <v>1</v>
      </c>
      <c r="AV30" s="36" t="s">
        <v>1</v>
      </c>
      <c r="AW30" s="47" t="s">
        <v>1</v>
      </c>
      <c r="AX30" s="36" t="s">
        <v>2065</v>
      </c>
      <c r="AY30" s="47" t="s">
        <v>2193</v>
      </c>
      <c r="AZ30" s="36" t="s">
        <v>1299</v>
      </c>
      <c r="BA30" s="47" t="s">
        <v>2193</v>
      </c>
      <c r="BB30" s="36" t="s">
        <v>2188</v>
      </c>
      <c r="BC30" s="47" t="s">
        <v>2191</v>
      </c>
      <c r="BD30" s="36" t="s">
        <v>2189</v>
      </c>
      <c r="BE30" s="47" t="str">
        <f t="shared" si="0"/>
        <v>"Zona.Climática.Local"</v>
      </c>
    </row>
    <row r="31" spans="1:57" ht="6.65" customHeight="1" x14ac:dyDescent="0.4">
      <c r="A31" s="93">
        <v>31</v>
      </c>
      <c r="B31" s="74" t="s">
        <v>795</v>
      </c>
      <c r="C31" s="44" t="s">
        <v>651</v>
      </c>
      <c r="D31" s="18" t="s">
        <v>744</v>
      </c>
      <c r="E31" s="20" t="s">
        <v>753</v>
      </c>
      <c r="F31" s="18" t="s">
        <v>1</v>
      </c>
      <c r="G31" s="20" t="s">
        <v>1</v>
      </c>
      <c r="H31" s="18" t="s">
        <v>1</v>
      </c>
      <c r="I31" s="20" t="s">
        <v>1</v>
      </c>
      <c r="J31" s="18" t="s">
        <v>1</v>
      </c>
      <c r="K31" s="20" t="s">
        <v>1</v>
      </c>
      <c r="L31" s="18" t="s">
        <v>1</v>
      </c>
      <c r="M31" s="20" t="s">
        <v>1</v>
      </c>
      <c r="N31" s="46" t="s">
        <v>82</v>
      </c>
      <c r="O31" s="31" t="s">
        <v>796</v>
      </c>
      <c r="P31" s="46" t="s">
        <v>1</v>
      </c>
      <c r="Q31" s="25" t="s">
        <v>1</v>
      </c>
      <c r="R31" s="46" t="s">
        <v>1</v>
      </c>
      <c r="S31" s="52" t="s">
        <v>1</v>
      </c>
      <c r="T31" s="46" t="s">
        <v>1</v>
      </c>
      <c r="U31" s="31" t="s">
        <v>1</v>
      </c>
      <c r="V31" s="46" t="s">
        <v>1</v>
      </c>
      <c r="W31" s="31" t="s">
        <v>1</v>
      </c>
      <c r="X31" s="46" t="s">
        <v>1</v>
      </c>
      <c r="Y31" s="31" t="s">
        <v>1</v>
      </c>
      <c r="Z31" s="46" t="s">
        <v>1</v>
      </c>
      <c r="AA31" s="31" t="s">
        <v>1</v>
      </c>
      <c r="AB31" s="46" t="s">
        <v>1</v>
      </c>
      <c r="AC31" s="47" t="s">
        <v>1</v>
      </c>
      <c r="AD31" s="36" t="s">
        <v>1</v>
      </c>
      <c r="AE31" s="51" t="s">
        <v>1</v>
      </c>
      <c r="AF31" s="36" t="s">
        <v>1</v>
      </c>
      <c r="AG31" s="51" t="s">
        <v>1</v>
      </c>
      <c r="AH31" s="36" t="s">
        <v>1</v>
      </c>
      <c r="AI31" s="51" t="s">
        <v>1</v>
      </c>
      <c r="AJ31" s="36" t="s">
        <v>1</v>
      </c>
      <c r="AK31" s="51" t="s">
        <v>1</v>
      </c>
      <c r="AL31" s="36" t="s">
        <v>1</v>
      </c>
      <c r="AM31" s="31" t="s">
        <v>1</v>
      </c>
      <c r="AN31" s="36" t="s">
        <v>1</v>
      </c>
      <c r="AO31" s="31" t="s">
        <v>1</v>
      </c>
      <c r="AP31" s="36" t="s">
        <v>1</v>
      </c>
      <c r="AQ31" s="51" t="s">
        <v>1</v>
      </c>
      <c r="AR31" s="36" t="s">
        <v>1</v>
      </c>
      <c r="AS31" s="47" t="s">
        <v>1</v>
      </c>
      <c r="AT31" s="36" t="s">
        <v>1</v>
      </c>
      <c r="AU31" s="47" t="s">
        <v>1</v>
      </c>
      <c r="AV31" s="36" t="s">
        <v>1</v>
      </c>
      <c r="AW31" s="47" t="s">
        <v>1</v>
      </c>
      <c r="AX31" s="36" t="s">
        <v>2065</v>
      </c>
      <c r="AY31" s="47" t="s">
        <v>2193</v>
      </c>
      <c r="AZ31" s="36" t="s">
        <v>1299</v>
      </c>
      <c r="BA31" s="47" t="s">
        <v>2193</v>
      </c>
      <c r="BB31" s="36" t="s">
        <v>2188</v>
      </c>
      <c r="BC31" s="47" t="s">
        <v>2191</v>
      </c>
      <c r="BD31" s="36" t="s">
        <v>2189</v>
      </c>
      <c r="BE31" s="47" t="str">
        <f t="shared" si="0"/>
        <v>"Zona.Climática.Local"</v>
      </c>
    </row>
    <row r="32" spans="1:57" ht="6.65" customHeight="1" x14ac:dyDescent="0.4">
      <c r="A32" s="93">
        <v>32</v>
      </c>
      <c r="B32" s="74" t="s">
        <v>797</v>
      </c>
      <c r="C32" s="44" t="s">
        <v>651</v>
      </c>
      <c r="D32" s="18" t="s">
        <v>744</v>
      </c>
      <c r="E32" s="20" t="s">
        <v>753</v>
      </c>
      <c r="F32" s="18" t="s">
        <v>1</v>
      </c>
      <c r="G32" s="20" t="s">
        <v>1</v>
      </c>
      <c r="H32" s="18" t="s">
        <v>1</v>
      </c>
      <c r="I32" s="20" t="s">
        <v>1</v>
      </c>
      <c r="J32" s="18" t="s">
        <v>1</v>
      </c>
      <c r="K32" s="20" t="s">
        <v>1</v>
      </c>
      <c r="L32" s="18" t="s">
        <v>1</v>
      </c>
      <c r="M32" s="20" t="s">
        <v>1</v>
      </c>
      <c r="N32" s="46" t="s">
        <v>82</v>
      </c>
      <c r="O32" s="31" t="s">
        <v>798</v>
      </c>
      <c r="P32" s="46" t="s">
        <v>1</v>
      </c>
      <c r="Q32" s="25" t="s">
        <v>1</v>
      </c>
      <c r="R32" s="46" t="s">
        <v>1</v>
      </c>
      <c r="S32" s="52" t="s">
        <v>1</v>
      </c>
      <c r="T32" s="46" t="s">
        <v>1</v>
      </c>
      <c r="U32" s="31" t="s">
        <v>1</v>
      </c>
      <c r="V32" s="46" t="s">
        <v>1</v>
      </c>
      <c r="W32" s="31" t="s">
        <v>1</v>
      </c>
      <c r="X32" s="46" t="s">
        <v>1</v>
      </c>
      <c r="Y32" s="31" t="s">
        <v>1</v>
      </c>
      <c r="Z32" s="46" t="s">
        <v>1</v>
      </c>
      <c r="AA32" s="31" t="s">
        <v>1</v>
      </c>
      <c r="AB32" s="46" t="s">
        <v>1</v>
      </c>
      <c r="AC32" s="47" t="s">
        <v>1</v>
      </c>
      <c r="AD32" s="36" t="s">
        <v>1</v>
      </c>
      <c r="AE32" s="51" t="s">
        <v>1</v>
      </c>
      <c r="AF32" s="36" t="s">
        <v>1</v>
      </c>
      <c r="AG32" s="51" t="s">
        <v>1</v>
      </c>
      <c r="AH32" s="36" t="s">
        <v>1</v>
      </c>
      <c r="AI32" s="51" t="s">
        <v>1</v>
      </c>
      <c r="AJ32" s="36" t="s">
        <v>1</v>
      </c>
      <c r="AK32" s="51" t="s">
        <v>1</v>
      </c>
      <c r="AL32" s="36" t="s">
        <v>1</v>
      </c>
      <c r="AM32" s="31" t="s">
        <v>1</v>
      </c>
      <c r="AN32" s="36" t="s">
        <v>1</v>
      </c>
      <c r="AO32" s="31" t="s">
        <v>1</v>
      </c>
      <c r="AP32" s="36" t="s">
        <v>1</v>
      </c>
      <c r="AQ32" s="51" t="s">
        <v>1</v>
      </c>
      <c r="AR32" s="36" t="s">
        <v>1</v>
      </c>
      <c r="AS32" s="47" t="s">
        <v>1</v>
      </c>
      <c r="AT32" s="36" t="s">
        <v>1</v>
      </c>
      <c r="AU32" s="47" t="s">
        <v>1</v>
      </c>
      <c r="AV32" s="36" t="s">
        <v>1</v>
      </c>
      <c r="AW32" s="47" t="s">
        <v>1</v>
      </c>
      <c r="AX32" s="36" t="s">
        <v>2065</v>
      </c>
      <c r="AY32" s="47" t="s">
        <v>2193</v>
      </c>
      <c r="AZ32" s="36" t="s">
        <v>1299</v>
      </c>
      <c r="BA32" s="47" t="s">
        <v>2193</v>
      </c>
      <c r="BB32" s="36" t="s">
        <v>2188</v>
      </c>
      <c r="BC32" s="47" t="s">
        <v>2191</v>
      </c>
      <c r="BD32" s="36" t="s">
        <v>2189</v>
      </c>
      <c r="BE32" s="47" t="str">
        <f t="shared" si="0"/>
        <v>"Zona.Climática.Local"</v>
      </c>
    </row>
    <row r="33" spans="1:57" ht="6.65" customHeight="1" x14ac:dyDescent="0.4">
      <c r="A33" s="93">
        <v>33</v>
      </c>
      <c r="B33" s="74" t="s">
        <v>799</v>
      </c>
      <c r="C33" s="44" t="s">
        <v>651</v>
      </c>
      <c r="D33" s="18" t="s">
        <v>744</v>
      </c>
      <c r="E33" s="20" t="s">
        <v>753</v>
      </c>
      <c r="F33" s="18" t="s">
        <v>1</v>
      </c>
      <c r="G33" s="20" t="s">
        <v>1</v>
      </c>
      <c r="H33" s="18" t="s">
        <v>1</v>
      </c>
      <c r="I33" s="20" t="s">
        <v>1</v>
      </c>
      <c r="J33" s="18" t="s">
        <v>1</v>
      </c>
      <c r="K33" s="20" t="s">
        <v>1</v>
      </c>
      <c r="L33" s="18" t="s">
        <v>1</v>
      </c>
      <c r="M33" s="20" t="s">
        <v>1</v>
      </c>
      <c r="N33" s="46" t="s">
        <v>82</v>
      </c>
      <c r="O33" s="31" t="s">
        <v>800</v>
      </c>
      <c r="P33" s="46" t="s">
        <v>1</v>
      </c>
      <c r="Q33" s="25" t="s">
        <v>1</v>
      </c>
      <c r="R33" s="46" t="s">
        <v>1</v>
      </c>
      <c r="S33" s="52" t="s">
        <v>1</v>
      </c>
      <c r="T33" s="46" t="s">
        <v>1</v>
      </c>
      <c r="U33" s="31" t="s">
        <v>1</v>
      </c>
      <c r="V33" s="46" t="s">
        <v>1</v>
      </c>
      <c r="W33" s="31" t="s">
        <v>1</v>
      </c>
      <c r="X33" s="46" t="s">
        <v>1</v>
      </c>
      <c r="Y33" s="31" t="s">
        <v>1</v>
      </c>
      <c r="Z33" s="46" t="s">
        <v>1</v>
      </c>
      <c r="AA33" s="31" t="s">
        <v>1</v>
      </c>
      <c r="AB33" s="46" t="s">
        <v>1</v>
      </c>
      <c r="AC33" s="47" t="s">
        <v>1</v>
      </c>
      <c r="AD33" s="36" t="s">
        <v>1</v>
      </c>
      <c r="AE33" s="51" t="s">
        <v>1</v>
      </c>
      <c r="AF33" s="36" t="s">
        <v>1</v>
      </c>
      <c r="AG33" s="51" t="s">
        <v>1</v>
      </c>
      <c r="AH33" s="36" t="s">
        <v>1</v>
      </c>
      <c r="AI33" s="51" t="s">
        <v>1</v>
      </c>
      <c r="AJ33" s="36" t="s">
        <v>1</v>
      </c>
      <c r="AK33" s="51" t="s">
        <v>1</v>
      </c>
      <c r="AL33" s="36" t="s">
        <v>1</v>
      </c>
      <c r="AM33" s="31" t="s">
        <v>1</v>
      </c>
      <c r="AN33" s="36" t="s">
        <v>1</v>
      </c>
      <c r="AO33" s="31" t="s">
        <v>1</v>
      </c>
      <c r="AP33" s="36" t="s">
        <v>1</v>
      </c>
      <c r="AQ33" s="51" t="s">
        <v>1</v>
      </c>
      <c r="AR33" s="36" t="s">
        <v>1</v>
      </c>
      <c r="AS33" s="47" t="s">
        <v>1</v>
      </c>
      <c r="AT33" s="36" t="s">
        <v>1</v>
      </c>
      <c r="AU33" s="47" t="s">
        <v>1</v>
      </c>
      <c r="AV33" s="36" t="s">
        <v>1</v>
      </c>
      <c r="AW33" s="47" t="s">
        <v>1</v>
      </c>
      <c r="AX33" s="36" t="s">
        <v>2065</v>
      </c>
      <c r="AY33" s="47" t="s">
        <v>2193</v>
      </c>
      <c r="AZ33" s="36" t="s">
        <v>1299</v>
      </c>
      <c r="BA33" s="47" t="s">
        <v>2193</v>
      </c>
      <c r="BB33" s="36" t="s">
        <v>2188</v>
      </c>
      <c r="BC33" s="47" t="s">
        <v>2191</v>
      </c>
      <c r="BD33" s="36" t="s">
        <v>2189</v>
      </c>
      <c r="BE33" s="47" t="str">
        <f t="shared" si="0"/>
        <v>"Zona.Climática.Local"</v>
      </c>
    </row>
    <row r="34" spans="1:57" ht="6.65" customHeight="1" x14ac:dyDescent="0.4">
      <c r="A34" s="93">
        <v>34</v>
      </c>
      <c r="B34" s="74" t="s">
        <v>801</v>
      </c>
      <c r="C34" s="44" t="s">
        <v>651</v>
      </c>
      <c r="D34" s="18" t="s">
        <v>744</v>
      </c>
      <c r="E34" s="20" t="s">
        <v>753</v>
      </c>
      <c r="F34" s="18" t="s">
        <v>1</v>
      </c>
      <c r="G34" s="20" t="s">
        <v>1</v>
      </c>
      <c r="H34" s="18" t="s">
        <v>1</v>
      </c>
      <c r="I34" s="20" t="s">
        <v>1</v>
      </c>
      <c r="J34" s="18" t="s">
        <v>1</v>
      </c>
      <c r="K34" s="20" t="s">
        <v>1</v>
      </c>
      <c r="L34" s="18" t="s">
        <v>1</v>
      </c>
      <c r="M34" s="20" t="s">
        <v>1</v>
      </c>
      <c r="N34" s="46" t="s">
        <v>82</v>
      </c>
      <c r="O34" s="31" t="s">
        <v>802</v>
      </c>
      <c r="P34" s="46" t="s">
        <v>1</v>
      </c>
      <c r="Q34" s="25" t="s">
        <v>1</v>
      </c>
      <c r="R34" s="46" t="s">
        <v>1</v>
      </c>
      <c r="S34" s="52" t="s">
        <v>1</v>
      </c>
      <c r="T34" s="46" t="s">
        <v>1</v>
      </c>
      <c r="U34" s="31" t="s">
        <v>1</v>
      </c>
      <c r="V34" s="46" t="s">
        <v>1</v>
      </c>
      <c r="W34" s="31" t="s">
        <v>1</v>
      </c>
      <c r="X34" s="46" t="s">
        <v>1</v>
      </c>
      <c r="Y34" s="31" t="s">
        <v>1</v>
      </c>
      <c r="Z34" s="46" t="s">
        <v>1</v>
      </c>
      <c r="AA34" s="31" t="s">
        <v>1</v>
      </c>
      <c r="AB34" s="46" t="s">
        <v>1</v>
      </c>
      <c r="AC34" s="47" t="s">
        <v>1</v>
      </c>
      <c r="AD34" s="36" t="s">
        <v>1</v>
      </c>
      <c r="AE34" s="51" t="s">
        <v>1</v>
      </c>
      <c r="AF34" s="36" t="s">
        <v>1</v>
      </c>
      <c r="AG34" s="51" t="s">
        <v>1</v>
      </c>
      <c r="AH34" s="36" t="s">
        <v>1</v>
      </c>
      <c r="AI34" s="51" t="s">
        <v>1</v>
      </c>
      <c r="AJ34" s="36" t="s">
        <v>1</v>
      </c>
      <c r="AK34" s="51" t="s">
        <v>1</v>
      </c>
      <c r="AL34" s="36" t="s">
        <v>1</v>
      </c>
      <c r="AM34" s="31" t="s">
        <v>1</v>
      </c>
      <c r="AN34" s="36" t="s">
        <v>1</v>
      </c>
      <c r="AO34" s="31" t="s">
        <v>1</v>
      </c>
      <c r="AP34" s="36" t="s">
        <v>1</v>
      </c>
      <c r="AQ34" s="51" t="s">
        <v>1</v>
      </c>
      <c r="AR34" s="36" t="s">
        <v>1</v>
      </c>
      <c r="AS34" s="47" t="s">
        <v>1</v>
      </c>
      <c r="AT34" s="36" t="s">
        <v>1</v>
      </c>
      <c r="AU34" s="47" t="s">
        <v>1</v>
      </c>
      <c r="AV34" s="36" t="s">
        <v>1</v>
      </c>
      <c r="AW34" s="47" t="s">
        <v>1</v>
      </c>
      <c r="AX34" s="36" t="s">
        <v>2065</v>
      </c>
      <c r="AY34" s="47" t="s">
        <v>2193</v>
      </c>
      <c r="AZ34" s="36" t="s">
        <v>1299</v>
      </c>
      <c r="BA34" s="47" t="s">
        <v>2193</v>
      </c>
      <c r="BB34" s="36" t="s">
        <v>2188</v>
      </c>
      <c r="BC34" s="47" t="s">
        <v>2191</v>
      </c>
      <c r="BD34" s="36" t="s">
        <v>2189</v>
      </c>
      <c r="BE34" s="47" t="str">
        <f t="shared" si="0"/>
        <v>"Zona.Climática.Local"</v>
      </c>
    </row>
    <row r="35" spans="1:57" ht="6.65" customHeight="1" x14ac:dyDescent="0.4">
      <c r="A35" s="93">
        <v>35</v>
      </c>
      <c r="B35" s="74" t="s">
        <v>803</v>
      </c>
      <c r="C35" s="44" t="s">
        <v>651</v>
      </c>
      <c r="D35" s="18" t="s">
        <v>744</v>
      </c>
      <c r="E35" s="20" t="s">
        <v>753</v>
      </c>
      <c r="F35" s="18" t="s">
        <v>1</v>
      </c>
      <c r="G35" s="20" t="s">
        <v>1</v>
      </c>
      <c r="H35" s="18" t="s">
        <v>1</v>
      </c>
      <c r="I35" s="20" t="s">
        <v>1</v>
      </c>
      <c r="J35" s="18" t="s">
        <v>1</v>
      </c>
      <c r="K35" s="20" t="s">
        <v>1</v>
      </c>
      <c r="L35" s="18" t="s">
        <v>1</v>
      </c>
      <c r="M35" s="20" t="s">
        <v>1</v>
      </c>
      <c r="N35" s="46" t="s">
        <v>82</v>
      </c>
      <c r="O35" s="31" t="s">
        <v>804</v>
      </c>
      <c r="P35" s="46" t="s">
        <v>1</v>
      </c>
      <c r="Q35" s="25" t="s">
        <v>1</v>
      </c>
      <c r="R35" s="46" t="s">
        <v>1</v>
      </c>
      <c r="S35" s="52" t="s">
        <v>1</v>
      </c>
      <c r="T35" s="46" t="s">
        <v>1</v>
      </c>
      <c r="U35" s="31" t="s">
        <v>1</v>
      </c>
      <c r="V35" s="46" t="s">
        <v>1</v>
      </c>
      <c r="W35" s="31" t="s">
        <v>1</v>
      </c>
      <c r="X35" s="46" t="s">
        <v>1</v>
      </c>
      <c r="Y35" s="31" t="s">
        <v>1</v>
      </c>
      <c r="Z35" s="46" t="s">
        <v>1</v>
      </c>
      <c r="AA35" s="31" t="s">
        <v>1</v>
      </c>
      <c r="AB35" s="46" t="s">
        <v>1</v>
      </c>
      <c r="AC35" s="47" t="s">
        <v>1</v>
      </c>
      <c r="AD35" s="36" t="s">
        <v>1</v>
      </c>
      <c r="AE35" s="51" t="s">
        <v>1</v>
      </c>
      <c r="AF35" s="36" t="s">
        <v>1</v>
      </c>
      <c r="AG35" s="51" t="s">
        <v>1</v>
      </c>
      <c r="AH35" s="36" t="s">
        <v>1</v>
      </c>
      <c r="AI35" s="51" t="s">
        <v>1</v>
      </c>
      <c r="AJ35" s="36" t="s">
        <v>1</v>
      </c>
      <c r="AK35" s="51" t="s">
        <v>1</v>
      </c>
      <c r="AL35" s="36" t="s">
        <v>1</v>
      </c>
      <c r="AM35" s="31" t="s">
        <v>1</v>
      </c>
      <c r="AN35" s="36" t="s">
        <v>1</v>
      </c>
      <c r="AO35" s="31" t="s">
        <v>1</v>
      </c>
      <c r="AP35" s="36" t="s">
        <v>1</v>
      </c>
      <c r="AQ35" s="51" t="s">
        <v>1</v>
      </c>
      <c r="AR35" s="36" t="s">
        <v>1</v>
      </c>
      <c r="AS35" s="47" t="s">
        <v>1</v>
      </c>
      <c r="AT35" s="36" t="s">
        <v>1</v>
      </c>
      <c r="AU35" s="47" t="s">
        <v>1</v>
      </c>
      <c r="AV35" s="36" t="s">
        <v>1</v>
      </c>
      <c r="AW35" s="47" t="s">
        <v>1</v>
      </c>
      <c r="AX35" s="36" t="s">
        <v>2065</v>
      </c>
      <c r="AY35" s="47" t="s">
        <v>2193</v>
      </c>
      <c r="AZ35" s="36" t="s">
        <v>1299</v>
      </c>
      <c r="BA35" s="47" t="s">
        <v>2193</v>
      </c>
      <c r="BB35" s="36" t="s">
        <v>2188</v>
      </c>
      <c r="BC35" s="47" t="s">
        <v>2191</v>
      </c>
      <c r="BD35" s="36" t="s">
        <v>2189</v>
      </c>
      <c r="BE35" s="47" t="str">
        <f t="shared" si="0"/>
        <v>"Zona.Climática.Local"</v>
      </c>
    </row>
    <row r="36" spans="1:57" ht="6.65" customHeight="1" x14ac:dyDescent="0.4">
      <c r="A36" s="93">
        <v>36</v>
      </c>
      <c r="B36" s="74" t="s">
        <v>805</v>
      </c>
      <c r="C36" s="44" t="s">
        <v>651</v>
      </c>
      <c r="D36" s="18" t="s">
        <v>744</v>
      </c>
      <c r="E36" s="20" t="s">
        <v>753</v>
      </c>
      <c r="F36" s="18" t="s">
        <v>1</v>
      </c>
      <c r="G36" s="20" t="s">
        <v>1</v>
      </c>
      <c r="H36" s="18" t="s">
        <v>1</v>
      </c>
      <c r="I36" s="20" t="s">
        <v>1</v>
      </c>
      <c r="J36" s="18" t="s">
        <v>1</v>
      </c>
      <c r="K36" s="20" t="s">
        <v>1</v>
      </c>
      <c r="L36" s="18" t="s">
        <v>1</v>
      </c>
      <c r="M36" s="20" t="s">
        <v>1</v>
      </c>
      <c r="N36" s="46" t="s">
        <v>82</v>
      </c>
      <c r="O36" s="31" t="s">
        <v>806</v>
      </c>
      <c r="P36" s="46" t="s">
        <v>1</v>
      </c>
      <c r="Q36" s="25" t="s">
        <v>1</v>
      </c>
      <c r="R36" s="46" t="s">
        <v>1</v>
      </c>
      <c r="S36" s="52" t="s">
        <v>1</v>
      </c>
      <c r="T36" s="46" t="s">
        <v>1</v>
      </c>
      <c r="U36" s="31" t="s">
        <v>1</v>
      </c>
      <c r="V36" s="46" t="s">
        <v>1</v>
      </c>
      <c r="W36" s="31" t="s">
        <v>1</v>
      </c>
      <c r="X36" s="46" t="s">
        <v>1</v>
      </c>
      <c r="Y36" s="31" t="s">
        <v>1</v>
      </c>
      <c r="Z36" s="46" t="s">
        <v>1</v>
      </c>
      <c r="AA36" s="31" t="s">
        <v>1</v>
      </c>
      <c r="AB36" s="46" t="s">
        <v>1</v>
      </c>
      <c r="AC36" s="47" t="s">
        <v>1</v>
      </c>
      <c r="AD36" s="36" t="s">
        <v>1</v>
      </c>
      <c r="AE36" s="51" t="s">
        <v>1</v>
      </c>
      <c r="AF36" s="36" t="s">
        <v>1</v>
      </c>
      <c r="AG36" s="51" t="s">
        <v>1</v>
      </c>
      <c r="AH36" s="36" t="s">
        <v>1</v>
      </c>
      <c r="AI36" s="51" t="s">
        <v>1</v>
      </c>
      <c r="AJ36" s="36" t="s">
        <v>1</v>
      </c>
      <c r="AK36" s="51" t="s">
        <v>1</v>
      </c>
      <c r="AL36" s="36" t="s">
        <v>1</v>
      </c>
      <c r="AM36" s="31" t="s">
        <v>1</v>
      </c>
      <c r="AN36" s="36" t="s">
        <v>1</v>
      </c>
      <c r="AO36" s="31" t="s">
        <v>1</v>
      </c>
      <c r="AP36" s="36" t="s">
        <v>1</v>
      </c>
      <c r="AQ36" s="51" t="s">
        <v>1</v>
      </c>
      <c r="AR36" s="36" t="s">
        <v>1</v>
      </c>
      <c r="AS36" s="47" t="s">
        <v>1</v>
      </c>
      <c r="AT36" s="36" t="s">
        <v>1</v>
      </c>
      <c r="AU36" s="47" t="s">
        <v>1</v>
      </c>
      <c r="AV36" s="36" t="s">
        <v>1</v>
      </c>
      <c r="AW36" s="47" t="s">
        <v>1</v>
      </c>
      <c r="AX36" s="36" t="s">
        <v>2065</v>
      </c>
      <c r="AY36" s="47" t="s">
        <v>2193</v>
      </c>
      <c r="AZ36" s="36" t="s">
        <v>1299</v>
      </c>
      <c r="BA36" s="47" t="s">
        <v>2193</v>
      </c>
      <c r="BB36" s="36" t="s">
        <v>2188</v>
      </c>
      <c r="BC36" s="47" t="s">
        <v>2191</v>
      </c>
      <c r="BD36" s="36" t="s">
        <v>2189</v>
      </c>
      <c r="BE36" s="47" t="str">
        <f t="shared" si="0"/>
        <v>"Zona.Climática.Local"</v>
      </c>
    </row>
    <row r="37" spans="1:57" ht="6.65" customHeight="1" x14ac:dyDescent="0.4">
      <c r="A37" s="93">
        <v>37</v>
      </c>
      <c r="B37" s="74" t="s">
        <v>807</v>
      </c>
      <c r="C37" s="44" t="s">
        <v>651</v>
      </c>
      <c r="D37" s="18" t="s">
        <v>744</v>
      </c>
      <c r="E37" s="20" t="s">
        <v>753</v>
      </c>
      <c r="F37" s="18" t="s">
        <v>1</v>
      </c>
      <c r="G37" s="20" t="s">
        <v>1</v>
      </c>
      <c r="H37" s="18" t="s">
        <v>1</v>
      </c>
      <c r="I37" s="20" t="s">
        <v>1</v>
      </c>
      <c r="J37" s="18" t="s">
        <v>1</v>
      </c>
      <c r="K37" s="20" t="s">
        <v>1</v>
      </c>
      <c r="L37" s="18" t="s">
        <v>1</v>
      </c>
      <c r="M37" s="20" t="s">
        <v>1</v>
      </c>
      <c r="N37" s="46" t="s">
        <v>82</v>
      </c>
      <c r="O37" s="31" t="s">
        <v>808</v>
      </c>
      <c r="P37" s="46" t="s">
        <v>1</v>
      </c>
      <c r="Q37" s="25" t="s">
        <v>1</v>
      </c>
      <c r="R37" s="46" t="s">
        <v>1</v>
      </c>
      <c r="S37" s="52" t="s">
        <v>1</v>
      </c>
      <c r="T37" s="46" t="s">
        <v>1</v>
      </c>
      <c r="U37" s="31" t="s">
        <v>1</v>
      </c>
      <c r="V37" s="46" t="s">
        <v>1</v>
      </c>
      <c r="W37" s="31" t="s">
        <v>1</v>
      </c>
      <c r="X37" s="46" t="s">
        <v>1</v>
      </c>
      <c r="Y37" s="31" t="s">
        <v>1</v>
      </c>
      <c r="Z37" s="46" t="s">
        <v>1</v>
      </c>
      <c r="AA37" s="31" t="s">
        <v>1</v>
      </c>
      <c r="AB37" s="46" t="s">
        <v>1</v>
      </c>
      <c r="AC37" s="47" t="s">
        <v>1</v>
      </c>
      <c r="AD37" s="36" t="s">
        <v>1</v>
      </c>
      <c r="AE37" s="51" t="s">
        <v>1</v>
      </c>
      <c r="AF37" s="36" t="s">
        <v>1</v>
      </c>
      <c r="AG37" s="51" t="s">
        <v>1</v>
      </c>
      <c r="AH37" s="36" t="s">
        <v>1</v>
      </c>
      <c r="AI37" s="51" t="s">
        <v>1</v>
      </c>
      <c r="AJ37" s="36" t="s">
        <v>1</v>
      </c>
      <c r="AK37" s="51" t="s">
        <v>1</v>
      </c>
      <c r="AL37" s="36" t="s">
        <v>1</v>
      </c>
      <c r="AM37" s="31" t="s">
        <v>1</v>
      </c>
      <c r="AN37" s="36" t="s">
        <v>1</v>
      </c>
      <c r="AO37" s="31" t="s">
        <v>1</v>
      </c>
      <c r="AP37" s="36" t="s">
        <v>1</v>
      </c>
      <c r="AQ37" s="51" t="s">
        <v>1</v>
      </c>
      <c r="AR37" s="36" t="s">
        <v>1</v>
      </c>
      <c r="AS37" s="47" t="s">
        <v>1</v>
      </c>
      <c r="AT37" s="36" t="s">
        <v>1</v>
      </c>
      <c r="AU37" s="47" t="s">
        <v>1</v>
      </c>
      <c r="AV37" s="36" t="s">
        <v>1</v>
      </c>
      <c r="AW37" s="47" t="s">
        <v>1</v>
      </c>
      <c r="AX37" s="36" t="s">
        <v>2065</v>
      </c>
      <c r="AY37" s="47" t="s">
        <v>2193</v>
      </c>
      <c r="AZ37" s="36" t="s">
        <v>1299</v>
      </c>
      <c r="BA37" s="47" t="s">
        <v>2193</v>
      </c>
      <c r="BB37" s="36" t="s">
        <v>2188</v>
      </c>
      <c r="BC37" s="47" t="s">
        <v>2191</v>
      </c>
      <c r="BD37" s="36" t="s">
        <v>2189</v>
      </c>
      <c r="BE37" s="47" t="str">
        <f t="shared" si="0"/>
        <v>"Zona.Climática.Local"</v>
      </c>
    </row>
    <row r="38" spans="1:57" ht="6.65" customHeight="1" x14ac:dyDescent="0.4">
      <c r="A38" s="93">
        <v>38</v>
      </c>
      <c r="B38" s="74" t="s">
        <v>809</v>
      </c>
      <c r="C38" s="44" t="s">
        <v>651</v>
      </c>
      <c r="D38" s="18" t="s">
        <v>744</v>
      </c>
      <c r="E38" s="20" t="s">
        <v>753</v>
      </c>
      <c r="F38" s="18" t="s">
        <v>1</v>
      </c>
      <c r="G38" s="20" t="s">
        <v>1</v>
      </c>
      <c r="H38" s="18" t="s">
        <v>1</v>
      </c>
      <c r="I38" s="20" t="s">
        <v>1</v>
      </c>
      <c r="J38" s="18" t="s">
        <v>1</v>
      </c>
      <c r="K38" s="20" t="s">
        <v>1</v>
      </c>
      <c r="L38" s="18" t="s">
        <v>1</v>
      </c>
      <c r="M38" s="20" t="s">
        <v>1</v>
      </c>
      <c r="N38" s="46" t="s">
        <v>82</v>
      </c>
      <c r="O38" s="31" t="s">
        <v>810</v>
      </c>
      <c r="P38" s="46" t="s">
        <v>1</v>
      </c>
      <c r="Q38" s="25" t="s">
        <v>1</v>
      </c>
      <c r="R38" s="46" t="s">
        <v>1</v>
      </c>
      <c r="S38" s="52" t="s">
        <v>1</v>
      </c>
      <c r="T38" s="46" t="s">
        <v>1</v>
      </c>
      <c r="U38" s="31" t="s">
        <v>1</v>
      </c>
      <c r="V38" s="46" t="s">
        <v>1</v>
      </c>
      <c r="W38" s="31" t="s">
        <v>1</v>
      </c>
      <c r="X38" s="46" t="s">
        <v>1</v>
      </c>
      <c r="Y38" s="31" t="s">
        <v>1</v>
      </c>
      <c r="Z38" s="46" t="s">
        <v>1</v>
      </c>
      <c r="AA38" s="31" t="s">
        <v>1</v>
      </c>
      <c r="AB38" s="46" t="s">
        <v>1</v>
      </c>
      <c r="AC38" s="47" t="s">
        <v>1</v>
      </c>
      <c r="AD38" s="36" t="s">
        <v>1</v>
      </c>
      <c r="AE38" s="51" t="s">
        <v>1</v>
      </c>
      <c r="AF38" s="36" t="s">
        <v>1</v>
      </c>
      <c r="AG38" s="51" t="s">
        <v>1</v>
      </c>
      <c r="AH38" s="36" t="s">
        <v>1</v>
      </c>
      <c r="AI38" s="51" t="s">
        <v>1</v>
      </c>
      <c r="AJ38" s="36" t="s">
        <v>1</v>
      </c>
      <c r="AK38" s="51" t="s">
        <v>1</v>
      </c>
      <c r="AL38" s="36" t="s">
        <v>1</v>
      </c>
      <c r="AM38" s="31" t="s">
        <v>1</v>
      </c>
      <c r="AN38" s="36" t="s">
        <v>1</v>
      </c>
      <c r="AO38" s="31" t="s">
        <v>1</v>
      </c>
      <c r="AP38" s="36" t="s">
        <v>1</v>
      </c>
      <c r="AQ38" s="51" t="s">
        <v>1</v>
      </c>
      <c r="AR38" s="36" t="s">
        <v>1</v>
      </c>
      <c r="AS38" s="47" t="s">
        <v>1</v>
      </c>
      <c r="AT38" s="36" t="s">
        <v>1</v>
      </c>
      <c r="AU38" s="47" t="s">
        <v>1</v>
      </c>
      <c r="AV38" s="36" t="s">
        <v>1</v>
      </c>
      <c r="AW38" s="47" t="s">
        <v>1</v>
      </c>
      <c r="AX38" s="36" t="s">
        <v>2065</v>
      </c>
      <c r="AY38" s="47" t="s">
        <v>2193</v>
      </c>
      <c r="AZ38" s="36" t="s">
        <v>1299</v>
      </c>
      <c r="BA38" s="47" t="s">
        <v>2193</v>
      </c>
      <c r="BB38" s="36" t="s">
        <v>2188</v>
      </c>
      <c r="BC38" s="47" t="s">
        <v>2191</v>
      </c>
      <c r="BD38" s="36" t="s">
        <v>2189</v>
      </c>
      <c r="BE38" s="47" t="str">
        <f t="shared" si="0"/>
        <v>"Zona.Climática.Local"</v>
      </c>
    </row>
    <row r="39" spans="1:57" ht="6.65" customHeight="1" x14ac:dyDescent="0.4">
      <c r="A39" s="93">
        <v>39</v>
      </c>
      <c r="B39" s="74" t="s">
        <v>821</v>
      </c>
      <c r="C39" s="44" t="s">
        <v>653</v>
      </c>
      <c r="D39" s="18" t="s">
        <v>744</v>
      </c>
      <c r="E39" s="20" t="s">
        <v>753</v>
      </c>
      <c r="F39" s="18" t="s">
        <v>1</v>
      </c>
      <c r="G39" s="20" t="s">
        <v>1</v>
      </c>
      <c r="H39" s="18" t="s">
        <v>1</v>
      </c>
      <c r="I39" s="20" t="s">
        <v>1</v>
      </c>
      <c r="J39" s="18" t="s">
        <v>1</v>
      </c>
      <c r="K39" s="20" t="s">
        <v>1</v>
      </c>
      <c r="L39" s="18" t="s">
        <v>1</v>
      </c>
      <c r="M39" s="20" t="s">
        <v>1</v>
      </c>
      <c r="N39" s="46" t="s">
        <v>82</v>
      </c>
      <c r="O39" s="31" t="s">
        <v>822</v>
      </c>
      <c r="P39" s="46" t="s">
        <v>1</v>
      </c>
      <c r="Q39" s="25" t="s">
        <v>1</v>
      </c>
      <c r="R39" s="46" t="s">
        <v>1</v>
      </c>
      <c r="S39" s="52" t="s">
        <v>1</v>
      </c>
      <c r="T39" s="46" t="s">
        <v>1</v>
      </c>
      <c r="U39" s="31" t="s">
        <v>1</v>
      </c>
      <c r="V39" s="46" t="s">
        <v>1</v>
      </c>
      <c r="W39" s="31" t="s">
        <v>1</v>
      </c>
      <c r="X39" s="46" t="s">
        <v>1</v>
      </c>
      <c r="Y39" s="31" t="s">
        <v>1</v>
      </c>
      <c r="Z39" s="46" t="s">
        <v>1</v>
      </c>
      <c r="AA39" s="31" t="s">
        <v>1</v>
      </c>
      <c r="AB39" s="46" t="s">
        <v>1</v>
      </c>
      <c r="AC39" s="47" t="s">
        <v>1</v>
      </c>
      <c r="AD39" s="36" t="s">
        <v>1</v>
      </c>
      <c r="AE39" s="51" t="s">
        <v>1</v>
      </c>
      <c r="AF39" s="36" t="s">
        <v>1</v>
      </c>
      <c r="AG39" s="51" t="s">
        <v>1</v>
      </c>
      <c r="AH39" s="36" t="s">
        <v>1</v>
      </c>
      <c r="AI39" s="51" t="s">
        <v>1</v>
      </c>
      <c r="AJ39" s="36" t="s">
        <v>1</v>
      </c>
      <c r="AK39" s="51" t="s">
        <v>1</v>
      </c>
      <c r="AL39" s="36" t="s">
        <v>1</v>
      </c>
      <c r="AM39" s="31" t="s">
        <v>1</v>
      </c>
      <c r="AN39" s="36" t="s">
        <v>1</v>
      </c>
      <c r="AO39" s="31" t="s">
        <v>1</v>
      </c>
      <c r="AP39" s="36" t="s">
        <v>1</v>
      </c>
      <c r="AQ39" s="51" t="s">
        <v>1</v>
      </c>
      <c r="AR39" s="36" t="s">
        <v>1</v>
      </c>
      <c r="AS39" s="47" t="s">
        <v>1</v>
      </c>
      <c r="AT39" s="36" t="s">
        <v>1</v>
      </c>
      <c r="AU39" s="47" t="s">
        <v>1</v>
      </c>
      <c r="AV39" s="36" t="s">
        <v>1</v>
      </c>
      <c r="AW39" s="47" t="s">
        <v>1</v>
      </c>
      <c r="AX39" s="36" t="s">
        <v>2065</v>
      </c>
      <c r="AY39" s="47" t="s">
        <v>2193</v>
      </c>
      <c r="AZ39" s="36" t="s">
        <v>1299</v>
      </c>
      <c r="BA39" s="47" t="s">
        <v>2193</v>
      </c>
      <c r="BB39" s="36" t="s">
        <v>2188</v>
      </c>
      <c r="BC39" s="47" t="s">
        <v>819</v>
      </c>
      <c r="BD39" s="36" t="s">
        <v>2189</v>
      </c>
      <c r="BE39" s="47" t="str">
        <f t="shared" si="0"/>
        <v>"Area.de.Planejamento"</v>
      </c>
    </row>
    <row r="40" spans="1:57" ht="6.65" customHeight="1" x14ac:dyDescent="0.4">
      <c r="A40" s="93">
        <v>40</v>
      </c>
      <c r="B40" s="74" t="s">
        <v>823</v>
      </c>
      <c r="C40" s="44" t="s">
        <v>653</v>
      </c>
      <c r="D40" s="18" t="s">
        <v>744</v>
      </c>
      <c r="E40" s="20" t="s">
        <v>753</v>
      </c>
      <c r="F40" s="18" t="s">
        <v>1</v>
      </c>
      <c r="G40" s="20" t="s">
        <v>1</v>
      </c>
      <c r="H40" s="18" t="s">
        <v>1</v>
      </c>
      <c r="I40" s="20" t="s">
        <v>1</v>
      </c>
      <c r="J40" s="18" t="s">
        <v>1</v>
      </c>
      <c r="K40" s="20" t="s">
        <v>1</v>
      </c>
      <c r="L40" s="18" t="s">
        <v>1</v>
      </c>
      <c r="M40" s="20" t="s">
        <v>1</v>
      </c>
      <c r="N40" s="46" t="s">
        <v>82</v>
      </c>
      <c r="O40" s="31" t="s">
        <v>824</v>
      </c>
      <c r="P40" s="46" t="s">
        <v>1</v>
      </c>
      <c r="Q40" s="25" t="s">
        <v>1</v>
      </c>
      <c r="R40" s="46" t="s">
        <v>1</v>
      </c>
      <c r="S40" s="52" t="s">
        <v>1</v>
      </c>
      <c r="T40" s="46" t="s">
        <v>1</v>
      </c>
      <c r="U40" s="31" t="s">
        <v>1</v>
      </c>
      <c r="V40" s="46" t="s">
        <v>1</v>
      </c>
      <c r="W40" s="31" t="s">
        <v>1</v>
      </c>
      <c r="X40" s="46" t="s">
        <v>1</v>
      </c>
      <c r="Y40" s="31" t="s">
        <v>1</v>
      </c>
      <c r="Z40" s="46" t="s">
        <v>1</v>
      </c>
      <c r="AA40" s="31" t="s">
        <v>1</v>
      </c>
      <c r="AB40" s="46" t="s">
        <v>1</v>
      </c>
      <c r="AC40" s="47" t="s">
        <v>1</v>
      </c>
      <c r="AD40" s="36" t="s">
        <v>1</v>
      </c>
      <c r="AE40" s="51" t="s">
        <v>1</v>
      </c>
      <c r="AF40" s="36" t="s">
        <v>1</v>
      </c>
      <c r="AG40" s="51" t="s">
        <v>1</v>
      </c>
      <c r="AH40" s="36" t="s">
        <v>1</v>
      </c>
      <c r="AI40" s="51" t="s">
        <v>1</v>
      </c>
      <c r="AJ40" s="36" t="s">
        <v>1</v>
      </c>
      <c r="AK40" s="51" t="s">
        <v>1</v>
      </c>
      <c r="AL40" s="36" t="s">
        <v>1</v>
      </c>
      <c r="AM40" s="31" t="s">
        <v>1</v>
      </c>
      <c r="AN40" s="36" t="s">
        <v>1</v>
      </c>
      <c r="AO40" s="31" t="s">
        <v>1</v>
      </c>
      <c r="AP40" s="36" t="s">
        <v>1</v>
      </c>
      <c r="AQ40" s="51" t="s">
        <v>1</v>
      </c>
      <c r="AR40" s="36" t="s">
        <v>1</v>
      </c>
      <c r="AS40" s="47" t="s">
        <v>1</v>
      </c>
      <c r="AT40" s="36" t="s">
        <v>1</v>
      </c>
      <c r="AU40" s="47" t="s">
        <v>1</v>
      </c>
      <c r="AV40" s="36" t="s">
        <v>1</v>
      </c>
      <c r="AW40" s="47" t="s">
        <v>1</v>
      </c>
      <c r="AX40" s="36" t="s">
        <v>2065</v>
      </c>
      <c r="AY40" s="47" t="s">
        <v>2193</v>
      </c>
      <c r="AZ40" s="36" t="s">
        <v>1299</v>
      </c>
      <c r="BA40" s="47" t="s">
        <v>2193</v>
      </c>
      <c r="BB40" s="36" t="s">
        <v>2188</v>
      </c>
      <c r="BC40" s="47" t="s">
        <v>819</v>
      </c>
      <c r="BD40" s="36" t="s">
        <v>2189</v>
      </c>
      <c r="BE40" s="47" t="str">
        <f t="shared" si="0"/>
        <v>"Area.de.Planejamento"</v>
      </c>
    </row>
    <row r="41" spans="1:57" ht="6.65" customHeight="1" x14ac:dyDescent="0.4">
      <c r="A41" s="93">
        <v>41</v>
      </c>
      <c r="B41" s="74" t="s">
        <v>825</v>
      </c>
      <c r="C41" s="44" t="s">
        <v>653</v>
      </c>
      <c r="D41" s="18" t="s">
        <v>744</v>
      </c>
      <c r="E41" s="20" t="s">
        <v>753</v>
      </c>
      <c r="F41" s="18" t="s">
        <v>1</v>
      </c>
      <c r="G41" s="20" t="s">
        <v>1</v>
      </c>
      <c r="H41" s="18" t="s">
        <v>1</v>
      </c>
      <c r="I41" s="20" t="s">
        <v>1</v>
      </c>
      <c r="J41" s="18" t="s">
        <v>1</v>
      </c>
      <c r="K41" s="20" t="s">
        <v>1</v>
      </c>
      <c r="L41" s="18" t="s">
        <v>1</v>
      </c>
      <c r="M41" s="20" t="s">
        <v>1</v>
      </c>
      <c r="N41" s="46" t="s">
        <v>82</v>
      </c>
      <c r="O41" s="31" t="s">
        <v>826</v>
      </c>
      <c r="P41" s="46" t="s">
        <v>1</v>
      </c>
      <c r="Q41" s="25" t="s">
        <v>1</v>
      </c>
      <c r="R41" s="46" t="s">
        <v>1</v>
      </c>
      <c r="S41" s="52" t="s">
        <v>1</v>
      </c>
      <c r="T41" s="46" t="s">
        <v>1</v>
      </c>
      <c r="U41" s="31" t="s">
        <v>1</v>
      </c>
      <c r="V41" s="46" t="s">
        <v>1</v>
      </c>
      <c r="W41" s="31" t="s">
        <v>1</v>
      </c>
      <c r="X41" s="46" t="s">
        <v>1</v>
      </c>
      <c r="Y41" s="31" t="s">
        <v>1</v>
      </c>
      <c r="Z41" s="46" t="s">
        <v>1</v>
      </c>
      <c r="AA41" s="31" t="s">
        <v>1</v>
      </c>
      <c r="AB41" s="46" t="s">
        <v>1</v>
      </c>
      <c r="AC41" s="47" t="s">
        <v>1</v>
      </c>
      <c r="AD41" s="36" t="s">
        <v>1</v>
      </c>
      <c r="AE41" s="51" t="s">
        <v>1</v>
      </c>
      <c r="AF41" s="36" t="s">
        <v>1</v>
      </c>
      <c r="AG41" s="51" t="s">
        <v>1</v>
      </c>
      <c r="AH41" s="36" t="s">
        <v>1</v>
      </c>
      <c r="AI41" s="51" t="s">
        <v>1</v>
      </c>
      <c r="AJ41" s="36" t="s">
        <v>1</v>
      </c>
      <c r="AK41" s="51" t="s">
        <v>1</v>
      </c>
      <c r="AL41" s="36" t="s">
        <v>1</v>
      </c>
      <c r="AM41" s="31" t="s">
        <v>1</v>
      </c>
      <c r="AN41" s="36" t="s">
        <v>1</v>
      </c>
      <c r="AO41" s="31" t="s">
        <v>1</v>
      </c>
      <c r="AP41" s="36" t="s">
        <v>1</v>
      </c>
      <c r="AQ41" s="51" t="s">
        <v>1</v>
      </c>
      <c r="AR41" s="36" t="s">
        <v>1</v>
      </c>
      <c r="AS41" s="47" t="s">
        <v>1</v>
      </c>
      <c r="AT41" s="36" t="s">
        <v>1</v>
      </c>
      <c r="AU41" s="47" t="s">
        <v>1</v>
      </c>
      <c r="AV41" s="36" t="s">
        <v>1</v>
      </c>
      <c r="AW41" s="47" t="s">
        <v>1</v>
      </c>
      <c r="AX41" s="36" t="s">
        <v>2065</v>
      </c>
      <c r="AY41" s="47" t="s">
        <v>2193</v>
      </c>
      <c r="AZ41" s="36" t="s">
        <v>1299</v>
      </c>
      <c r="BA41" s="47" t="s">
        <v>2193</v>
      </c>
      <c r="BB41" s="36" t="s">
        <v>2188</v>
      </c>
      <c r="BC41" s="47" t="s">
        <v>819</v>
      </c>
      <c r="BD41" s="36" t="s">
        <v>2189</v>
      </c>
      <c r="BE41" s="47" t="str">
        <f t="shared" si="0"/>
        <v>"Area.de.Planejamento"</v>
      </c>
    </row>
    <row r="42" spans="1:57" ht="6.65" customHeight="1" x14ac:dyDescent="0.4">
      <c r="A42" s="93">
        <v>42</v>
      </c>
      <c r="B42" s="74" t="s">
        <v>827</v>
      </c>
      <c r="C42" s="44" t="s">
        <v>653</v>
      </c>
      <c r="D42" s="18" t="s">
        <v>744</v>
      </c>
      <c r="E42" s="20" t="s">
        <v>753</v>
      </c>
      <c r="F42" s="18" t="s">
        <v>1</v>
      </c>
      <c r="G42" s="20" t="s">
        <v>1</v>
      </c>
      <c r="H42" s="18" t="s">
        <v>1</v>
      </c>
      <c r="I42" s="20" t="s">
        <v>1</v>
      </c>
      <c r="J42" s="18" t="s">
        <v>1</v>
      </c>
      <c r="K42" s="20" t="s">
        <v>1</v>
      </c>
      <c r="L42" s="18" t="s">
        <v>1</v>
      </c>
      <c r="M42" s="20" t="s">
        <v>1</v>
      </c>
      <c r="N42" s="46" t="s">
        <v>82</v>
      </c>
      <c r="O42" s="31" t="s">
        <v>828</v>
      </c>
      <c r="P42" s="46" t="s">
        <v>1</v>
      </c>
      <c r="Q42" s="25" t="s">
        <v>1</v>
      </c>
      <c r="R42" s="46" t="s">
        <v>1</v>
      </c>
      <c r="S42" s="52" t="s">
        <v>1</v>
      </c>
      <c r="T42" s="46" t="s">
        <v>1</v>
      </c>
      <c r="U42" s="31" t="s">
        <v>1</v>
      </c>
      <c r="V42" s="46" t="s">
        <v>1</v>
      </c>
      <c r="W42" s="31" t="s">
        <v>1</v>
      </c>
      <c r="X42" s="46" t="s">
        <v>1</v>
      </c>
      <c r="Y42" s="31" t="s">
        <v>1</v>
      </c>
      <c r="Z42" s="46" t="s">
        <v>1</v>
      </c>
      <c r="AA42" s="31" t="s">
        <v>1</v>
      </c>
      <c r="AB42" s="46" t="s">
        <v>1</v>
      </c>
      <c r="AC42" s="47" t="s">
        <v>1</v>
      </c>
      <c r="AD42" s="36" t="s">
        <v>1</v>
      </c>
      <c r="AE42" s="51" t="s">
        <v>1</v>
      </c>
      <c r="AF42" s="36" t="s">
        <v>1</v>
      </c>
      <c r="AG42" s="51" t="s">
        <v>1</v>
      </c>
      <c r="AH42" s="36" t="s">
        <v>1</v>
      </c>
      <c r="AI42" s="51" t="s">
        <v>1</v>
      </c>
      <c r="AJ42" s="36" t="s">
        <v>1</v>
      </c>
      <c r="AK42" s="51" t="s">
        <v>1</v>
      </c>
      <c r="AL42" s="36" t="s">
        <v>1</v>
      </c>
      <c r="AM42" s="31" t="s">
        <v>1</v>
      </c>
      <c r="AN42" s="36" t="s">
        <v>1</v>
      </c>
      <c r="AO42" s="31" t="s">
        <v>1</v>
      </c>
      <c r="AP42" s="36" t="s">
        <v>1</v>
      </c>
      <c r="AQ42" s="51" t="s">
        <v>1</v>
      </c>
      <c r="AR42" s="36" t="s">
        <v>1</v>
      </c>
      <c r="AS42" s="47" t="s">
        <v>1</v>
      </c>
      <c r="AT42" s="36" t="s">
        <v>1</v>
      </c>
      <c r="AU42" s="47" t="s">
        <v>1</v>
      </c>
      <c r="AV42" s="36" t="s">
        <v>1</v>
      </c>
      <c r="AW42" s="47" t="s">
        <v>1</v>
      </c>
      <c r="AX42" s="36" t="s">
        <v>2065</v>
      </c>
      <c r="AY42" s="47" t="s">
        <v>2193</v>
      </c>
      <c r="AZ42" s="36" t="s">
        <v>1299</v>
      </c>
      <c r="BA42" s="47" t="s">
        <v>2193</v>
      </c>
      <c r="BB42" s="36" t="s">
        <v>2188</v>
      </c>
      <c r="BC42" s="47" t="s">
        <v>819</v>
      </c>
      <c r="BD42" s="36" t="s">
        <v>2189</v>
      </c>
      <c r="BE42" s="47" t="str">
        <f t="shared" si="0"/>
        <v>"Area.de.Planejamento"</v>
      </c>
    </row>
    <row r="43" spans="1:57" ht="6.65" customHeight="1" x14ac:dyDescent="0.4">
      <c r="A43" s="93">
        <v>43</v>
      </c>
      <c r="B43" s="74" t="s">
        <v>829</v>
      </c>
      <c r="C43" s="44" t="s">
        <v>653</v>
      </c>
      <c r="D43" s="18" t="s">
        <v>744</v>
      </c>
      <c r="E43" s="20" t="s">
        <v>753</v>
      </c>
      <c r="F43" s="18" t="s">
        <v>1</v>
      </c>
      <c r="G43" s="20" t="s">
        <v>1</v>
      </c>
      <c r="H43" s="18" t="s">
        <v>1</v>
      </c>
      <c r="I43" s="20" t="s">
        <v>1</v>
      </c>
      <c r="J43" s="18" t="s">
        <v>1</v>
      </c>
      <c r="K43" s="20" t="s">
        <v>1</v>
      </c>
      <c r="L43" s="18" t="s">
        <v>1</v>
      </c>
      <c r="M43" s="20" t="s">
        <v>1</v>
      </c>
      <c r="N43" s="46" t="s">
        <v>82</v>
      </c>
      <c r="O43" s="31" t="s">
        <v>830</v>
      </c>
      <c r="P43" s="46" t="s">
        <v>1</v>
      </c>
      <c r="Q43" s="25" t="s">
        <v>1</v>
      </c>
      <c r="R43" s="46" t="s">
        <v>1</v>
      </c>
      <c r="S43" s="52" t="s">
        <v>1</v>
      </c>
      <c r="T43" s="46" t="s">
        <v>1</v>
      </c>
      <c r="U43" s="31" t="s">
        <v>1</v>
      </c>
      <c r="V43" s="46" t="s">
        <v>1</v>
      </c>
      <c r="W43" s="31" t="s">
        <v>1</v>
      </c>
      <c r="X43" s="46" t="s">
        <v>1</v>
      </c>
      <c r="Y43" s="31" t="s">
        <v>1</v>
      </c>
      <c r="Z43" s="46" t="s">
        <v>1</v>
      </c>
      <c r="AA43" s="31" t="s">
        <v>1</v>
      </c>
      <c r="AB43" s="46" t="s">
        <v>1</v>
      </c>
      <c r="AC43" s="47" t="s">
        <v>1</v>
      </c>
      <c r="AD43" s="36" t="s">
        <v>1</v>
      </c>
      <c r="AE43" s="51" t="s">
        <v>1</v>
      </c>
      <c r="AF43" s="36" t="s">
        <v>1</v>
      </c>
      <c r="AG43" s="51" t="s">
        <v>1</v>
      </c>
      <c r="AH43" s="36" t="s">
        <v>1</v>
      </c>
      <c r="AI43" s="51" t="s">
        <v>1</v>
      </c>
      <c r="AJ43" s="36" t="s">
        <v>1</v>
      </c>
      <c r="AK43" s="51" t="s">
        <v>1</v>
      </c>
      <c r="AL43" s="36" t="s">
        <v>1</v>
      </c>
      <c r="AM43" s="31" t="s">
        <v>1</v>
      </c>
      <c r="AN43" s="36" t="s">
        <v>1</v>
      </c>
      <c r="AO43" s="31" t="s">
        <v>1</v>
      </c>
      <c r="AP43" s="36" t="s">
        <v>1</v>
      </c>
      <c r="AQ43" s="51" t="s">
        <v>1</v>
      </c>
      <c r="AR43" s="36" t="s">
        <v>1</v>
      </c>
      <c r="AS43" s="47" t="s">
        <v>1</v>
      </c>
      <c r="AT43" s="36" t="s">
        <v>1</v>
      </c>
      <c r="AU43" s="47" t="s">
        <v>1</v>
      </c>
      <c r="AV43" s="36" t="s">
        <v>1</v>
      </c>
      <c r="AW43" s="47" t="s">
        <v>1</v>
      </c>
      <c r="AX43" s="36" t="s">
        <v>2065</v>
      </c>
      <c r="AY43" s="47" t="s">
        <v>2193</v>
      </c>
      <c r="AZ43" s="36" t="s">
        <v>1299</v>
      </c>
      <c r="BA43" s="47" t="s">
        <v>2193</v>
      </c>
      <c r="BB43" s="36" t="s">
        <v>2188</v>
      </c>
      <c r="BC43" s="47" t="s">
        <v>819</v>
      </c>
      <c r="BD43" s="36" t="s">
        <v>2189</v>
      </c>
      <c r="BE43" s="47" t="str">
        <f t="shared" si="0"/>
        <v>"Area.de.Planejamento"</v>
      </c>
    </row>
    <row r="44" spans="1:57" ht="6.65" customHeight="1" x14ac:dyDescent="0.4">
      <c r="A44" s="93">
        <v>44</v>
      </c>
      <c r="B44" s="74" t="s">
        <v>831</v>
      </c>
      <c r="C44" s="44" t="s">
        <v>655</v>
      </c>
      <c r="D44" s="18" t="s">
        <v>744</v>
      </c>
      <c r="E44" s="20" t="s">
        <v>753</v>
      </c>
      <c r="F44" s="18" t="s">
        <v>744</v>
      </c>
      <c r="G44" s="48" t="s">
        <v>821</v>
      </c>
      <c r="H44" s="18" t="s">
        <v>820</v>
      </c>
      <c r="I44" s="48" t="s">
        <v>832</v>
      </c>
      <c r="J44" s="18" t="s">
        <v>1</v>
      </c>
      <c r="K44" s="20" t="s">
        <v>1</v>
      </c>
      <c r="L44" s="18" t="s">
        <v>1</v>
      </c>
      <c r="M44" s="20" t="s">
        <v>1</v>
      </c>
      <c r="N44" s="46" t="s">
        <v>82</v>
      </c>
      <c r="O44" s="25" t="str">
        <f t="shared" ref="O44:O76" si="2">_xlfn.CONCAT("""",B44," é Região Administrativa de Rio de Janeiro em Area de Planejamento ",E44,"""")</f>
        <v>"RA.01 é Região Administrativa de Rio de Janeiro em Area de Planejamento Rio.de.Janeiro.Capital"</v>
      </c>
      <c r="P44" s="46" t="s">
        <v>1</v>
      </c>
      <c r="Q44" s="25" t="s">
        <v>1</v>
      </c>
      <c r="R44" s="46" t="s">
        <v>1</v>
      </c>
      <c r="S44" s="52" t="s">
        <v>1</v>
      </c>
      <c r="T44" s="46" t="s">
        <v>1</v>
      </c>
      <c r="U44" s="31" t="s">
        <v>1</v>
      </c>
      <c r="V44" s="46" t="s">
        <v>1</v>
      </c>
      <c r="W44" s="31" t="s">
        <v>1</v>
      </c>
      <c r="X44" s="46" t="s">
        <v>1</v>
      </c>
      <c r="Y44" s="31" t="s">
        <v>1</v>
      </c>
      <c r="Z44" s="46" t="s">
        <v>1</v>
      </c>
      <c r="AA44" s="31" t="s">
        <v>1</v>
      </c>
      <c r="AB44" s="46" t="s">
        <v>1</v>
      </c>
      <c r="AC44" s="47" t="s">
        <v>1</v>
      </c>
      <c r="AD44" s="36" t="s">
        <v>1</v>
      </c>
      <c r="AE44" s="51" t="s">
        <v>1</v>
      </c>
      <c r="AF44" s="36" t="s">
        <v>1</v>
      </c>
      <c r="AG44" s="51" t="s">
        <v>1</v>
      </c>
      <c r="AH44" s="36" t="s">
        <v>1</v>
      </c>
      <c r="AI44" s="51" t="s">
        <v>1</v>
      </c>
      <c r="AJ44" s="36" t="s">
        <v>1</v>
      </c>
      <c r="AK44" s="51" t="s">
        <v>1</v>
      </c>
      <c r="AL44" s="36" t="s">
        <v>1</v>
      </c>
      <c r="AM44" s="31" t="s">
        <v>1</v>
      </c>
      <c r="AN44" s="36" t="s">
        <v>1</v>
      </c>
      <c r="AO44" s="31" t="s">
        <v>1</v>
      </c>
      <c r="AP44" s="36" t="s">
        <v>1</v>
      </c>
      <c r="AQ44" s="51" t="s">
        <v>1</v>
      </c>
      <c r="AR44" s="36" t="s">
        <v>1</v>
      </c>
      <c r="AS44" s="47" t="s">
        <v>1</v>
      </c>
      <c r="AT44" s="36" t="s">
        <v>1</v>
      </c>
      <c r="AU44" s="47" t="s">
        <v>1</v>
      </c>
      <c r="AV44" s="36" t="s">
        <v>1</v>
      </c>
      <c r="AW44" s="47" t="s">
        <v>1</v>
      </c>
      <c r="AX44" s="36" t="s">
        <v>2065</v>
      </c>
      <c r="AY44" s="47" t="s">
        <v>2193</v>
      </c>
      <c r="AZ44" s="36" t="s">
        <v>1299</v>
      </c>
      <c r="BA44" s="47" t="s">
        <v>2193</v>
      </c>
      <c r="BB44" s="36" t="s">
        <v>2188</v>
      </c>
      <c r="BC44" s="47" t="s">
        <v>819</v>
      </c>
      <c r="BD44" s="36" t="s">
        <v>2189</v>
      </c>
      <c r="BE44" s="47" t="str">
        <f t="shared" si="0"/>
        <v>"Região.Administrativa"</v>
      </c>
    </row>
    <row r="45" spans="1:57" ht="6.65" customHeight="1" x14ac:dyDescent="0.4">
      <c r="A45" s="93">
        <v>45</v>
      </c>
      <c r="B45" s="74" t="s">
        <v>833</v>
      </c>
      <c r="C45" s="44" t="s">
        <v>655</v>
      </c>
      <c r="D45" s="18" t="s">
        <v>744</v>
      </c>
      <c r="E45" s="20" t="s">
        <v>753</v>
      </c>
      <c r="F45" s="18" t="s">
        <v>744</v>
      </c>
      <c r="G45" s="48" t="s">
        <v>821</v>
      </c>
      <c r="H45" s="18" t="s">
        <v>820</v>
      </c>
      <c r="I45" s="48" t="s">
        <v>834</v>
      </c>
      <c r="J45" s="18" t="s">
        <v>1</v>
      </c>
      <c r="K45" s="20" t="s">
        <v>1</v>
      </c>
      <c r="L45" s="18" t="s">
        <v>1</v>
      </c>
      <c r="M45" s="20" t="s">
        <v>1</v>
      </c>
      <c r="N45" s="46" t="s">
        <v>82</v>
      </c>
      <c r="O45" s="25" t="str">
        <f t="shared" si="2"/>
        <v>"RA.02 é Região Administrativa de Rio de Janeiro em Area de Planejamento Rio.de.Janeiro.Capital"</v>
      </c>
      <c r="P45" s="46" t="s">
        <v>1</v>
      </c>
      <c r="Q45" s="25" t="s">
        <v>1</v>
      </c>
      <c r="R45" s="46" t="s">
        <v>1</v>
      </c>
      <c r="S45" s="52" t="s">
        <v>1</v>
      </c>
      <c r="T45" s="46" t="s">
        <v>1</v>
      </c>
      <c r="U45" s="31" t="s">
        <v>1</v>
      </c>
      <c r="V45" s="46" t="s">
        <v>1</v>
      </c>
      <c r="W45" s="31" t="s">
        <v>1</v>
      </c>
      <c r="X45" s="46" t="s">
        <v>1</v>
      </c>
      <c r="Y45" s="31" t="s">
        <v>1</v>
      </c>
      <c r="Z45" s="46" t="s">
        <v>1</v>
      </c>
      <c r="AA45" s="31" t="s">
        <v>1</v>
      </c>
      <c r="AB45" s="46" t="s">
        <v>1</v>
      </c>
      <c r="AC45" s="47" t="s">
        <v>1</v>
      </c>
      <c r="AD45" s="36" t="s">
        <v>1</v>
      </c>
      <c r="AE45" s="51" t="s">
        <v>1</v>
      </c>
      <c r="AF45" s="36" t="s">
        <v>1</v>
      </c>
      <c r="AG45" s="51" t="s">
        <v>1</v>
      </c>
      <c r="AH45" s="36" t="s">
        <v>1</v>
      </c>
      <c r="AI45" s="51" t="s">
        <v>1</v>
      </c>
      <c r="AJ45" s="36" t="s">
        <v>1</v>
      </c>
      <c r="AK45" s="51" t="s">
        <v>1</v>
      </c>
      <c r="AL45" s="36" t="s">
        <v>1</v>
      </c>
      <c r="AM45" s="31" t="s">
        <v>1</v>
      </c>
      <c r="AN45" s="36" t="s">
        <v>1</v>
      </c>
      <c r="AO45" s="31" t="s">
        <v>1</v>
      </c>
      <c r="AP45" s="36" t="s">
        <v>1</v>
      </c>
      <c r="AQ45" s="51" t="s">
        <v>1</v>
      </c>
      <c r="AR45" s="36" t="s">
        <v>1</v>
      </c>
      <c r="AS45" s="47" t="s">
        <v>1</v>
      </c>
      <c r="AT45" s="36" t="s">
        <v>1</v>
      </c>
      <c r="AU45" s="47" t="s">
        <v>1</v>
      </c>
      <c r="AV45" s="36" t="s">
        <v>1</v>
      </c>
      <c r="AW45" s="47" t="s">
        <v>1</v>
      </c>
      <c r="AX45" s="36" t="s">
        <v>2065</v>
      </c>
      <c r="AY45" s="47" t="s">
        <v>2193</v>
      </c>
      <c r="AZ45" s="36" t="s">
        <v>1299</v>
      </c>
      <c r="BA45" s="47" t="s">
        <v>2193</v>
      </c>
      <c r="BB45" s="36" t="s">
        <v>2188</v>
      </c>
      <c r="BC45" s="47" t="s">
        <v>819</v>
      </c>
      <c r="BD45" s="36" t="s">
        <v>2189</v>
      </c>
      <c r="BE45" s="47" t="str">
        <f t="shared" si="0"/>
        <v>"Região.Administrativa"</v>
      </c>
    </row>
    <row r="46" spans="1:57" ht="6.65" customHeight="1" x14ac:dyDescent="0.4">
      <c r="A46" s="93">
        <v>46</v>
      </c>
      <c r="B46" s="74" t="s">
        <v>835</v>
      </c>
      <c r="C46" s="44" t="s">
        <v>655</v>
      </c>
      <c r="D46" s="18" t="s">
        <v>744</v>
      </c>
      <c r="E46" s="20" t="s">
        <v>753</v>
      </c>
      <c r="F46" s="18" t="s">
        <v>744</v>
      </c>
      <c r="G46" s="48" t="s">
        <v>821</v>
      </c>
      <c r="H46" s="18" t="s">
        <v>820</v>
      </c>
      <c r="I46" s="48" t="s">
        <v>836</v>
      </c>
      <c r="J46" s="18" t="s">
        <v>1</v>
      </c>
      <c r="K46" s="20" t="s">
        <v>1</v>
      </c>
      <c r="L46" s="18" t="s">
        <v>1</v>
      </c>
      <c r="M46" s="20" t="s">
        <v>1</v>
      </c>
      <c r="N46" s="46" t="s">
        <v>82</v>
      </c>
      <c r="O46" s="25" t="str">
        <f t="shared" si="2"/>
        <v>"RA.03 é Região Administrativa de Rio de Janeiro em Area de Planejamento Rio.de.Janeiro.Capital"</v>
      </c>
      <c r="P46" s="46" t="s">
        <v>1</v>
      </c>
      <c r="Q46" s="25" t="s">
        <v>1</v>
      </c>
      <c r="R46" s="46" t="s">
        <v>1</v>
      </c>
      <c r="S46" s="52" t="s">
        <v>1</v>
      </c>
      <c r="T46" s="46" t="s">
        <v>1</v>
      </c>
      <c r="U46" s="31" t="s">
        <v>1</v>
      </c>
      <c r="V46" s="46" t="s">
        <v>1</v>
      </c>
      <c r="W46" s="31" t="s">
        <v>1</v>
      </c>
      <c r="X46" s="46" t="s">
        <v>1</v>
      </c>
      <c r="Y46" s="31" t="s">
        <v>1</v>
      </c>
      <c r="Z46" s="46" t="s">
        <v>1</v>
      </c>
      <c r="AA46" s="31" t="s">
        <v>1</v>
      </c>
      <c r="AB46" s="46" t="s">
        <v>1</v>
      </c>
      <c r="AC46" s="47" t="s">
        <v>1</v>
      </c>
      <c r="AD46" s="36" t="s">
        <v>1</v>
      </c>
      <c r="AE46" s="51" t="s">
        <v>1</v>
      </c>
      <c r="AF46" s="36" t="s">
        <v>1</v>
      </c>
      <c r="AG46" s="51" t="s">
        <v>1</v>
      </c>
      <c r="AH46" s="36" t="s">
        <v>1</v>
      </c>
      <c r="AI46" s="51" t="s">
        <v>1</v>
      </c>
      <c r="AJ46" s="36" t="s">
        <v>1</v>
      </c>
      <c r="AK46" s="51" t="s">
        <v>1</v>
      </c>
      <c r="AL46" s="36" t="s">
        <v>1</v>
      </c>
      <c r="AM46" s="31" t="s">
        <v>1</v>
      </c>
      <c r="AN46" s="36" t="s">
        <v>1</v>
      </c>
      <c r="AO46" s="31" t="s">
        <v>1</v>
      </c>
      <c r="AP46" s="36" t="s">
        <v>1</v>
      </c>
      <c r="AQ46" s="51" t="s">
        <v>1</v>
      </c>
      <c r="AR46" s="36" t="s">
        <v>1</v>
      </c>
      <c r="AS46" s="47" t="s">
        <v>1</v>
      </c>
      <c r="AT46" s="36" t="s">
        <v>1</v>
      </c>
      <c r="AU46" s="47" t="s">
        <v>1</v>
      </c>
      <c r="AV46" s="36" t="s">
        <v>1</v>
      </c>
      <c r="AW46" s="47" t="s">
        <v>1</v>
      </c>
      <c r="AX46" s="36" t="s">
        <v>2065</v>
      </c>
      <c r="AY46" s="47" t="s">
        <v>2193</v>
      </c>
      <c r="AZ46" s="36" t="s">
        <v>1299</v>
      </c>
      <c r="BA46" s="47" t="s">
        <v>2193</v>
      </c>
      <c r="BB46" s="36" t="s">
        <v>2188</v>
      </c>
      <c r="BC46" s="47" t="s">
        <v>819</v>
      </c>
      <c r="BD46" s="36" t="s">
        <v>2189</v>
      </c>
      <c r="BE46" s="47" t="str">
        <f t="shared" si="0"/>
        <v>"Região.Administrativa"</v>
      </c>
    </row>
    <row r="47" spans="1:57" ht="6.65" customHeight="1" x14ac:dyDescent="0.4">
      <c r="A47" s="93">
        <v>47</v>
      </c>
      <c r="B47" s="74" t="s">
        <v>837</v>
      </c>
      <c r="C47" s="44" t="s">
        <v>655</v>
      </c>
      <c r="D47" s="18" t="s">
        <v>744</v>
      </c>
      <c r="E47" s="20" t="s">
        <v>753</v>
      </c>
      <c r="F47" s="18" t="s">
        <v>744</v>
      </c>
      <c r="G47" s="48" t="s">
        <v>823</v>
      </c>
      <c r="H47" s="18" t="s">
        <v>820</v>
      </c>
      <c r="I47" s="48" t="s">
        <v>838</v>
      </c>
      <c r="J47" s="18" t="s">
        <v>1</v>
      </c>
      <c r="K47" s="20" t="s">
        <v>1</v>
      </c>
      <c r="L47" s="18" t="s">
        <v>1</v>
      </c>
      <c r="M47" s="20" t="s">
        <v>1</v>
      </c>
      <c r="N47" s="46" t="s">
        <v>82</v>
      </c>
      <c r="O47" s="25" t="str">
        <f t="shared" si="2"/>
        <v>"RA.04 é Região Administrativa de Rio de Janeiro em Area de Planejamento Rio.de.Janeiro.Capital"</v>
      </c>
      <c r="P47" s="46" t="s">
        <v>1</v>
      </c>
      <c r="Q47" s="25" t="s">
        <v>1</v>
      </c>
      <c r="R47" s="46" t="s">
        <v>1</v>
      </c>
      <c r="S47" s="52" t="s">
        <v>1</v>
      </c>
      <c r="T47" s="46" t="s">
        <v>1</v>
      </c>
      <c r="U47" s="31" t="s">
        <v>1</v>
      </c>
      <c r="V47" s="46" t="s">
        <v>1</v>
      </c>
      <c r="W47" s="31" t="s">
        <v>1</v>
      </c>
      <c r="X47" s="46" t="s">
        <v>1</v>
      </c>
      <c r="Y47" s="31" t="s">
        <v>1</v>
      </c>
      <c r="Z47" s="46" t="s">
        <v>1</v>
      </c>
      <c r="AA47" s="31" t="s">
        <v>1</v>
      </c>
      <c r="AB47" s="46" t="s">
        <v>1</v>
      </c>
      <c r="AC47" s="47" t="s">
        <v>1</v>
      </c>
      <c r="AD47" s="36" t="s">
        <v>1</v>
      </c>
      <c r="AE47" s="51" t="s">
        <v>1</v>
      </c>
      <c r="AF47" s="36" t="s">
        <v>1</v>
      </c>
      <c r="AG47" s="51" t="s">
        <v>1</v>
      </c>
      <c r="AH47" s="36" t="s">
        <v>1</v>
      </c>
      <c r="AI47" s="51" t="s">
        <v>1</v>
      </c>
      <c r="AJ47" s="36" t="s">
        <v>1</v>
      </c>
      <c r="AK47" s="51" t="s">
        <v>1</v>
      </c>
      <c r="AL47" s="36" t="s">
        <v>1</v>
      </c>
      <c r="AM47" s="31" t="s">
        <v>1</v>
      </c>
      <c r="AN47" s="36" t="s">
        <v>1</v>
      </c>
      <c r="AO47" s="31" t="s">
        <v>1</v>
      </c>
      <c r="AP47" s="36" t="s">
        <v>1</v>
      </c>
      <c r="AQ47" s="51" t="s">
        <v>1</v>
      </c>
      <c r="AR47" s="36" t="s">
        <v>1</v>
      </c>
      <c r="AS47" s="47" t="s">
        <v>1</v>
      </c>
      <c r="AT47" s="36" t="s">
        <v>1</v>
      </c>
      <c r="AU47" s="47" t="s">
        <v>1</v>
      </c>
      <c r="AV47" s="36" t="s">
        <v>1</v>
      </c>
      <c r="AW47" s="47" t="s">
        <v>1</v>
      </c>
      <c r="AX47" s="36" t="s">
        <v>2065</v>
      </c>
      <c r="AY47" s="47" t="s">
        <v>2193</v>
      </c>
      <c r="AZ47" s="36" t="s">
        <v>1299</v>
      </c>
      <c r="BA47" s="47" t="s">
        <v>2193</v>
      </c>
      <c r="BB47" s="36" t="s">
        <v>2188</v>
      </c>
      <c r="BC47" s="47" t="s">
        <v>819</v>
      </c>
      <c r="BD47" s="36" t="s">
        <v>2189</v>
      </c>
      <c r="BE47" s="47" t="str">
        <f t="shared" si="0"/>
        <v>"Região.Administrativa"</v>
      </c>
    </row>
    <row r="48" spans="1:57" ht="6.65" customHeight="1" x14ac:dyDescent="0.4">
      <c r="A48" s="93">
        <v>48</v>
      </c>
      <c r="B48" s="74" t="s">
        <v>839</v>
      </c>
      <c r="C48" s="44" t="s">
        <v>655</v>
      </c>
      <c r="D48" s="18" t="s">
        <v>744</v>
      </c>
      <c r="E48" s="20" t="s">
        <v>753</v>
      </c>
      <c r="F48" s="18" t="s">
        <v>744</v>
      </c>
      <c r="G48" s="48" t="s">
        <v>823</v>
      </c>
      <c r="H48" s="18" t="s">
        <v>820</v>
      </c>
      <c r="I48" s="48" t="s">
        <v>840</v>
      </c>
      <c r="J48" s="18" t="s">
        <v>1</v>
      </c>
      <c r="K48" s="20" t="s">
        <v>1</v>
      </c>
      <c r="L48" s="18" t="s">
        <v>1</v>
      </c>
      <c r="M48" s="20" t="s">
        <v>1</v>
      </c>
      <c r="N48" s="46" t="s">
        <v>82</v>
      </c>
      <c r="O48" s="25" t="str">
        <f t="shared" si="2"/>
        <v>"RA.05 é Região Administrativa de Rio de Janeiro em Area de Planejamento Rio.de.Janeiro.Capital"</v>
      </c>
      <c r="P48" s="46" t="s">
        <v>1</v>
      </c>
      <c r="Q48" s="25" t="s">
        <v>1</v>
      </c>
      <c r="R48" s="46" t="s">
        <v>1</v>
      </c>
      <c r="S48" s="52" t="s">
        <v>1</v>
      </c>
      <c r="T48" s="46" t="s">
        <v>1</v>
      </c>
      <c r="U48" s="31" t="s">
        <v>1</v>
      </c>
      <c r="V48" s="46" t="s">
        <v>1</v>
      </c>
      <c r="W48" s="31" t="s">
        <v>1</v>
      </c>
      <c r="X48" s="46" t="s">
        <v>1</v>
      </c>
      <c r="Y48" s="31" t="s">
        <v>1</v>
      </c>
      <c r="Z48" s="46" t="s">
        <v>1</v>
      </c>
      <c r="AA48" s="31" t="s">
        <v>1</v>
      </c>
      <c r="AB48" s="46" t="s">
        <v>1</v>
      </c>
      <c r="AC48" s="47" t="s">
        <v>1</v>
      </c>
      <c r="AD48" s="36" t="s">
        <v>1</v>
      </c>
      <c r="AE48" s="51" t="s">
        <v>1</v>
      </c>
      <c r="AF48" s="36" t="s">
        <v>1</v>
      </c>
      <c r="AG48" s="51" t="s">
        <v>1</v>
      </c>
      <c r="AH48" s="36" t="s">
        <v>1</v>
      </c>
      <c r="AI48" s="51" t="s">
        <v>1</v>
      </c>
      <c r="AJ48" s="36" t="s">
        <v>1</v>
      </c>
      <c r="AK48" s="51" t="s">
        <v>1</v>
      </c>
      <c r="AL48" s="36" t="s">
        <v>1</v>
      </c>
      <c r="AM48" s="31" t="s">
        <v>1</v>
      </c>
      <c r="AN48" s="36" t="s">
        <v>1</v>
      </c>
      <c r="AO48" s="31" t="s">
        <v>1</v>
      </c>
      <c r="AP48" s="36" t="s">
        <v>1</v>
      </c>
      <c r="AQ48" s="51" t="s">
        <v>1</v>
      </c>
      <c r="AR48" s="36" t="s">
        <v>1</v>
      </c>
      <c r="AS48" s="47" t="s">
        <v>1</v>
      </c>
      <c r="AT48" s="36" t="s">
        <v>1</v>
      </c>
      <c r="AU48" s="47" t="s">
        <v>1</v>
      </c>
      <c r="AV48" s="36" t="s">
        <v>1</v>
      </c>
      <c r="AW48" s="47" t="s">
        <v>1</v>
      </c>
      <c r="AX48" s="36" t="s">
        <v>2065</v>
      </c>
      <c r="AY48" s="47" t="s">
        <v>2193</v>
      </c>
      <c r="AZ48" s="36" t="s">
        <v>1299</v>
      </c>
      <c r="BA48" s="47" t="s">
        <v>2193</v>
      </c>
      <c r="BB48" s="36" t="s">
        <v>2188</v>
      </c>
      <c r="BC48" s="47" t="s">
        <v>819</v>
      </c>
      <c r="BD48" s="36" t="s">
        <v>2189</v>
      </c>
      <c r="BE48" s="47" t="str">
        <f t="shared" si="0"/>
        <v>"Região.Administrativa"</v>
      </c>
    </row>
    <row r="49" spans="1:57" ht="6.65" customHeight="1" x14ac:dyDescent="0.4">
      <c r="A49" s="93">
        <v>49</v>
      </c>
      <c r="B49" s="74" t="s">
        <v>841</v>
      </c>
      <c r="C49" s="44" t="s">
        <v>655</v>
      </c>
      <c r="D49" s="18" t="s">
        <v>744</v>
      </c>
      <c r="E49" s="20" t="s">
        <v>753</v>
      </c>
      <c r="F49" s="18" t="s">
        <v>744</v>
      </c>
      <c r="G49" s="48" t="s">
        <v>823</v>
      </c>
      <c r="H49" s="18" t="s">
        <v>820</v>
      </c>
      <c r="I49" s="48" t="s">
        <v>842</v>
      </c>
      <c r="J49" s="18" t="s">
        <v>1</v>
      </c>
      <c r="K49" s="20" t="s">
        <v>1</v>
      </c>
      <c r="L49" s="18" t="s">
        <v>1</v>
      </c>
      <c r="M49" s="20" t="s">
        <v>1</v>
      </c>
      <c r="N49" s="46" t="s">
        <v>82</v>
      </c>
      <c r="O49" s="25" t="str">
        <f t="shared" si="2"/>
        <v>"RA.06 é Região Administrativa de Rio de Janeiro em Area de Planejamento Rio.de.Janeiro.Capital"</v>
      </c>
      <c r="P49" s="46" t="s">
        <v>1</v>
      </c>
      <c r="Q49" s="25" t="s">
        <v>1</v>
      </c>
      <c r="R49" s="46" t="s">
        <v>1</v>
      </c>
      <c r="S49" s="52" t="s">
        <v>1</v>
      </c>
      <c r="T49" s="46" t="s">
        <v>1</v>
      </c>
      <c r="U49" s="31" t="s">
        <v>1</v>
      </c>
      <c r="V49" s="46" t="s">
        <v>1</v>
      </c>
      <c r="W49" s="31" t="s">
        <v>1</v>
      </c>
      <c r="X49" s="46" t="s">
        <v>1</v>
      </c>
      <c r="Y49" s="31" t="s">
        <v>1</v>
      </c>
      <c r="Z49" s="46" t="s">
        <v>1</v>
      </c>
      <c r="AA49" s="31" t="s">
        <v>1</v>
      </c>
      <c r="AB49" s="46" t="s">
        <v>1</v>
      </c>
      <c r="AC49" s="47" t="s">
        <v>1</v>
      </c>
      <c r="AD49" s="36" t="s">
        <v>1</v>
      </c>
      <c r="AE49" s="51" t="s">
        <v>1</v>
      </c>
      <c r="AF49" s="36" t="s">
        <v>1</v>
      </c>
      <c r="AG49" s="51" t="s">
        <v>1</v>
      </c>
      <c r="AH49" s="36" t="s">
        <v>1</v>
      </c>
      <c r="AI49" s="51" t="s">
        <v>1</v>
      </c>
      <c r="AJ49" s="36" t="s">
        <v>1</v>
      </c>
      <c r="AK49" s="51" t="s">
        <v>1</v>
      </c>
      <c r="AL49" s="36" t="s">
        <v>1</v>
      </c>
      <c r="AM49" s="31" t="s">
        <v>1</v>
      </c>
      <c r="AN49" s="36" t="s">
        <v>1</v>
      </c>
      <c r="AO49" s="31" t="s">
        <v>1</v>
      </c>
      <c r="AP49" s="36" t="s">
        <v>1</v>
      </c>
      <c r="AQ49" s="51" t="s">
        <v>1</v>
      </c>
      <c r="AR49" s="36" t="s">
        <v>1</v>
      </c>
      <c r="AS49" s="47" t="s">
        <v>1</v>
      </c>
      <c r="AT49" s="36" t="s">
        <v>1</v>
      </c>
      <c r="AU49" s="47" t="s">
        <v>1</v>
      </c>
      <c r="AV49" s="36" t="s">
        <v>1</v>
      </c>
      <c r="AW49" s="47" t="s">
        <v>1</v>
      </c>
      <c r="AX49" s="36" t="s">
        <v>2065</v>
      </c>
      <c r="AY49" s="47" t="s">
        <v>2193</v>
      </c>
      <c r="AZ49" s="36" t="s">
        <v>1299</v>
      </c>
      <c r="BA49" s="47" t="s">
        <v>2193</v>
      </c>
      <c r="BB49" s="36" t="s">
        <v>2188</v>
      </c>
      <c r="BC49" s="47" t="s">
        <v>819</v>
      </c>
      <c r="BD49" s="36" t="s">
        <v>2189</v>
      </c>
      <c r="BE49" s="47" t="str">
        <f t="shared" si="0"/>
        <v>"Região.Administrativa"</v>
      </c>
    </row>
    <row r="50" spans="1:57" ht="6.65" customHeight="1" x14ac:dyDescent="0.4">
      <c r="A50" s="93">
        <v>50</v>
      </c>
      <c r="B50" s="74" t="s">
        <v>843</v>
      </c>
      <c r="C50" s="44" t="s">
        <v>655</v>
      </c>
      <c r="D50" s="18" t="s">
        <v>744</v>
      </c>
      <c r="E50" s="20" t="s">
        <v>753</v>
      </c>
      <c r="F50" s="18" t="s">
        <v>744</v>
      </c>
      <c r="G50" s="48" t="s">
        <v>821</v>
      </c>
      <c r="H50" s="18" t="s">
        <v>820</v>
      </c>
      <c r="I50" s="48" t="s">
        <v>844</v>
      </c>
      <c r="J50" s="18" t="s">
        <v>1</v>
      </c>
      <c r="K50" s="20" t="s">
        <v>1</v>
      </c>
      <c r="L50" s="18" t="s">
        <v>1</v>
      </c>
      <c r="M50" s="20" t="s">
        <v>1</v>
      </c>
      <c r="N50" s="46" t="s">
        <v>82</v>
      </c>
      <c r="O50" s="25" t="str">
        <f t="shared" si="2"/>
        <v>"RA.07 é Região Administrativa de Rio de Janeiro em Area de Planejamento Rio.de.Janeiro.Capital"</v>
      </c>
      <c r="P50" s="46" t="s">
        <v>1</v>
      </c>
      <c r="Q50" s="25" t="s">
        <v>1</v>
      </c>
      <c r="R50" s="46" t="s">
        <v>1</v>
      </c>
      <c r="S50" s="52" t="s">
        <v>1</v>
      </c>
      <c r="T50" s="46" t="s">
        <v>1</v>
      </c>
      <c r="U50" s="31" t="s">
        <v>1</v>
      </c>
      <c r="V50" s="46" t="s">
        <v>1</v>
      </c>
      <c r="W50" s="31" t="s">
        <v>1</v>
      </c>
      <c r="X50" s="46" t="s">
        <v>1</v>
      </c>
      <c r="Y50" s="31" t="s">
        <v>1</v>
      </c>
      <c r="Z50" s="46" t="s">
        <v>1</v>
      </c>
      <c r="AA50" s="31" t="s">
        <v>1</v>
      </c>
      <c r="AB50" s="46" t="s">
        <v>1</v>
      </c>
      <c r="AC50" s="47" t="s">
        <v>1</v>
      </c>
      <c r="AD50" s="36" t="s">
        <v>1</v>
      </c>
      <c r="AE50" s="51" t="s">
        <v>1</v>
      </c>
      <c r="AF50" s="36" t="s">
        <v>1</v>
      </c>
      <c r="AG50" s="51" t="s">
        <v>1</v>
      </c>
      <c r="AH50" s="36" t="s">
        <v>1</v>
      </c>
      <c r="AI50" s="51" t="s">
        <v>1</v>
      </c>
      <c r="AJ50" s="36" t="s">
        <v>1</v>
      </c>
      <c r="AK50" s="51" t="s">
        <v>1</v>
      </c>
      <c r="AL50" s="36" t="s">
        <v>1</v>
      </c>
      <c r="AM50" s="31" t="s">
        <v>1</v>
      </c>
      <c r="AN50" s="36" t="s">
        <v>1</v>
      </c>
      <c r="AO50" s="31" t="s">
        <v>1</v>
      </c>
      <c r="AP50" s="36" t="s">
        <v>1</v>
      </c>
      <c r="AQ50" s="51" t="s">
        <v>1</v>
      </c>
      <c r="AR50" s="36" t="s">
        <v>1</v>
      </c>
      <c r="AS50" s="47" t="s">
        <v>1</v>
      </c>
      <c r="AT50" s="36" t="s">
        <v>1</v>
      </c>
      <c r="AU50" s="47" t="s">
        <v>1</v>
      </c>
      <c r="AV50" s="36" t="s">
        <v>1</v>
      </c>
      <c r="AW50" s="47" t="s">
        <v>1</v>
      </c>
      <c r="AX50" s="36" t="s">
        <v>2065</v>
      </c>
      <c r="AY50" s="47" t="s">
        <v>2193</v>
      </c>
      <c r="AZ50" s="36" t="s">
        <v>1299</v>
      </c>
      <c r="BA50" s="47" t="s">
        <v>2193</v>
      </c>
      <c r="BB50" s="36" t="s">
        <v>2188</v>
      </c>
      <c r="BC50" s="47" t="s">
        <v>819</v>
      </c>
      <c r="BD50" s="36" t="s">
        <v>2189</v>
      </c>
      <c r="BE50" s="47" t="str">
        <f t="shared" si="0"/>
        <v>"Região.Administrativa"</v>
      </c>
    </row>
    <row r="51" spans="1:57" ht="6.65" customHeight="1" x14ac:dyDescent="0.4">
      <c r="A51" s="93">
        <v>51</v>
      </c>
      <c r="B51" s="74" t="s">
        <v>845</v>
      </c>
      <c r="C51" s="44" t="s">
        <v>655</v>
      </c>
      <c r="D51" s="18" t="s">
        <v>744</v>
      </c>
      <c r="E51" s="20" t="s">
        <v>753</v>
      </c>
      <c r="F51" s="18" t="s">
        <v>744</v>
      </c>
      <c r="G51" s="48" t="s">
        <v>823</v>
      </c>
      <c r="H51" s="18" t="s">
        <v>820</v>
      </c>
      <c r="I51" s="48" t="s">
        <v>846</v>
      </c>
      <c r="J51" s="18" t="s">
        <v>1</v>
      </c>
      <c r="K51" s="20" t="s">
        <v>1</v>
      </c>
      <c r="L51" s="18" t="s">
        <v>1</v>
      </c>
      <c r="M51" s="20" t="s">
        <v>1</v>
      </c>
      <c r="N51" s="46" t="s">
        <v>82</v>
      </c>
      <c r="O51" s="25" t="str">
        <f t="shared" si="2"/>
        <v>"RA.08 é Região Administrativa de Rio de Janeiro em Area de Planejamento Rio.de.Janeiro.Capital"</v>
      </c>
      <c r="P51" s="46" t="s">
        <v>1</v>
      </c>
      <c r="Q51" s="25" t="s">
        <v>1</v>
      </c>
      <c r="R51" s="46" t="s">
        <v>1</v>
      </c>
      <c r="S51" s="52" t="s">
        <v>1</v>
      </c>
      <c r="T51" s="46" t="s">
        <v>1</v>
      </c>
      <c r="U51" s="31" t="s">
        <v>1</v>
      </c>
      <c r="V51" s="46" t="s">
        <v>1</v>
      </c>
      <c r="W51" s="31" t="s">
        <v>1</v>
      </c>
      <c r="X51" s="46" t="s">
        <v>1</v>
      </c>
      <c r="Y51" s="31" t="s">
        <v>1</v>
      </c>
      <c r="Z51" s="46" t="s">
        <v>1</v>
      </c>
      <c r="AA51" s="31" t="s">
        <v>1</v>
      </c>
      <c r="AB51" s="46" t="s">
        <v>1</v>
      </c>
      <c r="AC51" s="47" t="s">
        <v>1</v>
      </c>
      <c r="AD51" s="36" t="s">
        <v>1</v>
      </c>
      <c r="AE51" s="51" t="s">
        <v>1</v>
      </c>
      <c r="AF51" s="36" t="s">
        <v>1</v>
      </c>
      <c r="AG51" s="51" t="s">
        <v>1</v>
      </c>
      <c r="AH51" s="36" t="s">
        <v>1</v>
      </c>
      <c r="AI51" s="51" t="s">
        <v>1</v>
      </c>
      <c r="AJ51" s="36" t="s">
        <v>1</v>
      </c>
      <c r="AK51" s="51" t="s">
        <v>1</v>
      </c>
      <c r="AL51" s="36" t="s">
        <v>1</v>
      </c>
      <c r="AM51" s="31" t="s">
        <v>1</v>
      </c>
      <c r="AN51" s="36" t="s">
        <v>1</v>
      </c>
      <c r="AO51" s="31" t="s">
        <v>1</v>
      </c>
      <c r="AP51" s="36" t="s">
        <v>1</v>
      </c>
      <c r="AQ51" s="51" t="s">
        <v>1</v>
      </c>
      <c r="AR51" s="36" t="s">
        <v>1</v>
      </c>
      <c r="AS51" s="47" t="s">
        <v>1</v>
      </c>
      <c r="AT51" s="36" t="s">
        <v>1</v>
      </c>
      <c r="AU51" s="47" t="s">
        <v>1</v>
      </c>
      <c r="AV51" s="36" t="s">
        <v>1</v>
      </c>
      <c r="AW51" s="47" t="s">
        <v>1</v>
      </c>
      <c r="AX51" s="36" t="s">
        <v>2065</v>
      </c>
      <c r="AY51" s="47" t="s">
        <v>2193</v>
      </c>
      <c r="AZ51" s="36" t="s">
        <v>1299</v>
      </c>
      <c r="BA51" s="47" t="s">
        <v>2193</v>
      </c>
      <c r="BB51" s="36" t="s">
        <v>2188</v>
      </c>
      <c r="BC51" s="47" t="s">
        <v>819</v>
      </c>
      <c r="BD51" s="36" t="s">
        <v>2189</v>
      </c>
      <c r="BE51" s="47" t="str">
        <f t="shared" si="0"/>
        <v>"Região.Administrativa"</v>
      </c>
    </row>
    <row r="52" spans="1:57" ht="6.65" customHeight="1" x14ac:dyDescent="0.4">
      <c r="A52" s="93">
        <v>52</v>
      </c>
      <c r="B52" s="74" t="s">
        <v>847</v>
      </c>
      <c r="C52" s="44" t="s">
        <v>655</v>
      </c>
      <c r="D52" s="18" t="s">
        <v>744</v>
      </c>
      <c r="E52" s="20" t="s">
        <v>753</v>
      </c>
      <c r="F52" s="18" t="s">
        <v>744</v>
      </c>
      <c r="G52" s="48" t="s">
        <v>823</v>
      </c>
      <c r="H52" s="18" t="s">
        <v>820</v>
      </c>
      <c r="I52" s="48" t="s">
        <v>848</v>
      </c>
      <c r="J52" s="18" t="s">
        <v>1</v>
      </c>
      <c r="K52" s="20" t="s">
        <v>1</v>
      </c>
      <c r="L52" s="18" t="s">
        <v>1</v>
      </c>
      <c r="M52" s="20" t="s">
        <v>1</v>
      </c>
      <c r="N52" s="46" t="s">
        <v>82</v>
      </c>
      <c r="O52" s="25" t="str">
        <f t="shared" si="2"/>
        <v>"RA.09 é Região Administrativa de Rio de Janeiro em Area de Planejamento Rio.de.Janeiro.Capital"</v>
      </c>
      <c r="P52" s="46" t="s">
        <v>1</v>
      </c>
      <c r="Q52" s="25" t="s">
        <v>1</v>
      </c>
      <c r="R52" s="46" t="s">
        <v>1</v>
      </c>
      <c r="S52" s="52" t="s">
        <v>1</v>
      </c>
      <c r="T52" s="46" t="s">
        <v>1</v>
      </c>
      <c r="U52" s="31" t="s">
        <v>1</v>
      </c>
      <c r="V52" s="46" t="s">
        <v>1</v>
      </c>
      <c r="W52" s="31" t="s">
        <v>1</v>
      </c>
      <c r="X52" s="46" t="s">
        <v>1</v>
      </c>
      <c r="Y52" s="31" t="s">
        <v>1</v>
      </c>
      <c r="Z52" s="46" t="s">
        <v>1</v>
      </c>
      <c r="AA52" s="31" t="s">
        <v>1</v>
      </c>
      <c r="AB52" s="46" t="s">
        <v>1</v>
      </c>
      <c r="AC52" s="47" t="s">
        <v>1</v>
      </c>
      <c r="AD52" s="36" t="s">
        <v>1</v>
      </c>
      <c r="AE52" s="51" t="s">
        <v>1</v>
      </c>
      <c r="AF52" s="36" t="s">
        <v>1</v>
      </c>
      <c r="AG52" s="51" t="s">
        <v>1</v>
      </c>
      <c r="AH52" s="36" t="s">
        <v>1</v>
      </c>
      <c r="AI52" s="51" t="s">
        <v>1</v>
      </c>
      <c r="AJ52" s="36" t="s">
        <v>1</v>
      </c>
      <c r="AK52" s="51" t="s">
        <v>1</v>
      </c>
      <c r="AL52" s="36" t="s">
        <v>1</v>
      </c>
      <c r="AM52" s="31" t="s">
        <v>1</v>
      </c>
      <c r="AN52" s="36" t="s">
        <v>1</v>
      </c>
      <c r="AO52" s="31" t="s">
        <v>1</v>
      </c>
      <c r="AP52" s="36" t="s">
        <v>1</v>
      </c>
      <c r="AQ52" s="51" t="s">
        <v>1</v>
      </c>
      <c r="AR52" s="36" t="s">
        <v>1</v>
      </c>
      <c r="AS52" s="47" t="s">
        <v>1</v>
      </c>
      <c r="AT52" s="36" t="s">
        <v>1</v>
      </c>
      <c r="AU52" s="47" t="s">
        <v>1</v>
      </c>
      <c r="AV52" s="36" t="s">
        <v>1</v>
      </c>
      <c r="AW52" s="47" t="s">
        <v>1</v>
      </c>
      <c r="AX52" s="36" t="s">
        <v>2065</v>
      </c>
      <c r="AY52" s="47" t="s">
        <v>2193</v>
      </c>
      <c r="AZ52" s="36" t="s">
        <v>1299</v>
      </c>
      <c r="BA52" s="47" t="s">
        <v>2193</v>
      </c>
      <c r="BB52" s="36" t="s">
        <v>2188</v>
      </c>
      <c r="BC52" s="47" t="s">
        <v>819</v>
      </c>
      <c r="BD52" s="36" t="s">
        <v>2189</v>
      </c>
      <c r="BE52" s="47" t="str">
        <f t="shared" si="0"/>
        <v>"Região.Administrativa"</v>
      </c>
    </row>
    <row r="53" spans="1:57" ht="6.65" customHeight="1" x14ac:dyDescent="0.4">
      <c r="A53" s="93">
        <v>53</v>
      </c>
      <c r="B53" s="74" t="s">
        <v>849</v>
      </c>
      <c r="C53" s="44" t="s">
        <v>655</v>
      </c>
      <c r="D53" s="18" t="s">
        <v>744</v>
      </c>
      <c r="E53" s="20" t="s">
        <v>753</v>
      </c>
      <c r="F53" s="18" t="s">
        <v>744</v>
      </c>
      <c r="G53" s="48" t="s">
        <v>825</v>
      </c>
      <c r="H53" s="18" t="s">
        <v>820</v>
      </c>
      <c r="I53" s="48" t="s">
        <v>850</v>
      </c>
      <c r="J53" s="18" t="s">
        <v>1</v>
      </c>
      <c r="K53" s="20" t="s">
        <v>1</v>
      </c>
      <c r="L53" s="18" t="s">
        <v>1</v>
      </c>
      <c r="M53" s="20" t="s">
        <v>1</v>
      </c>
      <c r="N53" s="46" t="s">
        <v>82</v>
      </c>
      <c r="O53" s="25" t="str">
        <f t="shared" si="2"/>
        <v>"RA.10 é Região Administrativa de Rio de Janeiro em Area de Planejamento Rio.de.Janeiro.Capital"</v>
      </c>
      <c r="P53" s="46" t="s">
        <v>1</v>
      </c>
      <c r="Q53" s="25" t="s">
        <v>1</v>
      </c>
      <c r="R53" s="46" t="s">
        <v>1</v>
      </c>
      <c r="S53" s="52" t="s">
        <v>1</v>
      </c>
      <c r="T53" s="46" t="s">
        <v>1</v>
      </c>
      <c r="U53" s="31" t="s">
        <v>1</v>
      </c>
      <c r="V53" s="46" t="s">
        <v>1</v>
      </c>
      <c r="W53" s="31" t="s">
        <v>1</v>
      </c>
      <c r="X53" s="46" t="s">
        <v>1</v>
      </c>
      <c r="Y53" s="31" t="s">
        <v>1</v>
      </c>
      <c r="Z53" s="46" t="s">
        <v>1</v>
      </c>
      <c r="AA53" s="31" t="s">
        <v>1</v>
      </c>
      <c r="AB53" s="46" t="s">
        <v>1</v>
      </c>
      <c r="AC53" s="47" t="s">
        <v>1</v>
      </c>
      <c r="AD53" s="36" t="s">
        <v>1</v>
      </c>
      <c r="AE53" s="51" t="s">
        <v>1</v>
      </c>
      <c r="AF53" s="36" t="s">
        <v>1</v>
      </c>
      <c r="AG53" s="51" t="s">
        <v>1</v>
      </c>
      <c r="AH53" s="36" t="s">
        <v>1</v>
      </c>
      <c r="AI53" s="51" t="s">
        <v>1</v>
      </c>
      <c r="AJ53" s="36" t="s">
        <v>1</v>
      </c>
      <c r="AK53" s="51" t="s">
        <v>1</v>
      </c>
      <c r="AL53" s="36" t="s">
        <v>1</v>
      </c>
      <c r="AM53" s="31" t="s">
        <v>1</v>
      </c>
      <c r="AN53" s="36" t="s">
        <v>1</v>
      </c>
      <c r="AO53" s="31" t="s">
        <v>1</v>
      </c>
      <c r="AP53" s="36" t="s">
        <v>1</v>
      </c>
      <c r="AQ53" s="51" t="s">
        <v>1</v>
      </c>
      <c r="AR53" s="36" t="s">
        <v>1</v>
      </c>
      <c r="AS53" s="47" t="s">
        <v>1</v>
      </c>
      <c r="AT53" s="36" t="s">
        <v>1</v>
      </c>
      <c r="AU53" s="47" t="s">
        <v>1</v>
      </c>
      <c r="AV53" s="36" t="s">
        <v>1</v>
      </c>
      <c r="AW53" s="47" t="s">
        <v>1</v>
      </c>
      <c r="AX53" s="36" t="s">
        <v>2065</v>
      </c>
      <c r="AY53" s="47" t="s">
        <v>2193</v>
      </c>
      <c r="AZ53" s="36" t="s">
        <v>1299</v>
      </c>
      <c r="BA53" s="47" t="s">
        <v>2193</v>
      </c>
      <c r="BB53" s="36" t="s">
        <v>2188</v>
      </c>
      <c r="BC53" s="47" t="s">
        <v>819</v>
      </c>
      <c r="BD53" s="36" t="s">
        <v>2189</v>
      </c>
      <c r="BE53" s="47" t="str">
        <f t="shared" si="0"/>
        <v>"Região.Administrativa"</v>
      </c>
    </row>
    <row r="54" spans="1:57" ht="6.65" customHeight="1" x14ac:dyDescent="0.4">
      <c r="A54" s="93">
        <v>54</v>
      </c>
      <c r="B54" s="74" t="s">
        <v>851</v>
      </c>
      <c r="C54" s="44" t="s">
        <v>655</v>
      </c>
      <c r="D54" s="18" t="s">
        <v>744</v>
      </c>
      <c r="E54" s="20" t="s">
        <v>753</v>
      </c>
      <c r="F54" s="18" t="s">
        <v>744</v>
      </c>
      <c r="G54" s="48" t="s">
        <v>825</v>
      </c>
      <c r="H54" s="18" t="s">
        <v>820</v>
      </c>
      <c r="I54" s="48" t="s">
        <v>852</v>
      </c>
      <c r="J54" s="18" t="s">
        <v>1</v>
      </c>
      <c r="K54" s="20" t="s">
        <v>1</v>
      </c>
      <c r="L54" s="18" t="s">
        <v>1</v>
      </c>
      <c r="M54" s="20" t="s">
        <v>1</v>
      </c>
      <c r="N54" s="46" t="s">
        <v>82</v>
      </c>
      <c r="O54" s="25" t="str">
        <f t="shared" si="2"/>
        <v>"RA.11 é Região Administrativa de Rio de Janeiro em Area de Planejamento Rio.de.Janeiro.Capital"</v>
      </c>
      <c r="P54" s="46" t="s">
        <v>1</v>
      </c>
      <c r="Q54" s="25" t="s">
        <v>1</v>
      </c>
      <c r="R54" s="46" t="s">
        <v>1</v>
      </c>
      <c r="S54" s="52" t="s">
        <v>1</v>
      </c>
      <c r="T54" s="46" t="s">
        <v>1</v>
      </c>
      <c r="U54" s="31" t="s">
        <v>1</v>
      </c>
      <c r="V54" s="46" t="s">
        <v>1</v>
      </c>
      <c r="W54" s="31" t="s">
        <v>1</v>
      </c>
      <c r="X54" s="46" t="s">
        <v>1</v>
      </c>
      <c r="Y54" s="31" t="s">
        <v>1</v>
      </c>
      <c r="Z54" s="46" t="s">
        <v>1</v>
      </c>
      <c r="AA54" s="31" t="s">
        <v>1</v>
      </c>
      <c r="AB54" s="46" t="s">
        <v>1</v>
      </c>
      <c r="AC54" s="47" t="s">
        <v>1</v>
      </c>
      <c r="AD54" s="36" t="s">
        <v>1</v>
      </c>
      <c r="AE54" s="51" t="s">
        <v>1</v>
      </c>
      <c r="AF54" s="36" t="s">
        <v>1</v>
      </c>
      <c r="AG54" s="51" t="s">
        <v>1</v>
      </c>
      <c r="AH54" s="36" t="s">
        <v>1</v>
      </c>
      <c r="AI54" s="51" t="s">
        <v>1</v>
      </c>
      <c r="AJ54" s="36" t="s">
        <v>1</v>
      </c>
      <c r="AK54" s="51" t="s">
        <v>1</v>
      </c>
      <c r="AL54" s="36" t="s">
        <v>1</v>
      </c>
      <c r="AM54" s="31" t="s">
        <v>1</v>
      </c>
      <c r="AN54" s="36" t="s">
        <v>1</v>
      </c>
      <c r="AO54" s="31" t="s">
        <v>1</v>
      </c>
      <c r="AP54" s="36" t="s">
        <v>1</v>
      </c>
      <c r="AQ54" s="51" t="s">
        <v>1</v>
      </c>
      <c r="AR54" s="36" t="s">
        <v>1</v>
      </c>
      <c r="AS54" s="47" t="s">
        <v>1</v>
      </c>
      <c r="AT54" s="36" t="s">
        <v>1</v>
      </c>
      <c r="AU54" s="47" t="s">
        <v>1</v>
      </c>
      <c r="AV54" s="36" t="s">
        <v>1</v>
      </c>
      <c r="AW54" s="47" t="s">
        <v>1</v>
      </c>
      <c r="AX54" s="36" t="s">
        <v>2065</v>
      </c>
      <c r="AY54" s="47" t="s">
        <v>2193</v>
      </c>
      <c r="AZ54" s="36" t="s">
        <v>1299</v>
      </c>
      <c r="BA54" s="47" t="s">
        <v>2193</v>
      </c>
      <c r="BB54" s="36" t="s">
        <v>2188</v>
      </c>
      <c r="BC54" s="47" t="s">
        <v>819</v>
      </c>
      <c r="BD54" s="36" t="s">
        <v>2189</v>
      </c>
      <c r="BE54" s="47" t="str">
        <f t="shared" si="0"/>
        <v>"Região.Administrativa"</v>
      </c>
    </row>
    <row r="55" spans="1:57" ht="6.65" customHeight="1" x14ac:dyDescent="0.4">
      <c r="A55" s="93">
        <v>55</v>
      </c>
      <c r="B55" s="74" t="s">
        <v>853</v>
      </c>
      <c r="C55" s="44" t="s">
        <v>655</v>
      </c>
      <c r="D55" s="18" t="s">
        <v>744</v>
      </c>
      <c r="E55" s="20" t="s">
        <v>753</v>
      </c>
      <c r="F55" s="18" t="s">
        <v>744</v>
      </c>
      <c r="G55" s="48" t="s">
        <v>825</v>
      </c>
      <c r="H55" s="18" t="s">
        <v>820</v>
      </c>
      <c r="I55" s="48" t="s">
        <v>854</v>
      </c>
      <c r="J55" s="18" t="s">
        <v>1</v>
      </c>
      <c r="K55" s="20" t="s">
        <v>1</v>
      </c>
      <c r="L55" s="18" t="s">
        <v>1</v>
      </c>
      <c r="M55" s="20" t="s">
        <v>1</v>
      </c>
      <c r="N55" s="46" t="s">
        <v>82</v>
      </c>
      <c r="O55" s="25" t="str">
        <f t="shared" si="2"/>
        <v>"RA.12 é Região Administrativa de Rio de Janeiro em Area de Planejamento Rio.de.Janeiro.Capital"</v>
      </c>
      <c r="P55" s="46" t="s">
        <v>1</v>
      </c>
      <c r="Q55" s="25" t="s">
        <v>1</v>
      </c>
      <c r="R55" s="46" t="s">
        <v>1</v>
      </c>
      <c r="S55" s="52" t="s">
        <v>1</v>
      </c>
      <c r="T55" s="46" t="s">
        <v>1</v>
      </c>
      <c r="U55" s="31" t="s">
        <v>1</v>
      </c>
      <c r="V55" s="46" t="s">
        <v>1</v>
      </c>
      <c r="W55" s="31" t="s">
        <v>1</v>
      </c>
      <c r="X55" s="46" t="s">
        <v>1</v>
      </c>
      <c r="Y55" s="31" t="s">
        <v>1</v>
      </c>
      <c r="Z55" s="46" t="s">
        <v>1</v>
      </c>
      <c r="AA55" s="31" t="s">
        <v>1</v>
      </c>
      <c r="AB55" s="46" t="s">
        <v>1</v>
      </c>
      <c r="AC55" s="47" t="s">
        <v>1</v>
      </c>
      <c r="AD55" s="36" t="s">
        <v>1</v>
      </c>
      <c r="AE55" s="51" t="s">
        <v>1</v>
      </c>
      <c r="AF55" s="36" t="s">
        <v>1</v>
      </c>
      <c r="AG55" s="51" t="s">
        <v>1</v>
      </c>
      <c r="AH55" s="36" t="s">
        <v>1</v>
      </c>
      <c r="AI55" s="51" t="s">
        <v>1</v>
      </c>
      <c r="AJ55" s="36" t="s">
        <v>1</v>
      </c>
      <c r="AK55" s="51" t="s">
        <v>1</v>
      </c>
      <c r="AL55" s="36" t="s">
        <v>1</v>
      </c>
      <c r="AM55" s="31" t="s">
        <v>1</v>
      </c>
      <c r="AN55" s="36" t="s">
        <v>1</v>
      </c>
      <c r="AO55" s="31" t="s">
        <v>1</v>
      </c>
      <c r="AP55" s="36" t="s">
        <v>1</v>
      </c>
      <c r="AQ55" s="51" t="s">
        <v>1</v>
      </c>
      <c r="AR55" s="36" t="s">
        <v>1</v>
      </c>
      <c r="AS55" s="47" t="s">
        <v>1</v>
      </c>
      <c r="AT55" s="36" t="s">
        <v>1</v>
      </c>
      <c r="AU55" s="47" t="s">
        <v>1</v>
      </c>
      <c r="AV55" s="36" t="s">
        <v>1</v>
      </c>
      <c r="AW55" s="47" t="s">
        <v>1</v>
      </c>
      <c r="AX55" s="36" t="s">
        <v>2065</v>
      </c>
      <c r="AY55" s="47" t="s">
        <v>2193</v>
      </c>
      <c r="AZ55" s="36" t="s">
        <v>1299</v>
      </c>
      <c r="BA55" s="47" t="s">
        <v>2193</v>
      </c>
      <c r="BB55" s="36" t="s">
        <v>2188</v>
      </c>
      <c r="BC55" s="47" t="s">
        <v>819</v>
      </c>
      <c r="BD55" s="36" t="s">
        <v>2189</v>
      </c>
      <c r="BE55" s="47" t="str">
        <f t="shared" si="0"/>
        <v>"Região.Administrativa"</v>
      </c>
    </row>
    <row r="56" spans="1:57" ht="6.65" customHeight="1" x14ac:dyDescent="0.4">
      <c r="A56" s="93">
        <v>56</v>
      </c>
      <c r="B56" s="74" t="s">
        <v>855</v>
      </c>
      <c r="C56" s="44" t="s">
        <v>655</v>
      </c>
      <c r="D56" s="18" t="s">
        <v>744</v>
      </c>
      <c r="E56" s="20" t="s">
        <v>753</v>
      </c>
      <c r="F56" s="18" t="s">
        <v>744</v>
      </c>
      <c r="G56" s="48" t="s">
        <v>825</v>
      </c>
      <c r="H56" s="18" t="s">
        <v>820</v>
      </c>
      <c r="I56" s="48" t="s">
        <v>856</v>
      </c>
      <c r="J56" s="18" t="s">
        <v>1</v>
      </c>
      <c r="K56" s="20" t="s">
        <v>1</v>
      </c>
      <c r="L56" s="18" t="s">
        <v>1</v>
      </c>
      <c r="M56" s="20" t="s">
        <v>1</v>
      </c>
      <c r="N56" s="46" t="s">
        <v>82</v>
      </c>
      <c r="O56" s="25" t="str">
        <f t="shared" si="2"/>
        <v>"RA.13 é Região Administrativa de Rio de Janeiro em Area de Planejamento Rio.de.Janeiro.Capital"</v>
      </c>
      <c r="P56" s="46" t="s">
        <v>1</v>
      </c>
      <c r="Q56" s="25" t="s">
        <v>1</v>
      </c>
      <c r="R56" s="46" t="s">
        <v>1</v>
      </c>
      <c r="S56" s="52" t="s">
        <v>1</v>
      </c>
      <c r="T56" s="46" t="s">
        <v>1</v>
      </c>
      <c r="U56" s="31" t="s">
        <v>1</v>
      </c>
      <c r="V56" s="46" t="s">
        <v>1</v>
      </c>
      <c r="W56" s="31" t="s">
        <v>1</v>
      </c>
      <c r="X56" s="46" t="s">
        <v>1</v>
      </c>
      <c r="Y56" s="31" t="s">
        <v>1</v>
      </c>
      <c r="Z56" s="46" t="s">
        <v>1</v>
      </c>
      <c r="AA56" s="31" t="s">
        <v>1</v>
      </c>
      <c r="AB56" s="46" t="s">
        <v>1</v>
      </c>
      <c r="AC56" s="47" t="s">
        <v>1</v>
      </c>
      <c r="AD56" s="36" t="s">
        <v>1</v>
      </c>
      <c r="AE56" s="51" t="s">
        <v>1</v>
      </c>
      <c r="AF56" s="36" t="s">
        <v>1</v>
      </c>
      <c r="AG56" s="51" t="s">
        <v>1</v>
      </c>
      <c r="AH56" s="36" t="s">
        <v>1</v>
      </c>
      <c r="AI56" s="51" t="s">
        <v>1</v>
      </c>
      <c r="AJ56" s="36" t="s">
        <v>1</v>
      </c>
      <c r="AK56" s="51" t="s">
        <v>1</v>
      </c>
      <c r="AL56" s="36" t="s">
        <v>1</v>
      </c>
      <c r="AM56" s="31" t="s">
        <v>1</v>
      </c>
      <c r="AN56" s="36" t="s">
        <v>1</v>
      </c>
      <c r="AO56" s="31" t="s">
        <v>1</v>
      </c>
      <c r="AP56" s="36" t="s">
        <v>1</v>
      </c>
      <c r="AQ56" s="51" t="s">
        <v>1</v>
      </c>
      <c r="AR56" s="36" t="s">
        <v>1</v>
      </c>
      <c r="AS56" s="47" t="s">
        <v>1</v>
      </c>
      <c r="AT56" s="36" t="s">
        <v>1</v>
      </c>
      <c r="AU56" s="47" t="s">
        <v>1</v>
      </c>
      <c r="AV56" s="36" t="s">
        <v>1</v>
      </c>
      <c r="AW56" s="47" t="s">
        <v>1</v>
      </c>
      <c r="AX56" s="36" t="s">
        <v>2065</v>
      </c>
      <c r="AY56" s="47" t="s">
        <v>2193</v>
      </c>
      <c r="AZ56" s="36" t="s">
        <v>1299</v>
      </c>
      <c r="BA56" s="47" t="s">
        <v>2193</v>
      </c>
      <c r="BB56" s="36" t="s">
        <v>2188</v>
      </c>
      <c r="BC56" s="47" t="s">
        <v>819</v>
      </c>
      <c r="BD56" s="36" t="s">
        <v>2189</v>
      </c>
      <c r="BE56" s="47" t="str">
        <f t="shared" si="0"/>
        <v>"Região.Administrativa"</v>
      </c>
    </row>
    <row r="57" spans="1:57" ht="6.65" customHeight="1" x14ac:dyDescent="0.4">
      <c r="A57" s="93">
        <v>57</v>
      </c>
      <c r="B57" s="74" t="s">
        <v>857</v>
      </c>
      <c r="C57" s="44" t="s">
        <v>655</v>
      </c>
      <c r="D57" s="18" t="s">
        <v>744</v>
      </c>
      <c r="E57" s="20" t="s">
        <v>753</v>
      </c>
      <c r="F57" s="18" t="s">
        <v>744</v>
      </c>
      <c r="G57" s="48" t="s">
        <v>825</v>
      </c>
      <c r="H57" s="18" t="s">
        <v>820</v>
      </c>
      <c r="I57" s="48" t="s">
        <v>858</v>
      </c>
      <c r="J57" s="18" t="s">
        <v>1</v>
      </c>
      <c r="K57" s="20" t="s">
        <v>1</v>
      </c>
      <c r="L57" s="18" t="s">
        <v>1</v>
      </c>
      <c r="M57" s="20" t="s">
        <v>1</v>
      </c>
      <c r="N57" s="46" t="s">
        <v>82</v>
      </c>
      <c r="O57" s="25" t="str">
        <f t="shared" si="2"/>
        <v>"RA.14 é Região Administrativa de Rio de Janeiro em Area de Planejamento Rio.de.Janeiro.Capital"</v>
      </c>
      <c r="P57" s="46" t="s">
        <v>1</v>
      </c>
      <c r="Q57" s="25" t="s">
        <v>1</v>
      </c>
      <c r="R57" s="46" t="s">
        <v>1</v>
      </c>
      <c r="S57" s="52" t="s">
        <v>1</v>
      </c>
      <c r="T57" s="46" t="s">
        <v>1</v>
      </c>
      <c r="U57" s="31" t="s">
        <v>1</v>
      </c>
      <c r="V57" s="46" t="s">
        <v>1</v>
      </c>
      <c r="W57" s="31" t="s">
        <v>1</v>
      </c>
      <c r="X57" s="46" t="s">
        <v>1</v>
      </c>
      <c r="Y57" s="31" t="s">
        <v>1</v>
      </c>
      <c r="Z57" s="46" t="s">
        <v>1</v>
      </c>
      <c r="AA57" s="31" t="s">
        <v>1</v>
      </c>
      <c r="AB57" s="46" t="s">
        <v>1</v>
      </c>
      <c r="AC57" s="47" t="s">
        <v>1</v>
      </c>
      <c r="AD57" s="36" t="s">
        <v>1</v>
      </c>
      <c r="AE57" s="51" t="s">
        <v>1</v>
      </c>
      <c r="AF57" s="36" t="s">
        <v>1</v>
      </c>
      <c r="AG57" s="51" t="s">
        <v>1</v>
      </c>
      <c r="AH57" s="36" t="s">
        <v>1</v>
      </c>
      <c r="AI57" s="51" t="s">
        <v>1</v>
      </c>
      <c r="AJ57" s="36" t="s">
        <v>1</v>
      </c>
      <c r="AK57" s="51" t="s">
        <v>1</v>
      </c>
      <c r="AL57" s="36" t="s">
        <v>1</v>
      </c>
      <c r="AM57" s="31" t="s">
        <v>1</v>
      </c>
      <c r="AN57" s="36" t="s">
        <v>1</v>
      </c>
      <c r="AO57" s="31" t="s">
        <v>1</v>
      </c>
      <c r="AP57" s="36" t="s">
        <v>1</v>
      </c>
      <c r="AQ57" s="51" t="s">
        <v>1</v>
      </c>
      <c r="AR57" s="36" t="s">
        <v>1</v>
      </c>
      <c r="AS57" s="47" t="s">
        <v>1</v>
      </c>
      <c r="AT57" s="36" t="s">
        <v>1</v>
      </c>
      <c r="AU57" s="47" t="s">
        <v>1</v>
      </c>
      <c r="AV57" s="36" t="s">
        <v>1</v>
      </c>
      <c r="AW57" s="47" t="s">
        <v>1</v>
      </c>
      <c r="AX57" s="36" t="s">
        <v>2065</v>
      </c>
      <c r="AY57" s="47" t="s">
        <v>2193</v>
      </c>
      <c r="AZ57" s="36" t="s">
        <v>1299</v>
      </c>
      <c r="BA57" s="47" t="s">
        <v>2193</v>
      </c>
      <c r="BB57" s="36" t="s">
        <v>2188</v>
      </c>
      <c r="BC57" s="47" t="s">
        <v>819</v>
      </c>
      <c r="BD57" s="36" t="s">
        <v>2189</v>
      </c>
      <c r="BE57" s="47" t="str">
        <f t="shared" si="0"/>
        <v>"Região.Administrativa"</v>
      </c>
    </row>
    <row r="58" spans="1:57" ht="6.65" customHeight="1" x14ac:dyDescent="0.4">
      <c r="A58" s="93">
        <v>58</v>
      </c>
      <c r="B58" s="74" t="s">
        <v>859</v>
      </c>
      <c r="C58" s="44" t="s">
        <v>655</v>
      </c>
      <c r="D58" s="18" t="s">
        <v>744</v>
      </c>
      <c r="E58" s="20" t="s">
        <v>753</v>
      </c>
      <c r="F58" s="18" t="s">
        <v>744</v>
      </c>
      <c r="G58" s="48" t="s">
        <v>825</v>
      </c>
      <c r="H58" s="18" t="s">
        <v>820</v>
      </c>
      <c r="I58" s="48" t="s">
        <v>860</v>
      </c>
      <c r="J58" s="18" t="s">
        <v>1</v>
      </c>
      <c r="K58" s="20" t="s">
        <v>1</v>
      </c>
      <c r="L58" s="18" t="s">
        <v>1</v>
      </c>
      <c r="M58" s="20" t="s">
        <v>1</v>
      </c>
      <c r="N58" s="46" t="s">
        <v>82</v>
      </c>
      <c r="O58" s="25" t="str">
        <f t="shared" si="2"/>
        <v>"RA.15 é Região Administrativa de Rio de Janeiro em Area de Planejamento Rio.de.Janeiro.Capital"</v>
      </c>
      <c r="P58" s="46" t="s">
        <v>1</v>
      </c>
      <c r="Q58" s="25" t="s">
        <v>1</v>
      </c>
      <c r="R58" s="46" t="s">
        <v>1</v>
      </c>
      <c r="S58" s="52" t="s">
        <v>1</v>
      </c>
      <c r="T58" s="46" t="s">
        <v>1</v>
      </c>
      <c r="U58" s="31" t="s">
        <v>1</v>
      </c>
      <c r="V58" s="46" t="s">
        <v>1</v>
      </c>
      <c r="W58" s="31" t="s">
        <v>1</v>
      </c>
      <c r="X58" s="46" t="s">
        <v>1</v>
      </c>
      <c r="Y58" s="31" t="s">
        <v>1</v>
      </c>
      <c r="Z58" s="46" t="s">
        <v>1</v>
      </c>
      <c r="AA58" s="31" t="s">
        <v>1</v>
      </c>
      <c r="AB58" s="46" t="s">
        <v>1</v>
      </c>
      <c r="AC58" s="47" t="s">
        <v>1</v>
      </c>
      <c r="AD58" s="36" t="s">
        <v>1</v>
      </c>
      <c r="AE58" s="51" t="s">
        <v>1</v>
      </c>
      <c r="AF58" s="36" t="s">
        <v>1</v>
      </c>
      <c r="AG58" s="51" t="s">
        <v>1</v>
      </c>
      <c r="AH58" s="36" t="s">
        <v>1</v>
      </c>
      <c r="AI58" s="51" t="s">
        <v>1</v>
      </c>
      <c r="AJ58" s="36" t="s">
        <v>1</v>
      </c>
      <c r="AK58" s="51" t="s">
        <v>1</v>
      </c>
      <c r="AL58" s="36" t="s">
        <v>1</v>
      </c>
      <c r="AM58" s="31" t="s">
        <v>1</v>
      </c>
      <c r="AN58" s="36" t="s">
        <v>1</v>
      </c>
      <c r="AO58" s="31" t="s">
        <v>1</v>
      </c>
      <c r="AP58" s="36" t="s">
        <v>1</v>
      </c>
      <c r="AQ58" s="51" t="s">
        <v>1</v>
      </c>
      <c r="AR58" s="36" t="s">
        <v>1</v>
      </c>
      <c r="AS58" s="47" t="s">
        <v>1</v>
      </c>
      <c r="AT58" s="36" t="s">
        <v>1</v>
      </c>
      <c r="AU58" s="47" t="s">
        <v>1</v>
      </c>
      <c r="AV58" s="36" t="s">
        <v>1</v>
      </c>
      <c r="AW58" s="47" t="s">
        <v>1</v>
      </c>
      <c r="AX58" s="36" t="s">
        <v>2065</v>
      </c>
      <c r="AY58" s="47" t="s">
        <v>2193</v>
      </c>
      <c r="AZ58" s="36" t="s">
        <v>1299</v>
      </c>
      <c r="BA58" s="47" t="s">
        <v>2193</v>
      </c>
      <c r="BB58" s="36" t="s">
        <v>2188</v>
      </c>
      <c r="BC58" s="47" t="s">
        <v>819</v>
      </c>
      <c r="BD58" s="36" t="s">
        <v>2189</v>
      </c>
      <c r="BE58" s="47" t="str">
        <f t="shared" si="0"/>
        <v>"Região.Administrativa"</v>
      </c>
    </row>
    <row r="59" spans="1:57" ht="6.65" customHeight="1" x14ac:dyDescent="0.4">
      <c r="A59" s="93">
        <v>59</v>
      </c>
      <c r="B59" s="74" t="s">
        <v>861</v>
      </c>
      <c r="C59" s="44" t="s">
        <v>655</v>
      </c>
      <c r="D59" s="18" t="s">
        <v>744</v>
      </c>
      <c r="E59" s="20" t="s">
        <v>753</v>
      </c>
      <c r="F59" s="18" t="s">
        <v>744</v>
      </c>
      <c r="G59" s="48" t="s">
        <v>827</v>
      </c>
      <c r="H59" s="18" t="s">
        <v>820</v>
      </c>
      <c r="I59" s="48" t="s">
        <v>862</v>
      </c>
      <c r="J59" s="18" t="s">
        <v>1</v>
      </c>
      <c r="K59" s="20" t="s">
        <v>1</v>
      </c>
      <c r="L59" s="18" t="s">
        <v>1</v>
      </c>
      <c r="M59" s="20" t="s">
        <v>1</v>
      </c>
      <c r="N59" s="46" t="s">
        <v>82</v>
      </c>
      <c r="O59" s="25" t="str">
        <f t="shared" si="2"/>
        <v>"RA.16 é Região Administrativa de Rio de Janeiro em Area de Planejamento Rio.de.Janeiro.Capital"</v>
      </c>
      <c r="P59" s="46" t="s">
        <v>1</v>
      </c>
      <c r="Q59" s="25" t="s">
        <v>1</v>
      </c>
      <c r="R59" s="46" t="s">
        <v>1</v>
      </c>
      <c r="S59" s="52" t="s">
        <v>1</v>
      </c>
      <c r="T59" s="46" t="s">
        <v>1</v>
      </c>
      <c r="U59" s="31" t="s">
        <v>1</v>
      </c>
      <c r="V59" s="46" t="s">
        <v>1</v>
      </c>
      <c r="W59" s="31" t="s">
        <v>1</v>
      </c>
      <c r="X59" s="46" t="s">
        <v>1</v>
      </c>
      <c r="Y59" s="31" t="s">
        <v>1</v>
      </c>
      <c r="Z59" s="46" t="s">
        <v>1</v>
      </c>
      <c r="AA59" s="31" t="s">
        <v>1</v>
      </c>
      <c r="AB59" s="46" t="s">
        <v>1</v>
      </c>
      <c r="AC59" s="47" t="s">
        <v>1</v>
      </c>
      <c r="AD59" s="36" t="s">
        <v>1</v>
      </c>
      <c r="AE59" s="51" t="s">
        <v>1</v>
      </c>
      <c r="AF59" s="36" t="s">
        <v>1</v>
      </c>
      <c r="AG59" s="51" t="s">
        <v>1</v>
      </c>
      <c r="AH59" s="36" t="s">
        <v>1</v>
      </c>
      <c r="AI59" s="51" t="s">
        <v>1</v>
      </c>
      <c r="AJ59" s="36" t="s">
        <v>1</v>
      </c>
      <c r="AK59" s="51" t="s">
        <v>1</v>
      </c>
      <c r="AL59" s="36" t="s">
        <v>1</v>
      </c>
      <c r="AM59" s="31" t="s">
        <v>1</v>
      </c>
      <c r="AN59" s="36" t="s">
        <v>1</v>
      </c>
      <c r="AO59" s="31" t="s">
        <v>1</v>
      </c>
      <c r="AP59" s="36" t="s">
        <v>1</v>
      </c>
      <c r="AQ59" s="51" t="s">
        <v>1</v>
      </c>
      <c r="AR59" s="36" t="s">
        <v>1</v>
      </c>
      <c r="AS59" s="47" t="s">
        <v>1</v>
      </c>
      <c r="AT59" s="36" t="s">
        <v>1</v>
      </c>
      <c r="AU59" s="47" t="s">
        <v>1</v>
      </c>
      <c r="AV59" s="36" t="s">
        <v>1</v>
      </c>
      <c r="AW59" s="47" t="s">
        <v>1</v>
      </c>
      <c r="AX59" s="36" t="s">
        <v>2065</v>
      </c>
      <c r="AY59" s="47" t="s">
        <v>2193</v>
      </c>
      <c r="AZ59" s="36" t="s">
        <v>1299</v>
      </c>
      <c r="BA59" s="47" t="s">
        <v>2193</v>
      </c>
      <c r="BB59" s="36" t="s">
        <v>2188</v>
      </c>
      <c r="BC59" s="47" t="s">
        <v>819</v>
      </c>
      <c r="BD59" s="36" t="s">
        <v>2189</v>
      </c>
      <c r="BE59" s="47" t="str">
        <f t="shared" si="0"/>
        <v>"Região.Administrativa"</v>
      </c>
    </row>
    <row r="60" spans="1:57" ht="6.65" customHeight="1" x14ac:dyDescent="0.4">
      <c r="A60" s="93">
        <v>60</v>
      </c>
      <c r="B60" s="74" t="s">
        <v>863</v>
      </c>
      <c r="C60" s="44" t="s">
        <v>655</v>
      </c>
      <c r="D60" s="18" t="s">
        <v>744</v>
      </c>
      <c r="E60" s="20" t="s">
        <v>753</v>
      </c>
      <c r="F60" s="18" t="s">
        <v>744</v>
      </c>
      <c r="G60" s="48" t="s">
        <v>829</v>
      </c>
      <c r="H60" s="18" t="s">
        <v>820</v>
      </c>
      <c r="I60" s="48" t="s">
        <v>864</v>
      </c>
      <c r="J60" s="18" t="s">
        <v>1</v>
      </c>
      <c r="K60" s="20" t="s">
        <v>1</v>
      </c>
      <c r="L60" s="18" t="s">
        <v>1</v>
      </c>
      <c r="M60" s="20" t="s">
        <v>1</v>
      </c>
      <c r="N60" s="46" t="s">
        <v>82</v>
      </c>
      <c r="O60" s="25" t="str">
        <f t="shared" si="2"/>
        <v>"RA.17 é Região Administrativa de Rio de Janeiro em Area de Planejamento Rio.de.Janeiro.Capital"</v>
      </c>
      <c r="P60" s="46" t="s">
        <v>1</v>
      </c>
      <c r="Q60" s="25" t="s">
        <v>1</v>
      </c>
      <c r="R60" s="46" t="s">
        <v>1</v>
      </c>
      <c r="S60" s="52" t="s">
        <v>1</v>
      </c>
      <c r="T60" s="46" t="s">
        <v>1</v>
      </c>
      <c r="U60" s="31" t="s">
        <v>1</v>
      </c>
      <c r="V60" s="46" t="s">
        <v>1</v>
      </c>
      <c r="W60" s="31" t="s">
        <v>1</v>
      </c>
      <c r="X60" s="46" t="s">
        <v>1</v>
      </c>
      <c r="Y60" s="31" t="s">
        <v>1</v>
      </c>
      <c r="Z60" s="46" t="s">
        <v>1</v>
      </c>
      <c r="AA60" s="31" t="s">
        <v>1</v>
      </c>
      <c r="AB60" s="46" t="s">
        <v>1</v>
      </c>
      <c r="AC60" s="47" t="s">
        <v>1</v>
      </c>
      <c r="AD60" s="36" t="s">
        <v>1</v>
      </c>
      <c r="AE60" s="51" t="s">
        <v>1</v>
      </c>
      <c r="AF60" s="36" t="s">
        <v>1</v>
      </c>
      <c r="AG60" s="51" t="s">
        <v>1</v>
      </c>
      <c r="AH60" s="36" t="s">
        <v>1</v>
      </c>
      <c r="AI60" s="51" t="s">
        <v>1</v>
      </c>
      <c r="AJ60" s="36" t="s">
        <v>1</v>
      </c>
      <c r="AK60" s="51" t="s">
        <v>1</v>
      </c>
      <c r="AL60" s="36" t="s">
        <v>1</v>
      </c>
      <c r="AM60" s="31" t="s">
        <v>1</v>
      </c>
      <c r="AN60" s="36" t="s">
        <v>1</v>
      </c>
      <c r="AO60" s="31" t="s">
        <v>1</v>
      </c>
      <c r="AP60" s="36" t="s">
        <v>1</v>
      </c>
      <c r="AQ60" s="51" t="s">
        <v>1</v>
      </c>
      <c r="AR60" s="36" t="s">
        <v>1</v>
      </c>
      <c r="AS60" s="47" t="s">
        <v>1</v>
      </c>
      <c r="AT60" s="36" t="s">
        <v>1</v>
      </c>
      <c r="AU60" s="47" t="s">
        <v>1</v>
      </c>
      <c r="AV60" s="36" t="s">
        <v>1</v>
      </c>
      <c r="AW60" s="47" t="s">
        <v>1</v>
      </c>
      <c r="AX60" s="36" t="s">
        <v>2065</v>
      </c>
      <c r="AY60" s="47" t="s">
        <v>2193</v>
      </c>
      <c r="AZ60" s="36" t="s">
        <v>1299</v>
      </c>
      <c r="BA60" s="47" t="s">
        <v>2193</v>
      </c>
      <c r="BB60" s="36" t="s">
        <v>2188</v>
      </c>
      <c r="BC60" s="47" t="s">
        <v>819</v>
      </c>
      <c r="BD60" s="36" t="s">
        <v>2189</v>
      </c>
      <c r="BE60" s="47" t="str">
        <f t="shared" si="0"/>
        <v>"Região.Administrativa"</v>
      </c>
    </row>
    <row r="61" spans="1:57" ht="6.65" customHeight="1" x14ac:dyDescent="0.4">
      <c r="A61" s="93">
        <v>61</v>
      </c>
      <c r="B61" s="74" t="s">
        <v>865</v>
      </c>
      <c r="C61" s="44" t="s">
        <v>655</v>
      </c>
      <c r="D61" s="18" t="s">
        <v>744</v>
      </c>
      <c r="E61" s="20" t="s">
        <v>753</v>
      </c>
      <c r="F61" s="18" t="s">
        <v>744</v>
      </c>
      <c r="G61" s="48" t="s">
        <v>829</v>
      </c>
      <c r="H61" s="18" t="s">
        <v>820</v>
      </c>
      <c r="I61" s="48" t="s">
        <v>866</v>
      </c>
      <c r="J61" s="18" t="s">
        <v>1</v>
      </c>
      <c r="K61" s="20" t="s">
        <v>1</v>
      </c>
      <c r="L61" s="18" t="s">
        <v>1</v>
      </c>
      <c r="M61" s="20" t="s">
        <v>1</v>
      </c>
      <c r="N61" s="46" t="s">
        <v>82</v>
      </c>
      <c r="O61" s="25" t="str">
        <f t="shared" si="2"/>
        <v>"RA.18 é Região Administrativa de Rio de Janeiro em Area de Planejamento Rio.de.Janeiro.Capital"</v>
      </c>
      <c r="P61" s="46" t="s">
        <v>1</v>
      </c>
      <c r="Q61" s="25" t="s">
        <v>1</v>
      </c>
      <c r="R61" s="46" t="s">
        <v>1</v>
      </c>
      <c r="S61" s="52" t="s">
        <v>1</v>
      </c>
      <c r="T61" s="46" t="s">
        <v>1</v>
      </c>
      <c r="U61" s="31" t="s">
        <v>1</v>
      </c>
      <c r="V61" s="46" t="s">
        <v>1</v>
      </c>
      <c r="W61" s="31" t="s">
        <v>1</v>
      </c>
      <c r="X61" s="46" t="s">
        <v>1</v>
      </c>
      <c r="Y61" s="31" t="s">
        <v>1</v>
      </c>
      <c r="Z61" s="46" t="s">
        <v>1</v>
      </c>
      <c r="AA61" s="31" t="s">
        <v>1</v>
      </c>
      <c r="AB61" s="46" t="s">
        <v>1</v>
      </c>
      <c r="AC61" s="47" t="s">
        <v>1</v>
      </c>
      <c r="AD61" s="36" t="s">
        <v>1</v>
      </c>
      <c r="AE61" s="51" t="s">
        <v>1</v>
      </c>
      <c r="AF61" s="36" t="s">
        <v>1</v>
      </c>
      <c r="AG61" s="51" t="s">
        <v>1</v>
      </c>
      <c r="AH61" s="36" t="s">
        <v>1</v>
      </c>
      <c r="AI61" s="51" t="s">
        <v>1</v>
      </c>
      <c r="AJ61" s="36" t="s">
        <v>1</v>
      </c>
      <c r="AK61" s="51" t="s">
        <v>1</v>
      </c>
      <c r="AL61" s="36" t="s">
        <v>1</v>
      </c>
      <c r="AM61" s="31" t="s">
        <v>1</v>
      </c>
      <c r="AN61" s="36" t="s">
        <v>1</v>
      </c>
      <c r="AO61" s="31" t="s">
        <v>1</v>
      </c>
      <c r="AP61" s="36" t="s">
        <v>1</v>
      </c>
      <c r="AQ61" s="51" t="s">
        <v>1</v>
      </c>
      <c r="AR61" s="36" t="s">
        <v>1</v>
      </c>
      <c r="AS61" s="47" t="s">
        <v>1</v>
      </c>
      <c r="AT61" s="36" t="s">
        <v>1</v>
      </c>
      <c r="AU61" s="47" t="s">
        <v>1</v>
      </c>
      <c r="AV61" s="36" t="s">
        <v>1</v>
      </c>
      <c r="AW61" s="47" t="s">
        <v>1</v>
      </c>
      <c r="AX61" s="36" t="s">
        <v>2065</v>
      </c>
      <c r="AY61" s="47" t="s">
        <v>2193</v>
      </c>
      <c r="AZ61" s="36" t="s">
        <v>1299</v>
      </c>
      <c r="BA61" s="47" t="s">
        <v>2193</v>
      </c>
      <c r="BB61" s="36" t="s">
        <v>2188</v>
      </c>
      <c r="BC61" s="47" t="s">
        <v>819</v>
      </c>
      <c r="BD61" s="36" t="s">
        <v>2189</v>
      </c>
      <c r="BE61" s="47" t="str">
        <f t="shared" si="0"/>
        <v>"Região.Administrativa"</v>
      </c>
    </row>
    <row r="62" spans="1:57" ht="6.65" customHeight="1" x14ac:dyDescent="0.4">
      <c r="A62" s="93">
        <v>62</v>
      </c>
      <c r="B62" s="74" t="s">
        <v>867</v>
      </c>
      <c r="C62" s="44" t="s">
        <v>655</v>
      </c>
      <c r="D62" s="18" t="s">
        <v>744</v>
      </c>
      <c r="E62" s="20" t="s">
        <v>753</v>
      </c>
      <c r="F62" s="18" t="s">
        <v>744</v>
      </c>
      <c r="G62" s="48" t="s">
        <v>829</v>
      </c>
      <c r="H62" s="18" t="s">
        <v>820</v>
      </c>
      <c r="I62" s="48" t="s">
        <v>868</v>
      </c>
      <c r="J62" s="18" t="s">
        <v>1</v>
      </c>
      <c r="K62" s="20" t="s">
        <v>1</v>
      </c>
      <c r="L62" s="18" t="s">
        <v>1</v>
      </c>
      <c r="M62" s="20" t="s">
        <v>1</v>
      </c>
      <c r="N62" s="46" t="s">
        <v>82</v>
      </c>
      <c r="O62" s="25" t="str">
        <f t="shared" si="2"/>
        <v>"RA.19 é Região Administrativa de Rio de Janeiro em Area de Planejamento Rio.de.Janeiro.Capital"</v>
      </c>
      <c r="P62" s="46" t="s">
        <v>1</v>
      </c>
      <c r="Q62" s="25" t="s">
        <v>1</v>
      </c>
      <c r="R62" s="46" t="s">
        <v>1</v>
      </c>
      <c r="S62" s="52" t="s">
        <v>1</v>
      </c>
      <c r="T62" s="46" t="s">
        <v>1</v>
      </c>
      <c r="U62" s="31" t="s">
        <v>1</v>
      </c>
      <c r="V62" s="46" t="s">
        <v>1</v>
      </c>
      <c r="W62" s="31" t="s">
        <v>1</v>
      </c>
      <c r="X62" s="46" t="s">
        <v>1</v>
      </c>
      <c r="Y62" s="31" t="s">
        <v>1</v>
      </c>
      <c r="Z62" s="46" t="s">
        <v>1</v>
      </c>
      <c r="AA62" s="31" t="s">
        <v>1</v>
      </c>
      <c r="AB62" s="46" t="s">
        <v>1</v>
      </c>
      <c r="AC62" s="47" t="s">
        <v>1</v>
      </c>
      <c r="AD62" s="36" t="s">
        <v>1</v>
      </c>
      <c r="AE62" s="51" t="s">
        <v>1</v>
      </c>
      <c r="AF62" s="36" t="s">
        <v>1</v>
      </c>
      <c r="AG62" s="51" t="s">
        <v>1</v>
      </c>
      <c r="AH62" s="36" t="s">
        <v>1</v>
      </c>
      <c r="AI62" s="51" t="s">
        <v>1</v>
      </c>
      <c r="AJ62" s="36" t="s">
        <v>1</v>
      </c>
      <c r="AK62" s="51" t="s">
        <v>1</v>
      </c>
      <c r="AL62" s="36" t="s">
        <v>1</v>
      </c>
      <c r="AM62" s="31" t="s">
        <v>1</v>
      </c>
      <c r="AN62" s="36" t="s">
        <v>1</v>
      </c>
      <c r="AO62" s="31" t="s">
        <v>1</v>
      </c>
      <c r="AP62" s="36" t="s">
        <v>1</v>
      </c>
      <c r="AQ62" s="51" t="s">
        <v>1</v>
      </c>
      <c r="AR62" s="36" t="s">
        <v>1</v>
      </c>
      <c r="AS62" s="47" t="s">
        <v>1</v>
      </c>
      <c r="AT62" s="36" t="s">
        <v>1</v>
      </c>
      <c r="AU62" s="47" t="s">
        <v>1</v>
      </c>
      <c r="AV62" s="36" t="s">
        <v>1</v>
      </c>
      <c r="AW62" s="47" t="s">
        <v>1</v>
      </c>
      <c r="AX62" s="36" t="s">
        <v>2065</v>
      </c>
      <c r="AY62" s="47" t="s">
        <v>2193</v>
      </c>
      <c r="AZ62" s="36" t="s">
        <v>1299</v>
      </c>
      <c r="BA62" s="47" t="s">
        <v>2193</v>
      </c>
      <c r="BB62" s="36" t="s">
        <v>2188</v>
      </c>
      <c r="BC62" s="47" t="s">
        <v>819</v>
      </c>
      <c r="BD62" s="36" t="s">
        <v>2189</v>
      </c>
      <c r="BE62" s="47" t="str">
        <f t="shared" si="0"/>
        <v>"Região.Administrativa"</v>
      </c>
    </row>
    <row r="63" spans="1:57" ht="6.65" customHeight="1" x14ac:dyDescent="0.4">
      <c r="A63" s="93">
        <v>63</v>
      </c>
      <c r="B63" s="74" t="s">
        <v>869</v>
      </c>
      <c r="C63" s="44" t="s">
        <v>655</v>
      </c>
      <c r="D63" s="18" t="s">
        <v>744</v>
      </c>
      <c r="E63" s="20" t="s">
        <v>753</v>
      </c>
      <c r="F63" s="18" t="s">
        <v>744</v>
      </c>
      <c r="G63" s="48" t="s">
        <v>825</v>
      </c>
      <c r="H63" s="18" t="s">
        <v>820</v>
      </c>
      <c r="I63" s="48" t="s">
        <v>870</v>
      </c>
      <c r="J63" s="18" t="s">
        <v>1</v>
      </c>
      <c r="K63" s="20" t="s">
        <v>1</v>
      </c>
      <c r="L63" s="18" t="s">
        <v>1</v>
      </c>
      <c r="M63" s="20" t="s">
        <v>1</v>
      </c>
      <c r="N63" s="46" t="s">
        <v>82</v>
      </c>
      <c r="O63" s="25" t="str">
        <f t="shared" si="2"/>
        <v>"RA.20 é Região Administrativa de Rio de Janeiro em Area de Planejamento Rio.de.Janeiro.Capital"</v>
      </c>
      <c r="P63" s="46" t="s">
        <v>1</v>
      </c>
      <c r="Q63" s="25" t="s">
        <v>1</v>
      </c>
      <c r="R63" s="46" t="s">
        <v>1</v>
      </c>
      <c r="S63" s="52" t="s">
        <v>1</v>
      </c>
      <c r="T63" s="46" t="s">
        <v>1</v>
      </c>
      <c r="U63" s="31" t="s">
        <v>1</v>
      </c>
      <c r="V63" s="46" t="s">
        <v>1</v>
      </c>
      <c r="W63" s="31" t="s">
        <v>1</v>
      </c>
      <c r="X63" s="46" t="s">
        <v>1</v>
      </c>
      <c r="Y63" s="31" t="s">
        <v>1</v>
      </c>
      <c r="Z63" s="46" t="s">
        <v>1</v>
      </c>
      <c r="AA63" s="31" t="s">
        <v>1</v>
      </c>
      <c r="AB63" s="46" t="s">
        <v>1</v>
      </c>
      <c r="AC63" s="47" t="s">
        <v>1</v>
      </c>
      <c r="AD63" s="36" t="s">
        <v>1</v>
      </c>
      <c r="AE63" s="51" t="s">
        <v>1</v>
      </c>
      <c r="AF63" s="36" t="s">
        <v>1</v>
      </c>
      <c r="AG63" s="51" t="s">
        <v>1</v>
      </c>
      <c r="AH63" s="36" t="s">
        <v>1</v>
      </c>
      <c r="AI63" s="51" t="s">
        <v>1</v>
      </c>
      <c r="AJ63" s="36" t="s">
        <v>1</v>
      </c>
      <c r="AK63" s="51" t="s">
        <v>1</v>
      </c>
      <c r="AL63" s="36" t="s">
        <v>1</v>
      </c>
      <c r="AM63" s="31" t="s">
        <v>1</v>
      </c>
      <c r="AN63" s="36" t="s">
        <v>1</v>
      </c>
      <c r="AO63" s="31" t="s">
        <v>1</v>
      </c>
      <c r="AP63" s="36" t="s">
        <v>1</v>
      </c>
      <c r="AQ63" s="51" t="s">
        <v>1</v>
      </c>
      <c r="AR63" s="36" t="s">
        <v>1</v>
      </c>
      <c r="AS63" s="47" t="s">
        <v>1</v>
      </c>
      <c r="AT63" s="36" t="s">
        <v>1</v>
      </c>
      <c r="AU63" s="47" t="s">
        <v>1</v>
      </c>
      <c r="AV63" s="36" t="s">
        <v>1</v>
      </c>
      <c r="AW63" s="47" t="s">
        <v>1</v>
      </c>
      <c r="AX63" s="36" t="s">
        <v>2065</v>
      </c>
      <c r="AY63" s="47" t="s">
        <v>2193</v>
      </c>
      <c r="AZ63" s="36" t="s">
        <v>1299</v>
      </c>
      <c r="BA63" s="47" t="s">
        <v>2193</v>
      </c>
      <c r="BB63" s="36" t="s">
        <v>2188</v>
      </c>
      <c r="BC63" s="47" t="s">
        <v>819</v>
      </c>
      <c r="BD63" s="36" t="s">
        <v>2189</v>
      </c>
      <c r="BE63" s="47" t="str">
        <f t="shared" si="0"/>
        <v>"Região.Administrativa"</v>
      </c>
    </row>
    <row r="64" spans="1:57" ht="6.65" customHeight="1" x14ac:dyDescent="0.4">
      <c r="A64" s="93">
        <v>64</v>
      </c>
      <c r="B64" s="74" t="s">
        <v>871</v>
      </c>
      <c r="C64" s="44" t="s">
        <v>655</v>
      </c>
      <c r="D64" s="18" t="s">
        <v>744</v>
      </c>
      <c r="E64" s="20" t="s">
        <v>753</v>
      </c>
      <c r="F64" s="18" t="s">
        <v>744</v>
      </c>
      <c r="G64" s="48" t="s">
        <v>821</v>
      </c>
      <c r="H64" s="18" t="s">
        <v>820</v>
      </c>
      <c r="I64" s="48" t="s">
        <v>872</v>
      </c>
      <c r="J64" s="18" t="s">
        <v>1</v>
      </c>
      <c r="K64" s="20" t="s">
        <v>1</v>
      </c>
      <c r="L64" s="18" t="s">
        <v>1</v>
      </c>
      <c r="M64" s="20" t="s">
        <v>1</v>
      </c>
      <c r="N64" s="46" t="s">
        <v>82</v>
      </c>
      <c r="O64" s="25" t="str">
        <f t="shared" si="2"/>
        <v>"RA.21 é Região Administrativa de Rio de Janeiro em Area de Planejamento Rio.de.Janeiro.Capital"</v>
      </c>
      <c r="P64" s="46" t="s">
        <v>1</v>
      </c>
      <c r="Q64" s="25" t="s">
        <v>1</v>
      </c>
      <c r="R64" s="46" t="s">
        <v>1</v>
      </c>
      <c r="S64" s="52" t="s">
        <v>1</v>
      </c>
      <c r="T64" s="46" t="s">
        <v>1</v>
      </c>
      <c r="U64" s="31" t="s">
        <v>1</v>
      </c>
      <c r="V64" s="46" t="s">
        <v>1</v>
      </c>
      <c r="W64" s="31" t="s">
        <v>1</v>
      </c>
      <c r="X64" s="46" t="s">
        <v>1</v>
      </c>
      <c r="Y64" s="31" t="s">
        <v>1</v>
      </c>
      <c r="Z64" s="46" t="s">
        <v>1</v>
      </c>
      <c r="AA64" s="31" t="s">
        <v>1</v>
      </c>
      <c r="AB64" s="46" t="s">
        <v>1</v>
      </c>
      <c r="AC64" s="47" t="s">
        <v>1</v>
      </c>
      <c r="AD64" s="36" t="s">
        <v>1</v>
      </c>
      <c r="AE64" s="51" t="s">
        <v>1</v>
      </c>
      <c r="AF64" s="36" t="s">
        <v>1</v>
      </c>
      <c r="AG64" s="51" t="s">
        <v>1</v>
      </c>
      <c r="AH64" s="36" t="s">
        <v>1</v>
      </c>
      <c r="AI64" s="51" t="s">
        <v>1</v>
      </c>
      <c r="AJ64" s="36" t="s">
        <v>1</v>
      </c>
      <c r="AK64" s="51" t="s">
        <v>1</v>
      </c>
      <c r="AL64" s="36" t="s">
        <v>1</v>
      </c>
      <c r="AM64" s="31" t="s">
        <v>1</v>
      </c>
      <c r="AN64" s="36" t="s">
        <v>1</v>
      </c>
      <c r="AO64" s="31" t="s">
        <v>1</v>
      </c>
      <c r="AP64" s="36" t="s">
        <v>1</v>
      </c>
      <c r="AQ64" s="51" t="s">
        <v>1</v>
      </c>
      <c r="AR64" s="36" t="s">
        <v>1</v>
      </c>
      <c r="AS64" s="47" t="s">
        <v>1</v>
      </c>
      <c r="AT64" s="36" t="s">
        <v>1</v>
      </c>
      <c r="AU64" s="47" t="s">
        <v>1</v>
      </c>
      <c r="AV64" s="36" t="s">
        <v>1</v>
      </c>
      <c r="AW64" s="47" t="s">
        <v>1</v>
      </c>
      <c r="AX64" s="36" t="s">
        <v>2065</v>
      </c>
      <c r="AY64" s="47" t="s">
        <v>2193</v>
      </c>
      <c r="AZ64" s="36" t="s">
        <v>1299</v>
      </c>
      <c r="BA64" s="47" t="s">
        <v>2193</v>
      </c>
      <c r="BB64" s="36" t="s">
        <v>2188</v>
      </c>
      <c r="BC64" s="47" t="s">
        <v>819</v>
      </c>
      <c r="BD64" s="36" t="s">
        <v>2189</v>
      </c>
      <c r="BE64" s="47" t="str">
        <f t="shared" si="0"/>
        <v>"Região.Administrativa"</v>
      </c>
    </row>
    <row r="65" spans="1:57" ht="6.65" customHeight="1" x14ac:dyDescent="0.4">
      <c r="A65" s="93">
        <v>65</v>
      </c>
      <c r="B65" s="74" t="s">
        <v>873</v>
      </c>
      <c r="C65" s="44" t="s">
        <v>655</v>
      </c>
      <c r="D65" s="18" t="s">
        <v>744</v>
      </c>
      <c r="E65" s="20" t="s">
        <v>753</v>
      </c>
      <c r="F65" s="18" t="s">
        <v>744</v>
      </c>
      <c r="G65" s="48" t="s">
        <v>825</v>
      </c>
      <c r="H65" s="18" t="s">
        <v>820</v>
      </c>
      <c r="I65" s="48" t="s">
        <v>874</v>
      </c>
      <c r="J65" s="18" t="s">
        <v>1</v>
      </c>
      <c r="K65" s="20" t="s">
        <v>1</v>
      </c>
      <c r="L65" s="18" t="s">
        <v>1</v>
      </c>
      <c r="M65" s="20" t="s">
        <v>1</v>
      </c>
      <c r="N65" s="46" t="s">
        <v>82</v>
      </c>
      <c r="O65" s="25" t="str">
        <f t="shared" si="2"/>
        <v>"RA.22 é Região Administrativa de Rio de Janeiro em Area de Planejamento Rio.de.Janeiro.Capital"</v>
      </c>
      <c r="P65" s="46" t="s">
        <v>1</v>
      </c>
      <c r="Q65" s="25" t="s">
        <v>1</v>
      </c>
      <c r="R65" s="46" t="s">
        <v>1</v>
      </c>
      <c r="S65" s="52" t="s">
        <v>1</v>
      </c>
      <c r="T65" s="46" t="s">
        <v>1</v>
      </c>
      <c r="U65" s="31" t="s">
        <v>1</v>
      </c>
      <c r="V65" s="46" t="s">
        <v>1</v>
      </c>
      <c r="W65" s="31" t="s">
        <v>1</v>
      </c>
      <c r="X65" s="46" t="s">
        <v>1</v>
      </c>
      <c r="Y65" s="31" t="s">
        <v>1</v>
      </c>
      <c r="Z65" s="46" t="s">
        <v>1</v>
      </c>
      <c r="AA65" s="31" t="s">
        <v>1</v>
      </c>
      <c r="AB65" s="46" t="s">
        <v>1</v>
      </c>
      <c r="AC65" s="47" t="s">
        <v>1</v>
      </c>
      <c r="AD65" s="36" t="s">
        <v>1</v>
      </c>
      <c r="AE65" s="51" t="s">
        <v>1</v>
      </c>
      <c r="AF65" s="36" t="s">
        <v>1</v>
      </c>
      <c r="AG65" s="51" t="s">
        <v>1</v>
      </c>
      <c r="AH65" s="36" t="s">
        <v>1</v>
      </c>
      <c r="AI65" s="51" t="s">
        <v>1</v>
      </c>
      <c r="AJ65" s="36" t="s">
        <v>1</v>
      </c>
      <c r="AK65" s="51" t="s">
        <v>1</v>
      </c>
      <c r="AL65" s="36" t="s">
        <v>1</v>
      </c>
      <c r="AM65" s="31" t="s">
        <v>1</v>
      </c>
      <c r="AN65" s="36" t="s">
        <v>1</v>
      </c>
      <c r="AO65" s="31" t="s">
        <v>1</v>
      </c>
      <c r="AP65" s="36" t="s">
        <v>1</v>
      </c>
      <c r="AQ65" s="51" t="s">
        <v>1</v>
      </c>
      <c r="AR65" s="36" t="s">
        <v>1</v>
      </c>
      <c r="AS65" s="47" t="s">
        <v>1</v>
      </c>
      <c r="AT65" s="36" t="s">
        <v>1</v>
      </c>
      <c r="AU65" s="47" t="s">
        <v>1</v>
      </c>
      <c r="AV65" s="36" t="s">
        <v>1</v>
      </c>
      <c r="AW65" s="47" t="s">
        <v>1</v>
      </c>
      <c r="AX65" s="36" t="s">
        <v>2065</v>
      </c>
      <c r="AY65" s="47" t="s">
        <v>2193</v>
      </c>
      <c r="AZ65" s="36" t="s">
        <v>1299</v>
      </c>
      <c r="BA65" s="47" t="s">
        <v>2193</v>
      </c>
      <c r="BB65" s="36" t="s">
        <v>2188</v>
      </c>
      <c r="BC65" s="47" t="s">
        <v>819</v>
      </c>
      <c r="BD65" s="36" t="s">
        <v>2189</v>
      </c>
      <c r="BE65" s="47" t="str">
        <f t="shared" si="0"/>
        <v>"Região.Administrativa"</v>
      </c>
    </row>
    <row r="66" spans="1:57" ht="6.65" customHeight="1" x14ac:dyDescent="0.4">
      <c r="A66" s="93">
        <v>66</v>
      </c>
      <c r="B66" s="74" t="s">
        <v>875</v>
      </c>
      <c r="C66" s="44" t="s">
        <v>655</v>
      </c>
      <c r="D66" s="18" t="s">
        <v>744</v>
      </c>
      <c r="E66" s="20" t="s">
        <v>753</v>
      </c>
      <c r="F66" s="18" t="s">
        <v>744</v>
      </c>
      <c r="G66" s="48" t="s">
        <v>821</v>
      </c>
      <c r="H66" s="18" t="s">
        <v>820</v>
      </c>
      <c r="I66" s="48" t="s">
        <v>876</v>
      </c>
      <c r="J66" s="18" t="s">
        <v>1</v>
      </c>
      <c r="K66" s="20" t="s">
        <v>1</v>
      </c>
      <c r="L66" s="18" t="s">
        <v>1</v>
      </c>
      <c r="M66" s="20" t="s">
        <v>1</v>
      </c>
      <c r="N66" s="46" t="s">
        <v>82</v>
      </c>
      <c r="O66" s="25" t="str">
        <f t="shared" si="2"/>
        <v>"RA.23 é Região Administrativa de Rio de Janeiro em Area de Planejamento Rio.de.Janeiro.Capital"</v>
      </c>
      <c r="P66" s="46" t="s">
        <v>1</v>
      </c>
      <c r="Q66" s="25" t="s">
        <v>1</v>
      </c>
      <c r="R66" s="46" t="s">
        <v>1</v>
      </c>
      <c r="S66" s="52" t="s">
        <v>1</v>
      </c>
      <c r="T66" s="46" t="s">
        <v>1</v>
      </c>
      <c r="U66" s="31" t="s">
        <v>1</v>
      </c>
      <c r="V66" s="46" t="s">
        <v>1</v>
      </c>
      <c r="W66" s="31" t="s">
        <v>1</v>
      </c>
      <c r="X66" s="46" t="s">
        <v>1</v>
      </c>
      <c r="Y66" s="31" t="s">
        <v>1</v>
      </c>
      <c r="Z66" s="46" t="s">
        <v>1</v>
      </c>
      <c r="AA66" s="31" t="s">
        <v>1</v>
      </c>
      <c r="AB66" s="46" t="s">
        <v>1</v>
      </c>
      <c r="AC66" s="47" t="s">
        <v>1</v>
      </c>
      <c r="AD66" s="36" t="s">
        <v>1</v>
      </c>
      <c r="AE66" s="51" t="s">
        <v>1</v>
      </c>
      <c r="AF66" s="36" t="s">
        <v>1</v>
      </c>
      <c r="AG66" s="51" t="s">
        <v>1</v>
      </c>
      <c r="AH66" s="36" t="s">
        <v>1</v>
      </c>
      <c r="AI66" s="51" t="s">
        <v>1</v>
      </c>
      <c r="AJ66" s="36" t="s">
        <v>1</v>
      </c>
      <c r="AK66" s="51" t="s">
        <v>1</v>
      </c>
      <c r="AL66" s="36" t="s">
        <v>1</v>
      </c>
      <c r="AM66" s="31" t="s">
        <v>1</v>
      </c>
      <c r="AN66" s="36" t="s">
        <v>1</v>
      </c>
      <c r="AO66" s="31" t="s">
        <v>1</v>
      </c>
      <c r="AP66" s="36" t="s">
        <v>1</v>
      </c>
      <c r="AQ66" s="51" t="s">
        <v>1</v>
      </c>
      <c r="AR66" s="36" t="s">
        <v>1</v>
      </c>
      <c r="AS66" s="47" t="s">
        <v>1</v>
      </c>
      <c r="AT66" s="36" t="s">
        <v>1</v>
      </c>
      <c r="AU66" s="47" t="s">
        <v>1</v>
      </c>
      <c r="AV66" s="36" t="s">
        <v>1</v>
      </c>
      <c r="AW66" s="47" t="s">
        <v>1</v>
      </c>
      <c r="AX66" s="36" t="s">
        <v>2065</v>
      </c>
      <c r="AY66" s="47" t="s">
        <v>2193</v>
      </c>
      <c r="AZ66" s="36" t="s">
        <v>1299</v>
      </c>
      <c r="BA66" s="47" t="s">
        <v>2193</v>
      </c>
      <c r="BB66" s="36" t="s">
        <v>2188</v>
      </c>
      <c r="BC66" s="47" t="s">
        <v>819</v>
      </c>
      <c r="BD66" s="36" t="s">
        <v>2189</v>
      </c>
      <c r="BE66" s="47" t="str">
        <f t="shared" si="0"/>
        <v>"Região.Administrativa"</v>
      </c>
    </row>
    <row r="67" spans="1:57" ht="6.65" customHeight="1" x14ac:dyDescent="0.4">
      <c r="A67" s="93">
        <v>67</v>
      </c>
      <c r="B67" s="74" t="s">
        <v>877</v>
      </c>
      <c r="C67" s="44" t="s">
        <v>655</v>
      </c>
      <c r="D67" s="18" t="s">
        <v>744</v>
      </c>
      <c r="E67" s="20" t="s">
        <v>753</v>
      </c>
      <c r="F67" s="18" t="s">
        <v>744</v>
      </c>
      <c r="G67" s="48" t="s">
        <v>827</v>
      </c>
      <c r="H67" s="18" t="s">
        <v>820</v>
      </c>
      <c r="I67" s="48" t="s">
        <v>878</v>
      </c>
      <c r="J67" s="18" t="s">
        <v>1</v>
      </c>
      <c r="K67" s="20" t="s">
        <v>1</v>
      </c>
      <c r="L67" s="18" t="s">
        <v>1</v>
      </c>
      <c r="M67" s="20" t="s">
        <v>1</v>
      </c>
      <c r="N67" s="46" t="s">
        <v>82</v>
      </c>
      <c r="O67" s="25" t="str">
        <f t="shared" si="2"/>
        <v>"RA.24 é Região Administrativa de Rio de Janeiro em Area de Planejamento Rio.de.Janeiro.Capital"</v>
      </c>
      <c r="P67" s="46" t="s">
        <v>1</v>
      </c>
      <c r="Q67" s="25" t="s">
        <v>1</v>
      </c>
      <c r="R67" s="46" t="s">
        <v>1</v>
      </c>
      <c r="S67" s="52" t="s">
        <v>1</v>
      </c>
      <c r="T67" s="46" t="s">
        <v>1</v>
      </c>
      <c r="U67" s="31" t="s">
        <v>1</v>
      </c>
      <c r="V67" s="46" t="s">
        <v>1</v>
      </c>
      <c r="W67" s="31" t="s">
        <v>1</v>
      </c>
      <c r="X67" s="46" t="s">
        <v>1</v>
      </c>
      <c r="Y67" s="31" t="s">
        <v>1</v>
      </c>
      <c r="Z67" s="46" t="s">
        <v>1</v>
      </c>
      <c r="AA67" s="31" t="s">
        <v>1</v>
      </c>
      <c r="AB67" s="46" t="s">
        <v>1</v>
      </c>
      <c r="AC67" s="47" t="s">
        <v>1</v>
      </c>
      <c r="AD67" s="36" t="s">
        <v>1</v>
      </c>
      <c r="AE67" s="51" t="s">
        <v>1</v>
      </c>
      <c r="AF67" s="36" t="s">
        <v>1</v>
      </c>
      <c r="AG67" s="51" t="s">
        <v>1</v>
      </c>
      <c r="AH67" s="36" t="s">
        <v>1</v>
      </c>
      <c r="AI67" s="51" t="s">
        <v>1</v>
      </c>
      <c r="AJ67" s="36" t="s">
        <v>1</v>
      </c>
      <c r="AK67" s="51" t="s">
        <v>1</v>
      </c>
      <c r="AL67" s="36" t="s">
        <v>1</v>
      </c>
      <c r="AM67" s="31" t="s">
        <v>1</v>
      </c>
      <c r="AN67" s="36" t="s">
        <v>1</v>
      </c>
      <c r="AO67" s="31" t="s">
        <v>1</v>
      </c>
      <c r="AP67" s="36" t="s">
        <v>1</v>
      </c>
      <c r="AQ67" s="51" t="s">
        <v>1</v>
      </c>
      <c r="AR67" s="36" t="s">
        <v>1</v>
      </c>
      <c r="AS67" s="47" t="s">
        <v>1</v>
      </c>
      <c r="AT67" s="36" t="s">
        <v>1</v>
      </c>
      <c r="AU67" s="47" t="s">
        <v>1</v>
      </c>
      <c r="AV67" s="36" t="s">
        <v>1</v>
      </c>
      <c r="AW67" s="47" t="s">
        <v>1</v>
      </c>
      <c r="AX67" s="36" t="s">
        <v>2065</v>
      </c>
      <c r="AY67" s="47" t="s">
        <v>2193</v>
      </c>
      <c r="AZ67" s="36" t="s">
        <v>1299</v>
      </c>
      <c r="BA67" s="47" t="s">
        <v>2193</v>
      </c>
      <c r="BB67" s="36" t="s">
        <v>2188</v>
      </c>
      <c r="BC67" s="47" t="s">
        <v>819</v>
      </c>
      <c r="BD67" s="36" t="s">
        <v>2189</v>
      </c>
      <c r="BE67" s="47" t="str">
        <f t="shared" si="0"/>
        <v>"Região.Administrativa"</v>
      </c>
    </row>
    <row r="68" spans="1:57" ht="6.65" customHeight="1" x14ac:dyDescent="0.4">
      <c r="A68" s="93">
        <v>68</v>
      </c>
      <c r="B68" s="74" t="s">
        <v>879</v>
      </c>
      <c r="C68" s="44" t="s">
        <v>655</v>
      </c>
      <c r="D68" s="18" t="s">
        <v>744</v>
      </c>
      <c r="E68" s="20" t="s">
        <v>753</v>
      </c>
      <c r="F68" s="18" t="s">
        <v>744</v>
      </c>
      <c r="G68" s="48" t="s">
        <v>825</v>
      </c>
      <c r="H68" s="18" t="s">
        <v>820</v>
      </c>
      <c r="I68" s="48" t="s">
        <v>880</v>
      </c>
      <c r="J68" s="18" t="s">
        <v>1</v>
      </c>
      <c r="K68" s="20" t="s">
        <v>1</v>
      </c>
      <c r="L68" s="18" t="s">
        <v>1</v>
      </c>
      <c r="M68" s="20" t="s">
        <v>1</v>
      </c>
      <c r="N68" s="46" t="s">
        <v>82</v>
      </c>
      <c r="O68" s="25" t="str">
        <f t="shared" si="2"/>
        <v>"RA.25 é Região Administrativa de Rio de Janeiro em Area de Planejamento Rio.de.Janeiro.Capital"</v>
      </c>
      <c r="P68" s="46" t="s">
        <v>1</v>
      </c>
      <c r="Q68" s="25" t="s">
        <v>1</v>
      </c>
      <c r="R68" s="46" t="s">
        <v>1</v>
      </c>
      <c r="S68" s="52" t="s">
        <v>1</v>
      </c>
      <c r="T68" s="46" t="s">
        <v>1</v>
      </c>
      <c r="U68" s="31" t="s">
        <v>1</v>
      </c>
      <c r="V68" s="46" t="s">
        <v>1</v>
      </c>
      <c r="W68" s="31" t="s">
        <v>1</v>
      </c>
      <c r="X68" s="46" t="s">
        <v>1</v>
      </c>
      <c r="Y68" s="31" t="s">
        <v>1</v>
      </c>
      <c r="Z68" s="46" t="s">
        <v>1</v>
      </c>
      <c r="AA68" s="31" t="s">
        <v>1</v>
      </c>
      <c r="AB68" s="46" t="s">
        <v>1</v>
      </c>
      <c r="AC68" s="47" t="s">
        <v>1</v>
      </c>
      <c r="AD68" s="36" t="s">
        <v>1</v>
      </c>
      <c r="AE68" s="51" t="s">
        <v>1</v>
      </c>
      <c r="AF68" s="36" t="s">
        <v>1</v>
      </c>
      <c r="AG68" s="51" t="s">
        <v>1</v>
      </c>
      <c r="AH68" s="36" t="s">
        <v>1</v>
      </c>
      <c r="AI68" s="51" t="s">
        <v>1</v>
      </c>
      <c r="AJ68" s="36" t="s">
        <v>1</v>
      </c>
      <c r="AK68" s="51" t="s">
        <v>1</v>
      </c>
      <c r="AL68" s="36" t="s">
        <v>1</v>
      </c>
      <c r="AM68" s="31" t="s">
        <v>1</v>
      </c>
      <c r="AN68" s="36" t="s">
        <v>1</v>
      </c>
      <c r="AO68" s="31" t="s">
        <v>1</v>
      </c>
      <c r="AP68" s="36" t="s">
        <v>1</v>
      </c>
      <c r="AQ68" s="51" t="s">
        <v>1</v>
      </c>
      <c r="AR68" s="36" t="s">
        <v>1</v>
      </c>
      <c r="AS68" s="47" t="s">
        <v>1</v>
      </c>
      <c r="AT68" s="36" t="s">
        <v>1</v>
      </c>
      <c r="AU68" s="47" t="s">
        <v>1</v>
      </c>
      <c r="AV68" s="36" t="s">
        <v>1</v>
      </c>
      <c r="AW68" s="47" t="s">
        <v>1</v>
      </c>
      <c r="AX68" s="36" t="s">
        <v>2065</v>
      </c>
      <c r="AY68" s="47" t="s">
        <v>2193</v>
      </c>
      <c r="AZ68" s="36" t="s">
        <v>1299</v>
      </c>
      <c r="BA68" s="47" t="s">
        <v>2193</v>
      </c>
      <c r="BB68" s="36" t="s">
        <v>2188</v>
      </c>
      <c r="BC68" s="47" t="s">
        <v>819</v>
      </c>
      <c r="BD68" s="36" t="s">
        <v>2189</v>
      </c>
      <c r="BE68" s="47" t="str">
        <f t="shared" si="0"/>
        <v>"Região.Administrativa"</v>
      </c>
    </row>
    <row r="69" spans="1:57" ht="6.65" customHeight="1" x14ac:dyDescent="0.4">
      <c r="A69" s="93">
        <v>69</v>
      </c>
      <c r="B69" s="74" t="s">
        <v>881</v>
      </c>
      <c r="C69" s="44" t="s">
        <v>655</v>
      </c>
      <c r="D69" s="18" t="s">
        <v>744</v>
      </c>
      <c r="E69" s="20" t="s">
        <v>753</v>
      </c>
      <c r="F69" s="18" t="s">
        <v>744</v>
      </c>
      <c r="G69" s="48" t="s">
        <v>829</v>
      </c>
      <c r="H69" s="18" t="s">
        <v>820</v>
      </c>
      <c r="I69" s="48" t="s">
        <v>882</v>
      </c>
      <c r="J69" s="18" t="s">
        <v>1</v>
      </c>
      <c r="K69" s="20" t="s">
        <v>1</v>
      </c>
      <c r="L69" s="18" t="s">
        <v>1</v>
      </c>
      <c r="M69" s="20" t="s">
        <v>1</v>
      </c>
      <c r="N69" s="46" t="s">
        <v>82</v>
      </c>
      <c r="O69" s="25" t="str">
        <f t="shared" si="2"/>
        <v>"RA.26 é Região Administrativa de Rio de Janeiro em Area de Planejamento Rio.de.Janeiro.Capital"</v>
      </c>
      <c r="P69" s="46" t="s">
        <v>1</v>
      </c>
      <c r="Q69" s="25" t="s">
        <v>1</v>
      </c>
      <c r="R69" s="46" t="s">
        <v>1</v>
      </c>
      <c r="S69" s="52" t="s">
        <v>1</v>
      </c>
      <c r="T69" s="46" t="s">
        <v>1</v>
      </c>
      <c r="U69" s="31" t="s">
        <v>1</v>
      </c>
      <c r="V69" s="46" t="s">
        <v>1</v>
      </c>
      <c r="W69" s="31" t="s">
        <v>1</v>
      </c>
      <c r="X69" s="46" t="s">
        <v>1</v>
      </c>
      <c r="Y69" s="31" t="s">
        <v>1</v>
      </c>
      <c r="Z69" s="46" t="s">
        <v>1</v>
      </c>
      <c r="AA69" s="31" t="s">
        <v>1</v>
      </c>
      <c r="AB69" s="46" t="s">
        <v>1</v>
      </c>
      <c r="AC69" s="47" t="s">
        <v>1</v>
      </c>
      <c r="AD69" s="36" t="s">
        <v>1</v>
      </c>
      <c r="AE69" s="51" t="s">
        <v>1</v>
      </c>
      <c r="AF69" s="36" t="s">
        <v>1</v>
      </c>
      <c r="AG69" s="51" t="s">
        <v>1</v>
      </c>
      <c r="AH69" s="36" t="s">
        <v>1</v>
      </c>
      <c r="AI69" s="51" t="s">
        <v>1</v>
      </c>
      <c r="AJ69" s="36" t="s">
        <v>1</v>
      </c>
      <c r="AK69" s="51" t="s">
        <v>1</v>
      </c>
      <c r="AL69" s="36" t="s">
        <v>1</v>
      </c>
      <c r="AM69" s="31" t="s">
        <v>1</v>
      </c>
      <c r="AN69" s="36" t="s">
        <v>1</v>
      </c>
      <c r="AO69" s="31" t="s">
        <v>1</v>
      </c>
      <c r="AP69" s="36" t="s">
        <v>1</v>
      </c>
      <c r="AQ69" s="51" t="s">
        <v>1</v>
      </c>
      <c r="AR69" s="36" t="s">
        <v>1</v>
      </c>
      <c r="AS69" s="47" t="s">
        <v>1</v>
      </c>
      <c r="AT69" s="36" t="s">
        <v>1</v>
      </c>
      <c r="AU69" s="47" t="s">
        <v>1</v>
      </c>
      <c r="AV69" s="36" t="s">
        <v>1</v>
      </c>
      <c r="AW69" s="47" t="s">
        <v>1</v>
      </c>
      <c r="AX69" s="36" t="s">
        <v>2065</v>
      </c>
      <c r="AY69" s="47" t="s">
        <v>2193</v>
      </c>
      <c r="AZ69" s="36" t="s">
        <v>1299</v>
      </c>
      <c r="BA69" s="47" t="s">
        <v>2193</v>
      </c>
      <c r="BB69" s="36" t="s">
        <v>2188</v>
      </c>
      <c r="BC69" s="47" t="s">
        <v>819</v>
      </c>
      <c r="BD69" s="36" t="s">
        <v>2189</v>
      </c>
      <c r="BE69" s="47" t="str">
        <f t="shared" ref="BE69:BE165" si="3">_xlfn.CONCAT("""",C69,"""")</f>
        <v>"Região.Administrativa"</v>
      </c>
    </row>
    <row r="70" spans="1:57" ht="6.65" customHeight="1" x14ac:dyDescent="0.4">
      <c r="A70" s="93">
        <v>70</v>
      </c>
      <c r="B70" s="74" t="s">
        <v>883</v>
      </c>
      <c r="C70" s="44" t="s">
        <v>655</v>
      </c>
      <c r="D70" s="18" t="s">
        <v>744</v>
      </c>
      <c r="E70" s="20" t="s">
        <v>753</v>
      </c>
      <c r="F70" s="18" t="s">
        <v>744</v>
      </c>
      <c r="G70" s="48" t="s">
        <v>823</v>
      </c>
      <c r="H70" s="18" t="s">
        <v>820</v>
      </c>
      <c r="I70" s="48" t="s">
        <v>884</v>
      </c>
      <c r="J70" s="18" t="s">
        <v>1</v>
      </c>
      <c r="K70" s="20" t="s">
        <v>1</v>
      </c>
      <c r="L70" s="18" t="s">
        <v>1</v>
      </c>
      <c r="M70" s="20" t="s">
        <v>1</v>
      </c>
      <c r="N70" s="46" t="s">
        <v>82</v>
      </c>
      <c r="O70" s="25" t="str">
        <f t="shared" si="2"/>
        <v>"RA.27 é Região Administrativa de Rio de Janeiro em Area de Planejamento Rio.de.Janeiro.Capital"</v>
      </c>
      <c r="P70" s="46" t="s">
        <v>1</v>
      </c>
      <c r="Q70" s="25" t="s">
        <v>1</v>
      </c>
      <c r="R70" s="46" t="s">
        <v>1</v>
      </c>
      <c r="S70" s="52" t="s">
        <v>1</v>
      </c>
      <c r="T70" s="46" t="s">
        <v>1</v>
      </c>
      <c r="U70" s="31" t="s">
        <v>1</v>
      </c>
      <c r="V70" s="46" t="s">
        <v>1</v>
      </c>
      <c r="W70" s="31" t="s">
        <v>1</v>
      </c>
      <c r="X70" s="46" t="s">
        <v>1</v>
      </c>
      <c r="Y70" s="31" t="s">
        <v>1</v>
      </c>
      <c r="Z70" s="46" t="s">
        <v>1</v>
      </c>
      <c r="AA70" s="31" t="s">
        <v>1</v>
      </c>
      <c r="AB70" s="46" t="s">
        <v>1</v>
      </c>
      <c r="AC70" s="47" t="s">
        <v>1</v>
      </c>
      <c r="AD70" s="36" t="s">
        <v>1</v>
      </c>
      <c r="AE70" s="51" t="s">
        <v>1</v>
      </c>
      <c r="AF70" s="36" t="s">
        <v>1</v>
      </c>
      <c r="AG70" s="51" t="s">
        <v>1</v>
      </c>
      <c r="AH70" s="36" t="s">
        <v>1</v>
      </c>
      <c r="AI70" s="51" t="s">
        <v>1</v>
      </c>
      <c r="AJ70" s="36" t="s">
        <v>1</v>
      </c>
      <c r="AK70" s="51" t="s">
        <v>1</v>
      </c>
      <c r="AL70" s="36" t="s">
        <v>1</v>
      </c>
      <c r="AM70" s="31" t="s">
        <v>1</v>
      </c>
      <c r="AN70" s="36" t="s">
        <v>1</v>
      </c>
      <c r="AO70" s="31" t="s">
        <v>1</v>
      </c>
      <c r="AP70" s="36" t="s">
        <v>1</v>
      </c>
      <c r="AQ70" s="51" t="s">
        <v>1</v>
      </c>
      <c r="AR70" s="36" t="s">
        <v>1</v>
      </c>
      <c r="AS70" s="47" t="s">
        <v>1</v>
      </c>
      <c r="AT70" s="36" t="s">
        <v>1</v>
      </c>
      <c r="AU70" s="47" t="s">
        <v>1</v>
      </c>
      <c r="AV70" s="36" t="s">
        <v>1</v>
      </c>
      <c r="AW70" s="47" t="s">
        <v>1</v>
      </c>
      <c r="AX70" s="36" t="s">
        <v>2065</v>
      </c>
      <c r="AY70" s="47" t="s">
        <v>2193</v>
      </c>
      <c r="AZ70" s="36" t="s">
        <v>1299</v>
      </c>
      <c r="BA70" s="47" t="s">
        <v>2193</v>
      </c>
      <c r="BB70" s="36" t="s">
        <v>2188</v>
      </c>
      <c r="BC70" s="47" t="s">
        <v>819</v>
      </c>
      <c r="BD70" s="36" t="s">
        <v>2189</v>
      </c>
      <c r="BE70" s="47" t="str">
        <f t="shared" si="3"/>
        <v>"Região.Administrativa"</v>
      </c>
    </row>
    <row r="71" spans="1:57" ht="6.65" customHeight="1" x14ac:dyDescent="0.4">
      <c r="A71" s="93">
        <v>71</v>
      </c>
      <c r="B71" s="74" t="s">
        <v>885</v>
      </c>
      <c r="C71" s="44" t="s">
        <v>655</v>
      </c>
      <c r="D71" s="18" t="s">
        <v>744</v>
      </c>
      <c r="E71" s="20" t="s">
        <v>753</v>
      </c>
      <c r="F71" s="18" t="s">
        <v>744</v>
      </c>
      <c r="G71" s="48" t="s">
        <v>825</v>
      </c>
      <c r="H71" s="18" t="s">
        <v>820</v>
      </c>
      <c r="I71" s="48" t="s">
        <v>886</v>
      </c>
      <c r="J71" s="18" t="s">
        <v>1</v>
      </c>
      <c r="K71" s="20" t="s">
        <v>1</v>
      </c>
      <c r="L71" s="18" t="s">
        <v>1</v>
      </c>
      <c r="M71" s="20" t="s">
        <v>1</v>
      </c>
      <c r="N71" s="46" t="s">
        <v>82</v>
      </c>
      <c r="O71" s="25" t="str">
        <f t="shared" si="2"/>
        <v>"RA.28 é Região Administrativa de Rio de Janeiro em Area de Planejamento Rio.de.Janeiro.Capital"</v>
      </c>
      <c r="P71" s="46" t="s">
        <v>1</v>
      </c>
      <c r="Q71" s="25" t="s">
        <v>1</v>
      </c>
      <c r="R71" s="46" t="s">
        <v>1</v>
      </c>
      <c r="S71" s="52" t="s">
        <v>1</v>
      </c>
      <c r="T71" s="46" t="s">
        <v>1</v>
      </c>
      <c r="U71" s="31" t="s">
        <v>1</v>
      </c>
      <c r="V71" s="46" t="s">
        <v>1</v>
      </c>
      <c r="W71" s="31" t="s">
        <v>1</v>
      </c>
      <c r="X71" s="46" t="s">
        <v>1</v>
      </c>
      <c r="Y71" s="31" t="s">
        <v>1</v>
      </c>
      <c r="Z71" s="46" t="s">
        <v>1</v>
      </c>
      <c r="AA71" s="31" t="s">
        <v>1</v>
      </c>
      <c r="AB71" s="46" t="s">
        <v>1</v>
      </c>
      <c r="AC71" s="47" t="s">
        <v>1</v>
      </c>
      <c r="AD71" s="36" t="s">
        <v>1</v>
      </c>
      <c r="AE71" s="51" t="s">
        <v>1</v>
      </c>
      <c r="AF71" s="36" t="s">
        <v>1</v>
      </c>
      <c r="AG71" s="51" t="s">
        <v>1</v>
      </c>
      <c r="AH71" s="36" t="s">
        <v>1</v>
      </c>
      <c r="AI71" s="51" t="s">
        <v>1</v>
      </c>
      <c r="AJ71" s="36" t="s">
        <v>1</v>
      </c>
      <c r="AK71" s="51" t="s">
        <v>1</v>
      </c>
      <c r="AL71" s="36" t="s">
        <v>1</v>
      </c>
      <c r="AM71" s="31" t="s">
        <v>1</v>
      </c>
      <c r="AN71" s="36" t="s">
        <v>1</v>
      </c>
      <c r="AO71" s="31" t="s">
        <v>1</v>
      </c>
      <c r="AP71" s="36" t="s">
        <v>1</v>
      </c>
      <c r="AQ71" s="51" t="s">
        <v>1</v>
      </c>
      <c r="AR71" s="36" t="s">
        <v>1</v>
      </c>
      <c r="AS71" s="47" t="s">
        <v>1</v>
      </c>
      <c r="AT71" s="36" t="s">
        <v>1</v>
      </c>
      <c r="AU71" s="47" t="s">
        <v>1</v>
      </c>
      <c r="AV71" s="36" t="s">
        <v>1</v>
      </c>
      <c r="AW71" s="47" t="s">
        <v>1</v>
      </c>
      <c r="AX71" s="36" t="s">
        <v>2065</v>
      </c>
      <c r="AY71" s="47" t="s">
        <v>2193</v>
      </c>
      <c r="AZ71" s="36" t="s">
        <v>1299</v>
      </c>
      <c r="BA71" s="47" t="s">
        <v>2193</v>
      </c>
      <c r="BB71" s="36" t="s">
        <v>2188</v>
      </c>
      <c r="BC71" s="47" t="s">
        <v>819</v>
      </c>
      <c r="BD71" s="36" t="s">
        <v>2189</v>
      </c>
      <c r="BE71" s="47" t="str">
        <f t="shared" si="3"/>
        <v>"Região.Administrativa"</v>
      </c>
    </row>
    <row r="72" spans="1:57" ht="6.65" customHeight="1" x14ac:dyDescent="0.4">
      <c r="A72" s="93">
        <v>72</v>
      </c>
      <c r="B72" s="74" t="s">
        <v>887</v>
      </c>
      <c r="C72" s="44" t="s">
        <v>655</v>
      </c>
      <c r="D72" s="18" t="s">
        <v>744</v>
      </c>
      <c r="E72" s="20" t="s">
        <v>753</v>
      </c>
      <c r="F72" s="18" t="s">
        <v>744</v>
      </c>
      <c r="G72" s="48" t="s">
        <v>825</v>
      </c>
      <c r="H72" s="18" t="s">
        <v>820</v>
      </c>
      <c r="I72" s="48" t="s">
        <v>888</v>
      </c>
      <c r="J72" s="18" t="s">
        <v>1</v>
      </c>
      <c r="K72" s="20" t="s">
        <v>1</v>
      </c>
      <c r="L72" s="18" t="s">
        <v>1</v>
      </c>
      <c r="M72" s="20" t="s">
        <v>1</v>
      </c>
      <c r="N72" s="46" t="s">
        <v>82</v>
      </c>
      <c r="O72" s="25" t="str">
        <f t="shared" si="2"/>
        <v>"RA.29 é Região Administrativa de Rio de Janeiro em Area de Planejamento Rio.de.Janeiro.Capital"</v>
      </c>
      <c r="P72" s="46" t="s">
        <v>1</v>
      </c>
      <c r="Q72" s="25" t="s">
        <v>1</v>
      </c>
      <c r="R72" s="46" t="s">
        <v>1</v>
      </c>
      <c r="S72" s="52" t="s">
        <v>1</v>
      </c>
      <c r="T72" s="46" t="s">
        <v>1</v>
      </c>
      <c r="U72" s="31" t="s">
        <v>1</v>
      </c>
      <c r="V72" s="46" t="s">
        <v>1</v>
      </c>
      <c r="W72" s="31" t="s">
        <v>1</v>
      </c>
      <c r="X72" s="46" t="s">
        <v>1</v>
      </c>
      <c r="Y72" s="31" t="s">
        <v>1</v>
      </c>
      <c r="Z72" s="46" t="s">
        <v>1</v>
      </c>
      <c r="AA72" s="31" t="s">
        <v>1</v>
      </c>
      <c r="AB72" s="46" t="s">
        <v>1</v>
      </c>
      <c r="AC72" s="47" t="s">
        <v>1</v>
      </c>
      <c r="AD72" s="36" t="s">
        <v>1</v>
      </c>
      <c r="AE72" s="51" t="s">
        <v>1</v>
      </c>
      <c r="AF72" s="36" t="s">
        <v>1</v>
      </c>
      <c r="AG72" s="51" t="s">
        <v>1</v>
      </c>
      <c r="AH72" s="36" t="s">
        <v>1</v>
      </c>
      <c r="AI72" s="51" t="s">
        <v>1</v>
      </c>
      <c r="AJ72" s="36" t="s">
        <v>1</v>
      </c>
      <c r="AK72" s="51" t="s">
        <v>1</v>
      </c>
      <c r="AL72" s="36" t="s">
        <v>1</v>
      </c>
      <c r="AM72" s="31" t="s">
        <v>1</v>
      </c>
      <c r="AN72" s="36" t="s">
        <v>1</v>
      </c>
      <c r="AO72" s="31" t="s">
        <v>1</v>
      </c>
      <c r="AP72" s="36" t="s">
        <v>1</v>
      </c>
      <c r="AQ72" s="51" t="s">
        <v>1</v>
      </c>
      <c r="AR72" s="36" t="s">
        <v>1</v>
      </c>
      <c r="AS72" s="47" t="s">
        <v>1</v>
      </c>
      <c r="AT72" s="36" t="s">
        <v>1</v>
      </c>
      <c r="AU72" s="47" t="s">
        <v>1</v>
      </c>
      <c r="AV72" s="36" t="s">
        <v>1</v>
      </c>
      <c r="AW72" s="47" t="s">
        <v>1</v>
      </c>
      <c r="AX72" s="36" t="s">
        <v>2065</v>
      </c>
      <c r="AY72" s="47" t="s">
        <v>2193</v>
      </c>
      <c r="AZ72" s="36" t="s">
        <v>1299</v>
      </c>
      <c r="BA72" s="47" t="s">
        <v>2193</v>
      </c>
      <c r="BB72" s="36" t="s">
        <v>2188</v>
      </c>
      <c r="BC72" s="47" t="s">
        <v>819</v>
      </c>
      <c r="BD72" s="36" t="s">
        <v>2189</v>
      </c>
      <c r="BE72" s="47" t="str">
        <f t="shared" si="3"/>
        <v>"Região.Administrativa"</v>
      </c>
    </row>
    <row r="73" spans="1:57" ht="6.65" customHeight="1" x14ac:dyDescent="0.4">
      <c r="A73" s="93">
        <v>73</v>
      </c>
      <c r="B73" s="74" t="s">
        <v>889</v>
      </c>
      <c r="C73" s="44" t="s">
        <v>655</v>
      </c>
      <c r="D73" s="18" t="s">
        <v>744</v>
      </c>
      <c r="E73" s="20" t="s">
        <v>753</v>
      </c>
      <c r="F73" s="18" t="s">
        <v>744</v>
      </c>
      <c r="G73" s="48" t="s">
        <v>825</v>
      </c>
      <c r="H73" s="18" t="s">
        <v>820</v>
      </c>
      <c r="I73" s="48" t="s">
        <v>890</v>
      </c>
      <c r="J73" s="18" t="s">
        <v>1</v>
      </c>
      <c r="K73" s="20" t="s">
        <v>1</v>
      </c>
      <c r="L73" s="18" t="s">
        <v>1</v>
      </c>
      <c r="M73" s="20" t="s">
        <v>1</v>
      </c>
      <c r="N73" s="46" t="s">
        <v>82</v>
      </c>
      <c r="O73" s="25" t="str">
        <f t="shared" si="2"/>
        <v>"RA.30 é Região Administrativa de Rio de Janeiro em Area de Planejamento Rio.de.Janeiro.Capital"</v>
      </c>
      <c r="P73" s="46" t="s">
        <v>1</v>
      </c>
      <c r="Q73" s="25" t="s">
        <v>1</v>
      </c>
      <c r="R73" s="46" t="s">
        <v>1</v>
      </c>
      <c r="S73" s="52" t="s">
        <v>1</v>
      </c>
      <c r="T73" s="46" t="s">
        <v>1</v>
      </c>
      <c r="U73" s="31" t="s">
        <v>1</v>
      </c>
      <c r="V73" s="46" t="s">
        <v>1</v>
      </c>
      <c r="W73" s="31" t="s">
        <v>1</v>
      </c>
      <c r="X73" s="46" t="s">
        <v>1</v>
      </c>
      <c r="Y73" s="31" t="s">
        <v>1</v>
      </c>
      <c r="Z73" s="46" t="s">
        <v>1</v>
      </c>
      <c r="AA73" s="31" t="s">
        <v>1</v>
      </c>
      <c r="AB73" s="46" t="s">
        <v>1</v>
      </c>
      <c r="AC73" s="47" t="s">
        <v>1</v>
      </c>
      <c r="AD73" s="36" t="s">
        <v>1</v>
      </c>
      <c r="AE73" s="51" t="s">
        <v>1</v>
      </c>
      <c r="AF73" s="36" t="s">
        <v>1</v>
      </c>
      <c r="AG73" s="51" t="s">
        <v>1</v>
      </c>
      <c r="AH73" s="36" t="s">
        <v>1</v>
      </c>
      <c r="AI73" s="51" t="s">
        <v>1</v>
      </c>
      <c r="AJ73" s="36" t="s">
        <v>1</v>
      </c>
      <c r="AK73" s="51" t="s">
        <v>1</v>
      </c>
      <c r="AL73" s="36" t="s">
        <v>1</v>
      </c>
      <c r="AM73" s="31" t="s">
        <v>1</v>
      </c>
      <c r="AN73" s="36" t="s">
        <v>1</v>
      </c>
      <c r="AO73" s="31" t="s">
        <v>1</v>
      </c>
      <c r="AP73" s="36" t="s">
        <v>1</v>
      </c>
      <c r="AQ73" s="51" t="s">
        <v>1</v>
      </c>
      <c r="AR73" s="36" t="s">
        <v>1</v>
      </c>
      <c r="AS73" s="47" t="s">
        <v>1</v>
      </c>
      <c r="AT73" s="36" t="s">
        <v>1</v>
      </c>
      <c r="AU73" s="47" t="s">
        <v>1</v>
      </c>
      <c r="AV73" s="36" t="s">
        <v>1</v>
      </c>
      <c r="AW73" s="47" t="s">
        <v>1</v>
      </c>
      <c r="AX73" s="36" t="s">
        <v>2065</v>
      </c>
      <c r="AY73" s="47" t="s">
        <v>2193</v>
      </c>
      <c r="AZ73" s="36" t="s">
        <v>1299</v>
      </c>
      <c r="BA73" s="47" t="s">
        <v>2193</v>
      </c>
      <c r="BB73" s="36" t="s">
        <v>2188</v>
      </c>
      <c r="BC73" s="47" t="s">
        <v>819</v>
      </c>
      <c r="BD73" s="36" t="s">
        <v>2189</v>
      </c>
      <c r="BE73" s="47" t="str">
        <f t="shared" si="3"/>
        <v>"Região.Administrativa"</v>
      </c>
    </row>
    <row r="74" spans="1:57" ht="6.65" customHeight="1" x14ac:dyDescent="0.4">
      <c r="A74" s="93">
        <v>74</v>
      </c>
      <c r="B74" s="74" t="s">
        <v>891</v>
      </c>
      <c r="C74" s="44" t="s">
        <v>655</v>
      </c>
      <c r="D74" s="18" t="s">
        <v>744</v>
      </c>
      <c r="E74" s="20" t="s">
        <v>753</v>
      </c>
      <c r="F74" s="18" t="s">
        <v>744</v>
      </c>
      <c r="G74" s="48" t="s">
        <v>825</v>
      </c>
      <c r="H74" s="18" t="s">
        <v>820</v>
      </c>
      <c r="I74" s="48" t="s">
        <v>892</v>
      </c>
      <c r="J74" s="18" t="s">
        <v>1</v>
      </c>
      <c r="K74" s="20" t="s">
        <v>1</v>
      </c>
      <c r="L74" s="18" t="s">
        <v>1</v>
      </c>
      <c r="M74" s="20" t="s">
        <v>1</v>
      </c>
      <c r="N74" s="46" t="s">
        <v>82</v>
      </c>
      <c r="O74" s="25" t="str">
        <f t="shared" si="2"/>
        <v>"RA.31 é Região Administrativa de Rio de Janeiro em Area de Planejamento Rio.de.Janeiro.Capital"</v>
      </c>
      <c r="P74" s="46" t="s">
        <v>1</v>
      </c>
      <c r="Q74" s="25" t="s">
        <v>1</v>
      </c>
      <c r="R74" s="46" t="s">
        <v>1</v>
      </c>
      <c r="S74" s="52" t="s">
        <v>1</v>
      </c>
      <c r="T74" s="46" t="s">
        <v>1</v>
      </c>
      <c r="U74" s="31" t="s">
        <v>1</v>
      </c>
      <c r="V74" s="46" t="s">
        <v>1</v>
      </c>
      <c r="W74" s="31" t="s">
        <v>1</v>
      </c>
      <c r="X74" s="46" t="s">
        <v>1</v>
      </c>
      <c r="Y74" s="31" t="s">
        <v>1</v>
      </c>
      <c r="Z74" s="46" t="s">
        <v>1</v>
      </c>
      <c r="AA74" s="31" t="s">
        <v>1</v>
      </c>
      <c r="AB74" s="46" t="s">
        <v>1</v>
      </c>
      <c r="AC74" s="47" t="s">
        <v>1</v>
      </c>
      <c r="AD74" s="36" t="s">
        <v>1</v>
      </c>
      <c r="AE74" s="51" t="s">
        <v>1</v>
      </c>
      <c r="AF74" s="36" t="s">
        <v>1</v>
      </c>
      <c r="AG74" s="51" t="s">
        <v>1</v>
      </c>
      <c r="AH74" s="36" t="s">
        <v>1</v>
      </c>
      <c r="AI74" s="51" t="s">
        <v>1</v>
      </c>
      <c r="AJ74" s="36" t="s">
        <v>1</v>
      </c>
      <c r="AK74" s="51" t="s">
        <v>1</v>
      </c>
      <c r="AL74" s="36" t="s">
        <v>1</v>
      </c>
      <c r="AM74" s="31" t="s">
        <v>1</v>
      </c>
      <c r="AN74" s="36" t="s">
        <v>1</v>
      </c>
      <c r="AO74" s="31" t="s">
        <v>1</v>
      </c>
      <c r="AP74" s="36" t="s">
        <v>1</v>
      </c>
      <c r="AQ74" s="51" t="s">
        <v>1</v>
      </c>
      <c r="AR74" s="36" t="s">
        <v>1</v>
      </c>
      <c r="AS74" s="47" t="s">
        <v>1</v>
      </c>
      <c r="AT74" s="36" t="s">
        <v>1</v>
      </c>
      <c r="AU74" s="47" t="s">
        <v>1</v>
      </c>
      <c r="AV74" s="36" t="s">
        <v>1</v>
      </c>
      <c r="AW74" s="47" t="s">
        <v>1</v>
      </c>
      <c r="AX74" s="36" t="s">
        <v>2065</v>
      </c>
      <c r="AY74" s="47" t="s">
        <v>2193</v>
      </c>
      <c r="AZ74" s="36" t="s">
        <v>1299</v>
      </c>
      <c r="BA74" s="47" t="s">
        <v>2193</v>
      </c>
      <c r="BB74" s="36" t="s">
        <v>2188</v>
      </c>
      <c r="BC74" s="47" t="s">
        <v>819</v>
      </c>
      <c r="BD74" s="36" t="s">
        <v>2189</v>
      </c>
      <c r="BE74" s="47" t="str">
        <f t="shared" si="3"/>
        <v>"Região.Administrativa"</v>
      </c>
    </row>
    <row r="75" spans="1:57" ht="6.65" customHeight="1" x14ac:dyDescent="0.4">
      <c r="A75" s="93">
        <v>75</v>
      </c>
      <c r="B75" s="74" t="s">
        <v>893</v>
      </c>
      <c r="C75" s="44" t="s">
        <v>655</v>
      </c>
      <c r="D75" s="18" t="s">
        <v>744</v>
      </c>
      <c r="E75" s="20" t="s">
        <v>753</v>
      </c>
      <c r="F75" s="18" t="s">
        <v>744</v>
      </c>
      <c r="G75" s="48" t="s">
        <v>829</v>
      </c>
      <c r="H75" s="18" t="s">
        <v>820</v>
      </c>
      <c r="I75" s="48" t="s">
        <v>894</v>
      </c>
      <c r="J75" s="18" t="s">
        <v>1</v>
      </c>
      <c r="K75" s="20" t="s">
        <v>1</v>
      </c>
      <c r="L75" s="18" t="s">
        <v>1</v>
      </c>
      <c r="M75" s="20" t="s">
        <v>1</v>
      </c>
      <c r="N75" s="46" t="s">
        <v>82</v>
      </c>
      <c r="O75" s="25" t="str">
        <f t="shared" si="2"/>
        <v>"RA.32 é Região Administrativa de Rio de Janeiro em Area de Planejamento Rio.de.Janeiro.Capital"</v>
      </c>
      <c r="P75" s="46" t="s">
        <v>1</v>
      </c>
      <c r="Q75" s="25" t="s">
        <v>1</v>
      </c>
      <c r="R75" s="46" t="s">
        <v>1</v>
      </c>
      <c r="S75" s="52" t="s">
        <v>1</v>
      </c>
      <c r="T75" s="46" t="s">
        <v>1</v>
      </c>
      <c r="U75" s="31" t="s">
        <v>1</v>
      </c>
      <c r="V75" s="46" t="s">
        <v>1</v>
      </c>
      <c r="W75" s="31" t="s">
        <v>1</v>
      </c>
      <c r="X75" s="46" t="s">
        <v>1</v>
      </c>
      <c r="Y75" s="31" t="s">
        <v>1</v>
      </c>
      <c r="Z75" s="46" t="s">
        <v>1</v>
      </c>
      <c r="AA75" s="31" t="s">
        <v>1</v>
      </c>
      <c r="AB75" s="46" t="s">
        <v>1</v>
      </c>
      <c r="AC75" s="47" t="s">
        <v>1</v>
      </c>
      <c r="AD75" s="36" t="s">
        <v>1</v>
      </c>
      <c r="AE75" s="51" t="s">
        <v>1</v>
      </c>
      <c r="AF75" s="36" t="s">
        <v>1</v>
      </c>
      <c r="AG75" s="51" t="s">
        <v>1</v>
      </c>
      <c r="AH75" s="36" t="s">
        <v>1</v>
      </c>
      <c r="AI75" s="51" t="s">
        <v>1</v>
      </c>
      <c r="AJ75" s="36" t="s">
        <v>1</v>
      </c>
      <c r="AK75" s="51" t="s">
        <v>1</v>
      </c>
      <c r="AL75" s="36" t="s">
        <v>1</v>
      </c>
      <c r="AM75" s="31" t="s">
        <v>1</v>
      </c>
      <c r="AN75" s="36" t="s">
        <v>1</v>
      </c>
      <c r="AO75" s="31" t="s">
        <v>1</v>
      </c>
      <c r="AP75" s="36" t="s">
        <v>1</v>
      </c>
      <c r="AQ75" s="51" t="s">
        <v>1</v>
      </c>
      <c r="AR75" s="36" t="s">
        <v>1</v>
      </c>
      <c r="AS75" s="47" t="s">
        <v>1</v>
      </c>
      <c r="AT75" s="36" t="s">
        <v>1</v>
      </c>
      <c r="AU75" s="47" t="s">
        <v>1</v>
      </c>
      <c r="AV75" s="36" t="s">
        <v>1</v>
      </c>
      <c r="AW75" s="47" t="s">
        <v>1</v>
      </c>
      <c r="AX75" s="36" t="s">
        <v>2065</v>
      </c>
      <c r="AY75" s="47" t="s">
        <v>2193</v>
      </c>
      <c r="AZ75" s="36" t="s">
        <v>1299</v>
      </c>
      <c r="BA75" s="47" t="s">
        <v>2193</v>
      </c>
      <c r="BB75" s="36" t="s">
        <v>2188</v>
      </c>
      <c r="BC75" s="47" t="s">
        <v>819</v>
      </c>
      <c r="BD75" s="36" t="s">
        <v>2189</v>
      </c>
      <c r="BE75" s="47" t="str">
        <f t="shared" si="3"/>
        <v>"Região.Administrativa"</v>
      </c>
    </row>
    <row r="76" spans="1:57" ht="6.65" customHeight="1" x14ac:dyDescent="0.4">
      <c r="A76" s="93">
        <v>76</v>
      </c>
      <c r="B76" s="74" t="s">
        <v>895</v>
      </c>
      <c r="C76" s="44" t="s">
        <v>655</v>
      </c>
      <c r="D76" s="18" t="s">
        <v>744</v>
      </c>
      <c r="E76" s="20" t="s">
        <v>753</v>
      </c>
      <c r="F76" s="18" t="s">
        <v>744</v>
      </c>
      <c r="G76" s="48" t="s">
        <v>827</v>
      </c>
      <c r="H76" s="18" t="s">
        <v>820</v>
      </c>
      <c r="I76" s="48" t="s">
        <v>896</v>
      </c>
      <c r="J76" s="18" t="s">
        <v>1</v>
      </c>
      <c r="K76" s="20" t="s">
        <v>1</v>
      </c>
      <c r="L76" s="18" t="s">
        <v>1</v>
      </c>
      <c r="M76" s="20" t="s">
        <v>1</v>
      </c>
      <c r="N76" s="46" t="s">
        <v>82</v>
      </c>
      <c r="O76" s="25" t="str">
        <f t="shared" si="2"/>
        <v>"RA.33 é Região Administrativa de Rio de Janeiro em Area de Planejamento Rio.de.Janeiro.Capital"</v>
      </c>
      <c r="P76" s="46" t="s">
        <v>1</v>
      </c>
      <c r="Q76" s="25" t="s">
        <v>1</v>
      </c>
      <c r="R76" s="46" t="s">
        <v>1</v>
      </c>
      <c r="S76" s="52" t="s">
        <v>1</v>
      </c>
      <c r="T76" s="46" t="s">
        <v>1</v>
      </c>
      <c r="U76" s="31" t="s">
        <v>1</v>
      </c>
      <c r="V76" s="46" t="s">
        <v>1</v>
      </c>
      <c r="W76" s="31" t="s">
        <v>1</v>
      </c>
      <c r="X76" s="46" t="s">
        <v>1</v>
      </c>
      <c r="Y76" s="31" t="s">
        <v>1</v>
      </c>
      <c r="Z76" s="46" t="s">
        <v>1</v>
      </c>
      <c r="AA76" s="31" t="s">
        <v>1</v>
      </c>
      <c r="AB76" s="46" t="s">
        <v>1</v>
      </c>
      <c r="AC76" s="47" t="s">
        <v>1</v>
      </c>
      <c r="AD76" s="36" t="s">
        <v>1</v>
      </c>
      <c r="AE76" s="51" t="s">
        <v>1</v>
      </c>
      <c r="AF76" s="36" t="s">
        <v>1</v>
      </c>
      <c r="AG76" s="51" t="s">
        <v>1</v>
      </c>
      <c r="AH76" s="36" t="s">
        <v>1</v>
      </c>
      <c r="AI76" s="51" t="s">
        <v>1</v>
      </c>
      <c r="AJ76" s="36" t="s">
        <v>1</v>
      </c>
      <c r="AK76" s="51" t="s">
        <v>1</v>
      </c>
      <c r="AL76" s="36" t="s">
        <v>1</v>
      </c>
      <c r="AM76" s="31" t="s">
        <v>1</v>
      </c>
      <c r="AN76" s="36" t="s">
        <v>1</v>
      </c>
      <c r="AO76" s="31" t="s">
        <v>1</v>
      </c>
      <c r="AP76" s="36" t="s">
        <v>1</v>
      </c>
      <c r="AQ76" s="51" t="s">
        <v>1</v>
      </c>
      <c r="AR76" s="36" t="s">
        <v>1</v>
      </c>
      <c r="AS76" s="47" t="s">
        <v>1</v>
      </c>
      <c r="AT76" s="36" t="s">
        <v>1</v>
      </c>
      <c r="AU76" s="47" t="s">
        <v>1</v>
      </c>
      <c r="AV76" s="36" t="s">
        <v>1</v>
      </c>
      <c r="AW76" s="47" t="s">
        <v>1</v>
      </c>
      <c r="AX76" s="36" t="s">
        <v>2065</v>
      </c>
      <c r="AY76" s="47" t="s">
        <v>2193</v>
      </c>
      <c r="AZ76" s="36" t="s">
        <v>1299</v>
      </c>
      <c r="BA76" s="47" t="s">
        <v>2193</v>
      </c>
      <c r="BB76" s="36" t="s">
        <v>2188</v>
      </c>
      <c r="BC76" s="47" t="s">
        <v>819</v>
      </c>
      <c r="BD76" s="36" t="s">
        <v>2189</v>
      </c>
      <c r="BE76" s="47" t="str">
        <f t="shared" si="3"/>
        <v>"Região.Administrativa"</v>
      </c>
    </row>
    <row r="77" spans="1:57" ht="6.65" customHeight="1" x14ac:dyDescent="0.4">
      <c r="A77" s="93">
        <v>241</v>
      </c>
      <c r="B77" s="74" t="s">
        <v>832</v>
      </c>
      <c r="C77" s="44" t="s">
        <v>655</v>
      </c>
      <c r="D77" s="18" t="s">
        <v>744</v>
      </c>
      <c r="E77" s="48" t="s">
        <v>753</v>
      </c>
      <c r="F77" s="18" t="s">
        <v>1</v>
      </c>
      <c r="G77" s="20" t="s">
        <v>1</v>
      </c>
      <c r="H77" s="18" t="s">
        <v>1</v>
      </c>
      <c r="I77" s="20" t="s">
        <v>1</v>
      </c>
      <c r="J77" s="18" t="s">
        <v>1</v>
      </c>
      <c r="K77" s="20" t="s">
        <v>1</v>
      </c>
      <c r="L77" s="18" t="s">
        <v>1</v>
      </c>
      <c r="M77" s="20" t="s">
        <v>1</v>
      </c>
      <c r="N77" s="46" t="s">
        <v>82</v>
      </c>
      <c r="O77" s="31" t="str">
        <f t="shared" ref="O77:O109" si="4">_xlfn.CONCAT("""","Região Administrativa (RA) de Rio de Janeiro: ", B77,"""")</f>
        <v>"Região Administrativa (RA) de Rio de Janeiro: RA.Portuária"</v>
      </c>
      <c r="P77" s="46" t="s">
        <v>1</v>
      </c>
      <c r="Q77" s="25" t="s">
        <v>1</v>
      </c>
      <c r="R77" s="46" t="s">
        <v>1</v>
      </c>
      <c r="S77" s="52" t="s">
        <v>1</v>
      </c>
      <c r="T77" s="46" t="s">
        <v>1</v>
      </c>
      <c r="U77" s="31" t="s">
        <v>1</v>
      </c>
      <c r="V77" s="46" t="s">
        <v>1</v>
      </c>
      <c r="W77" s="31" t="s">
        <v>1</v>
      </c>
      <c r="X77" s="46" t="s">
        <v>1</v>
      </c>
      <c r="Y77" s="31" t="s">
        <v>1</v>
      </c>
      <c r="Z77" s="46" t="s">
        <v>1</v>
      </c>
      <c r="AA77" s="31" t="s">
        <v>1</v>
      </c>
      <c r="AB77" s="46" t="s">
        <v>1</v>
      </c>
      <c r="AC77" s="47" t="s">
        <v>1</v>
      </c>
      <c r="AD77" s="36" t="s">
        <v>1</v>
      </c>
      <c r="AE77" s="51" t="s">
        <v>1</v>
      </c>
      <c r="AF77" s="36" t="s">
        <v>1</v>
      </c>
      <c r="AG77" s="51" t="s">
        <v>1</v>
      </c>
      <c r="AH77" s="36" t="s">
        <v>1</v>
      </c>
      <c r="AI77" s="51" t="s">
        <v>1</v>
      </c>
      <c r="AJ77" s="36" t="s">
        <v>1</v>
      </c>
      <c r="AK77" s="51" t="s">
        <v>1</v>
      </c>
      <c r="AL77" s="36" t="s">
        <v>1</v>
      </c>
      <c r="AM77" s="31" t="s">
        <v>1</v>
      </c>
      <c r="AN77" s="36" t="s">
        <v>1</v>
      </c>
      <c r="AO77" s="31" t="s">
        <v>1</v>
      </c>
      <c r="AP77" s="36" t="s">
        <v>1</v>
      </c>
      <c r="AQ77" s="51" t="s">
        <v>1</v>
      </c>
      <c r="AR77" s="36" t="s">
        <v>1</v>
      </c>
      <c r="AS77" s="47" t="s">
        <v>1</v>
      </c>
      <c r="AT77" s="36" t="s">
        <v>1</v>
      </c>
      <c r="AU77" s="47" t="s">
        <v>1</v>
      </c>
      <c r="AV77" s="36" t="s">
        <v>1</v>
      </c>
      <c r="AW77" s="47" t="s">
        <v>1</v>
      </c>
      <c r="AX77" s="36" t="s">
        <v>2065</v>
      </c>
      <c r="AY77" s="47" t="s">
        <v>2193</v>
      </c>
      <c r="AZ77" s="36" t="s">
        <v>1299</v>
      </c>
      <c r="BA77" s="47" t="s">
        <v>2193</v>
      </c>
      <c r="BB77" s="36" t="s">
        <v>2188</v>
      </c>
      <c r="BC77" s="47" t="s">
        <v>819</v>
      </c>
      <c r="BD77" s="36" t="s">
        <v>2189</v>
      </c>
      <c r="BE77" s="47" t="str">
        <f t="shared" si="3"/>
        <v>"Região.Administrativa"</v>
      </c>
    </row>
    <row r="78" spans="1:57" ht="6.65" customHeight="1" x14ac:dyDescent="0.4">
      <c r="A78" s="93">
        <v>242</v>
      </c>
      <c r="B78" s="74" t="s">
        <v>834</v>
      </c>
      <c r="C78" s="44" t="s">
        <v>655</v>
      </c>
      <c r="D78" s="18" t="s">
        <v>744</v>
      </c>
      <c r="E78" s="48" t="s">
        <v>753</v>
      </c>
      <c r="F78" s="18" t="s">
        <v>1</v>
      </c>
      <c r="G78" s="20" t="s">
        <v>1</v>
      </c>
      <c r="H78" s="18" t="s">
        <v>1</v>
      </c>
      <c r="I78" s="20" t="s">
        <v>1</v>
      </c>
      <c r="J78" s="18" t="s">
        <v>1</v>
      </c>
      <c r="K78" s="20" t="s">
        <v>1</v>
      </c>
      <c r="L78" s="18" t="s">
        <v>1</v>
      </c>
      <c r="M78" s="20" t="s">
        <v>1</v>
      </c>
      <c r="N78" s="46" t="s">
        <v>82</v>
      </c>
      <c r="O78" s="31" t="str">
        <f t="shared" si="4"/>
        <v>"Região Administrativa (RA) de Rio de Janeiro: RA.Centro"</v>
      </c>
      <c r="P78" s="46" t="s">
        <v>1</v>
      </c>
      <c r="Q78" s="25" t="s">
        <v>1</v>
      </c>
      <c r="R78" s="46" t="s">
        <v>1</v>
      </c>
      <c r="S78" s="52" t="s">
        <v>1</v>
      </c>
      <c r="T78" s="46" t="s">
        <v>1</v>
      </c>
      <c r="U78" s="31" t="s">
        <v>1</v>
      </c>
      <c r="V78" s="46" t="s">
        <v>1</v>
      </c>
      <c r="W78" s="31" t="s">
        <v>1</v>
      </c>
      <c r="X78" s="46" t="s">
        <v>1</v>
      </c>
      <c r="Y78" s="31" t="s">
        <v>1</v>
      </c>
      <c r="Z78" s="46" t="s">
        <v>1</v>
      </c>
      <c r="AA78" s="31" t="s">
        <v>1</v>
      </c>
      <c r="AB78" s="46" t="s">
        <v>1</v>
      </c>
      <c r="AC78" s="47" t="s">
        <v>1</v>
      </c>
      <c r="AD78" s="36" t="s">
        <v>1</v>
      </c>
      <c r="AE78" s="51" t="s">
        <v>1</v>
      </c>
      <c r="AF78" s="36" t="s">
        <v>1</v>
      </c>
      <c r="AG78" s="51" t="s">
        <v>1</v>
      </c>
      <c r="AH78" s="36" t="s">
        <v>1</v>
      </c>
      <c r="AI78" s="51" t="s">
        <v>1</v>
      </c>
      <c r="AJ78" s="36" t="s">
        <v>1</v>
      </c>
      <c r="AK78" s="51" t="s">
        <v>1</v>
      </c>
      <c r="AL78" s="36" t="s">
        <v>1</v>
      </c>
      <c r="AM78" s="31" t="s">
        <v>1</v>
      </c>
      <c r="AN78" s="36" t="s">
        <v>1</v>
      </c>
      <c r="AO78" s="31" t="s">
        <v>1</v>
      </c>
      <c r="AP78" s="36" t="s">
        <v>1</v>
      </c>
      <c r="AQ78" s="51" t="s">
        <v>1</v>
      </c>
      <c r="AR78" s="36" t="s">
        <v>1</v>
      </c>
      <c r="AS78" s="47" t="s">
        <v>1</v>
      </c>
      <c r="AT78" s="36" t="s">
        <v>1</v>
      </c>
      <c r="AU78" s="47" t="s">
        <v>1</v>
      </c>
      <c r="AV78" s="36" t="s">
        <v>1</v>
      </c>
      <c r="AW78" s="47" t="s">
        <v>1</v>
      </c>
      <c r="AX78" s="36" t="s">
        <v>2065</v>
      </c>
      <c r="AY78" s="47" t="s">
        <v>2193</v>
      </c>
      <c r="AZ78" s="36" t="s">
        <v>1299</v>
      </c>
      <c r="BA78" s="47" t="s">
        <v>2193</v>
      </c>
      <c r="BB78" s="36" t="s">
        <v>2188</v>
      </c>
      <c r="BC78" s="47" t="s">
        <v>819</v>
      </c>
      <c r="BD78" s="36" t="s">
        <v>2189</v>
      </c>
      <c r="BE78" s="47" t="str">
        <f t="shared" si="3"/>
        <v>"Região.Administrativa"</v>
      </c>
    </row>
    <row r="79" spans="1:57" ht="6.65" customHeight="1" x14ac:dyDescent="0.4">
      <c r="A79" s="93">
        <v>243</v>
      </c>
      <c r="B79" s="74" t="s">
        <v>836</v>
      </c>
      <c r="C79" s="44" t="s">
        <v>655</v>
      </c>
      <c r="D79" s="18" t="s">
        <v>744</v>
      </c>
      <c r="E79" s="48" t="s">
        <v>753</v>
      </c>
      <c r="F79" s="18" t="s">
        <v>1</v>
      </c>
      <c r="G79" s="20" t="s">
        <v>1</v>
      </c>
      <c r="H79" s="18" t="s">
        <v>1</v>
      </c>
      <c r="I79" s="20" t="s">
        <v>1</v>
      </c>
      <c r="J79" s="18" t="s">
        <v>1</v>
      </c>
      <c r="K79" s="20" t="s">
        <v>1</v>
      </c>
      <c r="L79" s="18" t="s">
        <v>1</v>
      </c>
      <c r="M79" s="20" t="s">
        <v>1</v>
      </c>
      <c r="N79" s="46" t="s">
        <v>82</v>
      </c>
      <c r="O79" s="31" t="str">
        <f t="shared" si="4"/>
        <v>"Região Administrativa (RA) de Rio de Janeiro: RA.Rio.Comprido"</v>
      </c>
      <c r="P79" s="46" t="s">
        <v>1</v>
      </c>
      <c r="Q79" s="25" t="s">
        <v>1</v>
      </c>
      <c r="R79" s="46" t="s">
        <v>1</v>
      </c>
      <c r="S79" s="52" t="s">
        <v>1</v>
      </c>
      <c r="T79" s="46" t="s">
        <v>1</v>
      </c>
      <c r="U79" s="31" t="s">
        <v>1</v>
      </c>
      <c r="V79" s="46" t="s">
        <v>1</v>
      </c>
      <c r="W79" s="31" t="s">
        <v>1</v>
      </c>
      <c r="X79" s="46" t="s">
        <v>1</v>
      </c>
      <c r="Y79" s="31" t="s">
        <v>1</v>
      </c>
      <c r="Z79" s="46" t="s">
        <v>1</v>
      </c>
      <c r="AA79" s="31" t="s">
        <v>1</v>
      </c>
      <c r="AB79" s="46" t="s">
        <v>1</v>
      </c>
      <c r="AC79" s="47" t="s">
        <v>1</v>
      </c>
      <c r="AD79" s="36" t="s">
        <v>1</v>
      </c>
      <c r="AE79" s="51" t="s">
        <v>1</v>
      </c>
      <c r="AF79" s="36" t="s">
        <v>1</v>
      </c>
      <c r="AG79" s="51" t="s">
        <v>1</v>
      </c>
      <c r="AH79" s="36" t="s">
        <v>1</v>
      </c>
      <c r="AI79" s="51" t="s">
        <v>1</v>
      </c>
      <c r="AJ79" s="36" t="s">
        <v>1</v>
      </c>
      <c r="AK79" s="51" t="s">
        <v>1</v>
      </c>
      <c r="AL79" s="36" t="s">
        <v>1</v>
      </c>
      <c r="AM79" s="31" t="s">
        <v>1</v>
      </c>
      <c r="AN79" s="36" t="s">
        <v>1</v>
      </c>
      <c r="AO79" s="31" t="s">
        <v>1</v>
      </c>
      <c r="AP79" s="36" t="s">
        <v>1</v>
      </c>
      <c r="AQ79" s="51" t="s">
        <v>1</v>
      </c>
      <c r="AR79" s="36" t="s">
        <v>1</v>
      </c>
      <c r="AS79" s="47" t="s">
        <v>1</v>
      </c>
      <c r="AT79" s="36" t="s">
        <v>1</v>
      </c>
      <c r="AU79" s="47" t="s">
        <v>1</v>
      </c>
      <c r="AV79" s="36" t="s">
        <v>1</v>
      </c>
      <c r="AW79" s="47" t="s">
        <v>1</v>
      </c>
      <c r="AX79" s="36" t="s">
        <v>2065</v>
      </c>
      <c r="AY79" s="47" t="s">
        <v>2193</v>
      </c>
      <c r="AZ79" s="36" t="s">
        <v>1299</v>
      </c>
      <c r="BA79" s="47" t="s">
        <v>2193</v>
      </c>
      <c r="BB79" s="36" t="s">
        <v>2188</v>
      </c>
      <c r="BC79" s="47" t="s">
        <v>819</v>
      </c>
      <c r="BD79" s="36" t="s">
        <v>2189</v>
      </c>
      <c r="BE79" s="47" t="str">
        <f t="shared" si="3"/>
        <v>"Região.Administrativa"</v>
      </c>
    </row>
    <row r="80" spans="1:57" ht="6.65" customHeight="1" x14ac:dyDescent="0.4">
      <c r="A80" s="93">
        <v>244</v>
      </c>
      <c r="B80" s="74" t="s">
        <v>838</v>
      </c>
      <c r="C80" s="44" t="s">
        <v>655</v>
      </c>
      <c r="D80" s="18" t="s">
        <v>744</v>
      </c>
      <c r="E80" s="48" t="s">
        <v>753</v>
      </c>
      <c r="F80" s="18" t="s">
        <v>1</v>
      </c>
      <c r="G80" s="20" t="s">
        <v>1</v>
      </c>
      <c r="H80" s="18" t="s">
        <v>1</v>
      </c>
      <c r="I80" s="20" t="s">
        <v>1</v>
      </c>
      <c r="J80" s="18" t="s">
        <v>1</v>
      </c>
      <c r="K80" s="20" t="s">
        <v>1</v>
      </c>
      <c r="L80" s="18" t="s">
        <v>1</v>
      </c>
      <c r="M80" s="20" t="s">
        <v>1</v>
      </c>
      <c r="N80" s="46" t="s">
        <v>82</v>
      </c>
      <c r="O80" s="31" t="str">
        <f t="shared" si="4"/>
        <v>"Região Administrativa (RA) de Rio de Janeiro: RA.Botafogo"</v>
      </c>
      <c r="P80" s="46" t="s">
        <v>1</v>
      </c>
      <c r="Q80" s="25" t="s">
        <v>1</v>
      </c>
      <c r="R80" s="46" t="s">
        <v>1</v>
      </c>
      <c r="S80" s="52" t="s">
        <v>1</v>
      </c>
      <c r="T80" s="46" t="s">
        <v>1</v>
      </c>
      <c r="U80" s="31" t="s">
        <v>1</v>
      </c>
      <c r="V80" s="46" t="s">
        <v>1</v>
      </c>
      <c r="W80" s="31" t="s">
        <v>1</v>
      </c>
      <c r="X80" s="46" t="s">
        <v>1</v>
      </c>
      <c r="Y80" s="31" t="s">
        <v>1</v>
      </c>
      <c r="Z80" s="46" t="s">
        <v>1</v>
      </c>
      <c r="AA80" s="31" t="s">
        <v>1</v>
      </c>
      <c r="AB80" s="46" t="s">
        <v>1</v>
      </c>
      <c r="AC80" s="47" t="s">
        <v>1</v>
      </c>
      <c r="AD80" s="36" t="s">
        <v>1</v>
      </c>
      <c r="AE80" s="51" t="s">
        <v>1</v>
      </c>
      <c r="AF80" s="36" t="s">
        <v>1</v>
      </c>
      <c r="AG80" s="51" t="s">
        <v>1</v>
      </c>
      <c r="AH80" s="36" t="s">
        <v>1</v>
      </c>
      <c r="AI80" s="51" t="s">
        <v>1</v>
      </c>
      <c r="AJ80" s="36" t="s">
        <v>1</v>
      </c>
      <c r="AK80" s="51" t="s">
        <v>1</v>
      </c>
      <c r="AL80" s="36" t="s">
        <v>1</v>
      </c>
      <c r="AM80" s="31" t="s">
        <v>1</v>
      </c>
      <c r="AN80" s="36" t="s">
        <v>1</v>
      </c>
      <c r="AO80" s="31" t="s">
        <v>1</v>
      </c>
      <c r="AP80" s="36" t="s">
        <v>1</v>
      </c>
      <c r="AQ80" s="51" t="s">
        <v>1</v>
      </c>
      <c r="AR80" s="36" t="s">
        <v>1</v>
      </c>
      <c r="AS80" s="47" t="s">
        <v>1</v>
      </c>
      <c r="AT80" s="36" t="s">
        <v>1</v>
      </c>
      <c r="AU80" s="47" t="s">
        <v>1</v>
      </c>
      <c r="AV80" s="36" t="s">
        <v>1</v>
      </c>
      <c r="AW80" s="47" t="s">
        <v>1</v>
      </c>
      <c r="AX80" s="36" t="s">
        <v>2065</v>
      </c>
      <c r="AY80" s="47" t="s">
        <v>2193</v>
      </c>
      <c r="AZ80" s="36" t="s">
        <v>1299</v>
      </c>
      <c r="BA80" s="47" t="s">
        <v>2193</v>
      </c>
      <c r="BB80" s="36" t="s">
        <v>2188</v>
      </c>
      <c r="BC80" s="47" t="s">
        <v>819</v>
      </c>
      <c r="BD80" s="36" t="s">
        <v>2189</v>
      </c>
      <c r="BE80" s="47" t="str">
        <f t="shared" si="3"/>
        <v>"Região.Administrativa"</v>
      </c>
    </row>
    <row r="81" spans="1:57" ht="6.65" customHeight="1" x14ac:dyDescent="0.4">
      <c r="A81" s="93">
        <v>245</v>
      </c>
      <c r="B81" s="74" t="s">
        <v>840</v>
      </c>
      <c r="C81" s="44" t="s">
        <v>655</v>
      </c>
      <c r="D81" s="18" t="s">
        <v>744</v>
      </c>
      <c r="E81" s="48" t="s">
        <v>753</v>
      </c>
      <c r="F81" s="18" t="s">
        <v>1</v>
      </c>
      <c r="G81" s="20" t="s">
        <v>1</v>
      </c>
      <c r="H81" s="18" t="s">
        <v>1</v>
      </c>
      <c r="I81" s="20" t="s">
        <v>1</v>
      </c>
      <c r="J81" s="18" t="s">
        <v>1</v>
      </c>
      <c r="K81" s="20" t="s">
        <v>1</v>
      </c>
      <c r="L81" s="18" t="s">
        <v>1</v>
      </c>
      <c r="M81" s="20" t="s">
        <v>1</v>
      </c>
      <c r="N81" s="46" t="s">
        <v>82</v>
      </c>
      <c r="O81" s="31" t="str">
        <f t="shared" si="4"/>
        <v>"Região Administrativa (RA) de Rio de Janeiro: RA.Copacabana"</v>
      </c>
      <c r="P81" s="46" t="s">
        <v>1</v>
      </c>
      <c r="Q81" s="25" t="s">
        <v>1</v>
      </c>
      <c r="R81" s="46" t="s">
        <v>1</v>
      </c>
      <c r="S81" s="52" t="s">
        <v>1</v>
      </c>
      <c r="T81" s="46" t="s">
        <v>1</v>
      </c>
      <c r="U81" s="31" t="s">
        <v>1</v>
      </c>
      <c r="V81" s="46" t="s">
        <v>1</v>
      </c>
      <c r="W81" s="31" t="s">
        <v>1</v>
      </c>
      <c r="X81" s="46" t="s">
        <v>1</v>
      </c>
      <c r="Y81" s="31" t="s">
        <v>1</v>
      </c>
      <c r="Z81" s="46" t="s">
        <v>1</v>
      </c>
      <c r="AA81" s="31" t="s">
        <v>1</v>
      </c>
      <c r="AB81" s="46" t="s">
        <v>1</v>
      </c>
      <c r="AC81" s="47" t="s">
        <v>1</v>
      </c>
      <c r="AD81" s="36" t="s">
        <v>1</v>
      </c>
      <c r="AE81" s="51" t="s">
        <v>1</v>
      </c>
      <c r="AF81" s="36" t="s">
        <v>1</v>
      </c>
      <c r="AG81" s="51" t="s">
        <v>1</v>
      </c>
      <c r="AH81" s="36" t="s">
        <v>1</v>
      </c>
      <c r="AI81" s="51" t="s">
        <v>1</v>
      </c>
      <c r="AJ81" s="36" t="s">
        <v>1</v>
      </c>
      <c r="AK81" s="51" t="s">
        <v>1</v>
      </c>
      <c r="AL81" s="36" t="s">
        <v>1</v>
      </c>
      <c r="AM81" s="31" t="s">
        <v>1</v>
      </c>
      <c r="AN81" s="36" t="s">
        <v>1</v>
      </c>
      <c r="AO81" s="31" t="s">
        <v>1</v>
      </c>
      <c r="AP81" s="36" t="s">
        <v>1</v>
      </c>
      <c r="AQ81" s="51" t="s">
        <v>1</v>
      </c>
      <c r="AR81" s="36" t="s">
        <v>1</v>
      </c>
      <c r="AS81" s="47" t="s">
        <v>1</v>
      </c>
      <c r="AT81" s="36" t="s">
        <v>1</v>
      </c>
      <c r="AU81" s="47" t="s">
        <v>1</v>
      </c>
      <c r="AV81" s="36" t="s">
        <v>1</v>
      </c>
      <c r="AW81" s="47" t="s">
        <v>1</v>
      </c>
      <c r="AX81" s="36" t="s">
        <v>2065</v>
      </c>
      <c r="AY81" s="47" t="s">
        <v>2193</v>
      </c>
      <c r="AZ81" s="36" t="s">
        <v>1299</v>
      </c>
      <c r="BA81" s="47" t="s">
        <v>2193</v>
      </c>
      <c r="BB81" s="36" t="s">
        <v>2188</v>
      </c>
      <c r="BC81" s="47" t="s">
        <v>819</v>
      </c>
      <c r="BD81" s="36" t="s">
        <v>2189</v>
      </c>
      <c r="BE81" s="47" t="str">
        <f t="shared" si="3"/>
        <v>"Região.Administrativa"</v>
      </c>
    </row>
    <row r="82" spans="1:57" ht="6.65" customHeight="1" x14ac:dyDescent="0.4">
      <c r="A82" s="93">
        <v>246</v>
      </c>
      <c r="B82" s="74" t="s">
        <v>842</v>
      </c>
      <c r="C82" s="44" t="s">
        <v>655</v>
      </c>
      <c r="D82" s="18" t="s">
        <v>744</v>
      </c>
      <c r="E82" s="48" t="s">
        <v>753</v>
      </c>
      <c r="F82" s="18" t="s">
        <v>1</v>
      </c>
      <c r="G82" s="20" t="s">
        <v>1</v>
      </c>
      <c r="H82" s="18" t="s">
        <v>1</v>
      </c>
      <c r="I82" s="20" t="s">
        <v>1</v>
      </c>
      <c r="J82" s="18" t="s">
        <v>1</v>
      </c>
      <c r="K82" s="20" t="s">
        <v>1</v>
      </c>
      <c r="L82" s="18" t="s">
        <v>1</v>
      </c>
      <c r="M82" s="20" t="s">
        <v>1</v>
      </c>
      <c r="N82" s="46" t="s">
        <v>82</v>
      </c>
      <c r="O82" s="31" t="str">
        <f t="shared" si="4"/>
        <v>"Região Administrativa (RA) de Rio de Janeiro: RA.Lagoa"</v>
      </c>
      <c r="P82" s="46" t="s">
        <v>1</v>
      </c>
      <c r="Q82" s="25" t="s">
        <v>1</v>
      </c>
      <c r="R82" s="46" t="s">
        <v>1</v>
      </c>
      <c r="S82" s="52" t="s">
        <v>1</v>
      </c>
      <c r="T82" s="46" t="s">
        <v>1</v>
      </c>
      <c r="U82" s="31" t="s">
        <v>1</v>
      </c>
      <c r="V82" s="46" t="s">
        <v>1</v>
      </c>
      <c r="W82" s="31" t="s">
        <v>1</v>
      </c>
      <c r="X82" s="46" t="s">
        <v>1</v>
      </c>
      <c r="Y82" s="31" t="s">
        <v>1</v>
      </c>
      <c r="Z82" s="46" t="s">
        <v>1</v>
      </c>
      <c r="AA82" s="31" t="s">
        <v>1</v>
      </c>
      <c r="AB82" s="46" t="s">
        <v>1</v>
      </c>
      <c r="AC82" s="47" t="s">
        <v>1</v>
      </c>
      <c r="AD82" s="36" t="s">
        <v>1</v>
      </c>
      <c r="AE82" s="51" t="s">
        <v>1</v>
      </c>
      <c r="AF82" s="36" t="s">
        <v>1</v>
      </c>
      <c r="AG82" s="51" t="s">
        <v>1</v>
      </c>
      <c r="AH82" s="36" t="s">
        <v>1</v>
      </c>
      <c r="AI82" s="51" t="s">
        <v>1</v>
      </c>
      <c r="AJ82" s="36" t="s">
        <v>1</v>
      </c>
      <c r="AK82" s="51" t="s">
        <v>1</v>
      </c>
      <c r="AL82" s="36" t="s">
        <v>1</v>
      </c>
      <c r="AM82" s="31" t="s">
        <v>1</v>
      </c>
      <c r="AN82" s="36" t="s">
        <v>1</v>
      </c>
      <c r="AO82" s="31" t="s">
        <v>1</v>
      </c>
      <c r="AP82" s="36" t="s">
        <v>1</v>
      </c>
      <c r="AQ82" s="51" t="s">
        <v>1</v>
      </c>
      <c r="AR82" s="36" t="s">
        <v>1</v>
      </c>
      <c r="AS82" s="47" t="s">
        <v>1</v>
      </c>
      <c r="AT82" s="36" t="s">
        <v>1</v>
      </c>
      <c r="AU82" s="47" t="s">
        <v>1</v>
      </c>
      <c r="AV82" s="36" t="s">
        <v>1</v>
      </c>
      <c r="AW82" s="47" t="s">
        <v>1</v>
      </c>
      <c r="AX82" s="36" t="s">
        <v>2065</v>
      </c>
      <c r="AY82" s="47" t="s">
        <v>2193</v>
      </c>
      <c r="AZ82" s="36" t="s">
        <v>1299</v>
      </c>
      <c r="BA82" s="47" t="s">
        <v>2193</v>
      </c>
      <c r="BB82" s="36" t="s">
        <v>2188</v>
      </c>
      <c r="BC82" s="47" t="s">
        <v>819</v>
      </c>
      <c r="BD82" s="36" t="s">
        <v>2189</v>
      </c>
      <c r="BE82" s="47" t="str">
        <f t="shared" si="3"/>
        <v>"Região.Administrativa"</v>
      </c>
    </row>
    <row r="83" spans="1:57" ht="6.65" customHeight="1" x14ac:dyDescent="0.4">
      <c r="A83" s="93">
        <v>247</v>
      </c>
      <c r="B83" s="74" t="s">
        <v>844</v>
      </c>
      <c r="C83" s="44" t="s">
        <v>655</v>
      </c>
      <c r="D83" s="18" t="s">
        <v>744</v>
      </c>
      <c r="E83" s="48" t="s">
        <v>753</v>
      </c>
      <c r="F83" s="18" t="s">
        <v>1</v>
      </c>
      <c r="G83" s="20" t="s">
        <v>1</v>
      </c>
      <c r="H83" s="18" t="s">
        <v>1</v>
      </c>
      <c r="I83" s="20" t="s">
        <v>1</v>
      </c>
      <c r="J83" s="18" t="s">
        <v>1</v>
      </c>
      <c r="K83" s="20" t="s">
        <v>1</v>
      </c>
      <c r="L83" s="18" t="s">
        <v>1</v>
      </c>
      <c r="M83" s="20" t="s">
        <v>1</v>
      </c>
      <c r="N83" s="46" t="s">
        <v>82</v>
      </c>
      <c r="O83" s="31" t="str">
        <f t="shared" si="4"/>
        <v>"Região Administrativa (RA) de Rio de Janeiro: RA.São.Cristóvão"</v>
      </c>
      <c r="P83" s="46" t="s">
        <v>1</v>
      </c>
      <c r="Q83" s="25" t="s">
        <v>1</v>
      </c>
      <c r="R83" s="46" t="s">
        <v>1</v>
      </c>
      <c r="S83" s="52" t="s">
        <v>1</v>
      </c>
      <c r="T83" s="46" t="s">
        <v>1</v>
      </c>
      <c r="U83" s="31" t="s">
        <v>1</v>
      </c>
      <c r="V83" s="46" t="s">
        <v>1</v>
      </c>
      <c r="W83" s="31" t="s">
        <v>1</v>
      </c>
      <c r="X83" s="46" t="s">
        <v>1</v>
      </c>
      <c r="Y83" s="31" t="s">
        <v>1</v>
      </c>
      <c r="Z83" s="46" t="s">
        <v>1</v>
      </c>
      <c r="AA83" s="31" t="s">
        <v>1</v>
      </c>
      <c r="AB83" s="46" t="s">
        <v>1</v>
      </c>
      <c r="AC83" s="47" t="s">
        <v>1</v>
      </c>
      <c r="AD83" s="36" t="s">
        <v>1</v>
      </c>
      <c r="AE83" s="51" t="s">
        <v>1</v>
      </c>
      <c r="AF83" s="36" t="s">
        <v>1</v>
      </c>
      <c r="AG83" s="51" t="s">
        <v>1</v>
      </c>
      <c r="AH83" s="36" t="s">
        <v>1</v>
      </c>
      <c r="AI83" s="51" t="s">
        <v>1</v>
      </c>
      <c r="AJ83" s="36" t="s">
        <v>1</v>
      </c>
      <c r="AK83" s="51" t="s">
        <v>1</v>
      </c>
      <c r="AL83" s="36" t="s">
        <v>1</v>
      </c>
      <c r="AM83" s="31" t="s">
        <v>1</v>
      </c>
      <c r="AN83" s="36" t="s">
        <v>1</v>
      </c>
      <c r="AO83" s="31" t="s">
        <v>1</v>
      </c>
      <c r="AP83" s="36" t="s">
        <v>1</v>
      </c>
      <c r="AQ83" s="51" t="s">
        <v>1</v>
      </c>
      <c r="AR83" s="36" t="s">
        <v>1</v>
      </c>
      <c r="AS83" s="47" t="s">
        <v>1</v>
      </c>
      <c r="AT83" s="36" t="s">
        <v>1</v>
      </c>
      <c r="AU83" s="47" t="s">
        <v>1</v>
      </c>
      <c r="AV83" s="36" t="s">
        <v>1</v>
      </c>
      <c r="AW83" s="47" t="s">
        <v>1</v>
      </c>
      <c r="AX83" s="36" t="s">
        <v>2065</v>
      </c>
      <c r="AY83" s="47" t="s">
        <v>2193</v>
      </c>
      <c r="AZ83" s="36" t="s">
        <v>1299</v>
      </c>
      <c r="BA83" s="47" t="s">
        <v>2193</v>
      </c>
      <c r="BB83" s="36" t="s">
        <v>2188</v>
      </c>
      <c r="BC83" s="47" t="s">
        <v>819</v>
      </c>
      <c r="BD83" s="36" t="s">
        <v>2189</v>
      </c>
      <c r="BE83" s="47" t="str">
        <f t="shared" si="3"/>
        <v>"Região.Administrativa"</v>
      </c>
    </row>
    <row r="84" spans="1:57" ht="6.65" customHeight="1" x14ac:dyDescent="0.4">
      <c r="A84" s="93">
        <v>248</v>
      </c>
      <c r="B84" s="74" t="s">
        <v>846</v>
      </c>
      <c r="C84" s="44" t="s">
        <v>655</v>
      </c>
      <c r="D84" s="18" t="s">
        <v>744</v>
      </c>
      <c r="E84" s="48" t="s">
        <v>753</v>
      </c>
      <c r="F84" s="18" t="s">
        <v>1</v>
      </c>
      <c r="G84" s="20" t="s">
        <v>1</v>
      </c>
      <c r="H84" s="18" t="s">
        <v>1</v>
      </c>
      <c r="I84" s="20" t="s">
        <v>1</v>
      </c>
      <c r="J84" s="18" t="s">
        <v>1</v>
      </c>
      <c r="K84" s="20" t="s">
        <v>1</v>
      </c>
      <c r="L84" s="18" t="s">
        <v>1</v>
      </c>
      <c r="M84" s="20" t="s">
        <v>1</v>
      </c>
      <c r="N84" s="46" t="s">
        <v>82</v>
      </c>
      <c r="O84" s="31" t="str">
        <f t="shared" si="4"/>
        <v>"Região Administrativa (RA) de Rio de Janeiro: RA.Tijuca"</v>
      </c>
      <c r="P84" s="46" t="s">
        <v>1</v>
      </c>
      <c r="Q84" s="25" t="s">
        <v>1</v>
      </c>
      <c r="R84" s="46" t="s">
        <v>1</v>
      </c>
      <c r="S84" s="52" t="s">
        <v>1</v>
      </c>
      <c r="T84" s="46" t="s">
        <v>1</v>
      </c>
      <c r="U84" s="31" t="s">
        <v>1</v>
      </c>
      <c r="V84" s="46" t="s">
        <v>1</v>
      </c>
      <c r="W84" s="31" t="s">
        <v>1</v>
      </c>
      <c r="X84" s="46" t="s">
        <v>1</v>
      </c>
      <c r="Y84" s="31" t="s">
        <v>1</v>
      </c>
      <c r="Z84" s="46" t="s">
        <v>1</v>
      </c>
      <c r="AA84" s="31" t="s">
        <v>1</v>
      </c>
      <c r="AB84" s="46" t="s">
        <v>1</v>
      </c>
      <c r="AC84" s="47" t="s">
        <v>1</v>
      </c>
      <c r="AD84" s="36" t="s">
        <v>1</v>
      </c>
      <c r="AE84" s="51" t="s">
        <v>1</v>
      </c>
      <c r="AF84" s="36" t="s">
        <v>1</v>
      </c>
      <c r="AG84" s="51" t="s">
        <v>1</v>
      </c>
      <c r="AH84" s="36" t="s">
        <v>1</v>
      </c>
      <c r="AI84" s="51" t="s">
        <v>1</v>
      </c>
      <c r="AJ84" s="36" t="s">
        <v>1</v>
      </c>
      <c r="AK84" s="51" t="s">
        <v>1</v>
      </c>
      <c r="AL84" s="36" t="s">
        <v>1</v>
      </c>
      <c r="AM84" s="31" t="s">
        <v>1</v>
      </c>
      <c r="AN84" s="36" t="s">
        <v>1</v>
      </c>
      <c r="AO84" s="31" t="s">
        <v>1</v>
      </c>
      <c r="AP84" s="36" t="s">
        <v>1</v>
      </c>
      <c r="AQ84" s="51" t="s">
        <v>1</v>
      </c>
      <c r="AR84" s="36" t="s">
        <v>1</v>
      </c>
      <c r="AS84" s="47" t="s">
        <v>1</v>
      </c>
      <c r="AT84" s="36" t="s">
        <v>1</v>
      </c>
      <c r="AU84" s="47" t="s">
        <v>1</v>
      </c>
      <c r="AV84" s="36" t="s">
        <v>1</v>
      </c>
      <c r="AW84" s="47" t="s">
        <v>1</v>
      </c>
      <c r="AX84" s="36" t="s">
        <v>2065</v>
      </c>
      <c r="AY84" s="47" t="s">
        <v>2193</v>
      </c>
      <c r="AZ84" s="36" t="s">
        <v>1299</v>
      </c>
      <c r="BA84" s="47" t="s">
        <v>2193</v>
      </c>
      <c r="BB84" s="36" t="s">
        <v>2188</v>
      </c>
      <c r="BC84" s="47" t="s">
        <v>819</v>
      </c>
      <c r="BD84" s="36" t="s">
        <v>2189</v>
      </c>
      <c r="BE84" s="47" t="str">
        <f t="shared" si="3"/>
        <v>"Região.Administrativa"</v>
      </c>
    </row>
    <row r="85" spans="1:57" ht="6.65" customHeight="1" x14ac:dyDescent="0.4">
      <c r="A85" s="93">
        <v>249</v>
      </c>
      <c r="B85" s="74" t="s">
        <v>848</v>
      </c>
      <c r="C85" s="44" t="s">
        <v>655</v>
      </c>
      <c r="D85" s="18" t="s">
        <v>744</v>
      </c>
      <c r="E85" s="48" t="s">
        <v>753</v>
      </c>
      <c r="F85" s="18" t="s">
        <v>1</v>
      </c>
      <c r="G85" s="20" t="s">
        <v>1</v>
      </c>
      <c r="H85" s="18" t="s">
        <v>1</v>
      </c>
      <c r="I85" s="20" t="s">
        <v>1</v>
      </c>
      <c r="J85" s="18" t="s">
        <v>1</v>
      </c>
      <c r="K85" s="20" t="s">
        <v>1</v>
      </c>
      <c r="L85" s="18" t="s">
        <v>1</v>
      </c>
      <c r="M85" s="20" t="s">
        <v>1</v>
      </c>
      <c r="N85" s="46" t="s">
        <v>82</v>
      </c>
      <c r="O85" s="31" t="str">
        <f t="shared" si="4"/>
        <v>"Região Administrativa (RA) de Rio de Janeiro: RA.Vila.Isabel"</v>
      </c>
      <c r="P85" s="46" t="s">
        <v>1</v>
      </c>
      <c r="Q85" s="25" t="s">
        <v>1</v>
      </c>
      <c r="R85" s="46" t="s">
        <v>1</v>
      </c>
      <c r="S85" s="52" t="s">
        <v>1</v>
      </c>
      <c r="T85" s="46" t="s">
        <v>1</v>
      </c>
      <c r="U85" s="31" t="s">
        <v>1</v>
      </c>
      <c r="V85" s="46" t="s">
        <v>1</v>
      </c>
      <c r="W85" s="31" t="s">
        <v>1</v>
      </c>
      <c r="X85" s="46" t="s">
        <v>1</v>
      </c>
      <c r="Y85" s="31" t="s">
        <v>1</v>
      </c>
      <c r="Z85" s="46" t="s">
        <v>1</v>
      </c>
      <c r="AA85" s="31" t="s">
        <v>1</v>
      </c>
      <c r="AB85" s="46" t="s">
        <v>1</v>
      </c>
      <c r="AC85" s="47" t="s">
        <v>1</v>
      </c>
      <c r="AD85" s="36" t="s">
        <v>1</v>
      </c>
      <c r="AE85" s="51" t="s">
        <v>1</v>
      </c>
      <c r="AF85" s="36" t="s">
        <v>1</v>
      </c>
      <c r="AG85" s="51" t="s">
        <v>1</v>
      </c>
      <c r="AH85" s="36" t="s">
        <v>1</v>
      </c>
      <c r="AI85" s="51" t="s">
        <v>1</v>
      </c>
      <c r="AJ85" s="36" t="s">
        <v>1</v>
      </c>
      <c r="AK85" s="51" t="s">
        <v>1</v>
      </c>
      <c r="AL85" s="36" t="s">
        <v>1</v>
      </c>
      <c r="AM85" s="31" t="s">
        <v>1</v>
      </c>
      <c r="AN85" s="36" t="s">
        <v>1</v>
      </c>
      <c r="AO85" s="31" t="s">
        <v>1</v>
      </c>
      <c r="AP85" s="36" t="s">
        <v>1</v>
      </c>
      <c r="AQ85" s="51" t="s">
        <v>1</v>
      </c>
      <c r="AR85" s="36" t="s">
        <v>1</v>
      </c>
      <c r="AS85" s="47" t="s">
        <v>1</v>
      </c>
      <c r="AT85" s="36" t="s">
        <v>1</v>
      </c>
      <c r="AU85" s="47" t="s">
        <v>1</v>
      </c>
      <c r="AV85" s="36" t="s">
        <v>1</v>
      </c>
      <c r="AW85" s="47" t="s">
        <v>1</v>
      </c>
      <c r="AX85" s="36" t="s">
        <v>2065</v>
      </c>
      <c r="AY85" s="47" t="s">
        <v>2193</v>
      </c>
      <c r="AZ85" s="36" t="s">
        <v>1299</v>
      </c>
      <c r="BA85" s="47" t="s">
        <v>2193</v>
      </c>
      <c r="BB85" s="36" t="s">
        <v>2188</v>
      </c>
      <c r="BC85" s="47" t="s">
        <v>819</v>
      </c>
      <c r="BD85" s="36" t="s">
        <v>2189</v>
      </c>
      <c r="BE85" s="47" t="str">
        <f t="shared" si="3"/>
        <v>"Região.Administrativa"</v>
      </c>
    </row>
    <row r="86" spans="1:57" ht="6.65" customHeight="1" x14ac:dyDescent="0.4">
      <c r="A86" s="93">
        <v>250</v>
      </c>
      <c r="B86" s="74" t="s">
        <v>850</v>
      </c>
      <c r="C86" s="44" t="s">
        <v>655</v>
      </c>
      <c r="D86" s="18" t="s">
        <v>744</v>
      </c>
      <c r="E86" s="48" t="s">
        <v>753</v>
      </c>
      <c r="F86" s="18" t="s">
        <v>1</v>
      </c>
      <c r="G86" s="20" t="s">
        <v>1</v>
      </c>
      <c r="H86" s="18" t="s">
        <v>1</v>
      </c>
      <c r="I86" s="20" t="s">
        <v>1</v>
      </c>
      <c r="J86" s="18" t="s">
        <v>1</v>
      </c>
      <c r="K86" s="20" t="s">
        <v>1</v>
      </c>
      <c r="L86" s="18" t="s">
        <v>1</v>
      </c>
      <c r="M86" s="20" t="s">
        <v>1</v>
      </c>
      <c r="N86" s="46" t="s">
        <v>82</v>
      </c>
      <c r="O86" s="31" t="str">
        <f t="shared" si="4"/>
        <v>"Região Administrativa (RA) de Rio de Janeiro: RA.Ramos"</v>
      </c>
      <c r="P86" s="46" t="s">
        <v>1</v>
      </c>
      <c r="Q86" s="25" t="s">
        <v>1</v>
      </c>
      <c r="R86" s="46" t="s">
        <v>1</v>
      </c>
      <c r="S86" s="52" t="s">
        <v>1</v>
      </c>
      <c r="T86" s="46" t="s">
        <v>1</v>
      </c>
      <c r="U86" s="31" t="s">
        <v>1</v>
      </c>
      <c r="V86" s="46" t="s">
        <v>1</v>
      </c>
      <c r="W86" s="31" t="s">
        <v>1</v>
      </c>
      <c r="X86" s="46" t="s">
        <v>1</v>
      </c>
      <c r="Y86" s="31" t="s">
        <v>1</v>
      </c>
      <c r="Z86" s="46" t="s">
        <v>1</v>
      </c>
      <c r="AA86" s="31" t="s">
        <v>1</v>
      </c>
      <c r="AB86" s="46" t="s">
        <v>1</v>
      </c>
      <c r="AC86" s="47" t="s">
        <v>1</v>
      </c>
      <c r="AD86" s="36" t="s">
        <v>1</v>
      </c>
      <c r="AE86" s="51" t="s">
        <v>1</v>
      </c>
      <c r="AF86" s="36" t="s">
        <v>1</v>
      </c>
      <c r="AG86" s="51" t="s">
        <v>1</v>
      </c>
      <c r="AH86" s="36" t="s">
        <v>1</v>
      </c>
      <c r="AI86" s="51" t="s">
        <v>1</v>
      </c>
      <c r="AJ86" s="36" t="s">
        <v>1</v>
      </c>
      <c r="AK86" s="51" t="s">
        <v>1</v>
      </c>
      <c r="AL86" s="36" t="s">
        <v>1</v>
      </c>
      <c r="AM86" s="31" t="s">
        <v>1</v>
      </c>
      <c r="AN86" s="36" t="s">
        <v>1</v>
      </c>
      <c r="AO86" s="31" t="s">
        <v>1</v>
      </c>
      <c r="AP86" s="36" t="s">
        <v>1</v>
      </c>
      <c r="AQ86" s="51" t="s">
        <v>1</v>
      </c>
      <c r="AR86" s="36" t="s">
        <v>1</v>
      </c>
      <c r="AS86" s="47" t="s">
        <v>1</v>
      </c>
      <c r="AT86" s="36" t="s">
        <v>1</v>
      </c>
      <c r="AU86" s="47" t="s">
        <v>1</v>
      </c>
      <c r="AV86" s="36" t="s">
        <v>1</v>
      </c>
      <c r="AW86" s="47" t="s">
        <v>1</v>
      </c>
      <c r="AX86" s="36" t="s">
        <v>2065</v>
      </c>
      <c r="AY86" s="47" t="s">
        <v>2193</v>
      </c>
      <c r="AZ86" s="36" t="s">
        <v>1299</v>
      </c>
      <c r="BA86" s="47" t="s">
        <v>2193</v>
      </c>
      <c r="BB86" s="36" t="s">
        <v>2188</v>
      </c>
      <c r="BC86" s="47" t="s">
        <v>819</v>
      </c>
      <c r="BD86" s="36" t="s">
        <v>2189</v>
      </c>
      <c r="BE86" s="47" t="str">
        <f t="shared" si="3"/>
        <v>"Região.Administrativa"</v>
      </c>
    </row>
    <row r="87" spans="1:57" ht="6.65" customHeight="1" x14ac:dyDescent="0.4">
      <c r="A87" s="93">
        <v>251</v>
      </c>
      <c r="B87" s="74" t="s">
        <v>852</v>
      </c>
      <c r="C87" s="44" t="s">
        <v>655</v>
      </c>
      <c r="D87" s="18" t="s">
        <v>744</v>
      </c>
      <c r="E87" s="48" t="s">
        <v>753</v>
      </c>
      <c r="F87" s="18" t="s">
        <v>1</v>
      </c>
      <c r="G87" s="20" t="s">
        <v>1</v>
      </c>
      <c r="H87" s="18" t="s">
        <v>1</v>
      </c>
      <c r="I87" s="20" t="s">
        <v>1</v>
      </c>
      <c r="J87" s="18" t="s">
        <v>1</v>
      </c>
      <c r="K87" s="20" t="s">
        <v>1</v>
      </c>
      <c r="L87" s="18" t="s">
        <v>1</v>
      </c>
      <c r="M87" s="20" t="s">
        <v>1</v>
      </c>
      <c r="N87" s="46" t="s">
        <v>82</v>
      </c>
      <c r="O87" s="31" t="str">
        <f t="shared" si="4"/>
        <v>"Região Administrativa (RA) de Rio de Janeiro: RA.Penha"</v>
      </c>
      <c r="P87" s="46" t="s">
        <v>1</v>
      </c>
      <c r="Q87" s="25" t="s">
        <v>1</v>
      </c>
      <c r="R87" s="46" t="s">
        <v>1</v>
      </c>
      <c r="S87" s="52" t="s">
        <v>1</v>
      </c>
      <c r="T87" s="46" t="s">
        <v>1</v>
      </c>
      <c r="U87" s="31" t="s">
        <v>1</v>
      </c>
      <c r="V87" s="46" t="s">
        <v>1</v>
      </c>
      <c r="W87" s="31" t="s">
        <v>1</v>
      </c>
      <c r="X87" s="46" t="s">
        <v>1</v>
      </c>
      <c r="Y87" s="31" t="s">
        <v>1</v>
      </c>
      <c r="Z87" s="46" t="s">
        <v>1</v>
      </c>
      <c r="AA87" s="31" t="s">
        <v>1</v>
      </c>
      <c r="AB87" s="46" t="s">
        <v>1</v>
      </c>
      <c r="AC87" s="47" t="s">
        <v>1</v>
      </c>
      <c r="AD87" s="36" t="s">
        <v>1</v>
      </c>
      <c r="AE87" s="51" t="s">
        <v>1</v>
      </c>
      <c r="AF87" s="36" t="s">
        <v>1</v>
      </c>
      <c r="AG87" s="51" t="s">
        <v>1</v>
      </c>
      <c r="AH87" s="36" t="s">
        <v>1</v>
      </c>
      <c r="AI87" s="51" t="s">
        <v>1</v>
      </c>
      <c r="AJ87" s="36" t="s">
        <v>1</v>
      </c>
      <c r="AK87" s="51" t="s">
        <v>1</v>
      </c>
      <c r="AL87" s="36" t="s">
        <v>1</v>
      </c>
      <c r="AM87" s="31" t="s">
        <v>1</v>
      </c>
      <c r="AN87" s="36" t="s">
        <v>1</v>
      </c>
      <c r="AO87" s="31" t="s">
        <v>1</v>
      </c>
      <c r="AP87" s="36" t="s">
        <v>1</v>
      </c>
      <c r="AQ87" s="51" t="s">
        <v>1</v>
      </c>
      <c r="AR87" s="36" t="s">
        <v>1</v>
      </c>
      <c r="AS87" s="47" t="s">
        <v>1</v>
      </c>
      <c r="AT87" s="36" t="s">
        <v>1</v>
      </c>
      <c r="AU87" s="47" t="s">
        <v>1</v>
      </c>
      <c r="AV87" s="36" t="s">
        <v>1</v>
      </c>
      <c r="AW87" s="47" t="s">
        <v>1</v>
      </c>
      <c r="AX87" s="36" t="s">
        <v>2065</v>
      </c>
      <c r="AY87" s="47" t="s">
        <v>2193</v>
      </c>
      <c r="AZ87" s="36" t="s">
        <v>1299</v>
      </c>
      <c r="BA87" s="47" t="s">
        <v>2193</v>
      </c>
      <c r="BB87" s="36" t="s">
        <v>2188</v>
      </c>
      <c r="BC87" s="47" t="s">
        <v>819</v>
      </c>
      <c r="BD87" s="36" t="s">
        <v>2189</v>
      </c>
      <c r="BE87" s="47" t="str">
        <f t="shared" si="3"/>
        <v>"Região.Administrativa"</v>
      </c>
    </row>
    <row r="88" spans="1:57" ht="6.65" customHeight="1" x14ac:dyDescent="0.4">
      <c r="A88" s="93">
        <v>252</v>
      </c>
      <c r="B88" s="74" t="s">
        <v>854</v>
      </c>
      <c r="C88" s="44" t="s">
        <v>655</v>
      </c>
      <c r="D88" s="18" t="s">
        <v>744</v>
      </c>
      <c r="E88" s="48" t="s">
        <v>753</v>
      </c>
      <c r="F88" s="18" t="s">
        <v>1</v>
      </c>
      <c r="G88" s="20" t="s">
        <v>1</v>
      </c>
      <c r="H88" s="18" t="s">
        <v>1</v>
      </c>
      <c r="I88" s="20" t="s">
        <v>1</v>
      </c>
      <c r="J88" s="18" t="s">
        <v>1</v>
      </c>
      <c r="K88" s="20" t="s">
        <v>1</v>
      </c>
      <c r="L88" s="18" t="s">
        <v>1</v>
      </c>
      <c r="M88" s="20" t="s">
        <v>1</v>
      </c>
      <c r="N88" s="46" t="s">
        <v>82</v>
      </c>
      <c r="O88" s="31" t="str">
        <f t="shared" si="4"/>
        <v>"Região Administrativa (RA) de Rio de Janeiro: RA.Inhauma"</v>
      </c>
      <c r="P88" s="46" t="s">
        <v>1</v>
      </c>
      <c r="Q88" s="25" t="s">
        <v>1</v>
      </c>
      <c r="R88" s="46" t="s">
        <v>1</v>
      </c>
      <c r="S88" s="52" t="s">
        <v>1</v>
      </c>
      <c r="T88" s="46" t="s">
        <v>1</v>
      </c>
      <c r="U88" s="31" t="s">
        <v>1</v>
      </c>
      <c r="V88" s="46" t="s">
        <v>1</v>
      </c>
      <c r="W88" s="31" t="s">
        <v>1</v>
      </c>
      <c r="X88" s="46" t="s">
        <v>1</v>
      </c>
      <c r="Y88" s="31" t="s">
        <v>1</v>
      </c>
      <c r="Z88" s="46" t="s">
        <v>1</v>
      </c>
      <c r="AA88" s="31" t="s">
        <v>1</v>
      </c>
      <c r="AB88" s="46" t="s">
        <v>1</v>
      </c>
      <c r="AC88" s="47" t="s">
        <v>1</v>
      </c>
      <c r="AD88" s="36" t="s">
        <v>1</v>
      </c>
      <c r="AE88" s="51" t="s">
        <v>1</v>
      </c>
      <c r="AF88" s="36" t="s">
        <v>1</v>
      </c>
      <c r="AG88" s="51" t="s">
        <v>1</v>
      </c>
      <c r="AH88" s="36" t="s">
        <v>1</v>
      </c>
      <c r="AI88" s="51" t="s">
        <v>1</v>
      </c>
      <c r="AJ88" s="36" t="s">
        <v>1</v>
      </c>
      <c r="AK88" s="51" t="s">
        <v>1</v>
      </c>
      <c r="AL88" s="36" t="s">
        <v>1</v>
      </c>
      <c r="AM88" s="31" t="s">
        <v>1</v>
      </c>
      <c r="AN88" s="36" t="s">
        <v>1</v>
      </c>
      <c r="AO88" s="31" t="s">
        <v>1</v>
      </c>
      <c r="AP88" s="36" t="s">
        <v>1</v>
      </c>
      <c r="AQ88" s="51" t="s">
        <v>1</v>
      </c>
      <c r="AR88" s="36" t="s">
        <v>1</v>
      </c>
      <c r="AS88" s="47" t="s">
        <v>1</v>
      </c>
      <c r="AT88" s="36" t="s">
        <v>1</v>
      </c>
      <c r="AU88" s="47" t="s">
        <v>1</v>
      </c>
      <c r="AV88" s="36" t="s">
        <v>1</v>
      </c>
      <c r="AW88" s="47" t="s">
        <v>1</v>
      </c>
      <c r="AX88" s="36" t="s">
        <v>2065</v>
      </c>
      <c r="AY88" s="47" t="s">
        <v>2193</v>
      </c>
      <c r="AZ88" s="36" t="s">
        <v>1299</v>
      </c>
      <c r="BA88" s="47" t="s">
        <v>2193</v>
      </c>
      <c r="BB88" s="36" t="s">
        <v>2188</v>
      </c>
      <c r="BC88" s="47" t="s">
        <v>819</v>
      </c>
      <c r="BD88" s="36" t="s">
        <v>2189</v>
      </c>
      <c r="BE88" s="47" t="str">
        <f t="shared" si="3"/>
        <v>"Região.Administrativa"</v>
      </c>
    </row>
    <row r="89" spans="1:57" ht="6.65" customHeight="1" x14ac:dyDescent="0.4">
      <c r="A89" s="93">
        <v>253</v>
      </c>
      <c r="B89" s="74" t="s">
        <v>856</v>
      </c>
      <c r="C89" s="44" t="s">
        <v>655</v>
      </c>
      <c r="D89" s="18" t="s">
        <v>744</v>
      </c>
      <c r="E89" s="48" t="s">
        <v>753</v>
      </c>
      <c r="F89" s="18" t="s">
        <v>1</v>
      </c>
      <c r="G89" s="20" t="s">
        <v>1</v>
      </c>
      <c r="H89" s="18" t="s">
        <v>1</v>
      </c>
      <c r="I89" s="20" t="s">
        <v>1</v>
      </c>
      <c r="J89" s="18" t="s">
        <v>1</v>
      </c>
      <c r="K89" s="20" t="s">
        <v>1</v>
      </c>
      <c r="L89" s="18" t="s">
        <v>1</v>
      </c>
      <c r="M89" s="20" t="s">
        <v>1</v>
      </c>
      <c r="N89" s="46" t="s">
        <v>82</v>
      </c>
      <c r="O89" s="31" t="str">
        <f t="shared" si="4"/>
        <v>"Região Administrativa (RA) de Rio de Janeiro: RA.Meier"</v>
      </c>
      <c r="P89" s="46" t="s">
        <v>1</v>
      </c>
      <c r="Q89" s="25" t="s">
        <v>1</v>
      </c>
      <c r="R89" s="46" t="s">
        <v>1</v>
      </c>
      <c r="S89" s="52" t="s">
        <v>1</v>
      </c>
      <c r="T89" s="46" t="s">
        <v>1</v>
      </c>
      <c r="U89" s="31" t="s">
        <v>1</v>
      </c>
      <c r="V89" s="46" t="s">
        <v>1</v>
      </c>
      <c r="W89" s="31" t="s">
        <v>1</v>
      </c>
      <c r="X89" s="46" t="s">
        <v>1</v>
      </c>
      <c r="Y89" s="31" t="s">
        <v>1</v>
      </c>
      <c r="Z89" s="46" t="s">
        <v>1</v>
      </c>
      <c r="AA89" s="31" t="s">
        <v>1</v>
      </c>
      <c r="AB89" s="46" t="s">
        <v>1</v>
      </c>
      <c r="AC89" s="47" t="s">
        <v>1</v>
      </c>
      <c r="AD89" s="36" t="s">
        <v>1</v>
      </c>
      <c r="AE89" s="51" t="s">
        <v>1</v>
      </c>
      <c r="AF89" s="36" t="s">
        <v>1</v>
      </c>
      <c r="AG89" s="51" t="s">
        <v>1</v>
      </c>
      <c r="AH89" s="36" t="s">
        <v>1</v>
      </c>
      <c r="AI89" s="51" t="s">
        <v>1</v>
      </c>
      <c r="AJ89" s="36" t="s">
        <v>1</v>
      </c>
      <c r="AK89" s="51" t="s">
        <v>1</v>
      </c>
      <c r="AL89" s="36" t="s">
        <v>1</v>
      </c>
      <c r="AM89" s="31" t="s">
        <v>1</v>
      </c>
      <c r="AN89" s="36" t="s">
        <v>1</v>
      </c>
      <c r="AO89" s="31" t="s">
        <v>1</v>
      </c>
      <c r="AP89" s="36" t="s">
        <v>1</v>
      </c>
      <c r="AQ89" s="51" t="s">
        <v>1</v>
      </c>
      <c r="AR89" s="36" t="s">
        <v>1</v>
      </c>
      <c r="AS89" s="47" t="s">
        <v>1</v>
      </c>
      <c r="AT89" s="36" t="s">
        <v>1</v>
      </c>
      <c r="AU89" s="47" t="s">
        <v>1</v>
      </c>
      <c r="AV89" s="36" t="s">
        <v>1</v>
      </c>
      <c r="AW89" s="47" t="s">
        <v>1</v>
      </c>
      <c r="AX89" s="36" t="s">
        <v>2065</v>
      </c>
      <c r="AY89" s="47" t="s">
        <v>2193</v>
      </c>
      <c r="AZ89" s="36" t="s">
        <v>1299</v>
      </c>
      <c r="BA89" s="47" t="s">
        <v>2193</v>
      </c>
      <c r="BB89" s="36" t="s">
        <v>2188</v>
      </c>
      <c r="BC89" s="47" t="s">
        <v>819</v>
      </c>
      <c r="BD89" s="36" t="s">
        <v>2189</v>
      </c>
      <c r="BE89" s="47" t="str">
        <f t="shared" si="3"/>
        <v>"Região.Administrativa"</v>
      </c>
    </row>
    <row r="90" spans="1:57" ht="6.65" customHeight="1" x14ac:dyDescent="0.4">
      <c r="A90" s="93">
        <v>254</v>
      </c>
      <c r="B90" s="74" t="s">
        <v>858</v>
      </c>
      <c r="C90" s="44" t="s">
        <v>655</v>
      </c>
      <c r="D90" s="18" t="s">
        <v>744</v>
      </c>
      <c r="E90" s="48" t="s">
        <v>753</v>
      </c>
      <c r="F90" s="18" t="s">
        <v>1</v>
      </c>
      <c r="G90" s="20" t="s">
        <v>1</v>
      </c>
      <c r="H90" s="18" t="s">
        <v>1</v>
      </c>
      <c r="I90" s="20" t="s">
        <v>1</v>
      </c>
      <c r="J90" s="18" t="s">
        <v>1</v>
      </c>
      <c r="K90" s="20" t="s">
        <v>1</v>
      </c>
      <c r="L90" s="18" t="s">
        <v>1</v>
      </c>
      <c r="M90" s="20" t="s">
        <v>1</v>
      </c>
      <c r="N90" s="46" t="s">
        <v>82</v>
      </c>
      <c r="O90" s="31" t="str">
        <f t="shared" si="4"/>
        <v>"Região Administrativa (RA) de Rio de Janeiro: RA.Irajá"</v>
      </c>
      <c r="P90" s="46" t="s">
        <v>1</v>
      </c>
      <c r="Q90" s="25" t="s">
        <v>1</v>
      </c>
      <c r="R90" s="46" t="s">
        <v>1</v>
      </c>
      <c r="S90" s="52" t="s">
        <v>1</v>
      </c>
      <c r="T90" s="46" t="s">
        <v>1</v>
      </c>
      <c r="U90" s="31" t="s">
        <v>1</v>
      </c>
      <c r="V90" s="46" t="s">
        <v>1</v>
      </c>
      <c r="W90" s="31" t="s">
        <v>1</v>
      </c>
      <c r="X90" s="46" t="s">
        <v>1</v>
      </c>
      <c r="Y90" s="31" t="s">
        <v>1</v>
      </c>
      <c r="Z90" s="46" t="s">
        <v>1</v>
      </c>
      <c r="AA90" s="31" t="s">
        <v>1</v>
      </c>
      <c r="AB90" s="46" t="s">
        <v>1</v>
      </c>
      <c r="AC90" s="47" t="s">
        <v>1</v>
      </c>
      <c r="AD90" s="36" t="s">
        <v>1</v>
      </c>
      <c r="AE90" s="51" t="s">
        <v>1</v>
      </c>
      <c r="AF90" s="36" t="s">
        <v>1</v>
      </c>
      <c r="AG90" s="51" t="s">
        <v>1</v>
      </c>
      <c r="AH90" s="36" t="s">
        <v>1</v>
      </c>
      <c r="AI90" s="51" t="s">
        <v>1</v>
      </c>
      <c r="AJ90" s="36" t="s">
        <v>1</v>
      </c>
      <c r="AK90" s="51" t="s">
        <v>1</v>
      </c>
      <c r="AL90" s="36" t="s">
        <v>1</v>
      </c>
      <c r="AM90" s="31" t="s">
        <v>1</v>
      </c>
      <c r="AN90" s="36" t="s">
        <v>1</v>
      </c>
      <c r="AO90" s="31" t="s">
        <v>1</v>
      </c>
      <c r="AP90" s="36" t="s">
        <v>1</v>
      </c>
      <c r="AQ90" s="51" t="s">
        <v>1</v>
      </c>
      <c r="AR90" s="36" t="s">
        <v>1</v>
      </c>
      <c r="AS90" s="47" t="s">
        <v>1</v>
      </c>
      <c r="AT90" s="36" t="s">
        <v>1</v>
      </c>
      <c r="AU90" s="47" t="s">
        <v>1</v>
      </c>
      <c r="AV90" s="36" t="s">
        <v>1</v>
      </c>
      <c r="AW90" s="47" t="s">
        <v>1</v>
      </c>
      <c r="AX90" s="36" t="s">
        <v>2065</v>
      </c>
      <c r="AY90" s="47" t="s">
        <v>2193</v>
      </c>
      <c r="AZ90" s="36" t="s">
        <v>1299</v>
      </c>
      <c r="BA90" s="47" t="s">
        <v>2193</v>
      </c>
      <c r="BB90" s="36" t="s">
        <v>2188</v>
      </c>
      <c r="BC90" s="47" t="s">
        <v>819</v>
      </c>
      <c r="BD90" s="36" t="s">
        <v>2189</v>
      </c>
      <c r="BE90" s="47" t="str">
        <f t="shared" si="3"/>
        <v>"Região.Administrativa"</v>
      </c>
    </row>
    <row r="91" spans="1:57" ht="6.65" customHeight="1" x14ac:dyDescent="0.4">
      <c r="A91" s="93">
        <v>255</v>
      </c>
      <c r="B91" s="74" t="s">
        <v>860</v>
      </c>
      <c r="C91" s="44" t="s">
        <v>655</v>
      </c>
      <c r="D91" s="18" t="s">
        <v>744</v>
      </c>
      <c r="E91" s="48" t="s">
        <v>753</v>
      </c>
      <c r="F91" s="18" t="s">
        <v>1</v>
      </c>
      <c r="G91" s="20" t="s">
        <v>1</v>
      </c>
      <c r="H91" s="18" t="s">
        <v>1</v>
      </c>
      <c r="I91" s="20" t="s">
        <v>1</v>
      </c>
      <c r="J91" s="18" t="s">
        <v>1</v>
      </c>
      <c r="K91" s="20" t="s">
        <v>1</v>
      </c>
      <c r="L91" s="18" t="s">
        <v>1</v>
      </c>
      <c r="M91" s="20" t="s">
        <v>1</v>
      </c>
      <c r="N91" s="46" t="s">
        <v>82</v>
      </c>
      <c r="O91" s="31" t="str">
        <f t="shared" si="4"/>
        <v>"Região Administrativa (RA) de Rio de Janeiro: RA.Madureira"</v>
      </c>
      <c r="P91" s="46" t="s">
        <v>1</v>
      </c>
      <c r="Q91" s="25" t="s">
        <v>1</v>
      </c>
      <c r="R91" s="46" t="s">
        <v>1</v>
      </c>
      <c r="S91" s="52" t="s">
        <v>1</v>
      </c>
      <c r="T91" s="46" t="s">
        <v>1</v>
      </c>
      <c r="U91" s="31" t="s">
        <v>1</v>
      </c>
      <c r="V91" s="46" t="s">
        <v>1</v>
      </c>
      <c r="W91" s="31" t="s">
        <v>1</v>
      </c>
      <c r="X91" s="46" t="s">
        <v>1</v>
      </c>
      <c r="Y91" s="31" t="s">
        <v>1</v>
      </c>
      <c r="Z91" s="46" t="s">
        <v>1</v>
      </c>
      <c r="AA91" s="31" t="s">
        <v>1</v>
      </c>
      <c r="AB91" s="46" t="s">
        <v>1</v>
      </c>
      <c r="AC91" s="47" t="s">
        <v>1</v>
      </c>
      <c r="AD91" s="36" t="s">
        <v>1</v>
      </c>
      <c r="AE91" s="51" t="s">
        <v>1</v>
      </c>
      <c r="AF91" s="36" t="s">
        <v>1</v>
      </c>
      <c r="AG91" s="51" t="s">
        <v>1</v>
      </c>
      <c r="AH91" s="36" t="s">
        <v>1</v>
      </c>
      <c r="AI91" s="51" t="s">
        <v>1</v>
      </c>
      <c r="AJ91" s="36" t="s">
        <v>1</v>
      </c>
      <c r="AK91" s="51" t="s">
        <v>1</v>
      </c>
      <c r="AL91" s="36" t="s">
        <v>1</v>
      </c>
      <c r="AM91" s="31" t="s">
        <v>1</v>
      </c>
      <c r="AN91" s="36" t="s">
        <v>1</v>
      </c>
      <c r="AO91" s="31" t="s">
        <v>1</v>
      </c>
      <c r="AP91" s="36" t="s">
        <v>1</v>
      </c>
      <c r="AQ91" s="51" t="s">
        <v>1</v>
      </c>
      <c r="AR91" s="36" t="s">
        <v>1</v>
      </c>
      <c r="AS91" s="47" t="s">
        <v>1</v>
      </c>
      <c r="AT91" s="36" t="s">
        <v>1</v>
      </c>
      <c r="AU91" s="47" t="s">
        <v>1</v>
      </c>
      <c r="AV91" s="36" t="s">
        <v>1</v>
      </c>
      <c r="AW91" s="47" t="s">
        <v>1</v>
      </c>
      <c r="AX91" s="36" t="s">
        <v>2065</v>
      </c>
      <c r="AY91" s="47" t="s">
        <v>2193</v>
      </c>
      <c r="AZ91" s="36" t="s">
        <v>1299</v>
      </c>
      <c r="BA91" s="47" t="s">
        <v>2193</v>
      </c>
      <c r="BB91" s="36" t="s">
        <v>2188</v>
      </c>
      <c r="BC91" s="47" t="s">
        <v>819</v>
      </c>
      <c r="BD91" s="36" t="s">
        <v>2189</v>
      </c>
      <c r="BE91" s="47" t="str">
        <f t="shared" si="3"/>
        <v>"Região.Administrativa"</v>
      </c>
    </row>
    <row r="92" spans="1:57" ht="6.65" customHeight="1" x14ac:dyDescent="0.4">
      <c r="A92" s="93">
        <v>256</v>
      </c>
      <c r="B92" s="74" t="s">
        <v>862</v>
      </c>
      <c r="C92" s="44" t="s">
        <v>655</v>
      </c>
      <c r="D92" s="18" t="s">
        <v>744</v>
      </c>
      <c r="E92" s="48" t="s">
        <v>753</v>
      </c>
      <c r="F92" s="18" t="s">
        <v>1</v>
      </c>
      <c r="G92" s="20" t="s">
        <v>1</v>
      </c>
      <c r="H92" s="18" t="s">
        <v>1</v>
      </c>
      <c r="I92" s="20" t="s">
        <v>1</v>
      </c>
      <c r="J92" s="18" t="s">
        <v>1</v>
      </c>
      <c r="K92" s="20" t="s">
        <v>1</v>
      </c>
      <c r="L92" s="18" t="s">
        <v>1</v>
      </c>
      <c r="M92" s="20" t="s">
        <v>1</v>
      </c>
      <c r="N92" s="46" t="s">
        <v>82</v>
      </c>
      <c r="O92" s="31" t="str">
        <f t="shared" si="4"/>
        <v>"Região Administrativa (RA) de Rio de Janeiro: RA.Jacarepaguá"</v>
      </c>
      <c r="P92" s="46" t="s">
        <v>1</v>
      </c>
      <c r="Q92" s="25" t="s">
        <v>1</v>
      </c>
      <c r="R92" s="46" t="s">
        <v>1</v>
      </c>
      <c r="S92" s="52" t="s">
        <v>1</v>
      </c>
      <c r="T92" s="46" t="s">
        <v>1</v>
      </c>
      <c r="U92" s="31" t="s">
        <v>1</v>
      </c>
      <c r="V92" s="46" t="s">
        <v>1</v>
      </c>
      <c r="W92" s="31" t="s">
        <v>1</v>
      </c>
      <c r="X92" s="46" t="s">
        <v>1</v>
      </c>
      <c r="Y92" s="31" t="s">
        <v>1</v>
      </c>
      <c r="Z92" s="46" t="s">
        <v>1</v>
      </c>
      <c r="AA92" s="31" t="s">
        <v>1</v>
      </c>
      <c r="AB92" s="46" t="s">
        <v>1</v>
      </c>
      <c r="AC92" s="47" t="s">
        <v>1</v>
      </c>
      <c r="AD92" s="36" t="s">
        <v>1</v>
      </c>
      <c r="AE92" s="51" t="s">
        <v>1</v>
      </c>
      <c r="AF92" s="36" t="s">
        <v>1</v>
      </c>
      <c r="AG92" s="51" t="s">
        <v>1</v>
      </c>
      <c r="AH92" s="36" t="s">
        <v>1</v>
      </c>
      <c r="AI92" s="51" t="s">
        <v>1</v>
      </c>
      <c r="AJ92" s="36" t="s">
        <v>1</v>
      </c>
      <c r="AK92" s="51" t="s">
        <v>1</v>
      </c>
      <c r="AL92" s="36" t="s">
        <v>1</v>
      </c>
      <c r="AM92" s="31" t="s">
        <v>1</v>
      </c>
      <c r="AN92" s="36" t="s">
        <v>1</v>
      </c>
      <c r="AO92" s="31" t="s">
        <v>1</v>
      </c>
      <c r="AP92" s="36" t="s">
        <v>1</v>
      </c>
      <c r="AQ92" s="51" t="s">
        <v>1</v>
      </c>
      <c r="AR92" s="36" t="s">
        <v>1</v>
      </c>
      <c r="AS92" s="47" t="s">
        <v>1</v>
      </c>
      <c r="AT92" s="36" t="s">
        <v>1</v>
      </c>
      <c r="AU92" s="47" t="s">
        <v>1</v>
      </c>
      <c r="AV92" s="36" t="s">
        <v>1</v>
      </c>
      <c r="AW92" s="47" t="s">
        <v>1</v>
      </c>
      <c r="AX92" s="36" t="s">
        <v>2065</v>
      </c>
      <c r="AY92" s="47" t="s">
        <v>2193</v>
      </c>
      <c r="AZ92" s="36" t="s">
        <v>1299</v>
      </c>
      <c r="BA92" s="47" t="s">
        <v>2193</v>
      </c>
      <c r="BB92" s="36" t="s">
        <v>2188</v>
      </c>
      <c r="BC92" s="47" t="s">
        <v>819</v>
      </c>
      <c r="BD92" s="36" t="s">
        <v>2189</v>
      </c>
      <c r="BE92" s="47" t="str">
        <f t="shared" si="3"/>
        <v>"Região.Administrativa"</v>
      </c>
    </row>
    <row r="93" spans="1:57" ht="6.65" customHeight="1" x14ac:dyDescent="0.4">
      <c r="A93" s="93">
        <v>257</v>
      </c>
      <c r="B93" s="74" t="s">
        <v>864</v>
      </c>
      <c r="C93" s="44" t="s">
        <v>655</v>
      </c>
      <c r="D93" s="18" t="s">
        <v>744</v>
      </c>
      <c r="E93" s="48" t="s">
        <v>753</v>
      </c>
      <c r="F93" s="18" t="s">
        <v>1</v>
      </c>
      <c r="G93" s="20" t="s">
        <v>1</v>
      </c>
      <c r="H93" s="18" t="s">
        <v>1</v>
      </c>
      <c r="I93" s="20" t="s">
        <v>1</v>
      </c>
      <c r="J93" s="18" t="s">
        <v>1</v>
      </c>
      <c r="K93" s="20" t="s">
        <v>1</v>
      </c>
      <c r="L93" s="18" t="s">
        <v>1</v>
      </c>
      <c r="M93" s="20" t="s">
        <v>1</v>
      </c>
      <c r="N93" s="46" t="s">
        <v>82</v>
      </c>
      <c r="O93" s="31" t="str">
        <f t="shared" si="4"/>
        <v>"Região Administrativa (RA) de Rio de Janeiro: RA.Bangu"</v>
      </c>
      <c r="P93" s="46" t="s">
        <v>1</v>
      </c>
      <c r="Q93" s="25" t="s">
        <v>1</v>
      </c>
      <c r="R93" s="46" t="s">
        <v>1</v>
      </c>
      <c r="S93" s="52" t="s">
        <v>1</v>
      </c>
      <c r="T93" s="46" t="s">
        <v>1</v>
      </c>
      <c r="U93" s="31" t="s">
        <v>1</v>
      </c>
      <c r="V93" s="46" t="s">
        <v>1</v>
      </c>
      <c r="W93" s="31" t="s">
        <v>1</v>
      </c>
      <c r="X93" s="46" t="s">
        <v>1</v>
      </c>
      <c r="Y93" s="31" t="s">
        <v>1</v>
      </c>
      <c r="Z93" s="46" t="s">
        <v>1</v>
      </c>
      <c r="AA93" s="31" t="s">
        <v>1</v>
      </c>
      <c r="AB93" s="46" t="s">
        <v>1</v>
      </c>
      <c r="AC93" s="47" t="s">
        <v>1</v>
      </c>
      <c r="AD93" s="36" t="s">
        <v>1</v>
      </c>
      <c r="AE93" s="51" t="s">
        <v>1</v>
      </c>
      <c r="AF93" s="36" t="s">
        <v>1</v>
      </c>
      <c r="AG93" s="51" t="s">
        <v>1</v>
      </c>
      <c r="AH93" s="36" t="s">
        <v>1</v>
      </c>
      <c r="AI93" s="51" t="s">
        <v>1</v>
      </c>
      <c r="AJ93" s="36" t="s">
        <v>1</v>
      </c>
      <c r="AK93" s="51" t="s">
        <v>1</v>
      </c>
      <c r="AL93" s="36" t="s">
        <v>1</v>
      </c>
      <c r="AM93" s="31" t="s">
        <v>1</v>
      </c>
      <c r="AN93" s="36" t="s">
        <v>1</v>
      </c>
      <c r="AO93" s="31" t="s">
        <v>1</v>
      </c>
      <c r="AP93" s="36" t="s">
        <v>1</v>
      </c>
      <c r="AQ93" s="51" t="s">
        <v>1</v>
      </c>
      <c r="AR93" s="36" t="s">
        <v>1</v>
      </c>
      <c r="AS93" s="47" t="s">
        <v>1</v>
      </c>
      <c r="AT93" s="36" t="s">
        <v>1</v>
      </c>
      <c r="AU93" s="47" t="s">
        <v>1</v>
      </c>
      <c r="AV93" s="36" t="s">
        <v>1</v>
      </c>
      <c r="AW93" s="47" t="s">
        <v>1</v>
      </c>
      <c r="AX93" s="36" t="s">
        <v>2065</v>
      </c>
      <c r="AY93" s="47" t="s">
        <v>2193</v>
      </c>
      <c r="AZ93" s="36" t="s">
        <v>1299</v>
      </c>
      <c r="BA93" s="47" t="s">
        <v>2193</v>
      </c>
      <c r="BB93" s="36" t="s">
        <v>2188</v>
      </c>
      <c r="BC93" s="47" t="s">
        <v>819</v>
      </c>
      <c r="BD93" s="36" t="s">
        <v>2189</v>
      </c>
      <c r="BE93" s="47" t="str">
        <f t="shared" si="3"/>
        <v>"Região.Administrativa"</v>
      </c>
    </row>
    <row r="94" spans="1:57" ht="6.65" customHeight="1" x14ac:dyDescent="0.4">
      <c r="A94" s="93">
        <v>258</v>
      </c>
      <c r="B94" s="74" t="s">
        <v>866</v>
      </c>
      <c r="C94" s="44" t="s">
        <v>655</v>
      </c>
      <c r="D94" s="18" t="s">
        <v>744</v>
      </c>
      <c r="E94" s="48" t="s">
        <v>753</v>
      </c>
      <c r="F94" s="18" t="s">
        <v>1</v>
      </c>
      <c r="G94" s="20" t="s">
        <v>1</v>
      </c>
      <c r="H94" s="18" t="s">
        <v>1</v>
      </c>
      <c r="I94" s="20" t="s">
        <v>1</v>
      </c>
      <c r="J94" s="18" t="s">
        <v>1</v>
      </c>
      <c r="K94" s="20" t="s">
        <v>1</v>
      </c>
      <c r="L94" s="18" t="s">
        <v>1</v>
      </c>
      <c r="M94" s="20" t="s">
        <v>1</v>
      </c>
      <c r="N94" s="46" t="s">
        <v>82</v>
      </c>
      <c r="O94" s="31" t="str">
        <f t="shared" si="4"/>
        <v>"Região Administrativa (RA) de Rio de Janeiro: RA.Campo.Grande"</v>
      </c>
      <c r="P94" s="46" t="s">
        <v>1</v>
      </c>
      <c r="Q94" s="25" t="s">
        <v>1</v>
      </c>
      <c r="R94" s="46" t="s">
        <v>1</v>
      </c>
      <c r="S94" s="52" t="s">
        <v>1</v>
      </c>
      <c r="T94" s="46" t="s">
        <v>1</v>
      </c>
      <c r="U94" s="31" t="s">
        <v>1</v>
      </c>
      <c r="V94" s="46" t="s">
        <v>1</v>
      </c>
      <c r="W94" s="31" t="s">
        <v>1</v>
      </c>
      <c r="X94" s="46" t="s">
        <v>1</v>
      </c>
      <c r="Y94" s="31" t="s">
        <v>1</v>
      </c>
      <c r="Z94" s="46" t="s">
        <v>1</v>
      </c>
      <c r="AA94" s="31" t="s">
        <v>1</v>
      </c>
      <c r="AB94" s="46" t="s">
        <v>1</v>
      </c>
      <c r="AC94" s="47" t="s">
        <v>1</v>
      </c>
      <c r="AD94" s="36" t="s">
        <v>1</v>
      </c>
      <c r="AE94" s="51" t="s">
        <v>1</v>
      </c>
      <c r="AF94" s="36" t="s">
        <v>1</v>
      </c>
      <c r="AG94" s="51" t="s">
        <v>1</v>
      </c>
      <c r="AH94" s="36" t="s">
        <v>1</v>
      </c>
      <c r="AI94" s="51" t="s">
        <v>1</v>
      </c>
      <c r="AJ94" s="36" t="s">
        <v>1</v>
      </c>
      <c r="AK94" s="51" t="s">
        <v>1</v>
      </c>
      <c r="AL94" s="36" t="s">
        <v>1</v>
      </c>
      <c r="AM94" s="31" t="s">
        <v>1</v>
      </c>
      <c r="AN94" s="36" t="s">
        <v>1</v>
      </c>
      <c r="AO94" s="31" t="s">
        <v>1</v>
      </c>
      <c r="AP94" s="36" t="s">
        <v>1</v>
      </c>
      <c r="AQ94" s="51" t="s">
        <v>1</v>
      </c>
      <c r="AR94" s="36" t="s">
        <v>1</v>
      </c>
      <c r="AS94" s="47" t="s">
        <v>1</v>
      </c>
      <c r="AT94" s="36" t="s">
        <v>1</v>
      </c>
      <c r="AU94" s="47" t="s">
        <v>1</v>
      </c>
      <c r="AV94" s="36" t="s">
        <v>1</v>
      </c>
      <c r="AW94" s="47" t="s">
        <v>1</v>
      </c>
      <c r="AX94" s="36" t="s">
        <v>2065</v>
      </c>
      <c r="AY94" s="47" t="s">
        <v>2193</v>
      </c>
      <c r="AZ94" s="36" t="s">
        <v>1299</v>
      </c>
      <c r="BA94" s="47" t="s">
        <v>2193</v>
      </c>
      <c r="BB94" s="36" t="s">
        <v>2188</v>
      </c>
      <c r="BC94" s="47" t="s">
        <v>819</v>
      </c>
      <c r="BD94" s="36" t="s">
        <v>2189</v>
      </c>
      <c r="BE94" s="47" t="str">
        <f t="shared" si="3"/>
        <v>"Região.Administrativa"</v>
      </c>
    </row>
    <row r="95" spans="1:57" ht="6.65" customHeight="1" x14ac:dyDescent="0.4">
      <c r="A95" s="93">
        <v>259</v>
      </c>
      <c r="B95" s="74" t="s">
        <v>868</v>
      </c>
      <c r="C95" s="44" t="s">
        <v>655</v>
      </c>
      <c r="D95" s="18" t="s">
        <v>744</v>
      </c>
      <c r="E95" s="48" t="s">
        <v>753</v>
      </c>
      <c r="F95" s="18" t="s">
        <v>1</v>
      </c>
      <c r="G95" s="20" t="s">
        <v>1</v>
      </c>
      <c r="H95" s="18" t="s">
        <v>1</v>
      </c>
      <c r="I95" s="20" t="s">
        <v>1</v>
      </c>
      <c r="J95" s="18" t="s">
        <v>1</v>
      </c>
      <c r="K95" s="20" t="s">
        <v>1</v>
      </c>
      <c r="L95" s="18" t="s">
        <v>1</v>
      </c>
      <c r="M95" s="20" t="s">
        <v>1</v>
      </c>
      <c r="N95" s="46" t="s">
        <v>82</v>
      </c>
      <c r="O95" s="31" t="str">
        <f t="shared" si="4"/>
        <v>"Região Administrativa (RA) de Rio de Janeiro: RA.Santa.Cruz"</v>
      </c>
      <c r="P95" s="46" t="s">
        <v>1</v>
      </c>
      <c r="Q95" s="25" t="s">
        <v>1</v>
      </c>
      <c r="R95" s="46" t="s">
        <v>1</v>
      </c>
      <c r="S95" s="52" t="s">
        <v>1</v>
      </c>
      <c r="T95" s="46" t="s">
        <v>1</v>
      </c>
      <c r="U95" s="31" t="s">
        <v>1</v>
      </c>
      <c r="V95" s="46" t="s">
        <v>1</v>
      </c>
      <c r="W95" s="31" t="s">
        <v>1</v>
      </c>
      <c r="X95" s="46" t="s">
        <v>1</v>
      </c>
      <c r="Y95" s="31" t="s">
        <v>1</v>
      </c>
      <c r="Z95" s="46" t="s">
        <v>1</v>
      </c>
      <c r="AA95" s="31" t="s">
        <v>1</v>
      </c>
      <c r="AB95" s="46" t="s">
        <v>1</v>
      </c>
      <c r="AC95" s="47" t="s">
        <v>1</v>
      </c>
      <c r="AD95" s="36" t="s">
        <v>1</v>
      </c>
      <c r="AE95" s="51" t="s">
        <v>1</v>
      </c>
      <c r="AF95" s="36" t="s">
        <v>1</v>
      </c>
      <c r="AG95" s="51" t="s">
        <v>1</v>
      </c>
      <c r="AH95" s="36" t="s">
        <v>1</v>
      </c>
      <c r="AI95" s="51" t="s">
        <v>1</v>
      </c>
      <c r="AJ95" s="36" t="s">
        <v>1</v>
      </c>
      <c r="AK95" s="51" t="s">
        <v>1</v>
      </c>
      <c r="AL95" s="36" t="s">
        <v>1</v>
      </c>
      <c r="AM95" s="31" t="s">
        <v>1</v>
      </c>
      <c r="AN95" s="36" t="s">
        <v>1</v>
      </c>
      <c r="AO95" s="31" t="s">
        <v>1</v>
      </c>
      <c r="AP95" s="36" t="s">
        <v>1</v>
      </c>
      <c r="AQ95" s="51" t="s">
        <v>1</v>
      </c>
      <c r="AR95" s="36" t="s">
        <v>1</v>
      </c>
      <c r="AS95" s="47" t="s">
        <v>1</v>
      </c>
      <c r="AT95" s="36" t="s">
        <v>1</v>
      </c>
      <c r="AU95" s="47" t="s">
        <v>1</v>
      </c>
      <c r="AV95" s="36" t="s">
        <v>1</v>
      </c>
      <c r="AW95" s="47" t="s">
        <v>1</v>
      </c>
      <c r="AX95" s="36" t="s">
        <v>2065</v>
      </c>
      <c r="AY95" s="47" t="s">
        <v>2193</v>
      </c>
      <c r="AZ95" s="36" t="s">
        <v>1299</v>
      </c>
      <c r="BA95" s="47" t="s">
        <v>2193</v>
      </c>
      <c r="BB95" s="36" t="s">
        <v>2188</v>
      </c>
      <c r="BC95" s="47" t="s">
        <v>819</v>
      </c>
      <c r="BD95" s="36" t="s">
        <v>2189</v>
      </c>
      <c r="BE95" s="47" t="str">
        <f t="shared" si="3"/>
        <v>"Região.Administrativa"</v>
      </c>
    </row>
    <row r="96" spans="1:57" ht="6.65" customHeight="1" x14ac:dyDescent="0.4">
      <c r="A96" s="93">
        <v>260</v>
      </c>
      <c r="B96" s="74" t="s">
        <v>870</v>
      </c>
      <c r="C96" s="44" t="s">
        <v>655</v>
      </c>
      <c r="D96" s="18" t="s">
        <v>744</v>
      </c>
      <c r="E96" s="48" t="s">
        <v>753</v>
      </c>
      <c r="F96" s="18" t="s">
        <v>1</v>
      </c>
      <c r="G96" s="20" t="s">
        <v>1</v>
      </c>
      <c r="H96" s="18" t="s">
        <v>1</v>
      </c>
      <c r="I96" s="20" t="s">
        <v>1</v>
      </c>
      <c r="J96" s="18" t="s">
        <v>1</v>
      </c>
      <c r="K96" s="20" t="s">
        <v>1</v>
      </c>
      <c r="L96" s="18" t="s">
        <v>1</v>
      </c>
      <c r="M96" s="20" t="s">
        <v>1</v>
      </c>
      <c r="N96" s="46" t="s">
        <v>82</v>
      </c>
      <c r="O96" s="31" t="str">
        <f t="shared" si="4"/>
        <v>"Região Administrativa (RA) de Rio de Janeiro: RA.Ilha.do.Governador"</v>
      </c>
      <c r="P96" s="46" t="s">
        <v>1</v>
      </c>
      <c r="Q96" s="25" t="s">
        <v>1</v>
      </c>
      <c r="R96" s="46" t="s">
        <v>1</v>
      </c>
      <c r="S96" s="52" t="s">
        <v>1</v>
      </c>
      <c r="T96" s="46" t="s">
        <v>1</v>
      </c>
      <c r="U96" s="31" t="s">
        <v>1</v>
      </c>
      <c r="V96" s="46" t="s">
        <v>1</v>
      </c>
      <c r="W96" s="31" t="s">
        <v>1</v>
      </c>
      <c r="X96" s="46" t="s">
        <v>1</v>
      </c>
      <c r="Y96" s="31" t="s">
        <v>1</v>
      </c>
      <c r="Z96" s="46" t="s">
        <v>1</v>
      </c>
      <c r="AA96" s="31" t="s">
        <v>1</v>
      </c>
      <c r="AB96" s="46" t="s">
        <v>1</v>
      </c>
      <c r="AC96" s="47" t="s">
        <v>1</v>
      </c>
      <c r="AD96" s="36" t="s">
        <v>1</v>
      </c>
      <c r="AE96" s="51" t="s">
        <v>1</v>
      </c>
      <c r="AF96" s="36" t="s">
        <v>1</v>
      </c>
      <c r="AG96" s="51" t="s">
        <v>1</v>
      </c>
      <c r="AH96" s="36" t="s">
        <v>1</v>
      </c>
      <c r="AI96" s="51" t="s">
        <v>1</v>
      </c>
      <c r="AJ96" s="36" t="s">
        <v>1</v>
      </c>
      <c r="AK96" s="51" t="s">
        <v>1</v>
      </c>
      <c r="AL96" s="36" t="s">
        <v>1</v>
      </c>
      <c r="AM96" s="31" t="s">
        <v>1</v>
      </c>
      <c r="AN96" s="36" t="s">
        <v>1</v>
      </c>
      <c r="AO96" s="31" t="s">
        <v>1</v>
      </c>
      <c r="AP96" s="36" t="s">
        <v>1</v>
      </c>
      <c r="AQ96" s="51" t="s">
        <v>1</v>
      </c>
      <c r="AR96" s="36" t="s">
        <v>1</v>
      </c>
      <c r="AS96" s="47" t="s">
        <v>1</v>
      </c>
      <c r="AT96" s="36" t="s">
        <v>1</v>
      </c>
      <c r="AU96" s="47" t="s">
        <v>1</v>
      </c>
      <c r="AV96" s="36" t="s">
        <v>1</v>
      </c>
      <c r="AW96" s="47" t="s">
        <v>1</v>
      </c>
      <c r="AX96" s="36" t="s">
        <v>2065</v>
      </c>
      <c r="AY96" s="47" t="s">
        <v>2193</v>
      </c>
      <c r="AZ96" s="36" t="s">
        <v>1299</v>
      </c>
      <c r="BA96" s="47" t="s">
        <v>2193</v>
      </c>
      <c r="BB96" s="36" t="s">
        <v>2188</v>
      </c>
      <c r="BC96" s="47" t="s">
        <v>819</v>
      </c>
      <c r="BD96" s="36" t="s">
        <v>2189</v>
      </c>
      <c r="BE96" s="47" t="str">
        <f t="shared" si="3"/>
        <v>"Região.Administrativa"</v>
      </c>
    </row>
    <row r="97" spans="1:57" ht="6.65" customHeight="1" x14ac:dyDescent="0.4">
      <c r="A97" s="93">
        <v>261</v>
      </c>
      <c r="B97" s="74" t="s">
        <v>872</v>
      </c>
      <c r="C97" s="44" t="s">
        <v>655</v>
      </c>
      <c r="D97" s="18" t="s">
        <v>744</v>
      </c>
      <c r="E97" s="48" t="s">
        <v>753</v>
      </c>
      <c r="F97" s="18" t="s">
        <v>1</v>
      </c>
      <c r="G97" s="20" t="s">
        <v>1</v>
      </c>
      <c r="H97" s="18" t="s">
        <v>1</v>
      </c>
      <c r="I97" s="20" t="s">
        <v>1</v>
      </c>
      <c r="J97" s="18" t="s">
        <v>1</v>
      </c>
      <c r="K97" s="20" t="s">
        <v>1</v>
      </c>
      <c r="L97" s="18" t="s">
        <v>1</v>
      </c>
      <c r="M97" s="20" t="s">
        <v>1</v>
      </c>
      <c r="N97" s="46" t="s">
        <v>82</v>
      </c>
      <c r="O97" s="31" t="str">
        <f t="shared" si="4"/>
        <v>"Região Administrativa (RA) de Rio de Janeiro: RA.Paquetá"</v>
      </c>
      <c r="P97" s="46" t="s">
        <v>1</v>
      </c>
      <c r="Q97" s="25" t="s">
        <v>1</v>
      </c>
      <c r="R97" s="46" t="s">
        <v>1</v>
      </c>
      <c r="S97" s="52" t="s">
        <v>1</v>
      </c>
      <c r="T97" s="46" t="s">
        <v>1</v>
      </c>
      <c r="U97" s="31" t="s">
        <v>1</v>
      </c>
      <c r="V97" s="46" t="s">
        <v>1</v>
      </c>
      <c r="W97" s="31" t="s">
        <v>1</v>
      </c>
      <c r="X97" s="46" t="s">
        <v>1</v>
      </c>
      <c r="Y97" s="31" t="s">
        <v>1</v>
      </c>
      <c r="Z97" s="46" t="s">
        <v>1</v>
      </c>
      <c r="AA97" s="31" t="s">
        <v>1</v>
      </c>
      <c r="AB97" s="46" t="s">
        <v>1</v>
      </c>
      <c r="AC97" s="47" t="s">
        <v>1</v>
      </c>
      <c r="AD97" s="36" t="s">
        <v>1</v>
      </c>
      <c r="AE97" s="51" t="s">
        <v>1</v>
      </c>
      <c r="AF97" s="36" t="s">
        <v>1</v>
      </c>
      <c r="AG97" s="51" t="s">
        <v>1</v>
      </c>
      <c r="AH97" s="36" t="s">
        <v>1</v>
      </c>
      <c r="AI97" s="51" t="s">
        <v>1</v>
      </c>
      <c r="AJ97" s="36" t="s">
        <v>1</v>
      </c>
      <c r="AK97" s="51" t="s">
        <v>1</v>
      </c>
      <c r="AL97" s="36" t="s">
        <v>1</v>
      </c>
      <c r="AM97" s="31" t="s">
        <v>1</v>
      </c>
      <c r="AN97" s="36" t="s">
        <v>1</v>
      </c>
      <c r="AO97" s="31" t="s">
        <v>1</v>
      </c>
      <c r="AP97" s="36" t="s">
        <v>1</v>
      </c>
      <c r="AQ97" s="51" t="s">
        <v>1</v>
      </c>
      <c r="AR97" s="36" t="s">
        <v>1</v>
      </c>
      <c r="AS97" s="47" t="s">
        <v>1</v>
      </c>
      <c r="AT97" s="36" t="s">
        <v>1</v>
      </c>
      <c r="AU97" s="47" t="s">
        <v>1</v>
      </c>
      <c r="AV97" s="36" t="s">
        <v>1</v>
      </c>
      <c r="AW97" s="47" t="s">
        <v>1</v>
      </c>
      <c r="AX97" s="36" t="s">
        <v>2065</v>
      </c>
      <c r="AY97" s="47" t="s">
        <v>2193</v>
      </c>
      <c r="AZ97" s="36" t="s">
        <v>1299</v>
      </c>
      <c r="BA97" s="47" t="s">
        <v>2193</v>
      </c>
      <c r="BB97" s="36" t="s">
        <v>2188</v>
      </c>
      <c r="BC97" s="47" t="s">
        <v>819</v>
      </c>
      <c r="BD97" s="36" t="s">
        <v>2189</v>
      </c>
      <c r="BE97" s="47" t="str">
        <f t="shared" si="3"/>
        <v>"Região.Administrativa"</v>
      </c>
    </row>
    <row r="98" spans="1:57" ht="6.65" customHeight="1" x14ac:dyDescent="0.4">
      <c r="A98" s="93">
        <v>262</v>
      </c>
      <c r="B98" s="74" t="s">
        <v>874</v>
      </c>
      <c r="C98" s="44" t="s">
        <v>655</v>
      </c>
      <c r="D98" s="18" t="s">
        <v>744</v>
      </c>
      <c r="E98" s="48" t="s">
        <v>753</v>
      </c>
      <c r="F98" s="18" t="s">
        <v>1</v>
      </c>
      <c r="G98" s="20" t="s">
        <v>1</v>
      </c>
      <c r="H98" s="18" t="s">
        <v>1</v>
      </c>
      <c r="I98" s="20" t="s">
        <v>1</v>
      </c>
      <c r="J98" s="18" t="s">
        <v>1</v>
      </c>
      <c r="K98" s="20" t="s">
        <v>1</v>
      </c>
      <c r="L98" s="18" t="s">
        <v>1</v>
      </c>
      <c r="M98" s="20" t="s">
        <v>1</v>
      </c>
      <c r="N98" s="46" t="s">
        <v>82</v>
      </c>
      <c r="O98" s="31" t="str">
        <f t="shared" si="4"/>
        <v>"Região Administrativa (RA) de Rio de Janeiro: RA.Anchieta"</v>
      </c>
      <c r="P98" s="46" t="s">
        <v>1</v>
      </c>
      <c r="Q98" s="25" t="s">
        <v>1</v>
      </c>
      <c r="R98" s="46" t="s">
        <v>1</v>
      </c>
      <c r="S98" s="52" t="s">
        <v>1</v>
      </c>
      <c r="T98" s="46" t="s">
        <v>1</v>
      </c>
      <c r="U98" s="31" t="s">
        <v>1</v>
      </c>
      <c r="V98" s="46" t="s">
        <v>1</v>
      </c>
      <c r="W98" s="31" t="s">
        <v>1</v>
      </c>
      <c r="X98" s="46" t="s">
        <v>1</v>
      </c>
      <c r="Y98" s="31" t="s">
        <v>1</v>
      </c>
      <c r="Z98" s="46" t="s">
        <v>1</v>
      </c>
      <c r="AA98" s="31" t="s">
        <v>1</v>
      </c>
      <c r="AB98" s="46" t="s">
        <v>1</v>
      </c>
      <c r="AC98" s="47" t="s">
        <v>1</v>
      </c>
      <c r="AD98" s="36" t="s">
        <v>1</v>
      </c>
      <c r="AE98" s="51" t="s">
        <v>1</v>
      </c>
      <c r="AF98" s="36" t="s">
        <v>1</v>
      </c>
      <c r="AG98" s="51" t="s">
        <v>1</v>
      </c>
      <c r="AH98" s="36" t="s">
        <v>1</v>
      </c>
      <c r="AI98" s="51" t="s">
        <v>1</v>
      </c>
      <c r="AJ98" s="36" t="s">
        <v>1</v>
      </c>
      <c r="AK98" s="51" t="s">
        <v>1</v>
      </c>
      <c r="AL98" s="36" t="s">
        <v>1</v>
      </c>
      <c r="AM98" s="31" t="s">
        <v>1</v>
      </c>
      <c r="AN98" s="36" t="s">
        <v>1</v>
      </c>
      <c r="AO98" s="31" t="s">
        <v>1</v>
      </c>
      <c r="AP98" s="36" t="s">
        <v>1</v>
      </c>
      <c r="AQ98" s="51" t="s">
        <v>1</v>
      </c>
      <c r="AR98" s="36" t="s">
        <v>1</v>
      </c>
      <c r="AS98" s="47" t="s">
        <v>1</v>
      </c>
      <c r="AT98" s="36" t="s">
        <v>1</v>
      </c>
      <c r="AU98" s="47" t="s">
        <v>1</v>
      </c>
      <c r="AV98" s="36" t="s">
        <v>1</v>
      </c>
      <c r="AW98" s="47" t="s">
        <v>1</v>
      </c>
      <c r="AX98" s="36" t="s">
        <v>2065</v>
      </c>
      <c r="AY98" s="47" t="s">
        <v>2193</v>
      </c>
      <c r="AZ98" s="36" t="s">
        <v>1299</v>
      </c>
      <c r="BA98" s="47" t="s">
        <v>2193</v>
      </c>
      <c r="BB98" s="36" t="s">
        <v>2188</v>
      </c>
      <c r="BC98" s="47" t="s">
        <v>819</v>
      </c>
      <c r="BD98" s="36" t="s">
        <v>2189</v>
      </c>
      <c r="BE98" s="47" t="str">
        <f t="shared" si="3"/>
        <v>"Região.Administrativa"</v>
      </c>
    </row>
    <row r="99" spans="1:57" ht="6.65" customHeight="1" x14ac:dyDescent="0.4">
      <c r="A99" s="93">
        <v>263</v>
      </c>
      <c r="B99" s="74" t="s">
        <v>876</v>
      </c>
      <c r="C99" s="44" t="s">
        <v>655</v>
      </c>
      <c r="D99" s="18" t="s">
        <v>744</v>
      </c>
      <c r="E99" s="48" t="s">
        <v>753</v>
      </c>
      <c r="F99" s="18" t="s">
        <v>1</v>
      </c>
      <c r="G99" s="20" t="s">
        <v>1</v>
      </c>
      <c r="H99" s="18" t="s">
        <v>1</v>
      </c>
      <c r="I99" s="20" t="s">
        <v>1</v>
      </c>
      <c r="J99" s="18" t="s">
        <v>1</v>
      </c>
      <c r="K99" s="20" t="s">
        <v>1</v>
      </c>
      <c r="L99" s="18" t="s">
        <v>1</v>
      </c>
      <c r="M99" s="20" t="s">
        <v>1</v>
      </c>
      <c r="N99" s="46" t="s">
        <v>82</v>
      </c>
      <c r="O99" s="31" t="str">
        <f t="shared" si="4"/>
        <v>"Região Administrativa (RA) de Rio de Janeiro: RA.Santa.Teresa"</v>
      </c>
      <c r="P99" s="46" t="s">
        <v>1</v>
      </c>
      <c r="Q99" s="25" t="s">
        <v>1</v>
      </c>
      <c r="R99" s="46" t="s">
        <v>1</v>
      </c>
      <c r="S99" s="52" t="s">
        <v>1</v>
      </c>
      <c r="T99" s="46" t="s">
        <v>1</v>
      </c>
      <c r="U99" s="31" t="s">
        <v>1</v>
      </c>
      <c r="V99" s="46" t="s">
        <v>1</v>
      </c>
      <c r="W99" s="31" t="s">
        <v>1</v>
      </c>
      <c r="X99" s="46" t="s">
        <v>1</v>
      </c>
      <c r="Y99" s="31" t="s">
        <v>1</v>
      </c>
      <c r="Z99" s="46" t="s">
        <v>1</v>
      </c>
      <c r="AA99" s="31" t="s">
        <v>1</v>
      </c>
      <c r="AB99" s="46" t="s">
        <v>1</v>
      </c>
      <c r="AC99" s="47" t="s">
        <v>1</v>
      </c>
      <c r="AD99" s="36" t="s">
        <v>1</v>
      </c>
      <c r="AE99" s="51" t="s">
        <v>1</v>
      </c>
      <c r="AF99" s="36" t="s">
        <v>1</v>
      </c>
      <c r="AG99" s="51" t="s">
        <v>1</v>
      </c>
      <c r="AH99" s="36" t="s">
        <v>1</v>
      </c>
      <c r="AI99" s="51" t="s">
        <v>1</v>
      </c>
      <c r="AJ99" s="36" t="s">
        <v>1</v>
      </c>
      <c r="AK99" s="51" t="s">
        <v>1</v>
      </c>
      <c r="AL99" s="36" t="s">
        <v>1</v>
      </c>
      <c r="AM99" s="31" t="s">
        <v>1</v>
      </c>
      <c r="AN99" s="36" t="s">
        <v>1</v>
      </c>
      <c r="AO99" s="31" t="s">
        <v>1</v>
      </c>
      <c r="AP99" s="36" t="s">
        <v>1</v>
      </c>
      <c r="AQ99" s="51" t="s">
        <v>1</v>
      </c>
      <c r="AR99" s="36" t="s">
        <v>1</v>
      </c>
      <c r="AS99" s="47" t="s">
        <v>1</v>
      </c>
      <c r="AT99" s="36" t="s">
        <v>1</v>
      </c>
      <c r="AU99" s="47" t="s">
        <v>1</v>
      </c>
      <c r="AV99" s="36" t="s">
        <v>1</v>
      </c>
      <c r="AW99" s="47" t="s">
        <v>1</v>
      </c>
      <c r="AX99" s="36" t="s">
        <v>2065</v>
      </c>
      <c r="AY99" s="47" t="s">
        <v>2193</v>
      </c>
      <c r="AZ99" s="36" t="s">
        <v>1299</v>
      </c>
      <c r="BA99" s="47" t="s">
        <v>2193</v>
      </c>
      <c r="BB99" s="36" t="s">
        <v>2188</v>
      </c>
      <c r="BC99" s="47" t="s">
        <v>819</v>
      </c>
      <c r="BD99" s="36" t="s">
        <v>2189</v>
      </c>
      <c r="BE99" s="47" t="str">
        <f t="shared" si="3"/>
        <v>"Região.Administrativa"</v>
      </c>
    </row>
    <row r="100" spans="1:57" ht="6.65" customHeight="1" x14ac:dyDescent="0.4">
      <c r="A100" s="93">
        <v>264</v>
      </c>
      <c r="B100" s="74" t="s">
        <v>878</v>
      </c>
      <c r="C100" s="44" t="s">
        <v>655</v>
      </c>
      <c r="D100" s="18" t="s">
        <v>744</v>
      </c>
      <c r="E100" s="48" t="s">
        <v>753</v>
      </c>
      <c r="F100" s="18" t="s">
        <v>1</v>
      </c>
      <c r="G100" s="20" t="s">
        <v>1</v>
      </c>
      <c r="H100" s="18" t="s">
        <v>1</v>
      </c>
      <c r="I100" s="20" t="s">
        <v>1</v>
      </c>
      <c r="J100" s="18" t="s">
        <v>1</v>
      </c>
      <c r="K100" s="20" t="s">
        <v>1</v>
      </c>
      <c r="L100" s="18" t="s">
        <v>1</v>
      </c>
      <c r="M100" s="20" t="s">
        <v>1</v>
      </c>
      <c r="N100" s="46" t="s">
        <v>82</v>
      </c>
      <c r="O100" s="31" t="str">
        <f t="shared" si="4"/>
        <v>"Região Administrativa (RA) de Rio de Janeiro: RA.Barra.da.Tijuca"</v>
      </c>
      <c r="P100" s="46" t="s">
        <v>1</v>
      </c>
      <c r="Q100" s="25" t="s">
        <v>1</v>
      </c>
      <c r="R100" s="46" t="s">
        <v>1</v>
      </c>
      <c r="S100" s="52" t="s">
        <v>1</v>
      </c>
      <c r="T100" s="46" t="s">
        <v>1</v>
      </c>
      <c r="U100" s="31" t="s">
        <v>1</v>
      </c>
      <c r="V100" s="46" t="s">
        <v>1</v>
      </c>
      <c r="W100" s="31" t="s">
        <v>1</v>
      </c>
      <c r="X100" s="46" t="s">
        <v>1</v>
      </c>
      <c r="Y100" s="31" t="s">
        <v>1</v>
      </c>
      <c r="Z100" s="46" t="s">
        <v>1</v>
      </c>
      <c r="AA100" s="31" t="s">
        <v>1</v>
      </c>
      <c r="AB100" s="46" t="s">
        <v>1</v>
      </c>
      <c r="AC100" s="47" t="s">
        <v>1</v>
      </c>
      <c r="AD100" s="36" t="s">
        <v>1</v>
      </c>
      <c r="AE100" s="51" t="s">
        <v>1</v>
      </c>
      <c r="AF100" s="36" t="s">
        <v>1</v>
      </c>
      <c r="AG100" s="51" t="s">
        <v>1</v>
      </c>
      <c r="AH100" s="36" t="s">
        <v>1</v>
      </c>
      <c r="AI100" s="51" t="s">
        <v>1</v>
      </c>
      <c r="AJ100" s="36" t="s">
        <v>1</v>
      </c>
      <c r="AK100" s="51" t="s">
        <v>1</v>
      </c>
      <c r="AL100" s="36" t="s">
        <v>1</v>
      </c>
      <c r="AM100" s="31" t="s">
        <v>1</v>
      </c>
      <c r="AN100" s="36" t="s">
        <v>1</v>
      </c>
      <c r="AO100" s="31" t="s">
        <v>1</v>
      </c>
      <c r="AP100" s="36" t="s">
        <v>1</v>
      </c>
      <c r="AQ100" s="51" t="s">
        <v>1</v>
      </c>
      <c r="AR100" s="36" t="s">
        <v>1</v>
      </c>
      <c r="AS100" s="47" t="s">
        <v>1</v>
      </c>
      <c r="AT100" s="36" t="s">
        <v>1</v>
      </c>
      <c r="AU100" s="47" t="s">
        <v>1</v>
      </c>
      <c r="AV100" s="36" t="s">
        <v>1</v>
      </c>
      <c r="AW100" s="47" t="s">
        <v>1</v>
      </c>
      <c r="AX100" s="36" t="s">
        <v>2065</v>
      </c>
      <c r="AY100" s="47" t="s">
        <v>2193</v>
      </c>
      <c r="AZ100" s="36" t="s">
        <v>1299</v>
      </c>
      <c r="BA100" s="47" t="s">
        <v>2193</v>
      </c>
      <c r="BB100" s="36" t="s">
        <v>2188</v>
      </c>
      <c r="BC100" s="47" t="s">
        <v>819</v>
      </c>
      <c r="BD100" s="36" t="s">
        <v>2189</v>
      </c>
      <c r="BE100" s="47" t="str">
        <f t="shared" si="3"/>
        <v>"Região.Administrativa"</v>
      </c>
    </row>
    <row r="101" spans="1:57" ht="6.65" customHeight="1" x14ac:dyDescent="0.4">
      <c r="A101" s="93">
        <v>265</v>
      </c>
      <c r="B101" s="74" t="s">
        <v>880</v>
      </c>
      <c r="C101" s="44" t="s">
        <v>655</v>
      </c>
      <c r="D101" s="18" t="s">
        <v>744</v>
      </c>
      <c r="E101" s="48" t="s">
        <v>753</v>
      </c>
      <c r="F101" s="18" t="s">
        <v>1</v>
      </c>
      <c r="G101" s="20" t="s">
        <v>1</v>
      </c>
      <c r="H101" s="18" t="s">
        <v>1</v>
      </c>
      <c r="I101" s="20" t="s">
        <v>1</v>
      </c>
      <c r="J101" s="18" t="s">
        <v>1</v>
      </c>
      <c r="K101" s="20" t="s">
        <v>1</v>
      </c>
      <c r="L101" s="18" t="s">
        <v>1</v>
      </c>
      <c r="M101" s="20" t="s">
        <v>1</v>
      </c>
      <c r="N101" s="46" t="s">
        <v>82</v>
      </c>
      <c r="O101" s="31" t="str">
        <f t="shared" si="4"/>
        <v>"Região Administrativa (RA) de Rio de Janeiro: RA.Pavuna"</v>
      </c>
      <c r="P101" s="46" t="s">
        <v>1</v>
      </c>
      <c r="Q101" s="25" t="s">
        <v>1</v>
      </c>
      <c r="R101" s="46" t="s">
        <v>1</v>
      </c>
      <c r="S101" s="52" t="s">
        <v>1</v>
      </c>
      <c r="T101" s="46" t="s">
        <v>1</v>
      </c>
      <c r="U101" s="31" t="s">
        <v>1</v>
      </c>
      <c r="V101" s="46" t="s">
        <v>1</v>
      </c>
      <c r="W101" s="31" t="s">
        <v>1</v>
      </c>
      <c r="X101" s="46" t="s">
        <v>1</v>
      </c>
      <c r="Y101" s="31" t="s">
        <v>1</v>
      </c>
      <c r="Z101" s="46" t="s">
        <v>1</v>
      </c>
      <c r="AA101" s="31" t="s">
        <v>1</v>
      </c>
      <c r="AB101" s="46" t="s">
        <v>1</v>
      </c>
      <c r="AC101" s="47" t="s">
        <v>1</v>
      </c>
      <c r="AD101" s="36" t="s">
        <v>1</v>
      </c>
      <c r="AE101" s="51" t="s">
        <v>1</v>
      </c>
      <c r="AF101" s="36" t="s">
        <v>1</v>
      </c>
      <c r="AG101" s="51" t="s">
        <v>1</v>
      </c>
      <c r="AH101" s="36" t="s">
        <v>1</v>
      </c>
      <c r="AI101" s="51" t="s">
        <v>1</v>
      </c>
      <c r="AJ101" s="36" t="s">
        <v>1</v>
      </c>
      <c r="AK101" s="51" t="s">
        <v>1</v>
      </c>
      <c r="AL101" s="36" t="s">
        <v>1</v>
      </c>
      <c r="AM101" s="31" t="s">
        <v>1</v>
      </c>
      <c r="AN101" s="36" t="s">
        <v>1</v>
      </c>
      <c r="AO101" s="31" t="s">
        <v>1</v>
      </c>
      <c r="AP101" s="36" t="s">
        <v>1</v>
      </c>
      <c r="AQ101" s="51" t="s">
        <v>1</v>
      </c>
      <c r="AR101" s="36" t="s">
        <v>1</v>
      </c>
      <c r="AS101" s="47" t="s">
        <v>1</v>
      </c>
      <c r="AT101" s="36" t="s">
        <v>1</v>
      </c>
      <c r="AU101" s="47" t="s">
        <v>1</v>
      </c>
      <c r="AV101" s="36" t="s">
        <v>1</v>
      </c>
      <c r="AW101" s="47" t="s">
        <v>1</v>
      </c>
      <c r="AX101" s="36" t="s">
        <v>2065</v>
      </c>
      <c r="AY101" s="47" t="s">
        <v>2193</v>
      </c>
      <c r="AZ101" s="36" t="s">
        <v>1299</v>
      </c>
      <c r="BA101" s="47" t="s">
        <v>2193</v>
      </c>
      <c r="BB101" s="36" t="s">
        <v>2188</v>
      </c>
      <c r="BC101" s="47" t="s">
        <v>819</v>
      </c>
      <c r="BD101" s="36" t="s">
        <v>2189</v>
      </c>
      <c r="BE101" s="47" t="str">
        <f t="shared" si="3"/>
        <v>"Região.Administrativa"</v>
      </c>
    </row>
    <row r="102" spans="1:57" ht="6.65" customHeight="1" x14ac:dyDescent="0.4">
      <c r="A102" s="93">
        <v>266</v>
      </c>
      <c r="B102" s="74" t="s">
        <v>882</v>
      </c>
      <c r="C102" s="44" t="s">
        <v>655</v>
      </c>
      <c r="D102" s="18" t="s">
        <v>744</v>
      </c>
      <c r="E102" s="48" t="s">
        <v>753</v>
      </c>
      <c r="F102" s="18" t="s">
        <v>1</v>
      </c>
      <c r="G102" s="20" t="s">
        <v>1</v>
      </c>
      <c r="H102" s="18" t="s">
        <v>1</v>
      </c>
      <c r="I102" s="20" t="s">
        <v>1</v>
      </c>
      <c r="J102" s="18" t="s">
        <v>1</v>
      </c>
      <c r="K102" s="20" t="s">
        <v>1</v>
      </c>
      <c r="L102" s="18" t="s">
        <v>1</v>
      </c>
      <c r="M102" s="20" t="s">
        <v>1</v>
      </c>
      <c r="N102" s="46" t="s">
        <v>82</v>
      </c>
      <c r="O102" s="31" t="str">
        <f t="shared" si="4"/>
        <v>"Região Administrativa (RA) de Rio de Janeiro: RA.Guaratiba"</v>
      </c>
      <c r="P102" s="46" t="s">
        <v>1</v>
      </c>
      <c r="Q102" s="25" t="s">
        <v>1</v>
      </c>
      <c r="R102" s="46" t="s">
        <v>1</v>
      </c>
      <c r="S102" s="52" t="s">
        <v>1</v>
      </c>
      <c r="T102" s="46" t="s">
        <v>1</v>
      </c>
      <c r="U102" s="31" t="s">
        <v>1</v>
      </c>
      <c r="V102" s="46" t="s">
        <v>1</v>
      </c>
      <c r="W102" s="31" t="s">
        <v>1</v>
      </c>
      <c r="X102" s="46" t="s">
        <v>1</v>
      </c>
      <c r="Y102" s="31" t="s">
        <v>1</v>
      </c>
      <c r="Z102" s="46" t="s">
        <v>1</v>
      </c>
      <c r="AA102" s="31" t="s">
        <v>1</v>
      </c>
      <c r="AB102" s="46" t="s">
        <v>1</v>
      </c>
      <c r="AC102" s="47" t="s">
        <v>1</v>
      </c>
      <c r="AD102" s="36" t="s">
        <v>1</v>
      </c>
      <c r="AE102" s="51" t="s">
        <v>1</v>
      </c>
      <c r="AF102" s="36" t="s">
        <v>1</v>
      </c>
      <c r="AG102" s="51" t="s">
        <v>1</v>
      </c>
      <c r="AH102" s="36" t="s">
        <v>1</v>
      </c>
      <c r="AI102" s="51" t="s">
        <v>1</v>
      </c>
      <c r="AJ102" s="36" t="s">
        <v>1</v>
      </c>
      <c r="AK102" s="51" t="s">
        <v>1</v>
      </c>
      <c r="AL102" s="36" t="s">
        <v>1</v>
      </c>
      <c r="AM102" s="31" t="s">
        <v>1</v>
      </c>
      <c r="AN102" s="36" t="s">
        <v>1</v>
      </c>
      <c r="AO102" s="31" t="s">
        <v>1</v>
      </c>
      <c r="AP102" s="36" t="s">
        <v>1</v>
      </c>
      <c r="AQ102" s="51" t="s">
        <v>1</v>
      </c>
      <c r="AR102" s="36" t="s">
        <v>1</v>
      </c>
      <c r="AS102" s="47" t="s">
        <v>1</v>
      </c>
      <c r="AT102" s="36" t="s">
        <v>1</v>
      </c>
      <c r="AU102" s="47" t="s">
        <v>1</v>
      </c>
      <c r="AV102" s="36" t="s">
        <v>1</v>
      </c>
      <c r="AW102" s="47" t="s">
        <v>1</v>
      </c>
      <c r="AX102" s="36" t="s">
        <v>2065</v>
      </c>
      <c r="AY102" s="47" t="s">
        <v>2193</v>
      </c>
      <c r="AZ102" s="36" t="s">
        <v>1299</v>
      </c>
      <c r="BA102" s="47" t="s">
        <v>2193</v>
      </c>
      <c r="BB102" s="36" t="s">
        <v>2188</v>
      </c>
      <c r="BC102" s="47" t="s">
        <v>819</v>
      </c>
      <c r="BD102" s="36" t="s">
        <v>2189</v>
      </c>
      <c r="BE102" s="47" t="str">
        <f t="shared" si="3"/>
        <v>"Região.Administrativa"</v>
      </c>
    </row>
    <row r="103" spans="1:57" ht="6.65" customHeight="1" x14ac:dyDescent="0.4">
      <c r="A103" s="93">
        <v>267</v>
      </c>
      <c r="B103" s="74" t="s">
        <v>884</v>
      </c>
      <c r="C103" s="44" t="s">
        <v>655</v>
      </c>
      <c r="D103" s="18" t="s">
        <v>744</v>
      </c>
      <c r="E103" s="48" t="s">
        <v>753</v>
      </c>
      <c r="F103" s="18" t="s">
        <v>1</v>
      </c>
      <c r="G103" s="20" t="s">
        <v>1</v>
      </c>
      <c r="H103" s="18" t="s">
        <v>1</v>
      </c>
      <c r="I103" s="20" t="s">
        <v>1</v>
      </c>
      <c r="J103" s="18" t="s">
        <v>1</v>
      </c>
      <c r="K103" s="20" t="s">
        <v>1</v>
      </c>
      <c r="L103" s="18" t="s">
        <v>1</v>
      </c>
      <c r="M103" s="20" t="s">
        <v>1</v>
      </c>
      <c r="N103" s="46" t="s">
        <v>82</v>
      </c>
      <c r="O103" s="31" t="str">
        <f t="shared" si="4"/>
        <v>"Região Administrativa (RA) de Rio de Janeiro: RA.Rocinha"</v>
      </c>
      <c r="P103" s="46" t="s">
        <v>1</v>
      </c>
      <c r="Q103" s="25" t="s">
        <v>1</v>
      </c>
      <c r="R103" s="46" t="s">
        <v>1</v>
      </c>
      <c r="S103" s="52" t="s">
        <v>1</v>
      </c>
      <c r="T103" s="46" t="s">
        <v>1</v>
      </c>
      <c r="U103" s="31" t="s">
        <v>1</v>
      </c>
      <c r="V103" s="46" t="s">
        <v>1</v>
      </c>
      <c r="W103" s="31" t="s">
        <v>1</v>
      </c>
      <c r="X103" s="46" t="s">
        <v>1</v>
      </c>
      <c r="Y103" s="31" t="s">
        <v>1</v>
      </c>
      <c r="Z103" s="46" t="s">
        <v>1</v>
      </c>
      <c r="AA103" s="31" t="s">
        <v>1</v>
      </c>
      <c r="AB103" s="46" t="s">
        <v>1</v>
      </c>
      <c r="AC103" s="47" t="s">
        <v>1</v>
      </c>
      <c r="AD103" s="36" t="s">
        <v>1</v>
      </c>
      <c r="AE103" s="51" t="s">
        <v>1</v>
      </c>
      <c r="AF103" s="36" t="s">
        <v>1</v>
      </c>
      <c r="AG103" s="51" t="s">
        <v>1</v>
      </c>
      <c r="AH103" s="36" t="s">
        <v>1</v>
      </c>
      <c r="AI103" s="51" t="s">
        <v>1</v>
      </c>
      <c r="AJ103" s="36" t="s">
        <v>1</v>
      </c>
      <c r="AK103" s="51" t="s">
        <v>1</v>
      </c>
      <c r="AL103" s="36" t="s">
        <v>1</v>
      </c>
      <c r="AM103" s="31" t="s">
        <v>1</v>
      </c>
      <c r="AN103" s="36" t="s">
        <v>1</v>
      </c>
      <c r="AO103" s="31" t="s">
        <v>1</v>
      </c>
      <c r="AP103" s="36" t="s">
        <v>1</v>
      </c>
      <c r="AQ103" s="51" t="s">
        <v>1</v>
      </c>
      <c r="AR103" s="36" t="s">
        <v>1</v>
      </c>
      <c r="AS103" s="47" t="s">
        <v>1</v>
      </c>
      <c r="AT103" s="36" t="s">
        <v>1</v>
      </c>
      <c r="AU103" s="47" t="s">
        <v>1</v>
      </c>
      <c r="AV103" s="36" t="s">
        <v>1</v>
      </c>
      <c r="AW103" s="47" t="s">
        <v>1</v>
      </c>
      <c r="AX103" s="36" t="s">
        <v>2065</v>
      </c>
      <c r="AY103" s="47" t="s">
        <v>2193</v>
      </c>
      <c r="AZ103" s="36" t="s">
        <v>1299</v>
      </c>
      <c r="BA103" s="47" t="s">
        <v>2193</v>
      </c>
      <c r="BB103" s="36" t="s">
        <v>2188</v>
      </c>
      <c r="BC103" s="47" t="s">
        <v>819</v>
      </c>
      <c r="BD103" s="36" t="s">
        <v>2189</v>
      </c>
      <c r="BE103" s="47" t="str">
        <f t="shared" si="3"/>
        <v>"Região.Administrativa"</v>
      </c>
    </row>
    <row r="104" spans="1:57" ht="6.65" customHeight="1" x14ac:dyDescent="0.4">
      <c r="A104" s="93">
        <v>268</v>
      </c>
      <c r="B104" s="74" t="s">
        <v>886</v>
      </c>
      <c r="C104" s="44" t="s">
        <v>655</v>
      </c>
      <c r="D104" s="18" t="s">
        <v>744</v>
      </c>
      <c r="E104" s="48" t="s">
        <v>753</v>
      </c>
      <c r="F104" s="18" t="s">
        <v>1</v>
      </c>
      <c r="G104" s="20" t="s">
        <v>1</v>
      </c>
      <c r="H104" s="18" t="s">
        <v>1</v>
      </c>
      <c r="I104" s="20" t="s">
        <v>1</v>
      </c>
      <c r="J104" s="18" t="s">
        <v>1</v>
      </c>
      <c r="K104" s="20" t="s">
        <v>1</v>
      </c>
      <c r="L104" s="18" t="s">
        <v>1</v>
      </c>
      <c r="M104" s="20" t="s">
        <v>1</v>
      </c>
      <c r="N104" s="46" t="s">
        <v>82</v>
      </c>
      <c r="O104" s="31" t="str">
        <f t="shared" si="4"/>
        <v>"Região Administrativa (RA) de Rio de Janeiro: RA.Jacarezinho"</v>
      </c>
      <c r="P104" s="46" t="s">
        <v>1</v>
      </c>
      <c r="Q104" s="25" t="s">
        <v>1</v>
      </c>
      <c r="R104" s="46" t="s">
        <v>1</v>
      </c>
      <c r="S104" s="52" t="s">
        <v>1</v>
      </c>
      <c r="T104" s="46" t="s">
        <v>1</v>
      </c>
      <c r="U104" s="31" t="s">
        <v>1</v>
      </c>
      <c r="V104" s="46" t="s">
        <v>1</v>
      </c>
      <c r="W104" s="31" t="s">
        <v>1</v>
      </c>
      <c r="X104" s="46" t="s">
        <v>1</v>
      </c>
      <c r="Y104" s="31" t="s">
        <v>1</v>
      </c>
      <c r="Z104" s="46" t="s">
        <v>1</v>
      </c>
      <c r="AA104" s="31" t="s">
        <v>1</v>
      </c>
      <c r="AB104" s="46" t="s">
        <v>1</v>
      </c>
      <c r="AC104" s="47" t="s">
        <v>1</v>
      </c>
      <c r="AD104" s="36" t="s">
        <v>1</v>
      </c>
      <c r="AE104" s="51" t="s">
        <v>1</v>
      </c>
      <c r="AF104" s="36" t="s">
        <v>1</v>
      </c>
      <c r="AG104" s="51" t="s">
        <v>1</v>
      </c>
      <c r="AH104" s="36" t="s">
        <v>1</v>
      </c>
      <c r="AI104" s="51" t="s">
        <v>1</v>
      </c>
      <c r="AJ104" s="36" t="s">
        <v>1</v>
      </c>
      <c r="AK104" s="51" t="s">
        <v>1</v>
      </c>
      <c r="AL104" s="36" t="s">
        <v>1</v>
      </c>
      <c r="AM104" s="31" t="s">
        <v>1</v>
      </c>
      <c r="AN104" s="36" t="s">
        <v>1</v>
      </c>
      <c r="AO104" s="31" t="s">
        <v>1</v>
      </c>
      <c r="AP104" s="36" t="s">
        <v>1</v>
      </c>
      <c r="AQ104" s="51" t="s">
        <v>1</v>
      </c>
      <c r="AR104" s="36" t="s">
        <v>1</v>
      </c>
      <c r="AS104" s="47" t="s">
        <v>1</v>
      </c>
      <c r="AT104" s="36" t="s">
        <v>1</v>
      </c>
      <c r="AU104" s="47" t="s">
        <v>1</v>
      </c>
      <c r="AV104" s="36" t="s">
        <v>1</v>
      </c>
      <c r="AW104" s="47" t="s">
        <v>1</v>
      </c>
      <c r="AX104" s="36" t="s">
        <v>2065</v>
      </c>
      <c r="AY104" s="47" t="s">
        <v>2193</v>
      </c>
      <c r="AZ104" s="36" t="s">
        <v>1299</v>
      </c>
      <c r="BA104" s="47" t="s">
        <v>2193</v>
      </c>
      <c r="BB104" s="36" t="s">
        <v>2188</v>
      </c>
      <c r="BC104" s="47" t="s">
        <v>819</v>
      </c>
      <c r="BD104" s="36" t="s">
        <v>2189</v>
      </c>
      <c r="BE104" s="47" t="str">
        <f t="shared" si="3"/>
        <v>"Região.Administrativa"</v>
      </c>
    </row>
    <row r="105" spans="1:57" ht="6.65" customHeight="1" x14ac:dyDescent="0.4">
      <c r="A105" s="93">
        <v>269</v>
      </c>
      <c r="B105" s="74" t="s">
        <v>888</v>
      </c>
      <c r="C105" s="44" t="s">
        <v>655</v>
      </c>
      <c r="D105" s="18" t="s">
        <v>744</v>
      </c>
      <c r="E105" s="48" t="s">
        <v>753</v>
      </c>
      <c r="F105" s="18" t="s">
        <v>1</v>
      </c>
      <c r="G105" s="20" t="s">
        <v>1</v>
      </c>
      <c r="H105" s="18" t="s">
        <v>1</v>
      </c>
      <c r="I105" s="20" t="s">
        <v>1</v>
      </c>
      <c r="J105" s="18" t="s">
        <v>1</v>
      </c>
      <c r="K105" s="20" t="s">
        <v>1</v>
      </c>
      <c r="L105" s="18" t="s">
        <v>1</v>
      </c>
      <c r="M105" s="20" t="s">
        <v>1</v>
      </c>
      <c r="N105" s="46" t="s">
        <v>82</v>
      </c>
      <c r="O105" s="31" t="str">
        <f t="shared" si="4"/>
        <v>"Região Administrativa (RA) de Rio de Janeiro: RA.Complexo.do.Alemão"</v>
      </c>
      <c r="P105" s="46" t="s">
        <v>1</v>
      </c>
      <c r="Q105" s="25" t="s">
        <v>1</v>
      </c>
      <c r="R105" s="46" t="s">
        <v>1</v>
      </c>
      <c r="S105" s="52" t="s">
        <v>1</v>
      </c>
      <c r="T105" s="46" t="s">
        <v>1</v>
      </c>
      <c r="U105" s="31" t="s">
        <v>1</v>
      </c>
      <c r="V105" s="46" t="s">
        <v>1</v>
      </c>
      <c r="W105" s="31" t="s">
        <v>1</v>
      </c>
      <c r="X105" s="46" t="s">
        <v>1</v>
      </c>
      <c r="Y105" s="31" t="s">
        <v>1</v>
      </c>
      <c r="Z105" s="46" t="s">
        <v>1</v>
      </c>
      <c r="AA105" s="31" t="s">
        <v>1</v>
      </c>
      <c r="AB105" s="46" t="s">
        <v>1</v>
      </c>
      <c r="AC105" s="47" t="s">
        <v>1</v>
      </c>
      <c r="AD105" s="36" t="s">
        <v>1</v>
      </c>
      <c r="AE105" s="51" t="s">
        <v>1</v>
      </c>
      <c r="AF105" s="36" t="s">
        <v>1</v>
      </c>
      <c r="AG105" s="51" t="s">
        <v>1</v>
      </c>
      <c r="AH105" s="36" t="s">
        <v>1</v>
      </c>
      <c r="AI105" s="51" t="s">
        <v>1</v>
      </c>
      <c r="AJ105" s="36" t="s">
        <v>1</v>
      </c>
      <c r="AK105" s="51" t="s">
        <v>1</v>
      </c>
      <c r="AL105" s="36" t="s">
        <v>1</v>
      </c>
      <c r="AM105" s="31" t="s">
        <v>1</v>
      </c>
      <c r="AN105" s="36" t="s">
        <v>1</v>
      </c>
      <c r="AO105" s="31" t="s">
        <v>1</v>
      </c>
      <c r="AP105" s="36" t="s">
        <v>1</v>
      </c>
      <c r="AQ105" s="51" t="s">
        <v>1</v>
      </c>
      <c r="AR105" s="36" t="s">
        <v>1</v>
      </c>
      <c r="AS105" s="47" t="s">
        <v>1</v>
      </c>
      <c r="AT105" s="36" t="s">
        <v>1</v>
      </c>
      <c r="AU105" s="47" t="s">
        <v>1</v>
      </c>
      <c r="AV105" s="36" t="s">
        <v>1</v>
      </c>
      <c r="AW105" s="47" t="s">
        <v>1</v>
      </c>
      <c r="AX105" s="36" t="s">
        <v>2065</v>
      </c>
      <c r="AY105" s="47" t="s">
        <v>2193</v>
      </c>
      <c r="AZ105" s="36" t="s">
        <v>1299</v>
      </c>
      <c r="BA105" s="47" t="s">
        <v>2193</v>
      </c>
      <c r="BB105" s="36" t="s">
        <v>2188</v>
      </c>
      <c r="BC105" s="47" t="s">
        <v>819</v>
      </c>
      <c r="BD105" s="36" t="s">
        <v>2189</v>
      </c>
      <c r="BE105" s="47" t="str">
        <f t="shared" si="3"/>
        <v>"Região.Administrativa"</v>
      </c>
    </row>
    <row r="106" spans="1:57" ht="6.65" customHeight="1" x14ac:dyDescent="0.4">
      <c r="A106" s="93">
        <v>270</v>
      </c>
      <c r="B106" s="74" t="s">
        <v>890</v>
      </c>
      <c r="C106" s="44" t="s">
        <v>655</v>
      </c>
      <c r="D106" s="18" t="s">
        <v>744</v>
      </c>
      <c r="E106" s="48" t="s">
        <v>753</v>
      </c>
      <c r="F106" s="18" t="s">
        <v>1</v>
      </c>
      <c r="G106" s="20" t="s">
        <v>1</v>
      </c>
      <c r="H106" s="18" t="s">
        <v>1</v>
      </c>
      <c r="I106" s="20" t="s">
        <v>1</v>
      </c>
      <c r="J106" s="18" t="s">
        <v>1</v>
      </c>
      <c r="K106" s="20" t="s">
        <v>1</v>
      </c>
      <c r="L106" s="18" t="s">
        <v>1</v>
      </c>
      <c r="M106" s="20" t="s">
        <v>1</v>
      </c>
      <c r="N106" s="46" t="s">
        <v>82</v>
      </c>
      <c r="O106" s="31" t="str">
        <f t="shared" si="4"/>
        <v>"Região Administrativa (RA) de Rio de Janeiro: RA.Complexo.da.Maré"</v>
      </c>
      <c r="P106" s="46" t="s">
        <v>1</v>
      </c>
      <c r="Q106" s="25" t="s">
        <v>1</v>
      </c>
      <c r="R106" s="46" t="s">
        <v>1</v>
      </c>
      <c r="S106" s="52" t="s">
        <v>1</v>
      </c>
      <c r="T106" s="46" t="s">
        <v>1</v>
      </c>
      <c r="U106" s="31" t="s">
        <v>1</v>
      </c>
      <c r="V106" s="46" t="s">
        <v>1</v>
      </c>
      <c r="W106" s="31" t="s">
        <v>1</v>
      </c>
      <c r="X106" s="46" t="s">
        <v>1</v>
      </c>
      <c r="Y106" s="31" t="s">
        <v>1</v>
      </c>
      <c r="Z106" s="46" t="s">
        <v>1</v>
      </c>
      <c r="AA106" s="31" t="s">
        <v>1</v>
      </c>
      <c r="AB106" s="46" t="s">
        <v>1</v>
      </c>
      <c r="AC106" s="47" t="s">
        <v>1</v>
      </c>
      <c r="AD106" s="36" t="s">
        <v>1</v>
      </c>
      <c r="AE106" s="51" t="s">
        <v>1</v>
      </c>
      <c r="AF106" s="36" t="s">
        <v>1</v>
      </c>
      <c r="AG106" s="51" t="s">
        <v>1</v>
      </c>
      <c r="AH106" s="36" t="s">
        <v>1</v>
      </c>
      <c r="AI106" s="51" t="s">
        <v>1</v>
      </c>
      <c r="AJ106" s="36" t="s">
        <v>1</v>
      </c>
      <c r="AK106" s="51" t="s">
        <v>1</v>
      </c>
      <c r="AL106" s="36" t="s">
        <v>1</v>
      </c>
      <c r="AM106" s="31" t="s">
        <v>1</v>
      </c>
      <c r="AN106" s="36" t="s">
        <v>1</v>
      </c>
      <c r="AO106" s="31" t="s">
        <v>1</v>
      </c>
      <c r="AP106" s="36" t="s">
        <v>1</v>
      </c>
      <c r="AQ106" s="51" t="s">
        <v>1</v>
      </c>
      <c r="AR106" s="36" t="s">
        <v>1</v>
      </c>
      <c r="AS106" s="47" t="s">
        <v>1</v>
      </c>
      <c r="AT106" s="36" t="s">
        <v>1</v>
      </c>
      <c r="AU106" s="47" t="s">
        <v>1</v>
      </c>
      <c r="AV106" s="36" t="s">
        <v>1</v>
      </c>
      <c r="AW106" s="47" t="s">
        <v>1</v>
      </c>
      <c r="AX106" s="36" t="s">
        <v>2065</v>
      </c>
      <c r="AY106" s="47" t="s">
        <v>2193</v>
      </c>
      <c r="AZ106" s="36" t="s">
        <v>1299</v>
      </c>
      <c r="BA106" s="47" t="s">
        <v>2193</v>
      </c>
      <c r="BB106" s="36" t="s">
        <v>2188</v>
      </c>
      <c r="BC106" s="47" t="s">
        <v>819</v>
      </c>
      <c r="BD106" s="36" t="s">
        <v>2189</v>
      </c>
      <c r="BE106" s="47" t="str">
        <f t="shared" si="3"/>
        <v>"Região.Administrativa"</v>
      </c>
    </row>
    <row r="107" spans="1:57" ht="6.65" customHeight="1" x14ac:dyDescent="0.4">
      <c r="A107" s="93">
        <v>271</v>
      </c>
      <c r="B107" s="74" t="s">
        <v>892</v>
      </c>
      <c r="C107" s="44" t="s">
        <v>655</v>
      </c>
      <c r="D107" s="18" t="s">
        <v>744</v>
      </c>
      <c r="E107" s="48" t="s">
        <v>753</v>
      </c>
      <c r="F107" s="18" t="s">
        <v>1</v>
      </c>
      <c r="G107" s="20" t="s">
        <v>1</v>
      </c>
      <c r="H107" s="18" t="s">
        <v>1</v>
      </c>
      <c r="I107" s="20" t="s">
        <v>1</v>
      </c>
      <c r="J107" s="18" t="s">
        <v>1</v>
      </c>
      <c r="K107" s="20" t="s">
        <v>1</v>
      </c>
      <c r="L107" s="18" t="s">
        <v>1</v>
      </c>
      <c r="M107" s="20" t="s">
        <v>1</v>
      </c>
      <c r="N107" s="46" t="s">
        <v>82</v>
      </c>
      <c r="O107" s="31" t="str">
        <f t="shared" si="4"/>
        <v>"Região Administrativa (RA) de Rio de Janeiro: RA.Vigário.Geral"</v>
      </c>
      <c r="P107" s="46" t="s">
        <v>1</v>
      </c>
      <c r="Q107" s="25" t="s">
        <v>1</v>
      </c>
      <c r="R107" s="46" t="s">
        <v>1</v>
      </c>
      <c r="S107" s="52" t="s">
        <v>1</v>
      </c>
      <c r="T107" s="46" t="s">
        <v>1</v>
      </c>
      <c r="U107" s="31" t="s">
        <v>1</v>
      </c>
      <c r="V107" s="46" t="s">
        <v>1</v>
      </c>
      <c r="W107" s="31" t="s">
        <v>1</v>
      </c>
      <c r="X107" s="46" t="s">
        <v>1</v>
      </c>
      <c r="Y107" s="31" t="s">
        <v>1</v>
      </c>
      <c r="Z107" s="46" t="s">
        <v>1</v>
      </c>
      <c r="AA107" s="31" t="s">
        <v>1</v>
      </c>
      <c r="AB107" s="46" t="s">
        <v>1</v>
      </c>
      <c r="AC107" s="47" t="s">
        <v>1</v>
      </c>
      <c r="AD107" s="36" t="s">
        <v>1</v>
      </c>
      <c r="AE107" s="51" t="s">
        <v>1</v>
      </c>
      <c r="AF107" s="36" t="s">
        <v>1</v>
      </c>
      <c r="AG107" s="51" t="s">
        <v>1</v>
      </c>
      <c r="AH107" s="36" t="s">
        <v>1</v>
      </c>
      <c r="AI107" s="51" t="s">
        <v>1</v>
      </c>
      <c r="AJ107" s="36" t="s">
        <v>1</v>
      </c>
      <c r="AK107" s="51" t="s">
        <v>1</v>
      </c>
      <c r="AL107" s="36" t="s">
        <v>1</v>
      </c>
      <c r="AM107" s="31" t="s">
        <v>1</v>
      </c>
      <c r="AN107" s="36" t="s">
        <v>1</v>
      </c>
      <c r="AO107" s="31" t="s">
        <v>1</v>
      </c>
      <c r="AP107" s="36" t="s">
        <v>1</v>
      </c>
      <c r="AQ107" s="51" t="s">
        <v>1</v>
      </c>
      <c r="AR107" s="36" t="s">
        <v>1</v>
      </c>
      <c r="AS107" s="47" t="s">
        <v>1</v>
      </c>
      <c r="AT107" s="36" t="s">
        <v>1</v>
      </c>
      <c r="AU107" s="47" t="s">
        <v>1</v>
      </c>
      <c r="AV107" s="36" t="s">
        <v>1</v>
      </c>
      <c r="AW107" s="47" t="s">
        <v>1</v>
      </c>
      <c r="AX107" s="36" t="s">
        <v>2065</v>
      </c>
      <c r="AY107" s="47" t="s">
        <v>2193</v>
      </c>
      <c r="AZ107" s="36" t="s">
        <v>1299</v>
      </c>
      <c r="BA107" s="47" t="s">
        <v>2193</v>
      </c>
      <c r="BB107" s="36" t="s">
        <v>2188</v>
      </c>
      <c r="BC107" s="47" t="s">
        <v>819</v>
      </c>
      <c r="BD107" s="36" t="s">
        <v>2189</v>
      </c>
      <c r="BE107" s="47" t="str">
        <f t="shared" si="3"/>
        <v>"Região.Administrativa"</v>
      </c>
    </row>
    <row r="108" spans="1:57" ht="6.65" customHeight="1" x14ac:dyDescent="0.4">
      <c r="A108" s="93">
        <v>272</v>
      </c>
      <c r="B108" s="74" t="s">
        <v>894</v>
      </c>
      <c r="C108" s="44" t="s">
        <v>655</v>
      </c>
      <c r="D108" s="18" t="s">
        <v>744</v>
      </c>
      <c r="E108" s="48" t="s">
        <v>753</v>
      </c>
      <c r="F108" s="18" t="s">
        <v>1</v>
      </c>
      <c r="G108" s="20" t="s">
        <v>1</v>
      </c>
      <c r="H108" s="18" t="s">
        <v>1</v>
      </c>
      <c r="I108" s="20" t="s">
        <v>1</v>
      </c>
      <c r="J108" s="18" t="s">
        <v>1</v>
      </c>
      <c r="K108" s="20" t="s">
        <v>1</v>
      </c>
      <c r="L108" s="18" t="s">
        <v>1</v>
      </c>
      <c r="M108" s="20" t="s">
        <v>1</v>
      </c>
      <c r="N108" s="46" t="s">
        <v>82</v>
      </c>
      <c r="O108" s="31" t="str">
        <f t="shared" si="4"/>
        <v>"Região Administrativa (RA) de Rio de Janeiro: RA.Realengo"</v>
      </c>
      <c r="P108" s="46" t="s">
        <v>1</v>
      </c>
      <c r="Q108" s="25" t="s">
        <v>1</v>
      </c>
      <c r="R108" s="46" t="s">
        <v>1</v>
      </c>
      <c r="S108" s="52" t="s">
        <v>1</v>
      </c>
      <c r="T108" s="46" t="s">
        <v>1</v>
      </c>
      <c r="U108" s="31" t="s">
        <v>1</v>
      </c>
      <c r="V108" s="46" t="s">
        <v>1</v>
      </c>
      <c r="W108" s="31" t="s">
        <v>1</v>
      </c>
      <c r="X108" s="46" t="s">
        <v>1</v>
      </c>
      <c r="Y108" s="31" t="s">
        <v>1</v>
      </c>
      <c r="Z108" s="46" t="s">
        <v>1</v>
      </c>
      <c r="AA108" s="31" t="s">
        <v>1</v>
      </c>
      <c r="AB108" s="46" t="s">
        <v>1</v>
      </c>
      <c r="AC108" s="47" t="s">
        <v>1</v>
      </c>
      <c r="AD108" s="36" t="s">
        <v>1</v>
      </c>
      <c r="AE108" s="51" t="s">
        <v>1</v>
      </c>
      <c r="AF108" s="36" t="s">
        <v>1</v>
      </c>
      <c r="AG108" s="51" t="s">
        <v>1</v>
      </c>
      <c r="AH108" s="36" t="s">
        <v>1</v>
      </c>
      <c r="AI108" s="51" t="s">
        <v>1</v>
      </c>
      <c r="AJ108" s="36" t="s">
        <v>1</v>
      </c>
      <c r="AK108" s="51" t="s">
        <v>1</v>
      </c>
      <c r="AL108" s="36" t="s">
        <v>1</v>
      </c>
      <c r="AM108" s="31" t="s">
        <v>1</v>
      </c>
      <c r="AN108" s="36" t="s">
        <v>1</v>
      </c>
      <c r="AO108" s="31" t="s">
        <v>1</v>
      </c>
      <c r="AP108" s="36" t="s">
        <v>1</v>
      </c>
      <c r="AQ108" s="51" t="s">
        <v>1</v>
      </c>
      <c r="AR108" s="36" t="s">
        <v>1</v>
      </c>
      <c r="AS108" s="47" t="s">
        <v>1</v>
      </c>
      <c r="AT108" s="36" t="s">
        <v>1</v>
      </c>
      <c r="AU108" s="47" t="s">
        <v>1</v>
      </c>
      <c r="AV108" s="36" t="s">
        <v>1</v>
      </c>
      <c r="AW108" s="47" t="s">
        <v>1</v>
      </c>
      <c r="AX108" s="36" t="s">
        <v>2065</v>
      </c>
      <c r="AY108" s="47" t="s">
        <v>2193</v>
      </c>
      <c r="AZ108" s="36" t="s">
        <v>1299</v>
      </c>
      <c r="BA108" s="47" t="s">
        <v>2193</v>
      </c>
      <c r="BB108" s="36" t="s">
        <v>2188</v>
      </c>
      <c r="BC108" s="47" t="s">
        <v>819</v>
      </c>
      <c r="BD108" s="36" t="s">
        <v>2189</v>
      </c>
      <c r="BE108" s="47" t="str">
        <f t="shared" si="3"/>
        <v>"Região.Administrativa"</v>
      </c>
    </row>
    <row r="109" spans="1:57" ht="6.65" customHeight="1" x14ac:dyDescent="0.4">
      <c r="A109" s="93">
        <v>273</v>
      </c>
      <c r="B109" s="74" t="s">
        <v>896</v>
      </c>
      <c r="C109" s="44" t="s">
        <v>655</v>
      </c>
      <c r="D109" s="18" t="s">
        <v>744</v>
      </c>
      <c r="E109" s="48" t="s">
        <v>753</v>
      </c>
      <c r="F109" s="18" t="s">
        <v>1</v>
      </c>
      <c r="G109" s="20" t="s">
        <v>1</v>
      </c>
      <c r="H109" s="18" t="s">
        <v>1</v>
      </c>
      <c r="I109" s="20" t="s">
        <v>1</v>
      </c>
      <c r="J109" s="18" t="s">
        <v>1</v>
      </c>
      <c r="K109" s="20" t="s">
        <v>1</v>
      </c>
      <c r="L109" s="18" t="s">
        <v>1</v>
      </c>
      <c r="M109" s="20" t="s">
        <v>1</v>
      </c>
      <c r="N109" s="46" t="s">
        <v>82</v>
      </c>
      <c r="O109" s="31" t="str">
        <f t="shared" si="4"/>
        <v>"Região Administrativa (RA) de Rio de Janeiro: RA.Cidade.de.Deus"</v>
      </c>
      <c r="P109" s="46" t="s">
        <v>1</v>
      </c>
      <c r="Q109" s="25" t="s">
        <v>1</v>
      </c>
      <c r="R109" s="46" t="s">
        <v>1</v>
      </c>
      <c r="S109" s="52" t="s">
        <v>1</v>
      </c>
      <c r="T109" s="46" t="s">
        <v>1</v>
      </c>
      <c r="U109" s="31" t="s">
        <v>1</v>
      </c>
      <c r="V109" s="46" t="s">
        <v>1</v>
      </c>
      <c r="W109" s="31" t="s">
        <v>1</v>
      </c>
      <c r="X109" s="46" t="s">
        <v>1</v>
      </c>
      <c r="Y109" s="31" t="s">
        <v>1</v>
      </c>
      <c r="Z109" s="46" t="s">
        <v>1</v>
      </c>
      <c r="AA109" s="31" t="s">
        <v>1</v>
      </c>
      <c r="AB109" s="46" t="s">
        <v>1</v>
      </c>
      <c r="AC109" s="47" t="s">
        <v>1</v>
      </c>
      <c r="AD109" s="36" t="s">
        <v>1</v>
      </c>
      <c r="AE109" s="51" t="s">
        <v>1</v>
      </c>
      <c r="AF109" s="36" t="s">
        <v>1</v>
      </c>
      <c r="AG109" s="51" t="s">
        <v>1</v>
      </c>
      <c r="AH109" s="36" t="s">
        <v>1</v>
      </c>
      <c r="AI109" s="51" t="s">
        <v>1</v>
      </c>
      <c r="AJ109" s="36" t="s">
        <v>1</v>
      </c>
      <c r="AK109" s="51" t="s">
        <v>1</v>
      </c>
      <c r="AL109" s="36" t="s">
        <v>1</v>
      </c>
      <c r="AM109" s="31" t="s">
        <v>1</v>
      </c>
      <c r="AN109" s="36" t="s">
        <v>1</v>
      </c>
      <c r="AO109" s="31" t="s">
        <v>1</v>
      </c>
      <c r="AP109" s="36" t="s">
        <v>1</v>
      </c>
      <c r="AQ109" s="51" t="s">
        <v>1</v>
      </c>
      <c r="AR109" s="36" t="s">
        <v>1</v>
      </c>
      <c r="AS109" s="47" t="s">
        <v>1</v>
      </c>
      <c r="AT109" s="36" t="s">
        <v>1</v>
      </c>
      <c r="AU109" s="47" t="s">
        <v>1</v>
      </c>
      <c r="AV109" s="36" t="s">
        <v>1</v>
      </c>
      <c r="AW109" s="47" t="s">
        <v>1</v>
      </c>
      <c r="AX109" s="36" t="s">
        <v>2065</v>
      </c>
      <c r="AY109" s="47" t="s">
        <v>2193</v>
      </c>
      <c r="AZ109" s="36" t="s">
        <v>1299</v>
      </c>
      <c r="BA109" s="47" t="s">
        <v>2193</v>
      </c>
      <c r="BB109" s="36" t="s">
        <v>2188</v>
      </c>
      <c r="BC109" s="47" t="s">
        <v>819</v>
      </c>
      <c r="BD109" s="36" t="s">
        <v>2189</v>
      </c>
      <c r="BE109" s="47" t="str">
        <f t="shared" si="3"/>
        <v>"Região.Administrativa"</v>
      </c>
    </row>
    <row r="110" spans="1:57" ht="6.65" customHeight="1" x14ac:dyDescent="0.4">
      <c r="A110" s="93">
        <v>77</v>
      </c>
      <c r="B110" s="74" t="s">
        <v>897</v>
      </c>
      <c r="C110" s="44" t="s">
        <v>664</v>
      </c>
      <c r="D110" s="18" t="s">
        <v>744</v>
      </c>
      <c r="E110" s="48" t="s">
        <v>753</v>
      </c>
      <c r="F110" s="18" t="s">
        <v>1</v>
      </c>
      <c r="G110" s="20" t="s">
        <v>1</v>
      </c>
      <c r="H110" s="18" t="s">
        <v>1</v>
      </c>
      <c r="I110" s="20" t="s">
        <v>1</v>
      </c>
      <c r="J110" s="18" t="s">
        <v>1</v>
      </c>
      <c r="K110" s="20" t="s">
        <v>1</v>
      </c>
      <c r="L110" s="18" t="s">
        <v>1</v>
      </c>
      <c r="M110" s="20" t="s">
        <v>1</v>
      </c>
      <c r="N110" s="46" t="s">
        <v>82</v>
      </c>
      <c r="O110" s="25" t="str">
        <f>_xlfn.CONCAT("""",B110, " é bairro de Rio de Janeiro","""")</f>
        <v>"B.070 é bairro de Rio de Janeiro"</v>
      </c>
      <c r="P110" s="46" t="s">
        <v>1</v>
      </c>
      <c r="Q110" s="25" t="s">
        <v>1</v>
      </c>
      <c r="R110" s="46" t="s">
        <v>1</v>
      </c>
      <c r="S110" s="52" t="s">
        <v>1</v>
      </c>
      <c r="T110" s="46" t="s">
        <v>1</v>
      </c>
      <c r="U110" s="31" t="s">
        <v>1</v>
      </c>
      <c r="V110" s="46" t="s">
        <v>1</v>
      </c>
      <c r="W110" s="31" t="s">
        <v>1</v>
      </c>
      <c r="X110" s="46" t="s">
        <v>1</v>
      </c>
      <c r="Y110" s="31" t="s">
        <v>1</v>
      </c>
      <c r="Z110" s="46" t="s">
        <v>1</v>
      </c>
      <c r="AA110" s="31" t="s">
        <v>1</v>
      </c>
      <c r="AB110" s="46" t="s">
        <v>1</v>
      </c>
      <c r="AC110" s="47" t="s">
        <v>1</v>
      </c>
      <c r="AD110" s="36" t="s">
        <v>1</v>
      </c>
      <c r="AE110" s="51" t="s">
        <v>1</v>
      </c>
      <c r="AF110" s="36" t="s">
        <v>1</v>
      </c>
      <c r="AG110" s="51" t="s">
        <v>1</v>
      </c>
      <c r="AH110" s="36" t="s">
        <v>1</v>
      </c>
      <c r="AI110" s="51" t="s">
        <v>1</v>
      </c>
      <c r="AJ110" s="36" t="s">
        <v>1</v>
      </c>
      <c r="AK110" s="51" t="s">
        <v>1</v>
      </c>
      <c r="AL110" s="36" t="s">
        <v>1</v>
      </c>
      <c r="AM110" s="31" t="s">
        <v>1</v>
      </c>
      <c r="AN110" s="36" t="s">
        <v>1</v>
      </c>
      <c r="AO110" s="31" t="s">
        <v>1</v>
      </c>
      <c r="AP110" s="36" t="s">
        <v>1</v>
      </c>
      <c r="AQ110" s="51" t="s">
        <v>1</v>
      </c>
      <c r="AR110" s="36" t="s">
        <v>1</v>
      </c>
      <c r="AS110" s="47" t="s">
        <v>1</v>
      </c>
      <c r="AT110" s="36" t="s">
        <v>1</v>
      </c>
      <c r="AU110" s="47" t="s">
        <v>1</v>
      </c>
      <c r="AV110" s="36" t="s">
        <v>1</v>
      </c>
      <c r="AW110" s="47" t="s">
        <v>1</v>
      </c>
      <c r="AX110" s="36" t="s">
        <v>2065</v>
      </c>
      <c r="AY110" s="47" t="s">
        <v>2193</v>
      </c>
      <c r="AZ110" s="36" t="s">
        <v>1299</v>
      </c>
      <c r="BA110" s="47" t="s">
        <v>2193</v>
      </c>
      <c r="BB110" s="36" t="s">
        <v>2188</v>
      </c>
      <c r="BC110" s="47" t="s">
        <v>819</v>
      </c>
      <c r="BD110" s="36" t="s">
        <v>2189</v>
      </c>
      <c r="BE110" s="47" t="str">
        <f t="shared" si="3"/>
        <v>"Bairro"</v>
      </c>
    </row>
    <row r="111" spans="1:57" ht="6.65" customHeight="1" x14ac:dyDescent="0.4">
      <c r="A111" s="93">
        <v>78</v>
      </c>
      <c r="B111" s="74" t="s">
        <v>898</v>
      </c>
      <c r="C111" s="44" t="s">
        <v>664</v>
      </c>
      <c r="D111" s="18" t="s">
        <v>744</v>
      </c>
      <c r="E111" s="48" t="s">
        <v>753</v>
      </c>
      <c r="F111" s="18" t="s">
        <v>1</v>
      </c>
      <c r="G111" s="20" t="s">
        <v>1</v>
      </c>
      <c r="H111" s="18" t="s">
        <v>1</v>
      </c>
      <c r="I111" s="20" t="s">
        <v>1</v>
      </c>
      <c r="J111" s="18" t="s">
        <v>1</v>
      </c>
      <c r="K111" s="20" t="s">
        <v>1</v>
      </c>
      <c r="L111" s="18" t="s">
        <v>1</v>
      </c>
      <c r="M111" s="20" t="s">
        <v>1</v>
      </c>
      <c r="N111" s="46" t="s">
        <v>82</v>
      </c>
      <c r="O111" s="25" t="str">
        <f t="shared" ref="O111:O175" si="5">_xlfn.CONCAT("""",B111, " é bairro de Rio de Janeiro","""")</f>
        <v>"B.111 é bairro de Rio de Janeiro"</v>
      </c>
      <c r="P111" s="46" t="s">
        <v>1</v>
      </c>
      <c r="Q111" s="25" t="s">
        <v>1</v>
      </c>
      <c r="R111" s="46" t="s">
        <v>1</v>
      </c>
      <c r="S111" s="52" t="s">
        <v>1</v>
      </c>
      <c r="T111" s="46" t="s">
        <v>1</v>
      </c>
      <c r="U111" s="31" t="s">
        <v>1</v>
      </c>
      <c r="V111" s="46" t="s">
        <v>1</v>
      </c>
      <c r="W111" s="31" t="s">
        <v>1</v>
      </c>
      <c r="X111" s="46" t="s">
        <v>1</v>
      </c>
      <c r="Y111" s="31" t="s">
        <v>1</v>
      </c>
      <c r="Z111" s="46" t="s">
        <v>1</v>
      </c>
      <c r="AA111" s="31" t="s">
        <v>1</v>
      </c>
      <c r="AB111" s="46" t="s">
        <v>1</v>
      </c>
      <c r="AC111" s="47" t="s">
        <v>1</v>
      </c>
      <c r="AD111" s="36" t="s">
        <v>1</v>
      </c>
      <c r="AE111" s="51" t="s">
        <v>1</v>
      </c>
      <c r="AF111" s="36" t="s">
        <v>1</v>
      </c>
      <c r="AG111" s="51" t="s">
        <v>1</v>
      </c>
      <c r="AH111" s="36" t="s">
        <v>1</v>
      </c>
      <c r="AI111" s="51" t="s">
        <v>1</v>
      </c>
      <c r="AJ111" s="36" t="s">
        <v>1</v>
      </c>
      <c r="AK111" s="51" t="s">
        <v>1</v>
      </c>
      <c r="AL111" s="36" t="s">
        <v>1</v>
      </c>
      <c r="AM111" s="31" t="s">
        <v>1</v>
      </c>
      <c r="AN111" s="36" t="s">
        <v>1</v>
      </c>
      <c r="AO111" s="31" t="s">
        <v>1</v>
      </c>
      <c r="AP111" s="36" t="s">
        <v>1</v>
      </c>
      <c r="AQ111" s="51" t="s">
        <v>1</v>
      </c>
      <c r="AR111" s="36" t="s">
        <v>1</v>
      </c>
      <c r="AS111" s="47" t="s">
        <v>1</v>
      </c>
      <c r="AT111" s="36" t="s">
        <v>1</v>
      </c>
      <c r="AU111" s="47" t="s">
        <v>1</v>
      </c>
      <c r="AV111" s="36" t="s">
        <v>1</v>
      </c>
      <c r="AW111" s="47" t="s">
        <v>1</v>
      </c>
      <c r="AX111" s="36" t="s">
        <v>2065</v>
      </c>
      <c r="AY111" s="47" t="s">
        <v>2193</v>
      </c>
      <c r="AZ111" s="36" t="s">
        <v>1299</v>
      </c>
      <c r="BA111" s="47" t="s">
        <v>2193</v>
      </c>
      <c r="BB111" s="36" t="s">
        <v>2188</v>
      </c>
      <c r="BC111" s="47" t="s">
        <v>819</v>
      </c>
      <c r="BD111" s="36" t="s">
        <v>2189</v>
      </c>
      <c r="BE111" s="47" t="str">
        <f t="shared" si="3"/>
        <v>"Bairro"</v>
      </c>
    </row>
    <row r="112" spans="1:57" ht="6.65" customHeight="1" x14ac:dyDescent="0.4">
      <c r="A112" s="93">
        <v>79</v>
      </c>
      <c r="B112" s="74" t="s">
        <v>899</v>
      </c>
      <c r="C112" s="44" t="s">
        <v>664</v>
      </c>
      <c r="D112" s="18" t="s">
        <v>744</v>
      </c>
      <c r="E112" s="48" t="s">
        <v>753</v>
      </c>
      <c r="F112" s="18" t="s">
        <v>1</v>
      </c>
      <c r="G112" s="20" t="s">
        <v>1</v>
      </c>
      <c r="H112" s="18" t="s">
        <v>1</v>
      </c>
      <c r="I112" s="20" t="s">
        <v>1</v>
      </c>
      <c r="J112" s="18" t="s">
        <v>1</v>
      </c>
      <c r="K112" s="20" t="s">
        <v>1</v>
      </c>
      <c r="L112" s="18" t="s">
        <v>1</v>
      </c>
      <c r="M112" s="20" t="s">
        <v>1</v>
      </c>
      <c r="N112" s="46" t="s">
        <v>82</v>
      </c>
      <c r="O112" s="25" t="str">
        <f t="shared" si="5"/>
        <v>"B.067 é bairro de Rio de Janeiro"</v>
      </c>
      <c r="P112" s="46" t="s">
        <v>1</v>
      </c>
      <c r="Q112" s="25" t="s">
        <v>1</v>
      </c>
      <c r="R112" s="46" t="s">
        <v>1</v>
      </c>
      <c r="S112" s="52" t="s">
        <v>1</v>
      </c>
      <c r="T112" s="46" t="s">
        <v>1</v>
      </c>
      <c r="U112" s="31" t="s">
        <v>1</v>
      </c>
      <c r="V112" s="46" t="s">
        <v>1</v>
      </c>
      <c r="W112" s="31" t="s">
        <v>1</v>
      </c>
      <c r="X112" s="46" t="s">
        <v>1</v>
      </c>
      <c r="Y112" s="31" t="s">
        <v>1</v>
      </c>
      <c r="Z112" s="46" t="s">
        <v>1</v>
      </c>
      <c r="AA112" s="31" t="s">
        <v>1</v>
      </c>
      <c r="AB112" s="46" t="s">
        <v>1</v>
      </c>
      <c r="AC112" s="47" t="s">
        <v>1</v>
      </c>
      <c r="AD112" s="36" t="s">
        <v>1</v>
      </c>
      <c r="AE112" s="51" t="s">
        <v>1</v>
      </c>
      <c r="AF112" s="36" t="s">
        <v>1</v>
      </c>
      <c r="AG112" s="51" t="s">
        <v>1</v>
      </c>
      <c r="AH112" s="36" t="s">
        <v>1</v>
      </c>
      <c r="AI112" s="51" t="s">
        <v>1</v>
      </c>
      <c r="AJ112" s="36" t="s">
        <v>1</v>
      </c>
      <c r="AK112" s="51" t="s">
        <v>1</v>
      </c>
      <c r="AL112" s="36" t="s">
        <v>1</v>
      </c>
      <c r="AM112" s="31" t="s">
        <v>1</v>
      </c>
      <c r="AN112" s="36" t="s">
        <v>1</v>
      </c>
      <c r="AO112" s="31" t="s">
        <v>1</v>
      </c>
      <c r="AP112" s="36" t="s">
        <v>1</v>
      </c>
      <c r="AQ112" s="51" t="s">
        <v>1</v>
      </c>
      <c r="AR112" s="36" t="s">
        <v>1</v>
      </c>
      <c r="AS112" s="47" t="s">
        <v>1</v>
      </c>
      <c r="AT112" s="36" t="s">
        <v>1</v>
      </c>
      <c r="AU112" s="47" t="s">
        <v>1</v>
      </c>
      <c r="AV112" s="36" t="s">
        <v>1</v>
      </c>
      <c r="AW112" s="47" t="s">
        <v>1</v>
      </c>
      <c r="AX112" s="36" t="s">
        <v>2065</v>
      </c>
      <c r="AY112" s="47" t="s">
        <v>2193</v>
      </c>
      <c r="AZ112" s="36" t="s">
        <v>1299</v>
      </c>
      <c r="BA112" s="47" t="s">
        <v>2193</v>
      </c>
      <c r="BB112" s="36" t="s">
        <v>2188</v>
      </c>
      <c r="BC112" s="47" t="s">
        <v>819</v>
      </c>
      <c r="BD112" s="36" t="s">
        <v>2189</v>
      </c>
      <c r="BE112" s="47" t="str">
        <f t="shared" si="3"/>
        <v>"Bairro"</v>
      </c>
    </row>
    <row r="113" spans="1:57" ht="6.65" customHeight="1" x14ac:dyDescent="0.4">
      <c r="A113" s="93">
        <v>80</v>
      </c>
      <c r="B113" s="74" t="s">
        <v>900</v>
      </c>
      <c r="C113" s="44" t="s">
        <v>664</v>
      </c>
      <c r="D113" s="18" t="s">
        <v>744</v>
      </c>
      <c r="E113" s="48" t="s">
        <v>753</v>
      </c>
      <c r="F113" s="18" t="s">
        <v>1</v>
      </c>
      <c r="G113" s="20" t="s">
        <v>1</v>
      </c>
      <c r="H113" s="18" t="s">
        <v>1</v>
      </c>
      <c r="I113" s="20" t="s">
        <v>1</v>
      </c>
      <c r="J113" s="18" t="s">
        <v>1</v>
      </c>
      <c r="K113" s="20" t="s">
        <v>1</v>
      </c>
      <c r="L113" s="18" t="s">
        <v>1</v>
      </c>
      <c r="M113" s="20" t="s">
        <v>1</v>
      </c>
      <c r="N113" s="46" t="s">
        <v>82</v>
      </c>
      <c r="O113" s="25" t="str">
        <f t="shared" si="5"/>
        <v>"B.034 é bairro de Rio de Janeiro"</v>
      </c>
      <c r="P113" s="46" t="s">
        <v>1</v>
      </c>
      <c r="Q113" s="25" t="s">
        <v>1</v>
      </c>
      <c r="R113" s="46" t="s">
        <v>1</v>
      </c>
      <c r="S113" s="52" t="s">
        <v>1</v>
      </c>
      <c r="T113" s="46" t="s">
        <v>1</v>
      </c>
      <c r="U113" s="31" t="s">
        <v>1</v>
      </c>
      <c r="V113" s="46" t="s">
        <v>1</v>
      </c>
      <c r="W113" s="31" t="s">
        <v>1</v>
      </c>
      <c r="X113" s="46" t="s">
        <v>1</v>
      </c>
      <c r="Y113" s="31" t="s">
        <v>1</v>
      </c>
      <c r="Z113" s="46" t="s">
        <v>1</v>
      </c>
      <c r="AA113" s="31" t="s">
        <v>1</v>
      </c>
      <c r="AB113" s="46" t="s">
        <v>1</v>
      </c>
      <c r="AC113" s="47" t="s">
        <v>1</v>
      </c>
      <c r="AD113" s="36" t="s">
        <v>1</v>
      </c>
      <c r="AE113" s="51" t="s">
        <v>1</v>
      </c>
      <c r="AF113" s="36" t="s">
        <v>1</v>
      </c>
      <c r="AG113" s="51" t="s">
        <v>1</v>
      </c>
      <c r="AH113" s="36" t="s">
        <v>1</v>
      </c>
      <c r="AI113" s="51" t="s">
        <v>1</v>
      </c>
      <c r="AJ113" s="36" t="s">
        <v>1</v>
      </c>
      <c r="AK113" s="51" t="s">
        <v>1</v>
      </c>
      <c r="AL113" s="36" t="s">
        <v>1</v>
      </c>
      <c r="AM113" s="31" t="s">
        <v>1</v>
      </c>
      <c r="AN113" s="36" t="s">
        <v>1</v>
      </c>
      <c r="AO113" s="31" t="s">
        <v>1</v>
      </c>
      <c r="AP113" s="36" t="s">
        <v>1</v>
      </c>
      <c r="AQ113" s="51" t="s">
        <v>1</v>
      </c>
      <c r="AR113" s="36" t="s">
        <v>1</v>
      </c>
      <c r="AS113" s="47" t="s">
        <v>1</v>
      </c>
      <c r="AT113" s="36" t="s">
        <v>1</v>
      </c>
      <c r="AU113" s="47" t="s">
        <v>1</v>
      </c>
      <c r="AV113" s="36" t="s">
        <v>1</v>
      </c>
      <c r="AW113" s="47" t="s">
        <v>1</v>
      </c>
      <c r="AX113" s="36" t="s">
        <v>2065</v>
      </c>
      <c r="AY113" s="47" t="s">
        <v>2193</v>
      </c>
      <c r="AZ113" s="36" t="s">
        <v>1299</v>
      </c>
      <c r="BA113" s="47" t="s">
        <v>2193</v>
      </c>
      <c r="BB113" s="36" t="s">
        <v>2188</v>
      </c>
      <c r="BC113" s="47" t="s">
        <v>819</v>
      </c>
      <c r="BD113" s="36" t="s">
        <v>2189</v>
      </c>
      <c r="BE113" s="47" t="str">
        <f t="shared" si="3"/>
        <v>"Bairro"</v>
      </c>
    </row>
    <row r="114" spans="1:57" ht="6.65" customHeight="1" x14ac:dyDescent="0.4">
      <c r="A114" s="93">
        <v>81</v>
      </c>
      <c r="B114" s="74" t="s">
        <v>901</v>
      </c>
      <c r="C114" s="44" t="s">
        <v>664</v>
      </c>
      <c r="D114" s="18" t="s">
        <v>744</v>
      </c>
      <c r="E114" s="48" t="s">
        <v>753</v>
      </c>
      <c r="F114" s="18" t="s">
        <v>1</v>
      </c>
      <c r="G114" s="20" t="s">
        <v>1</v>
      </c>
      <c r="H114" s="18" t="s">
        <v>1</v>
      </c>
      <c r="I114" s="20" t="s">
        <v>1</v>
      </c>
      <c r="J114" s="18" t="s">
        <v>1</v>
      </c>
      <c r="K114" s="20" t="s">
        <v>1</v>
      </c>
      <c r="L114" s="18" t="s">
        <v>1</v>
      </c>
      <c r="M114" s="20" t="s">
        <v>1</v>
      </c>
      <c r="N114" s="46" t="s">
        <v>82</v>
      </c>
      <c r="O114" s="25" t="str">
        <f t="shared" si="5"/>
        <v>"B.107 é bairro de Rio de Janeiro"</v>
      </c>
      <c r="P114" s="46" t="s">
        <v>1</v>
      </c>
      <c r="Q114" s="25" t="s">
        <v>1</v>
      </c>
      <c r="R114" s="46" t="s">
        <v>1</v>
      </c>
      <c r="S114" s="52" t="s">
        <v>1</v>
      </c>
      <c r="T114" s="46" t="s">
        <v>1</v>
      </c>
      <c r="U114" s="31" t="s">
        <v>1</v>
      </c>
      <c r="V114" s="46" t="s">
        <v>1</v>
      </c>
      <c r="W114" s="31" t="s">
        <v>1</v>
      </c>
      <c r="X114" s="46" t="s">
        <v>1</v>
      </c>
      <c r="Y114" s="31" t="s">
        <v>1</v>
      </c>
      <c r="Z114" s="46" t="s">
        <v>1</v>
      </c>
      <c r="AA114" s="31" t="s">
        <v>1</v>
      </c>
      <c r="AB114" s="46" t="s">
        <v>1</v>
      </c>
      <c r="AC114" s="47" t="s">
        <v>1</v>
      </c>
      <c r="AD114" s="36" t="s">
        <v>1</v>
      </c>
      <c r="AE114" s="51" t="s">
        <v>1</v>
      </c>
      <c r="AF114" s="36" t="s">
        <v>1</v>
      </c>
      <c r="AG114" s="51" t="s">
        <v>1</v>
      </c>
      <c r="AH114" s="36" t="s">
        <v>1</v>
      </c>
      <c r="AI114" s="51" t="s">
        <v>1</v>
      </c>
      <c r="AJ114" s="36" t="s">
        <v>1</v>
      </c>
      <c r="AK114" s="51" t="s">
        <v>1</v>
      </c>
      <c r="AL114" s="36" t="s">
        <v>1</v>
      </c>
      <c r="AM114" s="31" t="s">
        <v>1</v>
      </c>
      <c r="AN114" s="36" t="s">
        <v>1</v>
      </c>
      <c r="AO114" s="31" t="s">
        <v>1</v>
      </c>
      <c r="AP114" s="36" t="s">
        <v>1</v>
      </c>
      <c r="AQ114" s="51" t="s">
        <v>1</v>
      </c>
      <c r="AR114" s="36" t="s">
        <v>1</v>
      </c>
      <c r="AS114" s="47" t="s">
        <v>1</v>
      </c>
      <c r="AT114" s="36" t="s">
        <v>1</v>
      </c>
      <c r="AU114" s="47" t="s">
        <v>1</v>
      </c>
      <c r="AV114" s="36" t="s">
        <v>1</v>
      </c>
      <c r="AW114" s="47" t="s">
        <v>1</v>
      </c>
      <c r="AX114" s="36" t="s">
        <v>2065</v>
      </c>
      <c r="AY114" s="47" t="s">
        <v>2193</v>
      </c>
      <c r="AZ114" s="36" t="s">
        <v>1299</v>
      </c>
      <c r="BA114" s="47" t="s">
        <v>2193</v>
      </c>
      <c r="BB114" s="36" t="s">
        <v>2188</v>
      </c>
      <c r="BC114" s="47" t="s">
        <v>819</v>
      </c>
      <c r="BD114" s="36" t="s">
        <v>2189</v>
      </c>
      <c r="BE114" s="47" t="str">
        <f t="shared" si="3"/>
        <v>"Bairro"</v>
      </c>
    </row>
    <row r="115" spans="1:57" ht="6.65" customHeight="1" x14ac:dyDescent="0.4">
      <c r="A115" s="93">
        <v>82</v>
      </c>
      <c r="B115" s="74" t="s">
        <v>902</v>
      </c>
      <c r="C115" s="44" t="s">
        <v>664</v>
      </c>
      <c r="D115" s="18" t="s">
        <v>744</v>
      </c>
      <c r="E115" s="48" t="s">
        <v>753</v>
      </c>
      <c r="F115" s="18" t="s">
        <v>1</v>
      </c>
      <c r="G115" s="20" t="s">
        <v>1</v>
      </c>
      <c r="H115" s="18" t="s">
        <v>1</v>
      </c>
      <c r="I115" s="20" t="s">
        <v>1</v>
      </c>
      <c r="J115" s="18" t="s">
        <v>1</v>
      </c>
      <c r="K115" s="20" t="s">
        <v>1</v>
      </c>
      <c r="L115" s="18" t="s">
        <v>1</v>
      </c>
      <c r="M115" s="20" t="s">
        <v>1</v>
      </c>
      <c r="N115" s="46" t="s">
        <v>82</v>
      </c>
      <c r="O115" s="25" t="str">
        <f t="shared" si="5"/>
        <v>"B.037 é bairro de Rio de Janeiro"</v>
      </c>
      <c r="P115" s="46" t="s">
        <v>1</v>
      </c>
      <c r="Q115" s="25" t="s">
        <v>1</v>
      </c>
      <c r="R115" s="46" t="s">
        <v>1</v>
      </c>
      <c r="S115" s="52" t="s">
        <v>1</v>
      </c>
      <c r="T115" s="46" t="s">
        <v>1</v>
      </c>
      <c r="U115" s="31" t="s">
        <v>1</v>
      </c>
      <c r="V115" s="46" t="s">
        <v>1</v>
      </c>
      <c r="W115" s="31" t="s">
        <v>1</v>
      </c>
      <c r="X115" s="46" t="s">
        <v>1</v>
      </c>
      <c r="Y115" s="31" t="s">
        <v>1</v>
      </c>
      <c r="Z115" s="46" t="s">
        <v>1</v>
      </c>
      <c r="AA115" s="31" t="s">
        <v>1</v>
      </c>
      <c r="AB115" s="46" t="s">
        <v>1</v>
      </c>
      <c r="AC115" s="47" t="s">
        <v>1</v>
      </c>
      <c r="AD115" s="36" t="s">
        <v>1</v>
      </c>
      <c r="AE115" s="51" t="s">
        <v>1</v>
      </c>
      <c r="AF115" s="36" t="s">
        <v>1</v>
      </c>
      <c r="AG115" s="51" t="s">
        <v>1</v>
      </c>
      <c r="AH115" s="36" t="s">
        <v>1</v>
      </c>
      <c r="AI115" s="51" t="s">
        <v>1</v>
      </c>
      <c r="AJ115" s="36" t="s">
        <v>1</v>
      </c>
      <c r="AK115" s="51" t="s">
        <v>1</v>
      </c>
      <c r="AL115" s="36" t="s">
        <v>1</v>
      </c>
      <c r="AM115" s="31" t="s">
        <v>1</v>
      </c>
      <c r="AN115" s="36" t="s">
        <v>1</v>
      </c>
      <c r="AO115" s="31" t="s">
        <v>1</v>
      </c>
      <c r="AP115" s="36" t="s">
        <v>1</v>
      </c>
      <c r="AQ115" s="51" t="s">
        <v>1</v>
      </c>
      <c r="AR115" s="36" t="s">
        <v>1</v>
      </c>
      <c r="AS115" s="47" t="s">
        <v>1</v>
      </c>
      <c r="AT115" s="36" t="s">
        <v>1</v>
      </c>
      <c r="AU115" s="47" t="s">
        <v>1</v>
      </c>
      <c r="AV115" s="36" t="s">
        <v>1</v>
      </c>
      <c r="AW115" s="47" t="s">
        <v>1</v>
      </c>
      <c r="AX115" s="36" t="s">
        <v>2065</v>
      </c>
      <c r="AY115" s="47" t="s">
        <v>2193</v>
      </c>
      <c r="AZ115" s="36" t="s">
        <v>1299</v>
      </c>
      <c r="BA115" s="47" t="s">
        <v>2193</v>
      </c>
      <c r="BB115" s="36" t="s">
        <v>2188</v>
      </c>
      <c r="BC115" s="47" t="s">
        <v>819</v>
      </c>
      <c r="BD115" s="36" t="s">
        <v>2189</v>
      </c>
      <c r="BE115" s="47" t="str">
        <f t="shared" si="3"/>
        <v>"Bairro"</v>
      </c>
    </row>
    <row r="116" spans="1:57" ht="6.65" customHeight="1" x14ac:dyDescent="0.4">
      <c r="A116" s="93">
        <v>83</v>
      </c>
      <c r="B116" s="74" t="s">
        <v>903</v>
      </c>
      <c r="C116" s="44" t="s">
        <v>664</v>
      </c>
      <c r="D116" s="18" t="s">
        <v>744</v>
      </c>
      <c r="E116" s="48" t="s">
        <v>753</v>
      </c>
      <c r="F116" s="18" t="s">
        <v>1</v>
      </c>
      <c r="G116" s="20" t="s">
        <v>1</v>
      </c>
      <c r="H116" s="18" t="s">
        <v>1</v>
      </c>
      <c r="I116" s="20" t="s">
        <v>1</v>
      </c>
      <c r="J116" s="18" t="s">
        <v>1</v>
      </c>
      <c r="K116" s="20" t="s">
        <v>1</v>
      </c>
      <c r="L116" s="18" t="s">
        <v>1</v>
      </c>
      <c r="M116" s="20" t="s">
        <v>1</v>
      </c>
      <c r="N116" s="46" t="s">
        <v>82</v>
      </c>
      <c r="O116" s="25" t="str">
        <f t="shared" si="5"/>
        <v>"B.116 é bairro de Rio de Janeiro"</v>
      </c>
      <c r="P116" s="46" t="s">
        <v>1</v>
      </c>
      <c r="Q116" s="25" t="s">
        <v>1</v>
      </c>
      <c r="R116" s="46" t="s">
        <v>1</v>
      </c>
      <c r="S116" s="52" t="s">
        <v>1</v>
      </c>
      <c r="T116" s="46" t="s">
        <v>1</v>
      </c>
      <c r="U116" s="31" t="s">
        <v>1</v>
      </c>
      <c r="V116" s="46" t="s">
        <v>1</v>
      </c>
      <c r="W116" s="31" t="s">
        <v>1</v>
      </c>
      <c r="X116" s="46" t="s">
        <v>1</v>
      </c>
      <c r="Y116" s="31" t="s">
        <v>1</v>
      </c>
      <c r="Z116" s="46" t="s">
        <v>1</v>
      </c>
      <c r="AA116" s="31" t="s">
        <v>1</v>
      </c>
      <c r="AB116" s="46" t="s">
        <v>1</v>
      </c>
      <c r="AC116" s="47" t="s">
        <v>1</v>
      </c>
      <c r="AD116" s="36" t="s">
        <v>1</v>
      </c>
      <c r="AE116" s="51" t="s">
        <v>1</v>
      </c>
      <c r="AF116" s="36" t="s">
        <v>1</v>
      </c>
      <c r="AG116" s="51" t="s">
        <v>1</v>
      </c>
      <c r="AH116" s="36" t="s">
        <v>1</v>
      </c>
      <c r="AI116" s="51" t="s">
        <v>1</v>
      </c>
      <c r="AJ116" s="36" t="s">
        <v>1</v>
      </c>
      <c r="AK116" s="51" t="s">
        <v>1</v>
      </c>
      <c r="AL116" s="36" t="s">
        <v>1</v>
      </c>
      <c r="AM116" s="31" t="s">
        <v>1</v>
      </c>
      <c r="AN116" s="36" t="s">
        <v>1</v>
      </c>
      <c r="AO116" s="31" t="s">
        <v>1</v>
      </c>
      <c r="AP116" s="36" t="s">
        <v>1</v>
      </c>
      <c r="AQ116" s="51" t="s">
        <v>1</v>
      </c>
      <c r="AR116" s="36" t="s">
        <v>1</v>
      </c>
      <c r="AS116" s="47" t="s">
        <v>1</v>
      </c>
      <c r="AT116" s="36" t="s">
        <v>1</v>
      </c>
      <c r="AU116" s="47" t="s">
        <v>1</v>
      </c>
      <c r="AV116" s="36" t="s">
        <v>1</v>
      </c>
      <c r="AW116" s="47" t="s">
        <v>1</v>
      </c>
      <c r="AX116" s="36" t="s">
        <v>2065</v>
      </c>
      <c r="AY116" s="47" t="s">
        <v>2193</v>
      </c>
      <c r="AZ116" s="36" t="s">
        <v>1299</v>
      </c>
      <c r="BA116" s="47" t="s">
        <v>2193</v>
      </c>
      <c r="BB116" s="36" t="s">
        <v>2188</v>
      </c>
      <c r="BC116" s="47" t="s">
        <v>819</v>
      </c>
      <c r="BD116" s="36" t="s">
        <v>2189</v>
      </c>
      <c r="BE116" s="47" t="str">
        <f t="shared" si="3"/>
        <v>"Bairro"</v>
      </c>
    </row>
    <row r="117" spans="1:57" ht="6.65" customHeight="1" x14ac:dyDescent="0.4">
      <c r="A117" s="93">
        <v>84</v>
      </c>
      <c r="B117" s="74" t="s">
        <v>904</v>
      </c>
      <c r="C117" s="44" t="s">
        <v>664</v>
      </c>
      <c r="D117" s="18" t="s">
        <v>744</v>
      </c>
      <c r="E117" s="48" t="s">
        <v>753</v>
      </c>
      <c r="F117" s="18" t="s">
        <v>1</v>
      </c>
      <c r="G117" s="20" t="s">
        <v>1</v>
      </c>
      <c r="H117" s="18" t="s">
        <v>1</v>
      </c>
      <c r="I117" s="20" t="s">
        <v>1</v>
      </c>
      <c r="J117" s="18" t="s">
        <v>1</v>
      </c>
      <c r="K117" s="20" t="s">
        <v>1</v>
      </c>
      <c r="L117" s="18" t="s">
        <v>1</v>
      </c>
      <c r="M117" s="20" t="s">
        <v>1</v>
      </c>
      <c r="N117" s="46" t="s">
        <v>82</v>
      </c>
      <c r="O117" s="25" t="str">
        <f t="shared" si="5"/>
        <v>"B.097 é bairro de Rio de Janeiro"</v>
      </c>
      <c r="P117" s="46" t="s">
        <v>1</v>
      </c>
      <c r="Q117" s="25" t="s">
        <v>1</v>
      </c>
      <c r="R117" s="46" t="s">
        <v>1</v>
      </c>
      <c r="S117" s="52" t="s">
        <v>1</v>
      </c>
      <c r="T117" s="46" t="s">
        <v>1</v>
      </c>
      <c r="U117" s="31" t="s">
        <v>1</v>
      </c>
      <c r="V117" s="46" t="s">
        <v>1</v>
      </c>
      <c r="W117" s="31" t="s">
        <v>1</v>
      </c>
      <c r="X117" s="46" t="s">
        <v>1</v>
      </c>
      <c r="Y117" s="31" t="s">
        <v>1</v>
      </c>
      <c r="Z117" s="46" t="s">
        <v>1</v>
      </c>
      <c r="AA117" s="31" t="s">
        <v>1</v>
      </c>
      <c r="AB117" s="46" t="s">
        <v>1</v>
      </c>
      <c r="AC117" s="47" t="s">
        <v>1</v>
      </c>
      <c r="AD117" s="36" t="s">
        <v>1</v>
      </c>
      <c r="AE117" s="51" t="s">
        <v>1</v>
      </c>
      <c r="AF117" s="36" t="s">
        <v>1</v>
      </c>
      <c r="AG117" s="51" t="s">
        <v>1</v>
      </c>
      <c r="AH117" s="36" t="s">
        <v>1</v>
      </c>
      <c r="AI117" s="51" t="s">
        <v>1</v>
      </c>
      <c r="AJ117" s="36" t="s">
        <v>1</v>
      </c>
      <c r="AK117" s="51" t="s">
        <v>1</v>
      </c>
      <c r="AL117" s="36" t="s">
        <v>1</v>
      </c>
      <c r="AM117" s="31" t="s">
        <v>1</v>
      </c>
      <c r="AN117" s="36" t="s">
        <v>1</v>
      </c>
      <c r="AO117" s="31" t="s">
        <v>1</v>
      </c>
      <c r="AP117" s="36" t="s">
        <v>1</v>
      </c>
      <c r="AQ117" s="51" t="s">
        <v>1</v>
      </c>
      <c r="AR117" s="36" t="s">
        <v>1</v>
      </c>
      <c r="AS117" s="47" t="s">
        <v>1</v>
      </c>
      <c r="AT117" s="36" t="s">
        <v>1</v>
      </c>
      <c r="AU117" s="47" t="s">
        <v>1</v>
      </c>
      <c r="AV117" s="36" t="s">
        <v>1</v>
      </c>
      <c r="AW117" s="47" t="s">
        <v>1</v>
      </c>
      <c r="AX117" s="36" t="s">
        <v>2065</v>
      </c>
      <c r="AY117" s="47" t="s">
        <v>2193</v>
      </c>
      <c r="AZ117" s="36" t="s">
        <v>1299</v>
      </c>
      <c r="BA117" s="47" t="s">
        <v>2193</v>
      </c>
      <c r="BB117" s="36" t="s">
        <v>2188</v>
      </c>
      <c r="BC117" s="47" t="s">
        <v>819</v>
      </c>
      <c r="BD117" s="36" t="s">
        <v>2189</v>
      </c>
      <c r="BE117" s="47" t="str">
        <f t="shared" si="3"/>
        <v>"Bairro"</v>
      </c>
    </row>
    <row r="118" spans="1:57" ht="6.65" customHeight="1" x14ac:dyDescent="0.4">
      <c r="A118" s="93">
        <v>85</v>
      </c>
      <c r="B118" s="74" t="s">
        <v>905</v>
      </c>
      <c r="C118" s="44" t="s">
        <v>664</v>
      </c>
      <c r="D118" s="18" t="s">
        <v>744</v>
      </c>
      <c r="E118" s="48" t="s">
        <v>753</v>
      </c>
      <c r="F118" s="18" t="s">
        <v>1</v>
      </c>
      <c r="G118" s="20" t="s">
        <v>1</v>
      </c>
      <c r="H118" s="18" t="s">
        <v>1</v>
      </c>
      <c r="I118" s="20" t="s">
        <v>1</v>
      </c>
      <c r="J118" s="18" t="s">
        <v>1</v>
      </c>
      <c r="K118" s="20" t="s">
        <v>1</v>
      </c>
      <c r="L118" s="18" t="s">
        <v>1</v>
      </c>
      <c r="M118" s="20" t="s">
        <v>1</v>
      </c>
      <c r="N118" s="46" t="s">
        <v>82</v>
      </c>
      <c r="O118" s="25" t="str">
        <f t="shared" si="5"/>
        <v>"B.141 é bairro de Rio de Janeiro"</v>
      </c>
      <c r="P118" s="46" t="s">
        <v>1</v>
      </c>
      <c r="Q118" s="25" t="s">
        <v>1</v>
      </c>
      <c r="R118" s="46" t="s">
        <v>1</v>
      </c>
      <c r="S118" s="52" t="s">
        <v>1</v>
      </c>
      <c r="T118" s="46" t="s">
        <v>1</v>
      </c>
      <c r="U118" s="31" t="s">
        <v>1</v>
      </c>
      <c r="V118" s="46" t="s">
        <v>1</v>
      </c>
      <c r="W118" s="31" t="s">
        <v>1</v>
      </c>
      <c r="X118" s="46" t="s">
        <v>1</v>
      </c>
      <c r="Y118" s="31" t="s">
        <v>1</v>
      </c>
      <c r="Z118" s="46" t="s">
        <v>1</v>
      </c>
      <c r="AA118" s="31" t="s">
        <v>1</v>
      </c>
      <c r="AB118" s="46" t="s">
        <v>1</v>
      </c>
      <c r="AC118" s="47" t="s">
        <v>1</v>
      </c>
      <c r="AD118" s="36" t="s">
        <v>1</v>
      </c>
      <c r="AE118" s="51" t="s">
        <v>1</v>
      </c>
      <c r="AF118" s="36" t="s">
        <v>1</v>
      </c>
      <c r="AG118" s="51" t="s">
        <v>1</v>
      </c>
      <c r="AH118" s="36" t="s">
        <v>1</v>
      </c>
      <c r="AI118" s="51" t="s">
        <v>1</v>
      </c>
      <c r="AJ118" s="36" t="s">
        <v>1</v>
      </c>
      <c r="AK118" s="51" t="s">
        <v>1</v>
      </c>
      <c r="AL118" s="36" t="s">
        <v>1</v>
      </c>
      <c r="AM118" s="31" t="s">
        <v>1</v>
      </c>
      <c r="AN118" s="36" t="s">
        <v>1</v>
      </c>
      <c r="AO118" s="31" t="s">
        <v>1</v>
      </c>
      <c r="AP118" s="36" t="s">
        <v>1</v>
      </c>
      <c r="AQ118" s="51" t="s">
        <v>1</v>
      </c>
      <c r="AR118" s="36" t="s">
        <v>1</v>
      </c>
      <c r="AS118" s="47" t="s">
        <v>1</v>
      </c>
      <c r="AT118" s="36" t="s">
        <v>1</v>
      </c>
      <c r="AU118" s="47" t="s">
        <v>1</v>
      </c>
      <c r="AV118" s="36" t="s">
        <v>1</v>
      </c>
      <c r="AW118" s="47" t="s">
        <v>1</v>
      </c>
      <c r="AX118" s="36" t="s">
        <v>2065</v>
      </c>
      <c r="AY118" s="47" t="s">
        <v>2193</v>
      </c>
      <c r="AZ118" s="36" t="s">
        <v>1299</v>
      </c>
      <c r="BA118" s="47" t="s">
        <v>2193</v>
      </c>
      <c r="BB118" s="36" t="s">
        <v>2188</v>
      </c>
      <c r="BC118" s="47" t="s">
        <v>819</v>
      </c>
      <c r="BD118" s="36" t="s">
        <v>2189</v>
      </c>
      <c r="BE118" s="47" t="str">
        <f t="shared" si="3"/>
        <v>"Bairro"</v>
      </c>
    </row>
    <row r="119" spans="1:57" ht="6.65" customHeight="1" x14ac:dyDescent="0.4">
      <c r="A119" s="93">
        <v>86</v>
      </c>
      <c r="B119" s="74" t="s">
        <v>906</v>
      </c>
      <c r="C119" s="44" t="s">
        <v>664</v>
      </c>
      <c r="D119" s="18" t="s">
        <v>744</v>
      </c>
      <c r="E119" s="48" t="s">
        <v>753</v>
      </c>
      <c r="F119" s="18" t="s">
        <v>1</v>
      </c>
      <c r="G119" s="20" t="s">
        <v>1</v>
      </c>
      <c r="H119" s="18" t="s">
        <v>1</v>
      </c>
      <c r="I119" s="20" t="s">
        <v>1</v>
      </c>
      <c r="J119" s="18" t="s">
        <v>1</v>
      </c>
      <c r="K119" s="20" t="s">
        <v>1</v>
      </c>
      <c r="L119" s="18" t="s">
        <v>1</v>
      </c>
      <c r="M119" s="20" t="s">
        <v>1</v>
      </c>
      <c r="N119" s="46" t="s">
        <v>82</v>
      </c>
      <c r="O119" s="25" t="str">
        <f t="shared" si="5"/>
        <v>"B.128 é bairro de Rio de Janeiro"</v>
      </c>
      <c r="P119" s="46" t="s">
        <v>1</v>
      </c>
      <c r="Q119" s="25" t="s">
        <v>1</v>
      </c>
      <c r="R119" s="46" t="s">
        <v>1</v>
      </c>
      <c r="S119" s="52" t="s">
        <v>1</v>
      </c>
      <c r="T119" s="46" t="s">
        <v>1</v>
      </c>
      <c r="U119" s="31" t="s">
        <v>1</v>
      </c>
      <c r="V119" s="46" t="s">
        <v>1</v>
      </c>
      <c r="W119" s="31" t="s">
        <v>1</v>
      </c>
      <c r="X119" s="46" t="s">
        <v>1</v>
      </c>
      <c r="Y119" s="31" t="s">
        <v>1</v>
      </c>
      <c r="Z119" s="46" t="s">
        <v>1</v>
      </c>
      <c r="AA119" s="31" t="s">
        <v>1</v>
      </c>
      <c r="AB119" s="46" t="s">
        <v>1</v>
      </c>
      <c r="AC119" s="47" t="s">
        <v>1</v>
      </c>
      <c r="AD119" s="36" t="s">
        <v>1</v>
      </c>
      <c r="AE119" s="51" t="s">
        <v>1</v>
      </c>
      <c r="AF119" s="36" t="s">
        <v>1</v>
      </c>
      <c r="AG119" s="51" t="s">
        <v>1</v>
      </c>
      <c r="AH119" s="36" t="s">
        <v>1</v>
      </c>
      <c r="AI119" s="51" t="s">
        <v>1</v>
      </c>
      <c r="AJ119" s="36" t="s">
        <v>1</v>
      </c>
      <c r="AK119" s="51" t="s">
        <v>1</v>
      </c>
      <c r="AL119" s="36" t="s">
        <v>1</v>
      </c>
      <c r="AM119" s="31" t="s">
        <v>1</v>
      </c>
      <c r="AN119" s="36" t="s">
        <v>1</v>
      </c>
      <c r="AO119" s="31" t="s">
        <v>1</v>
      </c>
      <c r="AP119" s="36" t="s">
        <v>1</v>
      </c>
      <c r="AQ119" s="51" t="s">
        <v>1</v>
      </c>
      <c r="AR119" s="36" t="s">
        <v>1</v>
      </c>
      <c r="AS119" s="47" t="s">
        <v>1</v>
      </c>
      <c r="AT119" s="36" t="s">
        <v>1</v>
      </c>
      <c r="AU119" s="47" t="s">
        <v>1</v>
      </c>
      <c r="AV119" s="36" t="s">
        <v>1</v>
      </c>
      <c r="AW119" s="47" t="s">
        <v>1</v>
      </c>
      <c r="AX119" s="36" t="s">
        <v>2065</v>
      </c>
      <c r="AY119" s="47" t="s">
        <v>2193</v>
      </c>
      <c r="AZ119" s="36" t="s">
        <v>1299</v>
      </c>
      <c r="BA119" s="47" t="s">
        <v>2193</v>
      </c>
      <c r="BB119" s="36" t="s">
        <v>2188</v>
      </c>
      <c r="BC119" s="47" t="s">
        <v>819</v>
      </c>
      <c r="BD119" s="36" t="s">
        <v>2189</v>
      </c>
      <c r="BE119" s="47" t="str">
        <f t="shared" si="3"/>
        <v>"Bairro"</v>
      </c>
    </row>
    <row r="120" spans="1:57" ht="6.65" customHeight="1" x14ac:dyDescent="0.4">
      <c r="A120" s="93">
        <v>87</v>
      </c>
      <c r="B120" s="74" t="s">
        <v>907</v>
      </c>
      <c r="C120" s="44" t="s">
        <v>664</v>
      </c>
      <c r="D120" s="18" t="s">
        <v>744</v>
      </c>
      <c r="E120" s="48" t="s">
        <v>753</v>
      </c>
      <c r="F120" s="18" t="s">
        <v>1</v>
      </c>
      <c r="G120" s="20" t="s">
        <v>1</v>
      </c>
      <c r="H120" s="18" t="s">
        <v>1</v>
      </c>
      <c r="I120" s="20" t="s">
        <v>1</v>
      </c>
      <c r="J120" s="18" t="s">
        <v>1</v>
      </c>
      <c r="K120" s="20" t="s">
        <v>1</v>
      </c>
      <c r="L120" s="18" t="s">
        <v>1</v>
      </c>
      <c r="M120" s="20" t="s">
        <v>1</v>
      </c>
      <c r="N120" s="46" t="s">
        <v>82</v>
      </c>
      <c r="O120" s="25" t="str">
        <f t="shared" si="5"/>
        <v>"B.152 é bairro de Rio de Janeiro"</v>
      </c>
      <c r="P120" s="46" t="s">
        <v>1</v>
      </c>
      <c r="Q120" s="25" t="s">
        <v>1</v>
      </c>
      <c r="R120" s="46" t="s">
        <v>1</v>
      </c>
      <c r="S120" s="52" t="s">
        <v>1</v>
      </c>
      <c r="T120" s="46" t="s">
        <v>1</v>
      </c>
      <c r="U120" s="31" t="s">
        <v>1</v>
      </c>
      <c r="V120" s="46" t="s">
        <v>1</v>
      </c>
      <c r="W120" s="31" t="s">
        <v>1</v>
      </c>
      <c r="X120" s="46" t="s">
        <v>1</v>
      </c>
      <c r="Y120" s="31" t="s">
        <v>1</v>
      </c>
      <c r="Z120" s="46" t="s">
        <v>1</v>
      </c>
      <c r="AA120" s="31" t="s">
        <v>1</v>
      </c>
      <c r="AB120" s="46" t="s">
        <v>1</v>
      </c>
      <c r="AC120" s="47" t="s">
        <v>1</v>
      </c>
      <c r="AD120" s="36" t="s">
        <v>1</v>
      </c>
      <c r="AE120" s="51" t="s">
        <v>1</v>
      </c>
      <c r="AF120" s="36" t="s">
        <v>1</v>
      </c>
      <c r="AG120" s="51" t="s">
        <v>1</v>
      </c>
      <c r="AH120" s="36" t="s">
        <v>1</v>
      </c>
      <c r="AI120" s="51" t="s">
        <v>1</v>
      </c>
      <c r="AJ120" s="36" t="s">
        <v>1</v>
      </c>
      <c r="AK120" s="51" t="s">
        <v>1</v>
      </c>
      <c r="AL120" s="36" t="s">
        <v>1</v>
      </c>
      <c r="AM120" s="31" t="s">
        <v>1</v>
      </c>
      <c r="AN120" s="36" t="s">
        <v>1</v>
      </c>
      <c r="AO120" s="31" t="s">
        <v>1</v>
      </c>
      <c r="AP120" s="36" t="s">
        <v>1</v>
      </c>
      <c r="AQ120" s="51" t="s">
        <v>1</v>
      </c>
      <c r="AR120" s="36" t="s">
        <v>1</v>
      </c>
      <c r="AS120" s="47" t="s">
        <v>1</v>
      </c>
      <c r="AT120" s="36" t="s">
        <v>1</v>
      </c>
      <c r="AU120" s="47" t="s">
        <v>1</v>
      </c>
      <c r="AV120" s="36" t="s">
        <v>1</v>
      </c>
      <c r="AW120" s="47" t="s">
        <v>1</v>
      </c>
      <c r="AX120" s="36" t="s">
        <v>2065</v>
      </c>
      <c r="AY120" s="47" t="s">
        <v>2193</v>
      </c>
      <c r="AZ120" s="36" t="s">
        <v>1299</v>
      </c>
      <c r="BA120" s="47" t="s">
        <v>2193</v>
      </c>
      <c r="BB120" s="36" t="s">
        <v>2188</v>
      </c>
      <c r="BC120" s="47" t="s">
        <v>819</v>
      </c>
      <c r="BD120" s="36" t="s">
        <v>2189</v>
      </c>
      <c r="BE120" s="47" t="str">
        <f t="shared" si="3"/>
        <v>"Bairro"</v>
      </c>
    </row>
    <row r="121" spans="1:57" ht="6.65" customHeight="1" x14ac:dyDescent="0.4">
      <c r="A121" s="93">
        <v>88</v>
      </c>
      <c r="B121" s="74" t="s">
        <v>908</v>
      </c>
      <c r="C121" s="44" t="s">
        <v>664</v>
      </c>
      <c r="D121" s="18" t="s">
        <v>744</v>
      </c>
      <c r="E121" s="48" t="s">
        <v>753</v>
      </c>
      <c r="F121" s="18" t="s">
        <v>1</v>
      </c>
      <c r="G121" s="20" t="s">
        <v>1</v>
      </c>
      <c r="H121" s="18" t="s">
        <v>1</v>
      </c>
      <c r="I121" s="20" t="s">
        <v>1</v>
      </c>
      <c r="J121" s="18" t="s">
        <v>1</v>
      </c>
      <c r="K121" s="20" t="s">
        <v>1</v>
      </c>
      <c r="L121" s="18" t="s">
        <v>1</v>
      </c>
      <c r="M121" s="20" t="s">
        <v>1</v>
      </c>
      <c r="N121" s="46" t="s">
        <v>82</v>
      </c>
      <c r="O121" s="25" t="str">
        <f t="shared" si="5"/>
        <v>"B.112 é bairro de Rio de Janeiro"</v>
      </c>
      <c r="P121" s="46" t="s">
        <v>1</v>
      </c>
      <c r="Q121" s="25" t="s">
        <v>1</v>
      </c>
      <c r="R121" s="46" t="s">
        <v>1</v>
      </c>
      <c r="S121" s="52" t="s">
        <v>1</v>
      </c>
      <c r="T121" s="46" t="s">
        <v>1</v>
      </c>
      <c r="U121" s="31" t="s">
        <v>1</v>
      </c>
      <c r="V121" s="46" t="s">
        <v>1</v>
      </c>
      <c r="W121" s="31" t="s">
        <v>1</v>
      </c>
      <c r="X121" s="46" t="s">
        <v>1</v>
      </c>
      <c r="Y121" s="31" t="s">
        <v>1</v>
      </c>
      <c r="Z121" s="46" t="s">
        <v>1</v>
      </c>
      <c r="AA121" s="31" t="s">
        <v>1</v>
      </c>
      <c r="AB121" s="46" t="s">
        <v>1</v>
      </c>
      <c r="AC121" s="47" t="s">
        <v>1</v>
      </c>
      <c r="AD121" s="36" t="s">
        <v>1</v>
      </c>
      <c r="AE121" s="51" t="s">
        <v>1</v>
      </c>
      <c r="AF121" s="36" t="s">
        <v>1</v>
      </c>
      <c r="AG121" s="51" t="s">
        <v>1</v>
      </c>
      <c r="AH121" s="36" t="s">
        <v>1</v>
      </c>
      <c r="AI121" s="51" t="s">
        <v>1</v>
      </c>
      <c r="AJ121" s="36" t="s">
        <v>1</v>
      </c>
      <c r="AK121" s="51" t="s">
        <v>1</v>
      </c>
      <c r="AL121" s="36" t="s">
        <v>1</v>
      </c>
      <c r="AM121" s="31" t="s">
        <v>1</v>
      </c>
      <c r="AN121" s="36" t="s">
        <v>1</v>
      </c>
      <c r="AO121" s="31" t="s">
        <v>1</v>
      </c>
      <c r="AP121" s="36" t="s">
        <v>1</v>
      </c>
      <c r="AQ121" s="51" t="s">
        <v>1</v>
      </c>
      <c r="AR121" s="36" t="s">
        <v>1</v>
      </c>
      <c r="AS121" s="47" t="s">
        <v>1</v>
      </c>
      <c r="AT121" s="36" t="s">
        <v>1</v>
      </c>
      <c r="AU121" s="47" t="s">
        <v>1</v>
      </c>
      <c r="AV121" s="36" t="s">
        <v>1</v>
      </c>
      <c r="AW121" s="47" t="s">
        <v>1</v>
      </c>
      <c r="AX121" s="36" t="s">
        <v>2065</v>
      </c>
      <c r="AY121" s="47" t="s">
        <v>2193</v>
      </c>
      <c r="AZ121" s="36" t="s">
        <v>1299</v>
      </c>
      <c r="BA121" s="47" t="s">
        <v>2193</v>
      </c>
      <c r="BB121" s="36" t="s">
        <v>2188</v>
      </c>
      <c r="BC121" s="47" t="s">
        <v>819</v>
      </c>
      <c r="BD121" s="36" t="s">
        <v>2189</v>
      </c>
      <c r="BE121" s="47" t="str">
        <f t="shared" si="3"/>
        <v>"Bairro"</v>
      </c>
    </row>
    <row r="122" spans="1:57" ht="6.65" customHeight="1" x14ac:dyDescent="0.4">
      <c r="A122" s="93">
        <v>89</v>
      </c>
      <c r="B122" s="74" t="s">
        <v>909</v>
      </c>
      <c r="C122" s="44" t="s">
        <v>664</v>
      </c>
      <c r="D122" s="18" t="s">
        <v>744</v>
      </c>
      <c r="E122" s="48" t="s">
        <v>753</v>
      </c>
      <c r="F122" s="18" t="s">
        <v>1</v>
      </c>
      <c r="G122" s="20" t="s">
        <v>1</v>
      </c>
      <c r="H122" s="18" t="s">
        <v>1</v>
      </c>
      <c r="I122" s="20" t="s">
        <v>1</v>
      </c>
      <c r="J122" s="18" t="s">
        <v>1</v>
      </c>
      <c r="K122" s="20" t="s">
        <v>1</v>
      </c>
      <c r="L122" s="18" t="s">
        <v>1</v>
      </c>
      <c r="M122" s="20" t="s">
        <v>1</v>
      </c>
      <c r="N122" s="46" t="s">
        <v>82</v>
      </c>
      <c r="O122" s="25" t="str">
        <f t="shared" si="5"/>
        <v>"B.012 é bairro de Rio de Janeiro"</v>
      </c>
      <c r="P122" s="46" t="s">
        <v>1</v>
      </c>
      <c r="Q122" s="25" t="s">
        <v>1</v>
      </c>
      <c r="R122" s="46" t="s">
        <v>1</v>
      </c>
      <c r="S122" s="52" t="s">
        <v>1</v>
      </c>
      <c r="T122" s="46" t="s">
        <v>1</v>
      </c>
      <c r="U122" s="31" t="s">
        <v>1</v>
      </c>
      <c r="V122" s="46" t="s">
        <v>1</v>
      </c>
      <c r="W122" s="31" t="s">
        <v>1</v>
      </c>
      <c r="X122" s="46" t="s">
        <v>1</v>
      </c>
      <c r="Y122" s="31" t="s">
        <v>1</v>
      </c>
      <c r="Z122" s="46" t="s">
        <v>1</v>
      </c>
      <c r="AA122" s="31" t="s">
        <v>1</v>
      </c>
      <c r="AB122" s="46" t="s">
        <v>1</v>
      </c>
      <c r="AC122" s="47" t="s">
        <v>1</v>
      </c>
      <c r="AD122" s="36" t="s">
        <v>1</v>
      </c>
      <c r="AE122" s="51" t="s">
        <v>1</v>
      </c>
      <c r="AF122" s="36" t="s">
        <v>1</v>
      </c>
      <c r="AG122" s="51" t="s">
        <v>1</v>
      </c>
      <c r="AH122" s="36" t="s">
        <v>1</v>
      </c>
      <c r="AI122" s="51" t="s">
        <v>1</v>
      </c>
      <c r="AJ122" s="36" t="s">
        <v>1</v>
      </c>
      <c r="AK122" s="51" t="s">
        <v>1</v>
      </c>
      <c r="AL122" s="36" t="s">
        <v>1</v>
      </c>
      <c r="AM122" s="31" t="s">
        <v>1</v>
      </c>
      <c r="AN122" s="36" t="s">
        <v>1</v>
      </c>
      <c r="AO122" s="31" t="s">
        <v>1</v>
      </c>
      <c r="AP122" s="36" t="s">
        <v>1</v>
      </c>
      <c r="AQ122" s="51" t="s">
        <v>1</v>
      </c>
      <c r="AR122" s="36" t="s">
        <v>1</v>
      </c>
      <c r="AS122" s="47" t="s">
        <v>1</v>
      </c>
      <c r="AT122" s="36" t="s">
        <v>1</v>
      </c>
      <c r="AU122" s="47" t="s">
        <v>1</v>
      </c>
      <c r="AV122" s="36" t="s">
        <v>1</v>
      </c>
      <c r="AW122" s="47" t="s">
        <v>1</v>
      </c>
      <c r="AX122" s="36" t="s">
        <v>2065</v>
      </c>
      <c r="AY122" s="47" t="s">
        <v>2193</v>
      </c>
      <c r="AZ122" s="36" t="s">
        <v>1299</v>
      </c>
      <c r="BA122" s="47" t="s">
        <v>2193</v>
      </c>
      <c r="BB122" s="36" t="s">
        <v>2188</v>
      </c>
      <c r="BC122" s="47" t="s">
        <v>819</v>
      </c>
      <c r="BD122" s="36" t="s">
        <v>2189</v>
      </c>
      <c r="BE122" s="47" t="str">
        <f t="shared" si="3"/>
        <v>"Bairro"</v>
      </c>
    </row>
    <row r="123" spans="1:57" ht="6.65" customHeight="1" x14ac:dyDescent="0.4">
      <c r="A123" s="93">
        <v>90</v>
      </c>
      <c r="B123" s="74" t="s">
        <v>910</v>
      </c>
      <c r="C123" s="44" t="s">
        <v>664</v>
      </c>
      <c r="D123" s="18" t="s">
        <v>744</v>
      </c>
      <c r="E123" s="48" t="s">
        <v>753</v>
      </c>
      <c r="F123" s="18" t="s">
        <v>1</v>
      </c>
      <c r="G123" s="20" t="s">
        <v>1</v>
      </c>
      <c r="H123" s="18" t="s">
        <v>1</v>
      </c>
      <c r="I123" s="20" t="s">
        <v>1</v>
      </c>
      <c r="J123" s="18" t="s">
        <v>1</v>
      </c>
      <c r="K123" s="20" t="s">
        <v>1</v>
      </c>
      <c r="L123" s="18" t="s">
        <v>1</v>
      </c>
      <c r="M123" s="20" t="s">
        <v>1</v>
      </c>
      <c r="N123" s="46" t="s">
        <v>82</v>
      </c>
      <c r="O123" s="25" t="str">
        <f t="shared" si="5"/>
        <v>"B.089 é bairro de Rio de Janeiro"</v>
      </c>
      <c r="P123" s="46" t="s">
        <v>1</v>
      </c>
      <c r="Q123" s="25" t="s">
        <v>1</v>
      </c>
      <c r="R123" s="46" t="s">
        <v>1</v>
      </c>
      <c r="S123" s="52" t="s">
        <v>1</v>
      </c>
      <c r="T123" s="46" t="s">
        <v>1</v>
      </c>
      <c r="U123" s="31" t="s">
        <v>1</v>
      </c>
      <c r="V123" s="46" t="s">
        <v>1</v>
      </c>
      <c r="W123" s="31" t="s">
        <v>1</v>
      </c>
      <c r="X123" s="46" t="s">
        <v>1</v>
      </c>
      <c r="Y123" s="31" t="s">
        <v>1</v>
      </c>
      <c r="Z123" s="46" t="s">
        <v>1</v>
      </c>
      <c r="AA123" s="31" t="s">
        <v>1</v>
      </c>
      <c r="AB123" s="46" t="s">
        <v>1</v>
      </c>
      <c r="AC123" s="47" t="s">
        <v>1</v>
      </c>
      <c r="AD123" s="36" t="s">
        <v>1</v>
      </c>
      <c r="AE123" s="51" t="s">
        <v>1</v>
      </c>
      <c r="AF123" s="36" t="s">
        <v>1</v>
      </c>
      <c r="AG123" s="51" t="s">
        <v>1</v>
      </c>
      <c r="AH123" s="36" t="s">
        <v>1</v>
      </c>
      <c r="AI123" s="51" t="s">
        <v>1</v>
      </c>
      <c r="AJ123" s="36" t="s">
        <v>1</v>
      </c>
      <c r="AK123" s="51" t="s">
        <v>1</v>
      </c>
      <c r="AL123" s="36" t="s">
        <v>1</v>
      </c>
      <c r="AM123" s="31" t="s">
        <v>1</v>
      </c>
      <c r="AN123" s="36" t="s">
        <v>1</v>
      </c>
      <c r="AO123" s="31" t="s">
        <v>1</v>
      </c>
      <c r="AP123" s="36" t="s">
        <v>1</v>
      </c>
      <c r="AQ123" s="51" t="s">
        <v>1</v>
      </c>
      <c r="AR123" s="36" t="s">
        <v>1</v>
      </c>
      <c r="AS123" s="47" t="s">
        <v>1</v>
      </c>
      <c r="AT123" s="36" t="s">
        <v>1</v>
      </c>
      <c r="AU123" s="47" t="s">
        <v>1</v>
      </c>
      <c r="AV123" s="36" t="s">
        <v>1</v>
      </c>
      <c r="AW123" s="47" t="s">
        <v>1</v>
      </c>
      <c r="AX123" s="36" t="s">
        <v>2065</v>
      </c>
      <c r="AY123" s="47" t="s">
        <v>2193</v>
      </c>
      <c r="AZ123" s="36" t="s">
        <v>1299</v>
      </c>
      <c r="BA123" s="47" t="s">
        <v>2193</v>
      </c>
      <c r="BB123" s="36" t="s">
        <v>2188</v>
      </c>
      <c r="BC123" s="47" t="s">
        <v>819</v>
      </c>
      <c r="BD123" s="36" t="s">
        <v>2189</v>
      </c>
      <c r="BE123" s="47" t="str">
        <f t="shared" si="3"/>
        <v>"Bairro"</v>
      </c>
    </row>
    <row r="124" spans="1:57" ht="6.65" customHeight="1" x14ac:dyDescent="0.4">
      <c r="A124" s="93">
        <v>91</v>
      </c>
      <c r="B124" s="74" t="s">
        <v>911</v>
      </c>
      <c r="C124" s="44" t="s">
        <v>664</v>
      </c>
      <c r="D124" s="18" t="s">
        <v>744</v>
      </c>
      <c r="E124" s="48" t="s">
        <v>753</v>
      </c>
      <c r="F124" s="18" t="s">
        <v>1</v>
      </c>
      <c r="G124" s="20" t="s">
        <v>1</v>
      </c>
      <c r="H124" s="18" t="s">
        <v>1</v>
      </c>
      <c r="I124" s="20" t="s">
        <v>1</v>
      </c>
      <c r="J124" s="18" t="s">
        <v>1</v>
      </c>
      <c r="K124" s="20" t="s">
        <v>1</v>
      </c>
      <c r="L124" s="18" t="s">
        <v>1</v>
      </c>
      <c r="M124" s="20" t="s">
        <v>1</v>
      </c>
      <c r="N124" s="46" t="s">
        <v>82</v>
      </c>
      <c r="O124" s="25" t="str">
        <f t="shared" si="5"/>
        <v>"B.040 é bairro de Rio de Janeiro"</v>
      </c>
      <c r="P124" s="46" t="s">
        <v>1</v>
      </c>
      <c r="Q124" s="25" t="s">
        <v>1</v>
      </c>
      <c r="R124" s="46" t="s">
        <v>1</v>
      </c>
      <c r="S124" s="52" t="s">
        <v>1</v>
      </c>
      <c r="T124" s="46" t="s">
        <v>1</v>
      </c>
      <c r="U124" s="31" t="s">
        <v>1</v>
      </c>
      <c r="V124" s="46" t="s">
        <v>1</v>
      </c>
      <c r="W124" s="31" t="s">
        <v>1</v>
      </c>
      <c r="X124" s="46" t="s">
        <v>1</v>
      </c>
      <c r="Y124" s="31" t="s">
        <v>1</v>
      </c>
      <c r="Z124" s="46" t="s">
        <v>1</v>
      </c>
      <c r="AA124" s="31" t="s">
        <v>1</v>
      </c>
      <c r="AB124" s="46" t="s">
        <v>1</v>
      </c>
      <c r="AC124" s="47" t="s">
        <v>1</v>
      </c>
      <c r="AD124" s="36" t="s">
        <v>1</v>
      </c>
      <c r="AE124" s="51" t="s">
        <v>1</v>
      </c>
      <c r="AF124" s="36" t="s">
        <v>1</v>
      </c>
      <c r="AG124" s="51" t="s">
        <v>1</v>
      </c>
      <c r="AH124" s="36" t="s">
        <v>1</v>
      </c>
      <c r="AI124" s="51" t="s">
        <v>1</v>
      </c>
      <c r="AJ124" s="36" t="s">
        <v>1</v>
      </c>
      <c r="AK124" s="51" t="s">
        <v>1</v>
      </c>
      <c r="AL124" s="36" t="s">
        <v>1</v>
      </c>
      <c r="AM124" s="31" t="s">
        <v>1</v>
      </c>
      <c r="AN124" s="36" t="s">
        <v>1</v>
      </c>
      <c r="AO124" s="31" t="s">
        <v>1</v>
      </c>
      <c r="AP124" s="36" t="s">
        <v>1</v>
      </c>
      <c r="AQ124" s="51" t="s">
        <v>1</v>
      </c>
      <c r="AR124" s="36" t="s">
        <v>1</v>
      </c>
      <c r="AS124" s="47" t="s">
        <v>1</v>
      </c>
      <c r="AT124" s="36" t="s">
        <v>1</v>
      </c>
      <c r="AU124" s="47" t="s">
        <v>1</v>
      </c>
      <c r="AV124" s="36" t="s">
        <v>1</v>
      </c>
      <c r="AW124" s="47" t="s">
        <v>1</v>
      </c>
      <c r="AX124" s="36" t="s">
        <v>2065</v>
      </c>
      <c r="AY124" s="47" t="s">
        <v>2193</v>
      </c>
      <c r="AZ124" s="36" t="s">
        <v>1299</v>
      </c>
      <c r="BA124" s="47" t="s">
        <v>2193</v>
      </c>
      <c r="BB124" s="36" t="s">
        <v>2188</v>
      </c>
      <c r="BC124" s="47" t="s">
        <v>819</v>
      </c>
      <c r="BD124" s="36" t="s">
        <v>2189</v>
      </c>
      <c r="BE124" s="47" t="str">
        <f t="shared" si="3"/>
        <v>"Bairro"</v>
      </c>
    </row>
    <row r="125" spans="1:57" ht="6.65" customHeight="1" x14ac:dyDescent="0.4">
      <c r="A125" s="93">
        <v>92</v>
      </c>
      <c r="B125" s="74" t="s">
        <v>912</v>
      </c>
      <c r="C125" s="44" t="s">
        <v>664</v>
      </c>
      <c r="D125" s="18" t="s">
        <v>744</v>
      </c>
      <c r="E125" s="48" t="s">
        <v>753</v>
      </c>
      <c r="F125" s="18" t="s">
        <v>1</v>
      </c>
      <c r="G125" s="20" t="s">
        <v>1</v>
      </c>
      <c r="H125" s="18" t="s">
        <v>1</v>
      </c>
      <c r="I125" s="20" t="s">
        <v>1</v>
      </c>
      <c r="J125" s="18" t="s">
        <v>1</v>
      </c>
      <c r="K125" s="20" t="s">
        <v>1</v>
      </c>
      <c r="L125" s="18" t="s">
        <v>1</v>
      </c>
      <c r="M125" s="20" t="s">
        <v>1</v>
      </c>
      <c r="N125" s="46" t="s">
        <v>82</v>
      </c>
      <c r="O125" s="25" t="str">
        <f t="shared" si="5"/>
        <v>"B.020 é bairro de Rio de Janeiro"</v>
      </c>
      <c r="P125" s="46" t="s">
        <v>1</v>
      </c>
      <c r="Q125" s="25" t="s">
        <v>1</v>
      </c>
      <c r="R125" s="46" t="s">
        <v>1</v>
      </c>
      <c r="S125" s="52" t="s">
        <v>1</v>
      </c>
      <c r="T125" s="46" t="s">
        <v>1</v>
      </c>
      <c r="U125" s="31" t="s">
        <v>1</v>
      </c>
      <c r="V125" s="46" t="s">
        <v>1</v>
      </c>
      <c r="W125" s="31" t="s">
        <v>1</v>
      </c>
      <c r="X125" s="46" t="s">
        <v>1</v>
      </c>
      <c r="Y125" s="31" t="s">
        <v>1</v>
      </c>
      <c r="Z125" s="46" t="s">
        <v>1</v>
      </c>
      <c r="AA125" s="31" t="s">
        <v>1</v>
      </c>
      <c r="AB125" s="46" t="s">
        <v>1</v>
      </c>
      <c r="AC125" s="47" t="s">
        <v>1</v>
      </c>
      <c r="AD125" s="36" t="s">
        <v>1</v>
      </c>
      <c r="AE125" s="51" t="s">
        <v>1</v>
      </c>
      <c r="AF125" s="36" t="s">
        <v>1</v>
      </c>
      <c r="AG125" s="51" t="s">
        <v>1</v>
      </c>
      <c r="AH125" s="36" t="s">
        <v>1</v>
      </c>
      <c r="AI125" s="51" t="s">
        <v>1</v>
      </c>
      <c r="AJ125" s="36" t="s">
        <v>1</v>
      </c>
      <c r="AK125" s="51" t="s">
        <v>1</v>
      </c>
      <c r="AL125" s="36" t="s">
        <v>1</v>
      </c>
      <c r="AM125" s="31" t="s">
        <v>1</v>
      </c>
      <c r="AN125" s="36" t="s">
        <v>1</v>
      </c>
      <c r="AO125" s="31" t="s">
        <v>1</v>
      </c>
      <c r="AP125" s="36" t="s">
        <v>1</v>
      </c>
      <c r="AQ125" s="51" t="s">
        <v>1</v>
      </c>
      <c r="AR125" s="36" t="s">
        <v>1</v>
      </c>
      <c r="AS125" s="47" t="s">
        <v>1</v>
      </c>
      <c r="AT125" s="36" t="s">
        <v>1</v>
      </c>
      <c r="AU125" s="47" t="s">
        <v>1</v>
      </c>
      <c r="AV125" s="36" t="s">
        <v>1</v>
      </c>
      <c r="AW125" s="47" t="s">
        <v>1</v>
      </c>
      <c r="AX125" s="36" t="s">
        <v>2065</v>
      </c>
      <c r="AY125" s="47" t="s">
        <v>2193</v>
      </c>
      <c r="AZ125" s="36" t="s">
        <v>1299</v>
      </c>
      <c r="BA125" s="47" t="s">
        <v>2193</v>
      </c>
      <c r="BB125" s="36" t="s">
        <v>2188</v>
      </c>
      <c r="BC125" s="47" t="s">
        <v>819</v>
      </c>
      <c r="BD125" s="36" t="s">
        <v>2189</v>
      </c>
      <c r="BE125" s="47" t="str">
        <f t="shared" si="3"/>
        <v>"Bairro"</v>
      </c>
    </row>
    <row r="126" spans="1:57" ht="6.65" customHeight="1" x14ac:dyDescent="0.4">
      <c r="A126" s="93">
        <v>93</v>
      </c>
      <c r="B126" s="74" t="s">
        <v>913</v>
      </c>
      <c r="C126" s="44" t="s">
        <v>664</v>
      </c>
      <c r="D126" s="18" t="s">
        <v>744</v>
      </c>
      <c r="E126" s="48" t="s">
        <v>753</v>
      </c>
      <c r="F126" s="18" t="s">
        <v>1</v>
      </c>
      <c r="G126" s="20" t="s">
        <v>1</v>
      </c>
      <c r="H126" s="18" t="s">
        <v>1</v>
      </c>
      <c r="I126" s="20" t="s">
        <v>1</v>
      </c>
      <c r="J126" s="18" t="s">
        <v>1</v>
      </c>
      <c r="K126" s="20" t="s">
        <v>1</v>
      </c>
      <c r="L126" s="18" t="s">
        <v>1</v>
      </c>
      <c r="M126" s="20" t="s">
        <v>1</v>
      </c>
      <c r="N126" s="46" t="s">
        <v>82</v>
      </c>
      <c r="O126" s="25" t="str">
        <f t="shared" si="5"/>
        <v>"B.045 é bairro de Rio de Janeiro"</v>
      </c>
      <c r="P126" s="46" t="s">
        <v>1</v>
      </c>
      <c r="Q126" s="25" t="s">
        <v>1</v>
      </c>
      <c r="R126" s="46" t="s">
        <v>1</v>
      </c>
      <c r="S126" s="52" t="s">
        <v>1</v>
      </c>
      <c r="T126" s="46" t="s">
        <v>1</v>
      </c>
      <c r="U126" s="31" t="s">
        <v>1</v>
      </c>
      <c r="V126" s="46" t="s">
        <v>1</v>
      </c>
      <c r="W126" s="31" t="s">
        <v>1</v>
      </c>
      <c r="X126" s="46" t="s">
        <v>1</v>
      </c>
      <c r="Y126" s="31" t="s">
        <v>1</v>
      </c>
      <c r="Z126" s="46" t="s">
        <v>1</v>
      </c>
      <c r="AA126" s="31" t="s">
        <v>1</v>
      </c>
      <c r="AB126" s="46" t="s">
        <v>1</v>
      </c>
      <c r="AC126" s="47" t="s">
        <v>1</v>
      </c>
      <c r="AD126" s="36" t="s">
        <v>1</v>
      </c>
      <c r="AE126" s="51" t="s">
        <v>1</v>
      </c>
      <c r="AF126" s="36" t="s">
        <v>1</v>
      </c>
      <c r="AG126" s="51" t="s">
        <v>1</v>
      </c>
      <c r="AH126" s="36" t="s">
        <v>1</v>
      </c>
      <c r="AI126" s="51" t="s">
        <v>1</v>
      </c>
      <c r="AJ126" s="36" t="s">
        <v>1</v>
      </c>
      <c r="AK126" s="51" t="s">
        <v>1</v>
      </c>
      <c r="AL126" s="36" t="s">
        <v>1</v>
      </c>
      <c r="AM126" s="31" t="s">
        <v>1</v>
      </c>
      <c r="AN126" s="36" t="s">
        <v>1</v>
      </c>
      <c r="AO126" s="31" t="s">
        <v>1</v>
      </c>
      <c r="AP126" s="36" t="s">
        <v>1</v>
      </c>
      <c r="AQ126" s="51" t="s">
        <v>1</v>
      </c>
      <c r="AR126" s="36" t="s">
        <v>1</v>
      </c>
      <c r="AS126" s="47" t="s">
        <v>1</v>
      </c>
      <c r="AT126" s="36" t="s">
        <v>1</v>
      </c>
      <c r="AU126" s="47" t="s">
        <v>1</v>
      </c>
      <c r="AV126" s="36" t="s">
        <v>1</v>
      </c>
      <c r="AW126" s="47" t="s">
        <v>1</v>
      </c>
      <c r="AX126" s="36" t="s">
        <v>2065</v>
      </c>
      <c r="AY126" s="47" t="s">
        <v>2193</v>
      </c>
      <c r="AZ126" s="36" t="s">
        <v>1299</v>
      </c>
      <c r="BA126" s="47" t="s">
        <v>2193</v>
      </c>
      <c r="BB126" s="36" t="s">
        <v>2188</v>
      </c>
      <c r="BC126" s="47" t="s">
        <v>819</v>
      </c>
      <c r="BD126" s="36" t="s">
        <v>2189</v>
      </c>
      <c r="BE126" s="47" t="str">
        <f t="shared" si="3"/>
        <v>"Bairro"</v>
      </c>
    </row>
    <row r="127" spans="1:57" ht="6.65" customHeight="1" x14ac:dyDescent="0.4">
      <c r="A127" s="93">
        <v>94</v>
      </c>
      <c r="B127" s="74" t="s">
        <v>914</v>
      </c>
      <c r="C127" s="44" t="s">
        <v>664</v>
      </c>
      <c r="D127" s="18" t="s">
        <v>744</v>
      </c>
      <c r="E127" s="48" t="s">
        <v>753</v>
      </c>
      <c r="F127" s="18" t="s">
        <v>1</v>
      </c>
      <c r="G127" s="20" t="s">
        <v>1</v>
      </c>
      <c r="H127" s="18" t="s">
        <v>1</v>
      </c>
      <c r="I127" s="20" t="s">
        <v>1</v>
      </c>
      <c r="J127" s="18" t="s">
        <v>1</v>
      </c>
      <c r="K127" s="20" t="s">
        <v>1</v>
      </c>
      <c r="L127" s="18" t="s">
        <v>1</v>
      </c>
      <c r="M127" s="20" t="s">
        <v>1</v>
      </c>
      <c r="N127" s="46" t="s">
        <v>82</v>
      </c>
      <c r="O127" s="25" t="str">
        <f t="shared" si="5"/>
        <v>"B.065 é bairro de Rio de Janeiro"</v>
      </c>
      <c r="P127" s="46" t="s">
        <v>1</v>
      </c>
      <c r="Q127" s="25" t="s">
        <v>1</v>
      </c>
      <c r="R127" s="46" t="s">
        <v>1</v>
      </c>
      <c r="S127" s="52" t="s">
        <v>1</v>
      </c>
      <c r="T127" s="46" t="s">
        <v>1</v>
      </c>
      <c r="U127" s="31" t="s">
        <v>1</v>
      </c>
      <c r="V127" s="46" t="s">
        <v>1</v>
      </c>
      <c r="W127" s="31" t="s">
        <v>1</v>
      </c>
      <c r="X127" s="46" t="s">
        <v>1</v>
      </c>
      <c r="Y127" s="31" t="s">
        <v>1</v>
      </c>
      <c r="Z127" s="46" t="s">
        <v>1</v>
      </c>
      <c r="AA127" s="31" t="s">
        <v>1</v>
      </c>
      <c r="AB127" s="46" t="s">
        <v>1</v>
      </c>
      <c r="AC127" s="47" t="s">
        <v>1</v>
      </c>
      <c r="AD127" s="36" t="s">
        <v>1</v>
      </c>
      <c r="AE127" s="51" t="s">
        <v>1</v>
      </c>
      <c r="AF127" s="36" t="s">
        <v>1</v>
      </c>
      <c r="AG127" s="51" t="s">
        <v>1</v>
      </c>
      <c r="AH127" s="36" t="s">
        <v>1</v>
      </c>
      <c r="AI127" s="51" t="s">
        <v>1</v>
      </c>
      <c r="AJ127" s="36" t="s">
        <v>1</v>
      </c>
      <c r="AK127" s="51" t="s">
        <v>1</v>
      </c>
      <c r="AL127" s="36" t="s">
        <v>1</v>
      </c>
      <c r="AM127" s="31" t="s">
        <v>1</v>
      </c>
      <c r="AN127" s="36" t="s">
        <v>1</v>
      </c>
      <c r="AO127" s="31" t="s">
        <v>1</v>
      </c>
      <c r="AP127" s="36" t="s">
        <v>1</v>
      </c>
      <c r="AQ127" s="51" t="s">
        <v>1</v>
      </c>
      <c r="AR127" s="36" t="s">
        <v>1</v>
      </c>
      <c r="AS127" s="47" t="s">
        <v>1</v>
      </c>
      <c r="AT127" s="36" t="s">
        <v>1</v>
      </c>
      <c r="AU127" s="47" t="s">
        <v>1</v>
      </c>
      <c r="AV127" s="36" t="s">
        <v>1</v>
      </c>
      <c r="AW127" s="47" t="s">
        <v>1</v>
      </c>
      <c r="AX127" s="36" t="s">
        <v>2065</v>
      </c>
      <c r="AY127" s="47" t="s">
        <v>2193</v>
      </c>
      <c r="AZ127" s="36" t="s">
        <v>1299</v>
      </c>
      <c r="BA127" s="47" t="s">
        <v>2193</v>
      </c>
      <c r="BB127" s="36" t="s">
        <v>2188</v>
      </c>
      <c r="BC127" s="47" t="s">
        <v>819</v>
      </c>
      <c r="BD127" s="36" t="s">
        <v>2189</v>
      </c>
      <c r="BE127" s="47" t="str">
        <f t="shared" si="3"/>
        <v>"Bairro"</v>
      </c>
    </row>
    <row r="128" spans="1:57" ht="6.65" customHeight="1" x14ac:dyDescent="0.4">
      <c r="A128" s="93">
        <v>95</v>
      </c>
      <c r="B128" s="74" t="s">
        <v>915</v>
      </c>
      <c r="C128" s="44" t="s">
        <v>664</v>
      </c>
      <c r="D128" s="18" t="s">
        <v>744</v>
      </c>
      <c r="E128" s="48" t="s">
        <v>753</v>
      </c>
      <c r="F128" s="18" t="s">
        <v>1</v>
      </c>
      <c r="G128" s="20" t="s">
        <v>1</v>
      </c>
      <c r="H128" s="18" t="s">
        <v>1</v>
      </c>
      <c r="I128" s="20" t="s">
        <v>1</v>
      </c>
      <c r="J128" s="18" t="s">
        <v>1</v>
      </c>
      <c r="K128" s="20" t="s">
        <v>1</v>
      </c>
      <c r="L128" s="18" t="s">
        <v>1</v>
      </c>
      <c r="M128" s="20" t="s">
        <v>1</v>
      </c>
      <c r="N128" s="46" t="s">
        <v>82</v>
      </c>
      <c r="O128" s="25" t="str">
        <f t="shared" si="5"/>
        <v>"B.093 é bairro de Rio de Janeiro"</v>
      </c>
      <c r="P128" s="46" t="s">
        <v>1</v>
      </c>
      <c r="Q128" s="25" t="s">
        <v>1</v>
      </c>
      <c r="R128" s="46" t="s">
        <v>1</v>
      </c>
      <c r="S128" s="52" t="s">
        <v>1</v>
      </c>
      <c r="T128" s="46" t="s">
        <v>1</v>
      </c>
      <c r="U128" s="31" t="s">
        <v>1</v>
      </c>
      <c r="V128" s="46" t="s">
        <v>1</v>
      </c>
      <c r="W128" s="31" t="s">
        <v>1</v>
      </c>
      <c r="X128" s="46" t="s">
        <v>1</v>
      </c>
      <c r="Y128" s="31" t="s">
        <v>1</v>
      </c>
      <c r="Z128" s="46" t="s">
        <v>1</v>
      </c>
      <c r="AA128" s="31" t="s">
        <v>1</v>
      </c>
      <c r="AB128" s="46" t="s">
        <v>1</v>
      </c>
      <c r="AC128" s="47" t="s">
        <v>1</v>
      </c>
      <c r="AD128" s="36" t="s">
        <v>1</v>
      </c>
      <c r="AE128" s="51" t="s">
        <v>1</v>
      </c>
      <c r="AF128" s="36" t="s">
        <v>1</v>
      </c>
      <c r="AG128" s="51" t="s">
        <v>1</v>
      </c>
      <c r="AH128" s="36" t="s">
        <v>1</v>
      </c>
      <c r="AI128" s="51" t="s">
        <v>1</v>
      </c>
      <c r="AJ128" s="36" t="s">
        <v>1</v>
      </c>
      <c r="AK128" s="51" t="s">
        <v>1</v>
      </c>
      <c r="AL128" s="36" t="s">
        <v>1</v>
      </c>
      <c r="AM128" s="31" t="s">
        <v>1</v>
      </c>
      <c r="AN128" s="36" t="s">
        <v>1</v>
      </c>
      <c r="AO128" s="31" t="s">
        <v>1</v>
      </c>
      <c r="AP128" s="36" t="s">
        <v>1</v>
      </c>
      <c r="AQ128" s="51" t="s">
        <v>1</v>
      </c>
      <c r="AR128" s="36" t="s">
        <v>1</v>
      </c>
      <c r="AS128" s="47" t="s">
        <v>1</v>
      </c>
      <c r="AT128" s="36" t="s">
        <v>1</v>
      </c>
      <c r="AU128" s="47" t="s">
        <v>1</v>
      </c>
      <c r="AV128" s="36" t="s">
        <v>1</v>
      </c>
      <c r="AW128" s="47" t="s">
        <v>1</v>
      </c>
      <c r="AX128" s="36" t="s">
        <v>2065</v>
      </c>
      <c r="AY128" s="47" t="s">
        <v>2193</v>
      </c>
      <c r="AZ128" s="36" t="s">
        <v>1299</v>
      </c>
      <c r="BA128" s="47" t="s">
        <v>2193</v>
      </c>
      <c r="BB128" s="36" t="s">
        <v>2188</v>
      </c>
      <c r="BC128" s="47" t="s">
        <v>819</v>
      </c>
      <c r="BD128" s="36" t="s">
        <v>2189</v>
      </c>
      <c r="BE128" s="47" t="str">
        <f t="shared" si="3"/>
        <v>"Bairro"</v>
      </c>
    </row>
    <row r="129" spans="1:57" ht="6.65" customHeight="1" x14ac:dyDescent="0.4">
      <c r="A129" s="93">
        <v>96</v>
      </c>
      <c r="B129" s="74" t="s">
        <v>916</v>
      </c>
      <c r="C129" s="44" t="s">
        <v>664</v>
      </c>
      <c r="D129" s="18" t="s">
        <v>744</v>
      </c>
      <c r="E129" s="48" t="s">
        <v>753</v>
      </c>
      <c r="F129" s="18" t="s">
        <v>1</v>
      </c>
      <c r="G129" s="20" t="s">
        <v>1</v>
      </c>
      <c r="H129" s="18" t="s">
        <v>1</v>
      </c>
      <c r="I129" s="20" t="s">
        <v>1</v>
      </c>
      <c r="J129" s="18" t="s">
        <v>1</v>
      </c>
      <c r="K129" s="20" t="s">
        <v>1</v>
      </c>
      <c r="L129" s="18" t="s">
        <v>1</v>
      </c>
      <c r="M129" s="20" t="s">
        <v>1</v>
      </c>
      <c r="N129" s="46" t="s">
        <v>82</v>
      </c>
      <c r="O129" s="25" t="str">
        <f t="shared" si="5"/>
        <v>"B.004 é bairro de Rio de Janeiro"</v>
      </c>
      <c r="P129" s="46" t="s">
        <v>1</v>
      </c>
      <c r="Q129" s="25" t="s">
        <v>1</v>
      </c>
      <c r="R129" s="46" t="s">
        <v>1</v>
      </c>
      <c r="S129" s="52" t="s">
        <v>1</v>
      </c>
      <c r="T129" s="46" t="s">
        <v>1</v>
      </c>
      <c r="U129" s="31" t="s">
        <v>1</v>
      </c>
      <c r="V129" s="46" t="s">
        <v>1</v>
      </c>
      <c r="W129" s="31" t="s">
        <v>1</v>
      </c>
      <c r="X129" s="46" t="s">
        <v>1</v>
      </c>
      <c r="Y129" s="31" t="s">
        <v>1</v>
      </c>
      <c r="Z129" s="46" t="s">
        <v>1</v>
      </c>
      <c r="AA129" s="31" t="s">
        <v>1</v>
      </c>
      <c r="AB129" s="46" t="s">
        <v>1</v>
      </c>
      <c r="AC129" s="47" t="s">
        <v>1</v>
      </c>
      <c r="AD129" s="36" t="s">
        <v>1</v>
      </c>
      <c r="AE129" s="51" t="s">
        <v>1</v>
      </c>
      <c r="AF129" s="36" t="s">
        <v>1</v>
      </c>
      <c r="AG129" s="51" t="s">
        <v>1</v>
      </c>
      <c r="AH129" s="36" t="s">
        <v>1</v>
      </c>
      <c r="AI129" s="51" t="s">
        <v>1</v>
      </c>
      <c r="AJ129" s="36" t="s">
        <v>1</v>
      </c>
      <c r="AK129" s="51" t="s">
        <v>1</v>
      </c>
      <c r="AL129" s="36" t="s">
        <v>1</v>
      </c>
      <c r="AM129" s="31" t="s">
        <v>1</v>
      </c>
      <c r="AN129" s="36" t="s">
        <v>1</v>
      </c>
      <c r="AO129" s="31" t="s">
        <v>1</v>
      </c>
      <c r="AP129" s="36" t="s">
        <v>1</v>
      </c>
      <c r="AQ129" s="51" t="s">
        <v>1</v>
      </c>
      <c r="AR129" s="36" t="s">
        <v>1</v>
      </c>
      <c r="AS129" s="47" t="s">
        <v>1</v>
      </c>
      <c r="AT129" s="36" t="s">
        <v>1</v>
      </c>
      <c r="AU129" s="47" t="s">
        <v>1</v>
      </c>
      <c r="AV129" s="36" t="s">
        <v>1</v>
      </c>
      <c r="AW129" s="47" t="s">
        <v>1</v>
      </c>
      <c r="AX129" s="36" t="s">
        <v>2065</v>
      </c>
      <c r="AY129" s="47" t="s">
        <v>2193</v>
      </c>
      <c r="AZ129" s="36" t="s">
        <v>1299</v>
      </c>
      <c r="BA129" s="47" t="s">
        <v>2193</v>
      </c>
      <c r="BB129" s="36" t="s">
        <v>2188</v>
      </c>
      <c r="BC129" s="47" t="s">
        <v>819</v>
      </c>
      <c r="BD129" s="36" t="s">
        <v>2189</v>
      </c>
      <c r="BE129" s="47" t="str">
        <f t="shared" si="3"/>
        <v>"Bairro"</v>
      </c>
    </row>
    <row r="130" spans="1:57" ht="6.65" customHeight="1" x14ac:dyDescent="0.4">
      <c r="A130" s="93">
        <v>97</v>
      </c>
      <c r="B130" s="74" t="s">
        <v>917</v>
      </c>
      <c r="C130" s="44" t="s">
        <v>664</v>
      </c>
      <c r="D130" s="18" t="s">
        <v>744</v>
      </c>
      <c r="E130" s="48" t="s">
        <v>753</v>
      </c>
      <c r="F130" s="18" t="s">
        <v>1</v>
      </c>
      <c r="G130" s="20" t="s">
        <v>1</v>
      </c>
      <c r="H130" s="18" t="s">
        <v>1</v>
      </c>
      <c r="I130" s="20" t="s">
        <v>1</v>
      </c>
      <c r="J130" s="18" t="s">
        <v>1</v>
      </c>
      <c r="K130" s="20" t="s">
        <v>1</v>
      </c>
      <c r="L130" s="18" t="s">
        <v>1</v>
      </c>
      <c r="M130" s="20" t="s">
        <v>1</v>
      </c>
      <c r="N130" s="46" t="s">
        <v>82</v>
      </c>
      <c r="O130" s="25" t="str">
        <f t="shared" si="5"/>
        <v>"B.129 é bairro de Rio de Janeiro"</v>
      </c>
      <c r="P130" s="46" t="s">
        <v>1</v>
      </c>
      <c r="Q130" s="25" t="s">
        <v>1</v>
      </c>
      <c r="R130" s="46" t="s">
        <v>1</v>
      </c>
      <c r="S130" s="52" t="s">
        <v>1</v>
      </c>
      <c r="T130" s="46" t="s">
        <v>1</v>
      </c>
      <c r="U130" s="31" t="s">
        <v>1</v>
      </c>
      <c r="V130" s="46" t="s">
        <v>1</v>
      </c>
      <c r="W130" s="31" t="s">
        <v>1</v>
      </c>
      <c r="X130" s="46" t="s">
        <v>1</v>
      </c>
      <c r="Y130" s="31" t="s">
        <v>1</v>
      </c>
      <c r="Z130" s="46" t="s">
        <v>1</v>
      </c>
      <c r="AA130" s="31" t="s">
        <v>1</v>
      </c>
      <c r="AB130" s="46" t="s">
        <v>1</v>
      </c>
      <c r="AC130" s="47" t="s">
        <v>1</v>
      </c>
      <c r="AD130" s="36" t="s">
        <v>1</v>
      </c>
      <c r="AE130" s="51" t="s">
        <v>1</v>
      </c>
      <c r="AF130" s="36" t="s">
        <v>1</v>
      </c>
      <c r="AG130" s="51" t="s">
        <v>1</v>
      </c>
      <c r="AH130" s="36" t="s">
        <v>1</v>
      </c>
      <c r="AI130" s="51" t="s">
        <v>1</v>
      </c>
      <c r="AJ130" s="36" t="s">
        <v>1</v>
      </c>
      <c r="AK130" s="51" t="s">
        <v>1</v>
      </c>
      <c r="AL130" s="36" t="s">
        <v>1</v>
      </c>
      <c r="AM130" s="31" t="s">
        <v>1</v>
      </c>
      <c r="AN130" s="36" t="s">
        <v>1</v>
      </c>
      <c r="AO130" s="31" t="s">
        <v>1</v>
      </c>
      <c r="AP130" s="36" t="s">
        <v>1</v>
      </c>
      <c r="AQ130" s="51" t="s">
        <v>1</v>
      </c>
      <c r="AR130" s="36" t="s">
        <v>1</v>
      </c>
      <c r="AS130" s="47" t="s">
        <v>1</v>
      </c>
      <c r="AT130" s="36" t="s">
        <v>1</v>
      </c>
      <c r="AU130" s="47" t="s">
        <v>1</v>
      </c>
      <c r="AV130" s="36" t="s">
        <v>1</v>
      </c>
      <c r="AW130" s="47" t="s">
        <v>1</v>
      </c>
      <c r="AX130" s="36" t="s">
        <v>2065</v>
      </c>
      <c r="AY130" s="47" t="s">
        <v>2193</v>
      </c>
      <c r="AZ130" s="36" t="s">
        <v>1299</v>
      </c>
      <c r="BA130" s="47" t="s">
        <v>2193</v>
      </c>
      <c r="BB130" s="36" t="s">
        <v>2188</v>
      </c>
      <c r="BC130" s="47" t="s">
        <v>819</v>
      </c>
      <c r="BD130" s="36" t="s">
        <v>2189</v>
      </c>
      <c r="BE130" s="47" t="str">
        <f t="shared" si="3"/>
        <v>"Bairro"</v>
      </c>
    </row>
    <row r="131" spans="1:57" ht="6.65" customHeight="1" x14ac:dyDescent="0.4">
      <c r="A131" s="93">
        <v>98</v>
      </c>
      <c r="B131" s="74" t="s">
        <v>918</v>
      </c>
      <c r="C131" s="44" t="s">
        <v>664</v>
      </c>
      <c r="D131" s="18" t="s">
        <v>744</v>
      </c>
      <c r="E131" s="48" t="s">
        <v>753</v>
      </c>
      <c r="F131" s="18" t="s">
        <v>1</v>
      </c>
      <c r="G131" s="20" t="s">
        <v>1</v>
      </c>
      <c r="H131" s="18" t="s">
        <v>1</v>
      </c>
      <c r="I131" s="20" t="s">
        <v>1</v>
      </c>
      <c r="J131" s="18" t="s">
        <v>1</v>
      </c>
      <c r="K131" s="20" t="s">
        <v>1</v>
      </c>
      <c r="L131" s="18" t="s">
        <v>1</v>
      </c>
      <c r="M131" s="20" t="s">
        <v>1</v>
      </c>
      <c r="N131" s="46" t="s">
        <v>82</v>
      </c>
      <c r="O131" s="25" t="str">
        <f t="shared" si="5"/>
        <v>"B.078 é bairro de Rio de Janeiro"</v>
      </c>
      <c r="P131" s="46" t="s">
        <v>1</v>
      </c>
      <c r="Q131" s="25" t="s">
        <v>1</v>
      </c>
      <c r="R131" s="46" t="s">
        <v>1</v>
      </c>
      <c r="S131" s="52" t="s">
        <v>1</v>
      </c>
      <c r="T131" s="46" t="s">
        <v>1</v>
      </c>
      <c r="U131" s="31" t="s">
        <v>1</v>
      </c>
      <c r="V131" s="46" t="s">
        <v>1</v>
      </c>
      <c r="W131" s="31" t="s">
        <v>1</v>
      </c>
      <c r="X131" s="46" t="s">
        <v>1</v>
      </c>
      <c r="Y131" s="31" t="s">
        <v>1</v>
      </c>
      <c r="Z131" s="46" t="s">
        <v>1</v>
      </c>
      <c r="AA131" s="31" t="s">
        <v>1</v>
      </c>
      <c r="AB131" s="46" t="s">
        <v>1</v>
      </c>
      <c r="AC131" s="47" t="s">
        <v>1</v>
      </c>
      <c r="AD131" s="36" t="s">
        <v>1</v>
      </c>
      <c r="AE131" s="51" t="s">
        <v>1</v>
      </c>
      <c r="AF131" s="36" t="s">
        <v>1</v>
      </c>
      <c r="AG131" s="51" t="s">
        <v>1</v>
      </c>
      <c r="AH131" s="36" t="s">
        <v>1</v>
      </c>
      <c r="AI131" s="51" t="s">
        <v>1</v>
      </c>
      <c r="AJ131" s="36" t="s">
        <v>1</v>
      </c>
      <c r="AK131" s="51" t="s">
        <v>1</v>
      </c>
      <c r="AL131" s="36" t="s">
        <v>1</v>
      </c>
      <c r="AM131" s="31" t="s">
        <v>1</v>
      </c>
      <c r="AN131" s="36" t="s">
        <v>1</v>
      </c>
      <c r="AO131" s="31" t="s">
        <v>1</v>
      </c>
      <c r="AP131" s="36" t="s">
        <v>1</v>
      </c>
      <c r="AQ131" s="51" t="s">
        <v>1</v>
      </c>
      <c r="AR131" s="36" t="s">
        <v>1</v>
      </c>
      <c r="AS131" s="47" t="s">
        <v>1</v>
      </c>
      <c r="AT131" s="36" t="s">
        <v>1</v>
      </c>
      <c r="AU131" s="47" t="s">
        <v>1</v>
      </c>
      <c r="AV131" s="36" t="s">
        <v>1</v>
      </c>
      <c r="AW131" s="47" t="s">
        <v>1</v>
      </c>
      <c r="AX131" s="36" t="s">
        <v>2065</v>
      </c>
      <c r="AY131" s="47" t="s">
        <v>2193</v>
      </c>
      <c r="AZ131" s="36" t="s">
        <v>1299</v>
      </c>
      <c r="BA131" s="47" t="s">
        <v>2193</v>
      </c>
      <c r="BB131" s="36" t="s">
        <v>2188</v>
      </c>
      <c r="BC131" s="47" t="s">
        <v>819</v>
      </c>
      <c r="BD131" s="36" t="s">
        <v>2189</v>
      </c>
      <c r="BE131" s="47" t="str">
        <f t="shared" si="3"/>
        <v>"Bairro"</v>
      </c>
    </row>
    <row r="132" spans="1:57" ht="6.65" customHeight="1" x14ac:dyDescent="0.4">
      <c r="A132" s="93">
        <v>99</v>
      </c>
      <c r="B132" s="74" t="s">
        <v>919</v>
      </c>
      <c r="C132" s="44" t="s">
        <v>664</v>
      </c>
      <c r="D132" s="18" t="s">
        <v>744</v>
      </c>
      <c r="E132" s="48" t="s">
        <v>753</v>
      </c>
      <c r="F132" s="18" t="s">
        <v>1</v>
      </c>
      <c r="G132" s="20" t="s">
        <v>1</v>
      </c>
      <c r="H132" s="18" t="s">
        <v>1</v>
      </c>
      <c r="I132" s="20" t="s">
        <v>1</v>
      </c>
      <c r="J132" s="18" t="s">
        <v>1</v>
      </c>
      <c r="K132" s="20" t="s">
        <v>1</v>
      </c>
      <c r="L132" s="18" t="s">
        <v>1</v>
      </c>
      <c r="M132" s="20" t="s">
        <v>1</v>
      </c>
      <c r="N132" s="46" t="s">
        <v>82</v>
      </c>
      <c r="O132" s="25" t="str">
        <f t="shared" si="5"/>
        <v>"B.136 é bairro de Rio de Janeiro"</v>
      </c>
      <c r="P132" s="46" t="s">
        <v>1</v>
      </c>
      <c r="Q132" s="25" t="s">
        <v>1</v>
      </c>
      <c r="R132" s="46" t="s">
        <v>1</v>
      </c>
      <c r="S132" s="52" t="s">
        <v>1</v>
      </c>
      <c r="T132" s="46" t="s">
        <v>1</v>
      </c>
      <c r="U132" s="31" t="s">
        <v>1</v>
      </c>
      <c r="V132" s="46" t="s">
        <v>1</v>
      </c>
      <c r="W132" s="31" t="s">
        <v>1</v>
      </c>
      <c r="X132" s="46" t="s">
        <v>1</v>
      </c>
      <c r="Y132" s="31" t="s">
        <v>1</v>
      </c>
      <c r="Z132" s="46" t="s">
        <v>1</v>
      </c>
      <c r="AA132" s="31" t="s">
        <v>1</v>
      </c>
      <c r="AB132" s="46" t="s">
        <v>1</v>
      </c>
      <c r="AC132" s="47" t="s">
        <v>1</v>
      </c>
      <c r="AD132" s="36" t="s">
        <v>1</v>
      </c>
      <c r="AE132" s="51" t="s">
        <v>1</v>
      </c>
      <c r="AF132" s="36" t="s">
        <v>1</v>
      </c>
      <c r="AG132" s="51" t="s">
        <v>1</v>
      </c>
      <c r="AH132" s="36" t="s">
        <v>1</v>
      </c>
      <c r="AI132" s="51" t="s">
        <v>1</v>
      </c>
      <c r="AJ132" s="36" t="s">
        <v>1</v>
      </c>
      <c r="AK132" s="51" t="s">
        <v>1</v>
      </c>
      <c r="AL132" s="36" t="s">
        <v>1</v>
      </c>
      <c r="AM132" s="31" t="s">
        <v>1</v>
      </c>
      <c r="AN132" s="36" t="s">
        <v>1</v>
      </c>
      <c r="AO132" s="31" t="s">
        <v>1</v>
      </c>
      <c r="AP132" s="36" t="s">
        <v>1</v>
      </c>
      <c r="AQ132" s="51" t="s">
        <v>1</v>
      </c>
      <c r="AR132" s="36" t="s">
        <v>1</v>
      </c>
      <c r="AS132" s="47" t="s">
        <v>1</v>
      </c>
      <c r="AT132" s="36" t="s">
        <v>1</v>
      </c>
      <c r="AU132" s="47" t="s">
        <v>1</v>
      </c>
      <c r="AV132" s="36" t="s">
        <v>1</v>
      </c>
      <c r="AW132" s="47" t="s">
        <v>1</v>
      </c>
      <c r="AX132" s="36" t="s">
        <v>2065</v>
      </c>
      <c r="AY132" s="47" t="s">
        <v>2193</v>
      </c>
      <c r="AZ132" s="36" t="s">
        <v>1299</v>
      </c>
      <c r="BA132" s="47" t="s">
        <v>2193</v>
      </c>
      <c r="BB132" s="36" t="s">
        <v>2188</v>
      </c>
      <c r="BC132" s="47" t="s">
        <v>819</v>
      </c>
      <c r="BD132" s="36" t="s">
        <v>2189</v>
      </c>
      <c r="BE132" s="47" t="str">
        <f t="shared" si="3"/>
        <v>"Bairro"</v>
      </c>
    </row>
    <row r="133" spans="1:57" ht="6.65" customHeight="1" x14ac:dyDescent="0.4">
      <c r="A133" s="93">
        <v>100</v>
      </c>
      <c r="B133" s="74" t="s">
        <v>920</v>
      </c>
      <c r="C133" s="44" t="s">
        <v>664</v>
      </c>
      <c r="D133" s="18" t="s">
        <v>744</v>
      </c>
      <c r="E133" s="48" t="s">
        <v>753</v>
      </c>
      <c r="F133" s="18" t="s">
        <v>1</v>
      </c>
      <c r="G133" s="20" t="s">
        <v>1</v>
      </c>
      <c r="H133" s="18" t="s">
        <v>1</v>
      </c>
      <c r="I133" s="20" t="s">
        <v>1</v>
      </c>
      <c r="J133" s="18" t="s">
        <v>1</v>
      </c>
      <c r="K133" s="20" t="s">
        <v>1</v>
      </c>
      <c r="L133" s="18" t="s">
        <v>1</v>
      </c>
      <c r="M133" s="20" t="s">
        <v>1</v>
      </c>
      <c r="N133" s="46" t="s">
        <v>82</v>
      </c>
      <c r="O133" s="25" t="str">
        <f t="shared" si="5"/>
        <v>"B.144 é bairro de Rio de Janeiro"</v>
      </c>
      <c r="P133" s="46" t="s">
        <v>1</v>
      </c>
      <c r="Q133" s="25" t="s">
        <v>1</v>
      </c>
      <c r="R133" s="46" t="s">
        <v>1</v>
      </c>
      <c r="S133" s="52" t="s">
        <v>1</v>
      </c>
      <c r="T133" s="46" t="s">
        <v>1</v>
      </c>
      <c r="U133" s="31" t="s">
        <v>1</v>
      </c>
      <c r="V133" s="46" t="s">
        <v>1</v>
      </c>
      <c r="W133" s="31" t="s">
        <v>1</v>
      </c>
      <c r="X133" s="46" t="s">
        <v>1</v>
      </c>
      <c r="Y133" s="31" t="s">
        <v>1</v>
      </c>
      <c r="Z133" s="46" t="s">
        <v>1</v>
      </c>
      <c r="AA133" s="31" t="s">
        <v>1</v>
      </c>
      <c r="AB133" s="46" t="s">
        <v>1</v>
      </c>
      <c r="AC133" s="47" t="s">
        <v>1</v>
      </c>
      <c r="AD133" s="36" t="s">
        <v>1</v>
      </c>
      <c r="AE133" s="51" t="s">
        <v>1</v>
      </c>
      <c r="AF133" s="36" t="s">
        <v>1</v>
      </c>
      <c r="AG133" s="51" t="s">
        <v>1</v>
      </c>
      <c r="AH133" s="36" t="s">
        <v>1</v>
      </c>
      <c r="AI133" s="51" t="s">
        <v>1</v>
      </c>
      <c r="AJ133" s="36" t="s">
        <v>1</v>
      </c>
      <c r="AK133" s="51" t="s">
        <v>1</v>
      </c>
      <c r="AL133" s="36" t="s">
        <v>1</v>
      </c>
      <c r="AM133" s="31" t="s">
        <v>1</v>
      </c>
      <c r="AN133" s="36" t="s">
        <v>1</v>
      </c>
      <c r="AO133" s="31" t="s">
        <v>1</v>
      </c>
      <c r="AP133" s="36" t="s">
        <v>1</v>
      </c>
      <c r="AQ133" s="51" t="s">
        <v>1</v>
      </c>
      <c r="AR133" s="36" t="s">
        <v>1</v>
      </c>
      <c r="AS133" s="47" t="s">
        <v>1</v>
      </c>
      <c r="AT133" s="36" t="s">
        <v>1</v>
      </c>
      <c r="AU133" s="47" t="s">
        <v>1</v>
      </c>
      <c r="AV133" s="36" t="s">
        <v>1</v>
      </c>
      <c r="AW133" s="47" t="s">
        <v>1</v>
      </c>
      <c r="AX133" s="36" t="s">
        <v>2065</v>
      </c>
      <c r="AY133" s="47" t="s">
        <v>2193</v>
      </c>
      <c r="AZ133" s="36" t="s">
        <v>1299</v>
      </c>
      <c r="BA133" s="47" t="s">
        <v>2193</v>
      </c>
      <c r="BB133" s="36" t="s">
        <v>2188</v>
      </c>
      <c r="BC133" s="47" t="s">
        <v>819</v>
      </c>
      <c r="BD133" s="36" t="s">
        <v>2189</v>
      </c>
      <c r="BE133" s="47" t="str">
        <f t="shared" si="3"/>
        <v>"Bairro"</v>
      </c>
    </row>
    <row r="134" spans="1:57" ht="6.65" customHeight="1" x14ac:dyDescent="0.4">
      <c r="A134" s="93">
        <v>101</v>
      </c>
      <c r="B134" s="74" t="s">
        <v>921</v>
      </c>
      <c r="C134" s="44" t="s">
        <v>664</v>
      </c>
      <c r="D134" s="18" t="s">
        <v>744</v>
      </c>
      <c r="E134" s="48" t="s">
        <v>753</v>
      </c>
      <c r="F134" s="18" t="s">
        <v>1</v>
      </c>
      <c r="G134" s="20" t="s">
        <v>1</v>
      </c>
      <c r="H134" s="18" t="s">
        <v>1</v>
      </c>
      <c r="I134" s="20" t="s">
        <v>1</v>
      </c>
      <c r="J134" s="18" t="s">
        <v>1</v>
      </c>
      <c r="K134" s="20" t="s">
        <v>1</v>
      </c>
      <c r="L134" s="18" t="s">
        <v>1</v>
      </c>
      <c r="M134" s="20" t="s">
        <v>1</v>
      </c>
      <c r="N134" s="46" t="s">
        <v>82</v>
      </c>
      <c r="O134" s="25" t="str">
        <f t="shared" si="5"/>
        <v>"B.082 é bairro de Rio de Janeiro"</v>
      </c>
      <c r="P134" s="46" t="s">
        <v>1</v>
      </c>
      <c r="Q134" s="25" t="s">
        <v>1</v>
      </c>
      <c r="R134" s="46" t="s">
        <v>1</v>
      </c>
      <c r="S134" s="52" t="s">
        <v>1</v>
      </c>
      <c r="T134" s="46" t="s">
        <v>1</v>
      </c>
      <c r="U134" s="31" t="s">
        <v>1</v>
      </c>
      <c r="V134" s="46" t="s">
        <v>1</v>
      </c>
      <c r="W134" s="31" t="s">
        <v>1</v>
      </c>
      <c r="X134" s="46" t="s">
        <v>1</v>
      </c>
      <c r="Y134" s="31" t="s">
        <v>1</v>
      </c>
      <c r="Z134" s="46" t="s">
        <v>1</v>
      </c>
      <c r="AA134" s="31" t="s">
        <v>1</v>
      </c>
      <c r="AB134" s="46" t="s">
        <v>1</v>
      </c>
      <c r="AC134" s="47" t="s">
        <v>1</v>
      </c>
      <c r="AD134" s="36" t="s">
        <v>1</v>
      </c>
      <c r="AE134" s="51" t="s">
        <v>1</v>
      </c>
      <c r="AF134" s="36" t="s">
        <v>1</v>
      </c>
      <c r="AG134" s="51" t="s">
        <v>1</v>
      </c>
      <c r="AH134" s="36" t="s">
        <v>1</v>
      </c>
      <c r="AI134" s="51" t="s">
        <v>1</v>
      </c>
      <c r="AJ134" s="36" t="s">
        <v>1</v>
      </c>
      <c r="AK134" s="51" t="s">
        <v>1</v>
      </c>
      <c r="AL134" s="36" t="s">
        <v>1</v>
      </c>
      <c r="AM134" s="31" t="s">
        <v>1</v>
      </c>
      <c r="AN134" s="36" t="s">
        <v>1</v>
      </c>
      <c r="AO134" s="31" t="s">
        <v>1</v>
      </c>
      <c r="AP134" s="36" t="s">
        <v>1</v>
      </c>
      <c r="AQ134" s="51" t="s">
        <v>1</v>
      </c>
      <c r="AR134" s="36" t="s">
        <v>1</v>
      </c>
      <c r="AS134" s="47" t="s">
        <v>1</v>
      </c>
      <c r="AT134" s="36" t="s">
        <v>1</v>
      </c>
      <c r="AU134" s="47" t="s">
        <v>1</v>
      </c>
      <c r="AV134" s="36" t="s">
        <v>1</v>
      </c>
      <c r="AW134" s="47" t="s">
        <v>1</v>
      </c>
      <c r="AX134" s="36" t="s">
        <v>2065</v>
      </c>
      <c r="AY134" s="47" t="s">
        <v>2193</v>
      </c>
      <c r="AZ134" s="36" t="s">
        <v>1299</v>
      </c>
      <c r="BA134" s="47" t="s">
        <v>2193</v>
      </c>
      <c r="BB134" s="36" t="s">
        <v>2188</v>
      </c>
      <c r="BC134" s="47" t="s">
        <v>819</v>
      </c>
      <c r="BD134" s="36" t="s">
        <v>2189</v>
      </c>
      <c r="BE134" s="47" t="str">
        <f t="shared" si="3"/>
        <v>"Bairro"</v>
      </c>
    </row>
    <row r="135" spans="1:57" ht="6.65" customHeight="1" x14ac:dyDescent="0.4">
      <c r="A135" s="93">
        <v>102</v>
      </c>
      <c r="B135" s="74" t="s">
        <v>922</v>
      </c>
      <c r="C135" s="44" t="s">
        <v>664</v>
      </c>
      <c r="D135" s="18" t="s">
        <v>744</v>
      </c>
      <c r="E135" s="48" t="s">
        <v>753</v>
      </c>
      <c r="F135" s="18" t="s">
        <v>1</v>
      </c>
      <c r="G135" s="20" t="s">
        <v>1</v>
      </c>
      <c r="H135" s="18" t="s">
        <v>1</v>
      </c>
      <c r="I135" s="20" t="s">
        <v>1</v>
      </c>
      <c r="J135" s="18" t="s">
        <v>1</v>
      </c>
      <c r="K135" s="20" t="s">
        <v>1</v>
      </c>
      <c r="L135" s="18" t="s">
        <v>1</v>
      </c>
      <c r="M135" s="20" t="s">
        <v>1</v>
      </c>
      <c r="N135" s="46" t="s">
        <v>82</v>
      </c>
      <c r="O135" s="25" t="str">
        <f t="shared" si="5"/>
        <v>"B.018 é bairro de Rio de Janeiro"</v>
      </c>
      <c r="P135" s="46" t="s">
        <v>1</v>
      </c>
      <c r="Q135" s="25" t="s">
        <v>1</v>
      </c>
      <c r="R135" s="46" t="s">
        <v>1</v>
      </c>
      <c r="S135" s="52" t="s">
        <v>1</v>
      </c>
      <c r="T135" s="46" t="s">
        <v>1</v>
      </c>
      <c r="U135" s="31" t="s">
        <v>1</v>
      </c>
      <c r="V135" s="46" t="s">
        <v>1</v>
      </c>
      <c r="W135" s="31" t="s">
        <v>1</v>
      </c>
      <c r="X135" s="46" t="s">
        <v>1</v>
      </c>
      <c r="Y135" s="31" t="s">
        <v>1</v>
      </c>
      <c r="Z135" s="46" t="s">
        <v>1</v>
      </c>
      <c r="AA135" s="31" t="s">
        <v>1</v>
      </c>
      <c r="AB135" s="46" t="s">
        <v>1</v>
      </c>
      <c r="AC135" s="47" t="s">
        <v>1</v>
      </c>
      <c r="AD135" s="36" t="s">
        <v>1</v>
      </c>
      <c r="AE135" s="51" t="s">
        <v>1</v>
      </c>
      <c r="AF135" s="36" t="s">
        <v>1</v>
      </c>
      <c r="AG135" s="51" t="s">
        <v>1</v>
      </c>
      <c r="AH135" s="36" t="s">
        <v>1</v>
      </c>
      <c r="AI135" s="51" t="s">
        <v>1</v>
      </c>
      <c r="AJ135" s="36" t="s">
        <v>1</v>
      </c>
      <c r="AK135" s="51" t="s">
        <v>1</v>
      </c>
      <c r="AL135" s="36" t="s">
        <v>1</v>
      </c>
      <c r="AM135" s="31" t="s">
        <v>1</v>
      </c>
      <c r="AN135" s="36" t="s">
        <v>1</v>
      </c>
      <c r="AO135" s="31" t="s">
        <v>1</v>
      </c>
      <c r="AP135" s="36" t="s">
        <v>1</v>
      </c>
      <c r="AQ135" s="51" t="s">
        <v>1</v>
      </c>
      <c r="AR135" s="36" t="s">
        <v>1</v>
      </c>
      <c r="AS135" s="47" t="s">
        <v>1</v>
      </c>
      <c r="AT135" s="36" t="s">
        <v>1</v>
      </c>
      <c r="AU135" s="47" t="s">
        <v>1</v>
      </c>
      <c r="AV135" s="36" t="s">
        <v>1</v>
      </c>
      <c r="AW135" s="47" t="s">
        <v>1</v>
      </c>
      <c r="AX135" s="36" t="s">
        <v>2065</v>
      </c>
      <c r="AY135" s="47" t="s">
        <v>2193</v>
      </c>
      <c r="AZ135" s="36" t="s">
        <v>1299</v>
      </c>
      <c r="BA135" s="47" t="s">
        <v>2193</v>
      </c>
      <c r="BB135" s="36" t="s">
        <v>2188</v>
      </c>
      <c r="BC135" s="47" t="s">
        <v>819</v>
      </c>
      <c r="BD135" s="36" t="s">
        <v>2189</v>
      </c>
      <c r="BE135" s="47" t="str">
        <f t="shared" si="3"/>
        <v>"Bairro"</v>
      </c>
    </row>
    <row r="136" spans="1:57" ht="6.65" customHeight="1" x14ac:dyDescent="0.4">
      <c r="A136" s="93">
        <v>103</v>
      </c>
      <c r="B136" s="74" t="s">
        <v>923</v>
      </c>
      <c r="C136" s="44" t="s">
        <v>664</v>
      </c>
      <c r="D136" s="18" t="s">
        <v>744</v>
      </c>
      <c r="E136" s="48" t="s">
        <v>753</v>
      </c>
      <c r="F136" s="18" t="s">
        <v>1</v>
      </c>
      <c r="G136" s="20" t="s">
        <v>1</v>
      </c>
      <c r="H136" s="18" t="s">
        <v>1</v>
      </c>
      <c r="I136" s="20" t="s">
        <v>1</v>
      </c>
      <c r="J136" s="18" t="s">
        <v>1</v>
      </c>
      <c r="K136" s="20" t="s">
        <v>1</v>
      </c>
      <c r="L136" s="18" t="s">
        <v>1</v>
      </c>
      <c r="M136" s="20" t="s">
        <v>1</v>
      </c>
      <c r="N136" s="46" t="s">
        <v>82</v>
      </c>
      <c r="O136" s="25" t="str">
        <f t="shared" si="5"/>
        <v>"B.006 é bairro de Rio de Janeiro"</v>
      </c>
      <c r="P136" s="46" t="s">
        <v>1</v>
      </c>
      <c r="Q136" s="25" t="s">
        <v>1</v>
      </c>
      <c r="R136" s="46" t="s">
        <v>1</v>
      </c>
      <c r="S136" s="52" t="s">
        <v>1</v>
      </c>
      <c r="T136" s="46" t="s">
        <v>1</v>
      </c>
      <c r="U136" s="31" t="s">
        <v>1</v>
      </c>
      <c r="V136" s="46" t="s">
        <v>1</v>
      </c>
      <c r="W136" s="31" t="s">
        <v>1</v>
      </c>
      <c r="X136" s="46" t="s">
        <v>1</v>
      </c>
      <c r="Y136" s="31" t="s">
        <v>1</v>
      </c>
      <c r="Z136" s="46" t="s">
        <v>1</v>
      </c>
      <c r="AA136" s="31" t="s">
        <v>1</v>
      </c>
      <c r="AB136" s="46" t="s">
        <v>1</v>
      </c>
      <c r="AC136" s="47" t="s">
        <v>1</v>
      </c>
      <c r="AD136" s="36" t="s">
        <v>1</v>
      </c>
      <c r="AE136" s="51" t="s">
        <v>1</v>
      </c>
      <c r="AF136" s="36" t="s">
        <v>1</v>
      </c>
      <c r="AG136" s="51" t="s">
        <v>1</v>
      </c>
      <c r="AH136" s="36" t="s">
        <v>1</v>
      </c>
      <c r="AI136" s="51" t="s">
        <v>1</v>
      </c>
      <c r="AJ136" s="36" t="s">
        <v>1</v>
      </c>
      <c r="AK136" s="51" t="s">
        <v>1</v>
      </c>
      <c r="AL136" s="36" t="s">
        <v>1</v>
      </c>
      <c r="AM136" s="31" t="s">
        <v>1</v>
      </c>
      <c r="AN136" s="36" t="s">
        <v>1</v>
      </c>
      <c r="AO136" s="31" t="s">
        <v>1</v>
      </c>
      <c r="AP136" s="36" t="s">
        <v>1</v>
      </c>
      <c r="AQ136" s="51" t="s">
        <v>1</v>
      </c>
      <c r="AR136" s="36" t="s">
        <v>1</v>
      </c>
      <c r="AS136" s="47" t="s">
        <v>1</v>
      </c>
      <c r="AT136" s="36" t="s">
        <v>1</v>
      </c>
      <c r="AU136" s="47" t="s">
        <v>1</v>
      </c>
      <c r="AV136" s="36" t="s">
        <v>1</v>
      </c>
      <c r="AW136" s="47" t="s">
        <v>1</v>
      </c>
      <c r="AX136" s="36" t="s">
        <v>2065</v>
      </c>
      <c r="AY136" s="47" t="s">
        <v>2193</v>
      </c>
      <c r="AZ136" s="36" t="s">
        <v>1299</v>
      </c>
      <c r="BA136" s="47" t="s">
        <v>2193</v>
      </c>
      <c r="BB136" s="36" t="s">
        <v>2188</v>
      </c>
      <c r="BC136" s="47" t="s">
        <v>819</v>
      </c>
      <c r="BD136" s="36" t="s">
        <v>2189</v>
      </c>
      <c r="BE136" s="47" t="str">
        <f t="shared" si="3"/>
        <v>"Bairro"</v>
      </c>
    </row>
    <row r="137" spans="1:57" ht="6.65" customHeight="1" x14ac:dyDescent="0.4">
      <c r="A137" s="93">
        <v>104</v>
      </c>
      <c r="B137" s="74" t="s">
        <v>924</v>
      </c>
      <c r="C137" s="44" t="s">
        <v>664</v>
      </c>
      <c r="D137" s="18" t="s">
        <v>744</v>
      </c>
      <c r="E137" s="48" t="s">
        <v>753</v>
      </c>
      <c r="F137" s="18" t="s">
        <v>1</v>
      </c>
      <c r="G137" s="20" t="s">
        <v>1</v>
      </c>
      <c r="H137" s="18" t="s">
        <v>1</v>
      </c>
      <c r="I137" s="20" t="s">
        <v>1</v>
      </c>
      <c r="J137" s="18" t="s">
        <v>1</v>
      </c>
      <c r="K137" s="20" t="s">
        <v>1</v>
      </c>
      <c r="L137" s="18" t="s">
        <v>1</v>
      </c>
      <c r="M137" s="20" t="s">
        <v>1</v>
      </c>
      <c r="N137" s="46" t="s">
        <v>82</v>
      </c>
      <c r="O137" s="25" t="str">
        <f t="shared" si="5"/>
        <v>"B.080 é bairro de Rio de Janeiro"</v>
      </c>
      <c r="P137" s="46" t="s">
        <v>1</v>
      </c>
      <c r="Q137" s="25" t="s">
        <v>1</v>
      </c>
      <c r="R137" s="46" t="s">
        <v>1</v>
      </c>
      <c r="S137" s="52" t="s">
        <v>1</v>
      </c>
      <c r="T137" s="46" t="s">
        <v>1</v>
      </c>
      <c r="U137" s="31" t="s">
        <v>1</v>
      </c>
      <c r="V137" s="46" t="s">
        <v>1</v>
      </c>
      <c r="W137" s="31" t="s">
        <v>1</v>
      </c>
      <c r="X137" s="46" t="s">
        <v>1</v>
      </c>
      <c r="Y137" s="31" t="s">
        <v>1</v>
      </c>
      <c r="Z137" s="46" t="s">
        <v>1</v>
      </c>
      <c r="AA137" s="31" t="s">
        <v>1</v>
      </c>
      <c r="AB137" s="46" t="s">
        <v>1</v>
      </c>
      <c r="AC137" s="47" t="s">
        <v>1</v>
      </c>
      <c r="AD137" s="36" t="s">
        <v>1</v>
      </c>
      <c r="AE137" s="51" t="s">
        <v>1</v>
      </c>
      <c r="AF137" s="36" t="s">
        <v>1</v>
      </c>
      <c r="AG137" s="51" t="s">
        <v>1</v>
      </c>
      <c r="AH137" s="36" t="s">
        <v>1</v>
      </c>
      <c r="AI137" s="51" t="s">
        <v>1</v>
      </c>
      <c r="AJ137" s="36" t="s">
        <v>1</v>
      </c>
      <c r="AK137" s="51" t="s">
        <v>1</v>
      </c>
      <c r="AL137" s="36" t="s">
        <v>1</v>
      </c>
      <c r="AM137" s="31" t="s">
        <v>1</v>
      </c>
      <c r="AN137" s="36" t="s">
        <v>1</v>
      </c>
      <c r="AO137" s="31" t="s">
        <v>1</v>
      </c>
      <c r="AP137" s="36" t="s">
        <v>1</v>
      </c>
      <c r="AQ137" s="51" t="s">
        <v>1</v>
      </c>
      <c r="AR137" s="36" t="s">
        <v>1</v>
      </c>
      <c r="AS137" s="47" t="s">
        <v>1</v>
      </c>
      <c r="AT137" s="36" t="s">
        <v>1</v>
      </c>
      <c r="AU137" s="47" t="s">
        <v>1</v>
      </c>
      <c r="AV137" s="36" t="s">
        <v>1</v>
      </c>
      <c r="AW137" s="47" t="s">
        <v>1</v>
      </c>
      <c r="AX137" s="36" t="s">
        <v>2065</v>
      </c>
      <c r="AY137" s="47" t="s">
        <v>2193</v>
      </c>
      <c r="AZ137" s="36" t="s">
        <v>1299</v>
      </c>
      <c r="BA137" s="47" t="s">
        <v>2193</v>
      </c>
      <c r="BB137" s="36" t="s">
        <v>2188</v>
      </c>
      <c r="BC137" s="47" t="s">
        <v>819</v>
      </c>
      <c r="BD137" s="36" t="s">
        <v>2189</v>
      </c>
      <c r="BE137" s="47" t="str">
        <f t="shared" si="3"/>
        <v>"Bairro"</v>
      </c>
    </row>
    <row r="138" spans="1:57" ht="6.65" customHeight="1" x14ac:dyDescent="0.4">
      <c r="A138" s="93">
        <v>105</v>
      </c>
      <c r="B138" s="74" t="s">
        <v>925</v>
      </c>
      <c r="C138" s="44" t="s">
        <v>664</v>
      </c>
      <c r="D138" s="18" t="s">
        <v>744</v>
      </c>
      <c r="E138" s="48" t="s">
        <v>753</v>
      </c>
      <c r="F138" s="18" t="s">
        <v>1</v>
      </c>
      <c r="G138" s="20" t="s">
        <v>1</v>
      </c>
      <c r="H138" s="18" t="s">
        <v>1</v>
      </c>
      <c r="I138" s="20" t="s">
        <v>1</v>
      </c>
      <c r="J138" s="18" t="s">
        <v>1</v>
      </c>
      <c r="K138" s="20" t="s">
        <v>1</v>
      </c>
      <c r="L138" s="18" t="s">
        <v>1</v>
      </c>
      <c r="M138" s="20" t="s">
        <v>1</v>
      </c>
      <c r="N138" s="46" t="s">
        <v>82</v>
      </c>
      <c r="O138" s="25" t="str">
        <f t="shared" si="5"/>
        <v>"B.005 é bairro de Rio de Janeiro"</v>
      </c>
      <c r="P138" s="46" t="s">
        <v>1</v>
      </c>
      <c r="Q138" s="25" t="s">
        <v>1</v>
      </c>
      <c r="R138" s="46" t="s">
        <v>1</v>
      </c>
      <c r="S138" s="52" t="s">
        <v>1</v>
      </c>
      <c r="T138" s="46" t="s">
        <v>1</v>
      </c>
      <c r="U138" s="31" t="s">
        <v>1</v>
      </c>
      <c r="V138" s="46" t="s">
        <v>1</v>
      </c>
      <c r="W138" s="31" t="s">
        <v>1</v>
      </c>
      <c r="X138" s="46" t="s">
        <v>1</v>
      </c>
      <c r="Y138" s="31" t="s">
        <v>1</v>
      </c>
      <c r="Z138" s="46" t="s">
        <v>1</v>
      </c>
      <c r="AA138" s="31" t="s">
        <v>1</v>
      </c>
      <c r="AB138" s="46" t="s">
        <v>1</v>
      </c>
      <c r="AC138" s="47" t="s">
        <v>1</v>
      </c>
      <c r="AD138" s="36" t="s">
        <v>1</v>
      </c>
      <c r="AE138" s="51" t="s">
        <v>1</v>
      </c>
      <c r="AF138" s="36" t="s">
        <v>1</v>
      </c>
      <c r="AG138" s="51" t="s">
        <v>1</v>
      </c>
      <c r="AH138" s="36" t="s">
        <v>1</v>
      </c>
      <c r="AI138" s="51" t="s">
        <v>1</v>
      </c>
      <c r="AJ138" s="36" t="s">
        <v>1</v>
      </c>
      <c r="AK138" s="51" t="s">
        <v>1</v>
      </c>
      <c r="AL138" s="36" t="s">
        <v>1</v>
      </c>
      <c r="AM138" s="31" t="s">
        <v>1</v>
      </c>
      <c r="AN138" s="36" t="s">
        <v>1</v>
      </c>
      <c r="AO138" s="31" t="s">
        <v>1</v>
      </c>
      <c r="AP138" s="36" t="s">
        <v>1</v>
      </c>
      <c r="AQ138" s="51" t="s">
        <v>1</v>
      </c>
      <c r="AR138" s="36" t="s">
        <v>1</v>
      </c>
      <c r="AS138" s="47" t="s">
        <v>1</v>
      </c>
      <c r="AT138" s="36" t="s">
        <v>1</v>
      </c>
      <c r="AU138" s="47" t="s">
        <v>1</v>
      </c>
      <c r="AV138" s="36" t="s">
        <v>1</v>
      </c>
      <c r="AW138" s="47" t="s">
        <v>1</v>
      </c>
      <c r="AX138" s="36" t="s">
        <v>2065</v>
      </c>
      <c r="AY138" s="47" t="s">
        <v>2193</v>
      </c>
      <c r="AZ138" s="36" t="s">
        <v>1299</v>
      </c>
      <c r="BA138" s="47" t="s">
        <v>2193</v>
      </c>
      <c r="BB138" s="36" t="s">
        <v>2188</v>
      </c>
      <c r="BC138" s="47" t="s">
        <v>819</v>
      </c>
      <c r="BD138" s="36" t="s">
        <v>2189</v>
      </c>
      <c r="BE138" s="47" t="str">
        <f t="shared" si="3"/>
        <v>"Bairro"</v>
      </c>
    </row>
    <row r="139" spans="1:57" ht="6.65" customHeight="1" x14ac:dyDescent="0.4">
      <c r="A139" s="93">
        <v>106</v>
      </c>
      <c r="B139" s="74" t="s">
        <v>926</v>
      </c>
      <c r="C139" s="44" t="s">
        <v>664</v>
      </c>
      <c r="D139" s="18" t="s">
        <v>744</v>
      </c>
      <c r="E139" s="48" t="s">
        <v>753</v>
      </c>
      <c r="F139" s="18" t="s">
        <v>1</v>
      </c>
      <c r="G139" s="20" t="s">
        <v>1</v>
      </c>
      <c r="H139" s="18" t="s">
        <v>1</v>
      </c>
      <c r="I139" s="20" t="s">
        <v>1</v>
      </c>
      <c r="J139" s="18" t="s">
        <v>1</v>
      </c>
      <c r="K139" s="20" t="s">
        <v>1</v>
      </c>
      <c r="L139" s="18" t="s">
        <v>1</v>
      </c>
      <c r="M139" s="20" t="s">
        <v>1</v>
      </c>
      <c r="N139" s="46" t="s">
        <v>82</v>
      </c>
      <c r="O139" s="25" t="str">
        <f t="shared" si="5"/>
        <v>"B.118 é bairro de Rio de Janeiro"</v>
      </c>
      <c r="P139" s="46" t="s">
        <v>1</v>
      </c>
      <c r="Q139" s="25" t="s">
        <v>1</v>
      </c>
      <c r="R139" s="46" t="s">
        <v>1</v>
      </c>
      <c r="S139" s="52" t="s">
        <v>1</v>
      </c>
      <c r="T139" s="46" t="s">
        <v>1</v>
      </c>
      <c r="U139" s="31" t="s">
        <v>1</v>
      </c>
      <c r="V139" s="46" t="s">
        <v>1</v>
      </c>
      <c r="W139" s="31" t="s">
        <v>1</v>
      </c>
      <c r="X139" s="46" t="s">
        <v>1</v>
      </c>
      <c r="Y139" s="31" t="s">
        <v>1</v>
      </c>
      <c r="Z139" s="46" t="s">
        <v>1</v>
      </c>
      <c r="AA139" s="31" t="s">
        <v>1</v>
      </c>
      <c r="AB139" s="46" t="s">
        <v>1</v>
      </c>
      <c r="AC139" s="47" t="s">
        <v>1</v>
      </c>
      <c r="AD139" s="36" t="s">
        <v>1</v>
      </c>
      <c r="AE139" s="51" t="s">
        <v>1</v>
      </c>
      <c r="AF139" s="36" t="s">
        <v>1</v>
      </c>
      <c r="AG139" s="51" t="s">
        <v>1</v>
      </c>
      <c r="AH139" s="36" t="s">
        <v>1</v>
      </c>
      <c r="AI139" s="51" t="s">
        <v>1</v>
      </c>
      <c r="AJ139" s="36" t="s">
        <v>1</v>
      </c>
      <c r="AK139" s="51" t="s">
        <v>1</v>
      </c>
      <c r="AL139" s="36" t="s">
        <v>1</v>
      </c>
      <c r="AM139" s="31" t="s">
        <v>1</v>
      </c>
      <c r="AN139" s="36" t="s">
        <v>1</v>
      </c>
      <c r="AO139" s="31" t="s">
        <v>1</v>
      </c>
      <c r="AP139" s="36" t="s">
        <v>1</v>
      </c>
      <c r="AQ139" s="51" t="s">
        <v>1</v>
      </c>
      <c r="AR139" s="36" t="s">
        <v>1</v>
      </c>
      <c r="AS139" s="47" t="s">
        <v>1</v>
      </c>
      <c r="AT139" s="36" t="s">
        <v>1</v>
      </c>
      <c r="AU139" s="47" t="s">
        <v>1</v>
      </c>
      <c r="AV139" s="36" t="s">
        <v>1</v>
      </c>
      <c r="AW139" s="47" t="s">
        <v>1</v>
      </c>
      <c r="AX139" s="36" t="s">
        <v>2065</v>
      </c>
      <c r="AY139" s="47" t="s">
        <v>2193</v>
      </c>
      <c r="AZ139" s="36" t="s">
        <v>1299</v>
      </c>
      <c r="BA139" s="47" t="s">
        <v>2193</v>
      </c>
      <c r="BB139" s="36" t="s">
        <v>2188</v>
      </c>
      <c r="BC139" s="47" t="s">
        <v>819</v>
      </c>
      <c r="BD139" s="36" t="s">
        <v>2189</v>
      </c>
      <c r="BE139" s="47" t="str">
        <f t="shared" si="3"/>
        <v>"Bairro"</v>
      </c>
    </row>
    <row r="140" spans="1:57" ht="6.65" customHeight="1" x14ac:dyDescent="0.4">
      <c r="A140" s="93">
        <v>107</v>
      </c>
      <c r="B140" s="74" t="s">
        <v>927</v>
      </c>
      <c r="C140" s="44" t="s">
        <v>664</v>
      </c>
      <c r="D140" s="18" t="s">
        <v>744</v>
      </c>
      <c r="E140" s="48" t="s">
        <v>753</v>
      </c>
      <c r="F140" s="18" t="s">
        <v>1</v>
      </c>
      <c r="G140" s="20" t="s">
        <v>1</v>
      </c>
      <c r="H140" s="18" t="s">
        <v>1</v>
      </c>
      <c r="I140" s="20" t="s">
        <v>1</v>
      </c>
      <c r="J140" s="18" t="s">
        <v>1</v>
      </c>
      <c r="K140" s="20" t="s">
        <v>1</v>
      </c>
      <c r="L140" s="18" t="s">
        <v>1</v>
      </c>
      <c r="M140" s="20" t="s">
        <v>1</v>
      </c>
      <c r="N140" s="46" t="s">
        <v>82</v>
      </c>
      <c r="O140" s="25" t="str">
        <f t="shared" si="5"/>
        <v>"B.008 é bairro de Rio de Janeiro"</v>
      </c>
      <c r="P140" s="46" t="s">
        <v>1</v>
      </c>
      <c r="Q140" s="25" t="s">
        <v>1</v>
      </c>
      <c r="R140" s="46" t="s">
        <v>1</v>
      </c>
      <c r="S140" s="52" t="s">
        <v>1</v>
      </c>
      <c r="T140" s="46" t="s">
        <v>1</v>
      </c>
      <c r="U140" s="31" t="s">
        <v>1</v>
      </c>
      <c r="V140" s="46" t="s">
        <v>1</v>
      </c>
      <c r="W140" s="31" t="s">
        <v>1</v>
      </c>
      <c r="X140" s="46" t="s">
        <v>1</v>
      </c>
      <c r="Y140" s="31" t="s">
        <v>1</v>
      </c>
      <c r="Z140" s="46" t="s">
        <v>1</v>
      </c>
      <c r="AA140" s="31" t="s">
        <v>1</v>
      </c>
      <c r="AB140" s="46" t="s">
        <v>1</v>
      </c>
      <c r="AC140" s="47" t="s">
        <v>1</v>
      </c>
      <c r="AD140" s="36" t="s">
        <v>1</v>
      </c>
      <c r="AE140" s="51" t="s">
        <v>1</v>
      </c>
      <c r="AF140" s="36" t="s">
        <v>1</v>
      </c>
      <c r="AG140" s="51" t="s">
        <v>1</v>
      </c>
      <c r="AH140" s="36" t="s">
        <v>1</v>
      </c>
      <c r="AI140" s="51" t="s">
        <v>1</v>
      </c>
      <c r="AJ140" s="36" t="s">
        <v>1</v>
      </c>
      <c r="AK140" s="51" t="s">
        <v>1</v>
      </c>
      <c r="AL140" s="36" t="s">
        <v>1</v>
      </c>
      <c r="AM140" s="31" t="s">
        <v>1</v>
      </c>
      <c r="AN140" s="36" t="s">
        <v>1</v>
      </c>
      <c r="AO140" s="31" t="s">
        <v>1</v>
      </c>
      <c r="AP140" s="36" t="s">
        <v>1</v>
      </c>
      <c r="AQ140" s="51" t="s">
        <v>1</v>
      </c>
      <c r="AR140" s="36" t="s">
        <v>1</v>
      </c>
      <c r="AS140" s="47" t="s">
        <v>1</v>
      </c>
      <c r="AT140" s="36" t="s">
        <v>1</v>
      </c>
      <c r="AU140" s="47" t="s">
        <v>1</v>
      </c>
      <c r="AV140" s="36" t="s">
        <v>1</v>
      </c>
      <c r="AW140" s="47" t="s">
        <v>1</v>
      </c>
      <c r="AX140" s="36" t="s">
        <v>2065</v>
      </c>
      <c r="AY140" s="47" t="s">
        <v>2193</v>
      </c>
      <c r="AZ140" s="36" t="s">
        <v>1299</v>
      </c>
      <c r="BA140" s="47" t="s">
        <v>2193</v>
      </c>
      <c r="BB140" s="36" t="s">
        <v>2188</v>
      </c>
      <c r="BC140" s="47" t="s">
        <v>819</v>
      </c>
      <c r="BD140" s="36" t="s">
        <v>2189</v>
      </c>
      <c r="BE140" s="47" t="str">
        <f t="shared" si="3"/>
        <v>"Bairro"</v>
      </c>
    </row>
    <row r="141" spans="1:57" ht="6.65" customHeight="1" x14ac:dyDescent="0.4">
      <c r="A141" s="93">
        <v>108</v>
      </c>
      <c r="B141" s="74" t="s">
        <v>928</v>
      </c>
      <c r="C141" s="44" t="s">
        <v>664</v>
      </c>
      <c r="D141" s="18" t="s">
        <v>744</v>
      </c>
      <c r="E141" s="48" t="s">
        <v>753</v>
      </c>
      <c r="F141" s="18" t="s">
        <v>1</v>
      </c>
      <c r="G141" s="20" t="s">
        <v>1</v>
      </c>
      <c r="H141" s="18" t="s">
        <v>1</v>
      </c>
      <c r="I141" s="20" t="s">
        <v>1</v>
      </c>
      <c r="J141" s="18" t="s">
        <v>1</v>
      </c>
      <c r="K141" s="20" t="s">
        <v>1</v>
      </c>
      <c r="L141" s="18" t="s">
        <v>1</v>
      </c>
      <c r="M141" s="20" t="s">
        <v>1</v>
      </c>
      <c r="N141" s="46" t="s">
        <v>82</v>
      </c>
      <c r="O141" s="25" t="str">
        <f>_xlfn.CONCAT("""",B141, " é bairro de Rio de Janeiro","""")</f>
        <v>"B.105 é bairro de Rio de Janeiro"</v>
      </c>
      <c r="P141" s="46" t="s">
        <v>1</v>
      </c>
      <c r="Q141" s="25" t="s">
        <v>1</v>
      </c>
      <c r="R141" s="46" t="s">
        <v>1</v>
      </c>
      <c r="S141" s="52" t="s">
        <v>1</v>
      </c>
      <c r="T141" s="46" t="s">
        <v>1</v>
      </c>
      <c r="U141" s="31" t="s">
        <v>1</v>
      </c>
      <c r="V141" s="46" t="s">
        <v>1</v>
      </c>
      <c r="W141" s="31" t="s">
        <v>1</v>
      </c>
      <c r="X141" s="46" t="s">
        <v>1</v>
      </c>
      <c r="Y141" s="31" t="s">
        <v>1</v>
      </c>
      <c r="Z141" s="46" t="s">
        <v>1</v>
      </c>
      <c r="AA141" s="31" t="s">
        <v>1</v>
      </c>
      <c r="AB141" s="46" t="s">
        <v>1</v>
      </c>
      <c r="AC141" s="47" t="s">
        <v>1</v>
      </c>
      <c r="AD141" s="36" t="s">
        <v>1</v>
      </c>
      <c r="AE141" s="51" t="s">
        <v>1</v>
      </c>
      <c r="AF141" s="36" t="s">
        <v>1</v>
      </c>
      <c r="AG141" s="51" t="s">
        <v>1</v>
      </c>
      <c r="AH141" s="36" t="s">
        <v>1</v>
      </c>
      <c r="AI141" s="51" t="s">
        <v>1</v>
      </c>
      <c r="AJ141" s="36" t="s">
        <v>1</v>
      </c>
      <c r="AK141" s="51" t="s">
        <v>1</v>
      </c>
      <c r="AL141" s="36" t="s">
        <v>1</v>
      </c>
      <c r="AM141" s="31" t="s">
        <v>1</v>
      </c>
      <c r="AN141" s="36" t="s">
        <v>1</v>
      </c>
      <c r="AO141" s="31" t="s">
        <v>1</v>
      </c>
      <c r="AP141" s="36" t="s">
        <v>1</v>
      </c>
      <c r="AQ141" s="51" t="s">
        <v>1</v>
      </c>
      <c r="AR141" s="36" t="s">
        <v>1</v>
      </c>
      <c r="AS141" s="47" t="s">
        <v>1</v>
      </c>
      <c r="AT141" s="36" t="s">
        <v>1</v>
      </c>
      <c r="AU141" s="47" t="s">
        <v>1</v>
      </c>
      <c r="AV141" s="36" t="s">
        <v>1</v>
      </c>
      <c r="AW141" s="47" t="s">
        <v>1</v>
      </c>
      <c r="AX141" s="36" t="s">
        <v>2065</v>
      </c>
      <c r="AY141" s="47" t="s">
        <v>2193</v>
      </c>
      <c r="AZ141" s="36" t="s">
        <v>1299</v>
      </c>
      <c r="BA141" s="47" t="s">
        <v>2193</v>
      </c>
      <c r="BB141" s="36" t="s">
        <v>2188</v>
      </c>
      <c r="BC141" s="47" t="s">
        <v>819</v>
      </c>
      <c r="BD141" s="36" t="s">
        <v>2189</v>
      </c>
      <c r="BE141" s="47" t="str">
        <f t="shared" si="3"/>
        <v>"Bairro"</v>
      </c>
    </row>
    <row r="142" spans="1:57" ht="6.65" customHeight="1" x14ac:dyDescent="0.4">
      <c r="A142" s="93">
        <v>109</v>
      </c>
      <c r="B142" s="74" t="s">
        <v>929</v>
      </c>
      <c r="C142" s="44" t="s">
        <v>664</v>
      </c>
      <c r="D142" s="18" t="s">
        <v>744</v>
      </c>
      <c r="E142" s="48" t="s">
        <v>753</v>
      </c>
      <c r="F142" s="18" t="s">
        <v>1</v>
      </c>
      <c r="G142" s="20" t="s">
        <v>1</v>
      </c>
      <c r="H142" s="18" t="s">
        <v>1</v>
      </c>
      <c r="I142" s="20" t="s">
        <v>1</v>
      </c>
      <c r="J142" s="18" t="s">
        <v>1</v>
      </c>
      <c r="K142" s="20" t="s">
        <v>1</v>
      </c>
      <c r="L142" s="18" t="s">
        <v>1</v>
      </c>
      <c r="M142" s="20" t="s">
        <v>1</v>
      </c>
      <c r="N142" s="46" t="s">
        <v>82</v>
      </c>
      <c r="O142" s="25" t="str">
        <f t="shared" si="5"/>
        <v>"B.096 é bairro de Rio de Janeiro"</v>
      </c>
      <c r="P142" s="46" t="s">
        <v>1</v>
      </c>
      <c r="Q142" s="25" t="s">
        <v>1</v>
      </c>
      <c r="R142" s="46" t="s">
        <v>1</v>
      </c>
      <c r="S142" s="52" t="s">
        <v>1</v>
      </c>
      <c r="T142" s="46" t="s">
        <v>1</v>
      </c>
      <c r="U142" s="31" t="s">
        <v>1</v>
      </c>
      <c r="V142" s="46" t="s">
        <v>1</v>
      </c>
      <c r="W142" s="31" t="s">
        <v>1</v>
      </c>
      <c r="X142" s="46" t="s">
        <v>1</v>
      </c>
      <c r="Y142" s="31" t="s">
        <v>1</v>
      </c>
      <c r="Z142" s="46" t="s">
        <v>1</v>
      </c>
      <c r="AA142" s="31" t="s">
        <v>1</v>
      </c>
      <c r="AB142" s="46" t="s">
        <v>1</v>
      </c>
      <c r="AC142" s="47" t="s">
        <v>1</v>
      </c>
      <c r="AD142" s="36" t="s">
        <v>1</v>
      </c>
      <c r="AE142" s="51" t="s">
        <v>1</v>
      </c>
      <c r="AF142" s="36" t="s">
        <v>1</v>
      </c>
      <c r="AG142" s="51" t="s">
        <v>1</v>
      </c>
      <c r="AH142" s="36" t="s">
        <v>1</v>
      </c>
      <c r="AI142" s="51" t="s">
        <v>1</v>
      </c>
      <c r="AJ142" s="36" t="s">
        <v>1</v>
      </c>
      <c r="AK142" s="51" t="s">
        <v>1</v>
      </c>
      <c r="AL142" s="36" t="s">
        <v>1</v>
      </c>
      <c r="AM142" s="31" t="s">
        <v>1</v>
      </c>
      <c r="AN142" s="36" t="s">
        <v>1</v>
      </c>
      <c r="AO142" s="31" t="s">
        <v>1</v>
      </c>
      <c r="AP142" s="36" t="s">
        <v>1</v>
      </c>
      <c r="AQ142" s="51" t="s">
        <v>1</v>
      </c>
      <c r="AR142" s="36" t="s">
        <v>1</v>
      </c>
      <c r="AS142" s="47" t="s">
        <v>1</v>
      </c>
      <c r="AT142" s="36" t="s">
        <v>1</v>
      </c>
      <c r="AU142" s="47" t="s">
        <v>1</v>
      </c>
      <c r="AV142" s="36" t="s">
        <v>1</v>
      </c>
      <c r="AW142" s="47" t="s">
        <v>1</v>
      </c>
      <c r="AX142" s="36" t="s">
        <v>2065</v>
      </c>
      <c r="AY142" s="47" t="s">
        <v>2193</v>
      </c>
      <c r="AZ142" s="36" t="s">
        <v>1299</v>
      </c>
      <c r="BA142" s="47" t="s">
        <v>2193</v>
      </c>
      <c r="BB142" s="36" t="s">
        <v>2188</v>
      </c>
      <c r="BC142" s="47" t="s">
        <v>819</v>
      </c>
      <c r="BD142" s="36" t="s">
        <v>2189</v>
      </c>
      <c r="BE142" s="47" t="str">
        <f t="shared" si="3"/>
        <v>"Bairro"</v>
      </c>
    </row>
    <row r="143" spans="1:57" ht="6.65" customHeight="1" x14ac:dyDescent="0.4">
      <c r="A143" s="93">
        <v>110</v>
      </c>
      <c r="B143" s="74" t="s">
        <v>930</v>
      </c>
      <c r="C143" s="44" t="s">
        <v>664</v>
      </c>
      <c r="D143" s="18" t="s">
        <v>744</v>
      </c>
      <c r="E143" s="48" t="s">
        <v>753</v>
      </c>
      <c r="F143" s="18" t="s">
        <v>1</v>
      </c>
      <c r="G143" s="20" t="s">
        <v>1</v>
      </c>
      <c r="H143" s="18" t="s">
        <v>1</v>
      </c>
      <c r="I143" s="20" t="s">
        <v>1</v>
      </c>
      <c r="J143" s="18" t="s">
        <v>1</v>
      </c>
      <c r="K143" s="20" t="s">
        <v>1</v>
      </c>
      <c r="L143" s="18" t="s">
        <v>1</v>
      </c>
      <c r="M143" s="20" t="s">
        <v>1</v>
      </c>
      <c r="N143" s="46" t="s">
        <v>82</v>
      </c>
      <c r="O143" s="25" t="str">
        <f t="shared" si="5"/>
        <v>"B.110 é bairro de Rio de Janeiro"</v>
      </c>
      <c r="P143" s="46" t="s">
        <v>1</v>
      </c>
      <c r="Q143" s="25" t="s">
        <v>1</v>
      </c>
      <c r="R143" s="46" t="s">
        <v>1</v>
      </c>
      <c r="S143" s="52" t="s">
        <v>1</v>
      </c>
      <c r="T143" s="46" t="s">
        <v>1</v>
      </c>
      <c r="U143" s="31" t="s">
        <v>1</v>
      </c>
      <c r="V143" s="46" t="s">
        <v>1</v>
      </c>
      <c r="W143" s="31" t="s">
        <v>1</v>
      </c>
      <c r="X143" s="46" t="s">
        <v>1</v>
      </c>
      <c r="Y143" s="31" t="s">
        <v>1</v>
      </c>
      <c r="Z143" s="46" t="s">
        <v>1</v>
      </c>
      <c r="AA143" s="31" t="s">
        <v>1</v>
      </c>
      <c r="AB143" s="46" t="s">
        <v>1</v>
      </c>
      <c r="AC143" s="47" t="s">
        <v>1</v>
      </c>
      <c r="AD143" s="36" t="s">
        <v>1</v>
      </c>
      <c r="AE143" s="51" t="s">
        <v>1</v>
      </c>
      <c r="AF143" s="36" t="s">
        <v>1</v>
      </c>
      <c r="AG143" s="51" t="s">
        <v>1</v>
      </c>
      <c r="AH143" s="36" t="s">
        <v>1</v>
      </c>
      <c r="AI143" s="51" t="s">
        <v>1</v>
      </c>
      <c r="AJ143" s="36" t="s">
        <v>1</v>
      </c>
      <c r="AK143" s="51" t="s">
        <v>1</v>
      </c>
      <c r="AL143" s="36" t="s">
        <v>1</v>
      </c>
      <c r="AM143" s="31" t="s">
        <v>1</v>
      </c>
      <c r="AN143" s="36" t="s">
        <v>1</v>
      </c>
      <c r="AO143" s="31" t="s">
        <v>1</v>
      </c>
      <c r="AP143" s="36" t="s">
        <v>1</v>
      </c>
      <c r="AQ143" s="51" t="s">
        <v>1</v>
      </c>
      <c r="AR143" s="36" t="s">
        <v>1</v>
      </c>
      <c r="AS143" s="47" t="s">
        <v>1</v>
      </c>
      <c r="AT143" s="36" t="s">
        <v>1</v>
      </c>
      <c r="AU143" s="47" t="s">
        <v>1</v>
      </c>
      <c r="AV143" s="36" t="s">
        <v>1</v>
      </c>
      <c r="AW143" s="47" t="s">
        <v>1</v>
      </c>
      <c r="AX143" s="36" t="s">
        <v>2065</v>
      </c>
      <c r="AY143" s="47" t="s">
        <v>2193</v>
      </c>
      <c r="AZ143" s="36" t="s">
        <v>1299</v>
      </c>
      <c r="BA143" s="47" t="s">
        <v>2193</v>
      </c>
      <c r="BB143" s="36" t="s">
        <v>2188</v>
      </c>
      <c r="BC143" s="47" t="s">
        <v>819</v>
      </c>
      <c r="BD143" s="36" t="s">
        <v>2189</v>
      </c>
      <c r="BE143" s="47" t="str">
        <f t="shared" si="3"/>
        <v>"Bairro"</v>
      </c>
    </row>
    <row r="144" spans="1:57" ht="6.65" customHeight="1" x14ac:dyDescent="0.4">
      <c r="A144" s="93">
        <v>111</v>
      </c>
      <c r="B144" s="74" t="s">
        <v>931</v>
      </c>
      <c r="C144" s="44" t="s">
        <v>664</v>
      </c>
      <c r="D144" s="18" t="s">
        <v>744</v>
      </c>
      <c r="E144" s="48" t="s">
        <v>753</v>
      </c>
      <c r="F144" s="18" t="s">
        <v>1</v>
      </c>
      <c r="G144" s="20" t="s">
        <v>1</v>
      </c>
      <c r="H144" s="18" t="s">
        <v>1</v>
      </c>
      <c r="I144" s="20" t="s">
        <v>1</v>
      </c>
      <c r="J144" s="18" t="s">
        <v>1</v>
      </c>
      <c r="K144" s="20" t="s">
        <v>1</v>
      </c>
      <c r="L144" s="18" t="s">
        <v>1</v>
      </c>
      <c r="M144" s="20" t="s">
        <v>1</v>
      </c>
      <c r="N144" s="46" t="s">
        <v>82</v>
      </c>
      <c r="O144" s="25" t="str">
        <f t="shared" si="5"/>
        <v>"B.077 é bairro de Rio de Janeiro"</v>
      </c>
      <c r="P144" s="46" t="s">
        <v>1</v>
      </c>
      <c r="Q144" s="25" t="s">
        <v>1</v>
      </c>
      <c r="R144" s="46" t="s">
        <v>1</v>
      </c>
      <c r="S144" s="52" t="s">
        <v>1</v>
      </c>
      <c r="T144" s="46" t="s">
        <v>1</v>
      </c>
      <c r="U144" s="31" t="s">
        <v>1</v>
      </c>
      <c r="V144" s="46" t="s">
        <v>1</v>
      </c>
      <c r="W144" s="31" t="s">
        <v>1</v>
      </c>
      <c r="X144" s="46" t="s">
        <v>1</v>
      </c>
      <c r="Y144" s="31" t="s">
        <v>1</v>
      </c>
      <c r="Z144" s="46" t="s">
        <v>1</v>
      </c>
      <c r="AA144" s="31" t="s">
        <v>1</v>
      </c>
      <c r="AB144" s="46" t="s">
        <v>1</v>
      </c>
      <c r="AC144" s="47" t="s">
        <v>1</v>
      </c>
      <c r="AD144" s="36" t="s">
        <v>1</v>
      </c>
      <c r="AE144" s="51" t="s">
        <v>1</v>
      </c>
      <c r="AF144" s="36" t="s">
        <v>1</v>
      </c>
      <c r="AG144" s="51" t="s">
        <v>1</v>
      </c>
      <c r="AH144" s="36" t="s">
        <v>1</v>
      </c>
      <c r="AI144" s="51" t="s">
        <v>1</v>
      </c>
      <c r="AJ144" s="36" t="s">
        <v>1</v>
      </c>
      <c r="AK144" s="51" t="s">
        <v>1</v>
      </c>
      <c r="AL144" s="36" t="s">
        <v>1</v>
      </c>
      <c r="AM144" s="31" t="s">
        <v>1</v>
      </c>
      <c r="AN144" s="36" t="s">
        <v>1</v>
      </c>
      <c r="AO144" s="31" t="s">
        <v>1</v>
      </c>
      <c r="AP144" s="36" t="s">
        <v>1</v>
      </c>
      <c r="AQ144" s="51" t="s">
        <v>1</v>
      </c>
      <c r="AR144" s="36" t="s">
        <v>1</v>
      </c>
      <c r="AS144" s="47" t="s">
        <v>1</v>
      </c>
      <c r="AT144" s="36" t="s">
        <v>1</v>
      </c>
      <c r="AU144" s="47" t="s">
        <v>1</v>
      </c>
      <c r="AV144" s="36" t="s">
        <v>1</v>
      </c>
      <c r="AW144" s="47" t="s">
        <v>1</v>
      </c>
      <c r="AX144" s="36" t="s">
        <v>2065</v>
      </c>
      <c r="AY144" s="47" t="s">
        <v>2193</v>
      </c>
      <c r="AZ144" s="36" t="s">
        <v>1299</v>
      </c>
      <c r="BA144" s="47" t="s">
        <v>2193</v>
      </c>
      <c r="BB144" s="36" t="s">
        <v>2188</v>
      </c>
      <c r="BC144" s="47" t="s">
        <v>819</v>
      </c>
      <c r="BD144" s="36" t="s">
        <v>2189</v>
      </c>
      <c r="BE144" s="47" t="str">
        <f t="shared" si="3"/>
        <v>"Bairro"</v>
      </c>
    </row>
    <row r="145" spans="1:57" ht="6.65" customHeight="1" x14ac:dyDescent="0.4">
      <c r="A145" s="93">
        <v>112</v>
      </c>
      <c r="B145" s="74" t="s">
        <v>932</v>
      </c>
      <c r="C145" s="44" t="s">
        <v>664</v>
      </c>
      <c r="D145" s="18" t="s">
        <v>744</v>
      </c>
      <c r="E145" s="48" t="s">
        <v>753</v>
      </c>
      <c r="F145" s="18" t="s">
        <v>1</v>
      </c>
      <c r="G145" s="20" t="s">
        <v>1</v>
      </c>
      <c r="H145" s="18" t="s">
        <v>1</v>
      </c>
      <c r="I145" s="20" t="s">
        <v>1</v>
      </c>
      <c r="J145" s="18" t="s">
        <v>1</v>
      </c>
      <c r="K145" s="20" t="s">
        <v>1</v>
      </c>
      <c r="L145" s="18" t="s">
        <v>1</v>
      </c>
      <c r="M145" s="20" t="s">
        <v>1</v>
      </c>
      <c r="N145" s="46" t="s">
        <v>82</v>
      </c>
      <c r="O145" s="25" t="str">
        <f t="shared" si="5"/>
        <v>"B.156 é bairro de Rio de Janeiro"</v>
      </c>
      <c r="P145" s="46" t="s">
        <v>1</v>
      </c>
      <c r="Q145" s="25" t="s">
        <v>1</v>
      </c>
      <c r="R145" s="46" t="s">
        <v>1</v>
      </c>
      <c r="S145" s="52" t="s">
        <v>1</v>
      </c>
      <c r="T145" s="46" t="s">
        <v>1</v>
      </c>
      <c r="U145" s="31" t="s">
        <v>1</v>
      </c>
      <c r="V145" s="46" t="s">
        <v>1</v>
      </c>
      <c r="W145" s="31" t="s">
        <v>1</v>
      </c>
      <c r="X145" s="46" t="s">
        <v>1</v>
      </c>
      <c r="Y145" s="31" t="s">
        <v>1</v>
      </c>
      <c r="Z145" s="46" t="s">
        <v>1</v>
      </c>
      <c r="AA145" s="31" t="s">
        <v>1</v>
      </c>
      <c r="AB145" s="46" t="s">
        <v>1</v>
      </c>
      <c r="AC145" s="47" t="s">
        <v>1</v>
      </c>
      <c r="AD145" s="36" t="s">
        <v>1</v>
      </c>
      <c r="AE145" s="51" t="s">
        <v>1</v>
      </c>
      <c r="AF145" s="36" t="s">
        <v>1</v>
      </c>
      <c r="AG145" s="51" t="s">
        <v>1</v>
      </c>
      <c r="AH145" s="36" t="s">
        <v>1</v>
      </c>
      <c r="AI145" s="51" t="s">
        <v>1</v>
      </c>
      <c r="AJ145" s="36" t="s">
        <v>1</v>
      </c>
      <c r="AK145" s="51" t="s">
        <v>1</v>
      </c>
      <c r="AL145" s="36" t="s">
        <v>1</v>
      </c>
      <c r="AM145" s="31" t="s">
        <v>1</v>
      </c>
      <c r="AN145" s="36" t="s">
        <v>1</v>
      </c>
      <c r="AO145" s="31" t="s">
        <v>1</v>
      </c>
      <c r="AP145" s="36" t="s">
        <v>1</v>
      </c>
      <c r="AQ145" s="51" t="s">
        <v>1</v>
      </c>
      <c r="AR145" s="36" t="s">
        <v>1</v>
      </c>
      <c r="AS145" s="47" t="s">
        <v>1</v>
      </c>
      <c r="AT145" s="36" t="s">
        <v>1</v>
      </c>
      <c r="AU145" s="47" t="s">
        <v>1</v>
      </c>
      <c r="AV145" s="36" t="s">
        <v>1</v>
      </c>
      <c r="AW145" s="47" t="s">
        <v>1</v>
      </c>
      <c r="AX145" s="36" t="s">
        <v>2065</v>
      </c>
      <c r="AY145" s="47" t="s">
        <v>2193</v>
      </c>
      <c r="AZ145" s="36" t="s">
        <v>1299</v>
      </c>
      <c r="BA145" s="47" t="s">
        <v>2193</v>
      </c>
      <c r="BB145" s="36" t="s">
        <v>2188</v>
      </c>
      <c r="BC145" s="47" t="s">
        <v>819</v>
      </c>
      <c r="BD145" s="36" t="s">
        <v>2189</v>
      </c>
      <c r="BE145" s="47" t="str">
        <f t="shared" si="3"/>
        <v>"Bairro"</v>
      </c>
    </row>
    <row r="146" spans="1:57" ht="6.65" customHeight="1" x14ac:dyDescent="0.4">
      <c r="A146" s="93">
        <v>113</v>
      </c>
      <c r="B146" s="74" t="s">
        <v>933</v>
      </c>
      <c r="C146" s="44" t="s">
        <v>664</v>
      </c>
      <c r="D146" s="18" t="s">
        <v>744</v>
      </c>
      <c r="E146" s="48" t="s">
        <v>753</v>
      </c>
      <c r="F146" s="18" t="s">
        <v>1</v>
      </c>
      <c r="G146" s="20" t="s">
        <v>1</v>
      </c>
      <c r="H146" s="18" t="s">
        <v>1</v>
      </c>
      <c r="I146" s="20" t="s">
        <v>1</v>
      </c>
      <c r="J146" s="18" t="s">
        <v>1</v>
      </c>
      <c r="K146" s="20" t="s">
        <v>1</v>
      </c>
      <c r="L146" s="18" t="s">
        <v>1</v>
      </c>
      <c r="M146" s="20" t="s">
        <v>1</v>
      </c>
      <c r="N146" s="46" t="s">
        <v>82</v>
      </c>
      <c r="O146" s="25" t="str">
        <f t="shared" si="5"/>
        <v>"B.024 é bairro de Rio de Janeiro"</v>
      </c>
      <c r="P146" s="46" t="s">
        <v>1</v>
      </c>
      <c r="Q146" s="25" t="s">
        <v>1</v>
      </c>
      <c r="R146" s="46" t="s">
        <v>1</v>
      </c>
      <c r="S146" s="52" t="s">
        <v>1</v>
      </c>
      <c r="T146" s="46" t="s">
        <v>1</v>
      </c>
      <c r="U146" s="31" t="s">
        <v>1</v>
      </c>
      <c r="V146" s="46" t="s">
        <v>1</v>
      </c>
      <c r="W146" s="31" t="s">
        <v>1</v>
      </c>
      <c r="X146" s="46" t="s">
        <v>1</v>
      </c>
      <c r="Y146" s="31" t="s">
        <v>1</v>
      </c>
      <c r="Z146" s="46" t="s">
        <v>1</v>
      </c>
      <c r="AA146" s="31" t="s">
        <v>1</v>
      </c>
      <c r="AB146" s="46" t="s">
        <v>1</v>
      </c>
      <c r="AC146" s="47" t="s">
        <v>1</v>
      </c>
      <c r="AD146" s="36" t="s">
        <v>1</v>
      </c>
      <c r="AE146" s="51" t="s">
        <v>1</v>
      </c>
      <c r="AF146" s="36" t="s">
        <v>1</v>
      </c>
      <c r="AG146" s="51" t="s">
        <v>1</v>
      </c>
      <c r="AH146" s="36" t="s">
        <v>1</v>
      </c>
      <c r="AI146" s="51" t="s">
        <v>1</v>
      </c>
      <c r="AJ146" s="36" t="s">
        <v>1</v>
      </c>
      <c r="AK146" s="51" t="s">
        <v>1</v>
      </c>
      <c r="AL146" s="36" t="s">
        <v>1</v>
      </c>
      <c r="AM146" s="31" t="s">
        <v>1</v>
      </c>
      <c r="AN146" s="36" t="s">
        <v>1</v>
      </c>
      <c r="AO146" s="31" t="s">
        <v>1</v>
      </c>
      <c r="AP146" s="36" t="s">
        <v>1</v>
      </c>
      <c r="AQ146" s="51" t="s">
        <v>1</v>
      </c>
      <c r="AR146" s="36" t="s">
        <v>1</v>
      </c>
      <c r="AS146" s="47" t="s">
        <v>1</v>
      </c>
      <c r="AT146" s="36" t="s">
        <v>1</v>
      </c>
      <c r="AU146" s="47" t="s">
        <v>1</v>
      </c>
      <c r="AV146" s="36" t="s">
        <v>1</v>
      </c>
      <c r="AW146" s="47" t="s">
        <v>1</v>
      </c>
      <c r="AX146" s="36" t="s">
        <v>2065</v>
      </c>
      <c r="AY146" s="47" t="s">
        <v>2193</v>
      </c>
      <c r="AZ146" s="36" t="s">
        <v>1299</v>
      </c>
      <c r="BA146" s="47" t="s">
        <v>2193</v>
      </c>
      <c r="BB146" s="36" t="s">
        <v>2188</v>
      </c>
      <c r="BC146" s="47" t="s">
        <v>819</v>
      </c>
      <c r="BD146" s="36" t="s">
        <v>2189</v>
      </c>
      <c r="BE146" s="47" t="str">
        <f t="shared" si="3"/>
        <v>"Bairro"</v>
      </c>
    </row>
    <row r="147" spans="1:57" ht="6.65" customHeight="1" x14ac:dyDescent="0.4">
      <c r="A147" s="93">
        <v>114</v>
      </c>
      <c r="B147" s="74" t="s">
        <v>934</v>
      </c>
      <c r="C147" s="44" t="s">
        <v>664</v>
      </c>
      <c r="D147" s="18" t="s">
        <v>744</v>
      </c>
      <c r="E147" s="48" t="s">
        <v>753</v>
      </c>
      <c r="F147" s="18" t="s">
        <v>1</v>
      </c>
      <c r="G147" s="20" t="s">
        <v>1</v>
      </c>
      <c r="H147" s="18" t="s">
        <v>1</v>
      </c>
      <c r="I147" s="20" t="s">
        <v>1</v>
      </c>
      <c r="J147" s="18" t="s">
        <v>1</v>
      </c>
      <c r="K147" s="20" t="s">
        <v>1</v>
      </c>
      <c r="L147" s="18" t="s">
        <v>1</v>
      </c>
      <c r="M147" s="20" t="s">
        <v>1</v>
      </c>
      <c r="N147" s="46" t="s">
        <v>82</v>
      </c>
      <c r="O147" s="25" t="str">
        <f t="shared" si="5"/>
        <v>"B.046 é bairro de Rio de Janeiro"</v>
      </c>
      <c r="P147" s="46" t="s">
        <v>1</v>
      </c>
      <c r="Q147" s="25" t="s">
        <v>1</v>
      </c>
      <c r="R147" s="46" t="s">
        <v>1</v>
      </c>
      <c r="S147" s="52" t="s">
        <v>1</v>
      </c>
      <c r="T147" s="46" t="s">
        <v>1</v>
      </c>
      <c r="U147" s="31" t="s">
        <v>1</v>
      </c>
      <c r="V147" s="46" t="s">
        <v>1</v>
      </c>
      <c r="W147" s="31" t="s">
        <v>1</v>
      </c>
      <c r="X147" s="46" t="s">
        <v>1</v>
      </c>
      <c r="Y147" s="31" t="s">
        <v>1</v>
      </c>
      <c r="Z147" s="46" t="s">
        <v>1</v>
      </c>
      <c r="AA147" s="31" t="s">
        <v>1</v>
      </c>
      <c r="AB147" s="46" t="s">
        <v>1</v>
      </c>
      <c r="AC147" s="47" t="s">
        <v>1</v>
      </c>
      <c r="AD147" s="36" t="s">
        <v>1</v>
      </c>
      <c r="AE147" s="51" t="s">
        <v>1</v>
      </c>
      <c r="AF147" s="36" t="s">
        <v>1</v>
      </c>
      <c r="AG147" s="51" t="s">
        <v>1</v>
      </c>
      <c r="AH147" s="36" t="s">
        <v>1</v>
      </c>
      <c r="AI147" s="51" t="s">
        <v>1</v>
      </c>
      <c r="AJ147" s="36" t="s">
        <v>1</v>
      </c>
      <c r="AK147" s="51" t="s">
        <v>1</v>
      </c>
      <c r="AL147" s="36" t="s">
        <v>1</v>
      </c>
      <c r="AM147" s="31" t="s">
        <v>1</v>
      </c>
      <c r="AN147" s="36" t="s">
        <v>1</v>
      </c>
      <c r="AO147" s="31" t="s">
        <v>1</v>
      </c>
      <c r="AP147" s="36" t="s">
        <v>1</v>
      </c>
      <c r="AQ147" s="51" t="s">
        <v>1</v>
      </c>
      <c r="AR147" s="36" t="s">
        <v>1</v>
      </c>
      <c r="AS147" s="47" t="s">
        <v>1</v>
      </c>
      <c r="AT147" s="36" t="s">
        <v>1</v>
      </c>
      <c r="AU147" s="47" t="s">
        <v>1</v>
      </c>
      <c r="AV147" s="36" t="s">
        <v>1</v>
      </c>
      <c r="AW147" s="47" t="s">
        <v>1</v>
      </c>
      <c r="AX147" s="36" t="s">
        <v>2065</v>
      </c>
      <c r="AY147" s="47" t="s">
        <v>2193</v>
      </c>
      <c r="AZ147" s="36" t="s">
        <v>1299</v>
      </c>
      <c r="BA147" s="47" t="s">
        <v>2193</v>
      </c>
      <c r="BB147" s="36" t="s">
        <v>2188</v>
      </c>
      <c r="BC147" s="47" t="s">
        <v>819</v>
      </c>
      <c r="BD147" s="36" t="s">
        <v>2189</v>
      </c>
      <c r="BE147" s="47" t="str">
        <f t="shared" si="3"/>
        <v>"Bairro"</v>
      </c>
    </row>
    <row r="148" spans="1:57" ht="6.65" customHeight="1" x14ac:dyDescent="0.4">
      <c r="A148" s="93">
        <v>115</v>
      </c>
      <c r="B148" s="74" t="s">
        <v>935</v>
      </c>
      <c r="C148" s="44" t="s">
        <v>664</v>
      </c>
      <c r="D148" s="18" t="s">
        <v>744</v>
      </c>
      <c r="E148" s="48" t="s">
        <v>753</v>
      </c>
      <c r="F148" s="18" t="s">
        <v>1</v>
      </c>
      <c r="G148" s="20" t="s">
        <v>1</v>
      </c>
      <c r="H148" s="18" t="s">
        <v>1</v>
      </c>
      <c r="I148" s="20" t="s">
        <v>1</v>
      </c>
      <c r="J148" s="18" t="s">
        <v>1</v>
      </c>
      <c r="K148" s="20" t="s">
        <v>1</v>
      </c>
      <c r="L148" s="18" t="s">
        <v>1</v>
      </c>
      <c r="M148" s="20" t="s">
        <v>1</v>
      </c>
      <c r="N148" s="46" t="s">
        <v>82</v>
      </c>
      <c r="O148" s="25" t="str">
        <f t="shared" si="5"/>
        <v>"B.019 é bairro de Rio de Janeiro"</v>
      </c>
      <c r="P148" s="46" t="s">
        <v>1</v>
      </c>
      <c r="Q148" s="25" t="s">
        <v>1</v>
      </c>
      <c r="R148" s="46" t="s">
        <v>1</v>
      </c>
      <c r="S148" s="52" t="s">
        <v>1</v>
      </c>
      <c r="T148" s="46" t="s">
        <v>1</v>
      </c>
      <c r="U148" s="31" t="s">
        <v>1</v>
      </c>
      <c r="V148" s="46" t="s">
        <v>1</v>
      </c>
      <c r="W148" s="31" t="s">
        <v>1</v>
      </c>
      <c r="X148" s="46" t="s">
        <v>1</v>
      </c>
      <c r="Y148" s="31" t="s">
        <v>1</v>
      </c>
      <c r="Z148" s="46" t="s">
        <v>1</v>
      </c>
      <c r="AA148" s="31" t="s">
        <v>1</v>
      </c>
      <c r="AB148" s="46" t="s">
        <v>1</v>
      </c>
      <c r="AC148" s="47" t="s">
        <v>1</v>
      </c>
      <c r="AD148" s="36" t="s">
        <v>1</v>
      </c>
      <c r="AE148" s="51" t="s">
        <v>1</v>
      </c>
      <c r="AF148" s="36" t="s">
        <v>1</v>
      </c>
      <c r="AG148" s="51" t="s">
        <v>1</v>
      </c>
      <c r="AH148" s="36" t="s">
        <v>1</v>
      </c>
      <c r="AI148" s="51" t="s">
        <v>1</v>
      </c>
      <c r="AJ148" s="36" t="s">
        <v>1</v>
      </c>
      <c r="AK148" s="51" t="s">
        <v>1</v>
      </c>
      <c r="AL148" s="36" t="s">
        <v>1</v>
      </c>
      <c r="AM148" s="31" t="s">
        <v>1</v>
      </c>
      <c r="AN148" s="36" t="s">
        <v>1</v>
      </c>
      <c r="AO148" s="31" t="s">
        <v>1</v>
      </c>
      <c r="AP148" s="36" t="s">
        <v>1</v>
      </c>
      <c r="AQ148" s="51" t="s">
        <v>1</v>
      </c>
      <c r="AR148" s="36" t="s">
        <v>1</v>
      </c>
      <c r="AS148" s="47" t="s">
        <v>1</v>
      </c>
      <c r="AT148" s="36" t="s">
        <v>1</v>
      </c>
      <c r="AU148" s="47" t="s">
        <v>1</v>
      </c>
      <c r="AV148" s="36" t="s">
        <v>1</v>
      </c>
      <c r="AW148" s="47" t="s">
        <v>1</v>
      </c>
      <c r="AX148" s="36" t="s">
        <v>2065</v>
      </c>
      <c r="AY148" s="47" t="s">
        <v>2193</v>
      </c>
      <c r="AZ148" s="36" t="s">
        <v>1299</v>
      </c>
      <c r="BA148" s="47" t="s">
        <v>2193</v>
      </c>
      <c r="BB148" s="36" t="s">
        <v>2188</v>
      </c>
      <c r="BC148" s="47" t="s">
        <v>819</v>
      </c>
      <c r="BD148" s="36" t="s">
        <v>2189</v>
      </c>
      <c r="BE148" s="47" t="str">
        <f t="shared" si="3"/>
        <v>"Bairro"</v>
      </c>
    </row>
    <row r="149" spans="1:57" ht="6.65" customHeight="1" x14ac:dyDescent="0.4">
      <c r="A149" s="93">
        <v>116</v>
      </c>
      <c r="B149" s="74" t="s">
        <v>936</v>
      </c>
      <c r="C149" s="44" t="s">
        <v>664</v>
      </c>
      <c r="D149" s="18" t="s">
        <v>744</v>
      </c>
      <c r="E149" s="48" t="s">
        <v>753</v>
      </c>
      <c r="F149" s="18" t="s">
        <v>1</v>
      </c>
      <c r="G149" s="20" t="s">
        <v>1</v>
      </c>
      <c r="H149" s="18" t="s">
        <v>1</v>
      </c>
      <c r="I149" s="20" t="s">
        <v>1</v>
      </c>
      <c r="J149" s="18" t="s">
        <v>1</v>
      </c>
      <c r="K149" s="20" t="s">
        <v>1</v>
      </c>
      <c r="L149" s="18" t="s">
        <v>1</v>
      </c>
      <c r="M149" s="20" t="s">
        <v>1</v>
      </c>
      <c r="N149" s="46" t="s">
        <v>82</v>
      </c>
      <c r="O149" s="25" t="str">
        <f t="shared" si="5"/>
        <v>"B.147 é bairro de Rio de Janeiro"</v>
      </c>
      <c r="P149" s="46" t="s">
        <v>1</v>
      </c>
      <c r="Q149" s="25" t="s">
        <v>1</v>
      </c>
      <c r="R149" s="46" t="s">
        <v>1</v>
      </c>
      <c r="S149" s="52" t="s">
        <v>1</v>
      </c>
      <c r="T149" s="46" t="s">
        <v>1</v>
      </c>
      <c r="U149" s="31" t="s">
        <v>1</v>
      </c>
      <c r="V149" s="46" t="s">
        <v>1</v>
      </c>
      <c r="W149" s="31" t="s">
        <v>1</v>
      </c>
      <c r="X149" s="46" t="s">
        <v>1</v>
      </c>
      <c r="Y149" s="31" t="s">
        <v>1</v>
      </c>
      <c r="Z149" s="46" t="s">
        <v>1</v>
      </c>
      <c r="AA149" s="31" t="s">
        <v>1</v>
      </c>
      <c r="AB149" s="46" t="s">
        <v>1</v>
      </c>
      <c r="AC149" s="47" t="s">
        <v>1</v>
      </c>
      <c r="AD149" s="36" t="s">
        <v>1</v>
      </c>
      <c r="AE149" s="51" t="s">
        <v>1</v>
      </c>
      <c r="AF149" s="36" t="s">
        <v>1</v>
      </c>
      <c r="AG149" s="51" t="s">
        <v>1</v>
      </c>
      <c r="AH149" s="36" t="s">
        <v>1</v>
      </c>
      <c r="AI149" s="51" t="s">
        <v>1</v>
      </c>
      <c r="AJ149" s="36" t="s">
        <v>1</v>
      </c>
      <c r="AK149" s="51" t="s">
        <v>1</v>
      </c>
      <c r="AL149" s="36" t="s">
        <v>1</v>
      </c>
      <c r="AM149" s="31" t="s">
        <v>1</v>
      </c>
      <c r="AN149" s="36" t="s">
        <v>1</v>
      </c>
      <c r="AO149" s="31" t="s">
        <v>1</v>
      </c>
      <c r="AP149" s="36" t="s">
        <v>1</v>
      </c>
      <c r="AQ149" s="51" t="s">
        <v>1</v>
      </c>
      <c r="AR149" s="36" t="s">
        <v>1</v>
      </c>
      <c r="AS149" s="47" t="s">
        <v>1</v>
      </c>
      <c r="AT149" s="36" t="s">
        <v>1</v>
      </c>
      <c r="AU149" s="47" t="s">
        <v>1</v>
      </c>
      <c r="AV149" s="36" t="s">
        <v>1</v>
      </c>
      <c r="AW149" s="47" t="s">
        <v>1</v>
      </c>
      <c r="AX149" s="36" t="s">
        <v>2065</v>
      </c>
      <c r="AY149" s="47" t="s">
        <v>2193</v>
      </c>
      <c r="AZ149" s="36" t="s">
        <v>1299</v>
      </c>
      <c r="BA149" s="47" t="s">
        <v>2193</v>
      </c>
      <c r="BB149" s="36" t="s">
        <v>2188</v>
      </c>
      <c r="BC149" s="47" t="s">
        <v>819</v>
      </c>
      <c r="BD149" s="36" t="s">
        <v>2189</v>
      </c>
      <c r="BE149" s="47" t="str">
        <f t="shared" si="3"/>
        <v>"Bairro"</v>
      </c>
    </row>
    <row r="150" spans="1:57" ht="6.65" customHeight="1" x14ac:dyDescent="0.4">
      <c r="A150" s="93">
        <v>117</v>
      </c>
      <c r="B150" s="74" t="s">
        <v>937</v>
      </c>
      <c r="C150" s="44" t="s">
        <v>664</v>
      </c>
      <c r="D150" s="18" t="s">
        <v>744</v>
      </c>
      <c r="E150" s="48" t="s">
        <v>753</v>
      </c>
      <c r="F150" s="18" t="s">
        <v>1</v>
      </c>
      <c r="G150" s="20" t="s">
        <v>1</v>
      </c>
      <c r="H150" s="18" t="s">
        <v>1</v>
      </c>
      <c r="I150" s="20" t="s">
        <v>1</v>
      </c>
      <c r="J150" s="18" t="s">
        <v>1</v>
      </c>
      <c r="K150" s="20" t="s">
        <v>1</v>
      </c>
      <c r="L150" s="18" t="s">
        <v>1</v>
      </c>
      <c r="M150" s="20" t="s">
        <v>1</v>
      </c>
      <c r="N150" s="46" t="s">
        <v>82</v>
      </c>
      <c r="O150" s="25" t="str">
        <f t="shared" si="5"/>
        <v>"B.113 é bairro de Rio de Janeiro"</v>
      </c>
      <c r="P150" s="46" t="s">
        <v>1</v>
      </c>
      <c r="Q150" s="25" t="s">
        <v>1</v>
      </c>
      <c r="R150" s="46" t="s">
        <v>1</v>
      </c>
      <c r="S150" s="52" t="s">
        <v>1</v>
      </c>
      <c r="T150" s="46" t="s">
        <v>1</v>
      </c>
      <c r="U150" s="31" t="s">
        <v>1</v>
      </c>
      <c r="V150" s="46" t="s">
        <v>1</v>
      </c>
      <c r="W150" s="31" t="s">
        <v>1</v>
      </c>
      <c r="X150" s="46" t="s">
        <v>1</v>
      </c>
      <c r="Y150" s="31" t="s">
        <v>1</v>
      </c>
      <c r="Z150" s="46" t="s">
        <v>1</v>
      </c>
      <c r="AA150" s="31" t="s">
        <v>1</v>
      </c>
      <c r="AB150" s="46" t="s">
        <v>1</v>
      </c>
      <c r="AC150" s="47" t="s">
        <v>1</v>
      </c>
      <c r="AD150" s="36" t="s">
        <v>1</v>
      </c>
      <c r="AE150" s="51" t="s">
        <v>1</v>
      </c>
      <c r="AF150" s="36" t="s">
        <v>1</v>
      </c>
      <c r="AG150" s="51" t="s">
        <v>1</v>
      </c>
      <c r="AH150" s="36" t="s">
        <v>1</v>
      </c>
      <c r="AI150" s="51" t="s">
        <v>1</v>
      </c>
      <c r="AJ150" s="36" t="s">
        <v>1</v>
      </c>
      <c r="AK150" s="51" t="s">
        <v>1</v>
      </c>
      <c r="AL150" s="36" t="s">
        <v>1</v>
      </c>
      <c r="AM150" s="31" t="s">
        <v>1</v>
      </c>
      <c r="AN150" s="36" t="s">
        <v>1</v>
      </c>
      <c r="AO150" s="31" t="s">
        <v>1</v>
      </c>
      <c r="AP150" s="36" t="s">
        <v>1</v>
      </c>
      <c r="AQ150" s="51" t="s">
        <v>1</v>
      </c>
      <c r="AR150" s="36" t="s">
        <v>1</v>
      </c>
      <c r="AS150" s="47" t="s">
        <v>1</v>
      </c>
      <c r="AT150" s="36" t="s">
        <v>1</v>
      </c>
      <c r="AU150" s="47" t="s">
        <v>1</v>
      </c>
      <c r="AV150" s="36" t="s">
        <v>1</v>
      </c>
      <c r="AW150" s="47" t="s">
        <v>1</v>
      </c>
      <c r="AX150" s="36" t="s">
        <v>2065</v>
      </c>
      <c r="AY150" s="47" t="s">
        <v>2193</v>
      </c>
      <c r="AZ150" s="36" t="s">
        <v>1299</v>
      </c>
      <c r="BA150" s="47" t="s">
        <v>2193</v>
      </c>
      <c r="BB150" s="36" t="s">
        <v>2188</v>
      </c>
      <c r="BC150" s="47" t="s">
        <v>819</v>
      </c>
      <c r="BD150" s="36" t="s">
        <v>2189</v>
      </c>
      <c r="BE150" s="47" t="str">
        <f t="shared" si="3"/>
        <v>"Bairro"</v>
      </c>
    </row>
    <row r="151" spans="1:57" ht="6.65" customHeight="1" x14ac:dyDescent="0.4">
      <c r="A151" s="93">
        <v>118</v>
      </c>
      <c r="B151" s="74" t="s">
        <v>938</v>
      </c>
      <c r="C151" s="44" t="s">
        <v>664</v>
      </c>
      <c r="D151" s="18" t="s">
        <v>744</v>
      </c>
      <c r="E151" s="48" t="s">
        <v>753</v>
      </c>
      <c r="F151" s="18" t="s">
        <v>1</v>
      </c>
      <c r="G151" s="20" t="s">
        <v>1</v>
      </c>
      <c r="H151" s="18" t="s">
        <v>1</v>
      </c>
      <c r="I151" s="20" t="s">
        <v>1</v>
      </c>
      <c r="J151" s="18" t="s">
        <v>1</v>
      </c>
      <c r="K151" s="20" t="s">
        <v>1</v>
      </c>
      <c r="L151" s="18" t="s">
        <v>1</v>
      </c>
      <c r="M151" s="20" t="s">
        <v>1</v>
      </c>
      <c r="N151" s="46" t="s">
        <v>82</v>
      </c>
      <c r="O151" s="25" t="str">
        <f t="shared" si="5"/>
        <v>"B.119 é bairro de Rio de Janeiro"</v>
      </c>
      <c r="P151" s="46" t="s">
        <v>1</v>
      </c>
      <c r="Q151" s="25" t="s">
        <v>1</v>
      </c>
      <c r="R151" s="46" t="s">
        <v>1</v>
      </c>
      <c r="S151" s="52" t="s">
        <v>1</v>
      </c>
      <c r="T151" s="46" t="s">
        <v>1</v>
      </c>
      <c r="U151" s="31" t="s">
        <v>1</v>
      </c>
      <c r="V151" s="46" t="s">
        <v>1</v>
      </c>
      <c r="W151" s="31" t="s">
        <v>1</v>
      </c>
      <c r="X151" s="46" t="s">
        <v>1</v>
      </c>
      <c r="Y151" s="31" t="s">
        <v>1</v>
      </c>
      <c r="Z151" s="46" t="s">
        <v>1</v>
      </c>
      <c r="AA151" s="31" t="s">
        <v>1</v>
      </c>
      <c r="AB151" s="46" t="s">
        <v>1</v>
      </c>
      <c r="AC151" s="47" t="s">
        <v>1</v>
      </c>
      <c r="AD151" s="36" t="s">
        <v>1</v>
      </c>
      <c r="AE151" s="51" t="s">
        <v>1</v>
      </c>
      <c r="AF151" s="36" t="s">
        <v>1</v>
      </c>
      <c r="AG151" s="51" t="s">
        <v>1</v>
      </c>
      <c r="AH151" s="36" t="s">
        <v>1</v>
      </c>
      <c r="AI151" s="51" t="s">
        <v>1</v>
      </c>
      <c r="AJ151" s="36" t="s">
        <v>1</v>
      </c>
      <c r="AK151" s="51" t="s">
        <v>1</v>
      </c>
      <c r="AL151" s="36" t="s">
        <v>1</v>
      </c>
      <c r="AM151" s="31" t="s">
        <v>1</v>
      </c>
      <c r="AN151" s="36" t="s">
        <v>1</v>
      </c>
      <c r="AO151" s="31" t="s">
        <v>1</v>
      </c>
      <c r="AP151" s="36" t="s">
        <v>1</v>
      </c>
      <c r="AQ151" s="51" t="s">
        <v>1</v>
      </c>
      <c r="AR151" s="36" t="s">
        <v>1</v>
      </c>
      <c r="AS151" s="47" t="s">
        <v>1</v>
      </c>
      <c r="AT151" s="36" t="s">
        <v>1</v>
      </c>
      <c r="AU151" s="47" t="s">
        <v>1</v>
      </c>
      <c r="AV151" s="36" t="s">
        <v>1</v>
      </c>
      <c r="AW151" s="47" t="s">
        <v>1</v>
      </c>
      <c r="AX151" s="36" t="s">
        <v>2065</v>
      </c>
      <c r="AY151" s="47" t="s">
        <v>2193</v>
      </c>
      <c r="AZ151" s="36" t="s">
        <v>1299</v>
      </c>
      <c r="BA151" s="47" t="s">
        <v>2193</v>
      </c>
      <c r="BB151" s="36" t="s">
        <v>2188</v>
      </c>
      <c r="BC151" s="47" t="s">
        <v>819</v>
      </c>
      <c r="BD151" s="36" t="s">
        <v>2189</v>
      </c>
      <c r="BE151" s="47" t="str">
        <f t="shared" si="3"/>
        <v>"Bairro"</v>
      </c>
    </row>
    <row r="152" spans="1:57" ht="6.65" customHeight="1" x14ac:dyDescent="0.4">
      <c r="A152" s="93">
        <v>119</v>
      </c>
      <c r="B152" s="74" t="s">
        <v>939</v>
      </c>
      <c r="C152" s="44" t="s">
        <v>664</v>
      </c>
      <c r="D152" s="18" t="s">
        <v>744</v>
      </c>
      <c r="E152" s="48" t="s">
        <v>753</v>
      </c>
      <c r="F152" s="18" t="s">
        <v>1</v>
      </c>
      <c r="G152" s="20" t="s">
        <v>1</v>
      </c>
      <c r="H152" s="18" t="s">
        <v>1</v>
      </c>
      <c r="I152" s="20" t="s">
        <v>1</v>
      </c>
      <c r="J152" s="18" t="s">
        <v>1</v>
      </c>
      <c r="K152" s="20" t="s">
        <v>1</v>
      </c>
      <c r="L152" s="18" t="s">
        <v>1</v>
      </c>
      <c r="M152" s="20" t="s">
        <v>1</v>
      </c>
      <c r="N152" s="46" t="s">
        <v>82</v>
      </c>
      <c r="O152" s="25" t="str">
        <f t="shared" si="5"/>
        <v>"B.053 é bairro de Rio de Janeiro"</v>
      </c>
      <c r="P152" s="46" t="s">
        <v>1</v>
      </c>
      <c r="Q152" s="25" t="s">
        <v>1</v>
      </c>
      <c r="R152" s="46" t="s">
        <v>1</v>
      </c>
      <c r="S152" s="52" t="s">
        <v>1</v>
      </c>
      <c r="T152" s="46" t="s">
        <v>1</v>
      </c>
      <c r="U152" s="31" t="s">
        <v>1</v>
      </c>
      <c r="V152" s="46" t="s">
        <v>1</v>
      </c>
      <c r="W152" s="31" t="s">
        <v>1</v>
      </c>
      <c r="X152" s="46" t="s">
        <v>1</v>
      </c>
      <c r="Y152" s="31" t="s">
        <v>1</v>
      </c>
      <c r="Z152" s="46" t="s">
        <v>1</v>
      </c>
      <c r="AA152" s="31" t="s">
        <v>1</v>
      </c>
      <c r="AB152" s="46" t="s">
        <v>1</v>
      </c>
      <c r="AC152" s="47" t="s">
        <v>1</v>
      </c>
      <c r="AD152" s="36" t="s">
        <v>1</v>
      </c>
      <c r="AE152" s="51" t="s">
        <v>1</v>
      </c>
      <c r="AF152" s="36" t="s">
        <v>1</v>
      </c>
      <c r="AG152" s="51" t="s">
        <v>1</v>
      </c>
      <c r="AH152" s="36" t="s">
        <v>1</v>
      </c>
      <c r="AI152" s="51" t="s">
        <v>1</v>
      </c>
      <c r="AJ152" s="36" t="s">
        <v>1</v>
      </c>
      <c r="AK152" s="51" t="s">
        <v>1</v>
      </c>
      <c r="AL152" s="36" t="s">
        <v>1</v>
      </c>
      <c r="AM152" s="31" t="s">
        <v>1</v>
      </c>
      <c r="AN152" s="36" t="s">
        <v>1</v>
      </c>
      <c r="AO152" s="31" t="s">
        <v>1</v>
      </c>
      <c r="AP152" s="36" t="s">
        <v>1</v>
      </c>
      <c r="AQ152" s="51" t="s">
        <v>1</v>
      </c>
      <c r="AR152" s="36" t="s">
        <v>1</v>
      </c>
      <c r="AS152" s="47" t="s">
        <v>1</v>
      </c>
      <c r="AT152" s="36" t="s">
        <v>1</v>
      </c>
      <c r="AU152" s="47" t="s">
        <v>1</v>
      </c>
      <c r="AV152" s="36" t="s">
        <v>1</v>
      </c>
      <c r="AW152" s="47" t="s">
        <v>1</v>
      </c>
      <c r="AX152" s="36" t="s">
        <v>2065</v>
      </c>
      <c r="AY152" s="47" t="s">
        <v>2193</v>
      </c>
      <c r="AZ152" s="36" t="s">
        <v>1299</v>
      </c>
      <c r="BA152" s="47" t="s">
        <v>2193</v>
      </c>
      <c r="BB152" s="36" t="s">
        <v>2188</v>
      </c>
      <c r="BC152" s="47" t="s">
        <v>819</v>
      </c>
      <c r="BD152" s="36" t="s">
        <v>2189</v>
      </c>
      <c r="BE152" s="47" t="str">
        <f t="shared" si="3"/>
        <v>"Bairro"</v>
      </c>
    </row>
    <row r="153" spans="1:57" ht="6.65" customHeight="1" x14ac:dyDescent="0.4">
      <c r="A153" s="93">
        <v>120</v>
      </c>
      <c r="B153" s="74" t="s">
        <v>940</v>
      </c>
      <c r="C153" s="44" t="s">
        <v>664</v>
      </c>
      <c r="D153" s="18" t="s">
        <v>744</v>
      </c>
      <c r="E153" s="48" t="s">
        <v>753</v>
      </c>
      <c r="F153" s="18" t="s">
        <v>1</v>
      </c>
      <c r="G153" s="20" t="s">
        <v>1</v>
      </c>
      <c r="H153" s="18" t="s">
        <v>1</v>
      </c>
      <c r="I153" s="20" t="s">
        <v>1</v>
      </c>
      <c r="J153" s="18" t="s">
        <v>1</v>
      </c>
      <c r="K153" s="20" t="s">
        <v>1</v>
      </c>
      <c r="L153" s="18" t="s">
        <v>1</v>
      </c>
      <c r="M153" s="20" t="s">
        <v>1</v>
      </c>
      <c r="N153" s="46" t="s">
        <v>82</v>
      </c>
      <c r="O153" s="25" t="str">
        <f t="shared" si="5"/>
        <v>"B.134 é bairro de Rio de Janeiro"</v>
      </c>
      <c r="P153" s="46" t="s">
        <v>1</v>
      </c>
      <c r="Q153" s="25" t="s">
        <v>1</v>
      </c>
      <c r="R153" s="46" t="s">
        <v>1</v>
      </c>
      <c r="S153" s="52" t="s">
        <v>1</v>
      </c>
      <c r="T153" s="46" t="s">
        <v>1</v>
      </c>
      <c r="U153" s="31" t="s">
        <v>1</v>
      </c>
      <c r="V153" s="46" t="s">
        <v>1</v>
      </c>
      <c r="W153" s="31" t="s">
        <v>1</v>
      </c>
      <c r="X153" s="46" t="s">
        <v>1</v>
      </c>
      <c r="Y153" s="31" t="s">
        <v>1</v>
      </c>
      <c r="Z153" s="46" t="s">
        <v>1</v>
      </c>
      <c r="AA153" s="31" t="s">
        <v>1</v>
      </c>
      <c r="AB153" s="46" t="s">
        <v>1</v>
      </c>
      <c r="AC153" s="47" t="s">
        <v>1</v>
      </c>
      <c r="AD153" s="36" t="s">
        <v>1</v>
      </c>
      <c r="AE153" s="51" t="s">
        <v>1</v>
      </c>
      <c r="AF153" s="36" t="s">
        <v>1</v>
      </c>
      <c r="AG153" s="51" t="s">
        <v>1</v>
      </c>
      <c r="AH153" s="36" t="s">
        <v>1</v>
      </c>
      <c r="AI153" s="51" t="s">
        <v>1</v>
      </c>
      <c r="AJ153" s="36" t="s">
        <v>1</v>
      </c>
      <c r="AK153" s="51" t="s">
        <v>1</v>
      </c>
      <c r="AL153" s="36" t="s">
        <v>1</v>
      </c>
      <c r="AM153" s="31" t="s">
        <v>1</v>
      </c>
      <c r="AN153" s="36" t="s">
        <v>1</v>
      </c>
      <c r="AO153" s="31" t="s">
        <v>1</v>
      </c>
      <c r="AP153" s="36" t="s">
        <v>1</v>
      </c>
      <c r="AQ153" s="51" t="s">
        <v>1</v>
      </c>
      <c r="AR153" s="36" t="s">
        <v>1</v>
      </c>
      <c r="AS153" s="47" t="s">
        <v>1</v>
      </c>
      <c r="AT153" s="36" t="s">
        <v>1</v>
      </c>
      <c r="AU153" s="47" t="s">
        <v>1</v>
      </c>
      <c r="AV153" s="36" t="s">
        <v>1</v>
      </c>
      <c r="AW153" s="47" t="s">
        <v>1</v>
      </c>
      <c r="AX153" s="36" t="s">
        <v>2065</v>
      </c>
      <c r="AY153" s="47" t="s">
        <v>2193</v>
      </c>
      <c r="AZ153" s="36" t="s">
        <v>1299</v>
      </c>
      <c r="BA153" s="47" t="s">
        <v>2193</v>
      </c>
      <c r="BB153" s="36" t="s">
        <v>2188</v>
      </c>
      <c r="BC153" s="47" t="s">
        <v>819</v>
      </c>
      <c r="BD153" s="36" t="s">
        <v>2189</v>
      </c>
      <c r="BE153" s="47" t="str">
        <f t="shared" si="3"/>
        <v>"Bairro"</v>
      </c>
    </row>
    <row r="154" spans="1:57" ht="6.65" customHeight="1" x14ac:dyDescent="0.4">
      <c r="A154" s="93">
        <v>121</v>
      </c>
      <c r="B154" s="74" t="s">
        <v>941</v>
      </c>
      <c r="C154" s="44" t="s">
        <v>664</v>
      </c>
      <c r="D154" s="18" t="s">
        <v>744</v>
      </c>
      <c r="E154" s="48" t="s">
        <v>753</v>
      </c>
      <c r="F154" s="18" t="s">
        <v>1</v>
      </c>
      <c r="G154" s="20" t="s">
        <v>1</v>
      </c>
      <c r="H154" s="18" t="s">
        <v>1</v>
      </c>
      <c r="I154" s="20" t="s">
        <v>1</v>
      </c>
      <c r="J154" s="18" t="s">
        <v>1</v>
      </c>
      <c r="K154" s="20" t="s">
        <v>1</v>
      </c>
      <c r="L154" s="18" t="s">
        <v>1</v>
      </c>
      <c r="M154" s="20" t="s">
        <v>1</v>
      </c>
      <c r="N154" s="46" t="s">
        <v>82</v>
      </c>
      <c r="O154" s="25" t="str">
        <f t="shared" si="5"/>
        <v>"B.068 é bairro de Rio de Janeiro"</v>
      </c>
      <c r="P154" s="46" t="s">
        <v>1</v>
      </c>
      <c r="Q154" s="25" t="s">
        <v>1</v>
      </c>
      <c r="R154" s="46" t="s">
        <v>1</v>
      </c>
      <c r="S154" s="52" t="s">
        <v>1</v>
      </c>
      <c r="T154" s="46" t="s">
        <v>1</v>
      </c>
      <c r="U154" s="31" t="s">
        <v>1</v>
      </c>
      <c r="V154" s="46" t="s">
        <v>1</v>
      </c>
      <c r="W154" s="31" t="s">
        <v>1</v>
      </c>
      <c r="X154" s="46" t="s">
        <v>1</v>
      </c>
      <c r="Y154" s="31" t="s">
        <v>1</v>
      </c>
      <c r="Z154" s="46" t="s">
        <v>1</v>
      </c>
      <c r="AA154" s="31" t="s">
        <v>1</v>
      </c>
      <c r="AB154" s="46" t="s">
        <v>1</v>
      </c>
      <c r="AC154" s="47" t="s">
        <v>1</v>
      </c>
      <c r="AD154" s="36" t="s">
        <v>1</v>
      </c>
      <c r="AE154" s="51" t="s">
        <v>1</v>
      </c>
      <c r="AF154" s="36" t="s">
        <v>1</v>
      </c>
      <c r="AG154" s="51" t="s">
        <v>1</v>
      </c>
      <c r="AH154" s="36" t="s">
        <v>1</v>
      </c>
      <c r="AI154" s="51" t="s">
        <v>1</v>
      </c>
      <c r="AJ154" s="36" t="s">
        <v>1</v>
      </c>
      <c r="AK154" s="51" t="s">
        <v>1</v>
      </c>
      <c r="AL154" s="36" t="s">
        <v>1</v>
      </c>
      <c r="AM154" s="31" t="s">
        <v>1</v>
      </c>
      <c r="AN154" s="36" t="s">
        <v>1</v>
      </c>
      <c r="AO154" s="31" t="s">
        <v>1</v>
      </c>
      <c r="AP154" s="36" t="s">
        <v>1</v>
      </c>
      <c r="AQ154" s="51" t="s">
        <v>1</v>
      </c>
      <c r="AR154" s="36" t="s">
        <v>1</v>
      </c>
      <c r="AS154" s="47" t="s">
        <v>1</v>
      </c>
      <c r="AT154" s="36" t="s">
        <v>1</v>
      </c>
      <c r="AU154" s="47" t="s">
        <v>1</v>
      </c>
      <c r="AV154" s="36" t="s">
        <v>1</v>
      </c>
      <c r="AW154" s="47" t="s">
        <v>1</v>
      </c>
      <c r="AX154" s="36" t="s">
        <v>2065</v>
      </c>
      <c r="AY154" s="47" t="s">
        <v>2193</v>
      </c>
      <c r="AZ154" s="36" t="s">
        <v>1299</v>
      </c>
      <c r="BA154" s="47" t="s">
        <v>2193</v>
      </c>
      <c r="BB154" s="36" t="s">
        <v>2188</v>
      </c>
      <c r="BC154" s="47" t="s">
        <v>819</v>
      </c>
      <c r="BD154" s="36" t="s">
        <v>2189</v>
      </c>
      <c r="BE154" s="47" t="str">
        <f t="shared" si="3"/>
        <v>"Bairro"</v>
      </c>
    </row>
    <row r="155" spans="1:57" ht="6.65" customHeight="1" x14ac:dyDescent="0.4">
      <c r="A155" s="93">
        <v>122</v>
      </c>
      <c r="B155" s="74" t="s">
        <v>942</v>
      </c>
      <c r="C155" s="44" t="s">
        <v>664</v>
      </c>
      <c r="D155" s="18" t="s">
        <v>744</v>
      </c>
      <c r="E155" s="48" t="s">
        <v>753</v>
      </c>
      <c r="F155" s="18" t="s">
        <v>1</v>
      </c>
      <c r="G155" s="20" t="s">
        <v>1</v>
      </c>
      <c r="H155" s="18" t="s">
        <v>1</v>
      </c>
      <c r="I155" s="20" t="s">
        <v>1</v>
      </c>
      <c r="J155" s="18" t="s">
        <v>1</v>
      </c>
      <c r="K155" s="20" t="s">
        <v>1</v>
      </c>
      <c r="L155" s="18" t="s">
        <v>1</v>
      </c>
      <c r="M155" s="20" t="s">
        <v>1</v>
      </c>
      <c r="N155" s="46" t="s">
        <v>82</v>
      </c>
      <c r="O155" s="25" t="str">
        <f t="shared" si="5"/>
        <v>"B.081 é bairro de Rio de Janeiro"</v>
      </c>
      <c r="P155" s="46" t="s">
        <v>1</v>
      </c>
      <c r="Q155" s="25" t="s">
        <v>1</v>
      </c>
      <c r="R155" s="46" t="s">
        <v>1</v>
      </c>
      <c r="S155" s="52" t="s">
        <v>1</v>
      </c>
      <c r="T155" s="46" t="s">
        <v>1</v>
      </c>
      <c r="U155" s="31" t="s">
        <v>1</v>
      </c>
      <c r="V155" s="46" t="s">
        <v>1</v>
      </c>
      <c r="W155" s="31" t="s">
        <v>1</v>
      </c>
      <c r="X155" s="46" t="s">
        <v>1</v>
      </c>
      <c r="Y155" s="31" t="s">
        <v>1</v>
      </c>
      <c r="Z155" s="46" t="s">
        <v>1</v>
      </c>
      <c r="AA155" s="31" t="s">
        <v>1</v>
      </c>
      <c r="AB155" s="46" t="s">
        <v>1</v>
      </c>
      <c r="AC155" s="47" t="s">
        <v>1</v>
      </c>
      <c r="AD155" s="36" t="s">
        <v>1</v>
      </c>
      <c r="AE155" s="51" t="s">
        <v>1</v>
      </c>
      <c r="AF155" s="36" t="s">
        <v>1</v>
      </c>
      <c r="AG155" s="51" t="s">
        <v>1</v>
      </c>
      <c r="AH155" s="36" t="s">
        <v>1</v>
      </c>
      <c r="AI155" s="51" t="s">
        <v>1</v>
      </c>
      <c r="AJ155" s="36" t="s">
        <v>1</v>
      </c>
      <c r="AK155" s="51" t="s">
        <v>1</v>
      </c>
      <c r="AL155" s="36" t="s">
        <v>1</v>
      </c>
      <c r="AM155" s="31" t="s">
        <v>1</v>
      </c>
      <c r="AN155" s="36" t="s">
        <v>1</v>
      </c>
      <c r="AO155" s="31" t="s">
        <v>1</v>
      </c>
      <c r="AP155" s="36" t="s">
        <v>1</v>
      </c>
      <c r="AQ155" s="51" t="s">
        <v>1</v>
      </c>
      <c r="AR155" s="36" t="s">
        <v>1</v>
      </c>
      <c r="AS155" s="47" t="s">
        <v>1</v>
      </c>
      <c r="AT155" s="36" t="s">
        <v>1</v>
      </c>
      <c r="AU155" s="47" t="s">
        <v>1</v>
      </c>
      <c r="AV155" s="36" t="s">
        <v>1</v>
      </c>
      <c r="AW155" s="47" t="s">
        <v>1</v>
      </c>
      <c r="AX155" s="36" t="s">
        <v>2065</v>
      </c>
      <c r="AY155" s="47" t="s">
        <v>2193</v>
      </c>
      <c r="AZ155" s="36" t="s">
        <v>1299</v>
      </c>
      <c r="BA155" s="47" t="s">
        <v>2193</v>
      </c>
      <c r="BB155" s="36" t="s">
        <v>2188</v>
      </c>
      <c r="BC155" s="47" t="s">
        <v>819</v>
      </c>
      <c r="BD155" s="36" t="s">
        <v>2189</v>
      </c>
      <c r="BE155" s="47" t="str">
        <f t="shared" si="3"/>
        <v>"Bairro"</v>
      </c>
    </row>
    <row r="156" spans="1:57" ht="6.65" customHeight="1" x14ac:dyDescent="0.4">
      <c r="A156" s="93">
        <v>123</v>
      </c>
      <c r="B156" s="74" t="s">
        <v>943</v>
      </c>
      <c r="C156" s="44" t="s">
        <v>664</v>
      </c>
      <c r="D156" s="18" t="s">
        <v>744</v>
      </c>
      <c r="E156" s="48" t="s">
        <v>753</v>
      </c>
      <c r="F156" s="18" t="s">
        <v>1</v>
      </c>
      <c r="G156" s="20" t="s">
        <v>1</v>
      </c>
      <c r="H156" s="18" t="s">
        <v>1</v>
      </c>
      <c r="I156" s="20" t="s">
        <v>1</v>
      </c>
      <c r="J156" s="18" t="s">
        <v>1</v>
      </c>
      <c r="K156" s="20" t="s">
        <v>1</v>
      </c>
      <c r="L156" s="18" t="s">
        <v>1</v>
      </c>
      <c r="M156" s="20" t="s">
        <v>1</v>
      </c>
      <c r="N156" s="46" t="s">
        <v>82</v>
      </c>
      <c r="O156" s="25" t="str">
        <f t="shared" si="5"/>
        <v>"B.055 é bairro de Rio de Janeiro"</v>
      </c>
      <c r="P156" s="46" t="s">
        <v>1</v>
      </c>
      <c r="Q156" s="25" t="s">
        <v>1</v>
      </c>
      <c r="R156" s="46" t="s">
        <v>1</v>
      </c>
      <c r="S156" s="52" t="s">
        <v>1</v>
      </c>
      <c r="T156" s="46" t="s">
        <v>1</v>
      </c>
      <c r="U156" s="31" t="s">
        <v>1</v>
      </c>
      <c r="V156" s="46" t="s">
        <v>1</v>
      </c>
      <c r="W156" s="31" t="s">
        <v>1</v>
      </c>
      <c r="X156" s="46" t="s">
        <v>1</v>
      </c>
      <c r="Y156" s="31" t="s">
        <v>1</v>
      </c>
      <c r="Z156" s="46" t="s">
        <v>1</v>
      </c>
      <c r="AA156" s="31" t="s">
        <v>1</v>
      </c>
      <c r="AB156" s="46" t="s">
        <v>1</v>
      </c>
      <c r="AC156" s="47" t="s">
        <v>1</v>
      </c>
      <c r="AD156" s="36" t="s">
        <v>1</v>
      </c>
      <c r="AE156" s="51" t="s">
        <v>1</v>
      </c>
      <c r="AF156" s="36" t="s">
        <v>1</v>
      </c>
      <c r="AG156" s="51" t="s">
        <v>1</v>
      </c>
      <c r="AH156" s="36" t="s">
        <v>1</v>
      </c>
      <c r="AI156" s="51" t="s">
        <v>1</v>
      </c>
      <c r="AJ156" s="36" t="s">
        <v>1</v>
      </c>
      <c r="AK156" s="51" t="s">
        <v>1</v>
      </c>
      <c r="AL156" s="36" t="s">
        <v>1</v>
      </c>
      <c r="AM156" s="31" t="s">
        <v>1</v>
      </c>
      <c r="AN156" s="36" t="s">
        <v>1</v>
      </c>
      <c r="AO156" s="31" t="s">
        <v>1</v>
      </c>
      <c r="AP156" s="36" t="s">
        <v>1</v>
      </c>
      <c r="AQ156" s="51" t="s">
        <v>1</v>
      </c>
      <c r="AR156" s="36" t="s">
        <v>1</v>
      </c>
      <c r="AS156" s="47" t="s">
        <v>1</v>
      </c>
      <c r="AT156" s="36" t="s">
        <v>1</v>
      </c>
      <c r="AU156" s="47" t="s">
        <v>1</v>
      </c>
      <c r="AV156" s="36" t="s">
        <v>1</v>
      </c>
      <c r="AW156" s="47" t="s">
        <v>1</v>
      </c>
      <c r="AX156" s="36" t="s">
        <v>2065</v>
      </c>
      <c r="AY156" s="47" t="s">
        <v>2193</v>
      </c>
      <c r="AZ156" s="36" t="s">
        <v>1299</v>
      </c>
      <c r="BA156" s="47" t="s">
        <v>2193</v>
      </c>
      <c r="BB156" s="36" t="s">
        <v>2188</v>
      </c>
      <c r="BC156" s="47" t="s">
        <v>819</v>
      </c>
      <c r="BD156" s="36" t="s">
        <v>2189</v>
      </c>
      <c r="BE156" s="47" t="str">
        <f t="shared" si="3"/>
        <v>"Bairro"</v>
      </c>
    </row>
    <row r="157" spans="1:57" ht="6.65" customHeight="1" x14ac:dyDescent="0.4">
      <c r="A157" s="93">
        <v>124</v>
      </c>
      <c r="B157" s="74" t="s">
        <v>944</v>
      </c>
      <c r="C157" s="44" t="s">
        <v>664</v>
      </c>
      <c r="D157" s="18" t="s">
        <v>744</v>
      </c>
      <c r="E157" s="48" t="s">
        <v>753</v>
      </c>
      <c r="F157" s="18" t="s">
        <v>1</v>
      </c>
      <c r="G157" s="20" t="s">
        <v>1</v>
      </c>
      <c r="H157" s="18" t="s">
        <v>1</v>
      </c>
      <c r="I157" s="20" t="s">
        <v>1</v>
      </c>
      <c r="J157" s="18" t="s">
        <v>1</v>
      </c>
      <c r="K157" s="20" t="s">
        <v>1</v>
      </c>
      <c r="L157" s="18" t="s">
        <v>1</v>
      </c>
      <c r="M157" s="20" t="s">
        <v>1</v>
      </c>
      <c r="N157" s="46" t="s">
        <v>82</v>
      </c>
      <c r="O157" s="25" t="str">
        <f t="shared" si="5"/>
        <v>"B.066 é bairro de Rio de Janeiro"</v>
      </c>
      <c r="P157" s="46" t="s">
        <v>1</v>
      </c>
      <c r="Q157" s="25" t="s">
        <v>1</v>
      </c>
      <c r="R157" s="46" t="s">
        <v>1</v>
      </c>
      <c r="S157" s="52" t="s">
        <v>1</v>
      </c>
      <c r="T157" s="46" t="s">
        <v>1</v>
      </c>
      <c r="U157" s="31" t="s">
        <v>1</v>
      </c>
      <c r="V157" s="46" t="s">
        <v>1</v>
      </c>
      <c r="W157" s="31" t="s">
        <v>1</v>
      </c>
      <c r="X157" s="46" t="s">
        <v>1</v>
      </c>
      <c r="Y157" s="31" t="s">
        <v>1</v>
      </c>
      <c r="Z157" s="46" t="s">
        <v>1</v>
      </c>
      <c r="AA157" s="31" t="s">
        <v>1</v>
      </c>
      <c r="AB157" s="46" t="s">
        <v>1</v>
      </c>
      <c r="AC157" s="47" t="s">
        <v>1</v>
      </c>
      <c r="AD157" s="36" t="s">
        <v>1</v>
      </c>
      <c r="AE157" s="51" t="s">
        <v>1</v>
      </c>
      <c r="AF157" s="36" t="s">
        <v>1</v>
      </c>
      <c r="AG157" s="51" t="s">
        <v>1</v>
      </c>
      <c r="AH157" s="36" t="s">
        <v>1</v>
      </c>
      <c r="AI157" s="51" t="s">
        <v>1</v>
      </c>
      <c r="AJ157" s="36" t="s">
        <v>1</v>
      </c>
      <c r="AK157" s="51" t="s">
        <v>1</v>
      </c>
      <c r="AL157" s="36" t="s">
        <v>1</v>
      </c>
      <c r="AM157" s="31" t="s">
        <v>1</v>
      </c>
      <c r="AN157" s="36" t="s">
        <v>1</v>
      </c>
      <c r="AO157" s="31" t="s">
        <v>1</v>
      </c>
      <c r="AP157" s="36" t="s">
        <v>1</v>
      </c>
      <c r="AQ157" s="51" t="s">
        <v>1</v>
      </c>
      <c r="AR157" s="36" t="s">
        <v>1</v>
      </c>
      <c r="AS157" s="47" t="s">
        <v>1</v>
      </c>
      <c r="AT157" s="36" t="s">
        <v>1</v>
      </c>
      <c r="AU157" s="47" t="s">
        <v>1</v>
      </c>
      <c r="AV157" s="36" t="s">
        <v>1</v>
      </c>
      <c r="AW157" s="47" t="s">
        <v>1</v>
      </c>
      <c r="AX157" s="36" t="s">
        <v>2065</v>
      </c>
      <c r="AY157" s="47" t="s">
        <v>2193</v>
      </c>
      <c r="AZ157" s="36" t="s">
        <v>1299</v>
      </c>
      <c r="BA157" s="47" t="s">
        <v>2193</v>
      </c>
      <c r="BB157" s="36" t="s">
        <v>2188</v>
      </c>
      <c r="BC157" s="47" t="s">
        <v>819</v>
      </c>
      <c r="BD157" s="36" t="s">
        <v>2189</v>
      </c>
      <c r="BE157" s="47" t="str">
        <f t="shared" si="3"/>
        <v>"Bairro"</v>
      </c>
    </row>
    <row r="158" spans="1:57" ht="6.65" customHeight="1" x14ac:dyDescent="0.4">
      <c r="A158" s="93">
        <v>125</v>
      </c>
      <c r="B158" s="74" t="s">
        <v>945</v>
      </c>
      <c r="C158" s="44" t="s">
        <v>664</v>
      </c>
      <c r="D158" s="18" t="s">
        <v>744</v>
      </c>
      <c r="E158" s="48" t="s">
        <v>753</v>
      </c>
      <c r="F158" s="18" t="s">
        <v>1</v>
      </c>
      <c r="G158" s="20" t="s">
        <v>1</v>
      </c>
      <c r="H158" s="18" t="s">
        <v>1</v>
      </c>
      <c r="I158" s="20" t="s">
        <v>1</v>
      </c>
      <c r="J158" s="18" t="s">
        <v>1</v>
      </c>
      <c r="K158" s="20" t="s">
        <v>1</v>
      </c>
      <c r="L158" s="18" t="s">
        <v>1</v>
      </c>
      <c r="M158" s="20" t="s">
        <v>1</v>
      </c>
      <c r="N158" s="46" t="s">
        <v>82</v>
      </c>
      <c r="O158" s="25" t="str">
        <f t="shared" si="5"/>
        <v>"B.061 é bairro de Rio de Janeiro"</v>
      </c>
      <c r="P158" s="46" t="s">
        <v>1</v>
      </c>
      <c r="Q158" s="25" t="s">
        <v>1</v>
      </c>
      <c r="R158" s="46" t="s">
        <v>1</v>
      </c>
      <c r="S158" s="52" t="s">
        <v>1</v>
      </c>
      <c r="T158" s="46" t="s">
        <v>1</v>
      </c>
      <c r="U158" s="31" t="s">
        <v>1</v>
      </c>
      <c r="V158" s="46" t="s">
        <v>1</v>
      </c>
      <c r="W158" s="31" t="s">
        <v>1</v>
      </c>
      <c r="X158" s="46" t="s">
        <v>1</v>
      </c>
      <c r="Y158" s="31" t="s">
        <v>1</v>
      </c>
      <c r="Z158" s="46" t="s">
        <v>1</v>
      </c>
      <c r="AA158" s="31" t="s">
        <v>1</v>
      </c>
      <c r="AB158" s="46" t="s">
        <v>1</v>
      </c>
      <c r="AC158" s="47" t="s">
        <v>1</v>
      </c>
      <c r="AD158" s="36" t="s">
        <v>1</v>
      </c>
      <c r="AE158" s="51" t="s">
        <v>1</v>
      </c>
      <c r="AF158" s="36" t="s">
        <v>1</v>
      </c>
      <c r="AG158" s="51" t="s">
        <v>1</v>
      </c>
      <c r="AH158" s="36" t="s">
        <v>1</v>
      </c>
      <c r="AI158" s="51" t="s">
        <v>1</v>
      </c>
      <c r="AJ158" s="36" t="s">
        <v>1</v>
      </c>
      <c r="AK158" s="51" t="s">
        <v>1</v>
      </c>
      <c r="AL158" s="36" t="s">
        <v>1</v>
      </c>
      <c r="AM158" s="31" t="s">
        <v>1</v>
      </c>
      <c r="AN158" s="36" t="s">
        <v>1</v>
      </c>
      <c r="AO158" s="31" t="s">
        <v>1</v>
      </c>
      <c r="AP158" s="36" t="s">
        <v>1</v>
      </c>
      <c r="AQ158" s="51" t="s">
        <v>1</v>
      </c>
      <c r="AR158" s="36" t="s">
        <v>1</v>
      </c>
      <c r="AS158" s="47" t="s">
        <v>1</v>
      </c>
      <c r="AT158" s="36" t="s">
        <v>1</v>
      </c>
      <c r="AU158" s="47" t="s">
        <v>1</v>
      </c>
      <c r="AV158" s="36" t="s">
        <v>1</v>
      </c>
      <c r="AW158" s="47" t="s">
        <v>1</v>
      </c>
      <c r="AX158" s="36" t="s">
        <v>2065</v>
      </c>
      <c r="AY158" s="47" t="s">
        <v>2193</v>
      </c>
      <c r="AZ158" s="36" t="s">
        <v>1299</v>
      </c>
      <c r="BA158" s="47" t="s">
        <v>2193</v>
      </c>
      <c r="BB158" s="36" t="s">
        <v>2188</v>
      </c>
      <c r="BC158" s="47" t="s">
        <v>819</v>
      </c>
      <c r="BD158" s="36" t="s">
        <v>2189</v>
      </c>
      <c r="BE158" s="47" t="str">
        <f t="shared" si="3"/>
        <v>"Bairro"</v>
      </c>
    </row>
    <row r="159" spans="1:57" ht="6.65" customHeight="1" x14ac:dyDescent="0.4">
      <c r="A159" s="93">
        <v>126</v>
      </c>
      <c r="B159" s="74" t="s">
        <v>946</v>
      </c>
      <c r="C159" s="44" t="s">
        <v>664</v>
      </c>
      <c r="D159" s="18" t="s">
        <v>744</v>
      </c>
      <c r="E159" s="48" t="s">
        <v>753</v>
      </c>
      <c r="F159" s="18" t="s">
        <v>1</v>
      </c>
      <c r="G159" s="20" t="s">
        <v>1</v>
      </c>
      <c r="H159" s="18" t="s">
        <v>1</v>
      </c>
      <c r="I159" s="20" t="s">
        <v>1</v>
      </c>
      <c r="J159" s="18" t="s">
        <v>1</v>
      </c>
      <c r="K159" s="20" t="s">
        <v>1</v>
      </c>
      <c r="L159" s="18" t="s">
        <v>1</v>
      </c>
      <c r="M159" s="20" t="s">
        <v>1</v>
      </c>
      <c r="N159" s="46" t="s">
        <v>82</v>
      </c>
      <c r="O159" s="25" t="str">
        <f t="shared" si="5"/>
        <v>"B.009 é bairro de Rio de Janeiro"</v>
      </c>
      <c r="P159" s="46" t="s">
        <v>1</v>
      </c>
      <c r="Q159" s="25" t="s">
        <v>1</v>
      </c>
      <c r="R159" s="46" t="s">
        <v>1</v>
      </c>
      <c r="S159" s="52" t="s">
        <v>1</v>
      </c>
      <c r="T159" s="46" t="s">
        <v>1</v>
      </c>
      <c r="U159" s="31" t="s">
        <v>1</v>
      </c>
      <c r="V159" s="46" t="s">
        <v>1</v>
      </c>
      <c r="W159" s="31" t="s">
        <v>1</v>
      </c>
      <c r="X159" s="46" t="s">
        <v>1</v>
      </c>
      <c r="Y159" s="31" t="s">
        <v>1</v>
      </c>
      <c r="Z159" s="46" t="s">
        <v>1</v>
      </c>
      <c r="AA159" s="31" t="s">
        <v>1</v>
      </c>
      <c r="AB159" s="46" t="s">
        <v>1</v>
      </c>
      <c r="AC159" s="47" t="s">
        <v>1</v>
      </c>
      <c r="AD159" s="36" t="s">
        <v>1</v>
      </c>
      <c r="AE159" s="51" t="s">
        <v>1</v>
      </c>
      <c r="AF159" s="36" t="s">
        <v>1</v>
      </c>
      <c r="AG159" s="51" t="s">
        <v>1</v>
      </c>
      <c r="AH159" s="36" t="s">
        <v>1</v>
      </c>
      <c r="AI159" s="51" t="s">
        <v>1</v>
      </c>
      <c r="AJ159" s="36" t="s">
        <v>1</v>
      </c>
      <c r="AK159" s="51" t="s">
        <v>1</v>
      </c>
      <c r="AL159" s="36" t="s">
        <v>1</v>
      </c>
      <c r="AM159" s="31" t="s">
        <v>1</v>
      </c>
      <c r="AN159" s="36" t="s">
        <v>1</v>
      </c>
      <c r="AO159" s="31" t="s">
        <v>1</v>
      </c>
      <c r="AP159" s="36" t="s">
        <v>1</v>
      </c>
      <c r="AQ159" s="51" t="s">
        <v>1</v>
      </c>
      <c r="AR159" s="36" t="s">
        <v>1</v>
      </c>
      <c r="AS159" s="47" t="s">
        <v>1</v>
      </c>
      <c r="AT159" s="36" t="s">
        <v>1</v>
      </c>
      <c r="AU159" s="47" t="s">
        <v>1</v>
      </c>
      <c r="AV159" s="36" t="s">
        <v>1</v>
      </c>
      <c r="AW159" s="47" t="s">
        <v>1</v>
      </c>
      <c r="AX159" s="36" t="s">
        <v>2065</v>
      </c>
      <c r="AY159" s="47" t="s">
        <v>2193</v>
      </c>
      <c r="AZ159" s="36" t="s">
        <v>1299</v>
      </c>
      <c r="BA159" s="47" t="s">
        <v>2193</v>
      </c>
      <c r="BB159" s="36" t="s">
        <v>2188</v>
      </c>
      <c r="BC159" s="47" t="s">
        <v>819</v>
      </c>
      <c r="BD159" s="36" t="s">
        <v>2189</v>
      </c>
      <c r="BE159" s="47" t="str">
        <f t="shared" si="3"/>
        <v>"Bairro"</v>
      </c>
    </row>
    <row r="160" spans="1:57" ht="6.65" customHeight="1" x14ac:dyDescent="0.4">
      <c r="A160" s="93">
        <v>127</v>
      </c>
      <c r="B160" s="74" t="s">
        <v>947</v>
      </c>
      <c r="C160" s="44" t="s">
        <v>664</v>
      </c>
      <c r="D160" s="18" t="s">
        <v>744</v>
      </c>
      <c r="E160" s="48" t="s">
        <v>753</v>
      </c>
      <c r="F160" s="18" t="s">
        <v>1</v>
      </c>
      <c r="G160" s="20" t="s">
        <v>1</v>
      </c>
      <c r="H160" s="18" t="s">
        <v>1</v>
      </c>
      <c r="I160" s="20" t="s">
        <v>1</v>
      </c>
      <c r="J160" s="18" t="s">
        <v>1</v>
      </c>
      <c r="K160" s="20" t="s">
        <v>1</v>
      </c>
      <c r="L160" s="18" t="s">
        <v>1</v>
      </c>
      <c r="M160" s="20" t="s">
        <v>1</v>
      </c>
      <c r="N160" s="46" t="s">
        <v>82</v>
      </c>
      <c r="O160" s="25" t="str">
        <f t="shared" si="5"/>
        <v>"B.015 é bairro de Rio de Janeiro"</v>
      </c>
      <c r="P160" s="46" t="s">
        <v>1</v>
      </c>
      <c r="Q160" s="25" t="s">
        <v>1</v>
      </c>
      <c r="R160" s="46" t="s">
        <v>1</v>
      </c>
      <c r="S160" s="52" t="s">
        <v>1</v>
      </c>
      <c r="T160" s="46" t="s">
        <v>1</v>
      </c>
      <c r="U160" s="31" t="s">
        <v>1</v>
      </c>
      <c r="V160" s="46" t="s">
        <v>1</v>
      </c>
      <c r="W160" s="31" t="s">
        <v>1</v>
      </c>
      <c r="X160" s="46" t="s">
        <v>1</v>
      </c>
      <c r="Y160" s="31" t="s">
        <v>1</v>
      </c>
      <c r="Z160" s="46" t="s">
        <v>1</v>
      </c>
      <c r="AA160" s="31" t="s">
        <v>1</v>
      </c>
      <c r="AB160" s="46" t="s">
        <v>1</v>
      </c>
      <c r="AC160" s="47" t="s">
        <v>1</v>
      </c>
      <c r="AD160" s="36" t="s">
        <v>1</v>
      </c>
      <c r="AE160" s="51" t="s">
        <v>1</v>
      </c>
      <c r="AF160" s="36" t="s">
        <v>1</v>
      </c>
      <c r="AG160" s="51" t="s">
        <v>1</v>
      </c>
      <c r="AH160" s="36" t="s">
        <v>1</v>
      </c>
      <c r="AI160" s="51" t="s">
        <v>1</v>
      </c>
      <c r="AJ160" s="36" t="s">
        <v>1</v>
      </c>
      <c r="AK160" s="51" t="s">
        <v>1</v>
      </c>
      <c r="AL160" s="36" t="s">
        <v>1</v>
      </c>
      <c r="AM160" s="31" t="s">
        <v>1</v>
      </c>
      <c r="AN160" s="36" t="s">
        <v>1</v>
      </c>
      <c r="AO160" s="31" t="s">
        <v>1</v>
      </c>
      <c r="AP160" s="36" t="s">
        <v>1</v>
      </c>
      <c r="AQ160" s="51" t="s">
        <v>1</v>
      </c>
      <c r="AR160" s="36" t="s">
        <v>1</v>
      </c>
      <c r="AS160" s="47" t="s">
        <v>1</v>
      </c>
      <c r="AT160" s="36" t="s">
        <v>1</v>
      </c>
      <c r="AU160" s="47" t="s">
        <v>1</v>
      </c>
      <c r="AV160" s="36" t="s">
        <v>1</v>
      </c>
      <c r="AW160" s="47" t="s">
        <v>1</v>
      </c>
      <c r="AX160" s="36" t="s">
        <v>2065</v>
      </c>
      <c r="AY160" s="47" t="s">
        <v>2193</v>
      </c>
      <c r="AZ160" s="36" t="s">
        <v>1299</v>
      </c>
      <c r="BA160" s="47" t="s">
        <v>2193</v>
      </c>
      <c r="BB160" s="36" t="s">
        <v>2188</v>
      </c>
      <c r="BC160" s="47" t="s">
        <v>819</v>
      </c>
      <c r="BD160" s="36" t="s">
        <v>2189</v>
      </c>
      <c r="BE160" s="47" t="str">
        <f t="shared" si="3"/>
        <v>"Bairro"</v>
      </c>
    </row>
    <row r="161" spans="1:57" ht="6.65" customHeight="1" x14ac:dyDescent="0.4">
      <c r="A161" s="93">
        <v>128</v>
      </c>
      <c r="B161" s="74" t="s">
        <v>948</v>
      </c>
      <c r="C161" s="44" t="s">
        <v>664</v>
      </c>
      <c r="D161" s="18" t="s">
        <v>744</v>
      </c>
      <c r="E161" s="48" t="s">
        <v>753</v>
      </c>
      <c r="F161" s="18" t="s">
        <v>1</v>
      </c>
      <c r="G161" s="20" t="s">
        <v>1</v>
      </c>
      <c r="H161" s="18" t="s">
        <v>1</v>
      </c>
      <c r="I161" s="20" t="s">
        <v>1</v>
      </c>
      <c r="J161" s="18" t="s">
        <v>1</v>
      </c>
      <c r="K161" s="20" t="s">
        <v>1</v>
      </c>
      <c r="L161" s="18" t="s">
        <v>1</v>
      </c>
      <c r="M161" s="20" t="s">
        <v>1</v>
      </c>
      <c r="N161" s="46" t="s">
        <v>82</v>
      </c>
      <c r="O161" s="25" t="str">
        <f t="shared" si="5"/>
        <v>"B.098 é bairro de Rio de Janeiro"</v>
      </c>
      <c r="P161" s="46" t="s">
        <v>1</v>
      </c>
      <c r="Q161" s="25" t="s">
        <v>1</v>
      </c>
      <c r="R161" s="46" t="s">
        <v>1</v>
      </c>
      <c r="S161" s="52" t="s">
        <v>1</v>
      </c>
      <c r="T161" s="46" t="s">
        <v>1</v>
      </c>
      <c r="U161" s="31" t="s">
        <v>1</v>
      </c>
      <c r="V161" s="46" t="s">
        <v>1</v>
      </c>
      <c r="W161" s="31" t="s">
        <v>1</v>
      </c>
      <c r="X161" s="46" t="s">
        <v>1</v>
      </c>
      <c r="Y161" s="31" t="s">
        <v>1</v>
      </c>
      <c r="Z161" s="46" t="s">
        <v>1</v>
      </c>
      <c r="AA161" s="31" t="s">
        <v>1</v>
      </c>
      <c r="AB161" s="46" t="s">
        <v>1</v>
      </c>
      <c r="AC161" s="47" t="s">
        <v>1</v>
      </c>
      <c r="AD161" s="36" t="s">
        <v>1</v>
      </c>
      <c r="AE161" s="51" t="s">
        <v>1</v>
      </c>
      <c r="AF161" s="36" t="s">
        <v>1</v>
      </c>
      <c r="AG161" s="51" t="s">
        <v>1</v>
      </c>
      <c r="AH161" s="36" t="s">
        <v>1</v>
      </c>
      <c r="AI161" s="51" t="s">
        <v>1</v>
      </c>
      <c r="AJ161" s="36" t="s">
        <v>1</v>
      </c>
      <c r="AK161" s="51" t="s">
        <v>1</v>
      </c>
      <c r="AL161" s="36" t="s">
        <v>1</v>
      </c>
      <c r="AM161" s="31" t="s">
        <v>1</v>
      </c>
      <c r="AN161" s="36" t="s">
        <v>1</v>
      </c>
      <c r="AO161" s="31" t="s">
        <v>1</v>
      </c>
      <c r="AP161" s="36" t="s">
        <v>1</v>
      </c>
      <c r="AQ161" s="51" t="s">
        <v>1</v>
      </c>
      <c r="AR161" s="36" t="s">
        <v>1</v>
      </c>
      <c r="AS161" s="47" t="s">
        <v>1</v>
      </c>
      <c r="AT161" s="36" t="s">
        <v>1</v>
      </c>
      <c r="AU161" s="47" t="s">
        <v>1</v>
      </c>
      <c r="AV161" s="36" t="s">
        <v>1</v>
      </c>
      <c r="AW161" s="47" t="s">
        <v>1</v>
      </c>
      <c r="AX161" s="36" t="s">
        <v>2065</v>
      </c>
      <c r="AY161" s="47" t="s">
        <v>2193</v>
      </c>
      <c r="AZ161" s="36" t="s">
        <v>1299</v>
      </c>
      <c r="BA161" s="47" t="s">
        <v>2193</v>
      </c>
      <c r="BB161" s="36" t="s">
        <v>2188</v>
      </c>
      <c r="BC161" s="47" t="s">
        <v>819</v>
      </c>
      <c r="BD161" s="36" t="s">
        <v>2189</v>
      </c>
      <c r="BE161" s="47" t="str">
        <f t="shared" si="3"/>
        <v>"Bairro"</v>
      </c>
    </row>
    <row r="162" spans="1:57" ht="6.65" customHeight="1" x14ac:dyDescent="0.4">
      <c r="A162" s="93">
        <v>129</v>
      </c>
      <c r="B162" s="74" t="s">
        <v>949</v>
      </c>
      <c r="C162" s="44" t="s">
        <v>664</v>
      </c>
      <c r="D162" s="18" t="s">
        <v>744</v>
      </c>
      <c r="E162" s="48" t="s">
        <v>753</v>
      </c>
      <c r="F162" s="18" t="s">
        <v>1</v>
      </c>
      <c r="G162" s="20" t="s">
        <v>1</v>
      </c>
      <c r="H162" s="18" t="s">
        <v>1</v>
      </c>
      <c r="I162" s="20" t="s">
        <v>1</v>
      </c>
      <c r="J162" s="18" t="s">
        <v>1</v>
      </c>
      <c r="K162" s="20" t="s">
        <v>1</v>
      </c>
      <c r="L162" s="18" t="s">
        <v>1</v>
      </c>
      <c r="M162" s="20" t="s">
        <v>1</v>
      </c>
      <c r="N162" s="46" t="s">
        <v>82</v>
      </c>
      <c r="O162" s="25" t="str">
        <f t="shared" si="5"/>
        <v>"B.120 é bairro de Rio de Janeiro"</v>
      </c>
      <c r="P162" s="46" t="s">
        <v>1</v>
      </c>
      <c r="Q162" s="25" t="s">
        <v>1</v>
      </c>
      <c r="R162" s="46" t="s">
        <v>1</v>
      </c>
      <c r="S162" s="52" t="s">
        <v>1</v>
      </c>
      <c r="T162" s="46" t="s">
        <v>1</v>
      </c>
      <c r="U162" s="31" t="s">
        <v>1</v>
      </c>
      <c r="V162" s="46" t="s">
        <v>1</v>
      </c>
      <c r="W162" s="31" t="s">
        <v>1</v>
      </c>
      <c r="X162" s="46" t="s">
        <v>1</v>
      </c>
      <c r="Y162" s="31" t="s">
        <v>1</v>
      </c>
      <c r="Z162" s="46" t="s">
        <v>1</v>
      </c>
      <c r="AA162" s="31" t="s">
        <v>1</v>
      </c>
      <c r="AB162" s="46" t="s">
        <v>1</v>
      </c>
      <c r="AC162" s="47" t="s">
        <v>1</v>
      </c>
      <c r="AD162" s="36" t="s">
        <v>1</v>
      </c>
      <c r="AE162" s="51" t="s">
        <v>1</v>
      </c>
      <c r="AF162" s="36" t="s">
        <v>1</v>
      </c>
      <c r="AG162" s="51" t="s">
        <v>1</v>
      </c>
      <c r="AH162" s="36" t="s">
        <v>1</v>
      </c>
      <c r="AI162" s="51" t="s">
        <v>1</v>
      </c>
      <c r="AJ162" s="36" t="s">
        <v>1</v>
      </c>
      <c r="AK162" s="51" t="s">
        <v>1</v>
      </c>
      <c r="AL162" s="36" t="s">
        <v>1</v>
      </c>
      <c r="AM162" s="31" t="s">
        <v>1</v>
      </c>
      <c r="AN162" s="36" t="s">
        <v>1</v>
      </c>
      <c r="AO162" s="31" t="s">
        <v>1</v>
      </c>
      <c r="AP162" s="36" t="s">
        <v>1</v>
      </c>
      <c r="AQ162" s="51" t="s">
        <v>1</v>
      </c>
      <c r="AR162" s="36" t="s">
        <v>1</v>
      </c>
      <c r="AS162" s="47" t="s">
        <v>1</v>
      </c>
      <c r="AT162" s="36" t="s">
        <v>1</v>
      </c>
      <c r="AU162" s="47" t="s">
        <v>1</v>
      </c>
      <c r="AV162" s="36" t="s">
        <v>1</v>
      </c>
      <c r="AW162" s="47" t="s">
        <v>1</v>
      </c>
      <c r="AX162" s="36" t="s">
        <v>2065</v>
      </c>
      <c r="AY162" s="47" t="s">
        <v>2193</v>
      </c>
      <c r="AZ162" s="36" t="s">
        <v>1299</v>
      </c>
      <c r="BA162" s="47" t="s">
        <v>2193</v>
      </c>
      <c r="BB162" s="36" t="s">
        <v>2188</v>
      </c>
      <c r="BC162" s="47" t="s">
        <v>819</v>
      </c>
      <c r="BD162" s="36" t="s">
        <v>2189</v>
      </c>
      <c r="BE162" s="47" t="str">
        <f t="shared" si="3"/>
        <v>"Bairro"</v>
      </c>
    </row>
    <row r="163" spans="1:57" ht="6.65" customHeight="1" x14ac:dyDescent="0.4">
      <c r="A163" s="93">
        <v>130</v>
      </c>
      <c r="B163" s="74" t="s">
        <v>950</v>
      </c>
      <c r="C163" s="44" t="s">
        <v>664</v>
      </c>
      <c r="D163" s="18" t="s">
        <v>744</v>
      </c>
      <c r="E163" s="48" t="s">
        <v>753</v>
      </c>
      <c r="F163" s="18" t="s">
        <v>1</v>
      </c>
      <c r="G163" s="20" t="s">
        <v>1</v>
      </c>
      <c r="H163" s="18" t="s">
        <v>1</v>
      </c>
      <c r="I163" s="20" t="s">
        <v>1</v>
      </c>
      <c r="J163" s="18" t="s">
        <v>1</v>
      </c>
      <c r="K163" s="20" t="s">
        <v>1</v>
      </c>
      <c r="L163" s="18" t="s">
        <v>1</v>
      </c>
      <c r="M163" s="20" t="s">
        <v>1</v>
      </c>
      <c r="N163" s="46" t="s">
        <v>82</v>
      </c>
      <c r="O163" s="25" t="str">
        <f t="shared" si="5"/>
        <v>"B.104 é bairro de Rio de Janeiro"</v>
      </c>
      <c r="P163" s="46" t="s">
        <v>1</v>
      </c>
      <c r="Q163" s="25" t="s">
        <v>1</v>
      </c>
      <c r="R163" s="46" t="s">
        <v>1</v>
      </c>
      <c r="S163" s="52" t="s">
        <v>1</v>
      </c>
      <c r="T163" s="46" t="s">
        <v>1</v>
      </c>
      <c r="U163" s="31" t="s">
        <v>1</v>
      </c>
      <c r="V163" s="46" t="s">
        <v>1</v>
      </c>
      <c r="W163" s="31" t="s">
        <v>1</v>
      </c>
      <c r="X163" s="46" t="s">
        <v>1</v>
      </c>
      <c r="Y163" s="31" t="s">
        <v>1</v>
      </c>
      <c r="Z163" s="46" t="s">
        <v>1</v>
      </c>
      <c r="AA163" s="31" t="s">
        <v>1</v>
      </c>
      <c r="AB163" s="46" t="s">
        <v>1</v>
      </c>
      <c r="AC163" s="47" t="s">
        <v>1</v>
      </c>
      <c r="AD163" s="36" t="s">
        <v>1</v>
      </c>
      <c r="AE163" s="51" t="s">
        <v>1</v>
      </c>
      <c r="AF163" s="36" t="s">
        <v>1</v>
      </c>
      <c r="AG163" s="51" t="s">
        <v>1</v>
      </c>
      <c r="AH163" s="36" t="s">
        <v>1</v>
      </c>
      <c r="AI163" s="51" t="s">
        <v>1</v>
      </c>
      <c r="AJ163" s="36" t="s">
        <v>1</v>
      </c>
      <c r="AK163" s="51" t="s">
        <v>1</v>
      </c>
      <c r="AL163" s="36" t="s">
        <v>1</v>
      </c>
      <c r="AM163" s="31" t="s">
        <v>1</v>
      </c>
      <c r="AN163" s="36" t="s">
        <v>1</v>
      </c>
      <c r="AO163" s="31" t="s">
        <v>1</v>
      </c>
      <c r="AP163" s="36" t="s">
        <v>1</v>
      </c>
      <c r="AQ163" s="51" t="s">
        <v>1</v>
      </c>
      <c r="AR163" s="36" t="s">
        <v>1</v>
      </c>
      <c r="AS163" s="47" t="s">
        <v>1</v>
      </c>
      <c r="AT163" s="36" t="s">
        <v>1</v>
      </c>
      <c r="AU163" s="47" t="s">
        <v>1</v>
      </c>
      <c r="AV163" s="36" t="s">
        <v>1</v>
      </c>
      <c r="AW163" s="47" t="s">
        <v>1</v>
      </c>
      <c r="AX163" s="36" t="s">
        <v>2065</v>
      </c>
      <c r="AY163" s="47" t="s">
        <v>2193</v>
      </c>
      <c r="AZ163" s="36" t="s">
        <v>1299</v>
      </c>
      <c r="BA163" s="47" t="s">
        <v>2193</v>
      </c>
      <c r="BB163" s="36" t="s">
        <v>2188</v>
      </c>
      <c r="BC163" s="47" t="s">
        <v>819</v>
      </c>
      <c r="BD163" s="36" t="s">
        <v>2189</v>
      </c>
      <c r="BE163" s="47" t="str">
        <f t="shared" si="3"/>
        <v>"Bairro"</v>
      </c>
    </row>
    <row r="164" spans="1:57" ht="6.65" customHeight="1" x14ac:dyDescent="0.4">
      <c r="A164" s="93">
        <v>131</v>
      </c>
      <c r="B164" s="74" t="s">
        <v>951</v>
      </c>
      <c r="C164" s="44" t="s">
        <v>664</v>
      </c>
      <c r="D164" s="18" t="s">
        <v>744</v>
      </c>
      <c r="E164" s="48" t="s">
        <v>753</v>
      </c>
      <c r="F164" s="18" t="s">
        <v>1</v>
      </c>
      <c r="G164" s="20" t="s">
        <v>1</v>
      </c>
      <c r="H164" s="18" t="s">
        <v>1</v>
      </c>
      <c r="I164" s="20" t="s">
        <v>1</v>
      </c>
      <c r="J164" s="18" t="s">
        <v>1</v>
      </c>
      <c r="K164" s="20" t="s">
        <v>1</v>
      </c>
      <c r="L164" s="18" t="s">
        <v>1</v>
      </c>
      <c r="M164" s="20" t="s">
        <v>1</v>
      </c>
      <c r="N164" s="46" t="s">
        <v>82</v>
      </c>
      <c r="O164" s="25" t="str">
        <f t="shared" si="5"/>
        <v>"B.002 é bairro de Rio de Janeiro"</v>
      </c>
      <c r="P164" s="46" t="s">
        <v>1</v>
      </c>
      <c r="Q164" s="25" t="s">
        <v>1</v>
      </c>
      <c r="R164" s="46" t="s">
        <v>1</v>
      </c>
      <c r="S164" s="52" t="s">
        <v>1</v>
      </c>
      <c r="T164" s="46" t="s">
        <v>1</v>
      </c>
      <c r="U164" s="31" t="s">
        <v>1</v>
      </c>
      <c r="V164" s="46" t="s">
        <v>1</v>
      </c>
      <c r="W164" s="31" t="s">
        <v>1</v>
      </c>
      <c r="X164" s="46" t="s">
        <v>1</v>
      </c>
      <c r="Y164" s="31" t="s">
        <v>1</v>
      </c>
      <c r="Z164" s="46" t="s">
        <v>1</v>
      </c>
      <c r="AA164" s="31" t="s">
        <v>1</v>
      </c>
      <c r="AB164" s="46" t="s">
        <v>1</v>
      </c>
      <c r="AC164" s="47" t="s">
        <v>1</v>
      </c>
      <c r="AD164" s="36" t="s">
        <v>1</v>
      </c>
      <c r="AE164" s="51" t="s">
        <v>1</v>
      </c>
      <c r="AF164" s="36" t="s">
        <v>1</v>
      </c>
      <c r="AG164" s="51" t="s">
        <v>1</v>
      </c>
      <c r="AH164" s="36" t="s">
        <v>1</v>
      </c>
      <c r="AI164" s="51" t="s">
        <v>1</v>
      </c>
      <c r="AJ164" s="36" t="s">
        <v>1</v>
      </c>
      <c r="AK164" s="51" t="s">
        <v>1</v>
      </c>
      <c r="AL164" s="36" t="s">
        <v>1</v>
      </c>
      <c r="AM164" s="31" t="s">
        <v>1</v>
      </c>
      <c r="AN164" s="36" t="s">
        <v>1</v>
      </c>
      <c r="AO164" s="31" t="s">
        <v>1</v>
      </c>
      <c r="AP164" s="36" t="s">
        <v>1</v>
      </c>
      <c r="AQ164" s="51" t="s">
        <v>1</v>
      </c>
      <c r="AR164" s="36" t="s">
        <v>1</v>
      </c>
      <c r="AS164" s="47" t="s">
        <v>1</v>
      </c>
      <c r="AT164" s="36" t="s">
        <v>1</v>
      </c>
      <c r="AU164" s="47" t="s">
        <v>1</v>
      </c>
      <c r="AV164" s="36" t="s">
        <v>1</v>
      </c>
      <c r="AW164" s="47" t="s">
        <v>1</v>
      </c>
      <c r="AX164" s="36" t="s">
        <v>2065</v>
      </c>
      <c r="AY164" s="47" t="s">
        <v>2193</v>
      </c>
      <c r="AZ164" s="36" t="s">
        <v>1299</v>
      </c>
      <c r="BA164" s="47" t="s">
        <v>2193</v>
      </c>
      <c r="BB164" s="36" t="s">
        <v>2188</v>
      </c>
      <c r="BC164" s="47" t="s">
        <v>819</v>
      </c>
      <c r="BD164" s="36" t="s">
        <v>2189</v>
      </c>
      <c r="BE164" s="47" t="str">
        <f t="shared" si="3"/>
        <v>"Bairro"</v>
      </c>
    </row>
    <row r="165" spans="1:57" ht="6.65" customHeight="1" x14ac:dyDescent="0.4">
      <c r="A165" s="93">
        <v>132</v>
      </c>
      <c r="B165" s="74" t="s">
        <v>952</v>
      </c>
      <c r="C165" s="44" t="s">
        <v>664</v>
      </c>
      <c r="D165" s="18" t="s">
        <v>744</v>
      </c>
      <c r="E165" s="48" t="s">
        <v>753</v>
      </c>
      <c r="F165" s="18" t="s">
        <v>1</v>
      </c>
      <c r="G165" s="20" t="s">
        <v>1</v>
      </c>
      <c r="H165" s="18" t="s">
        <v>1</v>
      </c>
      <c r="I165" s="20" t="s">
        <v>1</v>
      </c>
      <c r="J165" s="18" t="s">
        <v>1</v>
      </c>
      <c r="K165" s="20" t="s">
        <v>1</v>
      </c>
      <c r="L165" s="18" t="s">
        <v>1</v>
      </c>
      <c r="M165" s="20" t="s">
        <v>1</v>
      </c>
      <c r="N165" s="46" t="s">
        <v>82</v>
      </c>
      <c r="O165" s="25" t="str">
        <f t="shared" si="5"/>
        <v>"B.117 é bairro de Rio de Janeiro"</v>
      </c>
      <c r="P165" s="46" t="s">
        <v>1</v>
      </c>
      <c r="Q165" s="25" t="s">
        <v>1</v>
      </c>
      <c r="R165" s="46" t="s">
        <v>1</v>
      </c>
      <c r="S165" s="52" t="s">
        <v>1</v>
      </c>
      <c r="T165" s="46" t="s">
        <v>1</v>
      </c>
      <c r="U165" s="31" t="s">
        <v>1</v>
      </c>
      <c r="V165" s="46" t="s">
        <v>1</v>
      </c>
      <c r="W165" s="31" t="s">
        <v>1</v>
      </c>
      <c r="X165" s="46" t="s">
        <v>1</v>
      </c>
      <c r="Y165" s="31" t="s">
        <v>1</v>
      </c>
      <c r="Z165" s="46" t="s">
        <v>1</v>
      </c>
      <c r="AA165" s="31" t="s">
        <v>1</v>
      </c>
      <c r="AB165" s="46" t="s">
        <v>1</v>
      </c>
      <c r="AC165" s="47" t="s">
        <v>1</v>
      </c>
      <c r="AD165" s="36" t="s">
        <v>1</v>
      </c>
      <c r="AE165" s="51" t="s">
        <v>1</v>
      </c>
      <c r="AF165" s="36" t="s">
        <v>1</v>
      </c>
      <c r="AG165" s="51" t="s">
        <v>1</v>
      </c>
      <c r="AH165" s="36" t="s">
        <v>1</v>
      </c>
      <c r="AI165" s="51" t="s">
        <v>1</v>
      </c>
      <c r="AJ165" s="36" t="s">
        <v>1</v>
      </c>
      <c r="AK165" s="51" t="s">
        <v>1</v>
      </c>
      <c r="AL165" s="36" t="s">
        <v>1</v>
      </c>
      <c r="AM165" s="31" t="s">
        <v>1</v>
      </c>
      <c r="AN165" s="36" t="s">
        <v>1</v>
      </c>
      <c r="AO165" s="31" t="s">
        <v>1</v>
      </c>
      <c r="AP165" s="36" t="s">
        <v>1</v>
      </c>
      <c r="AQ165" s="51" t="s">
        <v>1</v>
      </c>
      <c r="AR165" s="36" t="s">
        <v>1</v>
      </c>
      <c r="AS165" s="47" t="s">
        <v>1</v>
      </c>
      <c r="AT165" s="36" t="s">
        <v>1</v>
      </c>
      <c r="AU165" s="47" t="s">
        <v>1</v>
      </c>
      <c r="AV165" s="36" t="s">
        <v>1</v>
      </c>
      <c r="AW165" s="47" t="s">
        <v>1</v>
      </c>
      <c r="AX165" s="36" t="s">
        <v>2065</v>
      </c>
      <c r="AY165" s="47" t="s">
        <v>2193</v>
      </c>
      <c r="AZ165" s="36" t="s">
        <v>1299</v>
      </c>
      <c r="BA165" s="47" t="s">
        <v>2193</v>
      </c>
      <c r="BB165" s="36" t="s">
        <v>2188</v>
      </c>
      <c r="BC165" s="47" t="s">
        <v>819</v>
      </c>
      <c r="BD165" s="36" t="s">
        <v>2189</v>
      </c>
      <c r="BE165" s="47" t="str">
        <f t="shared" si="3"/>
        <v>"Bairro"</v>
      </c>
    </row>
    <row r="166" spans="1:57" ht="6.65" customHeight="1" x14ac:dyDescent="0.4">
      <c r="A166" s="93">
        <v>133</v>
      </c>
      <c r="B166" s="74" t="s">
        <v>953</v>
      </c>
      <c r="C166" s="44" t="s">
        <v>664</v>
      </c>
      <c r="D166" s="18" t="s">
        <v>744</v>
      </c>
      <c r="E166" s="48" t="s">
        <v>753</v>
      </c>
      <c r="F166" s="18" t="s">
        <v>1</v>
      </c>
      <c r="G166" s="20" t="s">
        <v>1</v>
      </c>
      <c r="H166" s="18" t="s">
        <v>1</v>
      </c>
      <c r="I166" s="20" t="s">
        <v>1</v>
      </c>
      <c r="J166" s="18" t="s">
        <v>1</v>
      </c>
      <c r="K166" s="20" t="s">
        <v>1</v>
      </c>
      <c r="L166" s="18" t="s">
        <v>1</v>
      </c>
      <c r="M166" s="20" t="s">
        <v>1</v>
      </c>
      <c r="N166" s="46" t="s">
        <v>82</v>
      </c>
      <c r="O166" s="25" t="str">
        <f t="shared" si="5"/>
        <v>"B.029 é bairro de Rio de Janeiro"</v>
      </c>
      <c r="P166" s="46" t="s">
        <v>1</v>
      </c>
      <c r="Q166" s="25" t="s">
        <v>1</v>
      </c>
      <c r="R166" s="46" t="s">
        <v>1</v>
      </c>
      <c r="S166" s="52" t="s">
        <v>1</v>
      </c>
      <c r="T166" s="46" t="s">
        <v>1</v>
      </c>
      <c r="U166" s="31" t="s">
        <v>1</v>
      </c>
      <c r="V166" s="46" t="s">
        <v>1</v>
      </c>
      <c r="W166" s="31" t="s">
        <v>1</v>
      </c>
      <c r="X166" s="46" t="s">
        <v>1</v>
      </c>
      <c r="Y166" s="31" t="s">
        <v>1</v>
      </c>
      <c r="Z166" s="46" t="s">
        <v>1</v>
      </c>
      <c r="AA166" s="31" t="s">
        <v>1</v>
      </c>
      <c r="AB166" s="46" t="s">
        <v>1</v>
      </c>
      <c r="AC166" s="47" t="s">
        <v>1</v>
      </c>
      <c r="AD166" s="36" t="s">
        <v>1</v>
      </c>
      <c r="AE166" s="51" t="s">
        <v>1</v>
      </c>
      <c r="AF166" s="36" t="s">
        <v>1</v>
      </c>
      <c r="AG166" s="51" t="s">
        <v>1</v>
      </c>
      <c r="AH166" s="36" t="s">
        <v>1</v>
      </c>
      <c r="AI166" s="51" t="s">
        <v>1</v>
      </c>
      <c r="AJ166" s="36" t="s">
        <v>1</v>
      </c>
      <c r="AK166" s="51" t="s">
        <v>1</v>
      </c>
      <c r="AL166" s="36" t="s">
        <v>1</v>
      </c>
      <c r="AM166" s="31" t="s">
        <v>1</v>
      </c>
      <c r="AN166" s="36" t="s">
        <v>1</v>
      </c>
      <c r="AO166" s="31" t="s">
        <v>1</v>
      </c>
      <c r="AP166" s="36" t="s">
        <v>1</v>
      </c>
      <c r="AQ166" s="51" t="s">
        <v>1</v>
      </c>
      <c r="AR166" s="36" t="s">
        <v>1</v>
      </c>
      <c r="AS166" s="47" t="s">
        <v>1</v>
      </c>
      <c r="AT166" s="36" t="s">
        <v>1</v>
      </c>
      <c r="AU166" s="47" t="s">
        <v>1</v>
      </c>
      <c r="AV166" s="36" t="s">
        <v>1</v>
      </c>
      <c r="AW166" s="47" t="s">
        <v>1</v>
      </c>
      <c r="AX166" s="36" t="s">
        <v>2065</v>
      </c>
      <c r="AY166" s="47" t="s">
        <v>2193</v>
      </c>
      <c r="AZ166" s="36" t="s">
        <v>1299</v>
      </c>
      <c r="BA166" s="47" t="s">
        <v>2193</v>
      </c>
      <c r="BB166" s="36" t="s">
        <v>2188</v>
      </c>
      <c r="BC166" s="47" t="s">
        <v>819</v>
      </c>
      <c r="BD166" s="36" t="s">
        <v>2189</v>
      </c>
      <c r="BE166" s="47" t="str">
        <f t="shared" ref="BE166:BE229" si="6">_xlfn.CONCAT("""",C166,"""")</f>
        <v>"Bairro"</v>
      </c>
    </row>
    <row r="167" spans="1:57" ht="6.65" customHeight="1" x14ac:dyDescent="0.4">
      <c r="A167" s="93">
        <v>134</v>
      </c>
      <c r="B167" s="74" t="s">
        <v>954</v>
      </c>
      <c r="C167" s="44" t="s">
        <v>664</v>
      </c>
      <c r="D167" s="18" t="s">
        <v>744</v>
      </c>
      <c r="E167" s="48" t="s">
        <v>753</v>
      </c>
      <c r="F167" s="18" t="s">
        <v>1</v>
      </c>
      <c r="G167" s="20" t="s">
        <v>1</v>
      </c>
      <c r="H167" s="18" t="s">
        <v>1</v>
      </c>
      <c r="I167" s="20" t="s">
        <v>1</v>
      </c>
      <c r="J167" s="18" t="s">
        <v>1</v>
      </c>
      <c r="K167" s="20" t="s">
        <v>1</v>
      </c>
      <c r="L167" s="18" t="s">
        <v>1</v>
      </c>
      <c r="M167" s="20" t="s">
        <v>1</v>
      </c>
      <c r="N167" s="46" t="s">
        <v>82</v>
      </c>
      <c r="O167" s="25" t="str">
        <f t="shared" si="5"/>
        <v>"B.160 é bairro de Rio de Janeiro"</v>
      </c>
      <c r="P167" s="46" t="s">
        <v>1</v>
      </c>
      <c r="Q167" s="25" t="s">
        <v>1</v>
      </c>
      <c r="R167" s="46" t="s">
        <v>1</v>
      </c>
      <c r="S167" s="52" t="s">
        <v>1</v>
      </c>
      <c r="T167" s="46" t="s">
        <v>1</v>
      </c>
      <c r="U167" s="31" t="s">
        <v>1</v>
      </c>
      <c r="V167" s="46" t="s">
        <v>1</v>
      </c>
      <c r="W167" s="31" t="s">
        <v>1</v>
      </c>
      <c r="X167" s="46" t="s">
        <v>1</v>
      </c>
      <c r="Y167" s="31" t="s">
        <v>1</v>
      </c>
      <c r="Z167" s="46" t="s">
        <v>1</v>
      </c>
      <c r="AA167" s="31" t="s">
        <v>1</v>
      </c>
      <c r="AB167" s="46" t="s">
        <v>1</v>
      </c>
      <c r="AC167" s="47" t="s">
        <v>1</v>
      </c>
      <c r="AD167" s="36" t="s">
        <v>1</v>
      </c>
      <c r="AE167" s="51" t="s">
        <v>1</v>
      </c>
      <c r="AF167" s="36" t="s">
        <v>1</v>
      </c>
      <c r="AG167" s="51" t="s">
        <v>1</v>
      </c>
      <c r="AH167" s="36" t="s">
        <v>1</v>
      </c>
      <c r="AI167" s="51" t="s">
        <v>1</v>
      </c>
      <c r="AJ167" s="36" t="s">
        <v>1</v>
      </c>
      <c r="AK167" s="51" t="s">
        <v>1</v>
      </c>
      <c r="AL167" s="36" t="s">
        <v>1</v>
      </c>
      <c r="AM167" s="31" t="s">
        <v>1</v>
      </c>
      <c r="AN167" s="36" t="s">
        <v>1</v>
      </c>
      <c r="AO167" s="31" t="s">
        <v>1</v>
      </c>
      <c r="AP167" s="36" t="s">
        <v>1</v>
      </c>
      <c r="AQ167" s="51" t="s">
        <v>1</v>
      </c>
      <c r="AR167" s="36" t="s">
        <v>1</v>
      </c>
      <c r="AS167" s="47" t="s">
        <v>1</v>
      </c>
      <c r="AT167" s="36" t="s">
        <v>1</v>
      </c>
      <c r="AU167" s="47" t="s">
        <v>1</v>
      </c>
      <c r="AV167" s="36" t="s">
        <v>1</v>
      </c>
      <c r="AW167" s="47" t="s">
        <v>1</v>
      </c>
      <c r="AX167" s="36" t="s">
        <v>2065</v>
      </c>
      <c r="AY167" s="47" t="s">
        <v>2193</v>
      </c>
      <c r="AZ167" s="36" t="s">
        <v>1299</v>
      </c>
      <c r="BA167" s="47" t="s">
        <v>2193</v>
      </c>
      <c r="BB167" s="36" t="s">
        <v>2188</v>
      </c>
      <c r="BC167" s="47" t="s">
        <v>819</v>
      </c>
      <c r="BD167" s="36" t="s">
        <v>2189</v>
      </c>
      <c r="BE167" s="47" t="str">
        <f t="shared" si="6"/>
        <v>"Bairro"</v>
      </c>
    </row>
    <row r="168" spans="1:57" ht="6.65" customHeight="1" x14ac:dyDescent="0.4">
      <c r="A168" s="93">
        <v>135</v>
      </c>
      <c r="B168" s="74" t="s">
        <v>955</v>
      </c>
      <c r="C168" s="44" t="s">
        <v>664</v>
      </c>
      <c r="D168" s="18" t="s">
        <v>744</v>
      </c>
      <c r="E168" s="48" t="s">
        <v>753</v>
      </c>
      <c r="F168" s="18" t="s">
        <v>1</v>
      </c>
      <c r="G168" s="20" t="s">
        <v>1</v>
      </c>
      <c r="H168" s="18" t="s">
        <v>1</v>
      </c>
      <c r="I168" s="20" t="s">
        <v>1</v>
      </c>
      <c r="J168" s="18" t="s">
        <v>1</v>
      </c>
      <c r="K168" s="20" t="s">
        <v>1</v>
      </c>
      <c r="L168" s="18" t="s">
        <v>1</v>
      </c>
      <c r="M168" s="20" t="s">
        <v>1</v>
      </c>
      <c r="N168" s="46" t="s">
        <v>82</v>
      </c>
      <c r="O168" s="25" t="str">
        <f t="shared" si="5"/>
        <v>"B.016 é bairro de Rio de Janeiro"</v>
      </c>
      <c r="P168" s="46" t="s">
        <v>1</v>
      </c>
      <c r="Q168" s="25" t="s">
        <v>1</v>
      </c>
      <c r="R168" s="46" t="s">
        <v>1</v>
      </c>
      <c r="S168" s="52" t="s">
        <v>1</v>
      </c>
      <c r="T168" s="46" t="s">
        <v>1</v>
      </c>
      <c r="U168" s="31" t="s">
        <v>1</v>
      </c>
      <c r="V168" s="46" t="s">
        <v>1</v>
      </c>
      <c r="W168" s="31" t="s">
        <v>1</v>
      </c>
      <c r="X168" s="46" t="s">
        <v>1</v>
      </c>
      <c r="Y168" s="31" t="s">
        <v>1</v>
      </c>
      <c r="Z168" s="46" t="s">
        <v>1</v>
      </c>
      <c r="AA168" s="31" t="s">
        <v>1</v>
      </c>
      <c r="AB168" s="46" t="s">
        <v>1</v>
      </c>
      <c r="AC168" s="47" t="s">
        <v>1</v>
      </c>
      <c r="AD168" s="36" t="s">
        <v>1</v>
      </c>
      <c r="AE168" s="51" t="s">
        <v>1</v>
      </c>
      <c r="AF168" s="36" t="s">
        <v>1</v>
      </c>
      <c r="AG168" s="51" t="s">
        <v>1</v>
      </c>
      <c r="AH168" s="36" t="s">
        <v>1</v>
      </c>
      <c r="AI168" s="51" t="s">
        <v>1</v>
      </c>
      <c r="AJ168" s="36" t="s">
        <v>1</v>
      </c>
      <c r="AK168" s="51" t="s">
        <v>1</v>
      </c>
      <c r="AL168" s="36" t="s">
        <v>1</v>
      </c>
      <c r="AM168" s="31" t="s">
        <v>1</v>
      </c>
      <c r="AN168" s="36" t="s">
        <v>1</v>
      </c>
      <c r="AO168" s="31" t="s">
        <v>1</v>
      </c>
      <c r="AP168" s="36" t="s">
        <v>1</v>
      </c>
      <c r="AQ168" s="51" t="s">
        <v>1</v>
      </c>
      <c r="AR168" s="36" t="s">
        <v>1</v>
      </c>
      <c r="AS168" s="47" t="s">
        <v>1</v>
      </c>
      <c r="AT168" s="36" t="s">
        <v>1</v>
      </c>
      <c r="AU168" s="47" t="s">
        <v>1</v>
      </c>
      <c r="AV168" s="36" t="s">
        <v>1</v>
      </c>
      <c r="AW168" s="47" t="s">
        <v>1</v>
      </c>
      <c r="AX168" s="36" t="s">
        <v>2065</v>
      </c>
      <c r="AY168" s="47" t="s">
        <v>2193</v>
      </c>
      <c r="AZ168" s="36" t="s">
        <v>1299</v>
      </c>
      <c r="BA168" s="47" t="s">
        <v>2193</v>
      </c>
      <c r="BB168" s="36" t="s">
        <v>2188</v>
      </c>
      <c r="BC168" s="47" t="s">
        <v>819</v>
      </c>
      <c r="BD168" s="36" t="s">
        <v>2189</v>
      </c>
      <c r="BE168" s="47" t="str">
        <f t="shared" si="6"/>
        <v>"Bairro"</v>
      </c>
    </row>
    <row r="169" spans="1:57" ht="6.65" customHeight="1" x14ac:dyDescent="0.4">
      <c r="A169" s="93">
        <v>136</v>
      </c>
      <c r="B169" s="74" t="s">
        <v>956</v>
      </c>
      <c r="C169" s="44" t="s">
        <v>664</v>
      </c>
      <c r="D169" s="18" t="s">
        <v>744</v>
      </c>
      <c r="E169" s="48" t="s">
        <v>753</v>
      </c>
      <c r="F169" s="18" t="s">
        <v>1</v>
      </c>
      <c r="G169" s="20" t="s">
        <v>1</v>
      </c>
      <c r="H169" s="18" t="s">
        <v>1</v>
      </c>
      <c r="I169" s="20" t="s">
        <v>1</v>
      </c>
      <c r="J169" s="18" t="s">
        <v>1</v>
      </c>
      <c r="K169" s="20" t="s">
        <v>1</v>
      </c>
      <c r="L169" s="18" t="s">
        <v>1</v>
      </c>
      <c r="M169" s="20" t="s">
        <v>1</v>
      </c>
      <c r="N169" s="46" t="s">
        <v>82</v>
      </c>
      <c r="O169" s="25" t="str">
        <f t="shared" si="5"/>
        <v>"B.038 é bairro de Rio de Janeiro"</v>
      </c>
      <c r="P169" s="46" t="s">
        <v>1</v>
      </c>
      <c r="Q169" s="25" t="s">
        <v>1</v>
      </c>
      <c r="R169" s="46" t="s">
        <v>1</v>
      </c>
      <c r="S169" s="52" t="s">
        <v>1</v>
      </c>
      <c r="T169" s="46" t="s">
        <v>1</v>
      </c>
      <c r="U169" s="31" t="s">
        <v>1</v>
      </c>
      <c r="V169" s="46" t="s">
        <v>1</v>
      </c>
      <c r="W169" s="31" t="s">
        <v>1</v>
      </c>
      <c r="X169" s="46" t="s">
        <v>1</v>
      </c>
      <c r="Y169" s="31" t="s">
        <v>1</v>
      </c>
      <c r="Z169" s="46" t="s">
        <v>1</v>
      </c>
      <c r="AA169" s="31" t="s">
        <v>1</v>
      </c>
      <c r="AB169" s="46" t="s">
        <v>1</v>
      </c>
      <c r="AC169" s="47" t="s">
        <v>1</v>
      </c>
      <c r="AD169" s="36" t="s">
        <v>1</v>
      </c>
      <c r="AE169" s="51" t="s">
        <v>1</v>
      </c>
      <c r="AF169" s="36" t="s">
        <v>1</v>
      </c>
      <c r="AG169" s="51" t="s">
        <v>1</v>
      </c>
      <c r="AH169" s="36" t="s">
        <v>1</v>
      </c>
      <c r="AI169" s="51" t="s">
        <v>1</v>
      </c>
      <c r="AJ169" s="36" t="s">
        <v>1</v>
      </c>
      <c r="AK169" s="51" t="s">
        <v>1</v>
      </c>
      <c r="AL169" s="36" t="s">
        <v>1</v>
      </c>
      <c r="AM169" s="31" t="s">
        <v>1</v>
      </c>
      <c r="AN169" s="36" t="s">
        <v>1</v>
      </c>
      <c r="AO169" s="31" t="s">
        <v>1</v>
      </c>
      <c r="AP169" s="36" t="s">
        <v>1</v>
      </c>
      <c r="AQ169" s="51" t="s">
        <v>1</v>
      </c>
      <c r="AR169" s="36" t="s">
        <v>1</v>
      </c>
      <c r="AS169" s="47" t="s">
        <v>1</v>
      </c>
      <c r="AT169" s="36" t="s">
        <v>1</v>
      </c>
      <c r="AU169" s="47" t="s">
        <v>1</v>
      </c>
      <c r="AV169" s="36" t="s">
        <v>1</v>
      </c>
      <c r="AW169" s="47" t="s">
        <v>1</v>
      </c>
      <c r="AX169" s="36" t="s">
        <v>2065</v>
      </c>
      <c r="AY169" s="47" t="s">
        <v>2193</v>
      </c>
      <c r="AZ169" s="36" t="s">
        <v>1299</v>
      </c>
      <c r="BA169" s="47" t="s">
        <v>2193</v>
      </c>
      <c r="BB169" s="36" t="s">
        <v>2188</v>
      </c>
      <c r="BC169" s="47" t="s">
        <v>819</v>
      </c>
      <c r="BD169" s="36" t="s">
        <v>2189</v>
      </c>
      <c r="BE169" s="47" t="str">
        <f t="shared" si="6"/>
        <v>"Bairro"</v>
      </c>
    </row>
    <row r="170" spans="1:57" ht="6.65" customHeight="1" x14ac:dyDescent="0.4">
      <c r="A170" s="93">
        <v>137</v>
      </c>
      <c r="B170" s="74" t="s">
        <v>957</v>
      </c>
      <c r="C170" s="44" t="s">
        <v>664</v>
      </c>
      <c r="D170" s="18" t="s">
        <v>744</v>
      </c>
      <c r="E170" s="48" t="s">
        <v>753</v>
      </c>
      <c r="F170" s="18" t="s">
        <v>1</v>
      </c>
      <c r="G170" s="20" t="s">
        <v>1</v>
      </c>
      <c r="H170" s="18" t="s">
        <v>1</v>
      </c>
      <c r="I170" s="20" t="s">
        <v>1</v>
      </c>
      <c r="J170" s="18" t="s">
        <v>1</v>
      </c>
      <c r="K170" s="20" t="s">
        <v>1</v>
      </c>
      <c r="L170" s="18" t="s">
        <v>1</v>
      </c>
      <c r="M170" s="20" t="s">
        <v>1</v>
      </c>
      <c r="N170" s="46" t="s">
        <v>82</v>
      </c>
      <c r="O170" s="25" t="str">
        <f t="shared" si="5"/>
        <v>"B.133 é bairro de Rio de Janeiro"</v>
      </c>
      <c r="P170" s="46" t="s">
        <v>1</v>
      </c>
      <c r="Q170" s="25" t="s">
        <v>1</v>
      </c>
      <c r="R170" s="46" t="s">
        <v>1</v>
      </c>
      <c r="S170" s="52" t="s">
        <v>1</v>
      </c>
      <c r="T170" s="46" t="s">
        <v>1</v>
      </c>
      <c r="U170" s="31" t="s">
        <v>1</v>
      </c>
      <c r="V170" s="46" t="s">
        <v>1</v>
      </c>
      <c r="W170" s="31" t="s">
        <v>1</v>
      </c>
      <c r="X170" s="46" t="s">
        <v>1</v>
      </c>
      <c r="Y170" s="31" t="s">
        <v>1</v>
      </c>
      <c r="Z170" s="46" t="s">
        <v>1</v>
      </c>
      <c r="AA170" s="31" t="s">
        <v>1</v>
      </c>
      <c r="AB170" s="46" t="s">
        <v>1</v>
      </c>
      <c r="AC170" s="47" t="s">
        <v>1</v>
      </c>
      <c r="AD170" s="36" t="s">
        <v>1</v>
      </c>
      <c r="AE170" s="51" t="s">
        <v>1</v>
      </c>
      <c r="AF170" s="36" t="s">
        <v>1</v>
      </c>
      <c r="AG170" s="51" t="s">
        <v>1</v>
      </c>
      <c r="AH170" s="36" t="s">
        <v>1</v>
      </c>
      <c r="AI170" s="51" t="s">
        <v>1</v>
      </c>
      <c r="AJ170" s="36" t="s">
        <v>1</v>
      </c>
      <c r="AK170" s="51" t="s">
        <v>1</v>
      </c>
      <c r="AL170" s="36" t="s">
        <v>1</v>
      </c>
      <c r="AM170" s="31" t="s">
        <v>1</v>
      </c>
      <c r="AN170" s="36" t="s">
        <v>1</v>
      </c>
      <c r="AO170" s="31" t="s">
        <v>1</v>
      </c>
      <c r="AP170" s="36" t="s">
        <v>1</v>
      </c>
      <c r="AQ170" s="51" t="s">
        <v>1</v>
      </c>
      <c r="AR170" s="36" t="s">
        <v>1</v>
      </c>
      <c r="AS170" s="47" t="s">
        <v>1</v>
      </c>
      <c r="AT170" s="36" t="s">
        <v>1</v>
      </c>
      <c r="AU170" s="47" t="s">
        <v>1</v>
      </c>
      <c r="AV170" s="36" t="s">
        <v>1</v>
      </c>
      <c r="AW170" s="47" t="s">
        <v>1</v>
      </c>
      <c r="AX170" s="36" t="s">
        <v>2065</v>
      </c>
      <c r="AY170" s="47" t="s">
        <v>2193</v>
      </c>
      <c r="AZ170" s="36" t="s">
        <v>1299</v>
      </c>
      <c r="BA170" s="47" t="s">
        <v>2193</v>
      </c>
      <c r="BB170" s="36" t="s">
        <v>2188</v>
      </c>
      <c r="BC170" s="47" t="s">
        <v>819</v>
      </c>
      <c r="BD170" s="36" t="s">
        <v>2189</v>
      </c>
      <c r="BE170" s="47" t="str">
        <f t="shared" si="6"/>
        <v>"Bairro"</v>
      </c>
    </row>
    <row r="171" spans="1:57" ht="6.65" customHeight="1" x14ac:dyDescent="0.4">
      <c r="A171" s="93">
        <v>138</v>
      </c>
      <c r="B171" s="74" t="s">
        <v>958</v>
      </c>
      <c r="C171" s="44" t="s">
        <v>664</v>
      </c>
      <c r="D171" s="18" t="s">
        <v>744</v>
      </c>
      <c r="E171" s="48" t="s">
        <v>753</v>
      </c>
      <c r="F171" s="18" t="s">
        <v>1</v>
      </c>
      <c r="G171" s="20" t="s">
        <v>1</v>
      </c>
      <c r="H171" s="18" t="s">
        <v>1</v>
      </c>
      <c r="I171" s="20" t="s">
        <v>1</v>
      </c>
      <c r="J171" s="18" t="s">
        <v>1</v>
      </c>
      <c r="K171" s="20" t="s">
        <v>1</v>
      </c>
      <c r="L171" s="18" t="s">
        <v>1</v>
      </c>
      <c r="M171" s="20" t="s">
        <v>1</v>
      </c>
      <c r="N171" s="46" t="s">
        <v>82</v>
      </c>
      <c r="O171" s="25" t="str">
        <f t="shared" si="5"/>
        <v>"B.106 é bairro de Rio de Janeiro"</v>
      </c>
      <c r="P171" s="46" t="s">
        <v>1</v>
      </c>
      <c r="Q171" s="25" t="s">
        <v>1</v>
      </c>
      <c r="R171" s="46" t="s">
        <v>1</v>
      </c>
      <c r="S171" s="52" t="s">
        <v>1</v>
      </c>
      <c r="T171" s="46" t="s">
        <v>1</v>
      </c>
      <c r="U171" s="31" t="s">
        <v>1</v>
      </c>
      <c r="V171" s="46" t="s">
        <v>1</v>
      </c>
      <c r="W171" s="31" t="s">
        <v>1</v>
      </c>
      <c r="X171" s="46" t="s">
        <v>1</v>
      </c>
      <c r="Y171" s="31" t="s">
        <v>1</v>
      </c>
      <c r="Z171" s="46" t="s">
        <v>1</v>
      </c>
      <c r="AA171" s="31" t="s">
        <v>1</v>
      </c>
      <c r="AB171" s="46" t="s">
        <v>1</v>
      </c>
      <c r="AC171" s="47" t="s">
        <v>1</v>
      </c>
      <c r="AD171" s="36" t="s">
        <v>1</v>
      </c>
      <c r="AE171" s="51" t="s">
        <v>1</v>
      </c>
      <c r="AF171" s="36" t="s">
        <v>1</v>
      </c>
      <c r="AG171" s="51" t="s">
        <v>1</v>
      </c>
      <c r="AH171" s="36" t="s">
        <v>1</v>
      </c>
      <c r="AI171" s="51" t="s">
        <v>1</v>
      </c>
      <c r="AJ171" s="36" t="s">
        <v>1</v>
      </c>
      <c r="AK171" s="51" t="s">
        <v>1</v>
      </c>
      <c r="AL171" s="36" t="s">
        <v>1</v>
      </c>
      <c r="AM171" s="31" t="s">
        <v>1</v>
      </c>
      <c r="AN171" s="36" t="s">
        <v>1</v>
      </c>
      <c r="AO171" s="31" t="s">
        <v>1</v>
      </c>
      <c r="AP171" s="36" t="s">
        <v>1</v>
      </c>
      <c r="AQ171" s="51" t="s">
        <v>1</v>
      </c>
      <c r="AR171" s="36" t="s">
        <v>1</v>
      </c>
      <c r="AS171" s="47" t="s">
        <v>1</v>
      </c>
      <c r="AT171" s="36" t="s">
        <v>1</v>
      </c>
      <c r="AU171" s="47" t="s">
        <v>1</v>
      </c>
      <c r="AV171" s="36" t="s">
        <v>1</v>
      </c>
      <c r="AW171" s="47" t="s">
        <v>1</v>
      </c>
      <c r="AX171" s="36" t="s">
        <v>2065</v>
      </c>
      <c r="AY171" s="47" t="s">
        <v>2193</v>
      </c>
      <c r="AZ171" s="36" t="s">
        <v>1299</v>
      </c>
      <c r="BA171" s="47" t="s">
        <v>2193</v>
      </c>
      <c r="BB171" s="36" t="s">
        <v>2188</v>
      </c>
      <c r="BC171" s="47" t="s">
        <v>819</v>
      </c>
      <c r="BD171" s="36" t="s">
        <v>2189</v>
      </c>
      <c r="BE171" s="47" t="str">
        <f t="shared" si="6"/>
        <v>"Bairro"</v>
      </c>
    </row>
    <row r="172" spans="1:57" ht="6.65" customHeight="1" x14ac:dyDescent="0.4">
      <c r="A172" s="93">
        <v>139</v>
      </c>
      <c r="B172" s="74" t="s">
        <v>959</v>
      </c>
      <c r="C172" s="44" t="s">
        <v>664</v>
      </c>
      <c r="D172" s="18" t="s">
        <v>744</v>
      </c>
      <c r="E172" s="48" t="s">
        <v>753</v>
      </c>
      <c r="F172" s="18" t="s">
        <v>1</v>
      </c>
      <c r="G172" s="20" t="s">
        <v>1</v>
      </c>
      <c r="H172" s="18" t="s">
        <v>1</v>
      </c>
      <c r="I172" s="20" t="s">
        <v>1</v>
      </c>
      <c r="J172" s="18" t="s">
        <v>1</v>
      </c>
      <c r="K172" s="20" t="s">
        <v>1</v>
      </c>
      <c r="L172" s="18" t="s">
        <v>1</v>
      </c>
      <c r="M172" s="20" t="s">
        <v>1</v>
      </c>
      <c r="N172" s="46" t="s">
        <v>82</v>
      </c>
      <c r="O172" s="25" t="str">
        <f t="shared" si="5"/>
        <v>"B.151 é bairro de Rio de Janeiro"</v>
      </c>
      <c r="P172" s="46" t="s">
        <v>1</v>
      </c>
      <c r="Q172" s="25" t="s">
        <v>1</v>
      </c>
      <c r="R172" s="46" t="s">
        <v>1</v>
      </c>
      <c r="S172" s="52" t="s">
        <v>1</v>
      </c>
      <c r="T172" s="46" t="s">
        <v>1</v>
      </c>
      <c r="U172" s="31" t="s">
        <v>1</v>
      </c>
      <c r="V172" s="46" t="s">
        <v>1</v>
      </c>
      <c r="W172" s="31" t="s">
        <v>1</v>
      </c>
      <c r="X172" s="46" t="s">
        <v>1</v>
      </c>
      <c r="Y172" s="31" t="s">
        <v>1</v>
      </c>
      <c r="Z172" s="46" t="s">
        <v>1</v>
      </c>
      <c r="AA172" s="31" t="s">
        <v>1</v>
      </c>
      <c r="AB172" s="46" t="s">
        <v>1</v>
      </c>
      <c r="AC172" s="47" t="s">
        <v>1</v>
      </c>
      <c r="AD172" s="36" t="s">
        <v>1</v>
      </c>
      <c r="AE172" s="51" t="s">
        <v>1</v>
      </c>
      <c r="AF172" s="36" t="s">
        <v>1</v>
      </c>
      <c r="AG172" s="51" t="s">
        <v>1</v>
      </c>
      <c r="AH172" s="36" t="s">
        <v>1</v>
      </c>
      <c r="AI172" s="51" t="s">
        <v>1</v>
      </c>
      <c r="AJ172" s="36" t="s">
        <v>1</v>
      </c>
      <c r="AK172" s="51" t="s">
        <v>1</v>
      </c>
      <c r="AL172" s="36" t="s">
        <v>1</v>
      </c>
      <c r="AM172" s="31" t="s">
        <v>1</v>
      </c>
      <c r="AN172" s="36" t="s">
        <v>1</v>
      </c>
      <c r="AO172" s="31" t="s">
        <v>1</v>
      </c>
      <c r="AP172" s="36" t="s">
        <v>1</v>
      </c>
      <c r="AQ172" s="51" t="s">
        <v>1</v>
      </c>
      <c r="AR172" s="36" t="s">
        <v>1</v>
      </c>
      <c r="AS172" s="47" t="s">
        <v>1</v>
      </c>
      <c r="AT172" s="36" t="s">
        <v>1</v>
      </c>
      <c r="AU172" s="47" t="s">
        <v>1</v>
      </c>
      <c r="AV172" s="36" t="s">
        <v>1</v>
      </c>
      <c r="AW172" s="47" t="s">
        <v>1</v>
      </c>
      <c r="AX172" s="36" t="s">
        <v>2065</v>
      </c>
      <c r="AY172" s="47" t="s">
        <v>2193</v>
      </c>
      <c r="AZ172" s="36" t="s">
        <v>1299</v>
      </c>
      <c r="BA172" s="47" t="s">
        <v>2193</v>
      </c>
      <c r="BB172" s="36" t="s">
        <v>2188</v>
      </c>
      <c r="BC172" s="47" t="s">
        <v>819</v>
      </c>
      <c r="BD172" s="36" t="s">
        <v>2189</v>
      </c>
      <c r="BE172" s="47" t="str">
        <f t="shared" si="6"/>
        <v>"Bairro"</v>
      </c>
    </row>
    <row r="173" spans="1:57" ht="6.65" customHeight="1" x14ac:dyDescent="0.4">
      <c r="A173" s="93">
        <v>140</v>
      </c>
      <c r="B173" s="74" t="s">
        <v>960</v>
      </c>
      <c r="C173" s="44" t="s">
        <v>664</v>
      </c>
      <c r="D173" s="18" t="s">
        <v>744</v>
      </c>
      <c r="E173" s="48" t="s">
        <v>753</v>
      </c>
      <c r="F173" s="18" t="s">
        <v>1</v>
      </c>
      <c r="G173" s="20" t="s">
        <v>1</v>
      </c>
      <c r="H173" s="18" t="s">
        <v>1</v>
      </c>
      <c r="I173" s="20" t="s">
        <v>1</v>
      </c>
      <c r="J173" s="18" t="s">
        <v>1</v>
      </c>
      <c r="K173" s="20" t="s">
        <v>1</v>
      </c>
      <c r="L173" s="18" t="s">
        <v>1</v>
      </c>
      <c r="M173" s="20" t="s">
        <v>1</v>
      </c>
      <c r="N173" s="46" t="s">
        <v>82</v>
      </c>
      <c r="O173" s="25" t="str">
        <f t="shared" si="5"/>
        <v>"B.050 é bairro de Rio de Janeiro"</v>
      </c>
      <c r="P173" s="46" t="s">
        <v>1</v>
      </c>
      <c r="Q173" s="25" t="s">
        <v>1</v>
      </c>
      <c r="R173" s="46" t="s">
        <v>1</v>
      </c>
      <c r="S173" s="52" t="s">
        <v>1</v>
      </c>
      <c r="T173" s="46" t="s">
        <v>1</v>
      </c>
      <c r="U173" s="31" t="s">
        <v>1</v>
      </c>
      <c r="V173" s="46" t="s">
        <v>1</v>
      </c>
      <c r="W173" s="31" t="s">
        <v>1</v>
      </c>
      <c r="X173" s="46" t="s">
        <v>1</v>
      </c>
      <c r="Y173" s="31" t="s">
        <v>1</v>
      </c>
      <c r="Z173" s="46" t="s">
        <v>1</v>
      </c>
      <c r="AA173" s="31" t="s">
        <v>1</v>
      </c>
      <c r="AB173" s="46" t="s">
        <v>1</v>
      </c>
      <c r="AC173" s="47" t="s">
        <v>1</v>
      </c>
      <c r="AD173" s="36" t="s">
        <v>1</v>
      </c>
      <c r="AE173" s="51" t="s">
        <v>1</v>
      </c>
      <c r="AF173" s="36" t="s">
        <v>1</v>
      </c>
      <c r="AG173" s="51" t="s">
        <v>1</v>
      </c>
      <c r="AH173" s="36" t="s">
        <v>1</v>
      </c>
      <c r="AI173" s="51" t="s">
        <v>1</v>
      </c>
      <c r="AJ173" s="36" t="s">
        <v>1</v>
      </c>
      <c r="AK173" s="51" t="s">
        <v>1</v>
      </c>
      <c r="AL173" s="36" t="s">
        <v>1</v>
      </c>
      <c r="AM173" s="31" t="s">
        <v>1</v>
      </c>
      <c r="AN173" s="36" t="s">
        <v>1</v>
      </c>
      <c r="AO173" s="31" t="s">
        <v>1</v>
      </c>
      <c r="AP173" s="36" t="s">
        <v>1</v>
      </c>
      <c r="AQ173" s="51" t="s">
        <v>1</v>
      </c>
      <c r="AR173" s="36" t="s">
        <v>1</v>
      </c>
      <c r="AS173" s="47" t="s">
        <v>1</v>
      </c>
      <c r="AT173" s="36" t="s">
        <v>1</v>
      </c>
      <c r="AU173" s="47" t="s">
        <v>1</v>
      </c>
      <c r="AV173" s="36" t="s">
        <v>1</v>
      </c>
      <c r="AW173" s="47" t="s">
        <v>1</v>
      </c>
      <c r="AX173" s="36" t="s">
        <v>2065</v>
      </c>
      <c r="AY173" s="47" t="s">
        <v>2193</v>
      </c>
      <c r="AZ173" s="36" t="s">
        <v>1299</v>
      </c>
      <c r="BA173" s="47" t="s">
        <v>2193</v>
      </c>
      <c r="BB173" s="36" t="s">
        <v>2188</v>
      </c>
      <c r="BC173" s="47" t="s">
        <v>819</v>
      </c>
      <c r="BD173" s="36" t="s">
        <v>2189</v>
      </c>
      <c r="BE173" s="47" t="str">
        <f t="shared" si="6"/>
        <v>"Bairro"</v>
      </c>
    </row>
    <row r="174" spans="1:57" ht="6.65" customHeight="1" x14ac:dyDescent="0.4">
      <c r="A174" s="93">
        <v>141</v>
      </c>
      <c r="B174" s="74" t="s">
        <v>961</v>
      </c>
      <c r="C174" s="44" t="s">
        <v>664</v>
      </c>
      <c r="D174" s="18" t="s">
        <v>744</v>
      </c>
      <c r="E174" s="48" t="s">
        <v>753</v>
      </c>
      <c r="F174" s="18" t="s">
        <v>1</v>
      </c>
      <c r="G174" s="20" t="s">
        <v>1</v>
      </c>
      <c r="H174" s="18" t="s">
        <v>1</v>
      </c>
      <c r="I174" s="20" t="s">
        <v>1</v>
      </c>
      <c r="J174" s="18" t="s">
        <v>1</v>
      </c>
      <c r="K174" s="20" t="s">
        <v>1</v>
      </c>
      <c r="L174" s="18" t="s">
        <v>1</v>
      </c>
      <c r="M174" s="20" t="s">
        <v>1</v>
      </c>
      <c r="N174" s="46" t="s">
        <v>82</v>
      </c>
      <c r="O174" s="25" t="str">
        <f t="shared" si="5"/>
        <v>"B.087 é bairro de Rio de Janeiro"</v>
      </c>
      <c r="P174" s="46" t="s">
        <v>1</v>
      </c>
      <c r="Q174" s="25" t="s">
        <v>1</v>
      </c>
      <c r="R174" s="46" t="s">
        <v>1</v>
      </c>
      <c r="S174" s="52" t="s">
        <v>1</v>
      </c>
      <c r="T174" s="46" t="s">
        <v>1</v>
      </c>
      <c r="U174" s="31" t="s">
        <v>1</v>
      </c>
      <c r="V174" s="46" t="s">
        <v>1</v>
      </c>
      <c r="W174" s="31" t="s">
        <v>1</v>
      </c>
      <c r="X174" s="46" t="s">
        <v>1</v>
      </c>
      <c r="Y174" s="31" t="s">
        <v>1</v>
      </c>
      <c r="Z174" s="46" t="s">
        <v>1</v>
      </c>
      <c r="AA174" s="31" t="s">
        <v>1</v>
      </c>
      <c r="AB174" s="46" t="s">
        <v>1</v>
      </c>
      <c r="AC174" s="47" t="s">
        <v>1</v>
      </c>
      <c r="AD174" s="36" t="s">
        <v>1</v>
      </c>
      <c r="AE174" s="51" t="s">
        <v>1</v>
      </c>
      <c r="AF174" s="36" t="s">
        <v>1</v>
      </c>
      <c r="AG174" s="51" t="s">
        <v>1</v>
      </c>
      <c r="AH174" s="36" t="s">
        <v>1</v>
      </c>
      <c r="AI174" s="51" t="s">
        <v>1</v>
      </c>
      <c r="AJ174" s="36" t="s">
        <v>1</v>
      </c>
      <c r="AK174" s="51" t="s">
        <v>1</v>
      </c>
      <c r="AL174" s="36" t="s">
        <v>1</v>
      </c>
      <c r="AM174" s="31" t="s">
        <v>1</v>
      </c>
      <c r="AN174" s="36" t="s">
        <v>1</v>
      </c>
      <c r="AO174" s="31" t="s">
        <v>1</v>
      </c>
      <c r="AP174" s="36" t="s">
        <v>1</v>
      </c>
      <c r="AQ174" s="51" t="s">
        <v>1</v>
      </c>
      <c r="AR174" s="36" t="s">
        <v>1</v>
      </c>
      <c r="AS174" s="47" t="s">
        <v>1</v>
      </c>
      <c r="AT174" s="36" t="s">
        <v>1</v>
      </c>
      <c r="AU174" s="47" t="s">
        <v>1</v>
      </c>
      <c r="AV174" s="36" t="s">
        <v>1</v>
      </c>
      <c r="AW174" s="47" t="s">
        <v>1</v>
      </c>
      <c r="AX174" s="36" t="s">
        <v>2065</v>
      </c>
      <c r="AY174" s="47" t="s">
        <v>2193</v>
      </c>
      <c r="AZ174" s="36" t="s">
        <v>1299</v>
      </c>
      <c r="BA174" s="47" t="s">
        <v>2193</v>
      </c>
      <c r="BB174" s="36" t="s">
        <v>2188</v>
      </c>
      <c r="BC174" s="47" t="s">
        <v>819</v>
      </c>
      <c r="BD174" s="36" t="s">
        <v>2189</v>
      </c>
      <c r="BE174" s="47" t="str">
        <f t="shared" si="6"/>
        <v>"Bairro"</v>
      </c>
    </row>
    <row r="175" spans="1:57" ht="6.65" customHeight="1" x14ac:dyDescent="0.4">
      <c r="A175" s="93">
        <v>142</v>
      </c>
      <c r="B175" s="74" t="s">
        <v>962</v>
      </c>
      <c r="C175" s="44" t="s">
        <v>664</v>
      </c>
      <c r="D175" s="18" t="s">
        <v>744</v>
      </c>
      <c r="E175" s="48" t="s">
        <v>753</v>
      </c>
      <c r="F175" s="18" t="s">
        <v>1</v>
      </c>
      <c r="G175" s="20" t="s">
        <v>1</v>
      </c>
      <c r="H175" s="18" t="s">
        <v>1</v>
      </c>
      <c r="I175" s="20" t="s">
        <v>1</v>
      </c>
      <c r="J175" s="18" t="s">
        <v>1</v>
      </c>
      <c r="K175" s="20" t="s">
        <v>1</v>
      </c>
      <c r="L175" s="18" t="s">
        <v>1</v>
      </c>
      <c r="M175" s="20" t="s">
        <v>1</v>
      </c>
      <c r="N175" s="46" t="s">
        <v>82</v>
      </c>
      <c r="O175" s="25" t="str">
        <f t="shared" si="5"/>
        <v>"B.021 é bairro de Rio de Janeiro"</v>
      </c>
      <c r="P175" s="46" t="s">
        <v>1</v>
      </c>
      <c r="Q175" s="25" t="s">
        <v>1</v>
      </c>
      <c r="R175" s="46" t="s">
        <v>1</v>
      </c>
      <c r="S175" s="52" t="s">
        <v>1</v>
      </c>
      <c r="T175" s="46" t="s">
        <v>1</v>
      </c>
      <c r="U175" s="31" t="s">
        <v>1</v>
      </c>
      <c r="V175" s="46" t="s">
        <v>1</v>
      </c>
      <c r="W175" s="31" t="s">
        <v>1</v>
      </c>
      <c r="X175" s="46" t="s">
        <v>1</v>
      </c>
      <c r="Y175" s="31" t="s">
        <v>1</v>
      </c>
      <c r="Z175" s="46" t="s">
        <v>1</v>
      </c>
      <c r="AA175" s="31" t="s">
        <v>1</v>
      </c>
      <c r="AB175" s="46" t="s">
        <v>1</v>
      </c>
      <c r="AC175" s="47" t="s">
        <v>1</v>
      </c>
      <c r="AD175" s="36" t="s">
        <v>1</v>
      </c>
      <c r="AE175" s="51" t="s">
        <v>1</v>
      </c>
      <c r="AF175" s="36" t="s">
        <v>1</v>
      </c>
      <c r="AG175" s="51" t="s">
        <v>1</v>
      </c>
      <c r="AH175" s="36" t="s">
        <v>1</v>
      </c>
      <c r="AI175" s="51" t="s">
        <v>1</v>
      </c>
      <c r="AJ175" s="36" t="s">
        <v>1</v>
      </c>
      <c r="AK175" s="51" t="s">
        <v>1</v>
      </c>
      <c r="AL175" s="36" t="s">
        <v>1</v>
      </c>
      <c r="AM175" s="31" t="s">
        <v>1</v>
      </c>
      <c r="AN175" s="36" t="s">
        <v>1</v>
      </c>
      <c r="AO175" s="31" t="s">
        <v>1</v>
      </c>
      <c r="AP175" s="36" t="s">
        <v>1</v>
      </c>
      <c r="AQ175" s="51" t="s">
        <v>1</v>
      </c>
      <c r="AR175" s="36" t="s">
        <v>1</v>
      </c>
      <c r="AS175" s="47" t="s">
        <v>1</v>
      </c>
      <c r="AT175" s="36" t="s">
        <v>1</v>
      </c>
      <c r="AU175" s="47" t="s">
        <v>1</v>
      </c>
      <c r="AV175" s="36" t="s">
        <v>1</v>
      </c>
      <c r="AW175" s="47" t="s">
        <v>1</v>
      </c>
      <c r="AX175" s="36" t="s">
        <v>2065</v>
      </c>
      <c r="AY175" s="47" t="s">
        <v>2193</v>
      </c>
      <c r="AZ175" s="36" t="s">
        <v>1299</v>
      </c>
      <c r="BA175" s="47" t="s">
        <v>2193</v>
      </c>
      <c r="BB175" s="36" t="s">
        <v>2188</v>
      </c>
      <c r="BC175" s="47" t="s">
        <v>819</v>
      </c>
      <c r="BD175" s="36" t="s">
        <v>2189</v>
      </c>
      <c r="BE175" s="47" t="str">
        <f t="shared" si="6"/>
        <v>"Bairro"</v>
      </c>
    </row>
    <row r="176" spans="1:57" ht="6.65" customHeight="1" x14ac:dyDescent="0.4">
      <c r="A176" s="93">
        <v>143</v>
      </c>
      <c r="B176" s="74" t="s">
        <v>963</v>
      </c>
      <c r="C176" s="44" t="s">
        <v>664</v>
      </c>
      <c r="D176" s="18" t="s">
        <v>744</v>
      </c>
      <c r="E176" s="48" t="s">
        <v>753</v>
      </c>
      <c r="F176" s="18" t="s">
        <v>1</v>
      </c>
      <c r="G176" s="20" t="s">
        <v>1</v>
      </c>
      <c r="H176" s="18" t="s">
        <v>1</v>
      </c>
      <c r="I176" s="20" t="s">
        <v>1</v>
      </c>
      <c r="J176" s="18" t="s">
        <v>1</v>
      </c>
      <c r="K176" s="20" t="s">
        <v>1</v>
      </c>
      <c r="L176" s="18" t="s">
        <v>1</v>
      </c>
      <c r="M176" s="20" t="s">
        <v>1</v>
      </c>
      <c r="N176" s="46" t="s">
        <v>82</v>
      </c>
      <c r="O176" s="25" t="str">
        <f t="shared" ref="O176:O239" si="7">_xlfn.CONCAT("""",B176, " é bairro de Rio de Janeiro","""")</f>
        <v>"B.164 é bairro de Rio de Janeiro"</v>
      </c>
      <c r="P176" s="46" t="s">
        <v>1</v>
      </c>
      <c r="Q176" s="25" t="s">
        <v>1</v>
      </c>
      <c r="R176" s="46" t="s">
        <v>1</v>
      </c>
      <c r="S176" s="52" t="s">
        <v>1</v>
      </c>
      <c r="T176" s="46" t="s">
        <v>1</v>
      </c>
      <c r="U176" s="31" t="s">
        <v>1</v>
      </c>
      <c r="V176" s="46" t="s">
        <v>1</v>
      </c>
      <c r="W176" s="31" t="s">
        <v>1</v>
      </c>
      <c r="X176" s="46" t="s">
        <v>1</v>
      </c>
      <c r="Y176" s="31" t="s">
        <v>1</v>
      </c>
      <c r="Z176" s="46" t="s">
        <v>1</v>
      </c>
      <c r="AA176" s="31" t="s">
        <v>1</v>
      </c>
      <c r="AB176" s="46" t="s">
        <v>1</v>
      </c>
      <c r="AC176" s="47" t="s">
        <v>1</v>
      </c>
      <c r="AD176" s="36" t="s">
        <v>1</v>
      </c>
      <c r="AE176" s="51" t="s">
        <v>1</v>
      </c>
      <c r="AF176" s="36" t="s">
        <v>1</v>
      </c>
      <c r="AG176" s="51" t="s">
        <v>1</v>
      </c>
      <c r="AH176" s="36" t="s">
        <v>1</v>
      </c>
      <c r="AI176" s="51" t="s">
        <v>1</v>
      </c>
      <c r="AJ176" s="36" t="s">
        <v>1</v>
      </c>
      <c r="AK176" s="51" t="s">
        <v>1</v>
      </c>
      <c r="AL176" s="36" t="s">
        <v>1</v>
      </c>
      <c r="AM176" s="31" t="s">
        <v>1</v>
      </c>
      <c r="AN176" s="36" t="s">
        <v>1</v>
      </c>
      <c r="AO176" s="31" t="s">
        <v>1</v>
      </c>
      <c r="AP176" s="36" t="s">
        <v>1</v>
      </c>
      <c r="AQ176" s="51" t="s">
        <v>1</v>
      </c>
      <c r="AR176" s="36" t="s">
        <v>1</v>
      </c>
      <c r="AS176" s="47" t="s">
        <v>1</v>
      </c>
      <c r="AT176" s="36" t="s">
        <v>1</v>
      </c>
      <c r="AU176" s="47" t="s">
        <v>1</v>
      </c>
      <c r="AV176" s="36" t="s">
        <v>1</v>
      </c>
      <c r="AW176" s="47" t="s">
        <v>1</v>
      </c>
      <c r="AX176" s="36" t="s">
        <v>2065</v>
      </c>
      <c r="AY176" s="47" t="s">
        <v>2193</v>
      </c>
      <c r="AZ176" s="36" t="s">
        <v>1299</v>
      </c>
      <c r="BA176" s="47" t="s">
        <v>2193</v>
      </c>
      <c r="BB176" s="36" t="s">
        <v>2188</v>
      </c>
      <c r="BC176" s="47" t="s">
        <v>819</v>
      </c>
      <c r="BD176" s="36" t="s">
        <v>2189</v>
      </c>
      <c r="BE176" s="47" t="str">
        <f t="shared" si="6"/>
        <v>"Bairro"</v>
      </c>
    </row>
    <row r="177" spans="1:57" ht="6.65" customHeight="1" x14ac:dyDescent="0.4">
      <c r="A177" s="93">
        <v>144</v>
      </c>
      <c r="B177" s="74" t="s">
        <v>964</v>
      </c>
      <c r="C177" s="44" t="s">
        <v>664</v>
      </c>
      <c r="D177" s="18" t="s">
        <v>744</v>
      </c>
      <c r="E177" s="48" t="s">
        <v>753</v>
      </c>
      <c r="F177" s="18" t="s">
        <v>1</v>
      </c>
      <c r="G177" s="20" t="s">
        <v>1</v>
      </c>
      <c r="H177" s="18" t="s">
        <v>1</v>
      </c>
      <c r="I177" s="20" t="s">
        <v>1</v>
      </c>
      <c r="J177" s="18" t="s">
        <v>1</v>
      </c>
      <c r="K177" s="20" t="s">
        <v>1</v>
      </c>
      <c r="L177" s="18" t="s">
        <v>1</v>
      </c>
      <c r="M177" s="20" t="s">
        <v>1</v>
      </c>
      <c r="N177" s="46" t="s">
        <v>82</v>
      </c>
      <c r="O177" s="25" t="str">
        <f t="shared" si="7"/>
        <v>"B.054 é bairro de Rio de Janeiro"</v>
      </c>
      <c r="P177" s="46" t="s">
        <v>1</v>
      </c>
      <c r="Q177" s="25" t="s">
        <v>1</v>
      </c>
      <c r="R177" s="46" t="s">
        <v>1</v>
      </c>
      <c r="S177" s="52" t="s">
        <v>1</v>
      </c>
      <c r="T177" s="46" t="s">
        <v>1</v>
      </c>
      <c r="U177" s="31" t="s">
        <v>1</v>
      </c>
      <c r="V177" s="46" t="s">
        <v>1</v>
      </c>
      <c r="W177" s="31" t="s">
        <v>1</v>
      </c>
      <c r="X177" s="46" t="s">
        <v>1</v>
      </c>
      <c r="Y177" s="31" t="s">
        <v>1</v>
      </c>
      <c r="Z177" s="46" t="s">
        <v>1</v>
      </c>
      <c r="AA177" s="31" t="s">
        <v>1</v>
      </c>
      <c r="AB177" s="46" t="s">
        <v>1</v>
      </c>
      <c r="AC177" s="47" t="s">
        <v>1</v>
      </c>
      <c r="AD177" s="36" t="s">
        <v>1</v>
      </c>
      <c r="AE177" s="51" t="s">
        <v>1</v>
      </c>
      <c r="AF177" s="36" t="s">
        <v>1</v>
      </c>
      <c r="AG177" s="51" t="s">
        <v>1</v>
      </c>
      <c r="AH177" s="36" t="s">
        <v>1</v>
      </c>
      <c r="AI177" s="51" t="s">
        <v>1</v>
      </c>
      <c r="AJ177" s="36" t="s">
        <v>1</v>
      </c>
      <c r="AK177" s="51" t="s">
        <v>1</v>
      </c>
      <c r="AL177" s="36" t="s">
        <v>1</v>
      </c>
      <c r="AM177" s="31" t="s">
        <v>1</v>
      </c>
      <c r="AN177" s="36" t="s">
        <v>1</v>
      </c>
      <c r="AO177" s="31" t="s">
        <v>1</v>
      </c>
      <c r="AP177" s="36" t="s">
        <v>1</v>
      </c>
      <c r="AQ177" s="51" t="s">
        <v>1</v>
      </c>
      <c r="AR177" s="36" t="s">
        <v>1</v>
      </c>
      <c r="AS177" s="47" t="s">
        <v>1</v>
      </c>
      <c r="AT177" s="36" t="s">
        <v>1</v>
      </c>
      <c r="AU177" s="47" t="s">
        <v>1</v>
      </c>
      <c r="AV177" s="36" t="s">
        <v>1</v>
      </c>
      <c r="AW177" s="47" t="s">
        <v>1</v>
      </c>
      <c r="AX177" s="36" t="s">
        <v>2065</v>
      </c>
      <c r="AY177" s="47" t="s">
        <v>2193</v>
      </c>
      <c r="AZ177" s="36" t="s">
        <v>1299</v>
      </c>
      <c r="BA177" s="47" t="s">
        <v>2193</v>
      </c>
      <c r="BB177" s="36" t="s">
        <v>2188</v>
      </c>
      <c r="BC177" s="47" t="s">
        <v>819</v>
      </c>
      <c r="BD177" s="36" t="s">
        <v>2189</v>
      </c>
      <c r="BE177" s="47" t="str">
        <f t="shared" si="6"/>
        <v>"Bairro"</v>
      </c>
    </row>
    <row r="178" spans="1:57" ht="6.65" customHeight="1" x14ac:dyDescent="0.4">
      <c r="A178" s="93">
        <v>145</v>
      </c>
      <c r="B178" s="74" t="s">
        <v>965</v>
      </c>
      <c r="C178" s="44" t="s">
        <v>664</v>
      </c>
      <c r="D178" s="18" t="s">
        <v>744</v>
      </c>
      <c r="E178" s="48" t="s">
        <v>753</v>
      </c>
      <c r="F178" s="18" t="s">
        <v>1</v>
      </c>
      <c r="G178" s="20" t="s">
        <v>1</v>
      </c>
      <c r="H178" s="18" t="s">
        <v>1</v>
      </c>
      <c r="I178" s="20" t="s">
        <v>1</v>
      </c>
      <c r="J178" s="18" t="s">
        <v>1</v>
      </c>
      <c r="K178" s="20" t="s">
        <v>1</v>
      </c>
      <c r="L178" s="18" t="s">
        <v>1</v>
      </c>
      <c r="M178" s="20" t="s">
        <v>1</v>
      </c>
      <c r="N178" s="46" t="s">
        <v>82</v>
      </c>
      <c r="O178" s="25" t="str">
        <f t="shared" si="7"/>
        <v>"B.146 é bairro de Rio de Janeiro"</v>
      </c>
      <c r="P178" s="46" t="s">
        <v>1</v>
      </c>
      <c r="Q178" s="25" t="s">
        <v>1</v>
      </c>
      <c r="R178" s="46" t="s">
        <v>1</v>
      </c>
      <c r="S178" s="52" t="s">
        <v>1</v>
      </c>
      <c r="T178" s="46" t="s">
        <v>1</v>
      </c>
      <c r="U178" s="31" t="s">
        <v>1</v>
      </c>
      <c r="V178" s="46" t="s">
        <v>1</v>
      </c>
      <c r="W178" s="31" t="s">
        <v>1</v>
      </c>
      <c r="X178" s="46" t="s">
        <v>1</v>
      </c>
      <c r="Y178" s="31" t="s">
        <v>1</v>
      </c>
      <c r="Z178" s="46" t="s">
        <v>1</v>
      </c>
      <c r="AA178" s="31" t="s">
        <v>1</v>
      </c>
      <c r="AB178" s="46" t="s">
        <v>1</v>
      </c>
      <c r="AC178" s="47" t="s">
        <v>1</v>
      </c>
      <c r="AD178" s="36" t="s">
        <v>1</v>
      </c>
      <c r="AE178" s="51" t="s">
        <v>1</v>
      </c>
      <c r="AF178" s="36" t="s">
        <v>1</v>
      </c>
      <c r="AG178" s="51" t="s">
        <v>1</v>
      </c>
      <c r="AH178" s="36" t="s">
        <v>1</v>
      </c>
      <c r="AI178" s="51" t="s">
        <v>1</v>
      </c>
      <c r="AJ178" s="36" t="s">
        <v>1</v>
      </c>
      <c r="AK178" s="51" t="s">
        <v>1</v>
      </c>
      <c r="AL178" s="36" t="s">
        <v>1</v>
      </c>
      <c r="AM178" s="31" t="s">
        <v>1</v>
      </c>
      <c r="AN178" s="36" t="s">
        <v>1</v>
      </c>
      <c r="AO178" s="31" t="s">
        <v>1</v>
      </c>
      <c r="AP178" s="36" t="s">
        <v>1</v>
      </c>
      <c r="AQ178" s="51" t="s">
        <v>1</v>
      </c>
      <c r="AR178" s="36" t="s">
        <v>1</v>
      </c>
      <c r="AS178" s="47" t="s">
        <v>1</v>
      </c>
      <c r="AT178" s="36" t="s">
        <v>1</v>
      </c>
      <c r="AU178" s="47" t="s">
        <v>1</v>
      </c>
      <c r="AV178" s="36" t="s">
        <v>1</v>
      </c>
      <c r="AW178" s="47" t="s">
        <v>1</v>
      </c>
      <c r="AX178" s="36" t="s">
        <v>2065</v>
      </c>
      <c r="AY178" s="47" t="s">
        <v>2193</v>
      </c>
      <c r="AZ178" s="36" t="s">
        <v>1299</v>
      </c>
      <c r="BA178" s="47" t="s">
        <v>2193</v>
      </c>
      <c r="BB178" s="36" t="s">
        <v>2188</v>
      </c>
      <c r="BC178" s="47" t="s">
        <v>819</v>
      </c>
      <c r="BD178" s="36" t="s">
        <v>2189</v>
      </c>
      <c r="BE178" s="47" t="str">
        <f t="shared" si="6"/>
        <v>"Bairro"</v>
      </c>
    </row>
    <row r="179" spans="1:57" ht="6.65" customHeight="1" x14ac:dyDescent="0.4">
      <c r="A179" s="93">
        <v>146</v>
      </c>
      <c r="B179" s="74" t="s">
        <v>966</v>
      </c>
      <c r="C179" s="44" t="s">
        <v>664</v>
      </c>
      <c r="D179" s="18" t="s">
        <v>744</v>
      </c>
      <c r="E179" s="48" t="s">
        <v>753</v>
      </c>
      <c r="F179" s="18" t="s">
        <v>1</v>
      </c>
      <c r="G179" s="20" t="s">
        <v>1</v>
      </c>
      <c r="H179" s="18" t="s">
        <v>1</v>
      </c>
      <c r="I179" s="20" t="s">
        <v>1</v>
      </c>
      <c r="J179" s="18" t="s">
        <v>1</v>
      </c>
      <c r="K179" s="20" t="s">
        <v>1</v>
      </c>
      <c r="L179" s="18" t="s">
        <v>1</v>
      </c>
      <c r="M179" s="20" t="s">
        <v>1</v>
      </c>
      <c r="N179" s="46" t="s">
        <v>82</v>
      </c>
      <c r="O179" s="25" t="str">
        <f t="shared" si="7"/>
        <v>"B.025 é bairro de Rio de Janeiro"</v>
      </c>
      <c r="P179" s="46" t="s">
        <v>1</v>
      </c>
      <c r="Q179" s="25" t="s">
        <v>1</v>
      </c>
      <c r="R179" s="46" t="s">
        <v>1</v>
      </c>
      <c r="S179" s="52" t="s">
        <v>1</v>
      </c>
      <c r="T179" s="46" t="s">
        <v>1</v>
      </c>
      <c r="U179" s="31" t="s">
        <v>1</v>
      </c>
      <c r="V179" s="46" t="s">
        <v>1</v>
      </c>
      <c r="W179" s="31" t="s">
        <v>1</v>
      </c>
      <c r="X179" s="46" t="s">
        <v>1</v>
      </c>
      <c r="Y179" s="31" t="s">
        <v>1</v>
      </c>
      <c r="Z179" s="46" t="s">
        <v>1</v>
      </c>
      <c r="AA179" s="31" t="s">
        <v>1</v>
      </c>
      <c r="AB179" s="46" t="s">
        <v>1</v>
      </c>
      <c r="AC179" s="47" t="s">
        <v>1</v>
      </c>
      <c r="AD179" s="36" t="s">
        <v>1</v>
      </c>
      <c r="AE179" s="51" t="s">
        <v>1</v>
      </c>
      <c r="AF179" s="36" t="s">
        <v>1</v>
      </c>
      <c r="AG179" s="51" t="s">
        <v>1</v>
      </c>
      <c r="AH179" s="36" t="s">
        <v>1</v>
      </c>
      <c r="AI179" s="51" t="s">
        <v>1</v>
      </c>
      <c r="AJ179" s="36" t="s">
        <v>1</v>
      </c>
      <c r="AK179" s="51" t="s">
        <v>1</v>
      </c>
      <c r="AL179" s="36" t="s">
        <v>1</v>
      </c>
      <c r="AM179" s="31" t="s">
        <v>1</v>
      </c>
      <c r="AN179" s="36" t="s">
        <v>1</v>
      </c>
      <c r="AO179" s="31" t="s">
        <v>1</v>
      </c>
      <c r="AP179" s="36" t="s">
        <v>1</v>
      </c>
      <c r="AQ179" s="51" t="s">
        <v>1</v>
      </c>
      <c r="AR179" s="36" t="s">
        <v>1</v>
      </c>
      <c r="AS179" s="47" t="s">
        <v>1</v>
      </c>
      <c r="AT179" s="36" t="s">
        <v>1</v>
      </c>
      <c r="AU179" s="47" t="s">
        <v>1</v>
      </c>
      <c r="AV179" s="36" t="s">
        <v>1</v>
      </c>
      <c r="AW179" s="47" t="s">
        <v>1</v>
      </c>
      <c r="AX179" s="36" t="s">
        <v>2065</v>
      </c>
      <c r="AY179" s="47" t="s">
        <v>2193</v>
      </c>
      <c r="AZ179" s="36" t="s">
        <v>1299</v>
      </c>
      <c r="BA179" s="47" t="s">
        <v>2193</v>
      </c>
      <c r="BB179" s="36" t="s">
        <v>2188</v>
      </c>
      <c r="BC179" s="47" t="s">
        <v>819</v>
      </c>
      <c r="BD179" s="36" t="s">
        <v>2189</v>
      </c>
      <c r="BE179" s="47" t="str">
        <f t="shared" si="6"/>
        <v>"Bairro"</v>
      </c>
    </row>
    <row r="180" spans="1:57" ht="6.65" customHeight="1" x14ac:dyDescent="0.4">
      <c r="A180" s="93">
        <v>147</v>
      </c>
      <c r="B180" s="74" t="s">
        <v>967</v>
      </c>
      <c r="C180" s="44" t="s">
        <v>664</v>
      </c>
      <c r="D180" s="18" t="s">
        <v>744</v>
      </c>
      <c r="E180" s="48" t="s">
        <v>753</v>
      </c>
      <c r="F180" s="18" t="s">
        <v>1</v>
      </c>
      <c r="G180" s="20" t="s">
        <v>1</v>
      </c>
      <c r="H180" s="18" t="s">
        <v>1</v>
      </c>
      <c r="I180" s="20" t="s">
        <v>1</v>
      </c>
      <c r="J180" s="18" t="s">
        <v>1</v>
      </c>
      <c r="K180" s="20" t="s">
        <v>1</v>
      </c>
      <c r="L180" s="18" t="s">
        <v>1</v>
      </c>
      <c r="M180" s="20" t="s">
        <v>1</v>
      </c>
      <c r="N180" s="46" t="s">
        <v>82</v>
      </c>
      <c r="O180" s="25" t="str">
        <f t="shared" si="7"/>
        <v>"B.076 é bairro de Rio de Janeiro"</v>
      </c>
      <c r="P180" s="46" t="s">
        <v>1</v>
      </c>
      <c r="Q180" s="25" t="s">
        <v>1</v>
      </c>
      <c r="R180" s="46" t="s">
        <v>1</v>
      </c>
      <c r="S180" s="52" t="s">
        <v>1</v>
      </c>
      <c r="T180" s="46" t="s">
        <v>1</v>
      </c>
      <c r="U180" s="31" t="s">
        <v>1</v>
      </c>
      <c r="V180" s="46" t="s">
        <v>1</v>
      </c>
      <c r="W180" s="31" t="s">
        <v>1</v>
      </c>
      <c r="X180" s="46" t="s">
        <v>1</v>
      </c>
      <c r="Y180" s="31" t="s">
        <v>1</v>
      </c>
      <c r="Z180" s="46" t="s">
        <v>1</v>
      </c>
      <c r="AA180" s="31" t="s">
        <v>1</v>
      </c>
      <c r="AB180" s="46" t="s">
        <v>1</v>
      </c>
      <c r="AC180" s="47" t="s">
        <v>1</v>
      </c>
      <c r="AD180" s="36" t="s">
        <v>1</v>
      </c>
      <c r="AE180" s="51" t="s">
        <v>1</v>
      </c>
      <c r="AF180" s="36" t="s">
        <v>1</v>
      </c>
      <c r="AG180" s="51" t="s">
        <v>1</v>
      </c>
      <c r="AH180" s="36" t="s">
        <v>1</v>
      </c>
      <c r="AI180" s="51" t="s">
        <v>1</v>
      </c>
      <c r="AJ180" s="36" t="s">
        <v>1</v>
      </c>
      <c r="AK180" s="51" t="s">
        <v>1</v>
      </c>
      <c r="AL180" s="36" t="s">
        <v>1</v>
      </c>
      <c r="AM180" s="31" t="s">
        <v>1</v>
      </c>
      <c r="AN180" s="36" t="s">
        <v>1</v>
      </c>
      <c r="AO180" s="31" t="s">
        <v>1</v>
      </c>
      <c r="AP180" s="36" t="s">
        <v>1</v>
      </c>
      <c r="AQ180" s="51" t="s">
        <v>1</v>
      </c>
      <c r="AR180" s="36" t="s">
        <v>1</v>
      </c>
      <c r="AS180" s="47" t="s">
        <v>1</v>
      </c>
      <c r="AT180" s="36" t="s">
        <v>1</v>
      </c>
      <c r="AU180" s="47" t="s">
        <v>1</v>
      </c>
      <c r="AV180" s="36" t="s">
        <v>1</v>
      </c>
      <c r="AW180" s="47" t="s">
        <v>1</v>
      </c>
      <c r="AX180" s="36" t="s">
        <v>2065</v>
      </c>
      <c r="AY180" s="47" t="s">
        <v>2193</v>
      </c>
      <c r="AZ180" s="36" t="s">
        <v>1299</v>
      </c>
      <c r="BA180" s="47" t="s">
        <v>2193</v>
      </c>
      <c r="BB180" s="36" t="s">
        <v>2188</v>
      </c>
      <c r="BC180" s="47" t="s">
        <v>819</v>
      </c>
      <c r="BD180" s="36" t="s">
        <v>2189</v>
      </c>
      <c r="BE180" s="47" t="str">
        <f t="shared" si="6"/>
        <v>"Bairro"</v>
      </c>
    </row>
    <row r="181" spans="1:57" ht="6.65" customHeight="1" x14ac:dyDescent="0.4">
      <c r="A181" s="93">
        <v>148</v>
      </c>
      <c r="B181" s="74" t="s">
        <v>968</v>
      </c>
      <c r="C181" s="44" t="s">
        <v>664</v>
      </c>
      <c r="D181" s="18" t="s">
        <v>744</v>
      </c>
      <c r="E181" s="48" t="s">
        <v>753</v>
      </c>
      <c r="F181" s="18" t="s">
        <v>1</v>
      </c>
      <c r="G181" s="20" t="s">
        <v>1</v>
      </c>
      <c r="H181" s="18" t="s">
        <v>1</v>
      </c>
      <c r="I181" s="20" t="s">
        <v>1</v>
      </c>
      <c r="J181" s="18" t="s">
        <v>1</v>
      </c>
      <c r="K181" s="20" t="s">
        <v>1</v>
      </c>
      <c r="L181" s="18" t="s">
        <v>1</v>
      </c>
      <c r="M181" s="20" t="s">
        <v>1</v>
      </c>
      <c r="N181" s="46" t="s">
        <v>82</v>
      </c>
      <c r="O181" s="25" t="str">
        <f t="shared" si="7"/>
        <v>"B.127 é bairro de Rio de Janeiro"</v>
      </c>
      <c r="P181" s="46" t="s">
        <v>1</v>
      </c>
      <c r="Q181" s="25" t="s">
        <v>1</v>
      </c>
      <c r="R181" s="46" t="s">
        <v>1</v>
      </c>
      <c r="S181" s="52" t="s">
        <v>1</v>
      </c>
      <c r="T181" s="46" t="s">
        <v>1</v>
      </c>
      <c r="U181" s="31" t="s">
        <v>1</v>
      </c>
      <c r="V181" s="46" t="s">
        <v>1</v>
      </c>
      <c r="W181" s="31" t="s">
        <v>1</v>
      </c>
      <c r="X181" s="46" t="s">
        <v>1</v>
      </c>
      <c r="Y181" s="31" t="s">
        <v>1</v>
      </c>
      <c r="Z181" s="46" t="s">
        <v>1</v>
      </c>
      <c r="AA181" s="31" t="s">
        <v>1</v>
      </c>
      <c r="AB181" s="46" t="s">
        <v>1</v>
      </c>
      <c r="AC181" s="47" t="s">
        <v>1</v>
      </c>
      <c r="AD181" s="36" t="s">
        <v>1</v>
      </c>
      <c r="AE181" s="51" t="s">
        <v>1</v>
      </c>
      <c r="AF181" s="36" t="s">
        <v>1</v>
      </c>
      <c r="AG181" s="51" t="s">
        <v>1</v>
      </c>
      <c r="AH181" s="36" t="s">
        <v>1</v>
      </c>
      <c r="AI181" s="51" t="s">
        <v>1</v>
      </c>
      <c r="AJ181" s="36" t="s">
        <v>1</v>
      </c>
      <c r="AK181" s="51" t="s">
        <v>1</v>
      </c>
      <c r="AL181" s="36" t="s">
        <v>1</v>
      </c>
      <c r="AM181" s="31" t="s">
        <v>1</v>
      </c>
      <c r="AN181" s="36" t="s">
        <v>1</v>
      </c>
      <c r="AO181" s="31" t="s">
        <v>1</v>
      </c>
      <c r="AP181" s="36" t="s">
        <v>1</v>
      </c>
      <c r="AQ181" s="51" t="s">
        <v>1</v>
      </c>
      <c r="AR181" s="36" t="s">
        <v>1</v>
      </c>
      <c r="AS181" s="47" t="s">
        <v>1</v>
      </c>
      <c r="AT181" s="36" t="s">
        <v>1</v>
      </c>
      <c r="AU181" s="47" t="s">
        <v>1</v>
      </c>
      <c r="AV181" s="36" t="s">
        <v>1</v>
      </c>
      <c r="AW181" s="47" t="s">
        <v>1</v>
      </c>
      <c r="AX181" s="36" t="s">
        <v>2065</v>
      </c>
      <c r="AY181" s="47" t="s">
        <v>2193</v>
      </c>
      <c r="AZ181" s="36" t="s">
        <v>1299</v>
      </c>
      <c r="BA181" s="47" t="s">
        <v>2193</v>
      </c>
      <c r="BB181" s="36" t="s">
        <v>2188</v>
      </c>
      <c r="BC181" s="47" t="s">
        <v>819</v>
      </c>
      <c r="BD181" s="36" t="s">
        <v>2189</v>
      </c>
      <c r="BE181" s="47" t="str">
        <f t="shared" si="6"/>
        <v>"Bairro"</v>
      </c>
    </row>
    <row r="182" spans="1:57" ht="6.65" customHeight="1" x14ac:dyDescent="0.4">
      <c r="A182" s="93">
        <v>149</v>
      </c>
      <c r="B182" s="74" t="s">
        <v>969</v>
      </c>
      <c r="C182" s="44" t="s">
        <v>664</v>
      </c>
      <c r="D182" s="18" t="s">
        <v>744</v>
      </c>
      <c r="E182" s="48" t="s">
        <v>753</v>
      </c>
      <c r="F182" s="18" t="s">
        <v>1</v>
      </c>
      <c r="G182" s="20" t="s">
        <v>1</v>
      </c>
      <c r="H182" s="18" t="s">
        <v>1</v>
      </c>
      <c r="I182" s="20" t="s">
        <v>1</v>
      </c>
      <c r="J182" s="18" t="s">
        <v>1</v>
      </c>
      <c r="K182" s="20" t="s">
        <v>1</v>
      </c>
      <c r="L182" s="18" t="s">
        <v>1</v>
      </c>
      <c r="M182" s="20" t="s">
        <v>1</v>
      </c>
      <c r="N182" s="46" t="s">
        <v>82</v>
      </c>
      <c r="O182" s="25" t="str">
        <f t="shared" si="7"/>
        <v>"B.163 é bairro de Rio de Janeiro"</v>
      </c>
      <c r="P182" s="46" t="s">
        <v>1</v>
      </c>
      <c r="Q182" s="25" t="s">
        <v>1</v>
      </c>
      <c r="R182" s="46" t="s">
        <v>1</v>
      </c>
      <c r="S182" s="52" t="s">
        <v>1</v>
      </c>
      <c r="T182" s="46" t="s">
        <v>1</v>
      </c>
      <c r="U182" s="31" t="s">
        <v>1</v>
      </c>
      <c r="V182" s="46" t="s">
        <v>1</v>
      </c>
      <c r="W182" s="31" t="s">
        <v>1</v>
      </c>
      <c r="X182" s="46" t="s">
        <v>1</v>
      </c>
      <c r="Y182" s="31" t="s">
        <v>1</v>
      </c>
      <c r="Z182" s="46" t="s">
        <v>1</v>
      </c>
      <c r="AA182" s="31" t="s">
        <v>1</v>
      </c>
      <c r="AB182" s="46" t="s">
        <v>1</v>
      </c>
      <c r="AC182" s="47" t="s">
        <v>1</v>
      </c>
      <c r="AD182" s="36" t="s">
        <v>1</v>
      </c>
      <c r="AE182" s="51" t="s">
        <v>1</v>
      </c>
      <c r="AF182" s="36" t="s">
        <v>1</v>
      </c>
      <c r="AG182" s="51" t="s">
        <v>1</v>
      </c>
      <c r="AH182" s="36" t="s">
        <v>1</v>
      </c>
      <c r="AI182" s="51" t="s">
        <v>1</v>
      </c>
      <c r="AJ182" s="36" t="s">
        <v>1</v>
      </c>
      <c r="AK182" s="51" t="s">
        <v>1</v>
      </c>
      <c r="AL182" s="36" t="s">
        <v>1</v>
      </c>
      <c r="AM182" s="31" t="s">
        <v>1</v>
      </c>
      <c r="AN182" s="36" t="s">
        <v>1</v>
      </c>
      <c r="AO182" s="31" t="s">
        <v>1</v>
      </c>
      <c r="AP182" s="36" t="s">
        <v>1</v>
      </c>
      <c r="AQ182" s="51" t="s">
        <v>1</v>
      </c>
      <c r="AR182" s="36" t="s">
        <v>1</v>
      </c>
      <c r="AS182" s="47" t="s">
        <v>1</v>
      </c>
      <c r="AT182" s="36" t="s">
        <v>1</v>
      </c>
      <c r="AU182" s="47" t="s">
        <v>1</v>
      </c>
      <c r="AV182" s="36" t="s">
        <v>1</v>
      </c>
      <c r="AW182" s="47" t="s">
        <v>1</v>
      </c>
      <c r="AX182" s="36" t="s">
        <v>2065</v>
      </c>
      <c r="AY182" s="47" t="s">
        <v>2193</v>
      </c>
      <c r="AZ182" s="36" t="s">
        <v>1299</v>
      </c>
      <c r="BA182" s="47" t="s">
        <v>2193</v>
      </c>
      <c r="BB182" s="36" t="s">
        <v>2188</v>
      </c>
      <c r="BC182" s="47" t="s">
        <v>819</v>
      </c>
      <c r="BD182" s="36" t="s">
        <v>2189</v>
      </c>
      <c r="BE182" s="47" t="str">
        <f t="shared" si="6"/>
        <v>"Bairro"</v>
      </c>
    </row>
    <row r="183" spans="1:57" ht="6.65" customHeight="1" x14ac:dyDescent="0.4">
      <c r="A183" s="93">
        <v>150</v>
      </c>
      <c r="B183" s="74" t="s">
        <v>970</v>
      </c>
      <c r="C183" s="44" t="s">
        <v>664</v>
      </c>
      <c r="D183" s="18" t="s">
        <v>744</v>
      </c>
      <c r="E183" s="48" t="s">
        <v>753</v>
      </c>
      <c r="F183" s="18" t="s">
        <v>1</v>
      </c>
      <c r="G183" s="20" t="s">
        <v>1</v>
      </c>
      <c r="H183" s="18" t="s">
        <v>1</v>
      </c>
      <c r="I183" s="20" t="s">
        <v>1</v>
      </c>
      <c r="J183" s="18" t="s">
        <v>1</v>
      </c>
      <c r="K183" s="20" t="s">
        <v>1</v>
      </c>
      <c r="L183" s="18" t="s">
        <v>1</v>
      </c>
      <c r="M183" s="20" t="s">
        <v>1</v>
      </c>
      <c r="N183" s="46" t="s">
        <v>82</v>
      </c>
      <c r="O183" s="25" t="str">
        <f t="shared" si="7"/>
        <v>"B.051 é bairro de Rio de Janeiro"</v>
      </c>
      <c r="P183" s="46" t="s">
        <v>1</v>
      </c>
      <c r="Q183" s="25" t="s">
        <v>1</v>
      </c>
      <c r="R183" s="46" t="s">
        <v>1</v>
      </c>
      <c r="S183" s="52" t="s">
        <v>1</v>
      </c>
      <c r="T183" s="46" t="s">
        <v>1</v>
      </c>
      <c r="U183" s="31" t="s">
        <v>1</v>
      </c>
      <c r="V183" s="46" t="s">
        <v>1</v>
      </c>
      <c r="W183" s="31" t="s">
        <v>1</v>
      </c>
      <c r="X183" s="46" t="s">
        <v>1</v>
      </c>
      <c r="Y183" s="31" t="s">
        <v>1</v>
      </c>
      <c r="Z183" s="46" t="s">
        <v>1</v>
      </c>
      <c r="AA183" s="31" t="s">
        <v>1</v>
      </c>
      <c r="AB183" s="46" t="s">
        <v>1</v>
      </c>
      <c r="AC183" s="47" t="s">
        <v>1</v>
      </c>
      <c r="AD183" s="36" t="s">
        <v>1</v>
      </c>
      <c r="AE183" s="51" t="s">
        <v>1</v>
      </c>
      <c r="AF183" s="36" t="s">
        <v>1</v>
      </c>
      <c r="AG183" s="51" t="s">
        <v>1</v>
      </c>
      <c r="AH183" s="36" t="s">
        <v>1</v>
      </c>
      <c r="AI183" s="51" t="s">
        <v>1</v>
      </c>
      <c r="AJ183" s="36" t="s">
        <v>1</v>
      </c>
      <c r="AK183" s="51" t="s">
        <v>1</v>
      </c>
      <c r="AL183" s="36" t="s">
        <v>1</v>
      </c>
      <c r="AM183" s="31" t="s">
        <v>1</v>
      </c>
      <c r="AN183" s="36" t="s">
        <v>1</v>
      </c>
      <c r="AO183" s="31" t="s">
        <v>1</v>
      </c>
      <c r="AP183" s="36" t="s">
        <v>1</v>
      </c>
      <c r="AQ183" s="51" t="s">
        <v>1</v>
      </c>
      <c r="AR183" s="36" t="s">
        <v>1</v>
      </c>
      <c r="AS183" s="47" t="s">
        <v>1</v>
      </c>
      <c r="AT183" s="36" t="s">
        <v>1</v>
      </c>
      <c r="AU183" s="47" t="s">
        <v>1</v>
      </c>
      <c r="AV183" s="36" t="s">
        <v>1</v>
      </c>
      <c r="AW183" s="47" t="s">
        <v>1</v>
      </c>
      <c r="AX183" s="36" t="s">
        <v>2065</v>
      </c>
      <c r="AY183" s="47" t="s">
        <v>2193</v>
      </c>
      <c r="AZ183" s="36" t="s">
        <v>1299</v>
      </c>
      <c r="BA183" s="47" t="s">
        <v>2193</v>
      </c>
      <c r="BB183" s="36" t="s">
        <v>2188</v>
      </c>
      <c r="BC183" s="47" t="s">
        <v>819</v>
      </c>
      <c r="BD183" s="36" t="s">
        <v>2189</v>
      </c>
      <c r="BE183" s="47" t="str">
        <f t="shared" si="6"/>
        <v>"Bairro"</v>
      </c>
    </row>
    <row r="184" spans="1:57" ht="6.65" customHeight="1" x14ac:dyDescent="0.4">
      <c r="A184" s="93">
        <v>151</v>
      </c>
      <c r="B184" s="74" t="s">
        <v>971</v>
      </c>
      <c r="C184" s="44" t="s">
        <v>664</v>
      </c>
      <c r="D184" s="18" t="s">
        <v>744</v>
      </c>
      <c r="E184" s="48" t="s">
        <v>753</v>
      </c>
      <c r="F184" s="18" t="s">
        <v>1</v>
      </c>
      <c r="G184" s="20" t="s">
        <v>1</v>
      </c>
      <c r="H184" s="18" t="s">
        <v>1</v>
      </c>
      <c r="I184" s="20" t="s">
        <v>1</v>
      </c>
      <c r="J184" s="18" t="s">
        <v>1</v>
      </c>
      <c r="K184" s="20" t="s">
        <v>1</v>
      </c>
      <c r="L184" s="18" t="s">
        <v>1</v>
      </c>
      <c r="M184" s="20" t="s">
        <v>1</v>
      </c>
      <c r="N184" s="46" t="s">
        <v>82</v>
      </c>
      <c r="O184" s="25" t="str">
        <f t="shared" si="7"/>
        <v>"B.115 é bairro de Rio de Janeiro"</v>
      </c>
      <c r="P184" s="46" t="s">
        <v>1</v>
      </c>
      <c r="Q184" s="25" t="s">
        <v>1</v>
      </c>
      <c r="R184" s="46" t="s">
        <v>1</v>
      </c>
      <c r="S184" s="52" t="s">
        <v>1</v>
      </c>
      <c r="T184" s="46" t="s">
        <v>1</v>
      </c>
      <c r="U184" s="31" t="s">
        <v>1</v>
      </c>
      <c r="V184" s="46" t="s">
        <v>1</v>
      </c>
      <c r="W184" s="31" t="s">
        <v>1</v>
      </c>
      <c r="X184" s="46" t="s">
        <v>1</v>
      </c>
      <c r="Y184" s="31" t="s">
        <v>1</v>
      </c>
      <c r="Z184" s="46" t="s">
        <v>1</v>
      </c>
      <c r="AA184" s="31" t="s">
        <v>1</v>
      </c>
      <c r="AB184" s="46" t="s">
        <v>1</v>
      </c>
      <c r="AC184" s="47" t="s">
        <v>1</v>
      </c>
      <c r="AD184" s="36" t="s">
        <v>1</v>
      </c>
      <c r="AE184" s="51" t="s">
        <v>1</v>
      </c>
      <c r="AF184" s="36" t="s">
        <v>1</v>
      </c>
      <c r="AG184" s="51" t="s">
        <v>1</v>
      </c>
      <c r="AH184" s="36" t="s">
        <v>1</v>
      </c>
      <c r="AI184" s="51" t="s">
        <v>1</v>
      </c>
      <c r="AJ184" s="36" t="s">
        <v>1</v>
      </c>
      <c r="AK184" s="51" t="s">
        <v>1</v>
      </c>
      <c r="AL184" s="36" t="s">
        <v>1</v>
      </c>
      <c r="AM184" s="31" t="s">
        <v>1</v>
      </c>
      <c r="AN184" s="36" t="s">
        <v>1</v>
      </c>
      <c r="AO184" s="31" t="s">
        <v>1</v>
      </c>
      <c r="AP184" s="36" t="s">
        <v>1</v>
      </c>
      <c r="AQ184" s="51" t="s">
        <v>1</v>
      </c>
      <c r="AR184" s="36" t="s">
        <v>1</v>
      </c>
      <c r="AS184" s="47" t="s">
        <v>1</v>
      </c>
      <c r="AT184" s="36" t="s">
        <v>1</v>
      </c>
      <c r="AU184" s="47" t="s">
        <v>1</v>
      </c>
      <c r="AV184" s="36" t="s">
        <v>1</v>
      </c>
      <c r="AW184" s="47" t="s">
        <v>1</v>
      </c>
      <c r="AX184" s="36" t="s">
        <v>2065</v>
      </c>
      <c r="AY184" s="47" t="s">
        <v>2193</v>
      </c>
      <c r="AZ184" s="36" t="s">
        <v>1299</v>
      </c>
      <c r="BA184" s="47" t="s">
        <v>2193</v>
      </c>
      <c r="BB184" s="36" t="s">
        <v>2188</v>
      </c>
      <c r="BC184" s="47" t="s">
        <v>819</v>
      </c>
      <c r="BD184" s="36" t="s">
        <v>2189</v>
      </c>
      <c r="BE184" s="47" t="str">
        <f t="shared" si="6"/>
        <v>"Bairro"</v>
      </c>
    </row>
    <row r="185" spans="1:57" ht="6.65" customHeight="1" x14ac:dyDescent="0.4">
      <c r="A185" s="93">
        <v>152</v>
      </c>
      <c r="B185" s="74" t="s">
        <v>972</v>
      </c>
      <c r="C185" s="44" t="s">
        <v>664</v>
      </c>
      <c r="D185" s="18" t="s">
        <v>744</v>
      </c>
      <c r="E185" s="48" t="s">
        <v>753</v>
      </c>
      <c r="F185" s="18" t="s">
        <v>1</v>
      </c>
      <c r="G185" s="20" t="s">
        <v>1</v>
      </c>
      <c r="H185" s="18" t="s">
        <v>1</v>
      </c>
      <c r="I185" s="20" t="s">
        <v>1</v>
      </c>
      <c r="J185" s="18" t="s">
        <v>1</v>
      </c>
      <c r="K185" s="20" t="s">
        <v>1</v>
      </c>
      <c r="L185" s="18" t="s">
        <v>1</v>
      </c>
      <c r="M185" s="20" t="s">
        <v>1</v>
      </c>
      <c r="N185" s="46" t="s">
        <v>82</v>
      </c>
      <c r="O185" s="25" t="str">
        <f t="shared" si="7"/>
        <v>"B.155 é bairro de Rio de Janeiro"</v>
      </c>
      <c r="P185" s="46" t="s">
        <v>1</v>
      </c>
      <c r="Q185" s="25" t="s">
        <v>1</v>
      </c>
      <c r="R185" s="46" t="s">
        <v>1</v>
      </c>
      <c r="S185" s="52" t="s">
        <v>1</v>
      </c>
      <c r="T185" s="46" t="s">
        <v>1</v>
      </c>
      <c r="U185" s="31" t="s">
        <v>1</v>
      </c>
      <c r="V185" s="46" t="s">
        <v>1</v>
      </c>
      <c r="W185" s="31" t="s">
        <v>1</v>
      </c>
      <c r="X185" s="46" t="s">
        <v>1</v>
      </c>
      <c r="Y185" s="31" t="s">
        <v>1</v>
      </c>
      <c r="Z185" s="46" t="s">
        <v>1</v>
      </c>
      <c r="AA185" s="31" t="s">
        <v>1</v>
      </c>
      <c r="AB185" s="46" t="s">
        <v>1</v>
      </c>
      <c r="AC185" s="47" t="s">
        <v>1</v>
      </c>
      <c r="AD185" s="36" t="s">
        <v>1</v>
      </c>
      <c r="AE185" s="51" t="s">
        <v>1</v>
      </c>
      <c r="AF185" s="36" t="s">
        <v>1</v>
      </c>
      <c r="AG185" s="51" t="s">
        <v>1</v>
      </c>
      <c r="AH185" s="36" t="s">
        <v>1</v>
      </c>
      <c r="AI185" s="51" t="s">
        <v>1</v>
      </c>
      <c r="AJ185" s="36" t="s">
        <v>1</v>
      </c>
      <c r="AK185" s="51" t="s">
        <v>1</v>
      </c>
      <c r="AL185" s="36" t="s">
        <v>1</v>
      </c>
      <c r="AM185" s="31" t="s">
        <v>1</v>
      </c>
      <c r="AN185" s="36" t="s">
        <v>1</v>
      </c>
      <c r="AO185" s="31" t="s">
        <v>1</v>
      </c>
      <c r="AP185" s="36" t="s">
        <v>1</v>
      </c>
      <c r="AQ185" s="51" t="s">
        <v>1</v>
      </c>
      <c r="AR185" s="36" t="s">
        <v>1</v>
      </c>
      <c r="AS185" s="47" t="s">
        <v>1</v>
      </c>
      <c r="AT185" s="36" t="s">
        <v>1</v>
      </c>
      <c r="AU185" s="47" t="s">
        <v>1</v>
      </c>
      <c r="AV185" s="36" t="s">
        <v>1</v>
      </c>
      <c r="AW185" s="47" t="s">
        <v>1</v>
      </c>
      <c r="AX185" s="36" t="s">
        <v>2065</v>
      </c>
      <c r="AY185" s="47" t="s">
        <v>2193</v>
      </c>
      <c r="AZ185" s="36" t="s">
        <v>1299</v>
      </c>
      <c r="BA185" s="47" t="s">
        <v>2193</v>
      </c>
      <c r="BB185" s="36" t="s">
        <v>2188</v>
      </c>
      <c r="BC185" s="47" t="s">
        <v>819</v>
      </c>
      <c r="BD185" s="36" t="s">
        <v>2189</v>
      </c>
      <c r="BE185" s="47" t="str">
        <f t="shared" si="6"/>
        <v>"Bairro"</v>
      </c>
    </row>
    <row r="186" spans="1:57" ht="6.65" customHeight="1" x14ac:dyDescent="0.4">
      <c r="A186" s="93">
        <v>153</v>
      </c>
      <c r="B186" s="74" t="s">
        <v>973</v>
      </c>
      <c r="C186" s="44" t="s">
        <v>664</v>
      </c>
      <c r="D186" s="18" t="s">
        <v>744</v>
      </c>
      <c r="E186" s="48" t="s">
        <v>753</v>
      </c>
      <c r="F186" s="18" t="s">
        <v>1</v>
      </c>
      <c r="G186" s="20" t="s">
        <v>1</v>
      </c>
      <c r="H186" s="18" t="s">
        <v>1</v>
      </c>
      <c r="I186" s="20" t="s">
        <v>1</v>
      </c>
      <c r="J186" s="18" t="s">
        <v>1</v>
      </c>
      <c r="K186" s="20" t="s">
        <v>1</v>
      </c>
      <c r="L186" s="18" t="s">
        <v>1</v>
      </c>
      <c r="M186" s="20" t="s">
        <v>1</v>
      </c>
      <c r="N186" s="46" t="s">
        <v>82</v>
      </c>
      <c r="O186" s="25" t="str">
        <f t="shared" si="7"/>
        <v>"B.049 é bairro de Rio de Janeiro"</v>
      </c>
      <c r="P186" s="46" t="s">
        <v>1</v>
      </c>
      <c r="Q186" s="25" t="s">
        <v>1</v>
      </c>
      <c r="R186" s="46" t="s">
        <v>1</v>
      </c>
      <c r="S186" s="52" t="s">
        <v>1</v>
      </c>
      <c r="T186" s="46" t="s">
        <v>1</v>
      </c>
      <c r="U186" s="31" t="s">
        <v>1</v>
      </c>
      <c r="V186" s="46" t="s">
        <v>1</v>
      </c>
      <c r="W186" s="31" t="s">
        <v>1</v>
      </c>
      <c r="X186" s="46" t="s">
        <v>1</v>
      </c>
      <c r="Y186" s="31" t="s">
        <v>1</v>
      </c>
      <c r="Z186" s="46" t="s">
        <v>1</v>
      </c>
      <c r="AA186" s="31" t="s">
        <v>1</v>
      </c>
      <c r="AB186" s="46" t="s">
        <v>1</v>
      </c>
      <c r="AC186" s="47" t="s">
        <v>1</v>
      </c>
      <c r="AD186" s="36" t="s">
        <v>1</v>
      </c>
      <c r="AE186" s="51" t="s">
        <v>1</v>
      </c>
      <c r="AF186" s="36" t="s">
        <v>1</v>
      </c>
      <c r="AG186" s="51" t="s">
        <v>1</v>
      </c>
      <c r="AH186" s="36" t="s">
        <v>1</v>
      </c>
      <c r="AI186" s="51" t="s">
        <v>1</v>
      </c>
      <c r="AJ186" s="36" t="s">
        <v>1</v>
      </c>
      <c r="AK186" s="51" t="s">
        <v>1</v>
      </c>
      <c r="AL186" s="36" t="s">
        <v>1</v>
      </c>
      <c r="AM186" s="31" t="s">
        <v>1</v>
      </c>
      <c r="AN186" s="36" t="s">
        <v>1</v>
      </c>
      <c r="AO186" s="31" t="s">
        <v>1</v>
      </c>
      <c r="AP186" s="36" t="s">
        <v>1</v>
      </c>
      <c r="AQ186" s="51" t="s">
        <v>1</v>
      </c>
      <c r="AR186" s="36" t="s">
        <v>1</v>
      </c>
      <c r="AS186" s="47" t="s">
        <v>1</v>
      </c>
      <c r="AT186" s="36" t="s">
        <v>1</v>
      </c>
      <c r="AU186" s="47" t="s">
        <v>1</v>
      </c>
      <c r="AV186" s="36" t="s">
        <v>1</v>
      </c>
      <c r="AW186" s="47" t="s">
        <v>1</v>
      </c>
      <c r="AX186" s="36" t="s">
        <v>2065</v>
      </c>
      <c r="AY186" s="47" t="s">
        <v>2193</v>
      </c>
      <c r="AZ186" s="36" t="s">
        <v>1299</v>
      </c>
      <c r="BA186" s="47" t="s">
        <v>2193</v>
      </c>
      <c r="BB186" s="36" t="s">
        <v>2188</v>
      </c>
      <c r="BC186" s="47" t="s">
        <v>819</v>
      </c>
      <c r="BD186" s="36" t="s">
        <v>2189</v>
      </c>
      <c r="BE186" s="47" t="str">
        <f t="shared" si="6"/>
        <v>"Bairro"</v>
      </c>
    </row>
    <row r="187" spans="1:57" ht="6.65" customHeight="1" x14ac:dyDescent="0.4">
      <c r="A187" s="93">
        <v>154</v>
      </c>
      <c r="B187" s="74" t="s">
        <v>974</v>
      </c>
      <c r="C187" s="44" t="s">
        <v>664</v>
      </c>
      <c r="D187" s="18" t="s">
        <v>744</v>
      </c>
      <c r="E187" s="48" t="s">
        <v>753</v>
      </c>
      <c r="F187" s="18" t="s">
        <v>1</v>
      </c>
      <c r="G187" s="20" t="s">
        <v>1</v>
      </c>
      <c r="H187" s="18" t="s">
        <v>1</v>
      </c>
      <c r="I187" s="20" t="s">
        <v>1</v>
      </c>
      <c r="J187" s="18" t="s">
        <v>1</v>
      </c>
      <c r="K187" s="20" t="s">
        <v>1</v>
      </c>
      <c r="L187" s="18" t="s">
        <v>1</v>
      </c>
      <c r="M187" s="20" t="s">
        <v>1</v>
      </c>
      <c r="N187" s="46" t="s">
        <v>82</v>
      </c>
      <c r="O187" s="25" t="str">
        <f t="shared" si="7"/>
        <v>"B.028 é bairro de Rio de Janeiro"</v>
      </c>
      <c r="P187" s="46" t="s">
        <v>1</v>
      </c>
      <c r="Q187" s="25" t="s">
        <v>1</v>
      </c>
      <c r="R187" s="46" t="s">
        <v>1</v>
      </c>
      <c r="S187" s="52" t="s">
        <v>1</v>
      </c>
      <c r="T187" s="46" t="s">
        <v>1</v>
      </c>
      <c r="U187" s="31" t="s">
        <v>1</v>
      </c>
      <c r="V187" s="46" t="s">
        <v>1</v>
      </c>
      <c r="W187" s="31" t="s">
        <v>1</v>
      </c>
      <c r="X187" s="46" t="s">
        <v>1</v>
      </c>
      <c r="Y187" s="31" t="s">
        <v>1</v>
      </c>
      <c r="Z187" s="46" t="s">
        <v>1</v>
      </c>
      <c r="AA187" s="31" t="s">
        <v>1</v>
      </c>
      <c r="AB187" s="46" t="s">
        <v>1</v>
      </c>
      <c r="AC187" s="47" t="s">
        <v>1</v>
      </c>
      <c r="AD187" s="36" t="s">
        <v>1</v>
      </c>
      <c r="AE187" s="51" t="s">
        <v>1</v>
      </c>
      <c r="AF187" s="36" t="s">
        <v>1</v>
      </c>
      <c r="AG187" s="51" t="s">
        <v>1</v>
      </c>
      <c r="AH187" s="36" t="s">
        <v>1</v>
      </c>
      <c r="AI187" s="51" t="s">
        <v>1</v>
      </c>
      <c r="AJ187" s="36" t="s">
        <v>1</v>
      </c>
      <c r="AK187" s="51" t="s">
        <v>1</v>
      </c>
      <c r="AL187" s="36" t="s">
        <v>1</v>
      </c>
      <c r="AM187" s="31" t="s">
        <v>1</v>
      </c>
      <c r="AN187" s="36" t="s">
        <v>1</v>
      </c>
      <c r="AO187" s="31" t="s">
        <v>1</v>
      </c>
      <c r="AP187" s="36" t="s">
        <v>1</v>
      </c>
      <c r="AQ187" s="51" t="s">
        <v>1</v>
      </c>
      <c r="AR187" s="36" t="s">
        <v>1</v>
      </c>
      <c r="AS187" s="47" t="s">
        <v>1</v>
      </c>
      <c r="AT187" s="36" t="s">
        <v>1</v>
      </c>
      <c r="AU187" s="47" t="s">
        <v>1</v>
      </c>
      <c r="AV187" s="36" t="s">
        <v>1</v>
      </c>
      <c r="AW187" s="47" t="s">
        <v>1</v>
      </c>
      <c r="AX187" s="36" t="s">
        <v>2065</v>
      </c>
      <c r="AY187" s="47" t="s">
        <v>2193</v>
      </c>
      <c r="AZ187" s="36" t="s">
        <v>1299</v>
      </c>
      <c r="BA187" s="47" t="s">
        <v>2193</v>
      </c>
      <c r="BB187" s="36" t="s">
        <v>2188</v>
      </c>
      <c r="BC187" s="47" t="s">
        <v>819</v>
      </c>
      <c r="BD187" s="36" t="s">
        <v>2189</v>
      </c>
      <c r="BE187" s="47" t="str">
        <f t="shared" si="6"/>
        <v>"Bairro"</v>
      </c>
    </row>
    <row r="188" spans="1:57" ht="6.65" customHeight="1" x14ac:dyDescent="0.4">
      <c r="A188" s="93">
        <v>155</v>
      </c>
      <c r="B188" s="74" t="s">
        <v>975</v>
      </c>
      <c r="C188" s="44" t="s">
        <v>664</v>
      </c>
      <c r="D188" s="18" t="s">
        <v>744</v>
      </c>
      <c r="E188" s="48" t="s">
        <v>753</v>
      </c>
      <c r="F188" s="18" t="s">
        <v>1</v>
      </c>
      <c r="G188" s="20" t="s">
        <v>1</v>
      </c>
      <c r="H188" s="18" t="s">
        <v>1</v>
      </c>
      <c r="I188" s="20" t="s">
        <v>1</v>
      </c>
      <c r="J188" s="18" t="s">
        <v>1</v>
      </c>
      <c r="K188" s="20" t="s">
        <v>1</v>
      </c>
      <c r="L188" s="18" t="s">
        <v>1</v>
      </c>
      <c r="M188" s="20" t="s">
        <v>1</v>
      </c>
      <c r="N188" s="46" t="s">
        <v>82</v>
      </c>
      <c r="O188" s="25" t="str">
        <f t="shared" si="7"/>
        <v>"B.100 é bairro de Rio de Janeiro"</v>
      </c>
      <c r="P188" s="46" t="s">
        <v>1</v>
      </c>
      <c r="Q188" s="25" t="s">
        <v>1</v>
      </c>
      <c r="R188" s="46" t="s">
        <v>1</v>
      </c>
      <c r="S188" s="52" t="s">
        <v>1</v>
      </c>
      <c r="T188" s="46" t="s">
        <v>1</v>
      </c>
      <c r="U188" s="31" t="s">
        <v>1</v>
      </c>
      <c r="V188" s="46" t="s">
        <v>1</v>
      </c>
      <c r="W188" s="31" t="s">
        <v>1</v>
      </c>
      <c r="X188" s="46" t="s">
        <v>1</v>
      </c>
      <c r="Y188" s="31" t="s">
        <v>1</v>
      </c>
      <c r="Z188" s="46" t="s">
        <v>1</v>
      </c>
      <c r="AA188" s="31" t="s">
        <v>1</v>
      </c>
      <c r="AB188" s="46" t="s">
        <v>1</v>
      </c>
      <c r="AC188" s="47" t="s">
        <v>1</v>
      </c>
      <c r="AD188" s="36" t="s">
        <v>1</v>
      </c>
      <c r="AE188" s="51" t="s">
        <v>1</v>
      </c>
      <c r="AF188" s="36" t="s">
        <v>1</v>
      </c>
      <c r="AG188" s="51" t="s">
        <v>1</v>
      </c>
      <c r="AH188" s="36" t="s">
        <v>1</v>
      </c>
      <c r="AI188" s="51" t="s">
        <v>1</v>
      </c>
      <c r="AJ188" s="36" t="s">
        <v>1</v>
      </c>
      <c r="AK188" s="51" t="s">
        <v>1</v>
      </c>
      <c r="AL188" s="36" t="s">
        <v>1</v>
      </c>
      <c r="AM188" s="31" t="s">
        <v>1</v>
      </c>
      <c r="AN188" s="36" t="s">
        <v>1</v>
      </c>
      <c r="AO188" s="31" t="s">
        <v>1</v>
      </c>
      <c r="AP188" s="36" t="s">
        <v>1</v>
      </c>
      <c r="AQ188" s="51" t="s">
        <v>1</v>
      </c>
      <c r="AR188" s="36" t="s">
        <v>1</v>
      </c>
      <c r="AS188" s="47" t="s">
        <v>1</v>
      </c>
      <c r="AT188" s="36" t="s">
        <v>1</v>
      </c>
      <c r="AU188" s="47" t="s">
        <v>1</v>
      </c>
      <c r="AV188" s="36" t="s">
        <v>1</v>
      </c>
      <c r="AW188" s="47" t="s">
        <v>1</v>
      </c>
      <c r="AX188" s="36" t="s">
        <v>2065</v>
      </c>
      <c r="AY188" s="47" t="s">
        <v>2193</v>
      </c>
      <c r="AZ188" s="36" t="s">
        <v>1299</v>
      </c>
      <c r="BA188" s="47" t="s">
        <v>2193</v>
      </c>
      <c r="BB188" s="36" t="s">
        <v>2188</v>
      </c>
      <c r="BC188" s="47" t="s">
        <v>819</v>
      </c>
      <c r="BD188" s="36" t="s">
        <v>2189</v>
      </c>
      <c r="BE188" s="47" t="str">
        <f t="shared" si="6"/>
        <v>"Bairro"</v>
      </c>
    </row>
    <row r="189" spans="1:57" ht="6.65" customHeight="1" x14ac:dyDescent="0.4">
      <c r="A189" s="93">
        <v>156</v>
      </c>
      <c r="B189" s="74" t="s">
        <v>976</v>
      </c>
      <c r="C189" s="44" t="s">
        <v>664</v>
      </c>
      <c r="D189" s="18" t="s">
        <v>744</v>
      </c>
      <c r="E189" s="48" t="s">
        <v>753</v>
      </c>
      <c r="F189" s="18" t="s">
        <v>1</v>
      </c>
      <c r="G189" s="20" t="s">
        <v>1</v>
      </c>
      <c r="H189" s="18" t="s">
        <v>1</v>
      </c>
      <c r="I189" s="20" t="s">
        <v>1</v>
      </c>
      <c r="J189" s="18" t="s">
        <v>1</v>
      </c>
      <c r="K189" s="20" t="s">
        <v>1</v>
      </c>
      <c r="L189" s="18" t="s">
        <v>1</v>
      </c>
      <c r="M189" s="20" t="s">
        <v>1</v>
      </c>
      <c r="N189" s="46" t="s">
        <v>82</v>
      </c>
      <c r="O189" s="25" t="str">
        <f t="shared" si="7"/>
        <v>"B.099 é bairro de Rio de Janeiro"</v>
      </c>
      <c r="P189" s="46" t="s">
        <v>1</v>
      </c>
      <c r="Q189" s="25" t="s">
        <v>1</v>
      </c>
      <c r="R189" s="46" t="s">
        <v>1</v>
      </c>
      <c r="S189" s="52" t="s">
        <v>1</v>
      </c>
      <c r="T189" s="46" t="s">
        <v>1</v>
      </c>
      <c r="U189" s="31" t="s">
        <v>1</v>
      </c>
      <c r="V189" s="46" t="s">
        <v>1</v>
      </c>
      <c r="W189" s="31" t="s">
        <v>1</v>
      </c>
      <c r="X189" s="46" t="s">
        <v>1</v>
      </c>
      <c r="Y189" s="31" t="s">
        <v>1</v>
      </c>
      <c r="Z189" s="46" t="s">
        <v>1</v>
      </c>
      <c r="AA189" s="31" t="s">
        <v>1</v>
      </c>
      <c r="AB189" s="46" t="s">
        <v>1</v>
      </c>
      <c r="AC189" s="47" t="s">
        <v>1</v>
      </c>
      <c r="AD189" s="36" t="s">
        <v>1</v>
      </c>
      <c r="AE189" s="51" t="s">
        <v>1</v>
      </c>
      <c r="AF189" s="36" t="s">
        <v>1</v>
      </c>
      <c r="AG189" s="51" t="s">
        <v>1</v>
      </c>
      <c r="AH189" s="36" t="s">
        <v>1</v>
      </c>
      <c r="AI189" s="51" t="s">
        <v>1</v>
      </c>
      <c r="AJ189" s="36" t="s">
        <v>1</v>
      </c>
      <c r="AK189" s="51" t="s">
        <v>1</v>
      </c>
      <c r="AL189" s="36" t="s">
        <v>1</v>
      </c>
      <c r="AM189" s="31" t="s">
        <v>1</v>
      </c>
      <c r="AN189" s="36" t="s">
        <v>1</v>
      </c>
      <c r="AO189" s="31" t="s">
        <v>1</v>
      </c>
      <c r="AP189" s="36" t="s">
        <v>1</v>
      </c>
      <c r="AQ189" s="51" t="s">
        <v>1</v>
      </c>
      <c r="AR189" s="36" t="s">
        <v>1</v>
      </c>
      <c r="AS189" s="47" t="s">
        <v>1</v>
      </c>
      <c r="AT189" s="36" t="s">
        <v>1</v>
      </c>
      <c r="AU189" s="47" t="s">
        <v>1</v>
      </c>
      <c r="AV189" s="36" t="s">
        <v>1</v>
      </c>
      <c r="AW189" s="47" t="s">
        <v>1</v>
      </c>
      <c r="AX189" s="36" t="s">
        <v>2065</v>
      </c>
      <c r="AY189" s="47" t="s">
        <v>2193</v>
      </c>
      <c r="AZ189" s="36" t="s">
        <v>1299</v>
      </c>
      <c r="BA189" s="47" t="s">
        <v>2193</v>
      </c>
      <c r="BB189" s="36" t="s">
        <v>2188</v>
      </c>
      <c r="BC189" s="47" t="s">
        <v>819</v>
      </c>
      <c r="BD189" s="36" t="s">
        <v>2189</v>
      </c>
      <c r="BE189" s="47" t="str">
        <f t="shared" si="6"/>
        <v>"Bairro"</v>
      </c>
    </row>
    <row r="190" spans="1:57" ht="6.65" customHeight="1" x14ac:dyDescent="0.4">
      <c r="A190" s="93">
        <v>157</v>
      </c>
      <c r="B190" s="74" t="s">
        <v>977</v>
      </c>
      <c r="C190" s="44" t="s">
        <v>664</v>
      </c>
      <c r="D190" s="18" t="s">
        <v>744</v>
      </c>
      <c r="E190" s="48" t="s">
        <v>753</v>
      </c>
      <c r="F190" s="18" t="s">
        <v>1</v>
      </c>
      <c r="G190" s="20" t="s">
        <v>1</v>
      </c>
      <c r="H190" s="18" t="s">
        <v>1</v>
      </c>
      <c r="I190" s="20" t="s">
        <v>1</v>
      </c>
      <c r="J190" s="18" t="s">
        <v>1</v>
      </c>
      <c r="K190" s="20" t="s">
        <v>1</v>
      </c>
      <c r="L190" s="18" t="s">
        <v>1</v>
      </c>
      <c r="M190" s="20" t="s">
        <v>1</v>
      </c>
      <c r="N190" s="46" t="s">
        <v>82</v>
      </c>
      <c r="O190" s="25" t="str">
        <f t="shared" si="7"/>
        <v>"B.137 é bairro de Rio de Janeiro"</v>
      </c>
      <c r="P190" s="46" t="s">
        <v>1</v>
      </c>
      <c r="Q190" s="25" t="s">
        <v>1</v>
      </c>
      <c r="R190" s="46" t="s">
        <v>1</v>
      </c>
      <c r="S190" s="52" t="s">
        <v>1</v>
      </c>
      <c r="T190" s="46" t="s">
        <v>1</v>
      </c>
      <c r="U190" s="31" t="s">
        <v>1</v>
      </c>
      <c r="V190" s="46" t="s">
        <v>1</v>
      </c>
      <c r="W190" s="31" t="s">
        <v>1</v>
      </c>
      <c r="X190" s="46" t="s">
        <v>1</v>
      </c>
      <c r="Y190" s="31" t="s">
        <v>1</v>
      </c>
      <c r="Z190" s="46" t="s">
        <v>1</v>
      </c>
      <c r="AA190" s="31" t="s">
        <v>1</v>
      </c>
      <c r="AB190" s="46" t="s">
        <v>1</v>
      </c>
      <c r="AC190" s="47" t="s">
        <v>1</v>
      </c>
      <c r="AD190" s="36" t="s">
        <v>1</v>
      </c>
      <c r="AE190" s="51" t="s">
        <v>1</v>
      </c>
      <c r="AF190" s="36" t="s">
        <v>1</v>
      </c>
      <c r="AG190" s="51" t="s">
        <v>1</v>
      </c>
      <c r="AH190" s="36" t="s">
        <v>1</v>
      </c>
      <c r="AI190" s="51" t="s">
        <v>1</v>
      </c>
      <c r="AJ190" s="36" t="s">
        <v>1</v>
      </c>
      <c r="AK190" s="51" t="s">
        <v>1</v>
      </c>
      <c r="AL190" s="36" t="s">
        <v>1</v>
      </c>
      <c r="AM190" s="31" t="s">
        <v>1</v>
      </c>
      <c r="AN190" s="36" t="s">
        <v>1</v>
      </c>
      <c r="AO190" s="31" t="s">
        <v>1</v>
      </c>
      <c r="AP190" s="36" t="s">
        <v>1</v>
      </c>
      <c r="AQ190" s="51" t="s">
        <v>1</v>
      </c>
      <c r="AR190" s="36" t="s">
        <v>1</v>
      </c>
      <c r="AS190" s="47" t="s">
        <v>1</v>
      </c>
      <c r="AT190" s="36" t="s">
        <v>1</v>
      </c>
      <c r="AU190" s="47" t="s">
        <v>1</v>
      </c>
      <c r="AV190" s="36" t="s">
        <v>1</v>
      </c>
      <c r="AW190" s="47" t="s">
        <v>1</v>
      </c>
      <c r="AX190" s="36" t="s">
        <v>2065</v>
      </c>
      <c r="AY190" s="47" t="s">
        <v>2193</v>
      </c>
      <c r="AZ190" s="36" t="s">
        <v>1299</v>
      </c>
      <c r="BA190" s="47" t="s">
        <v>2193</v>
      </c>
      <c r="BB190" s="36" t="s">
        <v>2188</v>
      </c>
      <c r="BC190" s="47" t="s">
        <v>819</v>
      </c>
      <c r="BD190" s="36" t="s">
        <v>2189</v>
      </c>
      <c r="BE190" s="47" t="str">
        <f t="shared" si="6"/>
        <v>"Bairro"</v>
      </c>
    </row>
    <row r="191" spans="1:57" ht="6.65" customHeight="1" x14ac:dyDescent="0.4">
      <c r="A191" s="93">
        <v>158</v>
      </c>
      <c r="B191" s="74" t="s">
        <v>978</v>
      </c>
      <c r="C191" s="44" t="s">
        <v>664</v>
      </c>
      <c r="D191" s="18" t="s">
        <v>744</v>
      </c>
      <c r="E191" s="48" t="s">
        <v>753</v>
      </c>
      <c r="F191" s="18" t="s">
        <v>1</v>
      </c>
      <c r="G191" s="20" t="s">
        <v>1</v>
      </c>
      <c r="H191" s="18" t="s">
        <v>1</v>
      </c>
      <c r="I191" s="20" t="s">
        <v>1</v>
      </c>
      <c r="J191" s="18" t="s">
        <v>1</v>
      </c>
      <c r="K191" s="20" t="s">
        <v>1</v>
      </c>
      <c r="L191" s="18" t="s">
        <v>1</v>
      </c>
      <c r="M191" s="20" t="s">
        <v>1</v>
      </c>
      <c r="N191" s="46" t="s">
        <v>82</v>
      </c>
      <c r="O191" s="25" t="str">
        <f t="shared" si="7"/>
        <v>"B.126 é bairro de Rio de Janeiro"</v>
      </c>
      <c r="P191" s="46" t="s">
        <v>1</v>
      </c>
      <c r="Q191" s="25" t="s">
        <v>1</v>
      </c>
      <c r="R191" s="46" t="s">
        <v>1</v>
      </c>
      <c r="S191" s="52" t="s">
        <v>1</v>
      </c>
      <c r="T191" s="46" t="s">
        <v>1</v>
      </c>
      <c r="U191" s="31" t="s">
        <v>1</v>
      </c>
      <c r="V191" s="46" t="s">
        <v>1</v>
      </c>
      <c r="W191" s="31" t="s">
        <v>1</v>
      </c>
      <c r="X191" s="46" t="s">
        <v>1</v>
      </c>
      <c r="Y191" s="31" t="s">
        <v>1</v>
      </c>
      <c r="Z191" s="46" t="s">
        <v>1</v>
      </c>
      <c r="AA191" s="31" t="s">
        <v>1</v>
      </c>
      <c r="AB191" s="46" t="s">
        <v>1</v>
      </c>
      <c r="AC191" s="47" t="s">
        <v>1</v>
      </c>
      <c r="AD191" s="36" t="s">
        <v>1</v>
      </c>
      <c r="AE191" s="51" t="s">
        <v>1</v>
      </c>
      <c r="AF191" s="36" t="s">
        <v>1</v>
      </c>
      <c r="AG191" s="51" t="s">
        <v>1</v>
      </c>
      <c r="AH191" s="36" t="s">
        <v>1</v>
      </c>
      <c r="AI191" s="51" t="s">
        <v>1</v>
      </c>
      <c r="AJ191" s="36" t="s">
        <v>1</v>
      </c>
      <c r="AK191" s="51" t="s">
        <v>1</v>
      </c>
      <c r="AL191" s="36" t="s">
        <v>1</v>
      </c>
      <c r="AM191" s="31" t="s">
        <v>1</v>
      </c>
      <c r="AN191" s="36" t="s">
        <v>1</v>
      </c>
      <c r="AO191" s="31" t="s">
        <v>1</v>
      </c>
      <c r="AP191" s="36" t="s">
        <v>1</v>
      </c>
      <c r="AQ191" s="51" t="s">
        <v>1</v>
      </c>
      <c r="AR191" s="36" t="s">
        <v>1</v>
      </c>
      <c r="AS191" s="47" t="s">
        <v>1</v>
      </c>
      <c r="AT191" s="36" t="s">
        <v>1</v>
      </c>
      <c r="AU191" s="47" t="s">
        <v>1</v>
      </c>
      <c r="AV191" s="36" t="s">
        <v>1</v>
      </c>
      <c r="AW191" s="47" t="s">
        <v>1</v>
      </c>
      <c r="AX191" s="36" t="s">
        <v>2065</v>
      </c>
      <c r="AY191" s="47" t="s">
        <v>2193</v>
      </c>
      <c r="AZ191" s="36" t="s">
        <v>1299</v>
      </c>
      <c r="BA191" s="47" t="s">
        <v>2193</v>
      </c>
      <c r="BB191" s="36" t="s">
        <v>2188</v>
      </c>
      <c r="BC191" s="47" t="s">
        <v>819</v>
      </c>
      <c r="BD191" s="36" t="s">
        <v>2189</v>
      </c>
      <c r="BE191" s="47" t="str">
        <f t="shared" si="6"/>
        <v>"Bairro"</v>
      </c>
    </row>
    <row r="192" spans="1:57" ht="6.65" customHeight="1" x14ac:dyDescent="0.4">
      <c r="A192" s="93">
        <v>159</v>
      </c>
      <c r="B192" s="74" t="s">
        <v>979</v>
      </c>
      <c r="C192" s="44" t="s">
        <v>664</v>
      </c>
      <c r="D192" s="18" t="s">
        <v>744</v>
      </c>
      <c r="E192" s="48" t="s">
        <v>753</v>
      </c>
      <c r="F192" s="18" t="s">
        <v>1</v>
      </c>
      <c r="G192" s="20" t="s">
        <v>1</v>
      </c>
      <c r="H192" s="18" t="s">
        <v>1</v>
      </c>
      <c r="I192" s="20" t="s">
        <v>1</v>
      </c>
      <c r="J192" s="18" t="s">
        <v>1</v>
      </c>
      <c r="K192" s="20" t="s">
        <v>1</v>
      </c>
      <c r="L192" s="18" t="s">
        <v>1</v>
      </c>
      <c r="M192" s="20" t="s">
        <v>1</v>
      </c>
      <c r="N192" s="46" t="s">
        <v>82</v>
      </c>
      <c r="O192" s="25" t="str">
        <f t="shared" si="7"/>
        <v>"B.027 é bairro de Rio de Janeiro"</v>
      </c>
      <c r="P192" s="46" t="s">
        <v>1</v>
      </c>
      <c r="Q192" s="25" t="s">
        <v>1</v>
      </c>
      <c r="R192" s="46" t="s">
        <v>1</v>
      </c>
      <c r="S192" s="52" t="s">
        <v>1</v>
      </c>
      <c r="T192" s="46" t="s">
        <v>1</v>
      </c>
      <c r="U192" s="31" t="s">
        <v>1</v>
      </c>
      <c r="V192" s="46" t="s">
        <v>1</v>
      </c>
      <c r="W192" s="31" t="s">
        <v>1</v>
      </c>
      <c r="X192" s="46" t="s">
        <v>1</v>
      </c>
      <c r="Y192" s="31" t="s">
        <v>1</v>
      </c>
      <c r="Z192" s="46" t="s">
        <v>1</v>
      </c>
      <c r="AA192" s="31" t="s">
        <v>1</v>
      </c>
      <c r="AB192" s="46" t="s">
        <v>1</v>
      </c>
      <c r="AC192" s="47" t="s">
        <v>1</v>
      </c>
      <c r="AD192" s="36" t="s">
        <v>1</v>
      </c>
      <c r="AE192" s="51" t="s">
        <v>1</v>
      </c>
      <c r="AF192" s="36" t="s">
        <v>1</v>
      </c>
      <c r="AG192" s="51" t="s">
        <v>1</v>
      </c>
      <c r="AH192" s="36" t="s">
        <v>1</v>
      </c>
      <c r="AI192" s="51" t="s">
        <v>1</v>
      </c>
      <c r="AJ192" s="36" t="s">
        <v>1</v>
      </c>
      <c r="AK192" s="51" t="s">
        <v>1</v>
      </c>
      <c r="AL192" s="36" t="s">
        <v>1</v>
      </c>
      <c r="AM192" s="31" t="s">
        <v>1</v>
      </c>
      <c r="AN192" s="36" t="s">
        <v>1</v>
      </c>
      <c r="AO192" s="31" t="s">
        <v>1</v>
      </c>
      <c r="AP192" s="36" t="s">
        <v>1</v>
      </c>
      <c r="AQ192" s="51" t="s">
        <v>1</v>
      </c>
      <c r="AR192" s="36" t="s">
        <v>1</v>
      </c>
      <c r="AS192" s="47" t="s">
        <v>1</v>
      </c>
      <c r="AT192" s="36" t="s">
        <v>1</v>
      </c>
      <c r="AU192" s="47" t="s">
        <v>1</v>
      </c>
      <c r="AV192" s="36" t="s">
        <v>1</v>
      </c>
      <c r="AW192" s="47" t="s">
        <v>1</v>
      </c>
      <c r="AX192" s="36" t="s">
        <v>2065</v>
      </c>
      <c r="AY192" s="47" t="s">
        <v>2193</v>
      </c>
      <c r="AZ192" s="36" t="s">
        <v>1299</v>
      </c>
      <c r="BA192" s="47" t="s">
        <v>2193</v>
      </c>
      <c r="BB192" s="36" t="s">
        <v>2188</v>
      </c>
      <c r="BC192" s="47" t="s">
        <v>819</v>
      </c>
      <c r="BD192" s="36" t="s">
        <v>2189</v>
      </c>
      <c r="BE192" s="47" t="str">
        <f t="shared" si="6"/>
        <v>"Bairro"</v>
      </c>
    </row>
    <row r="193" spans="1:57" ht="6.65" customHeight="1" x14ac:dyDescent="0.4">
      <c r="A193" s="93">
        <v>160</v>
      </c>
      <c r="B193" s="74" t="s">
        <v>980</v>
      </c>
      <c r="C193" s="44" t="s">
        <v>664</v>
      </c>
      <c r="D193" s="18" t="s">
        <v>744</v>
      </c>
      <c r="E193" s="48" t="s">
        <v>753</v>
      </c>
      <c r="F193" s="18" t="s">
        <v>1</v>
      </c>
      <c r="G193" s="20" t="s">
        <v>1</v>
      </c>
      <c r="H193" s="18" t="s">
        <v>1</v>
      </c>
      <c r="I193" s="20" t="s">
        <v>1</v>
      </c>
      <c r="J193" s="18" t="s">
        <v>1</v>
      </c>
      <c r="K193" s="20" t="s">
        <v>1</v>
      </c>
      <c r="L193" s="18" t="s">
        <v>1</v>
      </c>
      <c r="M193" s="20" t="s">
        <v>1</v>
      </c>
      <c r="N193" s="46" t="s">
        <v>82</v>
      </c>
      <c r="O193" s="25" t="str">
        <f t="shared" si="7"/>
        <v>"B.161 é bairro de Rio de Janeiro"</v>
      </c>
      <c r="P193" s="46" t="s">
        <v>1</v>
      </c>
      <c r="Q193" s="25" t="s">
        <v>1</v>
      </c>
      <c r="R193" s="46" t="s">
        <v>1</v>
      </c>
      <c r="S193" s="52" t="s">
        <v>1</v>
      </c>
      <c r="T193" s="46" t="s">
        <v>1</v>
      </c>
      <c r="U193" s="31" t="s">
        <v>1</v>
      </c>
      <c r="V193" s="46" t="s">
        <v>1</v>
      </c>
      <c r="W193" s="31" t="s">
        <v>1</v>
      </c>
      <c r="X193" s="46" t="s">
        <v>1</v>
      </c>
      <c r="Y193" s="31" t="s">
        <v>1</v>
      </c>
      <c r="Z193" s="46" t="s">
        <v>1</v>
      </c>
      <c r="AA193" s="31" t="s">
        <v>1</v>
      </c>
      <c r="AB193" s="46" t="s">
        <v>1</v>
      </c>
      <c r="AC193" s="47" t="s">
        <v>1</v>
      </c>
      <c r="AD193" s="36" t="s">
        <v>1</v>
      </c>
      <c r="AE193" s="51" t="s">
        <v>1</v>
      </c>
      <c r="AF193" s="36" t="s">
        <v>1</v>
      </c>
      <c r="AG193" s="51" t="s">
        <v>1</v>
      </c>
      <c r="AH193" s="36" t="s">
        <v>1</v>
      </c>
      <c r="AI193" s="51" t="s">
        <v>1</v>
      </c>
      <c r="AJ193" s="36" t="s">
        <v>1</v>
      </c>
      <c r="AK193" s="51" t="s">
        <v>1</v>
      </c>
      <c r="AL193" s="36" t="s">
        <v>1</v>
      </c>
      <c r="AM193" s="31" t="s">
        <v>1</v>
      </c>
      <c r="AN193" s="36" t="s">
        <v>1</v>
      </c>
      <c r="AO193" s="31" t="s">
        <v>1</v>
      </c>
      <c r="AP193" s="36" t="s">
        <v>1</v>
      </c>
      <c r="AQ193" s="51" t="s">
        <v>1</v>
      </c>
      <c r="AR193" s="36" t="s">
        <v>1</v>
      </c>
      <c r="AS193" s="47" t="s">
        <v>1</v>
      </c>
      <c r="AT193" s="36" t="s">
        <v>1</v>
      </c>
      <c r="AU193" s="47" t="s">
        <v>1</v>
      </c>
      <c r="AV193" s="36" t="s">
        <v>1</v>
      </c>
      <c r="AW193" s="47" t="s">
        <v>1</v>
      </c>
      <c r="AX193" s="36" t="s">
        <v>2065</v>
      </c>
      <c r="AY193" s="47" t="s">
        <v>2193</v>
      </c>
      <c r="AZ193" s="36" t="s">
        <v>1299</v>
      </c>
      <c r="BA193" s="47" t="s">
        <v>2193</v>
      </c>
      <c r="BB193" s="36" t="s">
        <v>2188</v>
      </c>
      <c r="BC193" s="47" t="s">
        <v>819</v>
      </c>
      <c r="BD193" s="36" t="s">
        <v>2189</v>
      </c>
      <c r="BE193" s="47" t="str">
        <f t="shared" si="6"/>
        <v>"Bairro"</v>
      </c>
    </row>
    <row r="194" spans="1:57" ht="6.65" customHeight="1" x14ac:dyDescent="0.4">
      <c r="A194" s="93">
        <v>161</v>
      </c>
      <c r="B194" s="74" t="s">
        <v>981</v>
      </c>
      <c r="C194" s="44" t="s">
        <v>664</v>
      </c>
      <c r="D194" s="18" t="s">
        <v>744</v>
      </c>
      <c r="E194" s="48" t="s">
        <v>753</v>
      </c>
      <c r="F194" s="18" t="s">
        <v>1</v>
      </c>
      <c r="G194" s="20" t="s">
        <v>1</v>
      </c>
      <c r="H194" s="18" t="s">
        <v>1</v>
      </c>
      <c r="I194" s="20" t="s">
        <v>1</v>
      </c>
      <c r="J194" s="18" t="s">
        <v>1</v>
      </c>
      <c r="K194" s="20" t="s">
        <v>1</v>
      </c>
      <c r="L194" s="18" t="s">
        <v>1</v>
      </c>
      <c r="M194" s="20" t="s">
        <v>1</v>
      </c>
      <c r="N194" s="46" t="s">
        <v>82</v>
      </c>
      <c r="O194" s="25" t="str">
        <f t="shared" si="7"/>
        <v>"B.017 é bairro de Rio de Janeiro"</v>
      </c>
      <c r="P194" s="46" t="s">
        <v>1</v>
      </c>
      <c r="Q194" s="25" t="s">
        <v>1</v>
      </c>
      <c r="R194" s="46" t="s">
        <v>1</v>
      </c>
      <c r="S194" s="52" t="s">
        <v>1</v>
      </c>
      <c r="T194" s="46" t="s">
        <v>1</v>
      </c>
      <c r="U194" s="31" t="s">
        <v>1</v>
      </c>
      <c r="V194" s="46" t="s">
        <v>1</v>
      </c>
      <c r="W194" s="31" t="s">
        <v>1</v>
      </c>
      <c r="X194" s="46" t="s">
        <v>1</v>
      </c>
      <c r="Y194" s="31" t="s">
        <v>1</v>
      </c>
      <c r="Z194" s="46" t="s">
        <v>1</v>
      </c>
      <c r="AA194" s="31" t="s">
        <v>1</v>
      </c>
      <c r="AB194" s="46" t="s">
        <v>1</v>
      </c>
      <c r="AC194" s="47" t="s">
        <v>1</v>
      </c>
      <c r="AD194" s="36" t="s">
        <v>1</v>
      </c>
      <c r="AE194" s="51" t="s">
        <v>1</v>
      </c>
      <c r="AF194" s="36" t="s">
        <v>1</v>
      </c>
      <c r="AG194" s="51" t="s">
        <v>1</v>
      </c>
      <c r="AH194" s="36" t="s">
        <v>1</v>
      </c>
      <c r="AI194" s="51" t="s">
        <v>1</v>
      </c>
      <c r="AJ194" s="36" t="s">
        <v>1</v>
      </c>
      <c r="AK194" s="51" t="s">
        <v>1</v>
      </c>
      <c r="AL194" s="36" t="s">
        <v>1</v>
      </c>
      <c r="AM194" s="31" t="s">
        <v>1</v>
      </c>
      <c r="AN194" s="36" t="s">
        <v>1</v>
      </c>
      <c r="AO194" s="31" t="s">
        <v>1</v>
      </c>
      <c r="AP194" s="36" t="s">
        <v>1</v>
      </c>
      <c r="AQ194" s="51" t="s">
        <v>1</v>
      </c>
      <c r="AR194" s="36" t="s">
        <v>1</v>
      </c>
      <c r="AS194" s="47" t="s">
        <v>1</v>
      </c>
      <c r="AT194" s="36" t="s">
        <v>1</v>
      </c>
      <c r="AU194" s="47" t="s">
        <v>1</v>
      </c>
      <c r="AV194" s="36" t="s">
        <v>1</v>
      </c>
      <c r="AW194" s="47" t="s">
        <v>1</v>
      </c>
      <c r="AX194" s="36" t="s">
        <v>2065</v>
      </c>
      <c r="AY194" s="47" t="s">
        <v>2193</v>
      </c>
      <c r="AZ194" s="36" t="s">
        <v>1299</v>
      </c>
      <c r="BA194" s="47" t="s">
        <v>2193</v>
      </c>
      <c r="BB194" s="36" t="s">
        <v>2188</v>
      </c>
      <c r="BC194" s="47" t="s">
        <v>819</v>
      </c>
      <c r="BD194" s="36" t="s">
        <v>2189</v>
      </c>
      <c r="BE194" s="47" t="str">
        <f t="shared" si="6"/>
        <v>"Bairro"</v>
      </c>
    </row>
    <row r="195" spans="1:57" ht="6.65" customHeight="1" x14ac:dyDescent="0.4">
      <c r="A195" s="93">
        <v>162</v>
      </c>
      <c r="B195" s="74" t="s">
        <v>982</v>
      </c>
      <c r="C195" s="44" t="s">
        <v>664</v>
      </c>
      <c r="D195" s="18" t="s">
        <v>744</v>
      </c>
      <c r="E195" s="48" t="s">
        <v>753</v>
      </c>
      <c r="F195" s="18" t="s">
        <v>1</v>
      </c>
      <c r="G195" s="20" t="s">
        <v>1</v>
      </c>
      <c r="H195" s="18" t="s">
        <v>1</v>
      </c>
      <c r="I195" s="20" t="s">
        <v>1</v>
      </c>
      <c r="J195" s="18" t="s">
        <v>1</v>
      </c>
      <c r="K195" s="20" t="s">
        <v>1</v>
      </c>
      <c r="L195" s="18" t="s">
        <v>1</v>
      </c>
      <c r="M195" s="20" t="s">
        <v>1</v>
      </c>
      <c r="N195" s="46" t="s">
        <v>82</v>
      </c>
      <c r="O195" s="25" t="str">
        <f t="shared" si="7"/>
        <v>"B.026 é bairro de Rio de Janeiro"</v>
      </c>
      <c r="P195" s="46" t="s">
        <v>1</v>
      </c>
      <c r="Q195" s="25" t="s">
        <v>1</v>
      </c>
      <c r="R195" s="46" t="s">
        <v>1</v>
      </c>
      <c r="S195" s="52" t="s">
        <v>1</v>
      </c>
      <c r="T195" s="46" t="s">
        <v>1</v>
      </c>
      <c r="U195" s="31" t="s">
        <v>1</v>
      </c>
      <c r="V195" s="46" t="s">
        <v>1</v>
      </c>
      <c r="W195" s="31" t="s">
        <v>1</v>
      </c>
      <c r="X195" s="46" t="s">
        <v>1</v>
      </c>
      <c r="Y195" s="31" t="s">
        <v>1</v>
      </c>
      <c r="Z195" s="46" t="s">
        <v>1</v>
      </c>
      <c r="AA195" s="31" t="s">
        <v>1</v>
      </c>
      <c r="AB195" s="46" t="s">
        <v>1</v>
      </c>
      <c r="AC195" s="47" t="s">
        <v>1</v>
      </c>
      <c r="AD195" s="36" t="s">
        <v>1</v>
      </c>
      <c r="AE195" s="51" t="s">
        <v>1</v>
      </c>
      <c r="AF195" s="36" t="s">
        <v>1</v>
      </c>
      <c r="AG195" s="51" t="s">
        <v>1</v>
      </c>
      <c r="AH195" s="36" t="s">
        <v>1</v>
      </c>
      <c r="AI195" s="51" t="s">
        <v>1</v>
      </c>
      <c r="AJ195" s="36" t="s">
        <v>1</v>
      </c>
      <c r="AK195" s="51" t="s">
        <v>1</v>
      </c>
      <c r="AL195" s="36" t="s">
        <v>1</v>
      </c>
      <c r="AM195" s="31" t="s">
        <v>1</v>
      </c>
      <c r="AN195" s="36" t="s">
        <v>1</v>
      </c>
      <c r="AO195" s="31" t="s">
        <v>1</v>
      </c>
      <c r="AP195" s="36" t="s">
        <v>1</v>
      </c>
      <c r="AQ195" s="51" t="s">
        <v>1</v>
      </c>
      <c r="AR195" s="36" t="s">
        <v>1</v>
      </c>
      <c r="AS195" s="47" t="s">
        <v>1</v>
      </c>
      <c r="AT195" s="36" t="s">
        <v>1</v>
      </c>
      <c r="AU195" s="47" t="s">
        <v>1</v>
      </c>
      <c r="AV195" s="36" t="s">
        <v>1</v>
      </c>
      <c r="AW195" s="47" t="s">
        <v>1</v>
      </c>
      <c r="AX195" s="36" t="s">
        <v>2065</v>
      </c>
      <c r="AY195" s="47" t="s">
        <v>2193</v>
      </c>
      <c r="AZ195" s="36" t="s">
        <v>1299</v>
      </c>
      <c r="BA195" s="47" t="s">
        <v>2193</v>
      </c>
      <c r="BB195" s="36" t="s">
        <v>2188</v>
      </c>
      <c r="BC195" s="47" t="s">
        <v>819</v>
      </c>
      <c r="BD195" s="36" t="s">
        <v>2189</v>
      </c>
      <c r="BE195" s="47" t="str">
        <f t="shared" si="6"/>
        <v>"Bairro"</v>
      </c>
    </row>
    <row r="196" spans="1:57" ht="6.65" customHeight="1" x14ac:dyDescent="0.4">
      <c r="A196" s="93">
        <v>163</v>
      </c>
      <c r="B196" s="74" t="s">
        <v>983</v>
      </c>
      <c r="C196" s="44" t="s">
        <v>664</v>
      </c>
      <c r="D196" s="18" t="s">
        <v>744</v>
      </c>
      <c r="E196" s="48" t="s">
        <v>753</v>
      </c>
      <c r="F196" s="18" t="s">
        <v>1</v>
      </c>
      <c r="G196" s="20" t="s">
        <v>1</v>
      </c>
      <c r="H196" s="18" t="s">
        <v>1</v>
      </c>
      <c r="I196" s="20" t="s">
        <v>1</v>
      </c>
      <c r="J196" s="18" t="s">
        <v>1</v>
      </c>
      <c r="K196" s="20" t="s">
        <v>1</v>
      </c>
      <c r="L196" s="18" t="s">
        <v>1</v>
      </c>
      <c r="M196" s="20" t="s">
        <v>1</v>
      </c>
      <c r="N196" s="46" t="s">
        <v>82</v>
      </c>
      <c r="O196" s="25" t="str">
        <f t="shared" si="7"/>
        <v>"B.023 é bairro de Rio de Janeiro"</v>
      </c>
      <c r="P196" s="46" t="s">
        <v>1</v>
      </c>
      <c r="Q196" s="25" t="s">
        <v>1</v>
      </c>
      <c r="R196" s="46" t="s">
        <v>1</v>
      </c>
      <c r="S196" s="52" t="s">
        <v>1</v>
      </c>
      <c r="T196" s="46" t="s">
        <v>1</v>
      </c>
      <c r="U196" s="31" t="s">
        <v>1</v>
      </c>
      <c r="V196" s="46" t="s">
        <v>1</v>
      </c>
      <c r="W196" s="31" t="s">
        <v>1</v>
      </c>
      <c r="X196" s="46" t="s">
        <v>1</v>
      </c>
      <c r="Y196" s="31" t="s">
        <v>1</v>
      </c>
      <c r="Z196" s="46" t="s">
        <v>1</v>
      </c>
      <c r="AA196" s="31" t="s">
        <v>1</v>
      </c>
      <c r="AB196" s="46" t="s">
        <v>1</v>
      </c>
      <c r="AC196" s="47" t="s">
        <v>1</v>
      </c>
      <c r="AD196" s="36" t="s">
        <v>1</v>
      </c>
      <c r="AE196" s="51" t="s">
        <v>1</v>
      </c>
      <c r="AF196" s="36" t="s">
        <v>1</v>
      </c>
      <c r="AG196" s="51" t="s">
        <v>1</v>
      </c>
      <c r="AH196" s="36" t="s">
        <v>1</v>
      </c>
      <c r="AI196" s="51" t="s">
        <v>1</v>
      </c>
      <c r="AJ196" s="36" t="s">
        <v>1</v>
      </c>
      <c r="AK196" s="51" t="s">
        <v>1</v>
      </c>
      <c r="AL196" s="36" t="s">
        <v>1</v>
      </c>
      <c r="AM196" s="31" t="s">
        <v>1</v>
      </c>
      <c r="AN196" s="36" t="s">
        <v>1</v>
      </c>
      <c r="AO196" s="31" t="s">
        <v>1</v>
      </c>
      <c r="AP196" s="36" t="s">
        <v>1</v>
      </c>
      <c r="AQ196" s="51" t="s">
        <v>1</v>
      </c>
      <c r="AR196" s="36" t="s">
        <v>1</v>
      </c>
      <c r="AS196" s="47" t="s">
        <v>1</v>
      </c>
      <c r="AT196" s="36" t="s">
        <v>1</v>
      </c>
      <c r="AU196" s="47" t="s">
        <v>1</v>
      </c>
      <c r="AV196" s="36" t="s">
        <v>1</v>
      </c>
      <c r="AW196" s="47" t="s">
        <v>1</v>
      </c>
      <c r="AX196" s="36" t="s">
        <v>2065</v>
      </c>
      <c r="AY196" s="47" t="s">
        <v>2193</v>
      </c>
      <c r="AZ196" s="36" t="s">
        <v>1299</v>
      </c>
      <c r="BA196" s="47" t="s">
        <v>2193</v>
      </c>
      <c r="BB196" s="36" t="s">
        <v>2188</v>
      </c>
      <c r="BC196" s="47" t="s">
        <v>819</v>
      </c>
      <c r="BD196" s="36" t="s">
        <v>2189</v>
      </c>
      <c r="BE196" s="47" t="str">
        <f t="shared" si="6"/>
        <v>"Bairro"</v>
      </c>
    </row>
    <row r="197" spans="1:57" ht="6.65" customHeight="1" x14ac:dyDescent="0.4">
      <c r="A197" s="93">
        <v>164</v>
      </c>
      <c r="B197" s="74" t="s">
        <v>984</v>
      </c>
      <c r="C197" s="44" t="s">
        <v>664</v>
      </c>
      <c r="D197" s="18" t="s">
        <v>744</v>
      </c>
      <c r="E197" s="48" t="s">
        <v>753</v>
      </c>
      <c r="F197" s="18" t="s">
        <v>1</v>
      </c>
      <c r="G197" s="20" t="s">
        <v>1</v>
      </c>
      <c r="H197" s="18" t="s">
        <v>1</v>
      </c>
      <c r="I197" s="20" t="s">
        <v>1</v>
      </c>
      <c r="J197" s="18" t="s">
        <v>1</v>
      </c>
      <c r="K197" s="20" t="s">
        <v>1</v>
      </c>
      <c r="L197" s="18" t="s">
        <v>1</v>
      </c>
      <c r="M197" s="20" t="s">
        <v>1</v>
      </c>
      <c r="N197" s="46" t="s">
        <v>82</v>
      </c>
      <c r="O197" s="25" t="str">
        <f t="shared" si="7"/>
        <v>"B.062 é bairro de Rio de Janeiro"</v>
      </c>
      <c r="P197" s="46" t="s">
        <v>1</v>
      </c>
      <c r="Q197" s="25" t="s">
        <v>1</v>
      </c>
      <c r="R197" s="46" t="s">
        <v>1</v>
      </c>
      <c r="S197" s="52" t="s">
        <v>1</v>
      </c>
      <c r="T197" s="46" t="s">
        <v>1</v>
      </c>
      <c r="U197" s="31" t="s">
        <v>1</v>
      </c>
      <c r="V197" s="46" t="s">
        <v>1</v>
      </c>
      <c r="W197" s="31" t="s">
        <v>1</v>
      </c>
      <c r="X197" s="46" t="s">
        <v>1</v>
      </c>
      <c r="Y197" s="31" t="s">
        <v>1</v>
      </c>
      <c r="Z197" s="46" t="s">
        <v>1</v>
      </c>
      <c r="AA197" s="31" t="s">
        <v>1</v>
      </c>
      <c r="AB197" s="46" t="s">
        <v>1</v>
      </c>
      <c r="AC197" s="47" t="s">
        <v>1</v>
      </c>
      <c r="AD197" s="36" t="s">
        <v>1</v>
      </c>
      <c r="AE197" s="51" t="s">
        <v>1</v>
      </c>
      <c r="AF197" s="36" t="s">
        <v>1</v>
      </c>
      <c r="AG197" s="51" t="s">
        <v>1</v>
      </c>
      <c r="AH197" s="36" t="s">
        <v>1</v>
      </c>
      <c r="AI197" s="51" t="s">
        <v>1</v>
      </c>
      <c r="AJ197" s="36" t="s">
        <v>1</v>
      </c>
      <c r="AK197" s="51" t="s">
        <v>1</v>
      </c>
      <c r="AL197" s="36" t="s">
        <v>1</v>
      </c>
      <c r="AM197" s="31" t="s">
        <v>1</v>
      </c>
      <c r="AN197" s="36" t="s">
        <v>1</v>
      </c>
      <c r="AO197" s="31" t="s">
        <v>1</v>
      </c>
      <c r="AP197" s="36" t="s">
        <v>1</v>
      </c>
      <c r="AQ197" s="51" t="s">
        <v>1</v>
      </c>
      <c r="AR197" s="36" t="s">
        <v>1</v>
      </c>
      <c r="AS197" s="47" t="s">
        <v>1</v>
      </c>
      <c r="AT197" s="36" t="s">
        <v>1</v>
      </c>
      <c r="AU197" s="47" t="s">
        <v>1</v>
      </c>
      <c r="AV197" s="36" t="s">
        <v>1</v>
      </c>
      <c r="AW197" s="47" t="s">
        <v>1</v>
      </c>
      <c r="AX197" s="36" t="s">
        <v>2065</v>
      </c>
      <c r="AY197" s="47" t="s">
        <v>2193</v>
      </c>
      <c r="AZ197" s="36" t="s">
        <v>1299</v>
      </c>
      <c r="BA197" s="47" t="s">
        <v>2193</v>
      </c>
      <c r="BB197" s="36" t="s">
        <v>2188</v>
      </c>
      <c r="BC197" s="47" t="s">
        <v>819</v>
      </c>
      <c r="BD197" s="36" t="s">
        <v>2189</v>
      </c>
      <c r="BE197" s="47" t="str">
        <f t="shared" si="6"/>
        <v>"Bairro"</v>
      </c>
    </row>
    <row r="198" spans="1:57" ht="6.65" customHeight="1" x14ac:dyDescent="0.4">
      <c r="A198" s="93">
        <v>165</v>
      </c>
      <c r="B198" s="74" t="s">
        <v>985</v>
      </c>
      <c r="C198" s="44" t="s">
        <v>664</v>
      </c>
      <c r="D198" s="18" t="s">
        <v>744</v>
      </c>
      <c r="E198" s="48" t="s">
        <v>753</v>
      </c>
      <c r="F198" s="18" t="s">
        <v>1</v>
      </c>
      <c r="G198" s="20" t="s">
        <v>1</v>
      </c>
      <c r="H198" s="18" t="s">
        <v>1</v>
      </c>
      <c r="I198" s="20" t="s">
        <v>1</v>
      </c>
      <c r="J198" s="18" t="s">
        <v>1</v>
      </c>
      <c r="K198" s="20" t="s">
        <v>1</v>
      </c>
      <c r="L198" s="18" t="s">
        <v>1</v>
      </c>
      <c r="M198" s="20" t="s">
        <v>1</v>
      </c>
      <c r="N198" s="46" t="s">
        <v>82</v>
      </c>
      <c r="O198" s="25" t="str">
        <f t="shared" si="7"/>
        <v>"B.083 é bairro de Rio de Janeiro"</v>
      </c>
      <c r="P198" s="46" t="s">
        <v>1</v>
      </c>
      <c r="Q198" s="25" t="s">
        <v>1</v>
      </c>
      <c r="R198" s="46" t="s">
        <v>1</v>
      </c>
      <c r="S198" s="52" t="s">
        <v>1</v>
      </c>
      <c r="T198" s="46" t="s">
        <v>1</v>
      </c>
      <c r="U198" s="31" t="s">
        <v>1</v>
      </c>
      <c r="V198" s="46" t="s">
        <v>1</v>
      </c>
      <c r="W198" s="31" t="s">
        <v>1</v>
      </c>
      <c r="X198" s="46" t="s">
        <v>1</v>
      </c>
      <c r="Y198" s="31" t="s">
        <v>1</v>
      </c>
      <c r="Z198" s="46" t="s">
        <v>1</v>
      </c>
      <c r="AA198" s="31" t="s">
        <v>1</v>
      </c>
      <c r="AB198" s="46" t="s">
        <v>1</v>
      </c>
      <c r="AC198" s="47" t="s">
        <v>1</v>
      </c>
      <c r="AD198" s="36" t="s">
        <v>1</v>
      </c>
      <c r="AE198" s="51" t="s">
        <v>1</v>
      </c>
      <c r="AF198" s="36" t="s">
        <v>1</v>
      </c>
      <c r="AG198" s="51" t="s">
        <v>1</v>
      </c>
      <c r="AH198" s="36" t="s">
        <v>1</v>
      </c>
      <c r="AI198" s="51" t="s">
        <v>1</v>
      </c>
      <c r="AJ198" s="36" t="s">
        <v>1</v>
      </c>
      <c r="AK198" s="51" t="s">
        <v>1</v>
      </c>
      <c r="AL198" s="36" t="s">
        <v>1</v>
      </c>
      <c r="AM198" s="31" t="s">
        <v>1</v>
      </c>
      <c r="AN198" s="36" t="s">
        <v>1</v>
      </c>
      <c r="AO198" s="31" t="s">
        <v>1</v>
      </c>
      <c r="AP198" s="36" t="s">
        <v>1</v>
      </c>
      <c r="AQ198" s="51" t="s">
        <v>1</v>
      </c>
      <c r="AR198" s="36" t="s">
        <v>1</v>
      </c>
      <c r="AS198" s="47" t="s">
        <v>1</v>
      </c>
      <c r="AT198" s="36" t="s">
        <v>1</v>
      </c>
      <c r="AU198" s="47" t="s">
        <v>1</v>
      </c>
      <c r="AV198" s="36" t="s">
        <v>1</v>
      </c>
      <c r="AW198" s="47" t="s">
        <v>1</v>
      </c>
      <c r="AX198" s="36" t="s">
        <v>2065</v>
      </c>
      <c r="AY198" s="47" t="s">
        <v>2193</v>
      </c>
      <c r="AZ198" s="36" t="s">
        <v>1299</v>
      </c>
      <c r="BA198" s="47" t="s">
        <v>2193</v>
      </c>
      <c r="BB198" s="36" t="s">
        <v>2188</v>
      </c>
      <c r="BC198" s="47" t="s">
        <v>819</v>
      </c>
      <c r="BD198" s="36" t="s">
        <v>2189</v>
      </c>
      <c r="BE198" s="47" t="str">
        <f t="shared" si="6"/>
        <v>"Bairro"</v>
      </c>
    </row>
    <row r="199" spans="1:57" ht="6.65" customHeight="1" x14ac:dyDescent="0.4">
      <c r="A199" s="93">
        <v>166</v>
      </c>
      <c r="B199" s="74" t="s">
        <v>986</v>
      </c>
      <c r="C199" s="44" t="s">
        <v>664</v>
      </c>
      <c r="D199" s="18" t="s">
        <v>744</v>
      </c>
      <c r="E199" s="48" t="s">
        <v>753</v>
      </c>
      <c r="F199" s="18" t="s">
        <v>1</v>
      </c>
      <c r="G199" s="20" t="s">
        <v>1</v>
      </c>
      <c r="H199" s="18" t="s">
        <v>1</v>
      </c>
      <c r="I199" s="20" t="s">
        <v>1</v>
      </c>
      <c r="J199" s="18" t="s">
        <v>1</v>
      </c>
      <c r="K199" s="20" t="s">
        <v>1</v>
      </c>
      <c r="L199" s="18" t="s">
        <v>1</v>
      </c>
      <c r="M199" s="20" t="s">
        <v>1</v>
      </c>
      <c r="N199" s="46" t="s">
        <v>82</v>
      </c>
      <c r="O199" s="25" t="str">
        <f t="shared" si="7"/>
        <v>"B.138 é bairro de Rio de Janeiro"</v>
      </c>
      <c r="P199" s="46" t="s">
        <v>1</v>
      </c>
      <c r="Q199" s="25" t="s">
        <v>1</v>
      </c>
      <c r="R199" s="46" t="s">
        <v>1</v>
      </c>
      <c r="S199" s="52" t="s">
        <v>1</v>
      </c>
      <c r="T199" s="46" t="s">
        <v>1</v>
      </c>
      <c r="U199" s="31" t="s">
        <v>1</v>
      </c>
      <c r="V199" s="46" t="s">
        <v>1</v>
      </c>
      <c r="W199" s="31" t="s">
        <v>1</v>
      </c>
      <c r="X199" s="46" t="s">
        <v>1</v>
      </c>
      <c r="Y199" s="31" t="s">
        <v>1</v>
      </c>
      <c r="Z199" s="46" t="s">
        <v>1</v>
      </c>
      <c r="AA199" s="31" t="s">
        <v>1</v>
      </c>
      <c r="AB199" s="46" t="s">
        <v>1</v>
      </c>
      <c r="AC199" s="47" t="s">
        <v>1</v>
      </c>
      <c r="AD199" s="36" t="s">
        <v>1</v>
      </c>
      <c r="AE199" s="51" t="s">
        <v>1</v>
      </c>
      <c r="AF199" s="36" t="s">
        <v>1</v>
      </c>
      <c r="AG199" s="51" t="s">
        <v>1</v>
      </c>
      <c r="AH199" s="36" t="s">
        <v>1</v>
      </c>
      <c r="AI199" s="51" t="s">
        <v>1</v>
      </c>
      <c r="AJ199" s="36" t="s">
        <v>1</v>
      </c>
      <c r="AK199" s="51" t="s">
        <v>1</v>
      </c>
      <c r="AL199" s="36" t="s">
        <v>1</v>
      </c>
      <c r="AM199" s="31" t="s">
        <v>1</v>
      </c>
      <c r="AN199" s="36" t="s">
        <v>1</v>
      </c>
      <c r="AO199" s="31" t="s">
        <v>1</v>
      </c>
      <c r="AP199" s="36" t="s">
        <v>1</v>
      </c>
      <c r="AQ199" s="51" t="s">
        <v>1</v>
      </c>
      <c r="AR199" s="36" t="s">
        <v>1</v>
      </c>
      <c r="AS199" s="47" t="s">
        <v>1</v>
      </c>
      <c r="AT199" s="36" t="s">
        <v>1</v>
      </c>
      <c r="AU199" s="47" t="s">
        <v>1</v>
      </c>
      <c r="AV199" s="36" t="s">
        <v>1</v>
      </c>
      <c r="AW199" s="47" t="s">
        <v>1</v>
      </c>
      <c r="AX199" s="36" t="s">
        <v>2065</v>
      </c>
      <c r="AY199" s="47" t="s">
        <v>2193</v>
      </c>
      <c r="AZ199" s="36" t="s">
        <v>1299</v>
      </c>
      <c r="BA199" s="47" t="s">
        <v>2193</v>
      </c>
      <c r="BB199" s="36" t="s">
        <v>2188</v>
      </c>
      <c r="BC199" s="47" t="s">
        <v>819</v>
      </c>
      <c r="BD199" s="36" t="s">
        <v>2189</v>
      </c>
      <c r="BE199" s="47" t="str">
        <f t="shared" si="6"/>
        <v>"Bairro"</v>
      </c>
    </row>
    <row r="200" spans="1:57" ht="6.65" customHeight="1" x14ac:dyDescent="0.4">
      <c r="A200" s="93">
        <v>167</v>
      </c>
      <c r="B200" s="74" t="s">
        <v>987</v>
      </c>
      <c r="C200" s="44" t="s">
        <v>664</v>
      </c>
      <c r="D200" s="18" t="s">
        <v>744</v>
      </c>
      <c r="E200" s="48" t="s">
        <v>753</v>
      </c>
      <c r="F200" s="18" t="s">
        <v>1</v>
      </c>
      <c r="G200" s="20" t="s">
        <v>1</v>
      </c>
      <c r="H200" s="18" t="s">
        <v>1</v>
      </c>
      <c r="I200" s="20" t="s">
        <v>1</v>
      </c>
      <c r="J200" s="18" t="s">
        <v>1</v>
      </c>
      <c r="K200" s="20" t="s">
        <v>1</v>
      </c>
      <c r="L200" s="18" t="s">
        <v>1</v>
      </c>
      <c r="M200" s="20" t="s">
        <v>1</v>
      </c>
      <c r="N200" s="46" t="s">
        <v>82</v>
      </c>
      <c r="O200" s="25" t="str">
        <f t="shared" si="7"/>
        <v>"B.011 é bairro de Rio de Janeiro"</v>
      </c>
      <c r="P200" s="46" t="s">
        <v>1</v>
      </c>
      <c r="Q200" s="25" t="s">
        <v>1</v>
      </c>
      <c r="R200" s="46" t="s">
        <v>1</v>
      </c>
      <c r="S200" s="52" t="s">
        <v>1</v>
      </c>
      <c r="T200" s="46" t="s">
        <v>1</v>
      </c>
      <c r="U200" s="31" t="s">
        <v>1</v>
      </c>
      <c r="V200" s="46" t="s">
        <v>1</v>
      </c>
      <c r="W200" s="31" t="s">
        <v>1</v>
      </c>
      <c r="X200" s="46" t="s">
        <v>1</v>
      </c>
      <c r="Y200" s="31" t="s">
        <v>1</v>
      </c>
      <c r="Z200" s="46" t="s">
        <v>1</v>
      </c>
      <c r="AA200" s="31" t="s">
        <v>1</v>
      </c>
      <c r="AB200" s="46" t="s">
        <v>1</v>
      </c>
      <c r="AC200" s="47" t="s">
        <v>1</v>
      </c>
      <c r="AD200" s="36" t="s">
        <v>1</v>
      </c>
      <c r="AE200" s="51" t="s">
        <v>1</v>
      </c>
      <c r="AF200" s="36" t="s">
        <v>1</v>
      </c>
      <c r="AG200" s="51" t="s">
        <v>1</v>
      </c>
      <c r="AH200" s="36" t="s">
        <v>1</v>
      </c>
      <c r="AI200" s="51" t="s">
        <v>1</v>
      </c>
      <c r="AJ200" s="36" t="s">
        <v>1</v>
      </c>
      <c r="AK200" s="51" t="s">
        <v>1</v>
      </c>
      <c r="AL200" s="36" t="s">
        <v>1</v>
      </c>
      <c r="AM200" s="31" t="s">
        <v>1</v>
      </c>
      <c r="AN200" s="36" t="s">
        <v>1</v>
      </c>
      <c r="AO200" s="31" t="s">
        <v>1</v>
      </c>
      <c r="AP200" s="36" t="s">
        <v>1</v>
      </c>
      <c r="AQ200" s="51" t="s">
        <v>1</v>
      </c>
      <c r="AR200" s="36" t="s">
        <v>1</v>
      </c>
      <c r="AS200" s="47" t="s">
        <v>1</v>
      </c>
      <c r="AT200" s="36" t="s">
        <v>1</v>
      </c>
      <c r="AU200" s="47" t="s">
        <v>1</v>
      </c>
      <c r="AV200" s="36" t="s">
        <v>1</v>
      </c>
      <c r="AW200" s="47" t="s">
        <v>1</v>
      </c>
      <c r="AX200" s="36" t="s">
        <v>2065</v>
      </c>
      <c r="AY200" s="47" t="s">
        <v>2193</v>
      </c>
      <c r="AZ200" s="36" t="s">
        <v>1299</v>
      </c>
      <c r="BA200" s="47" t="s">
        <v>2193</v>
      </c>
      <c r="BB200" s="36" t="s">
        <v>2188</v>
      </c>
      <c r="BC200" s="47" t="s">
        <v>819</v>
      </c>
      <c r="BD200" s="36" t="s">
        <v>2189</v>
      </c>
      <c r="BE200" s="47" t="str">
        <f t="shared" si="6"/>
        <v>"Bairro"</v>
      </c>
    </row>
    <row r="201" spans="1:57" ht="6.65" customHeight="1" x14ac:dyDescent="0.4">
      <c r="A201" s="93">
        <v>168</v>
      </c>
      <c r="B201" s="74" t="s">
        <v>988</v>
      </c>
      <c r="C201" s="44" t="s">
        <v>664</v>
      </c>
      <c r="D201" s="18" t="s">
        <v>744</v>
      </c>
      <c r="E201" s="48" t="s">
        <v>753</v>
      </c>
      <c r="F201" s="18" t="s">
        <v>1</v>
      </c>
      <c r="G201" s="20" t="s">
        <v>1</v>
      </c>
      <c r="H201" s="18" t="s">
        <v>1</v>
      </c>
      <c r="I201" s="20" t="s">
        <v>1</v>
      </c>
      <c r="J201" s="18" t="s">
        <v>1</v>
      </c>
      <c r="K201" s="20" t="s">
        <v>1</v>
      </c>
      <c r="L201" s="18" t="s">
        <v>1</v>
      </c>
      <c r="M201" s="20" t="s">
        <v>1</v>
      </c>
      <c r="N201" s="46" t="s">
        <v>82</v>
      </c>
      <c r="O201" s="25" t="str">
        <f t="shared" si="7"/>
        <v>"B.039 é bairro de Rio de Janeiro"</v>
      </c>
      <c r="P201" s="46" t="s">
        <v>1</v>
      </c>
      <c r="Q201" s="25" t="s">
        <v>1</v>
      </c>
      <c r="R201" s="46" t="s">
        <v>1</v>
      </c>
      <c r="S201" s="52" t="s">
        <v>1</v>
      </c>
      <c r="T201" s="46" t="s">
        <v>1</v>
      </c>
      <c r="U201" s="31" t="s">
        <v>1</v>
      </c>
      <c r="V201" s="46" t="s">
        <v>1</v>
      </c>
      <c r="W201" s="31" t="s">
        <v>1</v>
      </c>
      <c r="X201" s="46" t="s">
        <v>1</v>
      </c>
      <c r="Y201" s="31" t="s">
        <v>1</v>
      </c>
      <c r="Z201" s="46" t="s">
        <v>1</v>
      </c>
      <c r="AA201" s="31" t="s">
        <v>1</v>
      </c>
      <c r="AB201" s="46" t="s">
        <v>1</v>
      </c>
      <c r="AC201" s="47" t="s">
        <v>1</v>
      </c>
      <c r="AD201" s="36" t="s">
        <v>1</v>
      </c>
      <c r="AE201" s="51" t="s">
        <v>1</v>
      </c>
      <c r="AF201" s="36" t="s">
        <v>1</v>
      </c>
      <c r="AG201" s="51" t="s">
        <v>1</v>
      </c>
      <c r="AH201" s="36" t="s">
        <v>1</v>
      </c>
      <c r="AI201" s="51" t="s">
        <v>1</v>
      </c>
      <c r="AJ201" s="36" t="s">
        <v>1</v>
      </c>
      <c r="AK201" s="51" t="s">
        <v>1</v>
      </c>
      <c r="AL201" s="36" t="s">
        <v>1</v>
      </c>
      <c r="AM201" s="31" t="s">
        <v>1</v>
      </c>
      <c r="AN201" s="36" t="s">
        <v>1</v>
      </c>
      <c r="AO201" s="31" t="s">
        <v>1</v>
      </c>
      <c r="AP201" s="36" t="s">
        <v>1</v>
      </c>
      <c r="AQ201" s="51" t="s">
        <v>1</v>
      </c>
      <c r="AR201" s="36" t="s">
        <v>1</v>
      </c>
      <c r="AS201" s="47" t="s">
        <v>1</v>
      </c>
      <c r="AT201" s="36" t="s">
        <v>1</v>
      </c>
      <c r="AU201" s="47" t="s">
        <v>1</v>
      </c>
      <c r="AV201" s="36" t="s">
        <v>1</v>
      </c>
      <c r="AW201" s="47" t="s">
        <v>1</v>
      </c>
      <c r="AX201" s="36" t="s">
        <v>2065</v>
      </c>
      <c r="AY201" s="47" t="s">
        <v>2193</v>
      </c>
      <c r="AZ201" s="36" t="s">
        <v>1299</v>
      </c>
      <c r="BA201" s="47" t="s">
        <v>2193</v>
      </c>
      <c r="BB201" s="36" t="s">
        <v>2188</v>
      </c>
      <c r="BC201" s="47" t="s">
        <v>819</v>
      </c>
      <c r="BD201" s="36" t="s">
        <v>2189</v>
      </c>
      <c r="BE201" s="47" t="str">
        <f t="shared" si="6"/>
        <v>"Bairro"</v>
      </c>
    </row>
    <row r="202" spans="1:57" ht="6.65" customHeight="1" x14ac:dyDescent="0.4">
      <c r="A202" s="93">
        <v>169</v>
      </c>
      <c r="B202" s="74" t="s">
        <v>989</v>
      </c>
      <c r="C202" s="44" t="s">
        <v>664</v>
      </c>
      <c r="D202" s="18" t="s">
        <v>744</v>
      </c>
      <c r="E202" s="48" t="s">
        <v>753</v>
      </c>
      <c r="F202" s="18" t="s">
        <v>1</v>
      </c>
      <c r="G202" s="20" t="s">
        <v>1</v>
      </c>
      <c r="H202" s="18" t="s">
        <v>1</v>
      </c>
      <c r="I202" s="20" t="s">
        <v>1</v>
      </c>
      <c r="J202" s="18" t="s">
        <v>1</v>
      </c>
      <c r="K202" s="20" t="s">
        <v>1</v>
      </c>
      <c r="L202" s="18" t="s">
        <v>1</v>
      </c>
      <c r="M202" s="20" t="s">
        <v>1</v>
      </c>
      <c r="N202" s="46" t="s">
        <v>82</v>
      </c>
      <c r="O202" s="25" t="str">
        <f t="shared" si="7"/>
        <v>"B.035 é bairro de Rio de Janeiro"</v>
      </c>
      <c r="P202" s="46" t="s">
        <v>1</v>
      </c>
      <c r="Q202" s="25" t="s">
        <v>1</v>
      </c>
      <c r="R202" s="46" t="s">
        <v>1</v>
      </c>
      <c r="S202" s="52" t="s">
        <v>1</v>
      </c>
      <c r="T202" s="46" t="s">
        <v>1</v>
      </c>
      <c r="U202" s="31" t="s">
        <v>1</v>
      </c>
      <c r="V202" s="46" t="s">
        <v>1</v>
      </c>
      <c r="W202" s="31" t="s">
        <v>1</v>
      </c>
      <c r="X202" s="46" t="s">
        <v>1</v>
      </c>
      <c r="Y202" s="31" t="s">
        <v>1</v>
      </c>
      <c r="Z202" s="46" t="s">
        <v>1</v>
      </c>
      <c r="AA202" s="31" t="s">
        <v>1</v>
      </c>
      <c r="AB202" s="46" t="s">
        <v>1</v>
      </c>
      <c r="AC202" s="47" t="s">
        <v>1</v>
      </c>
      <c r="AD202" s="36" t="s">
        <v>1</v>
      </c>
      <c r="AE202" s="51" t="s">
        <v>1</v>
      </c>
      <c r="AF202" s="36" t="s">
        <v>1</v>
      </c>
      <c r="AG202" s="51" t="s">
        <v>1</v>
      </c>
      <c r="AH202" s="36" t="s">
        <v>1</v>
      </c>
      <c r="AI202" s="51" t="s">
        <v>1</v>
      </c>
      <c r="AJ202" s="36" t="s">
        <v>1</v>
      </c>
      <c r="AK202" s="51" t="s">
        <v>1</v>
      </c>
      <c r="AL202" s="36" t="s">
        <v>1</v>
      </c>
      <c r="AM202" s="31" t="s">
        <v>1</v>
      </c>
      <c r="AN202" s="36" t="s">
        <v>1</v>
      </c>
      <c r="AO202" s="31" t="s">
        <v>1</v>
      </c>
      <c r="AP202" s="36" t="s">
        <v>1</v>
      </c>
      <c r="AQ202" s="51" t="s">
        <v>1</v>
      </c>
      <c r="AR202" s="36" t="s">
        <v>1</v>
      </c>
      <c r="AS202" s="47" t="s">
        <v>1</v>
      </c>
      <c r="AT202" s="36" t="s">
        <v>1</v>
      </c>
      <c r="AU202" s="47" t="s">
        <v>1</v>
      </c>
      <c r="AV202" s="36" t="s">
        <v>1</v>
      </c>
      <c r="AW202" s="47" t="s">
        <v>1</v>
      </c>
      <c r="AX202" s="36" t="s">
        <v>2065</v>
      </c>
      <c r="AY202" s="47" t="s">
        <v>2193</v>
      </c>
      <c r="AZ202" s="36" t="s">
        <v>1299</v>
      </c>
      <c r="BA202" s="47" t="s">
        <v>2193</v>
      </c>
      <c r="BB202" s="36" t="s">
        <v>2188</v>
      </c>
      <c r="BC202" s="47" t="s">
        <v>819</v>
      </c>
      <c r="BD202" s="36" t="s">
        <v>2189</v>
      </c>
      <c r="BE202" s="47" t="str">
        <f t="shared" si="6"/>
        <v>"Bairro"</v>
      </c>
    </row>
    <row r="203" spans="1:57" ht="6.65" customHeight="1" x14ac:dyDescent="0.4">
      <c r="A203" s="93">
        <v>170</v>
      </c>
      <c r="B203" s="74" t="s">
        <v>990</v>
      </c>
      <c r="C203" s="44" t="s">
        <v>664</v>
      </c>
      <c r="D203" s="18" t="s">
        <v>744</v>
      </c>
      <c r="E203" s="48" t="s">
        <v>753</v>
      </c>
      <c r="F203" s="18" t="s">
        <v>1</v>
      </c>
      <c r="G203" s="20" t="s">
        <v>1</v>
      </c>
      <c r="H203" s="18" t="s">
        <v>1</v>
      </c>
      <c r="I203" s="20" t="s">
        <v>1</v>
      </c>
      <c r="J203" s="18" t="s">
        <v>1</v>
      </c>
      <c r="K203" s="20" t="s">
        <v>1</v>
      </c>
      <c r="L203" s="18" t="s">
        <v>1</v>
      </c>
      <c r="M203" s="20" t="s">
        <v>1</v>
      </c>
      <c r="N203" s="46" t="s">
        <v>82</v>
      </c>
      <c r="O203" s="25" t="str">
        <f t="shared" si="7"/>
        <v>"B.157 é bairro de Rio de Janeiro"</v>
      </c>
      <c r="P203" s="46" t="s">
        <v>1</v>
      </c>
      <c r="Q203" s="25" t="s">
        <v>1</v>
      </c>
      <c r="R203" s="46" t="s">
        <v>1</v>
      </c>
      <c r="S203" s="52" t="s">
        <v>1</v>
      </c>
      <c r="T203" s="46" t="s">
        <v>1</v>
      </c>
      <c r="U203" s="31" t="s">
        <v>1</v>
      </c>
      <c r="V203" s="46" t="s">
        <v>1</v>
      </c>
      <c r="W203" s="31" t="s">
        <v>1</v>
      </c>
      <c r="X203" s="46" t="s">
        <v>1</v>
      </c>
      <c r="Y203" s="31" t="s">
        <v>1</v>
      </c>
      <c r="Z203" s="46" t="s">
        <v>1</v>
      </c>
      <c r="AA203" s="31" t="s">
        <v>1</v>
      </c>
      <c r="AB203" s="46" t="s">
        <v>1</v>
      </c>
      <c r="AC203" s="47" t="s">
        <v>1</v>
      </c>
      <c r="AD203" s="36" t="s">
        <v>1</v>
      </c>
      <c r="AE203" s="51" t="s">
        <v>1</v>
      </c>
      <c r="AF203" s="36" t="s">
        <v>1</v>
      </c>
      <c r="AG203" s="51" t="s">
        <v>1</v>
      </c>
      <c r="AH203" s="36" t="s">
        <v>1</v>
      </c>
      <c r="AI203" s="51" t="s">
        <v>1</v>
      </c>
      <c r="AJ203" s="36" t="s">
        <v>1</v>
      </c>
      <c r="AK203" s="51" t="s">
        <v>1</v>
      </c>
      <c r="AL203" s="36" t="s">
        <v>1</v>
      </c>
      <c r="AM203" s="31" t="s">
        <v>1</v>
      </c>
      <c r="AN203" s="36" t="s">
        <v>1</v>
      </c>
      <c r="AO203" s="31" t="s">
        <v>1</v>
      </c>
      <c r="AP203" s="36" t="s">
        <v>1</v>
      </c>
      <c r="AQ203" s="51" t="s">
        <v>1</v>
      </c>
      <c r="AR203" s="36" t="s">
        <v>1</v>
      </c>
      <c r="AS203" s="47" t="s">
        <v>1</v>
      </c>
      <c r="AT203" s="36" t="s">
        <v>1</v>
      </c>
      <c r="AU203" s="47" t="s">
        <v>1</v>
      </c>
      <c r="AV203" s="36" t="s">
        <v>1</v>
      </c>
      <c r="AW203" s="47" t="s">
        <v>1</v>
      </c>
      <c r="AX203" s="36" t="s">
        <v>2065</v>
      </c>
      <c r="AY203" s="47" t="s">
        <v>2193</v>
      </c>
      <c r="AZ203" s="36" t="s">
        <v>1299</v>
      </c>
      <c r="BA203" s="47" t="s">
        <v>2193</v>
      </c>
      <c r="BB203" s="36" t="s">
        <v>2188</v>
      </c>
      <c r="BC203" s="47" t="s">
        <v>819</v>
      </c>
      <c r="BD203" s="36" t="s">
        <v>2189</v>
      </c>
      <c r="BE203" s="47" t="str">
        <f t="shared" si="6"/>
        <v>"Bairro"</v>
      </c>
    </row>
    <row r="204" spans="1:57" ht="6.65" customHeight="1" x14ac:dyDescent="0.4">
      <c r="A204" s="93">
        <v>171</v>
      </c>
      <c r="B204" s="74" t="s">
        <v>991</v>
      </c>
      <c r="C204" s="44" t="s">
        <v>664</v>
      </c>
      <c r="D204" s="18" t="s">
        <v>744</v>
      </c>
      <c r="E204" s="48" t="s">
        <v>753</v>
      </c>
      <c r="F204" s="18" t="s">
        <v>1</v>
      </c>
      <c r="G204" s="20" t="s">
        <v>1</v>
      </c>
      <c r="H204" s="18" t="s">
        <v>1</v>
      </c>
      <c r="I204" s="20" t="s">
        <v>1</v>
      </c>
      <c r="J204" s="18" t="s">
        <v>1</v>
      </c>
      <c r="K204" s="20" t="s">
        <v>1</v>
      </c>
      <c r="L204" s="18" t="s">
        <v>1</v>
      </c>
      <c r="M204" s="20" t="s">
        <v>1</v>
      </c>
      <c r="N204" s="46" t="s">
        <v>82</v>
      </c>
      <c r="O204" s="25" t="str">
        <f t="shared" si="7"/>
        <v>"B.090 é bairro de Rio de Janeiro"</v>
      </c>
      <c r="P204" s="46" t="s">
        <v>1</v>
      </c>
      <c r="Q204" s="25" t="s">
        <v>1</v>
      </c>
      <c r="R204" s="46" t="s">
        <v>1</v>
      </c>
      <c r="S204" s="52" t="s">
        <v>1</v>
      </c>
      <c r="T204" s="46" t="s">
        <v>1</v>
      </c>
      <c r="U204" s="31" t="s">
        <v>1</v>
      </c>
      <c r="V204" s="46" t="s">
        <v>1</v>
      </c>
      <c r="W204" s="31" t="s">
        <v>1</v>
      </c>
      <c r="X204" s="46" t="s">
        <v>1</v>
      </c>
      <c r="Y204" s="31" t="s">
        <v>1</v>
      </c>
      <c r="Z204" s="46" t="s">
        <v>1</v>
      </c>
      <c r="AA204" s="31" t="s">
        <v>1</v>
      </c>
      <c r="AB204" s="46" t="s">
        <v>1</v>
      </c>
      <c r="AC204" s="47" t="s">
        <v>1</v>
      </c>
      <c r="AD204" s="36" t="s">
        <v>1</v>
      </c>
      <c r="AE204" s="51" t="s">
        <v>1</v>
      </c>
      <c r="AF204" s="36" t="s">
        <v>1</v>
      </c>
      <c r="AG204" s="51" t="s">
        <v>1</v>
      </c>
      <c r="AH204" s="36" t="s">
        <v>1</v>
      </c>
      <c r="AI204" s="51" t="s">
        <v>1</v>
      </c>
      <c r="AJ204" s="36" t="s">
        <v>1</v>
      </c>
      <c r="AK204" s="51" t="s">
        <v>1</v>
      </c>
      <c r="AL204" s="36" t="s">
        <v>1</v>
      </c>
      <c r="AM204" s="31" t="s">
        <v>1</v>
      </c>
      <c r="AN204" s="36" t="s">
        <v>1</v>
      </c>
      <c r="AO204" s="31" t="s">
        <v>1</v>
      </c>
      <c r="AP204" s="36" t="s">
        <v>1</v>
      </c>
      <c r="AQ204" s="51" t="s">
        <v>1</v>
      </c>
      <c r="AR204" s="36" t="s">
        <v>1</v>
      </c>
      <c r="AS204" s="47" t="s">
        <v>1</v>
      </c>
      <c r="AT204" s="36" t="s">
        <v>1</v>
      </c>
      <c r="AU204" s="47" t="s">
        <v>1</v>
      </c>
      <c r="AV204" s="36" t="s">
        <v>1</v>
      </c>
      <c r="AW204" s="47" t="s">
        <v>1</v>
      </c>
      <c r="AX204" s="36" t="s">
        <v>2065</v>
      </c>
      <c r="AY204" s="47" t="s">
        <v>2193</v>
      </c>
      <c r="AZ204" s="36" t="s">
        <v>1299</v>
      </c>
      <c r="BA204" s="47" t="s">
        <v>2193</v>
      </c>
      <c r="BB204" s="36" t="s">
        <v>2188</v>
      </c>
      <c r="BC204" s="47" t="s">
        <v>819</v>
      </c>
      <c r="BD204" s="36" t="s">
        <v>2189</v>
      </c>
      <c r="BE204" s="47" t="str">
        <f t="shared" si="6"/>
        <v>"Bairro"</v>
      </c>
    </row>
    <row r="205" spans="1:57" ht="6.65" customHeight="1" x14ac:dyDescent="0.4">
      <c r="A205" s="93">
        <v>172</v>
      </c>
      <c r="B205" s="74" t="s">
        <v>992</v>
      </c>
      <c r="C205" s="44" t="s">
        <v>664</v>
      </c>
      <c r="D205" s="18" t="s">
        <v>744</v>
      </c>
      <c r="E205" s="48" t="s">
        <v>753</v>
      </c>
      <c r="F205" s="18" t="s">
        <v>1</v>
      </c>
      <c r="G205" s="20" t="s">
        <v>1</v>
      </c>
      <c r="H205" s="18" t="s">
        <v>1</v>
      </c>
      <c r="I205" s="20" t="s">
        <v>1</v>
      </c>
      <c r="J205" s="18" t="s">
        <v>1</v>
      </c>
      <c r="K205" s="20" t="s">
        <v>1</v>
      </c>
      <c r="L205" s="18" t="s">
        <v>1</v>
      </c>
      <c r="M205" s="20" t="s">
        <v>1</v>
      </c>
      <c r="N205" s="46" t="s">
        <v>82</v>
      </c>
      <c r="O205" s="25" t="str">
        <f t="shared" si="7"/>
        <v>"B.052 é bairro de Rio de Janeiro"</v>
      </c>
      <c r="P205" s="46" t="s">
        <v>1</v>
      </c>
      <c r="Q205" s="25" t="s">
        <v>1</v>
      </c>
      <c r="R205" s="46" t="s">
        <v>1</v>
      </c>
      <c r="S205" s="52" t="s">
        <v>1</v>
      </c>
      <c r="T205" s="46" t="s">
        <v>1</v>
      </c>
      <c r="U205" s="31" t="s">
        <v>1</v>
      </c>
      <c r="V205" s="46" t="s">
        <v>1</v>
      </c>
      <c r="W205" s="31" t="s">
        <v>1</v>
      </c>
      <c r="X205" s="46" t="s">
        <v>1</v>
      </c>
      <c r="Y205" s="31" t="s">
        <v>1</v>
      </c>
      <c r="Z205" s="46" t="s">
        <v>1</v>
      </c>
      <c r="AA205" s="31" t="s">
        <v>1</v>
      </c>
      <c r="AB205" s="46" t="s">
        <v>1</v>
      </c>
      <c r="AC205" s="47" t="s">
        <v>1</v>
      </c>
      <c r="AD205" s="36" t="s">
        <v>1</v>
      </c>
      <c r="AE205" s="51" t="s">
        <v>1</v>
      </c>
      <c r="AF205" s="36" t="s">
        <v>1</v>
      </c>
      <c r="AG205" s="51" t="s">
        <v>1</v>
      </c>
      <c r="AH205" s="36" t="s">
        <v>1</v>
      </c>
      <c r="AI205" s="51" t="s">
        <v>1</v>
      </c>
      <c r="AJ205" s="36" t="s">
        <v>1</v>
      </c>
      <c r="AK205" s="51" t="s">
        <v>1</v>
      </c>
      <c r="AL205" s="36" t="s">
        <v>1</v>
      </c>
      <c r="AM205" s="31" t="s">
        <v>1</v>
      </c>
      <c r="AN205" s="36" t="s">
        <v>1</v>
      </c>
      <c r="AO205" s="31" t="s">
        <v>1</v>
      </c>
      <c r="AP205" s="36" t="s">
        <v>1</v>
      </c>
      <c r="AQ205" s="51" t="s">
        <v>1</v>
      </c>
      <c r="AR205" s="36" t="s">
        <v>1</v>
      </c>
      <c r="AS205" s="47" t="s">
        <v>1</v>
      </c>
      <c r="AT205" s="36" t="s">
        <v>1</v>
      </c>
      <c r="AU205" s="47" t="s">
        <v>1</v>
      </c>
      <c r="AV205" s="36" t="s">
        <v>1</v>
      </c>
      <c r="AW205" s="47" t="s">
        <v>1</v>
      </c>
      <c r="AX205" s="36" t="s">
        <v>2065</v>
      </c>
      <c r="AY205" s="47" t="s">
        <v>2193</v>
      </c>
      <c r="AZ205" s="36" t="s">
        <v>1299</v>
      </c>
      <c r="BA205" s="47" t="s">
        <v>2193</v>
      </c>
      <c r="BB205" s="36" t="s">
        <v>2188</v>
      </c>
      <c r="BC205" s="47" t="s">
        <v>819</v>
      </c>
      <c r="BD205" s="36" t="s">
        <v>2189</v>
      </c>
      <c r="BE205" s="47" t="str">
        <f t="shared" si="6"/>
        <v>"Bairro"</v>
      </c>
    </row>
    <row r="206" spans="1:57" ht="6.65" customHeight="1" x14ac:dyDescent="0.4">
      <c r="A206" s="93">
        <v>173</v>
      </c>
      <c r="B206" s="74" t="s">
        <v>993</v>
      </c>
      <c r="C206" s="44" t="s">
        <v>664</v>
      </c>
      <c r="D206" s="18" t="s">
        <v>744</v>
      </c>
      <c r="E206" s="48" t="s">
        <v>753</v>
      </c>
      <c r="F206" s="18" t="s">
        <v>1</v>
      </c>
      <c r="G206" s="20" t="s">
        <v>1</v>
      </c>
      <c r="H206" s="18" t="s">
        <v>1</v>
      </c>
      <c r="I206" s="20" t="s">
        <v>1</v>
      </c>
      <c r="J206" s="18" t="s">
        <v>1</v>
      </c>
      <c r="K206" s="20" t="s">
        <v>1</v>
      </c>
      <c r="L206" s="18" t="s">
        <v>1</v>
      </c>
      <c r="M206" s="20" t="s">
        <v>1</v>
      </c>
      <c r="N206" s="46" t="s">
        <v>82</v>
      </c>
      <c r="O206" s="25" t="str">
        <f t="shared" si="7"/>
        <v>"B.063 é bairro de Rio de Janeiro"</v>
      </c>
      <c r="P206" s="46" t="s">
        <v>1</v>
      </c>
      <c r="Q206" s="25" t="s">
        <v>1</v>
      </c>
      <c r="R206" s="46" t="s">
        <v>1</v>
      </c>
      <c r="S206" s="52" t="s">
        <v>1</v>
      </c>
      <c r="T206" s="46" t="s">
        <v>1</v>
      </c>
      <c r="U206" s="31" t="s">
        <v>1</v>
      </c>
      <c r="V206" s="46" t="s">
        <v>1</v>
      </c>
      <c r="W206" s="31" t="s">
        <v>1</v>
      </c>
      <c r="X206" s="46" t="s">
        <v>1</v>
      </c>
      <c r="Y206" s="31" t="s">
        <v>1</v>
      </c>
      <c r="Z206" s="46" t="s">
        <v>1</v>
      </c>
      <c r="AA206" s="31" t="s">
        <v>1</v>
      </c>
      <c r="AB206" s="46" t="s">
        <v>1</v>
      </c>
      <c r="AC206" s="47" t="s">
        <v>1</v>
      </c>
      <c r="AD206" s="36" t="s">
        <v>1</v>
      </c>
      <c r="AE206" s="51" t="s">
        <v>1</v>
      </c>
      <c r="AF206" s="36" t="s">
        <v>1</v>
      </c>
      <c r="AG206" s="51" t="s">
        <v>1</v>
      </c>
      <c r="AH206" s="36" t="s">
        <v>1</v>
      </c>
      <c r="AI206" s="51" t="s">
        <v>1</v>
      </c>
      <c r="AJ206" s="36" t="s">
        <v>1</v>
      </c>
      <c r="AK206" s="51" t="s">
        <v>1</v>
      </c>
      <c r="AL206" s="36" t="s">
        <v>1</v>
      </c>
      <c r="AM206" s="31" t="s">
        <v>1</v>
      </c>
      <c r="AN206" s="36" t="s">
        <v>1</v>
      </c>
      <c r="AO206" s="31" t="s">
        <v>1</v>
      </c>
      <c r="AP206" s="36" t="s">
        <v>1</v>
      </c>
      <c r="AQ206" s="51" t="s">
        <v>1</v>
      </c>
      <c r="AR206" s="36" t="s">
        <v>1</v>
      </c>
      <c r="AS206" s="47" t="s">
        <v>1</v>
      </c>
      <c r="AT206" s="36" t="s">
        <v>1</v>
      </c>
      <c r="AU206" s="47" t="s">
        <v>1</v>
      </c>
      <c r="AV206" s="36" t="s">
        <v>1</v>
      </c>
      <c r="AW206" s="47" t="s">
        <v>1</v>
      </c>
      <c r="AX206" s="36" t="s">
        <v>2065</v>
      </c>
      <c r="AY206" s="47" t="s">
        <v>2193</v>
      </c>
      <c r="AZ206" s="36" t="s">
        <v>1299</v>
      </c>
      <c r="BA206" s="47" t="s">
        <v>2193</v>
      </c>
      <c r="BB206" s="36" t="s">
        <v>2188</v>
      </c>
      <c r="BC206" s="47" t="s">
        <v>819</v>
      </c>
      <c r="BD206" s="36" t="s">
        <v>2189</v>
      </c>
      <c r="BE206" s="47" t="str">
        <f t="shared" si="6"/>
        <v>"Bairro"</v>
      </c>
    </row>
    <row r="207" spans="1:57" ht="6.65" customHeight="1" x14ac:dyDescent="0.4">
      <c r="A207" s="93">
        <v>174</v>
      </c>
      <c r="B207" s="74" t="s">
        <v>994</v>
      </c>
      <c r="C207" s="44" t="s">
        <v>664</v>
      </c>
      <c r="D207" s="18" t="s">
        <v>744</v>
      </c>
      <c r="E207" s="48" t="s">
        <v>753</v>
      </c>
      <c r="F207" s="18" t="s">
        <v>1</v>
      </c>
      <c r="G207" s="20" t="s">
        <v>1</v>
      </c>
      <c r="H207" s="18" t="s">
        <v>1</v>
      </c>
      <c r="I207" s="20" t="s">
        <v>1</v>
      </c>
      <c r="J207" s="18" t="s">
        <v>1</v>
      </c>
      <c r="K207" s="20" t="s">
        <v>1</v>
      </c>
      <c r="L207" s="18" t="s">
        <v>1</v>
      </c>
      <c r="M207" s="20" t="s">
        <v>1</v>
      </c>
      <c r="N207" s="46" t="s">
        <v>82</v>
      </c>
      <c r="O207" s="25" t="str">
        <f t="shared" si="7"/>
        <v>"B.102 é bairro de Rio de Janeiro"</v>
      </c>
      <c r="P207" s="46" t="s">
        <v>1</v>
      </c>
      <c r="Q207" s="25" t="s">
        <v>1</v>
      </c>
      <c r="R207" s="46" t="s">
        <v>1</v>
      </c>
      <c r="S207" s="52" t="s">
        <v>1</v>
      </c>
      <c r="T207" s="46" t="s">
        <v>1</v>
      </c>
      <c r="U207" s="31" t="s">
        <v>1</v>
      </c>
      <c r="V207" s="46" t="s">
        <v>1</v>
      </c>
      <c r="W207" s="31" t="s">
        <v>1</v>
      </c>
      <c r="X207" s="46" t="s">
        <v>1</v>
      </c>
      <c r="Y207" s="31" t="s">
        <v>1</v>
      </c>
      <c r="Z207" s="46" t="s">
        <v>1</v>
      </c>
      <c r="AA207" s="31" t="s">
        <v>1</v>
      </c>
      <c r="AB207" s="46" t="s">
        <v>1</v>
      </c>
      <c r="AC207" s="47" t="s">
        <v>1</v>
      </c>
      <c r="AD207" s="36" t="s">
        <v>1</v>
      </c>
      <c r="AE207" s="51" t="s">
        <v>1</v>
      </c>
      <c r="AF207" s="36" t="s">
        <v>1</v>
      </c>
      <c r="AG207" s="51" t="s">
        <v>1</v>
      </c>
      <c r="AH207" s="36" t="s">
        <v>1</v>
      </c>
      <c r="AI207" s="51" t="s">
        <v>1</v>
      </c>
      <c r="AJ207" s="36" t="s">
        <v>1</v>
      </c>
      <c r="AK207" s="51" t="s">
        <v>1</v>
      </c>
      <c r="AL207" s="36" t="s">
        <v>1</v>
      </c>
      <c r="AM207" s="31" t="s">
        <v>1</v>
      </c>
      <c r="AN207" s="36" t="s">
        <v>1</v>
      </c>
      <c r="AO207" s="31" t="s">
        <v>1</v>
      </c>
      <c r="AP207" s="36" t="s">
        <v>1</v>
      </c>
      <c r="AQ207" s="51" t="s">
        <v>1</v>
      </c>
      <c r="AR207" s="36" t="s">
        <v>1</v>
      </c>
      <c r="AS207" s="47" t="s">
        <v>1</v>
      </c>
      <c r="AT207" s="36" t="s">
        <v>1</v>
      </c>
      <c r="AU207" s="47" t="s">
        <v>1</v>
      </c>
      <c r="AV207" s="36" t="s">
        <v>1</v>
      </c>
      <c r="AW207" s="47" t="s">
        <v>1</v>
      </c>
      <c r="AX207" s="36" t="s">
        <v>2065</v>
      </c>
      <c r="AY207" s="47" t="s">
        <v>2193</v>
      </c>
      <c r="AZ207" s="36" t="s">
        <v>1299</v>
      </c>
      <c r="BA207" s="47" t="s">
        <v>2193</v>
      </c>
      <c r="BB207" s="36" t="s">
        <v>2188</v>
      </c>
      <c r="BC207" s="47" t="s">
        <v>819</v>
      </c>
      <c r="BD207" s="36" t="s">
        <v>2189</v>
      </c>
      <c r="BE207" s="47" t="str">
        <f t="shared" si="6"/>
        <v>"Bairro"</v>
      </c>
    </row>
    <row r="208" spans="1:57" ht="6.65" customHeight="1" x14ac:dyDescent="0.4">
      <c r="A208" s="93">
        <v>175</v>
      </c>
      <c r="B208" s="74" t="s">
        <v>995</v>
      </c>
      <c r="C208" s="44" t="s">
        <v>664</v>
      </c>
      <c r="D208" s="18" t="s">
        <v>744</v>
      </c>
      <c r="E208" s="48" t="s">
        <v>753</v>
      </c>
      <c r="F208" s="18" t="s">
        <v>1</v>
      </c>
      <c r="G208" s="20" t="s">
        <v>1</v>
      </c>
      <c r="H208" s="18" t="s">
        <v>1</v>
      </c>
      <c r="I208" s="20" t="s">
        <v>1</v>
      </c>
      <c r="J208" s="18" t="s">
        <v>1</v>
      </c>
      <c r="K208" s="20" t="s">
        <v>1</v>
      </c>
      <c r="L208" s="18" t="s">
        <v>1</v>
      </c>
      <c r="M208" s="20" t="s">
        <v>1</v>
      </c>
      <c r="N208" s="46" t="s">
        <v>82</v>
      </c>
      <c r="O208" s="25" t="str">
        <f t="shared" si="7"/>
        <v>"B.042 é bairro de Rio de Janeiro"</v>
      </c>
      <c r="P208" s="46" t="s">
        <v>1</v>
      </c>
      <c r="Q208" s="25" t="s">
        <v>1</v>
      </c>
      <c r="R208" s="46" t="s">
        <v>1</v>
      </c>
      <c r="S208" s="52" t="s">
        <v>1</v>
      </c>
      <c r="T208" s="46" t="s">
        <v>1</v>
      </c>
      <c r="U208" s="31" t="s">
        <v>1</v>
      </c>
      <c r="V208" s="46" t="s">
        <v>1</v>
      </c>
      <c r="W208" s="31" t="s">
        <v>1</v>
      </c>
      <c r="X208" s="46" t="s">
        <v>1</v>
      </c>
      <c r="Y208" s="31" t="s">
        <v>1</v>
      </c>
      <c r="Z208" s="46" t="s">
        <v>1</v>
      </c>
      <c r="AA208" s="31" t="s">
        <v>1</v>
      </c>
      <c r="AB208" s="46" t="s">
        <v>1</v>
      </c>
      <c r="AC208" s="47" t="s">
        <v>1</v>
      </c>
      <c r="AD208" s="36" t="s">
        <v>1</v>
      </c>
      <c r="AE208" s="51" t="s">
        <v>1</v>
      </c>
      <c r="AF208" s="36" t="s">
        <v>1</v>
      </c>
      <c r="AG208" s="51" t="s">
        <v>1</v>
      </c>
      <c r="AH208" s="36" t="s">
        <v>1</v>
      </c>
      <c r="AI208" s="51" t="s">
        <v>1</v>
      </c>
      <c r="AJ208" s="36" t="s">
        <v>1</v>
      </c>
      <c r="AK208" s="51" t="s">
        <v>1</v>
      </c>
      <c r="AL208" s="36" t="s">
        <v>1</v>
      </c>
      <c r="AM208" s="31" t="s">
        <v>1</v>
      </c>
      <c r="AN208" s="36" t="s">
        <v>1</v>
      </c>
      <c r="AO208" s="31" t="s">
        <v>1</v>
      </c>
      <c r="AP208" s="36" t="s">
        <v>1</v>
      </c>
      <c r="AQ208" s="51" t="s">
        <v>1</v>
      </c>
      <c r="AR208" s="36" t="s">
        <v>1</v>
      </c>
      <c r="AS208" s="47" t="s">
        <v>1</v>
      </c>
      <c r="AT208" s="36" t="s">
        <v>1</v>
      </c>
      <c r="AU208" s="47" t="s">
        <v>1</v>
      </c>
      <c r="AV208" s="36" t="s">
        <v>1</v>
      </c>
      <c r="AW208" s="47" t="s">
        <v>1</v>
      </c>
      <c r="AX208" s="36" t="s">
        <v>2065</v>
      </c>
      <c r="AY208" s="47" t="s">
        <v>2193</v>
      </c>
      <c r="AZ208" s="36" t="s">
        <v>1299</v>
      </c>
      <c r="BA208" s="47" t="s">
        <v>2193</v>
      </c>
      <c r="BB208" s="36" t="s">
        <v>2188</v>
      </c>
      <c r="BC208" s="47" t="s">
        <v>819</v>
      </c>
      <c r="BD208" s="36" t="s">
        <v>2189</v>
      </c>
      <c r="BE208" s="47" t="str">
        <f t="shared" si="6"/>
        <v>"Bairro"</v>
      </c>
    </row>
    <row r="209" spans="1:57" ht="6.65" customHeight="1" x14ac:dyDescent="0.4">
      <c r="A209" s="93">
        <v>176</v>
      </c>
      <c r="B209" s="74" t="s">
        <v>996</v>
      </c>
      <c r="C209" s="44" t="s">
        <v>664</v>
      </c>
      <c r="D209" s="18" t="s">
        <v>744</v>
      </c>
      <c r="E209" s="48" t="s">
        <v>753</v>
      </c>
      <c r="F209" s="18" t="s">
        <v>1</v>
      </c>
      <c r="G209" s="20" t="s">
        <v>1</v>
      </c>
      <c r="H209" s="18" t="s">
        <v>1</v>
      </c>
      <c r="I209" s="20" t="s">
        <v>1</v>
      </c>
      <c r="J209" s="18" t="s">
        <v>1</v>
      </c>
      <c r="K209" s="20" t="s">
        <v>1</v>
      </c>
      <c r="L209" s="18" t="s">
        <v>1</v>
      </c>
      <c r="M209" s="20" t="s">
        <v>1</v>
      </c>
      <c r="N209" s="46" t="s">
        <v>82</v>
      </c>
      <c r="O209" s="25" t="str">
        <f t="shared" si="7"/>
        <v>"B.088 é bairro de Rio de Janeiro"</v>
      </c>
      <c r="P209" s="46" t="s">
        <v>1</v>
      </c>
      <c r="Q209" s="25" t="s">
        <v>1</v>
      </c>
      <c r="R209" s="46" t="s">
        <v>1</v>
      </c>
      <c r="S209" s="52" t="s">
        <v>1</v>
      </c>
      <c r="T209" s="46" t="s">
        <v>1</v>
      </c>
      <c r="U209" s="31" t="s">
        <v>1</v>
      </c>
      <c r="V209" s="46" t="s">
        <v>1</v>
      </c>
      <c r="W209" s="31" t="s">
        <v>1</v>
      </c>
      <c r="X209" s="46" t="s">
        <v>1</v>
      </c>
      <c r="Y209" s="31" t="s">
        <v>1</v>
      </c>
      <c r="Z209" s="46" t="s">
        <v>1</v>
      </c>
      <c r="AA209" s="31" t="s">
        <v>1</v>
      </c>
      <c r="AB209" s="46" t="s">
        <v>1</v>
      </c>
      <c r="AC209" s="47" t="s">
        <v>1</v>
      </c>
      <c r="AD209" s="36" t="s">
        <v>1</v>
      </c>
      <c r="AE209" s="51" t="s">
        <v>1</v>
      </c>
      <c r="AF209" s="36" t="s">
        <v>1</v>
      </c>
      <c r="AG209" s="51" t="s">
        <v>1</v>
      </c>
      <c r="AH209" s="36" t="s">
        <v>1</v>
      </c>
      <c r="AI209" s="51" t="s">
        <v>1</v>
      </c>
      <c r="AJ209" s="36" t="s">
        <v>1</v>
      </c>
      <c r="AK209" s="51" t="s">
        <v>1</v>
      </c>
      <c r="AL209" s="36" t="s">
        <v>1</v>
      </c>
      <c r="AM209" s="31" t="s">
        <v>1</v>
      </c>
      <c r="AN209" s="36" t="s">
        <v>1</v>
      </c>
      <c r="AO209" s="31" t="s">
        <v>1</v>
      </c>
      <c r="AP209" s="36" t="s">
        <v>1</v>
      </c>
      <c r="AQ209" s="51" t="s">
        <v>1</v>
      </c>
      <c r="AR209" s="36" t="s">
        <v>1</v>
      </c>
      <c r="AS209" s="47" t="s">
        <v>1</v>
      </c>
      <c r="AT209" s="36" t="s">
        <v>1</v>
      </c>
      <c r="AU209" s="47" t="s">
        <v>1</v>
      </c>
      <c r="AV209" s="36" t="s">
        <v>1</v>
      </c>
      <c r="AW209" s="47" t="s">
        <v>1</v>
      </c>
      <c r="AX209" s="36" t="s">
        <v>2065</v>
      </c>
      <c r="AY209" s="47" t="s">
        <v>2193</v>
      </c>
      <c r="AZ209" s="36" t="s">
        <v>1299</v>
      </c>
      <c r="BA209" s="47" t="s">
        <v>2193</v>
      </c>
      <c r="BB209" s="36" t="s">
        <v>2188</v>
      </c>
      <c r="BC209" s="47" t="s">
        <v>819</v>
      </c>
      <c r="BD209" s="36" t="s">
        <v>2189</v>
      </c>
      <c r="BE209" s="47" t="str">
        <f t="shared" si="6"/>
        <v>"Bairro"</v>
      </c>
    </row>
    <row r="210" spans="1:57" ht="6.65" customHeight="1" x14ac:dyDescent="0.4">
      <c r="A210" s="93">
        <v>177</v>
      </c>
      <c r="B210" s="74" t="s">
        <v>997</v>
      </c>
      <c r="C210" s="44" t="s">
        <v>664</v>
      </c>
      <c r="D210" s="18" t="s">
        <v>744</v>
      </c>
      <c r="E210" s="48" t="s">
        <v>753</v>
      </c>
      <c r="F210" s="18" t="s">
        <v>1</v>
      </c>
      <c r="G210" s="20" t="s">
        <v>1</v>
      </c>
      <c r="H210" s="18" t="s">
        <v>1</v>
      </c>
      <c r="I210" s="20" t="s">
        <v>1</v>
      </c>
      <c r="J210" s="18" t="s">
        <v>1</v>
      </c>
      <c r="K210" s="20" t="s">
        <v>1</v>
      </c>
      <c r="L210" s="18" t="s">
        <v>1</v>
      </c>
      <c r="M210" s="20" t="s">
        <v>1</v>
      </c>
      <c r="N210" s="46" t="s">
        <v>82</v>
      </c>
      <c r="O210" s="25" t="str">
        <f t="shared" si="7"/>
        <v>"B.148 é bairro de Rio de Janeiro"</v>
      </c>
      <c r="P210" s="46" t="s">
        <v>1</v>
      </c>
      <c r="Q210" s="25" t="s">
        <v>1</v>
      </c>
      <c r="R210" s="46" t="s">
        <v>1</v>
      </c>
      <c r="S210" s="52" t="s">
        <v>1</v>
      </c>
      <c r="T210" s="46" t="s">
        <v>1</v>
      </c>
      <c r="U210" s="31" t="s">
        <v>1</v>
      </c>
      <c r="V210" s="46" t="s">
        <v>1</v>
      </c>
      <c r="W210" s="31" t="s">
        <v>1</v>
      </c>
      <c r="X210" s="46" t="s">
        <v>1</v>
      </c>
      <c r="Y210" s="31" t="s">
        <v>1</v>
      </c>
      <c r="Z210" s="46" t="s">
        <v>1</v>
      </c>
      <c r="AA210" s="31" t="s">
        <v>1</v>
      </c>
      <c r="AB210" s="46" t="s">
        <v>1</v>
      </c>
      <c r="AC210" s="47" t="s">
        <v>1</v>
      </c>
      <c r="AD210" s="36" t="s">
        <v>1</v>
      </c>
      <c r="AE210" s="51" t="s">
        <v>1</v>
      </c>
      <c r="AF210" s="36" t="s">
        <v>1</v>
      </c>
      <c r="AG210" s="51" t="s">
        <v>1</v>
      </c>
      <c r="AH210" s="36" t="s">
        <v>1</v>
      </c>
      <c r="AI210" s="51" t="s">
        <v>1</v>
      </c>
      <c r="AJ210" s="36" t="s">
        <v>1</v>
      </c>
      <c r="AK210" s="51" t="s">
        <v>1</v>
      </c>
      <c r="AL210" s="36" t="s">
        <v>1</v>
      </c>
      <c r="AM210" s="31" t="s">
        <v>1</v>
      </c>
      <c r="AN210" s="36" t="s">
        <v>1</v>
      </c>
      <c r="AO210" s="31" t="s">
        <v>1</v>
      </c>
      <c r="AP210" s="36" t="s">
        <v>1</v>
      </c>
      <c r="AQ210" s="51" t="s">
        <v>1</v>
      </c>
      <c r="AR210" s="36" t="s">
        <v>1</v>
      </c>
      <c r="AS210" s="47" t="s">
        <v>1</v>
      </c>
      <c r="AT210" s="36" t="s">
        <v>1</v>
      </c>
      <c r="AU210" s="47" t="s">
        <v>1</v>
      </c>
      <c r="AV210" s="36" t="s">
        <v>1</v>
      </c>
      <c r="AW210" s="47" t="s">
        <v>1</v>
      </c>
      <c r="AX210" s="36" t="s">
        <v>2065</v>
      </c>
      <c r="AY210" s="47" t="s">
        <v>2193</v>
      </c>
      <c r="AZ210" s="36" t="s">
        <v>1299</v>
      </c>
      <c r="BA210" s="47" t="s">
        <v>2193</v>
      </c>
      <c r="BB210" s="36" t="s">
        <v>2188</v>
      </c>
      <c r="BC210" s="47" t="s">
        <v>819</v>
      </c>
      <c r="BD210" s="36" t="s">
        <v>2189</v>
      </c>
      <c r="BE210" s="47" t="str">
        <f t="shared" si="6"/>
        <v>"Bairro"</v>
      </c>
    </row>
    <row r="211" spans="1:57" ht="6.65" customHeight="1" x14ac:dyDescent="0.4">
      <c r="A211" s="93">
        <v>178</v>
      </c>
      <c r="B211" s="74" t="s">
        <v>998</v>
      </c>
      <c r="C211" s="44" t="s">
        <v>664</v>
      </c>
      <c r="D211" s="18" t="s">
        <v>744</v>
      </c>
      <c r="E211" s="48" t="s">
        <v>753</v>
      </c>
      <c r="F211" s="18" t="s">
        <v>1</v>
      </c>
      <c r="G211" s="20" t="s">
        <v>1</v>
      </c>
      <c r="H211" s="18" t="s">
        <v>1</v>
      </c>
      <c r="I211" s="20" t="s">
        <v>1</v>
      </c>
      <c r="J211" s="18" t="s">
        <v>1</v>
      </c>
      <c r="K211" s="20" t="s">
        <v>1</v>
      </c>
      <c r="L211" s="18" t="s">
        <v>1</v>
      </c>
      <c r="M211" s="20" t="s">
        <v>1</v>
      </c>
      <c r="N211" s="46" t="s">
        <v>82</v>
      </c>
      <c r="O211" s="25" t="str">
        <f t="shared" si="7"/>
        <v>"B.140 é bairro de Rio de Janeiro"</v>
      </c>
      <c r="P211" s="46" t="s">
        <v>1</v>
      </c>
      <c r="Q211" s="25" t="s">
        <v>1</v>
      </c>
      <c r="R211" s="46" t="s">
        <v>1</v>
      </c>
      <c r="S211" s="52" t="s">
        <v>1</v>
      </c>
      <c r="T211" s="46" t="s">
        <v>1</v>
      </c>
      <c r="U211" s="31" t="s">
        <v>1</v>
      </c>
      <c r="V211" s="46" t="s">
        <v>1</v>
      </c>
      <c r="W211" s="31" t="s">
        <v>1</v>
      </c>
      <c r="X211" s="46" t="s">
        <v>1</v>
      </c>
      <c r="Y211" s="31" t="s">
        <v>1</v>
      </c>
      <c r="Z211" s="46" t="s">
        <v>1</v>
      </c>
      <c r="AA211" s="31" t="s">
        <v>1</v>
      </c>
      <c r="AB211" s="46" t="s">
        <v>1</v>
      </c>
      <c r="AC211" s="47" t="s">
        <v>1</v>
      </c>
      <c r="AD211" s="36" t="s">
        <v>1</v>
      </c>
      <c r="AE211" s="51" t="s">
        <v>1</v>
      </c>
      <c r="AF211" s="36" t="s">
        <v>1</v>
      </c>
      <c r="AG211" s="51" t="s">
        <v>1</v>
      </c>
      <c r="AH211" s="36" t="s">
        <v>1</v>
      </c>
      <c r="AI211" s="51" t="s">
        <v>1</v>
      </c>
      <c r="AJ211" s="36" t="s">
        <v>1</v>
      </c>
      <c r="AK211" s="51" t="s">
        <v>1</v>
      </c>
      <c r="AL211" s="36" t="s">
        <v>1</v>
      </c>
      <c r="AM211" s="31" t="s">
        <v>1</v>
      </c>
      <c r="AN211" s="36" t="s">
        <v>1</v>
      </c>
      <c r="AO211" s="31" t="s">
        <v>1</v>
      </c>
      <c r="AP211" s="36" t="s">
        <v>1</v>
      </c>
      <c r="AQ211" s="51" t="s">
        <v>1</v>
      </c>
      <c r="AR211" s="36" t="s">
        <v>1</v>
      </c>
      <c r="AS211" s="47" t="s">
        <v>1</v>
      </c>
      <c r="AT211" s="36" t="s">
        <v>1</v>
      </c>
      <c r="AU211" s="47" t="s">
        <v>1</v>
      </c>
      <c r="AV211" s="36" t="s">
        <v>1</v>
      </c>
      <c r="AW211" s="47" t="s">
        <v>1</v>
      </c>
      <c r="AX211" s="36" t="s">
        <v>2065</v>
      </c>
      <c r="AY211" s="47" t="s">
        <v>2193</v>
      </c>
      <c r="AZ211" s="36" t="s">
        <v>1299</v>
      </c>
      <c r="BA211" s="47" t="s">
        <v>2193</v>
      </c>
      <c r="BB211" s="36" t="s">
        <v>2188</v>
      </c>
      <c r="BC211" s="47" t="s">
        <v>819</v>
      </c>
      <c r="BD211" s="36" t="s">
        <v>2189</v>
      </c>
      <c r="BE211" s="47" t="str">
        <f t="shared" si="6"/>
        <v>"Bairro"</v>
      </c>
    </row>
    <row r="212" spans="1:57" ht="6.65" customHeight="1" x14ac:dyDescent="0.4">
      <c r="A212" s="93">
        <v>179</v>
      </c>
      <c r="B212" s="74" t="s">
        <v>999</v>
      </c>
      <c r="C212" s="44" t="s">
        <v>664</v>
      </c>
      <c r="D212" s="18" t="s">
        <v>744</v>
      </c>
      <c r="E212" s="48" t="s">
        <v>753</v>
      </c>
      <c r="F212" s="18" t="s">
        <v>1</v>
      </c>
      <c r="G212" s="20" t="s">
        <v>1</v>
      </c>
      <c r="H212" s="18" t="s">
        <v>1</v>
      </c>
      <c r="I212" s="20" t="s">
        <v>1</v>
      </c>
      <c r="J212" s="18" t="s">
        <v>1</v>
      </c>
      <c r="K212" s="20" t="s">
        <v>1</v>
      </c>
      <c r="L212" s="18" t="s">
        <v>1</v>
      </c>
      <c r="M212" s="20" t="s">
        <v>1</v>
      </c>
      <c r="N212" s="46" t="s">
        <v>82</v>
      </c>
      <c r="O212" s="25" t="str">
        <f t="shared" si="7"/>
        <v>"B.013 é bairro de Rio de Janeiro"</v>
      </c>
      <c r="P212" s="46" t="s">
        <v>1</v>
      </c>
      <c r="Q212" s="25" t="s">
        <v>1</v>
      </c>
      <c r="R212" s="46" t="s">
        <v>1</v>
      </c>
      <c r="S212" s="52" t="s">
        <v>1</v>
      </c>
      <c r="T212" s="46" t="s">
        <v>1</v>
      </c>
      <c r="U212" s="31" t="s">
        <v>1</v>
      </c>
      <c r="V212" s="46" t="s">
        <v>1</v>
      </c>
      <c r="W212" s="31" t="s">
        <v>1</v>
      </c>
      <c r="X212" s="46" t="s">
        <v>1</v>
      </c>
      <c r="Y212" s="31" t="s">
        <v>1</v>
      </c>
      <c r="Z212" s="46" t="s">
        <v>1</v>
      </c>
      <c r="AA212" s="31" t="s">
        <v>1</v>
      </c>
      <c r="AB212" s="46" t="s">
        <v>1</v>
      </c>
      <c r="AC212" s="47" t="s">
        <v>1</v>
      </c>
      <c r="AD212" s="36" t="s">
        <v>1</v>
      </c>
      <c r="AE212" s="51" t="s">
        <v>1</v>
      </c>
      <c r="AF212" s="36" t="s">
        <v>1</v>
      </c>
      <c r="AG212" s="51" t="s">
        <v>1</v>
      </c>
      <c r="AH212" s="36" t="s">
        <v>1</v>
      </c>
      <c r="AI212" s="51" t="s">
        <v>1</v>
      </c>
      <c r="AJ212" s="36" t="s">
        <v>1</v>
      </c>
      <c r="AK212" s="51" t="s">
        <v>1</v>
      </c>
      <c r="AL212" s="36" t="s">
        <v>1</v>
      </c>
      <c r="AM212" s="31" t="s">
        <v>1</v>
      </c>
      <c r="AN212" s="36" t="s">
        <v>1</v>
      </c>
      <c r="AO212" s="31" t="s">
        <v>1</v>
      </c>
      <c r="AP212" s="36" t="s">
        <v>1</v>
      </c>
      <c r="AQ212" s="51" t="s">
        <v>1</v>
      </c>
      <c r="AR212" s="36" t="s">
        <v>1</v>
      </c>
      <c r="AS212" s="47" t="s">
        <v>1</v>
      </c>
      <c r="AT212" s="36" t="s">
        <v>1</v>
      </c>
      <c r="AU212" s="47" t="s">
        <v>1</v>
      </c>
      <c r="AV212" s="36" t="s">
        <v>1</v>
      </c>
      <c r="AW212" s="47" t="s">
        <v>1</v>
      </c>
      <c r="AX212" s="36" t="s">
        <v>2065</v>
      </c>
      <c r="AY212" s="47" t="s">
        <v>2193</v>
      </c>
      <c r="AZ212" s="36" t="s">
        <v>1299</v>
      </c>
      <c r="BA212" s="47" t="s">
        <v>2193</v>
      </c>
      <c r="BB212" s="36" t="s">
        <v>2188</v>
      </c>
      <c r="BC212" s="47" t="s">
        <v>819</v>
      </c>
      <c r="BD212" s="36" t="s">
        <v>2189</v>
      </c>
      <c r="BE212" s="47" t="str">
        <f t="shared" si="6"/>
        <v>"Bairro"</v>
      </c>
    </row>
    <row r="213" spans="1:57" ht="6.65" customHeight="1" x14ac:dyDescent="0.4">
      <c r="A213" s="93">
        <v>180</v>
      </c>
      <c r="B213" s="74" t="s">
        <v>1000</v>
      </c>
      <c r="C213" s="44" t="s">
        <v>664</v>
      </c>
      <c r="D213" s="18" t="s">
        <v>744</v>
      </c>
      <c r="E213" s="48" t="s">
        <v>753</v>
      </c>
      <c r="F213" s="18" t="s">
        <v>1</v>
      </c>
      <c r="G213" s="20" t="s">
        <v>1</v>
      </c>
      <c r="H213" s="18" t="s">
        <v>1</v>
      </c>
      <c r="I213" s="20" t="s">
        <v>1</v>
      </c>
      <c r="J213" s="18" t="s">
        <v>1</v>
      </c>
      <c r="K213" s="20" t="s">
        <v>1</v>
      </c>
      <c r="L213" s="18" t="s">
        <v>1</v>
      </c>
      <c r="M213" s="20" t="s">
        <v>1</v>
      </c>
      <c r="N213" s="46" t="s">
        <v>82</v>
      </c>
      <c r="O213" s="25" t="str">
        <f t="shared" si="7"/>
        <v>"B.047 é bairro de Rio de Janeiro"</v>
      </c>
      <c r="P213" s="46" t="s">
        <v>1</v>
      </c>
      <c r="Q213" s="25" t="s">
        <v>1</v>
      </c>
      <c r="R213" s="46" t="s">
        <v>1</v>
      </c>
      <c r="S213" s="52" t="s">
        <v>1</v>
      </c>
      <c r="T213" s="46" t="s">
        <v>1</v>
      </c>
      <c r="U213" s="31" t="s">
        <v>1</v>
      </c>
      <c r="V213" s="46" t="s">
        <v>1</v>
      </c>
      <c r="W213" s="31" t="s">
        <v>1</v>
      </c>
      <c r="X213" s="46" t="s">
        <v>1</v>
      </c>
      <c r="Y213" s="31" t="s">
        <v>1</v>
      </c>
      <c r="Z213" s="46" t="s">
        <v>1</v>
      </c>
      <c r="AA213" s="31" t="s">
        <v>1</v>
      </c>
      <c r="AB213" s="46" t="s">
        <v>1</v>
      </c>
      <c r="AC213" s="47" t="s">
        <v>1</v>
      </c>
      <c r="AD213" s="36" t="s">
        <v>1</v>
      </c>
      <c r="AE213" s="51" t="s">
        <v>1</v>
      </c>
      <c r="AF213" s="36" t="s">
        <v>1</v>
      </c>
      <c r="AG213" s="51" t="s">
        <v>1</v>
      </c>
      <c r="AH213" s="36" t="s">
        <v>1</v>
      </c>
      <c r="AI213" s="51" t="s">
        <v>1</v>
      </c>
      <c r="AJ213" s="36" t="s">
        <v>1</v>
      </c>
      <c r="AK213" s="51" t="s">
        <v>1</v>
      </c>
      <c r="AL213" s="36" t="s">
        <v>1</v>
      </c>
      <c r="AM213" s="31" t="s">
        <v>1</v>
      </c>
      <c r="AN213" s="36" t="s">
        <v>1</v>
      </c>
      <c r="AO213" s="31" t="s">
        <v>1</v>
      </c>
      <c r="AP213" s="36" t="s">
        <v>1</v>
      </c>
      <c r="AQ213" s="51" t="s">
        <v>1</v>
      </c>
      <c r="AR213" s="36" t="s">
        <v>1</v>
      </c>
      <c r="AS213" s="47" t="s">
        <v>1</v>
      </c>
      <c r="AT213" s="36" t="s">
        <v>1</v>
      </c>
      <c r="AU213" s="47" t="s">
        <v>1</v>
      </c>
      <c r="AV213" s="36" t="s">
        <v>1</v>
      </c>
      <c r="AW213" s="47" t="s">
        <v>1</v>
      </c>
      <c r="AX213" s="36" t="s">
        <v>2065</v>
      </c>
      <c r="AY213" s="47" t="s">
        <v>2193</v>
      </c>
      <c r="AZ213" s="36" t="s">
        <v>1299</v>
      </c>
      <c r="BA213" s="47" t="s">
        <v>2193</v>
      </c>
      <c r="BB213" s="36" t="s">
        <v>2188</v>
      </c>
      <c r="BC213" s="47" t="s">
        <v>819</v>
      </c>
      <c r="BD213" s="36" t="s">
        <v>2189</v>
      </c>
      <c r="BE213" s="47" t="str">
        <f t="shared" si="6"/>
        <v>"Bairro"</v>
      </c>
    </row>
    <row r="214" spans="1:57" ht="6.65" customHeight="1" x14ac:dyDescent="0.4">
      <c r="A214" s="93">
        <v>181</v>
      </c>
      <c r="B214" s="74" t="s">
        <v>1001</v>
      </c>
      <c r="C214" s="44" t="s">
        <v>664</v>
      </c>
      <c r="D214" s="18" t="s">
        <v>744</v>
      </c>
      <c r="E214" s="48" t="s">
        <v>753</v>
      </c>
      <c r="F214" s="18" t="s">
        <v>1</v>
      </c>
      <c r="G214" s="20" t="s">
        <v>1</v>
      </c>
      <c r="H214" s="18" t="s">
        <v>1</v>
      </c>
      <c r="I214" s="20" t="s">
        <v>1</v>
      </c>
      <c r="J214" s="18" t="s">
        <v>1</v>
      </c>
      <c r="K214" s="20" t="s">
        <v>1</v>
      </c>
      <c r="L214" s="18" t="s">
        <v>1</v>
      </c>
      <c r="M214" s="20" t="s">
        <v>1</v>
      </c>
      <c r="N214" s="46" t="s">
        <v>82</v>
      </c>
      <c r="O214" s="25" t="str">
        <f t="shared" si="7"/>
        <v>"B.108 é bairro de Rio de Janeiro"</v>
      </c>
      <c r="P214" s="46" t="s">
        <v>1</v>
      </c>
      <c r="Q214" s="25" t="s">
        <v>1</v>
      </c>
      <c r="R214" s="46" t="s">
        <v>1</v>
      </c>
      <c r="S214" s="52" t="s">
        <v>1</v>
      </c>
      <c r="T214" s="46" t="s">
        <v>1</v>
      </c>
      <c r="U214" s="31" t="s">
        <v>1</v>
      </c>
      <c r="V214" s="46" t="s">
        <v>1</v>
      </c>
      <c r="W214" s="31" t="s">
        <v>1</v>
      </c>
      <c r="X214" s="46" t="s">
        <v>1</v>
      </c>
      <c r="Y214" s="31" t="s">
        <v>1</v>
      </c>
      <c r="Z214" s="46" t="s">
        <v>1</v>
      </c>
      <c r="AA214" s="31" t="s">
        <v>1</v>
      </c>
      <c r="AB214" s="46" t="s">
        <v>1</v>
      </c>
      <c r="AC214" s="47" t="s">
        <v>1</v>
      </c>
      <c r="AD214" s="36" t="s">
        <v>1</v>
      </c>
      <c r="AE214" s="51" t="s">
        <v>1</v>
      </c>
      <c r="AF214" s="36" t="s">
        <v>1</v>
      </c>
      <c r="AG214" s="51" t="s">
        <v>1</v>
      </c>
      <c r="AH214" s="36" t="s">
        <v>1</v>
      </c>
      <c r="AI214" s="51" t="s">
        <v>1</v>
      </c>
      <c r="AJ214" s="36" t="s">
        <v>1</v>
      </c>
      <c r="AK214" s="51" t="s">
        <v>1</v>
      </c>
      <c r="AL214" s="36" t="s">
        <v>1</v>
      </c>
      <c r="AM214" s="31" t="s">
        <v>1</v>
      </c>
      <c r="AN214" s="36" t="s">
        <v>1</v>
      </c>
      <c r="AO214" s="31" t="s">
        <v>1</v>
      </c>
      <c r="AP214" s="36" t="s">
        <v>1</v>
      </c>
      <c r="AQ214" s="51" t="s">
        <v>1</v>
      </c>
      <c r="AR214" s="36" t="s">
        <v>1</v>
      </c>
      <c r="AS214" s="47" t="s">
        <v>1</v>
      </c>
      <c r="AT214" s="36" t="s">
        <v>1</v>
      </c>
      <c r="AU214" s="47" t="s">
        <v>1</v>
      </c>
      <c r="AV214" s="36" t="s">
        <v>1</v>
      </c>
      <c r="AW214" s="47" t="s">
        <v>1</v>
      </c>
      <c r="AX214" s="36" t="s">
        <v>2065</v>
      </c>
      <c r="AY214" s="47" t="s">
        <v>2193</v>
      </c>
      <c r="AZ214" s="36" t="s">
        <v>1299</v>
      </c>
      <c r="BA214" s="47" t="s">
        <v>2193</v>
      </c>
      <c r="BB214" s="36" t="s">
        <v>2188</v>
      </c>
      <c r="BC214" s="47" t="s">
        <v>819</v>
      </c>
      <c r="BD214" s="36" t="s">
        <v>2189</v>
      </c>
      <c r="BE214" s="47" t="str">
        <f t="shared" si="6"/>
        <v>"Bairro"</v>
      </c>
    </row>
    <row r="215" spans="1:57" ht="6.65" customHeight="1" x14ac:dyDescent="0.4">
      <c r="A215" s="93">
        <v>182</v>
      </c>
      <c r="B215" s="74" t="s">
        <v>1002</v>
      </c>
      <c r="C215" s="44" t="s">
        <v>664</v>
      </c>
      <c r="D215" s="18" t="s">
        <v>744</v>
      </c>
      <c r="E215" s="48" t="s">
        <v>753</v>
      </c>
      <c r="F215" s="18" t="s">
        <v>1</v>
      </c>
      <c r="G215" s="20" t="s">
        <v>1</v>
      </c>
      <c r="H215" s="18" t="s">
        <v>1</v>
      </c>
      <c r="I215" s="20" t="s">
        <v>1</v>
      </c>
      <c r="J215" s="18" t="s">
        <v>1</v>
      </c>
      <c r="K215" s="20" t="s">
        <v>1</v>
      </c>
      <c r="L215" s="18" t="s">
        <v>1</v>
      </c>
      <c r="M215" s="20" t="s">
        <v>1</v>
      </c>
      <c r="N215" s="46" t="s">
        <v>82</v>
      </c>
      <c r="O215" s="25" t="str">
        <f t="shared" si="7"/>
        <v>"B.159 é bairro de Rio de Janeiro"</v>
      </c>
      <c r="P215" s="46" t="s">
        <v>1</v>
      </c>
      <c r="Q215" s="25" t="s">
        <v>1</v>
      </c>
      <c r="R215" s="46" t="s">
        <v>1</v>
      </c>
      <c r="S215" s="52" t="s">
        <v>1</v>
      </c>
      <c r="T215" s="46" t="s">
        <v>1</v>
      </c>
      <c r="U215" s="31" t="s">
        <v>1</v>
      </c>
      <c r="V215" s="46" t="s">
        <v>1</v>
      </c>
      <c r="W215" s="31" t="s">
        <v>1</v>
      </c>
      <c r="X215" s="46" t="s">
        <v>1</v>
      </c>
      <c r="Y215" s="31" t="s">
        <v>1</v>
      </c>
      <c r="Z215" s="46" t="s">
        <v>1</v>
      </c>
      <c r="AA215" s="31" t="s">
        <v>1</v>
      </c>
      <c r="AB215" s="46" t="s">
        <v>1</v>
      </c>
      <c r="AC215" s="47" t="s">
        <v>1</v>
      </c>
      <c r="AD215" s="36" t="s">
        <v>1</v>
      </c>
      <c r="AE215" s="51" t="s">
        <v>1</v>
      </c>
      <c r="AF215" s="36" t="s">
        <v>1</v>
      </c>
      <c r="AG215" s="51" t="s">
        <v>1</v>
      </c>
      <c r="AH215" s="36" t="s">
        <v>1</v>
      </c>
      <c r="AI215" s="51" t="s">
        <v>1</v>
      </c>
      <c r="AJ215" s="36" t="s">
        <v>1</v>
      </c>
      <c r="AK215" s="51" t="s">
        <v>1</v>
      </c>
      <c r="AL215" s="36" t="s">
        <v>1</v>
      </c>
      <c r="AM215" s="31" t="s">
        <v>1</v>
      </c>
      <c r="AN215" s="36" t="s">
        <v>1</v>
      </c>
      <c r="AO215" s="31" t="s">
        <v>1</v>
      </c>
      <c r="AP215" s="36" t="s">
        <v>1</v>
      </c>
      <c r="AQ215" s="51" t="s">
        <v>1</v>
      </c>
      <c r="AR215" s="36" t="s">
        <v>1</v>
      </c>
      <c r="AS215" s="47" t="s">
        <v>1</v>
      </c>
      <c r="AT215" s="36" t="s">
        <v>1</v>
      </c>
      <c r="AU215" s="47" t="s">
        <v>1</v>
      </c>
      <c r="AV215" s="36" t="s">
        <v>1</v>
      </c>
      <c r="AW215" s="47" t="s">
        <v>1</v>
      </c>
      <c r="AX215" s="36" t="s">
        <v>2065</v>
      </c>
      <c r="AY215" s="47" t="s">
        <v>2193</v>
      </c>
      <c r="AZ215" s="36" t="s">
        <v>1299</v>
      </c>
      <c r="BA215" s="47" t="s">
        <v>2193</v>
      </c>
      <c r="BB215" s="36" t="s">
        <v>2188</v>
      </c>
      <c r="BC215" s="47" t="s">
        <v>819</v>
      </c>
      <c r="BD215" s="36" t="s">
        <v>2189</v>
      </c>
      <c r="BE215" s="47" t="str">
        <f t="shared" si="6"/>
        <v>"Bairro"</v>
      </c>
    </row>
    <row r="216" spans="1:57" ht="6.65" customHeight="1" x14ac:dyDescent="0.4">
      <c r="A216" s="93">
        <v>183</v>
      </c>
      <c r="B216" s="74" t="s">
        <v>1003</v>
      </c>
      <c r="C216" s="44" t="s">
        <v>664</v>
      </c>
      <c r="D216" s="18" t="s">
        <v>744</v>
      </c>
      <c r="E216" s="48" t="s">
        <v>753</v>
      </c>
      <c r="F216" s="18" t="s">
        <v>1</v>
      </c>
      <c r="G216" s="20" t="s">
        <v>1</v>
      </c>
      <c r="H216" s="18" t="s">
        <v>1</v>
      </c>
      <c r="I216" s="20" t="s">
        <v>1</v>
      </c>
      <c r="J216" s="18" t="s">
        <v>1</v>
      </c>
      <c r="K216" s="20" t="s">
        <v>1</v>
      </c>
      <c r="L216" s="18" t="s">
        <v>1</v>
      </c>
      <c r="M216" s="20" t="s">
        <v>1</v>
      </c>
      <c r="N216" s="46" t="s">
        <v>82</v>
      </c>
      <c r="O216" s="25" t="str">
        <f t="shared" si="7"/>
        <v>"B.114 é bairro de Rio de Janeiro"</v>
      </c>
      <c r="P216" s="46" t="s">
        <v>1</v>
      </c>
      <c r="Q216" s="25" t="s">
        <v>1</v>
      </c>
      <c r="R216" s="46" t="s">
        <v>1</v>
      </c>
      <c r="S216" s="52" t="s">
        <v>1</v>
      </c>
      <c r="T216" s="46" t="s">
        <v>1</v>
      </c>
      <c r="U216" s="31" t="s">
        <v>1</v>
      </c>
      <c r="V216" s="46" t="s">
        <v>1</v>
      </c>
      <c r="W216" s="31" t="s">
        <v>1</v>
      </c>
      <c r="X216" s="46" t="s">
        <v>1</v>
      </c>
      <c r="Y216" s="31" t="s">
        <v>1</v>
      </c>
      <c r="Z216" s="46" t="s">
        <v>1</v>
      </c>
      <c r="AA216" s="31" t="s">
        <v>1</v>
      </c>
      <c r="AB216" s="46" t="s">
        <v>1</v>
      </c>
      <c r="AC216" s="47" t="s">
        <v>1</v>
      </c>
      <c r="AD216" s="36" t="s">
        <v>1</v>
      </c>
      <c r="AE216" s="51" t="s">
        <v>1</v>
      </c>
      <c r="AF216" s="36" t="s">
        <v>1</v>
      </c>
      <c r="AG216" s="51" t="s">
        <v>1</v>
      </c>
      <c r="AH216" s="36" t="s">
        <v>1</v>
      </c>
      <c r="AI216" s="51" t="s">
        <v>1</v>
      </c>
      <c r="AJ216" s="36" t="s">
        <v>1</v>
      </c>
      <c r="AK216" s="51" t="s">
        <v>1</v>
      </c>
      <c r="AL216" s="36" t="s">
        <v>1</v>
      </c>
      <c r="AM216" s="31" t="s">
        <v>1</v>
      </c>
      <c r="AN216" s="36" t="s">
        <v>1</v>
      </c>
      <c r="AO216" s="31" t="s">
        <v>1</v>
      </c>
      <c r="AP216" s="36" t="s">
        <v>1</v>
      </c>
      <c r="AQ216" s="51" t="s">
        <v>1</v>
      </c>
      <c r="AR216" s="36" t="s">
        <v>1</v>
      </c>
      <c r="AS216" s="47" t="s">
        <v>1</v>
      </c>
      <c r="AT216" s="36" t="s">
        <v>1</v>
      </c>
      <c r="AU216" s="47" t="s">
        <v>1</v>
      </c>
      <c r="AV216" s="36" t="s">
        <v>1</v>
      </c>
      <c r="AW216" s="47" t="s">
        <v>1</v>
      </c>
      <c r="AX216" s="36" t="s">
        <v>2065</v>
      </c>
      <c r="AY216" s="47" t="s">
        <v>2193</v>
      </c>
      <c r="AZ216" s="36" t="s">
        <v>1299</v>
      </c>
      <c r="BA216" s="47" t="s">
        <v>2193</v>
      </c>
      <c r="BB216" s="36" t="s">
        <v>2188</v>
      </c>
      <c r="BC216" s="47" t="s">
        <v>819</v>
      </c>
      <c r="BD216" s="36" t="s">
        <v>2189</v>
      </c>
      <c r="BE216" s="47" t="str">
        <f t="shared" si="6"/>
        <v>"Bairro"</v>
      </c>
    </row>
    <row r="217" spans="1:57" ht="6.65" customHeight="1" x14ac:dyDescent="0.4">
      <c r="A217" s="93">
        <v>184</v>
      </c>
      <c r="B217" s="74" t="s">
        <v>1004</v>
      </c>
      <c r="C217" s="44" t="s">
        <v>664</v>
      </c>
      <c r="D217" s="18" t="s">
        <v>744</v>
      </c>
      <c r="E217" s="48" t="s">
        <v>753</v>
      </c>
      <c r="F217" s="18" t="s">
        <v>1</v>
      </c>
      <c r="G217" s="20" t="s">
        <v>1</v>
      </c>
      <c r="H217" s="18" t="s">
        <v>1</v>
      </c>
      <c r="I217" s="20" t="s">
        <v>1</v>
      </c>
      <c r="J217" s="18" t="s">
        <v>1</v>
      </c>
      <c r="K217" s="20" t="s">
        <v>1</v>
      </c>
      <c r="L217" s="18" t="s">
        <v>1</v>
      </c>
      <c r="M217" s="20" t="s">
        <v>1</v>
      </c>
      <c r="N217" s="46" t="s">
        <v>82</v>
      </c>
      <c r="O217" s="25" t="str">
        <f t="shared" si="7"/>
        <v>"B.121 é bairro de Rio de Janeiro"</v>
      </c>
      <c r="P217" s="46" t="s">
        <v>1</v>
      </c>
      <c r="Q217" s="25" t="s">
        <v>1</v>
      </c>
      <c r="R217" s="46" t="s">
        <v>1</v>
      </c>
      <c r="S217" s="52" t="s">
        <v>1</v>
      </c>
      <c r="T217" s="46" t="s">
        <v>1</v>
      </c>
      <c r="U217" s="31" t="s">
        <v>1</v>
      </c>
      <c r="V217" s="46" t="s">
        <v>1</v>
      </c>
      <c r="W217" s="31" t="s">
        <v>1</v>
      </c>
      <c r="X217" s="46" t="s">
        <v>1</v>
      </c>
      <c r="Y217" s="31" t="s">
        <v>1</v>
      </c>
      <c r="Z217" s="46" t="s">
        <v>1</v>
      </c>
      <c r="AA217" s="31" t="s">
        <v>1</v>
      </c>
      <c r="AB217" s="46" t="s">
        <v>1</v>
      </c>
      <c r="AC217" s="47" t="s">
        <v>1</v>
      </c>
      <c r="AD217" s="36" t="s">
        <v>1</v>
      </c>
      <c r="AE217" s="51" t="s">
        <v>1</v>
      </c>
      <c r="AF217" s="36" t="s">
        <v>1</v>
      </c>
      <c r="AG217" s="51" t="s">
        <v>1</v>
      </c>
      <c r="AH217" s="36" t="s">
        <v>1</v>
      </c>
      <c r="AI217" s="51" t="s">
        <v>1</v>
      </c>
      <c r="AJ217" s="36" t="s">
        <v>1</v>
      </c>
      <c r="AK217" s="51" t="s">
        <v>1</v>
      </c>
      <c r="AL217" s="36" t="s">
        <v>1</v>
      </c>
      <c r="AM217" s="31" t="s">
        <v>1</v>
      </c>
      <c r="AN217" s="36" t="s">
        <v>1</v>
      </c>
      <c r="AO217" s="31" t="s">
        <v>1</v>
      </c>
      <c r="AP217" s="36" t="s">
        <v>1</v>
      </c>
      <c r="AQ217" s="51" t="s">
        <v>1</v>
      </c>
      <c r="AR217" s="36" t="s">
        <v>1</v>
      </c>
      <c r="AS217" s="47" t="s">
        <v>1</v>
      </c>
      <c r="AT217" s="36" t="s">
        <v>1</v>
      </c>
      <c r="AU217" s="47" t="s">
        <v>1</v>
      </c>
      <c r="AV217" s="36" t="s">
        <v>1</v>
      </c>
      <c r="AW217" s="47" t="s">
        <v>1</v>
      </c>
      <c r="AX217" s="36" t="s">
        <v>2065</v>
      </c>
      <c r="AY217" s="47" t="s">
        <v>2193</v>
      </c>
      <c r="AZ217" s="36" t="s">
        <v>1299</v>
      </c>
      <c r="BA217" s="47" t="s">
        <v>2193</v>
      </c>
      <c r="BB217" s="36" t="s">
        <v>2188</v>
      </c>
      <c r="BC217" s="47" t="s">
        <v>819</v>
      </c>
      <c r="BD217" s="36" t="s">
        <v>2189</v>
      </c>
      <c r="BE217" s="47" t="str">
        <f t="shared" si="6"/>
        <v>"Bairro"</v>
      </c>
    </row>
    <row r="218" spans="1:57" ht="6.65" customHeight="1" x14ac:dyDescent="0.4">
      <c r="A218" s="93">
        <v>185</v>
      </c>
      <c r="B218" s="74" t="s">
        <v>1005</v>
      </c>
      <c r="C218" s="44" t="s">
        <v>664</v>
      </c>
      <c r="D218" s="18" t="s">
        <v>744</v>
      </c>
      <c r="E218" s="48" t="s">
        <v>753</v>
      </c>
      <c r="F218" s="18" t="s">
        <v>1</v>
      </c>
      <c r="G218" s="20" t="s">
        <v>1</v>
      </c>
      <c r="H218" s="18" t="s">
        <v>1</v>
      </c>
      <c r="I218" s="20" t="s">
        <v>1</v>
      </c>
      <c r="J218" s="18" t="s">
        <v>1</v>
      </c>
      <c r="K218" s="20" t="s">
        <v>1</v>
      </c>
      <c r="L218" s="18" t="s">
        <v>1</v>
      </c>
      <c r="M218" s="20" t="s">
        <v>1</v>
      </c>
      <c r="N218" s="46" t="s">
        <v>82</v>
      </c>
      <c r="O218" s="25" t="str">
        <f t="shared" si="7"/>
        <v>"B.153 é bairro de Rio de Janeiro"</v>
      </c>
      <c r="P218" s="46" t="s">
        <v>1</v>
      </c>
      <c r="Q218" s="25" t="s">
        <v>1</v>
      </c>
      <c r="R218" s="46" t="s">
        <v>1</v>
      </c>
      <c r="S218" s="52" t="s">
        <v>1</v>
      </c>
      <c r="T218" s="46" t="s">
        <v>1</v>
      </c>
      <c r="U218" s="31" t="s">
        <v>1</v>
      </c>
      <c r="V218" s="46" t="s">
        <v>1</v>
      </c>
      <c r="W218" s="31" t="s">
        <v>1</v>
      </c>
      <c r="X218" s="46" t="s">
        <v>1</v>
      </c>
      <c r="Y218" s="31" t="s">
        <v>1</v>
      </c>
      <c r="Z218" s="46" t="s">
        <v>1</v>
      </c>
      <c r="AA218" s="31" t="s">
        <v>1</v>
      </c>
      <c r="AB218" s="46" t="s">
        <v>1</v>
      </c>
      <c r="AC218" s="47" t="s">
        <v>1</v>
      </c>
      <c r="AD218" s="36" t="s">
        <v>1</v>
      </c>
      <c r="AE218" s="51" t="s">
        <v>1</v>
      </c>
      <c r="AF218" s="36" t="s">
        <v>1</v>
      </c>
      <c r="AG218" s="51" t="s">
        <v>1</v>
      </c>
      <c r="AH218" s="36" t="s">
        <v>1</v>
      </c>
      <c r="AI218" s="51" t="s">
        <v>1</v>
      </c>
      <c r="AJ218" s="36" t="s">
        <v>1</v>
      </c>
      <c r="AK218" s="51" t="s">
        <v>1</v>
      </c>
      <c r="AL218" s="36" t="s">
        <v>1</v>
      </c>
      <c r="AM218" s="31" t="s">
        <v>1</v>
      </c>
      <c r="AN218" s="36" t="s">
        <v>1</v>
      </c>
      <c r="AO218" s="31" t="s">
        <v>1</v>
      </c>
      <c r="AP218" s="36" t="s">
        <v>1</v>
      </c>
      <c r="AQ218" s="51" t="s">
        <v>1</v>
      </c>
      <c r="AR218" s="36" t="s">
        <v>1</v>
      </c>
      <c r="AS218" s="47" t="s">
        <v>1</v>
      </c>
      <c r="AT218" s="36" t="s">
        <v>1</v>
      </c>
      <c r="AU218" s="47" t="s">
        <v>1</v>
      </c>
      <c r="AV218" s="36" t="s">
        <v>1</v>
      </c>
      <c r="AW218" s="47" t="s">
        <v>1</v>
      </c>
      <c r="AX218" s="36" t="s">
        <v>2065</v>
      </c>
      <c r="AY218" s="47" t="s">
        <v>2193</v>
      </c>
      <c r="AZ218" s="36" t="s">
        <v>1299</v>
      </c>
      <c r="BA218" s="47" t="s">
        <v>2193</v>
      </c>
      <c r="BB218" s="36" t="s">
        <v>2188</v>
      </c>
      <c r="BC218" s="47" t="s">
        <v>819</v>
      </c>
      <c r="BD218" s="36" t="s">
        <v>2189</v>
      </c>
      <c r="BE218" s="47" t="str">
        <f t="shared" si="6"/>
        <v>"Bairro"</v>
      </c>
    </row>
    <row r="219" spans="1:57" ht="6.65" customHeight="1" x14ac:dyDescent="0.4">
      <c r="A219" s="93">
        <v>186</v>
      </c>
      <c r="B219" s="74" t="s">
        <v>1006</v>
      </c>
      <c r="C219" s="44" t="s">
        <v>664</v>
      </c>
      <c r="D219" s="18" t="s">
        <v>744</v>
      </c>
      <c r="E219" s="48" t="s">
        <v>753</v>
      </c>
      <c r="F219" s="18" t="s">
        <v>1</v>
      </c>
      <c r="G219" s="20" t="s">
        <v>1</v>
      </c>
      <c r="H219" s="18" t="s">
        <v>1</v>
      </c>
      <c r="I219" s="20" t="s">
        <v>1</v>
      </c>
      <c r="J219" s="18" t="s">
        <v>1</v>
      </c>
      <c r="K219" s="20" t="s">
        <v>1</v>
      </c>
      <c r="L219" s="18" t="s">
        <v>1</v>
      </c>
      <c r="M219" s="20" t="s">
        <v>1</v>
      </c>
      <c r="N219" s="46" t="s">
        <v>82</v>
      </c>
      <c r="O219" s="25" t="str">
        <f t="shared" si="7"/>
        <v>"B.043 é bairro de Rio de Janeiro"</v>
      </c>
      <c r="P219" s="46" t="s">
        <v>1</v>
      </c>
      <c r="Q219" s="25" t="s">
        <v>1</v>
      </c>
      <c r="R219" s="46" t="s">
        <v>1</v>
      </c>
      <c r="S219" s="52" t="s">
        <v>1</v>
      </c>
      <c r="T219" s="46" t="s">
        <v>1</v>
      </c>
      <c r="U219" s="31" t="s">
        <v>1</v>
      </c>
      <c r="V219" s="46" t="s">
        <v>1</v>
      </c>
      <c r="W219" s="31" t="s">
        <v>1</v>
      </c>
      <c r="X219" s="46" t="s">
        <v>1</v>
      </c>
      <c r="Y219" s="31" t="s">
        <v>1</v>
      </c>
      <c r="Z219" s="46" t="s">
        <v>1</v>
      </c>
      <c r="AA219" s="31" t="s">
        <v>1</v>
      </c>
      <c r="AB219" s="46" t="s">
        <v>1</v>
      </c>
      <c r="AC219" s="47" t="s">
        <v>1</v>
      </c>
      <c r="AD219" s="36" t="s">
        <v>1</v>
      </c>
      <c r="AE219" s="51" t="s">
        <v>1</v>
      </c>
      <c r="AF219" s="36" t="s">
        <v>1</v>
      </c>
      <c r="AG219" s="51" t="s">
        <v>1</v>
      </c>
      <c r="AH219" s="36" t="s">
        <v>1</v>
      </c>
      <c r="AI219" s="51" t="s">
        <v>1</v>
      </c>
      <c r="AJ219" s="36" t="s">
        <v>1</v>
      </c>
      <c r="AK219" s="51" t="s">
        <v>1</v>
      </c>
      <c r="AL219" s="36" t="s">
        <v>1</v>
      </c>
      <c r="AM219" s="31" t="s">
        <v>1</v>
      </c>
      <c r="AN219" s="36" t="s">
        <v>1</v>
      </c>
      <c r="AO219" s="31" t="s">
        <v>1</v>
      </c>
      <c r="AP219" s="36" t="s">
        <v>1</v>
      </c>
      <c r="AQ219" s="51" t="s">
        <v>1</v>
      </c>
      <c r="AR219" s="36" t="s">
        <v>1</v>
      </c>
      <c r="AS219" s="47" t="s">
        <v>1</v>
      </c>
      <c r="AT219" s="36" t="s">
        <v>1</v>
      </c>
      <c r="AU219" s="47" t="s">
        <v>1</v>
      </c>
      <c r="AV219" s="36" t="s">
        <v>1</v>
      </c>
      <c r="AW219" s="47" t="s">
        <v>1</v>
      </c>
      <c r="AX219" s="36" t="s">
        <v>2065</v>
      </c>
      <c r="AY219" s="47" t="s">
        <v>2193</v>
      </c>
      <c r="AZ219" s="36" t="s">
        <v>1299</v>
      </c>
      <c r="BA219" s="47" t="s">
        <v>2193</v>
      </c>
      <c r="BB219" s="36" t="s">
        <v>2188</v>
      </c>
      <c r="BC219" s="47" t="s">
        <v>819</v>
      </c>
      <c r="BD219" s="36" t="s">
        <v>2189</v>
      </c>
      <c r="BE219" s="47" t="str">
        <f t="shared" si="6"/>
        <v>"Bairro"</v>
      </c>
    </row>
    <row r="220" spans="1:57" ht="6.65" customHeight="1" x14ac:dyDescent="0.4">
      <c r="A220" s="93">
        <v>187</v>
      </c>
      <c r="B220" s="74" t="s">
        <v>1007</v>
      </c>
      <c r="C220" s="44" t="s">
        <v>664</v>
      </c>
      <c r="D220" s="18" t="s">
        <v>744</v>
      </c>
      <c r="E220" s="48" t="s">
        <v>753</v>
      </c>
      <c r="F220" s="18" t="s">
        <v>1</v>
      </c>
      <c r="G220" s="20" t="s">
        <v>1</v>
      </c>
      <c r="H220" s="18" t="s">
        <v>1</v>
      </c>
      <c r="I220" s="20" t="s">
        <v>1</v>
      </c>
      <c r="J220" s="18" t="s">
        <v>1</v>
      </c>
      <c r="K220" s="20" t="s">
        <v>1</v>
      </c>
      <c r="L220" s="18" t="s">
        <v>1</v>
      </c>
      <c r="M220" s="20" t="s">
        <v>1</v>
      </c>
      <c r="N220" s="46" t="s">
        <v>82</v>
      </c>
      <c r="O220" s="25" t="str">
        <f t="shared" si="7"/>
        <v>"B.044 é bairro de Rio de Janeiro"</v>
      </c>
      <c r="P220" s="46" t="s">
        <v>1</v>
      </c>
      <c r="Q220" s="25" t="s">
        <v>1</v>
      </c>
      <c r="R220" s="46" t="s">
        <v>1</v>
      </c>
      <c r="S220" s="52" t="s">
        <v>1</v>
      </c>
      <c r="T220" s="46" t="s">
        <v>1</v>
      </c>
      <c r="U220" s="31" t="s">
        <v>1</v>
      </c>
      <c r="V220" s="46" t="s">
        <v>1</v>
      </c>
      <c r="W220" s="31" t="s">
        <v>1</v>
      </c>
      <c r="X220" s="46" t="s">
        <v>1</v>
      </c>
      <c r="Y220" s="31" t="s">
        <v>1</v>
      </c>
      <c r="Z220" s="46" t="s">
        <v>1</v>
      </c>
      <c r="AA220" s="31" t="s">
        <v>1</v>
      </c>
      <c r="AB220" s="46" t="s">
        <v>1</v>
      </c>
      <c r="AC220" s="47" t="s">
        <v>1</v>
      </c>
      <c r="AD220" s="36" t="s">
        <v>1</v>
      </c>
      <c r="AE220" s="51" t="s">
        <v>1</v>
      </c>
      <c r="AF220" s="36" t="s">
        <v>1</v>
      </c>
      <c r="AG220" s="51" t="s">
        <v>1</v>
      </c>
      <c r="AH220" s="36" t="s">
        <v>1</v>
      </c>
      <c r="AI220" s="51" t="s">
        <v>1</v>
      </c>
      <c r="AJ220" s="36" t="s">
        <v>1</v>
      </c>
      <c r="AK220" s="51" t="s">
        <v>1</v>
      </c>
      <c r="AL220" s="36" t="s">
        <v>1</v>
      </c>
      <c r="AM220" s="31" t="s">
        <v>1</v>
      </c>
      <c r="AN220" s="36" t="s">
        <v>1</v>
      </c>
      <c r="AO220" s="31" t="s">
        <v>1</v>
      </c>
      <c r="AP220" s="36" t="s">
        <v>1</v>
      </c>
      <c r="AQ220" s="51" t="s">
        <v>1</v>
      </c>
      <c r="AR220" s="36" t="s">
        <v>1</v>
      </c>
      <c r="AS220" s="47" t="s">
        <v>1</v>
      </c>
      <c r="AT220" s="36" t="s">
        <v>1</v>
      </c>
      <c r="AU220" s="47" t="s">
        <v>1</v>
      </c>
      <c r="AV220" s="36" t="s">
        <v>1</v>
      </c>
      <c r="AW220" s="47" t="s">
        <v>1</v>
      </c>
      <c r="AX220" s="36" t="s">
        <v>2065</v>
      </c>
      <c r="AY220" s="47" t="s">
        <v>2193</v>
      </c>
      <c r="AZ220" s="36" t="s">
        <v>1299</v>
      </c>
      <c r="BA220" s="47" t="s">
        <v>2193</v>
      </c>
      <c r="BB220" s="36" t="s">
        <v>2188</v>
      </c>
      <c r="BC220" s="47" t="s">
        <v>819</v>
      </c>
      <c r="BD220" s="36" t="s">
        <v>2189</v>
      </c>
      <c r="BE220" s="47" t="str">
        <f t="shared" si="6"/>
        <v>"Bairro"</v>
      </c>
    </row>
    <row r="221" spans="1:57" ht="6.65" customHeight="1" x14ac:dyDescent="0.4">
      <c r="A221" s="93">
        <v>188</v>
      </c>
      <c r="B221" s="74" t="s">
        <v>1008</v>
      </c>
      <c r="C221" s="44" t="s">
        <v>664</v>
      </c>
      <c r="D221" s="18" t="s">
        <v>744</v>
      </c>
      <c r="E221" s="48" t="s">
        <v>753</v>
      </c>
      <c r="F221" s="18" t="s">
        <v>1</v>
      </c>
      <c r="G221" s="20" t="s">
        <v>1</v>
      </c>
      <c r="H221" s="18" t="s">
        <v>1</v>
      </c>
      <c r="I221" s="20" t="s">
        <v>1</v>
      </c>
      <c r="J221" s="18" t="s">
        <v>1</v>
      </c>
      <c r="K221" s="20" t="s">
        <v>1</v>
      </c>
      <c r="L221" s="18" t="s">
        <v>1</v>
      </c>
      <c r="M221" s="20" t="s">
        <v>1</v>
      </c>
      <c r="N221" s="46" t="s">
        <v>82</v>
      </c>
      <c r="O221" s="25" t="str">
        <f t="shared" si="7"/>
        <v>"B.069 é bairro de Rio de Janeiro"</v>
      </c>
      <c r="P221" s="46" t="s">
        <v>1</v>
      </c>
      <c r="Q221" s="25" t="s">
        <v>1</v>
      </c>
      <c r="R221" s="46" t="s">
        <v>1</v>
      </c>
      <c r="S221" s="52" t="s">
        <v>1</v>
      </c>
      <c r="T221" s="46" t="s">
        <v>1</v>
      </c>
      <c r="U221" s="31" t="s">
        <v>1</v>
      </c>
      <c r="V221" s="46" t="s">
        <v>1</v>
      </c>
      <c r="W221" s="31" t="s">
        <v>1</v>
      </c>
      <c r="X221" s="46" t="s">
        <v>1</v>
      </c>
      <c r="Y221" s="31" t="s">
        <v>1</v>
      </c>
      <c r="Z221" s="46" t="s">
        <v>1</v>
      </c>
      <c r="AA221" s="31" t="s">
        <v>1</v>
      </c>
      <c r="AB221" s="46" t="s">
        <v>1</v>
      </c>
      <c r="AC221" s="47" t="s">
        <v>1</v>
      </c>
      <c r="AD221" s="36" t="s">
        <v>1</v>
      </c>
      <c r="AE221" s="51" t="s">
        <v>1</v>
      </c>
      <c r="AF221" s="36" t="s">
        <v>1</v>
      </c>
      <c r="AG221" s="51" t="s">
        <v>1</v>
      </c>
      <c r="AH221" s="36" t="s">
        <v>1</v>
      </c>
      <c r="AI221" s="51" t="s">
        <v>1</v>
      </c>
      <c r="AJ221" s="36" t="s">
        <v>1</v>
      </c>
      <c r="AK221" s="51" t="s">
        <v>1</v>
      </c>
      <c r="AL221" s="36" t="s">
        <v>1</v>
      </c>
      <c r="AM221" s="31" t="s">
        <v>1</v>
      </c>
      <c r="AN221" s="36" t="s">
        <v>1</v>
      </c>
      <c r="AO221" s="31" t="s">
        <v>1</v>
      </c>
      <c r="AP221" s="36" t="s">
        <v>1</v>
      </c>
      <c r="AQ221" s="51" t="s">
        <v>1</v>
      </c>
      <c r="AR221" s="36" t="s">
        <v>1</v>
      </c>
      <c r="AS221" s="47" t="s">
        <v>1</v>
      </c>
      <c r="AT221" s="36" t="s">
        <v>1</v>
      </c>
      <c r="AU221" s="47" t="s">
        <v>1</v>
      </c>
      <c r="AV221" s="36" t="s">
        <v>1</v>
      </c>
      <c r="AW221" s="47" t="s">
        <v>1</v>
      </c>
      <c r="AX221" s="36" t="s">
        <v>2065</v>
      </c>
      <c r="AY221" s="47" t="s">
        <v>2193</v>
      </c>
      <c r="AZ221" s="36" t="s">
        <v>1299</v>
      </c>
      <c r="BA221" s="47" t="s">
        <v>2193</v>
      </c>
      <c r="BB221" s="36" t="s">
        <v>2188</v>
      </c>
      <c r="BC221" s="47" t="s">
        <v>819</v>
      </c>
      <c r="BD221" s="36" t="s">
        <v>2189</v>
      </c>
      <c r="BE221" s="47" t="str">
        <f t="shared" si="6"/>
        <v>"Bairro"</v>
      </c>
    </row>
    <row r="222" spans="1:57" ht="6.65" customHeight="1" x14ac:dyDescent="0.4">
      <c r="A222" s="93">
        <v>189</v>
      </c>
      <c r="B222" s="74" t="s">
        <v>1009</v>
      </c>
      <c r="C222" s="44" t="s">
        <v>664</v>
      </c>
      <c r="D222" s="18" t="s">
        <v>744</v>
      </c>
      <c r="E222" s="48" t="s">
        <v>753</v>
      </c>
      <c r="F222" s="18" t="s">
        <v>1</v>
      </c>
      <c r="G222" s="20" t="s">
        <v>1</v>
      </c>
      <c r="H222" s="18" t="s">
        <v>1</v>
      </c>
      <c r="I222" s="20" t="s">
        <v>1</v>
      </c>
      <c r="J222" s="18" t="s">
        <v>1</v>
      </c>
      <c r="K222" s="20" t="s">
        <v>1</v>
      </c>
      <c r="L222" s="18" t="s">
        <v>1</v>
      </c>
      <c r="M222" s="20" t="s">
        <v>1</v>
      </c>
      <c r="N222" s="46" t="s">
        <v>82</v>
      </c>
      <c r="O222" s="25" t="str">
        <f t="shared" si="7"/>
        <v>"B.071 é bairro de Rio de Janeiro"</v>
      </c>
      <c r="P222" s="46" t="s">
        <v>1</v>
      </c>
      <c r="Q222" s="25" t="s">
        <v>1</v>
      </c>
      <c r="R222" s="46" t="s">
        <v>1</v>
      </c>
      <c r="S222" s="52" t="s">
        <v>1</v>
      </c>
      <c r="T222" s="46" t="s">
        <v>1</v>
      </c>
      <c r="U222" s="31" t="s">
        <v>1</v>
      </c>
      <c r="V222" s="46" t="s">
        <v>1</v>
      </c>
      <c r="W222" s="31" t="s">
        <v>1</v>
      </c>
      <c r="X222" s="46" t="s">
        <v>1</v>
      </c>
      <c r="Y222" s="31" t="s">
        <v>1</v>
      </c>
      <c r="Z222" s="46" t="s">
        <v>1</v>
      </c>
      <c r="AA222" s="31" t="s">
        <v>1</v>
      </c>
      <c r="AB222" s="46" t="s">
        <v>1</v>
      </c>
      <c r="AC222" s="47" t="s">
        <v>1</v>
      </c>
      <c r="AD222" s="36" t="s">
        <v>1</v>
      </c>
      <c r="AE222" s="51" t="s">
        <v>1</v>
      </c>
      <c r="AF222" s="36" t="s">
        <v>1</v>
      </c>
      <c r="AG222" s="51" t="s">
        <v>1</v>
      </c>
      <c r="AH222" s="36" t="s">
        <v>1</v>
      </c>
      <c r="AI222" s="51" t="s">
        <v>1</v>
      </c>
      <c r="AJ222" s="36" t="s">
        <v>1</v>
      </c>
      <c r="AK222" s="51" t="s">
        <v>1</v>
      </c>
      <c r="AL222" s="36" t="s">
        <v>1</v>
      </c>
      <c r="AM222" s="31" t="s">
        <v>1</v>
      </c>
      <c r="AN222" s="36" t="s">
        <v>1</v>
      </c>
      <c r="AO222" s="31" t="s">
        <v>1</v>
      </c>
      <c r="AP222" s="36" t="s">
        <v>1</v>
      </c>
      <c r="AQ222" s="51" t="s">
        <v>1</v>
      </c>
      <c r="AR222" s="36" t="s">
        <v>1</v>
      </c>
      <c r="AS222" s="47" t="s">
        <v>1</v>
      </c>
      <c r="AT222" s="36" t="s">
        <v>1</v>
      </c>
      <c r="AU222" s="47" t="s">
        <v>1</v>
      </c>
      <c r="AV222" s="36" t="s">
        <v>1</v>
      </c>
      <c r="AW222" s="47" t="s">
        <v>1</v>
      </c>
      <c r="AX222" s="36" t="s">
        <v>2065</v>
      </c>
      <c r="AY222" s="47" t="s">
        <v>2193</v>
      </c>
      <c r="AZ222" s="36" t="s">
        <v>1299</v>
      </c>
      <c r="BA222" s="47" t="s">
        <v>2193</v>
      </c>
      <c r="BB222" s="36" t="s">
        <v>2188</v>
      </c>
      <c r="BC222" s="47" t="s">
        <v>819</v>
      </c>
      <c r="BD222" s="36" t="s">
        <v>2189</v>
      </c>
      <c r="BE222" s="47" t="str">
        <f t="shared" si="6"/>
        <v>"Bairro"</v>
      </c>
    </row>
    <row r="223" spans="1:57" ht="6.65" customHeight="1" x14ac:dyDescent="0.4">
      <c r="A223" s="93">
        <v>190</v>
      </c>
      <c r="B223" s="74" t="s">
        <v>1010</v>
      </c>
      <c r="C223" s="44" t="s">
        <v>664</v>
      </c>
      <c r="D223" s="18" t="s">
        <v>744</v>
      </c>
      <c r="E223" s="48" t="s">
        <v>753</v>
      </c>
      <c r="F223" s="18" t="s">
        <v>1</v>
      </c>
      <c r="G223" s="20" t="s">
        <v>1</v>
      </c>
      <c r="H223" s="18" t="s">
        <v>1</v>
      </c>
      <c r="I223" s="20" t="s">
        <v>1</v>
      </c>
      <c r="J223" s="18" t="s">
        <v>1</v>
      </c>
      <c r="K223" s="20" t="s">
        <v>1</v>
      </c>
      <c r="L223" s="18" t="s">
        <v>1</v>
      </c>
      <c r="M223" s="20" t="s">
        <v>1</v>
      </c>
      <c r="N223" s="46" t="s">
        <v>82</v>
      </c>
      <c r="O223" s="25" t="str">
        <f t="shared" si="7"/>
        <v>"B.094 é bairro de Rio de Janeiro"</v>
      </c>
      <c r="P223" s="46" t="s">
        <v>1</v>
      </c>
      <c r="Q223" s="25" t="s">
        <v>1</v>
      </c>
      <c r="R223" s="46" t="s">
        <v>1</v>
      </c>
      <c r="S223" s="52" t="s">
        <v>1</v>
      </c>
      <c r="T223" s="46" t="s">
        <v>1</v>
      </c>
      <c r="U223" s="31" t="s">
        <v>1</v>
      </c>
      <c r="V223" s="46" t="s">
        <v>1</v>
      </c>
      <c r="W223" s="31" t="s">
        <v>1</v>
      </c>
      <c r="X223" s="46" t="s">
        <v>1</v>
      </c>
      <c r="Y223" s="31" t="s">
        <v>1</v>
      </c>
      <c r="Z223" s="46" t="s">
        <v>1</v>
      </c>
      <c r="AA223" s="31" t="s">
        <v>1</v>
      </c>
      <c r="AB223" s="46" t="s">
        <v>1</v>
      </c>
      <c r="AC223" s="47" t="s">
        <v>1</v>
      </c>
      <c r="AD223" s="36" t="s">
        <v>1</v>
      </c>
      <c r="AE223" s="51" t="s">
        <v>1</v>
      </c>
      <c r="AF223" s="36" t="s">
        <v>1</v>
      </c>
      <c r="AG223" s="51" t="s">
        <v>1</v>
      </c>
      <c r="AH223" s="36" t="s">
        <v>1</v>
      </c>
      <c r="AI223" s="51" t="s">
        <v>1</v>
      </c>
      <c r="AJ223" s="36" t="s">
        <v>1</v>
      </c>
      <c r="AK223" s="51" t="s">
        <v>1</v>
      </c>
      <c r="AL223" s="36" t="s">
        <v>1</v>
      </c>
      <c r="AM223" s="31" t="s">
        <v>1</v>
      </c>
      <c r="AN223" s="36" t="s">
        <v>1</v>
      </c>
      <c r="AO223" s="31" t="s">
        <v>1</v>
      </c>
      <c r="AP223" s="36" t="s">
        <v>1</v>
      </c>
      <c r="AQ223" s="51" t="s">
        <v>1</v>
      </c>
      <c r="AR223" s="36" t="s">
        <v>1</v>
      </c>
      <c r="AS223" s="47" t="s">
        <v>1</v>
      </c>
      <c r="AT223" s="36" t="s">
        <v>1</v>
      </c>
      <c r="AU223" s="47" t="s">
        <v>1</v>
      </c>
      <c r="AV223" s="36" t="s">
        <v>1</v>
      </c>
      <c r="AW223" s="47" t="s">
        <v>1</v>
      </c>
      <c r="AX223" s="36" t="s">
        <v>2065</v>
      </c>
      <c r="AY223" s="47" t="s">
        <v>2193</v>
      </c>
      <c r="AZ223" s="36" t="s">
        <v>1299</v>
      </c>
      <c r="BA223" s="47" t="s">
        <v>2193</v>
      </c>
      <c r="BB223" s="36" t="s">
        <v>2188</v>
      </c>
      <c r="BC223" s="47" t="s">
        <v>819</v>
      </c>
      <c r="BD223" s="36" t="s">
        <v>2189</v>
      </c>
      <c r="BE223" s="47" t="str">
        <f t="shared" si="6"/>
        <v>"Bairro"</v>
      </c>
    </row>
    <row r="224" spans="1:57" ht="6.65" customHeight="1" x14ac:dyDescent="0.4">
      <c r="A224" s="93">
        <v>191</v>
      </c>
      <c r="B224" s="74" t="s">
        <v>1011</v>
      </c>
      <c r="C224" s="44" t="s">
        <v>664</v>
      </c>
      <c r="D224" s="18" t="s">
        <v>744</v>
      </c>
      <c r="E224" s="48" t="s">
        <v>753</v>
      </c>
      <c r="F224" s="18" t="s">
        <v>1</v>
      </c>
      <c r="G224" s="20" t="s">
        <v>1</v>
      </c>
      <c r="H224" s="18" t="s">
        <v>1</v>
      </c>
      <c r="I224" s="20" t="s">
        <v>1</v>
      </c>
      <c r="J224" s="18" t="s">
        <v>1</v>
      </c>
      <c r="K224" s="20" t="s">
        <v>1</v>
      </c>
      <c r="L224" s="18" t="s">
        <v>1</v>
      </c>
      <c r="M224" s="20" t="s">
        <v>1</v>
      </c>
      <c r="N224" s="46" t="s">
        <v>82</v>
      </c>
      <c r="O224" s="25" t="str">
        <f t="shared" si="7"/>
        <v>"B.103 é bairro de Rio de Janeiro"</v>
      </c>
      <c r="P224" s="46" t="s">
        <v>1</v>
      </c>
      <c r="Q224" s="25" t="s">
        <v>1</v>
      </c>
      <c r="R224" s="46" t="s">
        <v>1</v>
      </c>
      <c r="S224" s="52" t="s">
        <v>1</v>
      </c>
      <c r="T224" s="46" t="s">
        <v>1</v>
      </c>
      <c r="U224" s="31" t="s">
        <v>1</v>
      </c>
      <c r="V224" s="46" t="s">
        <v>1</v>
      </c>
      <c r="W224" s="31" t="s">
        <v>1</v>
      </c>
      <c r="X224" s="46" t="s">
        <v>1</v>
      </c>
      <c r="Y224" s="31" t="s">
        <v>1</v>
      </c>
      <c r="Z224" s="46" t="s">
        <v>1</v>
      </c>
      <c r="AA224" s="31" t="s">
        <v>1</v>
      </c>
      <c r="AB224" s="46" t="s">
        <v>1</v>
      </c>
      <c r="AC224" s="47" t="s">
        <v>1</v>
      </c>
      <c r="AD224" s="36" t="s">
        <v>1</v>
      </c>
      <c r="AE224" s="51" t="s">
        <v>1</v>
      </c>
      <c r="AF224" s="36" t="s">
        <v>1</v>
      </c>
      <c r="AG224" s="51" t="s">
        <v>1</v>
      </c>
      <c r="AH224" s="36" t="s">
        <v>1</v>
      </c>
      <c r="AI224" s="51" t="s">
        <v>1</v>
      </c>
      <c r="AJ224" s="36" t="s">
        <v>1</v>
      </c>
      <c r="AK224" s="51" t="s">
        <v>1</v>
      </c>
      <c r="AL224" s="36" t="s">
        <v>1</v>
      </c>
      <c r="AM224" s="31" t="s">
        <v>1</v>
      </c>
      <c r="AN224" s="36" t="s">
        <v>1</v>
      </c>
      <c r="AO224" s="31" t="s">
        <v>1</v>
      </c>
      <c r="AP224" s="36" t="s">
        <v>1</v>
      </c>
      <c r="AQ224" s="51" t="s">
        <v>1</v>
      </c>
      <c r="AR224" s="36" t="s">
        <v>1</v>
      </c>
      <c r="AS224" s="47" t="s">
        <v>1</v>
      </c>
      <c r="AT224" s="36" t="s">
        <v>1</v>
      </c>
      <c r="AU224" s="47" t="s">
        <v>1</v>
      </c>
      <c r="AV224" s="36" t="s">
        <v>1</v>
      </c>
      <c r="AW224" s="47" t="s">
        <v>1</v>
      </c>
      <c r="AX224" s="36" t="s">
        <v>2065</v>
      </c>
      <c r="AY224" s="47" t="s">
        <v>2193</v>
      </c>
      <c r="AZ224" s="36" t="s">
        <v>1299</v>
      </c>
      <c r="BA224" s="47" t="s">
        <v>2193</v>
      </c>
      <c r="BB224" s="36" t="s">
        <v>2188</v>
      </c>
      <c r="BC224" s="47" t="s">
        <v>819</v>
      </c>
      <c r="BD224" s="36" t="s">
        <v>2189</v>
      </c>
      <c r="BE224" s="47" t="str">
        <f t="shared" si="6"/>
        <v>"Bairro"</v>
      </c>
    </row>
    <row r="225" spans="1:57" ht="6.65" customHeight="1" x14ac:dyDescent="0.4">
      <c r="A225" s="93">
        <v>192</v>
      </c>
      <c r="B225" s="74" t="s">
        <v>1012</v>
      </c>
      <c r="C225" s="44" t="s">
        <v>664</v>
      </c>
      <c r="D225" s="18" t="s">
        <v>744</v>
      </c>
      <c r="E225" s="48" t="s">
        <v>753</v>
      </c>
      <c r="F225" s="18" t="s">
        <v>1</v>
      </c>
      <c r="G225" s="20" t="s">
        <v>1</v>
      </c>
      <c r="H225" s="18" t="s">
        <v>1</v>
      </c>
      <c r="I225" s="20" t="s">
        <v>1</v>
      </c>
      <c r="J225" s="18" t="s">
        <v>1</v>
      </c>
      <c r="K225" s="20" t="s">
        <v>1</v>
      </c>
      <c r="L225" s="18" t="s">
        <v>1</v>
      </c>
      <c r="M225" s="20" t="s">
        <v>1</v>
      </c>
      <c r="N225" s="46" t="s">
        <v>82</v>
      </c>
      <c r="O225" s="25" t="str">
        <f t="shared" si="7"/>
        <v>"B.032 é bairro de Rio de Janeiro"</v>
      </c>
      <c r="P225" s="46" t="s">
        <v>1</v>
      </c>
      <c r="Q225" s="25" t="s">
        <v>1</v>
      </c>
      <c r="R225" s="46" t="s">
        <v>1</v>
      </c>
      <c r="S225" s="52" t="s">
        <v>1</v>
      </c>
      <c r="T225" s="46" t="s">
        <v>1</v>
      </c>
      <c r="U225" s="31" t="s">
        <v>1</v>
      </c>
      <c r="V225" s="46" t="s">
        <v>1</v>
      </c>
      <c r="W225" s="31" t="s">
        <v>1</v>
      </c>
      <c r="X225" s="46" t="s">
        <v>1</v>
      </c>
      <c r="Y225" s="31" t="s">
        <v>1</v>
      </c>
      <c r="Z225" s="46" t="s">
        <v>1</v>
      </c>
      <c r="AA225" s="31" t="s">
        <v>1</v>
      </c>
      <c r="AB225" s="46" t="s">
        <v>1</v>
      </c>
      <c r="AC225" s="47" t="s">
        <v>1</v>
      </c>
      <c r="AD225" s="36" t="s">
        <v>1</v>
      </c>
      <c r="AE225" s="51" t="s">
        <v>1</v>
      </c>
      <c r="AF225" s="36" t="s">
        <v>1</v>
      </c>
      <c r="AG225" s="51" t="s">
        <v>1</v>
      </c>
      <c r="AH225" s="36" t="s">
        <v>1</v>
      </c>
      <c r="AI225" s="51" t="s">
        <v>1</v>
      </c>
      <c r="AJ225" s="36" t="s">
        <v>1</v>
      </c>
      <c r="AK225" s="51" t="s">
        <v>1</v>
      </c>
      <c r="AL225" s="36" t="s">
        <v>1</v>
      </c>
      <c r="AM225" s="31" t="s">
        <v>1</v>
      </c>
      <c r="AN225" s="36" t="s">
        <v>1</v>
      </c>
      <c r="AO225" s="31" t="s">
        <v>1</v>
      </c>
      <c r="AP225" s="36" t="s">
        <v>1</v>
      </c>
      <c r="AQ225" s="51" t="s">
        <v>1</v>
      </c>
      <c r="AR225" s="36" t="s">
        <v>1</v>
      </c>
      <c r="AS225" s="47" t="s">
        <v>1</v>
      </c>
      <c r="AT225" s="36" t="s">
        <v>1</v>
      </c>
      <c r="AU225" s="47" t="s">
        <v>1</v>
      </c>
      <c r="AV225" s="36" t="s">
        <v>1</v>
      </c>
      <c r="AW225" s="47" t="s">
        <v>1</v>
      </c>
      <c r="AX225" s="36" t="s">
        <v>2065</v>
      </c>
      <c r="AY225" s="47" t="s">
        <v>2193</v>
      </c>
      <c r="AZ225" s="36" t="s">
        <v>1299</v>
      </c>
      <c r="BA225" s="47" t="s">
        <v>2193</v>
      </c>
      <c r="BB225" s="36" t="s">
        <v>2188</v>
      </c>
      <c r="BC225" s="47" t="s">
        <v>819</v>
      </c>
      <c r="BD225" s="36" t="s">
        <v>2189</v>
      </c>
      <c r="BE225" s="47" t="str">
        <f t="shared" si="6"/>
        <v>"Bairro"</v>
      </c>
    </row>
    <row r="226" spans="1:57" ht="6.65" customHeight="1" x14ac:dyDescent="0.4">
      <c r="A226" s="93">
        <v>193</v>
      </c>
      <c r="B226" s="74" t="s">
        <v>1013</v>
      </c>
      <c r="C226" s="44" t="s">
        <v>664</v>
      </c>
      <c r="D226" s="18" t="s">
        <v>744</v>
      </c>
      <c r="E226" s="48" t="s">
        <v>753</v>
      </c>
      <c r="F226" s="18" t="s">
        <v>1</v>
      </c>
      <c r="G226" s="20" t="s">
        <v>1</v>
      </c>
      <c r="H226" s="18" t="s">
        <v>1</v>
      </c>
      <c r="I226" s="20" t="s">
        <v>1</v>
      </c>
      <c r="J226" s="18" t="s">
        <v>1</v>
      </c>
      <c r="K226" s="20" t="s">
        <v>1</v>
      </c>
      <c r="L226" s="18" t="s">
        <v>1</v>
      </c>
      <c r="M226" s="20" t="s">
        <v>1</v>
      </c>
      <c r="N226" s="46" t="s">
        <v>82</v>
      </c>
      <c r="O226" s="25" t="str">
        <f t="shared" si="7"/>
        <v>"B.124 é bairro de Rio de Janeiro"</v>
      </c>
      <c r="P226" s="46" t="s">
        <v>1</v>
      </c>
      <c r="Q226" s="25" t="s">
        <v>1</v>
      </c>
      <c r="R226" s="46" t="s">
        <v>1</v>
      </c>
      <c r="S226" s="52" t="s">
        <v>1</v>
      </c>
      <c r="T226" s="46" t="s">
        <v>1</v>
      </c>
      <c r="U226" s="31" t="s">
        <v>1</v>
      </c>
      <c r="V226" s="46" t="s">
        <v>1</v>
      </c>
      <c r="W226" s="31" t="s">
        <v>1</v>
      </c>
      <c r="X226" s="46" t="s">
        <v>1</v>
      </c>
      <c r="Y226" s="31" t="s">
        <v>1</v>
      </c>
      <c r="Z226" s="46" t="s">
        <v>1</v>
      </c>
      <c r="AA226" s="31" t="s">
        <v>1</v>
      </c>
      <c r="AB226" s="46" t="s">
        <v>1</v>
      </c>
      <c r="AC226" s="47" t="s">
        <v>1</v>
      </c>
      <c r="AD226" s="36" t="s">
        <v>1</v>
      </c>
      <c r="AE226" s="51" t="s">
        <v>1</v>
      </c>
      <c r="AF226" s="36" t="s">
        <v>1</v>
      </c>
      <c r="AG226" s="51" t="s">
        <v>1</v>
      </c>
      <c r="AH226" s="36" t="s">
        <v>1</v>
      </c>
      <c r="AI226" s="51" t="s">
        <v>1</v>
      </c>
      <c r="AJ226" s="36" t="s">
        <v>1</v>
      </c>
      <c r="AK226" s="51" t="s">
        <v>1</v>
      </c>
      <c r="AL226" s="36" t="s">
        <v>1</v>
      </c>
      <c r="AM226" s="31" t="s">
        <v>1</v>
      </c>
      <c r="AN226" s="36" t="s">
        <v>1</v>
      </c>
      <c r="AO226" s="31" t="s">
        <v>1</v>
      </c>
      <c r="AP226" s="36" t="s">
        <v>1</v>
      </c>
      <c r="AQ226" s="51" t="s">
        <v>1</v>
      </c>
      <c r="AR226" s="36" t="s">
        <v>1</v>
      </c>
      <c r="AS226" s="47" t="s">
        <v>1</v>
      </c>
      <c r="AT226" s="36" t="s">
        <v>1</v>
      </c>
      <c r="AU226" s="47" t="s">
        <v>1</v>
      </c>
      <c r="AV226" s="36" t="s">
        <v>1</v>
      </c>
      <c r="AW226" s="47" t="s">
        <v>1</v>
      </c>
      <c r="AX226" s="36" t="s">
        <v>2065</v>
      </c>
      <c r="AY226" s="47" t="s">
        <v>2193</v>
      </c>
      <c r="AZ226" s="36" t="s">
        <v>1299</v>
      </c>
      <c r="BA226" s="47" t="s">
        <v>2193</v>
      </c>
      <c r="BB226" s="36" t="s">
        <v>2188</v>
      </c>
      <c r="BC226" s="47" t="s">
        <v>819</v>
      </c>
      <c r="BD226" s="36" t="s">
        <v>2189</v>
      </c>
      <c r="BE226" s="47" t="str">
        <f t="shared" si="6"/>
        <v>"Bairro"</v>
      </c>
    </row>
    <row r="227" spans="1:57" ht="6.65" customHeight="1" x14ac:dyDescent="0.4">
      <c r="A227" s="93">
        <v>194</v>
      </c>
      <c r="B227" s="74" t="s">
        <v>1014</v>
      </c>
      <c r="C227" s="44" t="s">
        <v>664</v>
      </c>
      <c r="D227" s="18" t="s">
        <v>744</v>
      </c>
      <c r="E227" s="48" t="s">
        <v>753</v>
      </c>
      <c r="F227" s="18" t="s">
        <v>1</v>
      </c>
      <c r="G227" s="20" t="s">
        <v>1</v>
      </c>
      <c r="H227" s="18" t="s">
        <v>1</v>
      </c>
      <c r="I227" s="20" t="s">
        <v>1</v>
      </c>
      <c r="J227" s="18" t="s">
        <v>1</v>
      </c>
      <c r="K227" s="20" t="s">
        <v>1</v>
      </c>
      <c r="L227" s="18" t="s">
        <v>1</v>
      </c>
      <c r="M227" s="20" t="s">
        <v>1</v>
      </c>
      <c r="N227" s="46" t="s">
        <v>82</v>
      </c>
      <c r="O227" s="25" t="str">
        <f t="shared" si="7"/>
        <v>"B.095 é bairro de Rio de Janeiro"</v>
      </c>
      <c r="P227" s="46" t="s">
        <v>1</v>
      </c>
      <c r="Q227" s="25" t="s">
        <v>1</v>
      </c>
      <c r="R227" s="46" t="s">
        <v>1</v>
      </c>
      <c r="S227" s="52" t="s">
        <v>1</v>
      </c>
      <c r="T227" s="46" t="s">
        <v>1</v>
      </c>
      <c r="U227" s="31" t="s">
        <v>1</v>
      </c>
      <c r="V227" s="46" t="s">
        <v>1</v>
      </c>
      <c r="W227" s="31" t="s">
        <v>1</v>
      </c>
      <c r="X227" s="46" t="s">
        <v>1</v>
      </c>
      <c r="Y227" s="31" t="s">
        <v>1</v>
      </c>
      <c r="Z227" s="46" t="s">
        <v>1</v>
      </c>
      <c r="AA227" s="31" t="s">
        <v>1</v>
      </c>
      <c r="AB227" s="46" t="s">
        <v>1</v>
      </c>
      <c r="AC227" s="47" t="s">
        <v>1</v>
      </c>
      <c r="AD227" s="36" t="s">
        <v>1</v>
      </c>
      <c r="AE227" s="51" t="s">
        <v>1</v>
      </c>
      <c r="AF227" s="36" t="s">
        <v>1</v>
      </c>
      <c r="AG227" s="51" t="s">
        <v>1</v>
      </c>
      <c r="AH227" s="36" t="s">
        <v>1</v>
      </c>
      <c r="AI227" s="51" t="s">
        <v>1</v>
      </c>
      <c r="AJ227" s="36" t="s">
        <v>1</v>
      </c>
      <c r="AK227" s="51" t="s">
        <v>1</v>
      </c>
      <c r="AL227" s="36" t="s">
        <v>1</v>
      </c>
      <c r="AM227" s="31" t="s">
        <v>1</v>
      </c>
      <c r="AN227" s="36" t="s">
        <v>1</v>
      </c>
      <c r="AO227" s="31" t="s">
        <v>1</v>
      </c>
      <c r="AP227" s="36" t="s">
        <v>1</v>
      </c>
      <c r="AQ227" s="51" t="s">
        <v>1</v>
      </c>
      <c r="AR227" s="36" t="s">
        <v>1</v>
      </c>
      <c r="AS227" s="47" t="s">
        <v>1</v>
      </c>
      <c r="AT227" s="36" t="s">
        <v>1</v>
      </c>
      <c r="AU227" s="47" t="s">
        <v>1</v>
      </c>
      <c r="AV227" s="36" t="s">
        <v>1</v>
      </c>
      <c r="AW227" s="47" t="s">
        <v>1</v>
      </c>
      <c r="AX227" s="36" t="s">
        <v>2065</v>
      </c>
      <c r="AY227" s="47" t="s">
        <v>2193</v>
      </c>
      <c r="AZ227" s="36" t="s">
        <v>1299</v>
      </c>
      <c r="BA227" s="47" t="s">
        <v>2193</v>
      </c>
      <c r="BB227" s="36" t="s">
        <v>2188</v>
      </c>
      <c r="BC227" s="47" t="s">
        <v>819</v>
      </c>
      <c r="BD227" s="36" t="s">
        <v>2189</v>
      </c>
      <c r="BE227" s="47" t="str">
        <f t="shared" si="6"/>
        <v>"Bairro"</v>
      </c>
    </row>
    <row r="228" spans="1:57" ht="6.65" customHeight="1" x14ac:dyDescent="0.4">
      <c r="A228" s="93">
        <v>195</v>
      </c>
      <c r="B228" s="74" t="s">
        <v>1015</v>
      </c>
      <c r="C228" s="44" t="s">
        <v>664</v>
      </c>
      <c r="D228" s="18" t="s">
        <v>744</v>
      </c>
      <c r="E228" s="48" t="s">
        <v>753</v>
      </c>
      <c r="F228" s="18" t="s">
        <v>1</v>
      </c>
      <c r="G228" s="20" t="s">
        <v>1</v>
      </c>
      <c r="H228" s="18" t="s">
        <v>1</v>
      </c>
      <c r="I228" s="20" t="s">
        <v>1</v>
      </c>
      <c r="J228" s="18" t="s">
        <v>1</v>
      </c>
      <c r="K228" s="20" t="s">
        <v>1</v>
      </c>
      <c r="L228" s="18" t="s">
        <v>1</v>
      </c>
      <c r="M228" s="20" t="s">
        <v>1</v>
      </c>
      <c r="N228" s="46" t="s">
        <v>82</v>
      </c>
      <c r="O228" s="25" t="str">
        <f t="shared" si="7"/>
        <v>"B.079 é bairro de Rio de Janeiro"</v>
      </c>
      <c r="P228" s="46" t="s">
        <v>1</v>
      </c>
      <c r="Q228" s="25" t="s">
        <v>1</v>
      </c>
      <c r="R228" s="46" t="s">
        <v>1</v>
      </c>
      <c r="S228" s="52" t="s">
        <v>1</v>
      </c>
      <c r="T228" s="46" t="s">
        <v>1</v>
      </c>
      <c r="U228" s="31" t="s">
        <v>1</v>
      </c>
      <c r="V228" s="46" t="s">
        <v>1</v>
      </c>
      <c r="W228" s="31" t="s">
        <v>1</v>
      </c>
      <c r="X228" s="46" t="s">
        <v>1</v>
      </c>
      <c r="Y228" s="31" t="s">
        <v>1</v>
      </c>
      <c r="Z228" s="46" t="s">
        <v>1</v>
      </c>
      <c r="AA228" s="31" t="s">
        <v>1</v>
      </c>
      <c r="AB228" s="46" t="s">
        <v>1</v>
      </c>
      <c r="AC228" s="47" t="s">
        <v>1</v>
      </c>
      <c r="AD228" s="36" t="s">
        <v>1</v>
      </c>
      <c r="AE228" s="51" t="s">
        <v>1</v>
      </c>
      <c r="AF228" s="36" t="s">
        <v>1</v>
      </c>
      <c r="AG228" s="51" t="s">
        <v>1</v>
      </c>
      <c r="AH228" s="36" t="s">
        <v>1</v>
      </c>
      <c r="AI228" s="51" t="s">
        <v>1</v>
      </c>
      <c r="AJ228" s="36" t="s">
        <v>1</v>
      </c>
      <c r="AK228" s="51" t="s">
        <v>1</v>
      </c>
      <c r="AL228" s="36" t="s">
        <v>1</v>
      </c>
      <c r="AM228" s="31" t="s">
        <v>1</v>
      </c>
      <c r="AN228" s="36" t="s">
        <v>1</v>
      </c>
      <c r="AO228" s="31" t="s">
        <v>1</v>
      </c>
      <c r="AP228" s="36" t="s">
        <v>1</v>
      </c>
      <c r="AQ228" s="51" t="s">
        <v>1</v>
      </c>
      <c r="AR228" s="36" t="s">
        <v>1</v>
      </c>
      <c r="AS228" s="47" t="s">
        <v>1</v>
      </c>
      <c r="AT228" s="36" t="s">
        <v>1</v>
      </c>
      <c r="AU228" s="47" t="s">
        <v>1</v>
      </c>
      <c r="AV228" s="36" t="s">
        <v>1</v>
      </c>
      <c r="AW228" s="47" t="s">
        <v>1</v>
      </c>
      <c r="AX228" s="36" t="s">
        <v>2065</v>
      </c>
      <c r="AY228" s="47" t="s">
        <v>2193</v>
      </c>
      <c r="AZ228" s="36" t="s">
        <v>1299</v>
      </c>
      <c r="BA228" s="47" t="s">
        <v>2193</v>
      </c>
      <c r="BB228" s="36" t="s">
        <v>2188</v>
      </c>
      <c r="BC228" s="47" t="s">
        <v>819</v>
      </c>
      <c r="BD228" s="36" t="s">
        <v>2189</v>
      </c>
      <c r="BE228" s="47" t="str">
        <f t="shared" si="6"/>
        <v>"Bairro"</v>
      </c>
    </row>
    <row r="229" spans="1:57" ht="6.65" customHeight="1" x14ac:dyDescent="0.4">
      <c r="A229" s="93">
        <v>196</v>
      </c>
      <c r="B229" s="74" t="s">
        <v>1016</v>
      </c>
      <c r="C229" s="44" t="s">
        <v>664</v>
      </c>
      <c r="D229" s="18" t="s">
        <v>744</v>
      </c>
      <c r="E229" s="48" t="s">
        <v>753</v>
      </c>
      <c r="F229" s="18" t="s">
        <v>1</v>
      </c>
      <c r="G229" s="20" t="s">
        <v>1</v>
      </c>
      <c r="H229" s="18" t="s">
        <v>1</v>
      </c>
      <c r="I229" s="20" t="s">
        <v>1</v>
      </c>
      <c r="J229" s="18" t="s">
        <v>1</v>
      </c>
      <c r="K229" s="20" t="s">
        <v>1</v>
      </c>
      <c r="L229" s="18" t="s">
        <v>1</v>
      </c>
      <c r="M229" s="20" t="s">
        <v>1</v>
      </c>
      <c r="N229" s="46" t="s">
        <v>82</v>
      </c>
      <c r="O229" s="25" t="str">
        <f t="shared" si="7"/>
        <v>"B.041 é bairro de Rio de Janeiro"</v>
      </c>
      <c r="P229" s="46" t="s">
        <v>1</v>
      </c>
      <c r="Q229" s="25" t="s">
        <v>1</v>
      </c>
      <c r="R229" s="46" t="s">
        <v>1</v>
      </c>
      <c r="S229" s="52" t="s">
        <v>1</v>
      </c>
      <c r="T229" s="46" t="s">
        <v>1</v>
      </c>
      <c r="U229" s="31" t="s">
        <v>1</v>
      </c>
      <c r="V229" s="46" t="s">
        <v>1</v>
      </c>
      <c r="W229" s="31" t="s">
        <v>1</v>
      </c>
      <c r="X229" s="46" t="s">
        <v>1</v>
      </c>
      <c r="Y229" s="31" t="s">
        <v>1</v>
      </c>
      <c r="Z229" s="46" t="s">
        <v>1</v>
      </c>
      <c r="AA229" s="31" t="s">
        <v>1</v>
      </c>
      <c r="AB229" s="46" t="s">
        <v>1</v>
      </c>
      <c r="AC229" s="47" t="s">
        <v>1</v>
      </c>
      <c r="AD229" s="36" t="s">
        <v>1</v>
      </c>
      <c r="AE229" s="51" t="s">
        <v>1</v>
      </c>
      <c r="AF229" s="36" t="s">
        <v>1</v>
      </c>
      <c r="AG229" s="51" t="s">
        <v>1</v>
      </c>
      <c r="AH229" s="36" t="s">
        <v>1</v>
      </c>
      <c r="AI229" s="51" t="s">
        <v>1</v>
      </c>
      <c r="AJ229" s="36" t="s">
        <v>1</v>
      </c>
      <c r="AK229" s="51" t="s">
        <v>1</v>
      </c>
      <c r="AL229" s="36" t="s">
        <v>1</v>
      </c>
      <c r="AM229" s="31" t="s">
        <v>1</v>
      </c>
      <c r="AN229" s="36" t="s">
        <v>1</v>
      </c>
      <c r="AO229" s="31" t="s">
        <v>1</v>
      </c>
      <c r="AP229" s="36" t="s">
        <v>1</v>
      </c>
      <c r="AQ229" s="51" t="s">
        <v>1</v>
      </c>
      <c r="AR229" s="36" t="s">
        <v>1</v>
      </c>
      <c r="AS229" s="47" t="s">
        <v>1</v>
      </c>
      <c r="AT229" s="36" t="s">
        <v>1</v>
      </c>
      <c r="AU229" s="47" t="s">
        <v>1</v>
      </c>
      <c r="AV229" s="36" t="s">
        <v>1</v>
      </c>
      <c r="AW229" s="47" t="s">
        <v>1</v>
      </c>
      <c r="AX229" s="36" t="s">
        <v>2065</v>
      </c>
      <c r="AY229" s="47" t="s">
        <v>2193</v>
      </c>
      <c r="AZ229" s="36" t="s">
        <v>1299</v>
      </c>
      <c r="BA229" s="47" t="s">
        <v>2193</v>
      </c>
      <c r="BB229" s="36" t="s">
        <v>2188</v>
      </c>
      <c r="BC229" s="47" t="s">
        <v>819</v>
      </c>
      <c r="BD229" s="36" t="s">
        <v>2189</v>
      </c>
      <c r="BE229" s="47" t="str">
        <f t="shared" si="6"/>
        <v>"Bairro"</v>
      </c>
    </row>
    <row r="230" spans="1:57" ht="6.65" customHeight="1" x14ac:dyDescent="0.4">
      <c r="A230" s="93">
        <v>197</v>
      </c>
      <c r="B230" s="74" t="s">
        <v>1017</v>
      </c>
      <c r="C230" s="44" t="s">
        <v>664</v>
      </c>
      <c r="D230" s="18" t="s">
        <v>744</v>
      </c>
      <c r="E230" s="48" t="s">
        <v>753</v>
      </c>
      <c r="F230" s="18" t="s">
        <v>1</v>
      </c>
      <c r="G230" s="20" t="s">
        <v>1</v>
      </c>
      <c r="H230" s="18" t="s">
        <v>1</v>
      </c>
      <c r="I230" s="20" t="s">
        <v>1</v>
      </c>
      <c r="J230" s="18" t="s">
        <v>1</v>
      </c>
      <c r="K230" s="20" t="s">
        <v>1</v>
      </c>
      <c r="L230" s="18" t="s">
        <v>1</v>
      </c>
      <c r="M230" s="20" t="s">
        <v>1</v>
      </c>
      <c r="N230" s="46" t="s">
        <v>82</v>
      </c>
      <c r="O230" s="25" t="str">
        <f t="shared" si="7"/>
        <v>"B.139 é bairro de Rio de Janeiro"</v>
      </c>
      <c r="P230" s="46" t="s">
        <v>1</v>
      </c>
      <c r="Q230" s="25" t="s">
        <v>1</v>
      </c>
      <c r="R230" s="46" t="s">
        <v>1</v>
      </c>
      <c r="S230" s="52" t="s">
        <v>1</v>
      </c>
      <c r="T230" s="46" t="s">
        <v>1</v>
      </c>
      <c r="U230" s="31" t="s">
        <v>1</v>
      </c>
      <c r="V230" s="46" t="s">
        <v>1</v>
      </c>
      <c r="W230" s="31" t="s">
        <v>1</v>
      </c>
      <c r="X230" s="46" t="s">
        <v>1</v>
      </c>
      <c r="Y230" s="31" t="s">
        <v>1</v>
      </c>
      <c r="Z230" s="46" t="s">
        <v>1</v>
      </c>
      <c r="AA230" s="31" t="s">
        <v>1</v>
      </c>
      <c r="AB230" s="46" t="s">
        <v>1</v>
      </c>
      <c r="AC230" s="47" t="s">
        <v>1</v>
      </c>
      <c r="AD230" s="36" t="s">
        <v>1</v>
      </c>
      <c r="AE230" s="51" t="s">
        <v>1</v>
      </c>
      <c r="AF230" s="36" t="s">
        <v>1</v>
      </c>
      <c r="AG230" s="51" t="s">
        <v>1</v>
      </c>
      <c r="AH230" s="36" t="s">
        <v>1</v>
      </c>
      <c r="AI230" s="51" t="s">
        <v>1</v>
      </c>
      <c r="AJ230" s="36" t="s">
        <v>1</v>
      </c>
      <c r="AK230" s="51" t="s">
        <v>1</v>
      </c>
      <c r="AL230" s="36" t="s">
        <v>1</v>
      </c>
      <c r="AM230" s="31" t="s">
        <v>1</v>
      </c>
      <c r="AN230" s="36" t="s">
        <v>1</v>
      </c>
      <c r="AO230" s="31" t="s">
        <v>1</v>
      </c>
      <c r="AP230" s="36" t="s">
        <v>1</v>
      </c>
      <c r="AQ230" s="51" t="s">
        <v>1</v>
      </c>
      <c r="AR230" s="36" t="s">
        <v>1</v>
      </c>
      <c r="AS230" s="47" t="s">
        <v>1</v>
      </c>
      <c r="AT230" s="36" t="s">
        <v>1</v>
      </c>
      <c r="AU230" s="47" t="s">
        <v>1</v>
      </c>
      <c r="AV230" s="36" t="s">
        <v>1</v>
      </c>
      <c r="AW230" s="47" t="s">
        <v>1</v>
      </c>
      <c r="AX230" s="36" t="s">
        <v>2065</v>
      </c>
      <c r="AY230" s="47" t="s">
        <v>2193</v>
      </c>
      <c r="AZ230" s="36" t="s">
        <v>1299</v>
      </c>
      <c r="BA230" s="47" t="s">
        <v>2193</v>
      </c>
      <c r="BB230" s="36" t="s">
        <v>2188</v>
      </c>
      <c r="BC230" s="47" t="s">
        <v>819</v>
      </c>
      <c r="BD230" s="36" t="s">
        <v>2189</v>
      </c>
      <c r="BE230" s="47" t="str">
        <f t="shared" ref="BE230:BE273" si="8">_xlfn.CONCAT("""",C230,"""")</f>
        <v>"Bairro"</v>
      </c>
    </row>
    <row r="231" spans="1:57" ht="6.65" customHeight="1" x14ac:dyDescent="0.4">
      <c r="A231" s="93">
        <v>198</v>
      </c>
      <c r="B231" s="74" t="s">
        <v>1018</v>
      </c>
      <c r="C231" s="44" t="s">
        <v>664</v>
      </c>
      <c r="D231" s="18" t="s">
        <v>744</v>
      </c>
      <c r="E231" s="48" t="s">
        <v>753</v>
      </c>
      <c r="F231" s="18" t="s">
        <v>1</v>
      </c>
      <c r="G231" s="20" t="s">
        <v>1</v>
      </c>
      <c r="H231" s="18" t="s">
        <v>1</v>
      </c>
      <c r="I231" s="20" t="s">
        <v>1</v>
      </c>
      <c r="J231" s="18" t="s">
        <v>1</v>
      </c>
      <c r="K231" s="20" t="s">
        <v>1</v>
      </c>
      <c r="L231" s="18" t="s">
        <v>1</v>
      </c>
      <c r="M231" s="20" t="s">
        <v>1</v>
      </c>
      <c r="N231" s="46" t="s">
        <v>82</v>
      </c>
      <c r="O231" s="25" t="str">
        <f t="shared" si="7"/>
        <v>"B.132 é bairro de Rio de Janeiro"</v>
      </c>
      <c r="P231" s="46" t="s">
        <v>1</v>
      </c>
      <c r="Q231" s="25" t="s">
        <v>1</v>
      </c>
      <c r="R231" s="46" t="s">
        <v>1</v>
      </c>
      <c r="S231" s="52" t="s">
        <v>1</v>
      </c>
      <c r="T231" s="46" t="s">
        <v>1</v>
      </c>
      <c r="U231" s="31" t="s">
        <v>1</v>
      </c>
      <c r="V231" s="46" t="s">
        <v>1</v>
      </c>
      <c r="W231" s="31" t="s">
        <v>1</v>
      </c>
      <c r="X231" s="46" t="s">
        <v>1</v>
      </c>
      <c r="Y231" s="31" t="s">
        <v>1</v>
      </c>
      <c r="Z231" s="46" t="s">
        <v>1</v>
      </c>
      <c r="AA231" s="31" t="s">
        <v>1</v>
      </c>
      <c r="AB231" s="46" t="s">
        <v>1</v>
      </c>
      <c r="AC231" s="47" t="s">
        <v>1</v>
      </c>
      <c r="AD231" s="36" t="s">
        <v>1</v>
      </c>
      <c r="AE231" s="51" t="s">
        <v>1</v>
      </c>
      <c r="AF231" s="36" t="s">
        <v>1</v>
      </c>
      <c r="AG231" s="51" t="s">
        <v>1</v>
      </c>
      <c r="AH231" s="36" t="s">
        <v>1</v>
      </c>
      <c r="AI231" s="51" t="s">
        <v>1</v>
      </c>
      <c r="AJ231" s="36" t="s">
        <v>1</v>
      </c>
      <c r="AK231" s="51" t="s">
        <v>1</v>
      </c>
      <c r="AL231" s="36" t="s">
        <v>1</v>
      </c>
      <c r="AM231" s="31" t="s">
        <v>1</v>
      </c>
      <c r="AN231" s="36" t="s">
        <v>1</v>
      </c>
      <c r="AO231" s="31" t="s">
        <v>1</v>
      </c>
      <c r="AP231" s="36" t="s">
        <v>1</v>
      </c>
      <c r="AQ231" s="51" t="s">
        <v>1</v>
      </c>
      <c r="AR231" s="36" t="s">
        <v>1</v>
      </c>
      <c r="AS231" s="47" t="s">
        <v>1</v>
      </c>
      <c r="AT231" s="36" t="s">
        <v>1</v>
      </c>
      <c r="AU231" s="47" t="s">
        <v>1</v>
      </c>
      <c r="AV231" s="36" t="s">
        <v>1</v>
      </c>
      <c r="AW231" s="47" t="s">
        <v>1</v>
      </c>
      <c r="AX231" s="36" t="s">
        <v>2065</v>
      </c>
      <c r="AY231" s="47" t="s">
        <v>2193</v>
      </c>
      <c r="AZ231" s="36" t="s">
        <v>1299</v>
      </c>
      <c r="BA231" s="47" t="s">
        <v>2193</v>
      </c>
      <c r="BB231" s="36" t="s">
        <v>2188</v>
      </c>
      <c r="BC231" s="47" t="s">
        <v>819</v>
      </c>
      <c r="BD231" s="36" t="s">
        <v>2189</v>
      </c>
      <c r="BE231" s="47" t="str">
        <f t="shared" si="8"/>
        <v>"Bairro"</v>
      </c>
    </row>
    <row r="232" spans="1:57" ht="6.65" customHeight="1" x14ac:dyDescent="0.4">
      <c r="A232" s="93">
        <v>199</v>
      </c>
      <c r="B232" s="74" t="s">
        <v>1019</v>
      </c>
      <c r="C232" s="44" t="s">
        <v>664</v>
      </c>
      <c r="D232" s="18" t="s">
        <v>744</v>
      </c>
      <c r="E232" s="48" t="s">
        <v>753</v>
      </c>
      <c r="F232" s="18" t="s">
        <v>1</v>
      </c>
      <c r="G232" s="20" t="s">
        <v>1</v>
      </c>
      <c r="H232" s="18" t="s">
        <v>1</v>
      </c>
      <c r="I232" s="20" t="s">
        <v>1</v>
      </c>
      <c r="J232" s="18" t="s">
        <v>1</v>
      </c>
      <c r="K232" s="20" t="s">
        <v>1</v>
      </c>
      <c r="L232" s="18" t="s">
        <v>1</v>
      </c>
      <c r="M232" s="20" t="s">
        <v>1</v>
      </c>
      <c r="N232" s="46" t="s">
        <v>82</v>
      </c>
      <c r="O232" s="25" t="str">
        <f t="shared" si="7"/>
        <v>"B.059 é bairro de Rio de Janeiro"</v>
      </c>
      <c r="P232" s="46" t="s">
        <v>1</v>
      </c>
      <c r="Q232" s="25" t="s">
        <v>1</v>
      </c>
      <c r="R232" s="46" t="s">
        <v>1</v>
      </c>
      <c r="S232" s="52" t="s">
        <v>1</v>
      </c>
      <c r="T232" s="46" t="s">
        <v>1</v>
      </c>
      <c r="U232" s="31" t="s">
        <v>1</v>
      </c>
      <c r="V232" s="46" t="s">
        <v>1</v>
      </c>
      <c r="W232" s="31" t="s">
        <v>1</v>
      </c>
      <c r="X232" s="46" t="s">
        <v>1</v>
      </c>
      <c r="Y232" s="31" t="s">
        <v>1</v>
      </c>
      <c r="Z232" s="46" t="s">
        <v>1</v>
      </c>
      <c r="AA232" s="31" t="s">
        <v>1</v>
      </c>
      <c r="AB232" s="46" t="s">
        <v>1</v>
      </c>
      <c r="AC232" s="47" t="s">
        <v>1</v>
      </c>
      <c r="AD232" s="36" t="s">
        <v>1</v>
      </c>
      <c r="AE232" s="51" t="s">
        <v>1</v>
      </c>
      <c r="AF232" s="36" t="s">
        <v>1</v>
      </c>
      <c r="AG232" s="51" t="s">
        <v>1</v>
      </c>
      <c r="AH232" s="36" t="s">
        <v>1</v>
      </c>
      <c r="AI232" s="51" t="s">
        <v>1</v>
      </c>
      <c r="AJ232" s="36" t="s">
        <v>1</v>
      </c>
      <c r="AK232" s="51" t="s">
        <v>1</v>
      </c>
      <c r="AL232" s="36" t="s">
        <v>1</v>
      </c>
      <c r="AM232" s="31" t="s">
        <v>1</v>
      </c>
      <c r="AN232" s="36" t="s">
        <v>1</v>
      </c>
      <c r="AO232" s="31" t="s">
        <v>1</v>
      </c>
      <c r="AP232" s="36" t="s">
        <v>1</v>
      </c>
      <c r="AQ232" s="51" t="s">
        <v>1</v>
      </c>
      <c r="AR232" s="36" t="s">
        <v>1</v>
      </c>
      <c r="AS232" s="47" t="s">
        <v>1</v>
      </c>
      <c r="AT232" s="36" t="s">
        <v>1</v>
      </c>
      <c r="AU232" s="47" t="s">
        <v>1</v>
      </c>
      <c r="AV232" s="36" t="s">
        <v>1</v>
      </c>
      <c r="AW232" s="47" t="s">
        <v>1</v>
      </c>
      <c r="AX232" s="36" t="s">
        <v>2065</v>
      </c>
      <c r="AY232" s="47" t="s">
        <v>2193</v>
      </c>
      <c r="AZ232" s="36" t="s">
        <v>1299</v>
      </c>
      <c r="BA232" s="47" t="s">
        <v>2193</v>
      </c>
      <c r="BB232" s="36" t="s">
        <v>2188</v>
      </c>
      <c r="BC232" s="47" t="s">
        <v>819</v>
      </c>
      <c r="BD232" s="36" t="s">
        <v>2189</v>
      </c>
      <c r="BE232" s="47" t="str">
        <f t="shared" si="8"/>
        <v>"Bairro"</v>
      </c>
    </row>
    <row r="233" spans="1:57" ht="6.65" customHeight="1" x14ac:dyDescent="0.4">
      <c r="A233" s="93">
        <v>200</v>
      </c>
      <c r="B233" s="74" t="s">
        <v>1020</v>
      </c>
      <c r="C233" s="44" t="s">
        <v>664</v>
      </c>
      <c r="D233" s="18" t="s">
        <v>744</v>
      </c>
      <c r="E233" s="48" t="s">
        <v>753</v>
      </c>
      <c r="F233" s="18" t="s">
        <v>1</v>
      </c>
      <c r="G233" s="20" t="s">
        <v>1</v>
      </c>
      <c r="H233" s="18" t="s">
        <v>1</v>
      </c>
      <c r="I233" s="20" t="s">
        <v>1</v>
      </c>
      <c r="J233" s="18" t="s">
        <v>1</v>
      </c>
      <c r="K233" s="20" t="s">
        <v>1</v>
      </c>
      <c r="L233" s="18" t="s">
        <v>1</v>
      </c>
      <c r="M233" s="20" t="s">
        <v>1</v>
      </c>
      <c r="N233" s="46" t="s">
        <v>82</v>
      </c>
      <c r="O233" s="25" t="str">
        <f t="shared" si="7"/>
        <v>"B.091 é bairro de Rio de Janeiro"</v>
      </c>
      <c r="P233" s="46" t="s">
        <v>1</v>
      </c>
      <c r="Q233" s="25" t="s">
        <v>1</v>
      </c>
      <c r="R233" s="46" t="s">
        <v>1</v>
      </c>
      <c r="S233" s="52" t="s">
        <v>1</v>
      </c>
      <c r="T233" s="46" t="s">
        <v>1</v>
      </c>
      <c r="U233" s="31" t="s">
        <v>1</v>
      </c>
      <c r="V233" s="46" t="s">
        <v>1</v>
      </c>
      <c r="W233" s="31" t="s">
        <v>1</v>
      </c>
      <c r="X233" s="46" t="s">
        <v>1</v>
      </c>
      <c r="Y233" s="31" t="s">
        <v>1</v>
      </c>
      <c r="Z233" s="46" t="s">
        <v>1</v>
      </c>
      <c r="AA233" s="31" t="s">
        <v>1</v>
      </c>
      <c r="AB233" s="46" t="s">
        <v>1</v>
      </c>
      <c r="AC233" s="47" t="s">
        <v>1</v>
      </c>
      <c r="AD233" s="36" t="s">
        <v>1</v>
      </c>
      <c r="AE233" s="51" t="s">
        <v>1</v>
      </c>
      <c r="AF233" s="36" t="s">
        <v>1</v>
      </c>
      <c r="AG233" s="51" t="s">
        <v>1</v>
      </c>
      <c r="AH233" s="36" t="s">
        <v>1</v>
      </c>
      <c r="AI233" s="51" t="s">
        <v>1</v>
      </c>
      <c r="AJ233" s="36" t="s">
        <v>1</v>
      </c>
      <c r="AK233" s="51" t="s">
        <v>1</v>
      </c>
      <c r="AL233" s="36" t="s">
        <v>1</v>
      </c>
      <c r="AM233" s="31" t="s">
        <v>1</v>
      </c>
      <c r="AN233" s="36" t="s">
        <v>1</v>
      </c>
      <c r="AO233" s="31" t="s">
        <v>1</v>
      </c>
      <c r="AP233" s="36" t="s">
        <v>1</v>
      </c>
      <c r="AQ233" s="51" t="s">
        <v>1</v>
      </c>
      <c r="AR233" s="36" t="s">
        <v>1</v>
      </c>
      <c r="AS233" s="47" t="s">
        <v>1</v>
      </c>
      <c r="AT233" s="36" t="s">
        <v>1</v>
      </c>
      <c r="AU233" s="47" t="s">
        <v>1</v>
      </c>
      <c r="AV233" s="36" t="s">
        <v>1</v>
      </c>
      <c r="AW233" s="47" t="s">
        <v>1</v>
      </c>
      <c r="AX233" s="36" t="s">
        <v>2065</v>
      </c>
      <c r="AY233" s="47" t="s">
        <v>2193</v>
      </c>
      <c r="AZ233" s="36" t="s">
        <v>1299</v>
      </c>
      <c r="BA233" s="47" t="s">
        <v>2193</v>
      </c>
      <c r="BB233" s="36" t="s">
        <v>2188</v>
      </c>
      <c r="BC233" s="47" t="s">
        <v>819</v>
      </c>
      <c r="BD233" s="36" t="s">
        <v>2189</v>
      </c>
      <c r="BE233" s="47" t="str">
        <f t="shared" si="8"/>
        <v>"Bairro"</v>
      </c>
    </row>
    <row r="234" spans="1:57" ht="6.65" customHeight="1" x14ac:dyDescent="0.4">
      <c r="A234" s="93">
        <v>201</v>
      </c>
      <c r="B234" s="74" t="s">
        <v>1021</v>
      </c>
      <c r="C234" s="44" t="s">
        <v>664</v>
      </c>
      <c r="D234" s="18" t="s">
        <v>744</v>
      </c>
      <c r="E234" s="48" t="s">
        <v>753</v>
      </c>
      <c r="F234" s="18" t="s">
        <v>1</v>
      </c>
      <c r="G234" s="20" t="s">
        <v>1</v>
      </c>
      <c r="H234" s="18" t="s">
        <v>1</v>
      </c>
      <c r="I234" s="20" t="s">
        <v>1</v>
      </c>
      <c r="J234" s="18" t="s">
        <v>1</v>
      </c>
      <c r="K234" s="20" t="s">
        <v>1</v>
      </c>
      <c r="L234" s="18" t="s">
        <v>1</v>
      </c>
      <c r="M234" s="20" t="s">
        <v>1</v>
      </c>
      <c r="N234" s="46" t="s">
        <v>82</v>
      </c>
      <c r="O234" s="25" t="str">
        <f t="shared" si="7"/>
        <v>"B.109 é bairro de Rio de Janeiro"</v>
      </c>
      <c r="P234" s="46" t="s">
        <v>1</v>
      </c>
      <c r="Q234" s="25" t="s">
        <v>1</v>
      </c>
      <c r="R234" s="46" t="s">
        <v>1</v>
      </c>
      <c r="S234" s="52" t="s">
        <v>1</v>
      </c>
      <c r="T234" s="46" t="s">
        <v>1</v>
      </c>
      <c r="U234" s="31" t="s">
        <v>1</v>
      </c>
      <c r="V234" s="46" t="s">
        <v>1</v>
      </c>
      <c r="W234" s="31" t="s">
        <v>1</v>
      </c>
      <c r="X234" s="46" t="s">
        <v>1</v>
      </c>
      <c r="Y234" s="31" t="s">
        <v>1</v>
      </c>
      <c r="Z234" s="46" t="s">
        <v>1</v>
      </c>
      <c r="AA234" s="31" t="s">
        <v>1</v>
      </c>
      <c r="AB234" s="46" t="s">
        <v>1</v>
      </c>
      <c r="AC234" s="47" t="s">
        <v>1</v>
      </c>
      <c r="AD234" s="36" t="s">
        <v>1</v>
      </c>
      <c r="AE234" s="51" t="s">
        <v>1</v>
      </c>
      <c r="AF234" s="36" t="s">
        <v>1</v>
      </c>
      <c r="AG234" s="51" t="s">
        <v>1</v>
      </c>
      <c r="AH234" s="36" t="s">
        <v>1</v>
      </c>
      <c r="AI234" s="51" t="s">
        <v>1</v>
      </c>
      <c r="AJ234" s="36" t="s">
        <v>1</v>
      </c>
      <c r="AK234" s="51" t="s">
        <v>1</v>
      </c>
      <c r="AL234" s="36" t="s">
        <v>1</v>
      </c>
      <c r="AM234" s="31" t="s">
        <v>1</v>
      </c>
      <c r="AN234" s="36" t="s">
        <v>1</v>
      </c>
      <c r="AO234" s="31" t="s">
        <v>1</v>
      </c>
      <c r="AP234" s="36" t="s">
        <v>1</v>
      </c>
      <c r="AQ234" s="51" t="s">
        <v>1</v>
      </c>
      <c r="AR234" s="36" t="s">
        <v>1</v>
      </c>
      <c r="AS234" s="47" t="s">
        <v>1</v>
      </c>
      <c r="AT234" s="36" t="s">
        <v>1</v>
      </c>
      <c r="AU234" s="47" t="s">
        <v>1</v>
      </c>
      <c r="AV234" s="36" t="s">
        <v>1</v>
      </c>
      <c r="AW234" s="47" t="s">
        <v>1</v>
      </c>
      <c r="AX234" s="36" t="s">
        <v>2065</v>
      </c>
      <c r="AY234" s="47" t="s">
        <v>2193</v>
      </c>
      <c r="AZ234" s="36" t="s">
        <v>1299</v>
      </c>
      <c r="BA234" s="47" t="s">
        <v>2193</v>
      </c>
      <c r="BB234" s="36" t="s">
        <v>2188</v>
      </c>
      <c r="BC234" s="47" t="s">
        <v>819</v>
      </c>
      <c r="BD234" s="36" t="s">
        <v>2189</v>
      </c>
      <c r="BE234" s="47" t="str">
        <f t="shared" si="8"/>
        <v>"Bairro"</v>
      </c>
    </row>
    <row r="235" spans="1:57" ht="6.65" customHeight="1" x14ac:dyDescent="0.4">
      <c r="A235" s="93">
        <v>202</v>
      </c>
      <c r="B235" s="74" t="s">
        <v>1022</v>
      </c>
      <c r="C235" s="44" t="s">
        <v>664</v>
      </c>
      <c r="D235" s="18" t="s">
        <v>744</v>
      </c>
      <c r="E235" s="48" t="s">
        <v>753</v>
      </c>
      <c r="F235" s="18" t="s">
        <v>1</v>
      </c>
      <c r="G235" s="20" t="s">
        <v>1</v>
      </c>
      <c r="H235" s="18" t="s">
        <v>1</v>
      </c>
      <c r="I235" s="20" t="s">
        <v>1</v>
      </c>
      <c r="J235" s="18" t="s">
        <v>1</v>
      </c>
      <c r="K235" s="20" t="s">
        <v>1</v>
      </c>
      <c r="L235" s="18" t="s">
        <v>1</v>
      </c>
      <c r="M235" s="20" t="s">
        <v>1</v>
      </c>
      <c r="N235" s="46" t="s">
        <v>82</v>
      </c>
      <c r="O235" s="25" t="str">
        <f t="shared" si="7"/>
        <v>"B.007 é bairro de Rio de Janeiro"</v>
      </c>
      <c r="P235" s="46" t="s">
        <v>1</v>
      </c>
      <c r="Q235" s="25" t="s">
        <v>1</v>
      </c>
      <c r="R235" s="46" t="s">
        <v>1</v>
      </c>
      <c r="S235" s="52" t="s">
        <v>1</v>
      </c>
      <c r="T235" s="46" t="s">
        <v>1</v>
      </c>
      <c r="U235" s="31" t="s">
        <v>1</v>
      </c>
      <c r="V235" s="46" t="s">
        <v>1</v>
      </c>
      <c r="W235" s="31" t="s">
        <v>1</v>
      </c>
      <c r="X235" s="46" t="s">
        <v>1</v>
      </c>
      <c r="Y235" s="31" t="s">
        <v>1</v>
      </c>
      <c r="Z235" s="46" t="s">
        <v>1</v>
      </c>
      <c r="AA235" s="31" t="s">
        <v>1</v>
      </c>
      <c r="AB235" s="46" t="s">
        <v>1</v>
      </c>
      <c r="AC235" s="47" t="s">
        <v>1</v>
      </c>
      <c r="AD235" s="36" t="s">
        <v>1</v>
      </c>
      <c r="AE235" s="51" t="s">
        <v>1</v>
      </c>
      <c r="AF235" s="36" t="s">
        <v>1</v>
      </c>
      <c r="AG235" s="51" t="s">
        <v>1</v>
      </c>
      <c r="AH235" s="36" t="s">
        <v>1</v>
      </c>
      <c r="AI235" s="51" t="s">
        <v>1</v>
      </c>
      <c r="AJ235" s="36" t="s">
        <v>1</v>
      </c>
      <c r="AK235" s="51" t="s">
        <v>1</v>
      </c>
      <c r="AL235" s="36" t="s">
        <v>1</v>
      </c>
      <c r="AM235" s="31" t="s">
        <v>1</v>
      </c>
      <c r="AN235" s="36" t="s">
        <v>1</v>
      </c>
      <c r="AO235" s="31" t="s">
        <v>1</v>
      </c>
      <c r="AP235" s="36" t="s">
        <v>1</v>
      </c>
      <c r="AQ235" s="51" t="s">
        <v>1</v>
      </c>
      <c r="AR235" s="36" t="s">
        <v>1</v>
      </c>
      <c r="AS235" s="47" t="s">
        <v>1</v>
      </c>
      <c r="AT235" s="36" t="s">
        <v>1</v>
      </c>
      <c r="AU235" s="47" t="s">
        <v>1</v>
      </c>
      <c r="AV235" s="36" t="s">
        <v>1</v>
      </c>
      <c r="AW235" s="47" t="s">
        <v>1</v>
      </c>
      <c r="AX235" s="36" t="s">
        <v>2065</v>
      </c>
      <c r="AY235" s="47" t="s">
        <v>2193</v>
      </c>
      <c r="AZ235" s="36" t="s">
        <v>1299</v>
      </c>
      <c r="BA235" s="47" t="s">
        <v>2193</v>
      </c>
      <c r="BB235" s="36" t="s">
        <v>2188</v>
      </c>
      <c r="BC235" s="47" t="s">
        <v>819</v>
      </c>
      <c r="BD235" s="36" t="s">
        <v>2189</v>
      </c>
      <c r="BE235" s="47" t="str">
        <f t="shared" si="8"/>
        <v>"Bairro"</v>
      </c>
    </row>
    <row r="236" spans="1:57" ht="6.65" customHeight="1" x14ac:dyDescent="0.4">
      <c r="A236" s="93">
        <v>203</v>
      </c>
      <c r="B236" s="74" t="s">
        <v>1023</v>
      </c>
      <c r="C236" s="44" t="s">
        <v>664</v>
      </c>
      <c r="D236" s="18" t="s">
        <v>744</v>
      </c>
      <c r="E236" s="48" t="s">
        <v>753</v>
      </c>
      <c r="F236" s="18" t="s">
        <v>1</v>
      </c>
      <c r="G236" s="20" t="s">
        <v>1</v>
      </c>
      <c r="H236" s="18" t="s">
        <v>1</v>
      </c>
      <c r="I236" s="20" t="s">
        <v>1</v>
      </c>
      <c r="J236" s="18" t="s">
        <v>1</v>
      </c>
      <c r="K236" s="20" t="s">
        <v>1</v>
      </c>
      <c r="L236" s="18" t="s">
        <v>1</v>
      </c>
      <c r="M236" s="20" t="s">
        <v>1</v>
      </c>
      <c r="N236" s="46" t="s">
        <v>82</v>
      </c>
      <c r="O236" s="25" t="str">
        <f t="shared" si="7"/>
        <v>"B.058 é bairro de Rio de Janeiro"</v>
      </c>
      <c r="P236" s="46" t="s">
        <v>1</v>
      </c>
      <c r="Q236" s="25" t="s">
        <v>1</v>
      </c>
      <c r="R236" s="46" t="s">
        <v>1</v>
      </c>
      <c r="S236" s="52" t="s">
        <v>1</v>
      </c>
      <c r="T236" s="46" t="s">
        <v>1</v>
      </c>
      <c r="U236" s="31" t="s">
        <v>1</v>
      </c>
      <c r="V236" s="46" t="s">
        <v>1</v>
      </c>
      <c r="W236" s="31" t="s">
        <v>1</v>
      </c>
      <c r="X236" s="46" t="s">
        <v>1</v>
      </c>
      <c r="Y236" s="31" t="s">
        <v>1</v>
      </c>
      <c r="Z236" s="46" t="s">
        <v>1</v>
      </c>
      <c r="AA236" s="31" t="s">
        <v>1</v>
      </c>
      <c r="AB236" s="46" t="s">
        <v>1</v>
      </c>
      <c r="AC236" s="47" t="s">
        <v>1</v>
      </c>
      <c r="AD236" s="36" t="s">
        <v>1</v>
      </c>
      <c r="AE236" s="51" t="s">
        <v>1</v>
      </c>
      <c r="AF236" s="36" t="s">
        <v>1</v>
      </c>
      <c r="AG236" s="51" t="s">
        <v>1</v>
      </c>
      <c r="AH236" s="36" t="s">
        <v>1</v>
      </c>
      <c r="AI236" s="51" t="s">
        <v>1</v>
      </c>
      <c r="AJ236" s="36" t="s">
        <v>1</v>
      </c>
      <c r="AK236" s="51" t="s">
        <v>1</v>
      </c>
      <c r="AL236" s="36" t="s">
        <v>1</v>
      </c>
      <c r="AM236" s="31" t="s">
        <v>1</v>
      </c>
      <c r="AN236" s="36" t="s">
        <v>1</v>
      </c>
      <c r="AO236" s="31" t="s">
        <v>1</v>
      </c>
      <c r="AP236" s="36" t="s">
        <v>1</v>
      </c>
      <c r="AQ236" s="51" t="s">
        <v>1</v>
      </c>
      <c r="AR236" s="36" t="s">
        <v>1</v>
      </c>
      <c r="AS236" s="47" t="s">
        <v>1</v>
      </c>
      <c r="AT236" s="36" t="s">
        <v>1</v>
      </c>
      <c r="AU236" s="47" t="s">
        <v>1</v>
      </c>
      <c r="AV236" s="36" t="s">
        <v>1</v>
      </c>
      <c r="AW236" s="47" t="s">
        <v>1</v>
      </c>
      <c r="AX236" s="36" t="s">
        <v>2065</v>
      </c>
      <c r="AY236" s="47" t="s">
        <v>2193</v>
      </c>
      <c r="AZ236" s="36" t="s">
        <v>1299</v>
      </c>
      <c r="BA236" s="47" t="s">
        <v>2193</v>
      </c>
      <c r="BB236" s="36" t="s">
        <v>2188</v>
      </c>
      <c r="BC236" s="47" t="s">
        <v>819</v>
      </c>
      <c r="BD236" s="36" t="s">
        <v>2189</v>
      </c>
      <c r="BE236" s="47" t="str">
        <f t="shared" si="8"/>
        <v>"Bairro"</v>
      </c>
    </row>
    <row r="237" spans="1:57" ht="6.65" customHeight="1" x14ac:dyDescent="0.4">
      <c r="A237" s="93">
        <v>204</v>
      </c>
      <c r="B237" s="74" t="s">
        <v>1024</v>
      </c>
      <c r="C237" s="44" t="s">
        <v>664</v>
      </c>
      <c r="D237" s="18" t="s">
        <v>744</v>
      </c>
      <c r="E237" s="48" t="s">
        <v>753</v>
      </c>
      <c r="F237" s="18" t="s">
        <v>1</v>
      </c>
      <c r="G237" s="20" t="s">
        <v>1</v>
      </c>
      <c r="H237" s="18" t="s">
        <v>1</v>
      </c>
      <c r="I237" s="20" t="s">
        <v>1</v>
      </c>
      <c r="J237" s="18" t="s">
        <v>1</v>
      </c>
      <c r="K237" s="20" t="s">
        <v>1</v>
      </c>
      <c r="L237" s="18" t="s">
        <v>1</v>
      </c>
      <c r="M237" s="20" t="s">
        <v>1</v>
      </c>
      <c r="N237" s="46" t="s">
        <v>82</v>
      </c>
      <c r="O237" s="25" t="str">
        <f t="shared" si="7"/>
        <v>"B.086 é bairro de Rio de Janeiro"</v>
      </c>
      <c r="P237" s="46" t="s">
        <v>1</v>
      </c>
      <c r="Q237" s="25" t="s">
        <v>1</v>
      </c>
      <c r="R237" s="46" t="s">
        <v>1</v>
      </c>
      <c r="S237" s="52" t="s">
        <v>1</v>
      </c>
      <c r="T237" s="46" t="s">
        <v>1</v>
      </c>
      <c r="U237" s="31" t="s">
        <v>1</v>
      </c>
      <c r="V237" s="46" t="s">
        <v>1</v>
      </c>
      <c r="W237" s="31" t="s">
        <v>1</v>
      </c>
      <c r="X237" s="46" t="s">
        <v>1</v>
      </c>
      <c r="Y237" s="31" t="s">
        <v>1</v>
      </c>
      <c r="Z237" s="46" t="s">
        <v>1</v>
      </c>
      <c r="AA237" s="31" t="s">
        <v>1</v>
      </c>
      <c r="AB237" s="46" t="s">
        <v>1</v>
      </c>
      <c r="AC237" s="47" t="s">
        <v>1</v>
      </c>
      <c r="AD237" s="36" t="s">
        <v>1</v>
      </c>
      <c r="AE237" s="51" t="s">
        <v>1</v>
      </c>
      <c r="AF237" s="36" t="s">
        <v>1</v>
      </c>
      <c r="AG237" s="51" t="s">
        <v>1</v>
      </c>
      <c r="AH237" s="36" t="s">
        <v>1</v>
      </c>
      <c r="AI237" s="51" t="s">
        <v>1</v>
      </c>
      <c r="AJ237" s="36" t="s">
        <v>1</v>
      </c>
      <c r="AK237" s="51" t="s">
        <v>1</v>
      </c>
      <c r="AL237" s="36" t="s">
        <v>1</v>
      </c>
      <c r="AM237" s="31" t="s">
        <v>1</v>
      </c>
      <c r="AN237" s="36" t="s">
        <v>1</v>
      </c>
      <c r="AO237" s="31" t="s">
        <v>1</v>
      </c>
      <c r="AP237" s="36" t="s">
        <v>1</v>
      </c>
      <c r="AQ237" s="51" t="s">
        <v>1</v>
      </c>
      <c r="AR237" s="36" t="s">
        <v>1</v>
      </c>
      <c r="AS237" s="47" t="s">
        <v>1</v>
      </c>
      <c r="AT237" s="36" t="s">
        <v>1</v>
      </c>
      <c r="AU237" s="47" t="s">
        <v>1</v>
      </c>
      <c r="AV237" s="36" t="s">
        <v>1</v>
      </c>
      <c r="AW237" s="47" t="s">
        <v>1</v>
      </c>
      <c r="AX237" s="36" t="s">
        <v>2065</v>
      </c>
      <c r="AY237" s="47" t="s">
        <v>2193</v>
      </c>
      <c r="AZ237" s="36" t="s">
        <v>1299</v>
      </c>
      <c r="BA237" s="47" t="s">
        <v>2193</v>
      </c>
      <c r="BB237" s="36" t="s">
        <v>2188</v>
      </c>
      <c r="BC237" s="47" t="s">
        <v>819</v>
      </c>
      <c r="BD237" s="36" t="s">
        <v>2189</v>
      </c>
      <c r="BE237" s="47" t="str">
        <f t="shared" si="8"/>
        <v>"Bairro"</v>
      </c>
    </row>
    <row r="238" spans="1:57" ht="6.65" customHeight="1" x14ac:dyDescent="0.4">
      <c r="A238" s="93">
        <v>205</v>
      </c>
      <c r="B238" s="74" t="s">
        <v>1025</v>
      </c>
      <c r="C238" s="44" t="s">
        <v>664</v>
      </c>
      <c r="D238" s="18" t="s">
        <v>744</v>
      </c>
      <c r="E238" s="48" t="s">
        <v>753</v>
      </c>
      <c r="F238" s="18" t="s">
        <v>1</v>
      </c>
      <c r="G238" s="20" t="s">
        <v>1</v>
      </c>
      <c r="H238" s="18" t="s">
        <v>1</v>
      </c>
      <c r="I238" s="20" t="s">
        <v>1</v>
      </c>
      <c r="J238" s="18" t="s">
        <v>1</v>
      </c>
      <c r="K238" s="20" t="s">
        <v>1</v>
      </c>
      <c r="L238" s="18" t="s">
        <v>1</v>
      </c>
      <c r="M238" s="20" t="s">
        <v>1</v>
      </c>
      <c r="N238" s="46" t="s">
        <v>82</v>
      </c>
      <c r="O238" s="25" t="str">
        <f t="shared" si="7"/>
        <v>"B.154 é bairro de Rio de Janeiro"</v>
      </c>
      <c r="P238" s="46" t="s">
        <v>1</v>
      </c>
      <c r="Q238" s="25" t="s">
        <v>1</v>
      </c>
      <c r="R238" s="46" t="s">
        <v>1</v>
      </c>
      <c r="S238" s="52" t="s">
        <v>1</v>
      </c>
      <c r="T238" s="46" t="s">
        <v>1</v>
      </c>
      <c r="U238" s="31" t="s">
        <v>1</v>
      </c>
      <c r="V238" s="46" t="s">
        <v>1</v>
      </c>
      <c r="W238" s="31" t="s">
        <v>1</v>
      </c>
      <c r="X238" s="46" t="s">
        <v>1</v>
      </c>
      <c r="Y238" s="31" t="s">
        <v>1</v>
      </c>
      <c r="Z238" s="46" t="s">
        <v>1</v>
      </c>
      <c r="AA238" s="31" t="s">
        <v>1</v>
      </c>
      <c r="AB238" s="46" t="s">
        <v>1</v>
      </c>
      <c r="AC238" s="47" t="s">
        <v>1</v>
      </c>
      <c r="AD238" s="36" t="s">
        <v>1</v>
      </c>
      <c r="AE238" s="51" t="s">
        <v>1</v>
      </c>
      <c r="AF238" s="36" t="s">
        <v>1</v>
      </c>
      <c r="AG238" s="51" t="s">
        <v>1</v>
      </c>
      <c r="AH238" s="36" t="s">
        <v>1</v>
      </c>
      <c r="AI238" s="51" t="s">
        <v>1</v>
      </c>
      <c r="AJ238" s="36" t="s">
        <v>1</v>
      </c>
      <c r="AK238" s="51" t="s">
        <v>1</v>
      </c>
      <c r="AL238" s="36" t="s">
        <v>1</v>
      </c>
      <c r="AM238" s="31" t="s">
        <v>1</v>
      </c>
      <c r="AN238" s="36" t="s">
        <v>1</v>
      </c>
      <c r="AO238" s="31" t="s">
        <v>1</v>
      </c>
      <c r="AP238" s="36" t="s">
        <v>1</v>
      </c>
      <c r="AQ238" s="51" t="s">
        <v>1</v>
      </c>
      <c r="AR238" s="36" t="s">
        <v>1</v>
      </c>
      <c r="AS238" s="47" t="s">
        <v>1</v>
      </c>
      <c r="AT238" s="36" t="s">
        <v>1</v>
      </c>
      <c r="AU238" s="47" t="s">
        <v>1</v>
      </c>
      <c r="AV238" s="36" t="s">
        <v>1</v>
      </c>
      <c r="AW238" s="47" t="s">
        <v>1</v>
      </c>
      <c r="AX238" s="36" t="s">
        <v>2065</v>
      </c>
      <c r="AY238" s="47" t="s">
        <v>2193</v>
      </c>
      <c r="AZ238" s="36" t="s">
        <v>1299</v>
      </c>
      <c r="BA238" s="47" t="s">
        <v>2193</v>
      </c>
      <c r="BB238" s="36" t="s">
        <v>2188</v>
      </c>
      <c r="BC238" s="47" t="s">
        <v>819</v>
      </c>
      <c r="BD238" s="36" t="s">
        <v>2189</v>
      </c>
      <c r="BE238" s="47" t="str">
        <f t="shared" si="8"/>
        <v>"Bairro"</v>
      </c>
    </row>
    <row r="239" spans="1:57" ht="6.65" customHeight="1" x14ac:dyDescent="0.4">
      <c r="A239" s="93">
        <v>206</v>
      </c>
      <c r="B239" s="74" t="s">
        <v>1026</v>
      </c>
      <c r="C239" s="44" t="s">
        <v>664</v>
      </c>
      <c r="D239" s="18" t="s">
        <v>744</v>
      </c>
      <c r="E239" s="48" t="s">
        <v>753</v>
      </c>
      <c r="F239" s="18" t="s">
        <v>1</v>
      </c>
      <c r="G239" s="20" t="s">
        <v>1</v>
      </c>
      <c r="H239" s="18" t="s">
        <v>1</v>
      </c>
      <c r="I239" s="20" t="s">
        <v>1</v>
      </c>
      <c r="J239" s="18" t="s">
        <v>1</v>
      </c>
      <c r="K239" s="20" t="s">
        <v>1</v>
      </c>
      <c r="L239" s="18" t="s">
        <v>1</v>
      </c>
      <c r="M239" s="20" t="s">
        <v>1</v>
      </c>
      <c r="N239" s="46" t="s">
        <v>82</v>
      </c>
      <c r="O239" s="25" t="str">
        <f t="shared" si="7"/>
        <v>"B.060 é bairro de Rio de Janeiro"</v>
      </c>
      <c r="P239" s="46" t="s">
        <v>1</v>
      </c>
      <c r="Q239" s="25" t="s">
        <v>1</v>
      </c>
      <c r="R239" s="46" t="s">
        <v>1</v>
      </c>
      <c r="S239" s="52" t="s">
        <v>1</v>
      </c>
      <c r="T239" s="46" t="s">
        <v>1</v>
      </c>
      <c r="U239" s="31" t="s">
        <v>1</v>
      </c>
      <c r="V239" s="46" t="s">
        <v>1</v>
      </c>
      <c r="W239" s="31" t="s">
        <v>1</v>
      </c>
      <c r="X239" s="46" t="s">
        <v>1</v>
      </c>
      <c r="Y239" s="31" t="s">
        <v>1</v>
      </c>
      <c r="Z239" s="46" t="s">
        <v>1</v>
      </c>
      <c r="AA239" s="31" t="s">
        <v>1</v>
      </c>
      <c r="AB239" s="46" t="s">
        <v>1</v>
      </c>
      <c r="AC239" s="47" t="s">
        <v>1</v>
      </c>
      <c r="AD239" s="36" t="s">
        <v>1</v>
      </c>
      <c r="AE239" s="51" t="s">
        <v>1</v>
      </c>
      <c r="AF239" s="36" t="s">
        <v>1</v>
      </c>
      <c r="AG239" s="51" t="s">
        <v>1</v>
      </c>
      <c r="AH239" s="36" t="s">
        <v>1</v>
      </c>
      <c r="AI239" s="51" t="s">
        <v>1</v>
      </c>
      <c r="AJ239" s="36" t="s">
        <v>1</v>
      </c>
      <c r="AK239" s="51" t="s">
        <v>1</v>
      </c>
      <c r="AL239" s="36" t="s">
        <v>1</v>
      </c>
      <c r="AM239" s="31" t="s">
        <v>1</v>
      </c>
      <c r="AN239" s="36" t="s">
        <v>1</v>
      </c>
      <c r="AO239" s="31" t="s">
        <v>1</v>
      </c>
      <c r="AP239" s="36" t="s">
        <v>1</v>
      </c>
      <c r="AQ239" s="51" t="s">
        <v>1</v>
      </c>
      <c r="AR239" s="36" t="s">
        <v>1</v>
      </c>
      <c r="AS239" s="47" t="s">
        <v>1</v>
      </c>
      <c r="AT239" s="36" t="s">
        <v>1</v>
      </c>
      <c r="AU239" s="47" t="s">
        <v>1</v>
      </c>
      <c r="AV239" s="36" t="s">
        <v>1</v>
      </c>
      <c r="AW239" s="47" t="s">
        <v>1</v>
      </c>
      <c r="AX239" s="36" t="s">
        <v>2065</v>
      </c>
      <c r="AY239" s="47" t="s">
        <v>2193</v>
      </c>
      <c r="AZ239" s="36" t="s">
        <v>1299</v>
      </c>
      <c r="BA239" s="47" t="s">
        <v>2193</v>
      </c>
      <c r="BB239" s="36" t="s">
        <v>2188</v>
      </c>
      <c r="BC239" s="47" t="s">
        <v>819</v>
      </c>
      <c r="BD239" s="36" t="s">
        <v>2189</v>
      </c>
      <c r="BE239" s="47" t="str">
        <f t="shared" si="8"/>
        <v>"Bairro"</v>
      </c>
    </row>
    <row r="240" spans="1:57" ht="6.65" customHeight="1" x14ac:dyDescent="0.4">
      <c r="A240" s="93">
        <v>207</v>
      </c>
      <c r="B240" s="74" t="s">
        <v>1027</v>
      </c>
      <c r="C240" s="44" t="s">
        <v>664</v>
      </c>
      <c r="D240" s="18" t="s">
        <v>744</v>
      </c>
      <c r="E240" s="48" t="s">
        <v>753</v>
      </c>
      <c r="F240" s="18" t="s">
        <v>1</v>
      </c>
      <c r="G240" s="20" t="s">
        <v>1</v>
      </c>
      <c r="H240" s="18" t="s">
        <v>1</v>
      </c>
      <c r="I240" s="20" t="s">
        <v>1</v>
      </c>
      <c r="J240" s="18" t="s">
        <v>1</v>
      </c>
      <c r="K240" s="20" t="s">
        <v>1</v>
      </c>
      <c r="L240" s="18" t="s">
        <v>1</v>
      </c>
      <c r="M240" s="20" t="s">
        <v>1</v>
      </c>
      <c r="N240" s="46" t="s">
        <v>82</v>
      </c>
      <c r="O240" s="25" t="str">
        <f t="shared" ref="O240:O273" si="9">_xlfn.CONCAT("""",B240, " é bairro de Rio de Janeiro","""")</f>
        <v>"B.149 é bairro de Rio de Janeiro"</v>
      </c>
      <c r="P240" s="46" t="s">
        <v>1</v>
      </c>
      <c r="Q240" s="25" t="s">
        <v>1</v>
      </c>
      <c r="R240" s="46" t="s">
        <v>1</v>
      </c>
      <c r="S240" s="52" t="s">
        <v>1</v>
      </c>
      <c r="T240" s="46" t="s">
        <v>1</v>
      </c>
      <c r="U240" s="31" t="s">
        <v>1</v>
      </c>
      <c r="V240" s="46" t="s">
        <v>1</v>
      </c>
      <c r="W240" s="31" t="s">
        <v>1</v>
      </c>
      <c r="X240" s="46" t="s">
        <v>1</v>
      </c>
      <c r="Y240" s="31" t="s">
        <v>1</v>
      </c>
      <c r="Z240" s="46" t="s">
        <v>1</v>
      </c>
      <c r="AA240" s="31" t="s">
        <v>1</v>
      </c>
      <c r="AB240" s="46" t="s">
        <v>1</v>
      </c>
      <c r="AC240" s="47" t="s">
        <v>1</v>
      </c>
      <c r="AD240" s="36" t="s">
        <v>1</v>
      </c>
      <c r="AE240" s="51" t="s">
        <v>1</v>
      </c>
      <c r="AF240" s="36" t="s">
        <v>1</v>
      </c>
      <c r="AG240" s="51" t="s">
        <v>1</v>
      </c>
      <c r="AH240" s="36" t="s">
        <v>1</v>
      </c>
      <c r="AI240" s="51" t="s">
        <v>1</v>
      </c>
      <c r="AJ240" s="36" t="s">
        <v>1</v>
      </c>
      <c r="AK240" s="51" t="s">
        <v>1</v>
      </c>
      <c r="AL240" s="36" t="s">
        <v>1</v>
      </c>
      <c r="AM240" s="31" t="s">
        <v>1</v>
      </c>
      <c r="AN240" s="36" t="s">
        <v>1</v>
      </c>
      <c r="AO240" s="31" t="s">
        <v>1</v>
      </c>
      <c r="AP240" s="36" t="s">
        <v>1</v>
      </c>
      <c r="AQ240" s="51" t="s">
        <v>1</v>
      </c>
      <c r="AR240" s="36" t="s">
        <v>1</v>
      </c>
      <c r="AS240" s="47" t="s">
        <v>1</v>
      </c>
      <c r="AT240" s="36" t="s">
        <v>1</v>
      </c>
      <c r="AU240" s="47" t="s">
        <v>1</v>
      </c>
      <c r="AV240" s="36" t="s">
        <v>1</v>
      </c>
      <c r="AW240" s="47" t="s">
        <v>1</v>
      </c>
      <c r="AX240" s="36" t="s">
        <v>2065</v>
      </c>
      <c r="AY240" s="47" t="s">
        <v>2193</v>
      </c>
      <c r="AZ240" s="36" t="s">
        <v>1299</v>
      </c>
      <c r="BA240" s="47" t="s">
        <v>2193</v>
      </c>
      <c r="BB240" s="36" t="s">
        <v>2188</v>
      </c>
      <c r="BC240" s="47" t="s">
        <v>819</v>
      </c>
      <c r="BD240" s="36" t="s">
        <v>2189</v>
      </c>
      <c r="BE240" s="47" t="str">
        <f t="shared" si="8"/>
        <v>"Bairro"</v>
      </c>
    </row>
    <row r="241" spans="1:57" ht="6.65" customHeight="1" x14ac:dyDescent="0.4">
      <c r="A241" s="93">
        <v>208</v>
      </c>
      <c r="B241" s="74" t="s">
        <v>1028</v>
      </c>
      <c r="C241" s="44" t="s">
        <v>664</v>
      </c>
      <c r="D241" s="18" t="s">
        <v>744</v>
      </c>
      <c r="E241" s="48" t="s">
        <v>753</v>
      </c>
      <c r="F241" s="18" t="s">
        <v>1</v>
      </c>
      <c r="G241" s="20" t="s">
        <v>1</v>
      </c>
      <c r="H241" s="18" t="s">
        <v>1</v>
      </c>
      <c r="I241" s="20" t="s">
        <v>1</v>
      </c>
      <c r="J241" s="18" t="s">
        <v>1</v>
      </c>
      <c r="K241" s="20" t="s">
        <v>1</v>
      </c>
      <c r="L241" s="18" t="s">
        <v>1</v>
      </c>
      <c r="M241" s="20" t="s">
        <v>1</v>
      </c>
      <c r="N241" s="46" t="s">
        <v>82</v>
      </c>
      <c r="O241" s="25" t="str">
        <f t="shared" si="9"/>
        <v>"B.014 é bairro de Rio de Janeiro"</v>
      </c>
      <c r="P241" s="46" t="s">
        <v>1</v>
      </c>
      <c r="Q241" s="25" t="s">
        <v>1</v>
      </c>
      <c r="R241" s="46" t="s">
        <v>1</v>
      </c>
      <c r="S241" s="52" t="s">
        <v>1</v>
      </c>
      <c r="T241" s="46" t="s">
        <v>1</v>
      </c>
      <c r="U241" s="31" t="s">
        <v>1</v>
      </c>
      <c r="V241" s="46" t="s">
        <v>1</v>
      </c>
      <c r="W241" s="31" t="s">
        <v>1</v>
      </c>
      <c r="X241" s="46" t="s">
        <v>1</v>
      </c>
      <c r="Y241" s="31" t="s">
        <v>1</v>
      </c>
      <c r="Z241" s="46" t="s">
        <v>1</v>
      </c>
      <c r="AA241" s="31" t="s">
        <v>1</v>
      </c>
      <c r="AB241" s="46" t="s">
        <v>1</v>
      </c>
      <c r="AC241" s="47" t="s">
        <v>1</v>
      </c>
      <c r="AD241" s="36" t="s">
        <v>1</v>
      </c>
      <c r="AE241" s="51" t="s">
        <v>1</v>
      </c>
      <c r="AF241" s="36" t="s">
        <v>1</v>
      </c>
      <c r="AG241" s="51" t="s">
        <v>1</v>
      </c>
      <c r="AH241" s="36" t="s">
        <v>1</v>
      </c>
      <c r="AI241" s="51" t="s">
        <v>1</v>
      </c>
      <c r="AJ241" s="36" t="s">
        <v>1</v>
      </c>
      <c r="AK241" s="51" t="s">
        <v>1</v>
      </c>
      <c r="AL241" s="36" t="s">
        <v>1</v>
      </c>
      <c r="AM241" s="31" t="s">
        <v>1</v>
      </c>
      <c r="AN241" s="36" t="s">
        <v>1</v>
      </c>
      <c r="AO241" s="31" t="s">
        <v>1</v>
      </c>
      <c r="AP241" s="36" t="s">
        <v>1</v>
      </c>
      <c r="AQ241" s="51" t="s">
        <v>1</v>
      </c>
      <c r="AR241" s="36" t="s">
        <v>1</v>
      </c>
      <c r="AS241" s="47" t="s">
        <v>1</v>
      </c>
      <c r="AT241" s="36" t="s">
        <v>1</v>
      </c>
      <c r="AU241" s="47" t="s">
        <v>1</v>
      </c>
      <c r="AV241" s="36" t="s">
        <v>1</v>
      </c>
      <c r="AW241" s="47" t="s">
        <v>1</v>
      </c>
      <c r="AX241" s="36" t="s">
        <v>2065</v>
      </c>
      <c r="AY241" s="47" t="s">
        <v>2193</v>
      </c>
      <c r="AZ241" s="36" t="s">
        <v>1299</v>
      </c>
      <c r="BA241" s="47" t="s">
        <v>2193</v>
      </c>
      <c r="BB241" s="36" t="s">
        <v>2188</v>
      </c>
      <c r="BC241" s="47" t="s">
        <v>819</v>
      </c>
      <c r="BD241" s="36" t="s">
        <v>2189</v>
      </c>
      <c r="BE241" s="47" t="str">
        <f t="shared" si="8"/>
        <v>"Bairro"</v>
      </c>
    </row>
    <row r="242" spans="1:57" ht="6.65" customHeight="1" x14ac:dyDescent="0.4">
      <c r="A242" s="93">
        <v>209</v>
      </c>
      <c r="B242" s="74" t="s">
        <v>1029</v>
      </c>
      <c r="C242" s="44" t="s">
        <v>664</v>
      </c>
      <c r="D242" s="18" t="s">
        <v>744</v>
      </c>
      <c r="E242" s="48" t="s">
        <v>753</v>
      </c>
      <c r="F242" s="18" t="s">
        <v>1</v>
      </c>
      <c r="G242" s="20" t="s">
        <v>1</v>
      </c>
      <c r="H242" s="18" t="s">
        <v>1</v>
      </c>
      <c r="I242" s="20" t="s">
        <v>1</v>
      </c>
      <c r="J242" s="18" t="s">
        <v>1</v>
      </c>
      <c r="K242" s="20" t="s">
        <v>1</v>
      </c>
      <c r="L242" s="18" t="s">
        <v>1</v>
      </c>
      <c r="M242" s="20" t="s">
        <v>1</v>
      </c>
      <c r="N242" s="46" t="s">
        <v>82</v>
      </c>
      <c r="O242" s="25" t="str">
        <f t="shared" si="9"/>
        <v>"B.143 é bairro de Rio de Janeiro"</v>
      </c>
      <c r="P242" s="46" t="s">
        <v>1</v>
      </c>
      <c r="Q242" s="25" t="s">
        <v>1</v>
      </c>
      <c r="R242" s="46" t="s">
        <v>1</v>
      </c>
      <c r="S242" s="52" t="s">
        <v>1</v>
      </c>
      <c r="T242" s="46" t="s">
        <v>1</v>
      </c>
      <c r="U242" s="31" t="s">
        <v>1</v>
      </c>
      <c r="V242" s="46" t="s">
        <v>1</v>
      </c>
      <c r="W242" s="31" t="s">
        <v>1</v>
      </c>
      <c r="X242" s="46" t="s">
        <v>1</v>
      </c>
      <c r="Y242" s="31" t="s">
        <v>1</v>
      </c>
      <c r="Z242" s="46" t="s">
        <v>1</v>
      </c>
      <c r="AA242" s="31" t="s">
        <v>1</v>
      </c>
      <c r="AB242" s="46" t="s">
        <v>1</v>
      </c>
      <c r="AC242" s="47" t="s">
        <v>1</v>
      </c>
      <c r="AD242" s="36" t="s">
        <v>1</v>
      </c>
      <c r="AE242" s="51" t="s">
        <v>1</v>
      </c>
      <c r="AF242" s="36" t="s">
        <v>1</v>
      </c>
      <c r="AG242" s="51" t="s">
        <v>1</v>
      </c>
      <c r="AH242" s="36" t="s">
        <v>1</v>
      </c>
      <c r="AI242" s="51" t="s">
        <v>1</v>
      </c>
      <c r="AJ242" s="36" t="s">
        <v>1</v>
      </c>
      <c r="AK242" s="51" t="s">
        <v>1</v>
      </c>
      <c r="AL242" s="36" t="s">
        <v>1</v>
      </c>
      <c r="AM242" s="31" t="s">
        <v>1</v>
      </c>
      <c r="AN242" s="36" t="s">
        <v>1</v>
      </c>
      <c r="AO242" s="31" t="s">
        <v>1</v>
      </c>
      <c r="AP242" s="36" t="s">
        <v>1</v>
      </c>
      <c r="AQ242" s="51" t="s">
        <v>1</v>
      </c>
      <c r="AR242" s="36" t="s">
        <v>1</v>
      </c>
      <c r="AS242" s="47" t="s">
        <v>1</v>
      </c>
      <c r="AT242" s="36" t="s">
        <v>1</v>
      </c>
      <c r="AU242" s="47" t="s">
        <v>1</v>
      </c>
      <c r="AV242" s="36" t="s">
        <v>1</v>
      </c>
      <c r="AW242" s="47" t="s">
        <v>1</v>
      </c>
      <c r="AX242" s="36" t="s">
        <v>2065</v>
      </c>
      <c r="AY242" s="47" t="s">
        <v>2193</v>
      </c>
      <c r="AZ242" s="36" t="s">
        <v>1299</v>
      </c>
      <c r="BA242" s="47" t="s">
        <v>2193</v>
      </c>
      <c r="BB242" s="36" t="s">
        <v>2188</v>
      </c>
      <c r="BC242" s="47" t="s">
        <v>819</v>
      </c>
      <c r="BD242" s="36" t="s">
        <v>2189</v>
      </c>
      <c r="BE242" s="47" t="str">
        <f t="shared" si="8"/>
        <v>"Bairro"</v>
      </c>
    </row>
    <row r="243" spans="1:57" ht="6.65" customHeight="1" x14ac:dyDescent="0.4">
      <c r="A243" s="93">
        <v>210</v>
      </c>
      <c r="B243" s="74" t="s">
        <v>1030</v>
      </c>
      <c r="C243" s="44" t="s">
        <v>664</v>
      </c>
      <c r="D243" s="18" t="s">
        <v>744</v>
      </c>
      <c r="E243" s="48" t="s">
        <v>753</v>
      </c>
      <c r="F243" s="18" t="s">
        <v>1</v>
      </c>
      <c r="G243" s="20" t="s">
        <v>1</v>
      </c>
      <c r="H243" s="18" t="s">
        <v>1</v>
      </c>
      <c r="I243" s="20" t="s">
        <v>1</v>
      </c>
      <c r="J243" s="18" t="s">
        <v>1</v>
      </c>
      <c r="K243" s="20" t="s">
        <v>1</v>
      </c>
      <c r="L243" s="18" t="s">
        <v>1</v>
      </c>
      <c r="M243" s="20" t="s">
        <v>1</v>
      </c>
      <c r="N243" s="46" t="s">
        <v>82</v>
      </c>
      <c r="O243" s="25" t="str">
        <f t="shared" si="9"/>
        <v>"B.003 é bairro de Rio de Janeiro"</v>
      </c>
      <c r="P243" s="46" t="s">
        <v>1</v>
      </c>
      <c r="Q243" s="25" t="s">
        <v>1</v>
      </c>
      <c r="R243" s="46" t="s">
        <v>1</v>
      </c>
      <c r="S243" s="52" t="s">
        <v>1</v>
      </c>
      <c r="T243" s="46" t="s">
        <v>1</v>
      </c>
      <c r="U243" s="31" t="s">
        <v>1</v>
      </c>
      <c r="V243" s="46" t="s">
        <v>1</v>
      </c>
      <c r="W243" s="31" t="s">
        <v>1</v>
      </c>
      <c r="X243" s="46" t="s">
        <v>1</v>
      </c>
      <c r="Y243" s="31" t="s">
        <v>1</v>
      </c>
      <c r="Z243" s="46" t="s">
        <v>1</v>
      </c>
      <c r="AA243" s="31" t="s">
        <v>1</v>
      </c>
      <c r="AB243" s="46" t="s">
        <v>1</v>
      </c>
      <c r="AC243" s="47" t="s">
        <v>1</v>
      </c>
      <c r="AD243" s="36" t="s">
        <v>1</v>
      </c>
      <c r="AE243" s="51" t="s">
        <v>1</v>
      </c>
      <c r="AF243" s="36" t="s">
        <v>1</v>
      </c>
      <c r="AG243" s="51" t="s">
        <v>1</v>
      </c>
      <c r="AH243" s="36" t="s">
        <v>1</v>
      </c>
      <c r="AI243" s="51" t="s">
        <v>1</v>
      </c>
      <c r="AJ243" s="36" t="s">
        <v>1</v>
      </c>
      <c r="AK243" s="51" t="s">
        <v>1</v>
      </c>
      <c r="AL243" s="36" t="s">
        <v>1</v>
      </c>
      <c r="AM243" s="31" t="s">
        <v>1</v>
      </c>
      <c r="AN243" s="36" t="s">
        <v>1</v>
      </c>
      <c r="AO243" s="31" t="s">
        <v>1</v>
      </c>
      <c r="AP243" s="36" t="s">
        <v>1</v>
      </c>
      <c r="AQ243" s="51" t="s">
        <v>1</v>
      </c>
      <c r="AR243" s="36" t="s">
        <v>1</v>
      </c>
      <c r="AS243" s="47" t="s">
        <v>1</v>
      </c>
      <c r="AT243" s="36" t="s">
        <v>1</v>
      </c>
      <c r="AU243" s="47" t="s">
        <v>1</v>
      </c>
      <c r="AV243" s="36" t="s">
        <v>1</v>
      </c>
      <c r="AW243" s="47" t="s">
        <v>1</v>
      </c>
      <c r="AX243" s="36" t="s">
        <v>2065</v>
      </c>
      <c r="AY243" s="47" t="s">
        <v>2193</v>
      </c>
      <c r="AZ243" s="36" t="s">
        <v>1299</v>
      </c>
      <c r="BA243" s="47" t="s">
        <v>2193</v>
      </c>
      <c r="BB243" s="36" t="s">
        <v>2188</v>
      </c>
      <c r="BC243" s="47" t="s">
        <v>819</v>
      </c>
      <c r="BD243" s="36" t="s">
        <v>2189</v>
      </c>
      <c r="BE243" s="47" t="str">
        <f t="shared" si="8"/>
        <v>"Bairro"</v>
      </c>
    </row>
    <row r="244" spans="1:57" ht="6.65" customHeight="1" x14ac:dyDescent="0.4">
      <c r="A244" s="93">
        <v>211</v>
      </c>
      <c r="B244" s="74" t="s">
        <v>1031</v>
      </c>
      <c r="C244" s="44" t="s">
        <v>664</v>
      </c>
      <c r="D244" s="18" t="s">
        <v>744</v>
      </c>
      <c r="E244" s="48" t="s">
        <v>753</v>
      </c>
      <c r="F244" s="18" t="s">
        <v>1</v>
      </c>
      <c r="G244" s="20" t="s">
        <v>1</v>
      </c>
      <c r="H244" s="18" t="s">
        <v>1</v>
      </c>
      <c r="I244" s="20" t="s">
        <v>1</v>
      </c>
      <c r="J244" s="18" t="s">
        <v>1</v>
      </c>
      <c r="K244" s="20" t="s">
        <v>1</v>
      </c>
      <c r="L244" s="18" t="s">
        <v>1</v>
      </c>
      <c r="M244" s="20" t="s">
        <v>1</v>
      </c>
      <c r="N244" s="46" t="s">
        <v>82</v>
      </c>
      <c r="O244" s="25" t="str">
        <f t="shared" si="9"/>
        <v>"B.031 é bairro de Rio de Janeiro"</v>
      </c>
      <c r="P244" s="46" t="s">
        <v>1</v>
      </c>
      <c r="Q244" s="25" t="s">
        <v>1</v>
      </c>
      <c r="R244" s="46" t="s">
        <v>1</v>
      </c>
      <c r="S244" s="52" t="s">
        <v>1</v>
      </c>
      <c r="T244" s="46" t="s">
        <v>1</v>
      </c>
      <c r="U244" s="31" t="s">
        <v>1</v>
      </c>
      <c r="V244" s="46" t="s">
        <v>1</v>
      </c>
      <c r="W244" s="31" t="s">
        <v>1</v>
      </c>
      <c r="X244" s="46" t="s">
        <v>1</v>
      </c>
      <c r="Y244" s="31" t="s">
        <v>1</v>
      </c>
      <c r="Z244" s="46" t="s">
        <v>1</v>
      </c>
      <c r="AA244" s="31" t="s">
        <v>1</v>
      </c>
      <c r="AB244" s="46" t="s">
        <v>1</v>
      </c>
      <c r="AC244" s="47" t="s">
        <v>1</v>
      </c>
      <c r="AD244" s="36" t="s">
        <v>1</v>
      </c>
      <c r="AE244" s="51" t="s">
        <v>1</v>
      </c>
      <c r="AF244" s="36" t="s">
        <v>1</v>
      </c>
      <c r="AG244" s="51" t="s">
        <v>1</v>
      </c>
      <c r="AH244" s="36" t="s">
        <v>1</v>
      </c>
      <c r="AI244" s="51" t="s">
        <v>1</v>
      </c>
      <c r="AJ244" s="36" t="s">
        <v>1</v>
      </c>
      <c r="AK244" s="51" t="s">
        <v>1</v>
      </c>
      <c r="AL244" s="36" t="s">
        <v>1</v>
      </c>
      <c r="AM244" s="31" t="s">
        <v>1</v>
      </c>
      <c r="AN244" s="36" t="s">
        <v>1</v>
      </c>
      <c r="AO244" s="31" t="s">
        <v>1</v>
      </c>
      <c r="AP244" s="36" t="s">
        <v>1</v>
      </c>
      <c r="AQ244" s="51" t="s">
        <v>1</v>
      </c>
      <c r="AR244" s="36" t="s">
        <v>1</v>
      </c>
      <c r="AS244" s="47" t="s">
        <v>1</v>
      </c>
      <c r="AT244" s="36" t="s">
        <v>1</v>
      </c>
      <c r="AU244" s="47" t="s">
        <v>1</v>
      </c>
      <c r="AV244" s="36" t="s">
        <v>1</v>
      </c>
      <c r="AW244" s="47" t="s">
        <v>1</v>
      </c>
      <c r="AX244" s="36" t="s">
        <v>2065</v>
      </c>
      <c r="AY244" s="47" t="s">
        <v>2193</v>
      </c>
      <c r="AZ244" s="36" t="s">
        <v>1299</v>
      </c>
      <c r="BA244" s="47" t="s">
        <v>2193</v>
      </c>
      <c r="BB244" s="36" t="s">
        <v>2188</v>
      </c>
      <c r="BC244" s="47" t="s">
        <v>819</v>
      </c>
      <c r="BD244" s="36" t="s">
        <v>2189</v>
      </c>
      <c r="BE244" s="47" t="str">
        <f t="shared" si="8"/>
        <v>"Bairro"</v>
      </c>
    </row>
    <row r="245" spans="1:57" ht="6.65" customHeight="1" x14ac:dyDescent="0.4">
      <c r="A245" s="93">
        <v>212</v>
      </c>
      <c r="B245" s="74" t="s">
        <v>1032</v>
      </c>
      <c r="C245" s="44" t="s">
        <v>664</v>
      </c>
      <c r="D245" s="18" t="s">
        <v>744</v>
      </c>
      <c r="E245" s="48" t="s">
        <v>753</v>
      </c>
      <c r="F245" s="18" t="s">
        <v>1</v>
      </c>
      <c r="G245" s="20" t="s">
        <v>1</v>
      </c>
      <c r="H245" s="18" t="s">
        <v>1</v>
      </c>
      <c r="I245" s="20" t="s">
        <v>1</v>
      </c>
      <c r="J245" s="18" t="s">
        <v>1</v>
      </c>
      <c r="K245" s="20" t="s">
        <v>1</v>
      </c>
      <c r="L245" s="18" t="s">
        <v>1</v>
      </c>
      <c r="M245" s="20" t="s">
        <v>1</v>
      </c>
      <c r="N245" s="46" t="s">
        <v>82</v>
      </c>
      <c r="O245" s="25" t="str">
        <f t="shared" si="9"/>
        <v>"B.010 é bairro de Rio de Janeiro"</v>
      </c>
      <c r="P245" s="46" t="s">
        <v>1</v>
      </c>
      <c r="Q245" s="25" t="s">
        <v>1</v>
      </c>
      <c r="R245" s="46" t="s">
        <v>1</v>
      </c>
      <c r="S245" s="52" t="s">
        <v>1</v>
      </c>
      <c r="T245" s="46" t="s">
        <v>1</v>
      </c>
      <c r="U245" s="31" t="s">
        <v>1</v>
      </c>
      <c r="V245" s="46" t="s">
        <v>1</v>
      </c>
      <c r="W245" s="31" t="s">
        <v>1</v>
      </c>
      <c r="X245" s="46" t="s">
        <v>1</v>
      </c>
      <c r="Y245" s="31" t="s">
        <v>1</v>
      </c>
      <c r="Z245" s="46" t="s">
        <v>1</v>
      </c>
      <c r="AA245" s="31" t="s">
        <v>1</v>
      </c>
      <c r="AB245" s="46" t="s">
        <v>1</v>
      </c>
      <c r="AC245" s="47" t="s">
        <v>1</v>
      </c>
      <c r="AD245" s="36" t="s">
        <v>1</v>
      </c>
      <c r="AE245" s="51" t="s">
        <v>1</v>
      </c>
      <c r="AF245" s="36" t="s">
        <v>1</v>
      </c>
      <c r="AG245" s="51" t="s">
        <v>1</v>
      </c>
      <c r="AH245" s="36" t="s">
        <v>1</v>
      </c>
      <c r="AI245" s="51" t="s">
        <v>1</v>
      </c>
      <c r="AJ245" s="36" t="s">
        <v>1</v>
      </c>
      <c r="AK245" s="51" t="s">
        <v>1</v>
      </c>
      <c r="AL245" s="36" t="s">
        <v>1</v>
      </c>
      <c r="AM245" s="31" t="s">
        <v>1</v>
      </c>
      <c r="AN245" s="36" t="s">
        <v>1</v>
      </c>
      <c r="AO245" s="31" t="s">
        <v>1</v>
      </c>
      <c r="AP245" s="36" t="s">
        <v>1</v>
      </c>
      <c r="AQ245" s="51" t="s">
        <v>1</v>
      </c>
      <c r="AR245" s="36" t="s">
        <v>1</v>
      </c>
      <c r="AS245" s="47" t="s">
        <v>1</v>
      </c>
      <c r="AT245" s="36" t="s">
        <v>1</v>
      </c>
      <c r="AU245" s="47" t="s">
        <v>1</v>
      </c>
      <c r="AV245" s="36" t="s">
        <v>1</v>
      </c>
      <c r="AW245" s="47" t="s">
        <v>1</v>
      </c>
      <c r="AX245" s="36" t="s">
        <v>2065</v>
      </c>
      <c r="AY245" s="47" t="s">
        <v>2193</v>
      </c>
      <c r="AZ245" s="36" t="s">
        <v>1299</v>
      </c>
      <c r="BA245" s="47" t="s">
        <v>2193</v>
      </c>
      <c r="BB245" s="36" t="s">
        <v>2188</v>
      </c>
      <c r="BC245" s="47" t="s">
        <v>819</v>
      </c>
      <c r="BD245" s="36" t="s">
        <v>2189</v>
      </c>
      <c r="BE245" s="47" t="str">
        <f t="shared" si="8"/>
        <v>"Bairro"</v>
      </c>
    </row>
    <row r="246" spans="1:57" ht="6.65" customHeight="1" x14ac:dyDescent="0.4">
      <c r="A246" s="93">
        <v>213</v>
      </c>
      <c r="B246" s="74" t="s">
        <v>1033</v>
      </c>
      <c r="C246" s="44" t="s">
        <v>664</v>
      </c>
      <c r="D246" s="18" t="s">
        <v>744</v>
      </c>
      <c r="E246" s="48" t="s">
        <v>753</v>
      </c>
      <c r="F246" s="18" t="s">
        <v>1</v>
      </c>
      <c r="G246" s="20" t="s">
        <v>1</v>
      </c>
      <c r="H246" s="18" t="s">
        <v>1</v>
      </c>
      <c r="I246" s="20" t="s">
        <v>1</v>
      </c>
      <c r="J246" s="18" t="s">
        <v>1</v>
      </c>
      <c r="K246" s="20" t="s">
        <v>1</v>
      </c>
      <c r="L246" s="18" t="s">
        <v>1</v>
      </c>
      <c r="M246" s="20" t="s">
        <v>1</v>
      </c>
      <c r="N246" s="46" t="s">
        <v>82</v>
      </c>
      <c r="O246" s="25" t="str">
        <f t="shared" si="9"/>
        <v>"B.057 é bairro de Rio de Janeiro"</v>
      </c>
      <c r="P246" s="46" t="s">
        <v>1</v>
      </c>
      <c r="Q246" s="25" t="s">
        <v>1</v>
      </c>
      <c r="R246" s="46" t="s">
        <v>1</v>
      </c>
      <c r="S246" s="52" t="s">
        <v>1</v>
      </c>
      <c r="T246" s="46" t="s">
        <v>1</v>
      </c>
      <c r="U246" s="31" t="s">
        <v>1</v>
      </c>
      <c r="V246" s="46" t="s">
        <v>1</v>
      </c>
      <c r="W246" s="31" t="s">
        <v>1</v>
      </c>
      <c r="X246" s="46" t="s">
        <v>1</v>
      </c>
      <c r="Y246" s="31" t="s">
        <v>1</v>
      </c>
      <c r="Z246" s="46" t="s">
        <v>1</v>
      </c>
      <c r="AA246" s="31" t="s">
        <v>1</v>
      </c>
      <c r="AB246" s="46" t="s">
        <v>1</v>
      </c>
      <c r="AC246" s="47" t="s">
        <v>1</v>
      </c>
      <c r="AD246" s="36" t="s">
        <v>1</v>
      </c>
      <c r="AE246" s="51" t="s">
        <v>1</v>
      </c>
      <c r="AF246" s="36" t="s">
        <v>1</v>
      </c>
      <c r="AG246" s="51" t="s">
        <v>1</v>
      </c>
      <c r="AH246" s="36" t="s">
        <v>1</v>
      </c>
      <c r="AI246" s="51" t="s">
        <v>1</v>
      </c>
      <c r="AJ246" s="36" t="s">
        <v>1</v>
      </c>
      <c r="AK246" s="51" t="s">
        <v>1</v>
      </c>
      <c r="AL246" s="36" t="s">
        <v>1</v>
      </c>
      <c r="AM246" s="31" t="s">
        <v>1</v>
      </c>
      <c r="AN246" s="36" t="s">
        <v>1</v>
      </c>
      <c r="AO246" s="31" t="s">
        <v>1</v>
      </c>
      <c r="AP246" s="36" t="s">
        <v>1</v>
      </c>
      <c r="AQ246" s="51" t="s">
        <v>1</v>
      </c>
      <c r="AR246" s="36" t="s">
        <v>1</v>
      </c>
      <c r="AS246" s="47" t="s">
        <v>1</v>
      </c>
      <c r="AT246" s="36" t="s">
        <v>1</v>
      </c>
      <c r="AU246" s="47" t="s">
        <v>1</v>
      </c>
      <c r="AV246" s="36" t="s">
        <v>1</v>
      </c>
      <c r="AW246" s="47" t="s">
        <v>1</v>
      </c>
      <c r="AX246" s="36" t="s">
        <v>2065</v>
      </c>
      <c r="AY246" s="47" t="s">
        <v>2193</v>
      </c>
      <c r="AZ246" s="36" t="s">
        <v>1299</v>
      </c>
      <c r="BA246" s="47" t="s">
        <v>2193</v>
      </c>
      <c r="BB246" s="36" t="s">
        <v>2188</v>
      </c>
      <c r="BC246" s="47" t="s">
        <v>819</v>
      </c>
      <c r="BD246" s="36" t="s">
        <v>2189</v>
      </c>
      <c r="BE246" s="47" t="str">
        <f t="shared" si="8"/>
        <v>"Bairro"</v>
      </c>
    </row>
    <row r="247" spans="1:57" ht="6.65" customHeight="1" x14ac:dyDescent="0.4">
      <c r="A247" s="93">
        <v>214</v>
      </c>
      <c r="B247" s="74" t="s">
        <v>1034</v>
      </c>
      <c r="C247" s="44" t="s">
        <v>664</v>
      </c>
      <c r="D247" s="18" t="s">
        <v>744</v>
      </c>
      <c r="E247" s="48" t="s">
        <v>753</v>
      </c>
      <c r="F247" s="18" t="s">
        <v>1</v>
      </c>
      <c r="G247" s="20" t="s">
        <v>1</v>
      </c>
      <c r="H247" s="18" t="s">
        <v>1</v>
      </c>
      <c r="I247" s="20" t="s">
        <v>1</v>
      </c>
      <c r="J247" s="18" t="s">
        <v>1</v>
      </c>
      <c r="K247" s="20" t="s">
        <v>1</v>
      </c>
      <c r="L247" s="18" t="s">
        <v>1</v>
      </c>
      <c r="M247" s="20" t="s">
        <v>1</v>
      </c>
      <c r="N247" s="46" t="s">
        <v>82</v>
      </c>
      <c r="O247" s="25" t="str">
        <f t="shared" si="9"/>
        <v>"B.001 é bairro de Rio de Janeiro"</v>
      </c>
      <c r="P247" s="46" t="s">
        <v>1</v>
      </c>
      <c r="Q247" s="25" t="s">
        <v>1</v>
      </c>
      <c r="R247" s="46" t="s">
        <v>1</v>
      </c>
      <c r="S247" s="52" t="s">
        <v>1</v>
      </c>
      <c r="T247" s="46" t="s">
        <v>1</v>
      </c>
      <c r="U247" s="31" t="s">
        <v>1</v>
      </c>
      <c r="V247" s="46" t="s">
        <v>1</v>
      </c>
      <c r="W247" s="31" t="s">
        <v>1</v>
      </c>
      <c r="X247" s="46" t="s">
        <v>1</v>
      </c>
      <c r="Y247" s="31" t="s">
        <v>1</v>
      </c>
      <c r="Z247" s="46" t="s">
        <v>1</v>
      </c>
      <c r="AA247" s="31" t="s">
        <v>1</v>
      </c>
      <c r="AB247" s="46" t="s">
        <v>1</v>
      </c>
      <c r="AC247" s="47" t="s">
        <v>1</v>
      </c>
      <c r="AD247" s="36" t="s">
        <v>1</v>
      </c>
      <c r="AE247" s="51" t="s">
        <v>1</v>
      </c>
      <c r="AF247" s="36" t="s">
        <v>1</v>
      </c>
      <c r="AG247" s="51" t="s">
        <v>1</v>
      </c>
      <c r="AH247" s="36" t="s">
        <v>1</v>
      </c>
      <c r="AI247" s="51" t="s">
        <v>1</v>
      </c>
      <c r="AJ247" s="36" t="s">
        <v>1</v>
      </c>
      <c r="AK247" s="51" t="s">
        <v>1</v>
      </c>
      <c r="AL247" s="36" t="s">
        <v>1</v>
      </c>
      <c r="AM247" s="31" t="s">
        <v>1</v>
      </c>
      <c r="AN247" s="36" t="s">
        <v>1</v>
      </c>
      <c r="AO247" s="31" t="s">
        <v>1</v>
      </c>
      <c r="AP247" s="36" t="s">
        <v>1</v>
      </c>
      <c r="AQ247" s="51" t="s">
        <v>1</v>
      </c>
      <c r="AR247" s="36" t="s">
        <v>1</v>
      </c>
      <c r="AS247" s="47" t="s">
        <v>1</v>
      </c>
      <c r="AT247" s="36" t="s">
        <v>1</v>
      </c>
      <c r="AU247" s="47" t="s">
        <v>1</v>
      </c>
      <c r="AV247" s="36" t="s">
        <v>1</v>
      </c>
      <c r="AW247" s="47" t="s">
        <v>1</v>
      </c>
      <c r="AX247" s="36" t="s">
        <v>2065</v>
      </c>
      <c r="AY247" s="47" t="s">
        <v>2193</v>
      </c>
      <c r="AZ247" s="36" t="s">
        <v>1299</v>
      </c>
      <c r="BA247" s="47" t="s">
        <v>2193</v>
      </c>
      <c r="BB247" s="36" t="s">
        <v>2188</v>
      </c>
      <c r="BC247" s="47" t="s">
        <v>819</v>
      </c>
      <c r="BD247" s="36" t="s">
        <v>2189</v>
      </c>
      <c r="BE247" s="47" t="str">
        <f t="shared" si="8"/>
        <v>"Bairro"</v>
      </c>
    </row>
    <row r="248" spans="1:57" ht="6.65" customHeight="1" x14ac:dyDescent="0.4">
      <c r="A248" s="93">
        <v>215</v>
      </c>
      <c r="B248" s="74" t="s">
        <v>1035</v>
      </c>
      <c r="C248" s="44" t="s">
        <v>664</v>
      </c>
      <c r="D248" s="18" t="s">
        <v>744</v>
      </c>
      <c r="E248" s="48" t="s">
        <v>753</v>
      </c>
      <c r="F248" s="18" t="s">
        <v>1</v>
      </c>
      <c r="G248" s="20" t="s">
        <v>1</v>
      </c>
      <c r="H248" s="18" t="s">
        <v>1</v>
      </c>
      <c r="I248" s="20" t="s">
        <v>1</v>
      </c>
      <c r="J248" s="18" t="s">
        <v>1</v>
      </c>
      <c r="K248" s="20" t="s">
        <v>1</v>
      </c>
      <c r="L248" s="18" t="s">
        <v>1</v>
      </c>
      <c r="M248" s="20" t="s">
        <v>1</v>
      </c>
      <c r="N248" s="46" t="s">
        <v>82</v>
      </c>
      <c r="O248" s="25" t="str">
        <f t="shared" si="9"/>
        <v>"B.142 é bairro de Rio de Janeiro"</v>
      </c>
      <c r="P248" s="46" t="s">
        <v>1</v>
      </c>
      <c r="Q248" s="25" t="s">
        <v>1</v>
      </c>
      <c r="R248" s="46" t="s">
        <v>1</v>
      </c>
      <c r="S248" s="52" t="s">
        <v>1</v>
      </c>
      <c r="T248" s="46" t="s">
        <v>1</v>
      </c>
      <c r="U248" s="31" t="s">
        <v>1</v>
      </c>
      <c r="V248" s="46" t="s">
        <v>1</v>
      </c>
      <c r="W248" s="31" t="s">
        <v>1</v>
      </c>
      <c r="X248" s="46" t="s">
        <v>1</v>
      </c>
      <c r="Y248" s="31" t="s">
        <v>1</v>
      </c>
      <c r="Z248" s="46" t="s">
        <v>1</v>
      </c>
      <c r="AA248" s="31" t="s">
        <v>1</v>
      </c>
      <c r="AB248" s="46" t="s">
        <v>1</v>
      </c>
      <c r="AC248" s="47" t="s">
        <v>1</v>
      </c>
      <c r="AD248" s="36" t="s">
        <v>1</v>
      </c>
      <c r="AE248" s="51" t="s">
        <v>1</v>
      </c>
      <c r="AF248" s="36" t="s">
        <v>1</v>
      </c>
      <c r="AG248" s="51" t="s">
        <v>1</v>
      </c>
      <c r="AH248" s="36" t="s">
        <v>1</v>
      </c>
      <c r="AI248" s="51" t="s">
        <v>1</v>
      </c>
      <c r="AJ248" s="36" t="s">
        <v>1</v>
      </c>
      <c r="AK248" s="51" t="s">
        <v>1</v>
      </c>
      <c r="AL248" s="36" t="s">
        <v>1</v>
      </c>
      <c r="AM248" s="31" t="s">
        <v>1</v>
      </c>
      <c r="AN248" s="36" t="s">
        <v>1</v>
      </c>
      <c r="AO248" s="31" t="s">
        <v>1</v>
      </c>
      <c r="AP248" s="36" t="s">
        <v>1</v>
      </c>
      <c r="AQ248" s="51" t="s">
        <v>1</v>
      </c>
      <c r="AR248" s="36" t="s">
        <v>1</v>
      </c>
      <c r="AS248" s="47" t="s">
        <v>1</v>
      </c>
      <c r="AT248" s="36" t="s">
        <v>1</v>
      </c>
      <c r="AU248" s="47" t="s">
        <v>1</v>
      </c>
      <c r="AV248" s="36" t="s">
        <v>1</v>
      </c>
      <c r="AW248" s="47" t="s">
        <v>1</v>
      </c>
      <c r="AX248" s="36" t="s">
        <v>2065</v>
      </c>
      <c r="AY248" s="47" t="s">
        <v>2193</v>
      </c>
      <c r="AZ248" s="36" t="s">
        <v>1299</v>
      </c>
      <c r="BA248" s="47" t="s">
        <v>2193</v>
      </c>
      <c r="BB248" s="36" t="s">
        <v>2188</v>
      </c>
      <c r="BC248" s="47" t="s">
        <v>819</v>
      </c>
      <c r="BD248" s="36" t="s">
        <v>2189</v>
      </c>
      <c r="BE248" s="47" t="str">
        <f t="shared" si="8"/>
        <v>"Bairro"</v>
      </c>
    </row>
    <row r="249" spans="1:57" ht="6.65" customHeight="1" x14ac:dyDescent="0.4">
      <c r="A249" s="93">
        <v>216</v>
      </c>
      <c r="B249" s="74" t="s">
        <v>1036</v>
      </c>
      <c r="C249" s="44" t="s">
        <v>664</v>
      </c>
      <c r="D249" s="18" t="s">
        <v>744</v>
      </c>
      <c r="E249" s="48" t="s">
        <v>753</v>
      </c>
      <c r="F249" s="18" t="s">
        <v>1</v>
      </c>
      <c r="G249" s="20" t="s">
        <v>1</v>
      </c>
      <c r="H249" s="18" t="s">
        <v>1</v>
      </c>
      <c r="I249" s="20" t="s">
        <v>1</v>
      </c>
      <c r="J249" s="18" t="s">
        <v>1</v>
      </c>
      <c r="K249" s="20" t="s">
        <v>1</v>
      </c>
      <c r="L249" s="18" t="s">
        <v>1</v>
      </c>
      <c r="M249" s="20" t="s">
        <v>1</v>
      </c>
      <c r="N249" s="46" t="s">
        <v>82</v>
      </c>
      <c r="O249" s="25" t="str">
        <f t="shared" si="9"/>
        <v>"B.145 é bairro de Rio de Janeiro"</v>
      </c>
      <c r="P249" s="46" t="s">
        <v>1</v>
      </c>
      <c r="Q249" s="25" t="s">
        <v>1</v>
      </c>
      <c r="R249" s="46" t="s">
        <v>1</v>
      </c>
      <c r="S249" s="52" t="s">
        <v>1</v>
      </c>
      <c r="T249" s="46" t="s">
        <v>1</v>
      </c>
      <c r="U249" s="31" t="s">
        <v>1</v>
      </c>
      <c r="V249" s="46" t="s">
        <v>1</v>
      </c>
      <c r="W249" s="31" t="s">
        <v>1</v>
      </c>
      <c r="X249" s="46" t="s">
        <v>1</v>
      </c>
      <c r="Y249" s="31" t="s">
        <v>1</v>
      </c>
      <c r="Z249" s="46" t="s">
        <v>1</v>
      </c>
      <c r="AA249" s="31" t="s">
        <v>1</v>
      </c>
      <c r="AB249" s="46" t="s">
        <v>1</v>
      </c>
      <c r="AC249" s="47" t="s">
        <v>1</v>
      </c>
      <c r="AD249" s="36" t="s">
        <v>1</v>
      </c>
      <c r="AE249" s="51" t="s">
        <v>1</v>
      </c>
      <c r="AF249" s="36" t="s">
        <v>1</v>
      </c>
      <c r="AG249" s="51" t="s">
        <v>1</v>
      </c>
      <c r="AH249" s="36" t="s">
        <v>1</v>
      </c>
      <c r="AI249" s="51" t="s">
        <v>1</v>
      </c>
      <c r="AJ249" s="36" t="s">
        <v>1</v>
      </c>
      <c r="AK249" s="51" t="s">
        <v>1</v>
      </c>
      <c r="AL249" s="36" t="s">
        <v>1</v>
      </c>
      <c r="AM249" s="31" t="s">
        <v>1</v>
      </c>
      <c r="AN249" s="36" t="s">
        <v>1</v>
      </c>
      <c r="AO249" s="31" t="s">
        <v>1</v>
      </c>
      <c r="AP249" s="36" t="s">
        <v>1</v>
      </c>
      <c r="AQ249" s="51" t="s">
        <v>1</v>
      </c>
      <c r="AR249" s="36" t="s">
        <v>1</v>
      </c>
      <c r="AS249" s="47" t="s">
        <v>1</v>
      </c>
      <c r="AT249" s="36" t="s">
        <v>1</v>
      </c>
      <c r="AU249" s="47" t="s">
        <v>1</v>
      </c>
      <c r="AV249" s="36" t="s">
        <v>1</v>
      </c>
      <c r="AW249" s="47" t="s">
        <v>1</v>
      </c>
      <c r="AX249" s="36" t="s">
        <v>2065</v>
      </c>
      <c r="AY249" s="47" t="s">
        <v>2193</v>
      </c>
      <c r="AZ249" s="36" t="s">
        <v>1299</v>
      </c>
      <c r="BA249" s="47" t="s">
        <v>2193</v>
      </c>
      <c r="BB249" s="36" t="s">
        <v>2188</v>
      </c>
      <c r="BC249" s="47" t="s">
        <v>819</v>
      </c>
      <c r="BD249" s="36" t="s">
        <v>2189</v>
      </c>
      <c r="BE249" s="47" t="str">
        <f t="shared" si="8"/>
        <v>"Bairro"</v>
      </c>
    </row>
    <row r="250" spans="1:57" ht="6.65" customHeight="1" x14ac:dyDescent="0.4">
      <c r="A250" s="93">
        <v>217</v>
      </c>
      <c r="B250" s="74" t="s">
        <v>1037</v>
      </c>
      <c r="C250" s="44" t="s">
        <v>664</v>
      </c>
      <c r="D250" s="18" t="s">
        <v>744</v>
      </c>
      <c r="E250" s="48" t="s">
        <v>753</v>
      </c>
      <c r="F250" s="18" t="s">
        <v>1</v>
      </c>
      <c r="G250" s="20" t="s">
        <v>1</v>
      </c>
      <c r="H250" s="18" t="s">
        <v>1</v>
      </c>
      <c r="I250" s="20" t="s">
        <v>1</v>
      </c>
      <c r="J250" s="18" t="s">
        <v>1</v>
      </c>
      <c r="K250" s="20" t="s">
        <v>1</v>
      </c>
      <c r="L250" s="18" t="s">
        <v>1</v>
      </c>
      <c r="M250" s="20" t="s">
        <v>1</v>
      </c>
      <c r="N250" s="46" t="s">
        <v>82</v>
      </c>
      <c r="O250" s="25" t="str">
        <f t="shared" si="9"/>
        <v>"B.150 é bairro de Rio de Janeiro"</v>
      </c>
      <c r="P250" s="46" t="s">
        <v>1</v>
      </c>
      <c r="Q250" s="25" t="s">
        <v>1</v>
      </c>
      <c r="R250" s="46" t="s">
        <v>1</v>
      </c>
      <c r="S250" s="52" t="s">
        <v>1</v>
      </c>
      <c r="T250" s="46" t="s">
        <v>1</v>
      </c>
      <c r="U250" s="31" t="s">
        <v>1</v>
      </c>
      <c r="V250" s="46" t="s">
        <v>1</v>
      </c>
      <c r="W250" s="31" t="s">
        <v>1</v>
      </c>
      <c r="X250" s="46" t="s">
        <v>1</v>
      </c>
      <c r="Y250" s="31" t="s">
        <v>1</v>
      </c>
      <c r="Z250" s="46" t="s">
        <v>1</v>
      </c>
      <c r="AA250" s="31" t="s">
        <v>1</v>
      </c>
      <c r="AB250" s="46" t="s">
        <v>1</v>
      </c>
      <c r="AC250" s="47" t="s">
        <v>1</v>
      </c>
      <c r="AD250" s="36" t="s">
        <v>1</v>
      </c>
      <c r="AE250" s="51" t="s">
        <v>1</v>
      </c>
      <c r="AF250" s="36" t="s">
        <v>1</v>
      </c>
      <c r="AG250" s="51" t="s">
        <v>1</v>
      </c>
      <c r="AH250" s="36" t="s">
        <v>1</v>
      </c>
      <c r="AI250" s="51" t="s">
        <v>1</v>
      </c>
      <c r="AJ250" s="36" t="s">
        <v>1</v>
      </c>
      <c r="AK250" s="51" t="s">
        <v>1</v>
      </c>
      <c r="AL250" s="36" t="s">
        <v>1</v>
      </c>
      <c r="AM250" s="31" t="s">
        <v>1</v>
      </c>
      <c r="AN250" s="36" t="s">
        <v>1</v>
      </c>
      <c r="AO250" s="31" t="s">
        <v>1</v>
      </c>
      <c r="AP250" s="36" t="s">
        <v>1</v>
      </c>
      <c r="AQ250" s="51" t="s">
        <v>1</v>
      </c>
      <c r="AR250" s="36" t="s">
        <v>1</v>
      </c>
      <c r="AS250" s="47" t="s">
        <v>1</v>
      </c>
      <c r="AT250" s="36" t="s">
        <v>1</v>
      </c>
      <c r="AU250" s="47" t="s">
        <v>1</v>
      </c>
      <c r="AV250" s="36" t="s">
        <v>1</v>
      </c>
      <c r="AW250" s="47" t="s">
        <v>1</v>
      </c>
      <c r="AX250" s="36" t="s">
        <v>2065</v>
      </c>
      <c r="AY250" s="47" t="s">
        <v>2193</v>
      </c>
      <c r="AZ250" s="36" t="s">
        <v>1299</v>
      </c>
      <c r="BA250" s="47" t="s">
        <v>2193</v>
      </c>
      <c r="BB250" s="36" t="s">
        <v>2188</v>
      </c>
      <c r="BC250" s="47" t="s">
        <v>819</v>
      </c>
      <c r="BD250" s="36" t="s">
        <v>2189</v>
      </c>
      <c r="BE250" s="47" t="str">
        <f t="shared" si="8"/>
        <v>"Bairro"</v>
      </c>
    </row>
    <row r="251" spans="1:57" ht="6.65" customHeight="1" x14ac:dyDescent="0.4">
      <c r="A251" s="93">
        <v>218</v>
      </c>
      <c r="B251" s="74" t="s">
        <v>1038</v>
      </c>
      <c r="C251" s="44" t="s">
        <v>664</v>
      </c>
      <c r="D251" s="18" t="s">
        <v>744</v>
      </c>
      <c r="E251" s="48" t="s">
        <v>753</v>
      </c>
      <c r="F251" s="18" t="s">
        <v>1</v>
      </c>
      <c r="G251" s="20" t="s">
        <v>1</v>
      </c>
      <c r="H251" s="18" t="s">
        <v>1</v>
      </c>
      <c r="I251" s="20" t="s">
        <v>1</v>
      </c>
      <c r="J251" s="18" t="s">
        <v>1</v>
      </c>
      <c r="K251" s="20" t="s">
        <v>1</v>
      </c>
      <c r="L251" s="18" t="s">
        <v>1</v>
      </c>
      <c r="M251" s="20" t="s">
        <v>1</v>
      </c>
      <c r="N251" s="46" t="s">
        <v>82</v>
      </c>
      <c r="O251" s="25" t="str">
        <f t="shared" si="9"/>
        <v>"B.123 é bairro de Rio de Janeiro"</v>
      </c>
      <c r="P251" s="46" t="s">
        <v>1</v>
      </c>
      <c r="Q251" s="25" t="s">
        <v>1</v>
      </c>
      <c r="R251" s="46" t="s">
        <v>1</v>
      </c>
      <c r="S251" s="52" t="s">
        <v>1</v>
      </c>
      <c r="T251" s="46" t="s">
        <v>1</v>
      </c>
      <c r="U251" s="31" t="s">
        <v>1</v>
      </c>
      <c r="V251" s="46" t="s">
        <v>1</v>
      </c>
      <c r="W251" s="31" t="s">
        <v>1</v>
      </c>
      <c r="X251" s="46" t="s">
        <v>1</v>
      </c>
      <c r="Y251" s="31" t="s">
        <v>1</v>
      </c>
      <c r="Z251" s="46" t="s">
        <v>1</v>
      </c>
      <c r="AA251" s="31" t="s">
        <v>1</v>
      </c>
      <c r="AB251" s="46" t="s">
        <v>1</v>
      </c>
      <c r="AC251" s="47" t="s">
        <v>1</v>
      </c>
      <c r="AD251" s="36" t="s">
        <v>1</v>
      </c>
      <c r="AE251" s="51" t="s">
        <v>1</v>
      </c>
      <c r="AF251" s="36" t="s">
        <v>1</v>
      </c>
      <c r="AG251" s="51" t="s">
        <v>1</v>
      </c>
      <c r="AH251" s="36" t="s">
        <v>1</v>
      </c>
      <c r="AI251" s="51" t="s">
        <v>1</v>
      </c>
      <c r="AJ251" s="36" t="s">
        <v>1</v>
      </c>
      <c r="AK251" s="51" t="s">
        <v>1</v>
      </c>
      <c r="AL251" s="36" t="s">
        <v>1</v>
      </c>
      <c r="AM251" s="31" t="s">
        <v>1</v>
      </c>
      <c r="AN251" s="36" t="s">
        <v>1</v>
      </c>
      <c r="AO251" s="31" t="s">
        <v>1</v>
      </c>
      <c r="AP251" s="36" t="s">
        <v>1</v>
      </c>
      <c r="AQ251" s="51" t="s">
        <v>1</v>
      </c>
      <c r="AR251" s="36" t="s">
        <v>1</v>
      </c>
      <c r="AS251" s="47" t="s">
        <v>1</v>
      </c>
      <c r="AT251" s="36" t="s">
        <v>1</v>
      </c>
      <c r="AU251" s="47" t="s">
        <v>1</v>
      </c>
      <c r="AV251" s="36" t="s">
        <v>1</v>
      </c>
      <c r="AW251" s="47" t="s">
        <v>1</v>
      </c>
      <c r="AX251" s="36" t="s">
        <v>2065</v>
      </c>
      <c r="AY251" s="47" t="s">
        <v>2193</v>
      </c>
      <c r="AZ251" s="36" t="s">
        <v>1299</v>
      </c>
      <c r="BA251" s="47" t="s">
        <v>2193</v>
      </c>
      <c r="BB251" s="36" t="s">
        <v>2188</v>
      </c>
      <c r="BC251" s="47" t="s">
        <v>819</v>
      </c>
      <c r="BD251" s="36" t="s">
        <v>2189</v>
      </c>
      <c r="BE251" s="47" t="str">
        <f t="shared" si="8"/>
        <v>"Bairro"</v>
      </c>
    </row>
    <row r="252" spans="1:57" ht="6.65" customHeight="1" x14ac:dyDescent="0.4">
      <c r="A252" s="93">
        <v>219</v>
      </c>
      <c r="B252" s="74" t="s">
        <v>1039</v>
      </c>
      <c r="C252" s="44" t="s">
        <v>664</v>
      </c>
      <c r="D252" s="18" t="s">
        <v>744</v>
      </c>
      <c r="E252" s="48" t="s">
        <v>753</v>
      </c>
      <c r="F252" s="18" t="s">
        <v>1</v>
      </c>
      <c r="G252" s="20" t="s">
        <v>1</v>
      </c>
      <c r="H252" s="18" t="s">
        <v>1</v>
      </c>
      <c r="I252" s="20" t="s">
        <v>1</v>
      </c>
      <c r="J252" s="18" t="s">
        <v>1</v>
      </c>
      <c r="K252" s="20" t="s">
        <v>1</v>
      </c>
      <c r="L252" s="18" t="s">
        <v>1</v>
      </c>
      <c r="M252" s="20" t="s">
        <v>1</v>
      </c>
      <c r="N252" s="46" t="s">
        <v>82</v>
      </c>
      <c r="O252" s="25" t="str">
        <f t="shared" si="9"/>
        <v>"B.122 é bairro de Rio de Janeiro"</v>
      </c>
      <c r="P252" s="46" t="s">
        <v>1</v>
      </c>
      <c r="Q252" s="25" t="s">
        <v>1</v>
      </c>
      <c r="R252" s="46" t="s">
        <v>1</v>
      </c>
      <c r="S252" s="52" t="s">
        <v>1</v>
      </c>
      <c r="T252" s="46" t="s">
        <v>1</v>
      </c>
      <c r="U252" s="31" t="s">
        <v>1</v>
      </c>
      <c r="V252" s="46" t="s">
        <v>1</v>
      </c>
      <c r="W252" s="31" t="s">
        <v>1</v>
      </c>
      <c r="X252" s="46" t="s">
        <v>1</v>
      </c>
      <c r="Y252" s="31" t="s">
        <v>1</v>
      </c>
      <c r="Z252" s="46" t="s">
        <v>1</v>
      </c>
      <c r="AA252" s="31" t="s">
        <v>1</v>
      </c>
      <c r="AB252" s="46" t="s">
        <v>1</v>
      </c>
      <c r="AC252" s="47" t="s">
        <v>1</v>
      </c>
      <c r="AD252" s="36" t="s">
        <v>1</v>
      </c>
      <c r="AE252" s="51" t="s">
        <v>1</v>
      </c>
      <c r="AF252" s="36" t="s">
        <v>1</v>
      </c>
      <c r="AG252" s="51" t="s">
        <v>1</v>
      </c>
      <c r="AH252" s="36" t="s">
        <v>1</v>
      </c>
      <c r="AI252" s="51" t="s">
        <v>1</v>
      </c>
      <c r="AJ252" s="36" t="s">
        <v>1</v>
      </c>
      <c r="AK252" s="51" t="s">
        <v>1</v>
      </c>
      <c r="AL252" s="36" t="s">
        <v>1</v>
      </c>
      <c r="AM252" s="31" t="s">
        <v>1</v>
      </c>
      <c r="AN252" s="36" t="s">
        <v>1</v>
      </c>
      <c r="AO252" s="31" t="s">
        <v>1</v>
      </c>
      <c r="AP252" s="36" t="s">
        <v>1</v>
      </c>
      <c r="AQ252" s="51" t="s">
        <v>1</v>
      </c>
      <c r="AR252" s="36" t="s">
        <v>1</v>
      </c>
      <c r="AS252" s="47" t="s">
        <v>1</v>
      </c>
      <c r="AT252" s="36" t="s">
        <v>1</v>
      </c>
      <c r="AU252" s="47" t="s">
        <v>1</v>
      </c>
      <c r="AV252" s="36" t="s">
        <v>1</v>
      </c>
      <c r="AW252" s="47" t="s">
        <v>1</v>
      </c>
      <c r="AX252" s="36" t="s">
        <v>2065</v>
      </c>
      <c r="AY252" s="47" t="s">
        <v>2193</v>
      </c>
      <c r="AZ252" s="36" t="s">
        <v>1299</v>
      </c>
      <c r="BA252" s="47" t="s">
        <v>2193</v>
      </c>
      <c r="BB252" s="36" t="s">
        <v>2188</v>
      </c>
      <c r="BC252" s="47" t="s">
        <v>819</v>
      </c>
      <c r="BD252" s="36" t="s">
        <v>2189</v>
      </c>
      <c r="BE252" s="47" t="str">
        <f t="shared" si="8"/>
        <v>"Bairro"</v>
      </c>
    </row>
    <row r="253" spans="1:57" ht="6.65" customHeight="1" x14ac:dyDescent="0.4">
      <c r="A253" s="93">
        <v>220</v>
      </c>
      <c r="B253" s="74" t="s">
        <v>1040</v>
      </c>
      <c r="C253" s="44" t="s">
        <v>664</v>
      </c>
      <c r="D253" s="18" t="s">
        <v>744</v>
      </c>
      <c r="E253" s="48" t="s">
        <v>753</v>
      </c>
      <c r="F253" s="18" t="s">
        <v>1</v>
      </c>
      <c r="G253" s="20" t="s">
        <v>1</v>
      </c>
      <c r="H253" s="18" t="s">
        <v>1</v>
      </c>
      <c r="I253" s="20" t="s">
        <v>1</v>
      </c>
      <c r="J253" s="18" t="s">
        <v>1</v>
      </c>
      <c r="K253" s="20" t="s">
        <v>1</v>
      </c>
      <c r="L253" s="18" t="s">
        <v>1</v>
      </c>
      <c r="M253" s="20" t="s">
        <v>1</v>
      </c>
      <c r="N253" s="46" t="s">
        <v>82</v>
      </c>
      <c r="O253" s="25" t="str">
        <f t="shared" si="9"/>
        <v>"B.101 é bairro de Rio de Janeiro"</v>
      </c>
      <c r="P253" s="46" t="s">
        <v>1</v>
      </c>
      <c r="Q253" s="25" t="s">
        <v>1</v>
      </c>
      <c r="R253" s="46" t="s">
        <v>1</v>
      </c>
      <c r="S253" s="52" t="s">
        <v>1</v>
      </c>
      <c r="T253" s="46" t="s">
        <v>1</v>
      </c>
      <c r="U253" s="31" t="s">
        <v>1</v>
      </c>
      <c r="V253" s="46" t="s">
        <v>1</v>
      </c>
      <c r="W253" s="31" t="s">
        <v>1</v>
      </c>
      <c r="X253" s="46" t="s">
        <v>1</v>
      </c>
      <c r="Y253" s="31" t="s">
        <v>1</v>
      </c>
      <c r="Z253" s="46" t="s">
        <v>1</v>
      </c>
      <c r="AA253" s="31" t="s">
        <v>1</v>
      </c>
      <c r="AB253" s="46" t="s">
        <v>1</v>
      </c>
      <c r="AC253" s="47" t="s">
        <v>1</v>
      </c>
      <c r="AD253" s="36" t="s">
        <v>1</v>
      </c>
      <c r="AE253" s="51" t="s">
        <v>1</v>
      </c>
      <c r="AF253" s="36" t="s">
        <v>1</v>
      </c>
      <c r="AG253" s="51" t="s">
        <v>1</v>
      </c>
      <c r="AH253" s="36" t="s">
        <v>1</v>
      </c>
      <c r="AI253" s="51" t="s">
        <v>1</v>
      </c>
      <c r="AJ253" s="36" t="s">
        <v>1</v>
      </c>
      <c r="AK253" s="51" t="s">
        <v>1</v>
      </c>
      <c r="AL253" s="36" t="s">
        <v>1</v>
      </c>
      <c r="AM253" s="31" t="s">
        <v>1</v>
      </c>
      <c r="AN253" s="36" t="s">
        <v>1</v>
      </c>
      <c r="AO253" s="31" t="s">
        <v>1</v>
      </c>
      <c r="AP253" s="36" t="s">
        <v>1</v>
      </c>
      <c r="AQ253" s="51" t="s">
        <v>1</v>
      </c>
      <c r="AR253" s="36" t="s">
        <v>1</v>
      </c>
      <c r="AS253" s="47" t="s">
        <v>1</v>
      </c>
      <c r="AT253" s="36" t="s">
        <v>1</v>
      </c>
      <c r="AU253" s="47" t="s">
        <v>1</v>
      </c>
      <c r="AV253" s="36" t="s">
        <v>1</v>
      </c>
      <c r="AW253" s="47" t="s">
        <v>1</v>
      </c>
      <c r="AX253" s="36" t="s">
        <v>2065</v>
      </c>
      <c r="AY253" s="47" t="s">
        <v>2193</v>
      </c>
      <c r="AZ253" s="36" t="s">
        <v>1299</v>
      </c>
      <c r="BA253" s="47" t="s">
        <v>2193</v>
      </c>
      <c r="BB253" s="36" t="s">
        <v>2188</v>
      </c>
      <c r="BC253" s="47" t="s">
        <v>819</v>
      </c>
      <c r="BD253" s="36" t="s">
        <v>2189</v>
      </c>
      <c r="BE253" s="47" t="str">
        <f t="shared" si="8"/>
        <v>"Bairro"</v>
      </c>
    </row>
    <row r="254" spans="1:57" ht="6.65" customHeight="1" x14ac:dyDescent="0.4">
      <c r="A254" s="93">
        <v>221</v>
      </c>
      <c r="B254" s="74" t="s">
        <v>1041</v>
      </c>
      <c r="C254" s="44" t="s">
        <v>664</v>
      </c>
      <c r="D254" s="18" t="s">
        <v>744</v>
      </c>
      <c r="E254" s="48" t="s">
        <v>753</v>
      </c>
      <c r="F254" s="18" t="s">
        <v>1</v>
      </c>
      <c r="G254" s="20" t="s">
        <v>1</v>
      </c>
      <c r="H254" s="18" t="s">
        <v>1</v>
      </c>
      <c r="I254" s="20" t="s">
        <v>1</v>
      </c>
      <c r="J254" s="18" t="s">
        <v>1</v>
      </c>
      <c r="K254" s="20" t="s">
        <v>1</v>
      </c>
      <c r="L254" s="18" t="s">
        <v>1</v>
      </c>
      <c r="M254" s="20" t="s">
        <v>1</v>
      </c>
      <c r="N254" s="46" t="s">
        <v>82</v>
      </c>
      <c r="O254" s="25" t="str">
        <f t="shared" si="9"/>
        <v>"B.033 é bairro de Rio de Janeiro"</v>
      </c>
      <c r="P254" s="46" t="s">
        <v>1</v>
      </c>
      <c r="Q254" s="25" t="s">
        <v>1</v>
      </c>
      <c r="R254" s="46" t="s">
        <v>1</v>
      </c>
      <c r="S254" s="52" t="s">
        <v>1</v>
      </c>
      <c r="T254" s="46" t="s">
        <v>1</v>
      </c>
      <c r="U254" s="31" t="s">
        <v>1</v>
      </c>
      <c r="V254" s="46" t="s">
        <v>1</v>
      </c>
      <c r="W254" s="31" t="s">
        <v>1</v>
      </c>
      <c r="X254" s="46" t="s">
        <v>1</v>
      </c>
      <c r="Y254" s="31" t="s">
        <v>1</v>
      </c>
      <c r="Z254" s="46" t="s">
        <v>1</v>
      </c>
      <c r="AA254" s="31" t="s">
        <v>1</v>
      </c>
      <c r="AB254" s="46" t="s">
        <v>1</v>
      </c>
      <c r="AC254" s="47" t="s">
        <v>1</v>
      </c>
      <c r="AD254" s="36" t="s">
        <v>1</v>
      </c>
      <c r="AE254" s="51" t="s">
        <v>1</v>
      </c>
      <c r="AF254" s="36" t="s">
        <v>1</v>
      </c>
      <c r="AG254" s="51" t="s">
        <v>1</v>
      </c>
      <c r="AH254" s="36" t="s">
        <v>1</v>
      </c>
      <c r="AI254" s="51" t="s">
        <v>1</v>
      </c>
      <c r="AJ254" s="36" t="s">
        <v>1</v>
      </c>
      <c r="AK254" s="51" t="s">
        <v>1</v>
      </c>
      <c r="AL254" s="36" t="s">
        <v>1</v>
      </c>
      <c r="AM254" s="31" t="s">
        <v>1</v>
      </c>
      <c r="AN254" s="36" t="s">
        <v>1</v>
      </c>
      <c r="AO254" s="31" t="s">
        <v>1</v>
      </c>
      <c r="AP254" s="36" t="s">
        <v>1</v>
      </c>
      <c r="AQ254" s="51" t="s">
        <v>1</v>
      </c>
      <c r="AR254" s="36" t="s">
        <v>1</v>
      </c>
      <c r="AS254" s="47" t="s">
        <v>1</v>
      </c>
      <c r="AT254" s="36" t="s">
        <v>1</v>
      </c>
      <c r="AU254" s="47" t="s">
        <v>1</v>
      </c>
      <c r="AV254" s="36" t="s">
        <v>1</v>
      </c>
      <c r="AW254" s="47" t="s">
        <v>1</v>
      </c>
      <c r="AX254" s="36" t="s">
        <v>2065</v>
      </c>
      <c r="AY254" s="47" t="s">
        <v>2193</v>
      </c>
      <c r="AZ254" s="36" t="s">
        <v>1299</v>
      </c>
      <c r="BA254" s="47" t="s">
        <v>2193</v>
      </c>
      <c r="BB254" s="36" t="s">
        <v>2188</v>
      </c>
      <c r="BC254" s="47" t="s">
        <v>819</v>
      </c>
      <c r="BD254" s="36" t="s">
        <v>2189</v>
      </c>
      <c r="BE254" s="47" t="str">
        <f t="shared" si="8"/>
        <v>"Bairro"</v>
      </c>
    </row>
    <row r="255" spans="1:57" ht="6.65" customHeight="1" x14ac:dyDescent="0.4">
      <c r="A255" s="93">
        <v>222</v>
      </c>
      <c r="B255" s="74" t="s">
        <v>1042</v>
      </c>
      <c r="C255" s="44" t="s">
        <v>664</v>
      </c>
      <c r="D255" s="18" t="s">
        <v>744</v>
      </c>
      <c r="E255" s="48" t="s">
        <v>753</v>
      </c>
      <c r="F255" s="18" t="s">
        <v>1</v>
      </c>
      <c r="G255" s="20" t="s">
        <v>1</v>
      </c>
      <c r="H255" s="18" t="s">
        <v>1</v>
      </c>
      <c r="I255" s="20" t="s">
        <v>1</v>
      </c>
      <c r="J255" s="18" t="s">
        <v>1</v>
      </c>
      <c r="K255" s="20" t="s">
        <v>1</v>
      </c>
      <c r="L255" s="18" t="s">
        <v>1</v>
      </c>
      <c r="M255" s="20" t="s">
        <v>1</v>
      </c>
      <c r="N255" s="46" t="s">
        <v>82</v>
      </c>
      <c r="O255" s="25" t="str">
        <f t="shared" si="9"/>
        <v>"B.064 é bairro de Rio de Janeiro"</v>
      </c>
      <c r="P255" s="46" t="s">
        <v>1</v>
      </c>
      <c r="Q255" s="25" t="s">
        <v>1</v>
      </c>
      <c r="R255" s="46" t="s">
        <v>1</v>
      </c>
      <c r="S255" s="52" t="s">
        <v>1</v>
      </c>
      <c r="T255" s="46" t="s">
        <v>1</v>
      </c>
      <c r="U255" s="31" t="s">
        <v>1</v>
      </c>
      <c r="V255" s="46" t="s">
        <v>1</v>
      </c>
      <c r="W255" s="31" t="s">
        <v>1</v>
      </c>
      <c r="X255" s="46" t="s">
        <v>1</v>
      </c>
      <c r="Y255" s="31" t="s">
        <v>1</v>
      </c>
      <c r="Z255" s="46" t="s">
        <v>1</v>
      </c>
      <c r="AA255" s="31" t="s">
        <v>1</v>
      </c>
      <c r="AB255" s="46" t="s">
        <v>1</v>
      </c>
      <c r="AC255" s="47" t="s">
        <v>1</v>
      </c>
      <c r="AD255" s="36" t="s">
        <v>1</v>
      </c>
      <c r="AE255" s="51" t="s">
        <v>1</v>
      </c>
      <c r="AF255" s="36" t="s">
        <v>1</v>
      </c>
      <c r="AG255" s="51" t="s">
        <v>1</v>
      </c>
      <c r="AH255" s="36" t="s">
        <v>1</v>
      </c>
      <c r="AI255" s="51" t="s">
        <v>1</v>
      </c>
      <c r="AJ255" s="36" t="s">
        <v>1</v>
      </c>
      <c r="AK255" s="51" t="s">
        <v>1</v>
      </c>
      <c r="AL255" s="36" t="s">
        <v>1</v>
      </c>
      <c r="AM255" s="31" t="s">
        <v>1</v>
      </c>
      <c r="AN255" s="36" t="s">
        <v>1</v>
      </c>
      <c r="AO255" s="31" t="s">
        <v>1</v>
      </c>
      <c r="AP255" s="36" t="s">
        <v>1</v>
      </c>
      <c r="AQ255" s="51" t="s">
        <v>1</v>
      </c>
      <c r="AR255" s="36" t="s">
        <v>1</v>
      </c>
      <c r="AS255" s="47" t="s">
        <v>1</v>
      </c>
      <c r="AT255" s="36" t="s">
        <v>1</v>
      </c>
      <c r="AU255" s="47" t="s">
        <v>1</v>
      </c>
      <c r="AV255" s="36" t="s">
        <v>1</v>
      </c>
      <c r="AW255" s="47" t="s">
        <v>1</v>
      </c>
      <c r="AX255" s="36" t="s">
        <v>2065</v>
      </c>
      <c r="AY255" s="47" t="s">
        <v>2193</v>
      </c>
      <c r="AZ255" s="36" t="s">
        <v>1299</v>
      </c>
      <c r="BA255" s="47" t="s">
        <v>2193</v>
      </c>
      <c r="BB255" s="36" t="s">
        <v>2188</v>
      </c>
      <c r="BC255" s="47" t="s">
        <v>819</v>
      </c>
      <c r="BD255" s="36" t="s">
        <v>2189</v>
      </c>
      <c r="BE255" s="47" t="str">
        <f t="shared" si="8"/>
        <v>"Bairro"</v>
      </c>
    </row>
    <row r="256" spans="1:57" ht="6.65" customHeight="1" x14ac:dyDescent="0.4">
      <c r="A256" s="93">
        <v>223</v>
      </c>
      <c r="B256" s="74" t="s">
        <v>1043</v>
      </c>
      <c r="C256" s="44" t="s">
        <v>664</v>
      </c>
      <c r="D256" s="18" t="s">
        <v>744</v>
      </c>
      <c r="E256" s="48" t="s">
        <v>753</v>
      </c>
      <c r="F256" s="18" t="s">
        <v>1</v>
      </c>
      <c r="G256" s="20" t="s">
        <v>1</v>
      </c>
      <c r="H256" s="18" t="s">
        <v>1</v>
      </c>
      <c r="I256" s="20" t="s">
        <v>1</v>
      </c>
      <c r="J256" s="18" t="s">
        <v>1</v>
      </c>
      <c r="K256" s="20" t="s">
        <v>1</v>
      </c>
      <c r="L256" s="18" t="s">
        <v>1</v>
      </c>
      <c r="M256" s="20" t="s">
        <v>1</v>
      </c>
      <c r="N256" s="46" t="s">
        <v>82</v>
      </c>
      <c r="O256" s="25" t="str">
        <f t="shared" si="9"/>
        <v>"B.056 é bairro de Rio de Janeiro"</v>
      </c>
      <c r="P256" s="46" t="s">
        <v>1</v>
      </c>
      <c r="Q256" s="25" t="s">
        <v>1</v>
      </c>
      <c r="R256" s="46" t="s">
        <v>1</v>
      </c>
      <c r="S256" s="52" t="s">
        <v>1</v>
      </c>
      <c r="T256" s="46" t="s">
        <v>1</v>
      </c>
      <c r="U256" s="31" t="s">
        <v>1</v>
      </c>
      <c r="V256" s="46" t="s">
        <v>1</v>
      </c>
      <c r="W256" s="31" t="s">
        <v>1</v>
      </c>
      <c r="X256" s="46" t="s">
        <v>1</v>
      </c>
      <c r="Y256" s="31" t="s">
        <v>1</v>
      </c>
      <c r="Z256" s="46" t="s">
        <v>1</v>
      </c>
      <c r="AA256" s="31" t="s">
        <v>1</v>
      </c>
      <c r="AB256" s="46" t="s">
        <v>1</v>
      </c>
      <c r="AC256" s="47" t="s">
        <v>1</v>
      </c>
      <c r="AD256" s="36" t="s">
        <v>1</v>
      </c>
      <c r="AE256" s="51" t="s">
        <v>1</v>
      </c>
      <c r="AF256" s="36" t="s">
        <v>1</v>
      </c>
      <c r="AG256" s="51" t="s">
        <v>1</v>
      </c>
      <c r="AH256" s="36" t="s">
        <v>1</v>
      </c>
      <c r="AI256" s="51" t="s">
        <v>1</v>
      </c>
      <c r="AJ256" s="36" t="s">
        <v>1</v>
      </c>
      <c r="AK256" s="51" t="s">
        <v>1</v>
      </c>
      <c r="AL256" s="36" t="s">
        <v>1</v>
      </c>
      <c r="AM256" s="31" t="s">
        <v>1</v>
      </c>
      <c r="AN256" s="36" t="s">
        <v>1</v>
      </c>
      <c r="AO256" s="31" t="s">
        <v>1</v>
      </c>
      <c r="AP256" s="36" t="s">
        <v>1</v>
      </c>
      <c r="AQ256" s="51" t="s">
        <v>1</v>
      </c>
      <c r="AR256" s="36" t="s">
        <v>1</v>
      </c>
      <c r="AS256" s="47" t="s">
        <v>1</v>
      </c>
      <c r="AT256" s="36" t="s">
        <v>1</v>
      </c>
      <c r="AU256" s="47" t="s">
        <v>1</v>
      </c>
      <c r="AV256" s="36" t="s">
        <v>1</v>
      </c>
      <c r="AW256" s="47" t="s">
        <v>1</v>
      </c>
      <c r="AX256" s="36" t="s">
        <v>2065</v>
      </c>
      <c r="AY256" s="47" t="s">
        <v>2193</v>
      </c>
      <c r="AZ256" s="36" t="s">
        <v>1299</v>
      </c>
      <c r="BA256" s="47" t="s">
        <v>2193</v>
      </c>
      <c r="BB256" s="36" t="s">
        <v>2188</v>
      </c>
      <c r="BC256" s="47" t="s">
        <v>819</v>
      </c>
      <c r="BD256" s="36" t="s">
        <v>2189</v>
      </c>
      <c r="BE256" s="47" t="str">
        <f t="shared" si="8"/>
        <v>"Bairro"</v>
      </c>
    </row>
    <row r="257" spans="1:57" ht="6.65" customHeight="1" x14ac:dyDescent="0.4">
      <c r="A257" s="93">
        <v>224</v>
      </c>
      <c r="B257" s="74" t="s">
        <v>1044</v>
      </c>
      <c r="C257" s="44" t="s">
        <v>664</v>
      </c>
      <c r="D257" s="18" t="s">
        <v>744</v>
      </c>
      <c r="E257" s="48" t="s">
        <v>753</v>
      </c>
      <c r="F257" s="18" t="s">
        <v>1</v>
      </c>
      <c r="G257" s="20" t="s">
        <v>1</v>
      </c>
      <c r="H257" s="18" t="s">
        <v>1</v>
      </c>
      <c r="I257" s="20" t="s">
        <v>1</v>
      </c>
      <c r="J257" s="18" t="s">
        <v>1</v>
      </c>
      <c r="K257" s="20" t="s">
        <v>1</v>
      </c>
      <c r="L257" s="18" t="s">
        <v>1</v>
      </c>
      <c r="M257" s="20" t="s">
        <v>1</v>
      </c>
      <c r="N257" s="46" t="s">
        <v>82</v>
      </c>
      <c r="O257" s="25" t="str">
        <f t="shared" si="9"/>
        <v>"B.085 é bairro de Rio de Janeiro"</v>
      </c>
      <c r="P257" s="46" t="s">
        <v>1</v>
      </c>
      <c r="Q257" s="25" t="s">
        <v>1</v>
      </c>
      <c r="R257" s="46" t="s">
        <v>1</v>
      </c>
      <c r="S257" s="52" t="s">
        <v>1</v>
      </c>
      <c r="T257" s="46" t="s">
        <v>1</v>
      </c>
      <c r="U257" s="31" t="s">
        <v>1</v>
      </c>
      <c r="V257" s="46" t="s">
        <v>1</v>
      </c>
      <c r="W257" s="31" t="s">
        <v>1</v>
      </c>
      <c r="X257" s="46" t="s">
        <v>1</v>
      </c>
      <c r="Y257" s="31" t="s">
        <v>1</v>
      </c>
      <c r="Z257" s="46" t="s">
        <v>1</v>
      </c>
      <c r="AA257" s="31" t="s">
        <v>1</v>
      </c>
      <c r="AB257" s="46" t="s">
        <v>1</v>
      </c>
      <c r="AC257" s="47" t="s">
        <v>1</v>
      </c>
      <c r="AD257" s="36" t="s">
        <v>1</v>
      </c>
      <c r="AE257" s="51" t="s">
        <v>1</v>
      </c>
      <c r="AF257" s="36" t="s">
        <v>1</v>
      </c>
      <c r="AG257" s="51" t="s">
        <v>1</v>
      </c>
      <c r="AH257" s="36" t="s">
        <v>1</v>
      </c>
      <c r="AI257" s="51" t="s">
        <v>1</v>
      </c>
      <c r="AJ257" s="36" t="s">
        <v>1</v>
      </c>
      <c r="AK257" s="51" t="s">
        <v>1</v>
      </c>
      <c r="AL257" s="36" t="s">
        <v>1</v>
      </c>
      <c r="AM257" s="31" t="s">
        <v>1</v>
      </c>
      <c r="AN257" s="36" t="s">
        <v>1</v>
      </c>
      <c r="AO257" s="31" t="s">
        <v>1</v>
      </c>
      <c r="AP257" s="36" t="s">
        <v>1</v>
      </c>
      <c r="AQ257" s="51" t="s">
        <v>1</v>
      </c>
      <c r="AR257" s="36" t="s">
        <v>1</v>
      </c>
      <c r="AS257" s="47" t="s">
        <v>1</v>
      </c>
      <c r="AT257" s="36" t="s">
        <v>1</v>
      </c>
      <c r="AU257" s="47" t="s">
        <v>1</v>
      </c>
      <c r="AV257" s="36" t="s">
        <v>1</v>
      </c>
      <c r="AW257" s="47" t="s">
        <v>1</v>
      </c>
      <c r="AX257" s="36" t="s">
        <v>2065</v>
      </c>
      <c r="AY257" s="47" t="s">
        <v>2193</v>
      </c>
      <c r="AZ257" s="36" t="s">
        <v>1299</v>
      </c>
      <c r="BA257" s="47" t="s">
        <v>2193</v>
      </c>
      <c r="BB257" s="36" t="s">
        <v>2188</v>
      </c>
      <c r="BC257" s="47" t="s">
        <v>819</v>
      </c>
      <c r="BD257" s="36" t="s">
        <v>2189</v>
      </c>
      <c r="BE257" s="47" t="str">
        <f t="shared" si="8"/>
        <v>"Bairro"</v>
      </c>
    </row>
    <row r="258" spans="1:57" ht="6.65" customHeight="1" x14ac:dyDescent="0.4">
      <c r="A258" s="93">
        <v>225</v>
      </c>
      <c r="B258" s="74" t="s">
        <v>1045</v>
      </c>
      <c r="C258" s="44" t="s">
        <v>664</v>
      </c>
      <c r="D258" s="18" t="s">
        <v>744</v>
      </c>
      <c r="E258" s="48" t="s">
        <v>753</v>
      </c>
      <c r="F258" s="18" t="s">
        <v>1</v>
      </c>
      <c r="G258" s="20" t="s">
        <v>1</v>
      </c>
      <c r="H258" s="18" t="s">
        <v>1</v>
      </c>
      <c r="I258" s="20" t="s">
        <v>1</v>
      </c>
      <c r="J258" s="18" t="s">
        <v>1</v>
      </c>
      <c r="K258" s="20" t="s">
        <v>1</v>
      </c>
      <c r="L258" s="18" t="s">
        <v>1</v>
      </c>
      <c r="M258" s="20" t="s">
        <v>1</v>
      </c>
      <c r="N258" s="46" t="s">
        <v>82</v>
      </c>
      <c r="O258" s="25" t="str">
        <f t="shared" si="9"/>
        <v>"B.022 é bairro de Rio de Janeiro"</v>
      </c>
      <c r="P258" s="46" t="s">
        <v>1</v>
      </c>
      <c r="Q258" s="25" t="s">
        <v>1</v>
      </c>
      <c r="R258" s="46" t="s">
        <v>1</v>
      </c>
      <c r="S258" s="52" t="s">
        <v>1</v>
      </c>
      <c r="T258" s="46" t="s">
        <v>1</v>
      </c>
      <c r="U258" s="31" t="s">
        <v>1</v>
      </c>
      <c r="V258" s="46" t="s">
        <v>1</v>
      </c>
      <c r="W258" s="31" t="s">
        <v>1</v>
      </c>
      <c r="X258" s="46" t="s">
        <v>1</v>
      </c>
      <c r="Y258" s="31" t="s">
        <v>1</v>
      </c>
      <c r="Z258" s="46" t="s">
        <v>1</v>
      </c>
      <c r="AA258" s="31" t="s">
        <v>1</v>
      </c>
      <c r="AB258" s="46" t="s">
        <v>1</v>
      </c>
      <c r="AC258" s="47" t="s">
        <v>1</v>
      </c>
      <c r="AD258" s="36" t="s">
        <v>1</v>
      </c>
      <c r="AE258" s="51" t="s">
        <v>1</v>
      </c>
      <c r="AF258" s="36" t="s">
        <v>1</v>
      </c>
      <c r="AG258" s="51" t="s">
        <v>1</v>
      </c>
      <c r="AH258" s="36" t="s">
        <v>1</v>
      </c>
      <c r="AI258" s="51" t="s">
        <v>1</v>
      </c>
      <c r="AJ258" s="36" t="s">
        <v>1</v>
      </c>
      <c r="AK258" s="51" t="s">
        <v>1</v>
      </c>
      <c r="AL258" s="36" t="s">
        <v>1</v>
      </c>
      <c r="AM258" s="31" t="s">
        <v>1</v>
      </c>
      <c r="AN258" s="36" t="s">
        <v>1</v>
      </c>
      <c r="AO258" s="31" t="s">
        <v>1</v>
      </c>
      <c r="AP258" s="36" t="s">
        <v>1</v>
      </c>
      <c r="AQ258" s="51" t="s">
        <v>1</v>
      </c>
      <c r="AR258" s="36" t="s">
        <v>1</v>
      </c>
      <c r="AS258" s="47" t="s">
        <v>1</v>
      </c>
      <c r="AT258" s="36" t="s">
        <v>1</v>
      </c>
      <c r="AU258" s="47" t="s">
        <v>1</v>
      </c>
      <c r="AV258" s="36" t="s">
        <v>1</v>
      </c>
      <c r="AW258" s="47" t="s">
        <v>1</v>
      </c>
      <c r="AX258" s="36" t="s">
        <v>2065</v>
      </c>
      <c r="AY258" s="47" t="s">
        <v>2193</v>
      </c>
      <c r="AZ258" s="36" t="s">
        <v>1299</v>
      </c>
      <c r="BA258" s="47" t="s">
        <v>2193</v>
      </c>
      <c r="BB258" s="36" t="s">
        <v>2188</v>
      </c>
      <c r="BC258" s="47" t="s">
        <v>819</v>
      </c>
      <c r="BD258" s="36" t="s">
        <v>2189</v>
      </c>
      <c r="BE258" s="47" t="str">
        <f t="shared" si="8"/>
        <v>"Bairro"</v>
      </c>
    </row>
    <row r="259" spans="1:57" ht="6.65" customHeight="1" x14ac:dyDescent="0.4">
      <c r="A259" s="93">
        <v>226</v>
      </c>
      <c r="B259" s="74" t="s">
        <v>1046</v>
      </c>
      <c r="C259" s="44" t="s">
        <v>664</v>
      </c>
      <c r="D259" s="18" t="s">
        <v>744</v>
      </c>
      <c r="E259" s="48" t="s">
        <v>753</v>
      </c>
      <c r="F259" s="18" t="s">
        <v>1</v>
      </c>
      <c r="G259" s="20" t="s">
        <v>1</v>
      </c>
      <c r="H259" s="18" t="s">
        <v>1</v>
      </c>
      <c r="I259" s="20" t="s">
        <v>1</v>
      </c>
      <c r="J259" s="18" t="s">
        <v>1</v>
      </c>
      <c r="K259" s="20" t="s">
        <v>1</v>
      </c>
      <c r="L259" s="18" t="s">
        <v>1</v>
      </c>
      <c r="M259" s="20" t="s">
        <v>1</v>
      </c>
      <c r="N259" s="46" t="s">
        <v>82</v>
      </c>
      <c r="O259" s="25" t="str">
        <f t="shared" si="9"/>
        <v>"B.131 é bairro de Rio de Janeiro"</v>
      </c>
      <c r="P259" s="46" t="s">
        <v>1</v>
      </c>
      <c r="Q259" s="25" t="s">
        <v>1</v>
      </c>
      <c r="R259" s="46" t="s">
        <v>1</v>
      </c>
      <c r="S259" s="52" t="s">
        <v>1</v>
      </c>
      <c r="T259" s="46" t="s">
        <v>1</v>
      </c>
      <c r="U259" s="31" t="s">
        <v>1</v>
      </c>
      <c r="V259" s="46" t="s">
        <v>1</v>
      </c>
      <c r="W259" s="31" t="s">
        <v>1</v>
      </c>
      <c r="X259" s="46" t="s">
        <v>1</v>
      </c>
      <c r="Y259" s="31" t="s">
        <v>1</v>
      </c>
      <c r="Z259" s="46" t="s">
        <v>1</v>
      </c>
      <c r="AA259" s="31" t="s">
        <v>1</v>
      </c>
      <c r="AB259" s="46" t="s">
        <v>1</v>
      </c>
      <c r="AC259" s="47" t="s">
        <v>1</v>
      </c>
      <c r="AD259" s="36" t="s">
        <v>1</v>
      </c>
      <c r="AE259" s="51" t="s">
        <v>1</v>
      </c>
      <c r="AF259" s="36" t="s">
        <v>1</v>
      </c>
      <c r="AG259" s="51" t="s">
        <v>1</v>
      </c>
      <c r="AH259" s="36" t="s">
        <v>1</v>
      </c>
      <c r="AI259" s="51" t="s">
        <v>1</v>
      </c>
      <c r="AJ259" s="36" t="s">
        <v>1</v>
      </c>
      <c r="AK259" s="51" t="s">
        <v>1</v>
      </c>
      <c r="AL259" s="36" t="s">
        <v>1</v>
      </c>
      <c r="AM259" s="31" t="s">
        <v>1</v>
      </c>
      <c r="AN259" s="36" t="s">
        <v>1</v>
      </c>
      <c r="AO259" s="31" t="s">
        <v>1</v>
      </c>
      <c r="AP259" s="36" t="s">
        <v>1</v>
      </c>
      <c r="AQ259" s="51" t="s">
        <v>1</v>
      </c>
      <c r="AR259" s="36" t="s">
        <v>1</v>
      </c>
      <c r="AS259" s="47" t="s">
        <v>1</v>
      </c>
      <c r="AT259" s="36" t="s">
        <v>1</v>
      </c>
      <c r="AU259" s="47" t="s">
        <v>1</v>
      </c>
      <c r="AV259" s="36" t="s">
        <v>1</v>
      </c>
      <c r="AW259" s="47" t="s">
        <v>1</v>
      </c>
      <c r="AX259" s="36" t="s">
        <v>2065</v>
      </c>
      <c r="AY259" s="47" t="s">
        <v>2193</v>
      </c>
      <c r="AZ259" s="36" t="s">
        <v>1299</v>
      </c>
      <c r="BA259" s="47" t="s">
        <v>2193</v>
      </c>
      <c r="BB259" s="36" t="s">
        <v>2188</v>
      </c>
      <c r="BC259" s="47" t="s">
        <v>819</v>
      </c>
      <c r="BD259" s="36" t="s">
        <v>2189</v>
      </c>
      <c r="BE259" s="47" t="str">
        <f t="shared" si="8"/>
        <v>"Bairro"</v>
      </c>
    </row>
    <row r="260" spans="1:57" ht="6.65" customHeight="1" x14ac:dyDescent="0.4">
      <c r="A260" s="93">
        <v>227</v>
      </c>
      <c r="B260" s="74" t="s">
        <v>1047</v>
      </c>
      <c r="C260" s="44" t="s">
        <v>664</v>
      </c>
      <c r="D260" s="18" t="s">
        <v>744</v>
      </c>
      <c r="E260" s="48" t="s">
        <v>753</v>
      </c>
      <c r="F260" s="18" t="s">
        <v>1</v>
      </c>
      <c r="G260" s="20" t="s">
        <v>1</v>
      </c>
      <c r="H260" s="18" t="s">
        <v>1</v>
      </c>
      <c r="I260" s="20" t="s">
        <v>1</v>
      </c>
      <c r="J260" s="18" t="s">
        <v>1</v>
      </c>
      <c r="K260" s="20" t="s">
        <v>1</v>
      </c>
      <c r="L260" s="18" t="s">
        <v>1</v>
      </c>
      <c r="M260" s="20" t="s">
        <v>1</v>
      </c>
      <c r="N260" s="46" t="s">
        <v>82</v>
      </c>
      <c r="O260" s="25" t="str">
        <f t="shared" si="9"/>
        <v>"B.130 é bairro de Rio de Janeiro"</v>
      </c>
      <c r="P260" s="46" t="s">
        <v>1</v>
      </c>
      <c r="Q260" s="25" t="s">
        <v>1</v>
      </c>
      <c r="R260" s="46" t="s">
        <v>1</v>
      </c>
      <c r="S260" s="52" t="s">
        <v>1</v>
      </c>
      <c r="T260" s="46" t="s">
        <v>1</v>
      </c>
      <c r="U260" s="31" t="s">
        <v>1</v>
      </c>
      <c r="V260" s="46" t="s">
        <v>1</v>
      </c>
      <c r="W260" s="31" t="s">
        <v>1</v>
      </c>
      <c r="X260" s="46" t="s">
        <v>1</v>
      </c>
      <c r="Y260" s="31" t="s">
        <v>1</v>
      </c>
      <c r="Z260" s="46" t="s">
        <v>1</v>
      </c>
      <c r="AA260" s="31" t="s">
        <v>1</v>
      </c>
      <c r="AB260" s="46" t="s">
        <v>1</v>
      </c>
      <c r="AC260" s="47" t="s">
        <v>1</v>
      </c>
      <c r="AD260" s="36" t="s">
        <v>1</v>
      </c>
      <c r="AE260" s="51" t="s">
        <v>1</v>
      </c>
      <c r="AF260" s="36" t="s">
        <v>1</v>
      </c>
      <c r="AG260" s="51" t="s">
        <v>1</v>
      </c>
      <c r="AH260" s="36" t="s">
        <v>1</v>
      </c>
      <c r="AI260" s="51" t="s">
        <v>1</v>
      </c>
      <c r="AJ260" s="36" t="s">
        <v>1</v>
      </c>
      <c r="AK260" s="51" t="s">
        <v>1</v>
      </c>
      <c r="AL260" s="36" t="s">
        <v>1</v>
      </c>
      <c r="AM260" s="31" t="s">
        <v>1</v>
      </c>
      <c r="AN260" s="36" t="s">
        <v>1</v>
      </c>
      <c r="AO260" s="31" t="s">
        <v>1</v>
      </c>
      <c r="AP260" s="36" t="s">
        <v>1</v>
      </c>
      <c r="AQ260" s="51" t="s">
        <v>1</v>
      </c>
      <c r="AR260" s="36" t="s">
        <v>1</v>
      </c>
      <c r="AS260" s="47" t="s">
        <v>1</v>
      </c>
      <c r="AT260" s="36" t="s">
        <v>1</v>
      </c>
      <c r="AU260" s="47" t="s">
        <v>1</v>
      </c>
      <c r="AV260" s="36" t="s">
        <v>1</v>
      </c>
      <c r="AW260" s="47" t="s">
        <v>1</v>
      </c>
      <c r="AX260" s="36" t="s">
        <v>2065</v>
      </c>
      <c r="AY260" s="47" t="s">
        <v>2193</v>
      </c>
      <c r="AZ260" s="36" t="s">
        <v>1299</v>
      </c>
      <c r="BA260" s="47" t="s">
        <v>2193</v>
      </c>
      <c r="BB260" s="36" t="s">
        <v>2188</v>
      </c>
      <c r="BC260" s="47" t="s">
        <v>819</v>
      </c>
      <c r="BD260" s="36" t="s">
        <v>2189</v>
      </c>
      <c r="BE260" s="47" t="str">
        <f t="shared" si="8"/>
        <v>"Bairro"</v>
      </c>
    </row>
    <row r="261" spans="1:57" ht="6.65" customHeight="1" x14ac:dyDescent="0.4">
      <c r="A261" s="93">
        <v>228</v>
      </c>
      <c r="B261" s="74" t="s">
        <v>1048</v>
      </c>
      <c r="C261" s="44" t="s">
        <v>664</v>
      </c>
      <c r="D261" s="18" t="s">
        <v>744</v>
      </c>
      <c r="E261" s="48" t="s">
        <v>753</v>
      </c>
      <c r="F261" s="18" t="s">
        <v>1</v>
      </c>
      <c r="G261" s="20" t="s">
        <v>1</v>
      </c>
      <c r="H261" s="18" t="s">
        <v>1</v>
      </c>
      <c r="I261" s="20" t="s">
        <v>1</v>
      </c>
      <c r="J261" s="18" t="s">
        <v>1</v>
      </c>
      <c r="K261" s="20" t="s">
        <v>1</v>
      </c>
      <c r="L261" s="18" t="s">
        <v>1</v>
      </c>
      <c r="M261" s="20" t="s">
        <v>1</v>
      </c>
      <c r="N261" s="46" t="s">
        <v>82</v>
      </c>
      <c r="O261" s="25" t="str">
        <f t="shared" si="9"/>
        <v>"B.158 é bairro de Rio de Janeiro"</v>
      </c>
      <c r="P261" s="46" t="s">
        <v>1</v>
      </c>
      <c r="Q261" s="25" t="s">
        <v>1</v>
      </c>
      <c r="R261" s="46" t="s">
        <v>1</v>
      </c>
      <c r="S261" s="52" t="s">
        <v>1</v>
      </c>
      <c r="T261" s="46" t="s">
        <v>1</v>
      </c>
      <c r="U261" s="31" t="s">
        <v>1</v>
      </c>
      <c r="V261" s="46" t="s">
        <v>1</v>
      </c>
      <c r="W261" s="31" t="s">
        <v>1</v>
      </c>
      <c r="X261" s="46" t="s">
        <v>1</v>
      </c>
      <c r="Y261" s="31" t="s">
        <v>1</v>
      </c>
      <c r="Z261" s="46" t="s">
        <v>1</v>
      </c>
      <c r="AA261" s="31" t="s">
        <v>1</v>
      </c>
      <c r="AB261" s="46" t="s">
        <v>1</v>
      </c>
      <c r="AC261" s="47" t="s">
        <v>1</v>
      </c>
      <c r="AD261" s="36" t="s">
        <v>1</v>
      </c>
      <c r="AE261" s="51" t="s">
        <v>1</v>
      </c>
      <c r="AF261" s="36" t="s">
        <v>1</v>
      </c>
      <c r="AG261" s="51" t="s">
        <v>1</v>
      </c>
      <c r="AH261" s="36" t="s">
        <v>1</v>
      </c>
      <c r="AI261" s="51" t="s">
        <v>1</v>
      </c>
      <c r="AJ261" s="36" t="s">
        <v>1</v>
      </c>
      <c r="AK261" s="51" t="s">
        <v>1</v>
      </c>
      <c r="AL261" s="36" t="s">
        <v>1</v>
      </c>
      <c r="AM261" s="31" t="s">
        <v>1</v>
      </c>
      <c r="AN261" s="36" t="s">
        <v>1</v>
      </c>
      <c r="AO261" s="31" t="s">
        <v>1</v>
      </c>
      <c r="AP261" s="36" t="s">
        <v>1</v>
      </c>
      <c r="AQ261" s="51" t="s">
        <v>1</v>
      </c>
      <c r="AR261" s="36" t="s">
        <v>1</v>
      </c>
      <c r="AS261" s="47" t="s">
        <v>1</v>
      </c>
      <c r="AT261" s="36" t="s">
        <v>1</v>
      </c>
      <c r="AU261" s="47" t="s">
        <v>1</v>
      </c>
      <c r="AV261" s="36" t="s">
        <v>1</v>
      </c>
      <c r="AW261" s="47" t="s">
        <v>1</v>
      </c>
      <c r="AX261" s="36" t="s">
        <v>2065</v>
      </c>
      <c r="AY261" s="47" t="s">
        <v>2193</v>
      </c>
      <c r="AZ261" s="36" t="s">
        <v>1299</v>
      </c>
      <c r="BA261" s="47" t="s">
        <v>2193</v>
      </c>
      <c r="BB261" s="36" t="s">
        <v>2188</v>
      </c>
      <c r="BC261" s="47" t="s">
        <v>819</v>
      </c>
      <c r="BD261" s="36" t="s">
        <v>2189</v>
      </c>
      <c r="BE261" s="47" t="str">
        <f t="shared" si="8"/>
        <v>"Bairro"</v>
      </c>
    </row>
    <row r="262" spans="1:57" ht="6.65" customHeight="1" x14ac:dyDescent="0.4">
      <c r="A262" s="93">
        <v>229</v>
      </c>
      <c r="B262" s="74" t="s">
        <v>1049</v>
      </c>
      <c r="C262" s="44" t="s">
        <v>664</v>
      </c>
      <c r="D262" s="18" t="s">
        <v>744</v>
      </c>
      <c r="E262" s="48" t="s">
        <v>753</v>
      </c>
      <c r="F262" s="18" t="s">
        <v>1</v>
      </c>
      <c r="G262" s="20" t="s">
        <v>1</v>
      </c>
      <c r="H262" s="18" t="s">
        <v>1</v>
      </c>
      <c r="I262" s="20" t="s">
        <v>1</v>
      </c>
      <c r="J262" s="18" t="s">
        <v>1</v>
      </c>
      <c r="K262" s="20" t="s">
        <v>1</v>
      </c>
      <c r="L262" s="18" t="s">
        <v>1</v>
      </c>
      <c r="M262" s="20" t="s">
        <v>1</v>
      </c>
      <c r="N262" s="46" t="s">
        <v>82</v>
      </c>
      <c r="O262" s="25" t="str">
        <f t="shared" si="9"/>
        <v>"B.084 é bairro de Rio de Janeiro"</v>
      </c>
      <c r="P262" s="46" t="s">
        <v>1</v>
      </c>
      <c r="Q262" s="25" t="s">
        <v>1</v>
      </c>
      <c r="R262" s="46" t="s">
        <v>1</v>
      </c>
      <c r="S262" s="52" t="s">
        <v>1</v>
      </c>
      <c r="T262" s="46" t="s">
        <v>1</v>
      </c>
      <c r="U262" s="31" t="s">
        <v>1</v>
      </c>
      <c r="V262" s="46" t="s">
        <v>1</v>
      </c>
      <c r="W262" s="31" t="s">
        <v>1</v>
      </c>
      <c r="X262" s="46" t="s">
        <v>1</v>
      </c>
      <c r="Y262" s="31" t="s">
        <v>1</v>
      </c>
      <c r="Z262" s="46" t="s">
        <v>1</v>
      </c>
      <c r="AA262" s="31" t="s">
        <v>1</v>
      </c>
      <c r="AB262" s="46" t="s">
        <v>1</v>
      </c>
      <c r="AC262" s="47" t="s">
        <v>1</v>
      </c>
      <c r="AD262" s="36" t="s">
        <v>1</v>
      </c>
      <c r="AE262" s="51" t="s">
        <v>1</v>
      </c>
      <c r="AF262" s="36" t="s">
        <v>1</v>
      </c>
      <c r="AG262" s="51" t="s">
        <v>1</v>
      </c>
      <c r="AH262" s="36" t="s">
        <v>1</v>
      </c>
      <c r="AI262" s="51" t="s">
        <v>1</v>
      </c>
      <c r="AJ262" s="36" t="s">
        <v>1</v>
      </c>
      <c r="AK262" s="51" t="s">
        <v>1</v>
      </c>
      <c r="AL262" s="36" t="s">
        <v>1</v>
      </c>
      <c r="AM262" s="31" t="s">
        <v>1</v>
      </c>
      <c r="AN262" s="36" t="s">
        <v>1</v>
      </c>
      <c r="AO262" s="31" t="s">
        <v>1</v>
      </c>
      <c r="AP262" s="36" t="s">
        <v>1</v>
      </c>
      <c r="AQ262" s="51" t="s">
        <v>1</v>
      </c>
      <c r="AR262" s="36" t="s">
        <v>1</v>
      </c>
      <c r="AS262" s="47" t="s">
        <v>1</v>
      </c>
      <c r="AT262" s="36" t="s">
        <v>1</v>
      </c>
      <c r="AU262" s="47" t="s">
        <v>1</v>
      </c>
      <c r="AV262" s="36" t="s">
        <v>1</v>
      </c>
      <c r="AW262" s="47" t="s">
        <v>1</v>
      </c>
      <c r="AX262" s="36" t="s">
        <v>2065</v>
      </c>
      <c r="AY262" s="47" t="s">
        <v>2193</v>
      </c>
      <c r="AZ262" s="36" t="s">
        <v>1299</v>
      </c>
      <c r="BA262" s="47" t="s">
        <v>2193</v>
      </c>
      <c r="BB262" s="36" t="s">
        <v>2188</v>
      </c>
      <c r="BC262" s="47" t="s">
        <v>819</v>
      </c>
      <c r="BD262" s="36" t="s">
        <v>2189</v>
      </c>
      <c r="BE262" s="47" t="str">
        <f t="shared" si="8"/>
        <v>"Bairro"</v>
      </c>
    </row>
    <row r="263" spans="1:57" ht="6.65" customHeight="1" x14ac:dyDescent="0.4">
      <c r="A263" s="93">
        <v>230</v>
      </c>
      <c r="B263" s="74" t="s">
        <v>1050</v>
      </c>
      <c r="C263" s="44" t="s">
        <v>664</v>
      </c>
      <c r="D263" s="18" t="s">
        <v>744</v>
      </c>
      <c r="E263" s="48" t="s">
        <v>753</v>
      </c>
      <c r="F263" s="18" t="s">
        <v>1</v>
      </c>
      <c r="G263" s="20" t="s">
        <v>1</v>
      </c>
      <c r="H263" s="18" t="s">
        <v>1</v>
      </c>
      <c r="I263" s="20" t="s">
        <v>1</v>
      </c>
      <c r="J263" s="18" t="s">
        <v>1</v>
      </c>
      <c r="K263" s="20" t="s">
        <v>1</v>
      </c>
      <c r="L263" s="18" t="s">
        <v>1</v>
      </c>
      <c r="M263" s="20" t="s">
        <v>1</v>
      </c>
      <c r="N263" s="46" t="s">
        <v>82</v>
      </c>
      <c r="O263" s="25" t="str">
        <f t="shared" si="9"/>
        <v>"B.073 é bairro de Rio de Janeiro"</v>
      </c>
      <c r="P263" s="46" t="s">
        <v>1</v>
      </c>
      <c r="Q263" s="25" t="s">
        <v>1</v>
      </c>
      <c r="R263" s="46" t="s">
        <v>1</v>
      </c>
      <c r="S263" s="52" t="s">
        <v>1</v>
      </c>
      <c r="T263" s="46" t="s">
        <v>1</v>
      </c>
      <c r="U263" s="31" t="s">
        <v>1</v>
      </c>
      <c r="V263" s="46" t="s">
        <v>1</v>
      </c>
      <c r="W263" s="31" t="s">
        <v>1</v>
      </c>
      <c r="X263" s="46" t="s">
        <v>1</v>
      </c>
      <c r="Y263" s="31" t="s">
        <v>1</v>
      </c>
      <c r="Z263" s="46" t="s">
        <v>1</v>
      </c>
      <c r="AA263" s="31" t="s">
        <v>1</v>
      </c>
      <c r="AB263" s="46" t="s">
        <v>1</v>
      </c>
      <c r="AC263" s="47" t="s">
        <v>1</v>
      </c>
      <c r="AD263" s="36" t="s">
        <v>1</v>
      </c>
      <c r="AE263" s="51" t="s">
        <v>1</v>
      </c>
      <c r="AF263" s="36" t="s">
        <v>1</v>
      </c>
      <c r="AG263" s="51" t="s">
        <v>1</v>
      </c>
      <c r="AH263" s="36" t="s">
        <v>1</v>
      </c>
      <c r="AI263" s="51" t="s">
        <v>1</v>
      </c>
      <c r="AJ263" s="36" t="s">
        <v>1</v>
      </c>
      <c r="AK263" s="51" t="s">
        <v>1</v>
      </c>
      <c r="AL263" s="36" t="s">
        <v>1</v>
      </c>
      <c r="AM263" s="31" t="s">
        <v>1</v>
      </c>
      <c r="AN263" s="36" t="s">
        <v>1</v>
      </c>
      <c r="AO263" s="31" t="s">
        <v>1</v>
      </c>
      <c r="AP263" s="36" t="s">
        <v>1</v>
      </c>
      <c r="AQ263" s="51" t="s">
        <v>1</v>
      </c>
      <c r="AR263" s="36" t="s">
        <v>1</v>
      </c>
      <c r="AS263" s="47" t="s">
        <v>1</v>
      </c>
      <c r="AT263" s="36" t="s">
        <v>1</v>
      </c>
      <c r="AU263" s="47" t="s">
        <v>1</v>
      </c>
      <c r="AV263" s="36" t="s">
        <v>1</v>
      </c>
      <c r="AW263" s="47" t="s">
        <v>1</v>
      </c>
      <c r="AX263" s="36" t="s">
        <v>2065</v>
      </c>
      <c r="AY263" s="47" t="s">
        <v>2193</v>
      </c>
      <c r="AZ263" s="36" t="s">
        <v>1299</v>
      </c>
      <c r="BA263" s="47" t="s">
        <v>2193</v>
      </c>
      <c r="BB263" s="36" t="s">
        <v>2188</v>
      </c>
      <c r="BC263" s="47" t="s">
        <v>819</v>
      </c>
      <c r="BD263" s="36" t="s">
        <v>2189</v>
      </c>
      <c r="BE263" s="47" t="str">
        <f t="shared" si="8"/>
        <v>"Bairro"</v>
      </c>
    </row>
    <row r="264" spans="1:57" ht="6.65" customHeight="1" x14ac:dyDescent="0.4">
      <c r="A264" s="93">
        <v>231</v>
      </c>
      <c r="B264" s="74" t="s">
        <v>1051</v>
      </c>
      <c r="C264" s="44" t="s">
        <v>664</v>
      </c>
      <c r="D264" s="18" t="s">
        <v>744</v>
      </c>
      <c r="E264" s="48" t="s">
        <v>753</v>
      </c>
      <c r="F264" s="18" t="s">
        <v>1</v>
      </c>
      <c r="G264" s="20" t="s">
        <v>1</v>
      </c>
      <c r="H264" s="18" t="s">
        <v>1</v>
      </c>
      <c r="I264" s="20" t="s">
        <v>1</v>
      </c>
      <c r="J264" s="18" t="s">
        <v>1</v>
      </c>
      <c r="K264" s="20" t="s">
        <v>1</v>
      </c>
      <c r="L264" s="18" t="s">
        <v>1</v>
      </c>
      <c r="M264" s="20" t="s">
        <v>1</v>
      </c>
      <c r="N264" s="46" t="s">
        <v>82</v>
      </c>
      <c r="O264" s="25" t="str">
        <f t="shared" si="9"/>
        <v>"B.030 é bairro de Rio de Janeiro"</v>
      </c>
      <c r="P264" s="46" t="s">
        <v>1</v>
      </c>
      <c r="Q264" s="25" t="s">
        <v>1</v>
      </c>
      <c r="R264" s="46" t="s">
        <v>1</v>
      </c>
      <c r="S264" s="52" t="s">
        <v>1</v>
      </c>
      <c r="T264" s="46" t="s">
        <v>1</v>
      </c>
      <c r="U264" s="31" t="s">
        <v>1</v>
      </c>
      <c r="V264" s="46" t="s">
        <v>1</v>
      </c>
      <c r="W264" s="31" t="s">
        <v>1</v>
      </c>
      <c r="X264" s="46" t="s">
        <v>1</v>
      </c>
      <c r="Y264" s="31" t="s">
        <v>1</v>
      </c>
      <c r="Z264" s="46" t="s">
        <v>1</v>
      </c>
      <c r="AA264" s="31" t="s">
        <v>1</v>
      </c>
      <c r="AB264" s="46" t="s">
        <v>1</v>
      </c>
      <c r="AC264" s="47" t="s">
        <v>1</v>
      </c>
      <c r="AD264" s="36" t="s">
        <v>1</v>
      </c>
      <c r="AE264" s="51" t="s">
        <v>1</v>
      </c>
      <c r="AF264" s="36" t="s">
        <v>1</v>
      </c>
      <c r="AG264" s="51" t="s">
        <v>1</v>
      </c>
      <c r="AH264" s="36" t="s">
        <v>1</v>
      </c>
      <c r="AI264" s="51" t="s">
        <v>1</v>
      </c>
      <c r="AJ264" s="36" t="s">
        <v>1</v>
      </c>
      <c r="AK264" s="51" t="s">
        <v>1</v>
      </c>
      <c r="AL264" s="36" t="s">
        <v>1</v>
      </c>
      <c r="AM264" s="31" t="s">
        <v>1</v>
      </c>
      <c r="AN264" s="36" t="s">
        <v>1</v>
      </c>
      <c r="AO264" s="31" t="s">
        <v>1</v>
      </c>
      <c r="AP264" s="36" t="s">
        <v>1</v>
      </c>
      <c r="AQ264" s="51" t="s">
        <v>1</v>
      </c>
      <c r="AR264" s="36" t="s">
        <v>1</v>
      </c>
      <c r="AS264" s="47" t="s">
        <v>1</v>
      </c>
      <c r="AT264" s="36" t="s">
        <v>1</v>
      </c>
      <c r="AU264" s="47" t="s">
        <v>1</v>
      </c>
      <c r="AV264" s="36" t="s">
        <v>1</v>
      </c>
      <c r="AW264" s="47" t="s">
        <v>1</v>
      </c>
      <c r="AX264" s="36" t="s">
        <v>2065</v>
      </c>
      <c r="AY264" s="47" t="s">
        <v>2193</v>
      </c>
      <c r="AZ264" s="36" t="s">
        <v>1299</v>
      </c>
      <c r="BA264" s="47" t="s">
        <v>2193</v>
      </c>
      <c r="BB264" s="36" t="s">
        <v>2188</v>
      </c>
      <c r="BC264" s="47" t="s">
        <v>819</v>
      </c>
      <c r="BD264" s="36" t="s">
        <v>2189</v>
      </c>
      <c r="BE264" s="47" t="str">
        <f t="shared" si="8"/>
        <v>"Bairro"</v>
      </c>
    </row>
    <row r="265" spans="1:57" ht="6.65" customHeight="1" x14ac:dyDescent="0.4">
      <c r="A265" s="93">
        <v>232</v>
      </c>
      <c r="B265" s="74" t="s">
        <v>1052</v>
      </c>
      <c r="C265" s="44" t="s">
        <v>664</v>
      </c>
      <c r="D265" s="18" t="s">
        <v>744</v>
      </c>
      <c r="E265" s="48" t="s">
        <v>753</v>
      </c>
      <c r="F265" s="18" t="s">
        <v>1</v>
      </c>
      <c r="G265" s="20" t="s">
        <v>1</v>
      </c>
      <c r="H265" s="18" t="s">
        <v>1</v>
      </c>
      <c r="I265" s="20" t="s">
        <v>1</v>
      </c>
      <c r="J265" s="18" t="s">
        <v>1</v>
      </c>
      <c r="K265" s="20" t="s">
        <v>1</v>
      </c>
      <c r="L265" s="18" t="s">
        <v>1</v>
      </c>
      <c r="M265" s="20" t="s">
        <v>1</v>
      </c>
      <c r="N265" s="46" t="s">
        <v>82</v>
      </c>
      <c r="O265" s="25" t="str">
        <f t="shared" si="9"/>
        <v>"B.048 é bairro de Rio de Janeiro"</v>
      </c>
      <c r="P265" s="46" t="s">
        <v>1</v>
      </c>
      <c r="Q265" s="25" t="s">
        <v>1</v>
      </c>
      <c r="R265" s="46" t="s">
        <v>1</v>
      </c>
      <c r="S265" s="52" t="s">
        <v>1</v>
      </c>
      <c r="T265" s="46" t="s">
        <v>1</v>
      </c>
      <c r="U265" s="31" t="s">
        <v>1</v>
      </c>
      <c r="V265" s="46" t="s">
        <v>1</v>
      </c>
      <c r="W265" s="31" t="s">
        <v>1</v>
      </c>
      <c r="X265" s="46" t="s">
        <v>1</v>
      </c>
      <c r="Y265" s="31" t="s">
        <v>1</v>
      </c>
      <c r="Z265" s="46" t="s">
        <v>1</v>
      </c>
      <c r="AA265" s="31" t="s">
        <v>1</v>
      </c>
      <c r="AB265" s="46" t="s">
        <v>1</v>
      </c>
      <c r="AC265" s="47" t="s">
        <v>1</v>
      </c>
      <c r="AD265" s="36" t="s">
        <v>1</v>
      </c>
      <c r="AE265" s="51" t="s">
        <v>1</v>
      </c>
      <c r="AF265" s="36" t="s">
        <v>1</v>
      </c>
      <c r="AG265" s="51" t="s">
        <v>1</v>
      </c>
      <c r="AH265" s="36" t="s">
        <v>1</v>
      </c>
      <c r="AI265" s="51" t="s">
        <v>1</v>
      </c>
      <c r="AJ265" s="36" t="s">
        <v>1</v>
      </c>
      <c r="AK265" s="51" t="s">
        <v>1</v>
      </c>
      <c r="AL265" s="36" t="s">
        <v>1</v>
      </c>
      <c r="AM265" s="31" t="s">
        <v>1</v>
      </c>
      <c r="AN265" s="36" t="s">
        <v>1</v>
      </c>
      <c r="AO265" s="31" t="s">
        <v>1</v>
      </c>
      <c r="AP265" s="36" t="s">
        <v>1</v>
      </c>
      <c r="AQ265" s="51" t="s">
        <v>1</v>
      </c>
      <c r="AR265" s="36" t="s">
        <v>1</v>
      </c>
      <c r="AS265" s="47" t="s">
        <v>1</v>
      </c>
      <c r="AT265" s="36" t="s">
        <v>1</v>
      </c>
      <c r="AU265" s="47" t="s">
        <v>1</v>
      </c>
      <c r="AV265" s="36" t="s">
        <v>1</v>
      </c>
      <c r="AW265" s="47" t="s">
        <v>1</v>
      </c>
      <c r="AX265" s="36" t="s">
        <v>2065</v>
      </c>
      <c r="AY265" s="47" t="s">
        <v>2193</v>
      </c>
      <c r="AZ265" s="36" t="s">
        <v>1299</v>
      </c>
      <c r="BA265" s="47" t="s">
        <v>2193</v>
      </c>
      <c r="BB265" s="36" t="s">
        <v>2188</v>
      </c>
      <c r="BC265" s="47" t="s">
        <v>819</v>
      </c>
      <c r="BD265" s="36" t="s">
        <v>2189</v>
      </c>
      <c r="BE265" s="47" t="str">
        <f t="shared" si="8"/>
        <v>"Bairro"</v>
      </c>
    </row>
    <row r="266" spans="1:57" ht="6.65" customHeight="1" x14ac:dyDescent="0.4">
      <c r="A266" s="93">
        <v>233</v>
      </c>
      <c r="B266" s="74" t="s">
        <v>1053</v>
      </c>
      <c r="C266" s="44" t="s">
        <v>664</v>
      </c>
      <c r="D266" s="18" t="s">
        <v>744</v>
      </c>
      <c r="E266" s="48" t="s">
        <v>753</v>
      </c>
      <c r="F266" s="18" t="s">
        <v>1</v>
      </c>
      <c r="G266" s="20" t="s">
        <v>1</v>
      </c>
      <c r="H266" s="18" t="s">
        <v>1</v>
      </c>
      <c r="I266" s="20" t="s">
        <v>1</v>
      </c>
      <c r="J266" s="18" t="s">
        <v>1</v>
      </c>
      <c r="K266" s="20" t="s">
        <v>1</v>
      </c>
      <c r="L266" s="18" t="s">
        <v>1</v>
      </c>
      <c r="M266" s="20" t="s">
        <v>1</v>
      </c>
      <c r="N266" s="46" t="s">
        <v>82</v>
      </c>
      <c r="O266" s="25" t="str">
        <f t="shared" si="9"/>
        <v>"B.074 é bairro de Rio de Janeiro"</v>
      </c>
      <c r="P266" s="46" t="s">
        <v>1</v>
      </c>
      <c r="Q266" s="25" t="s">
        <v>1</v>
      </c>
      <c r="R266" s="46" t="s">
        <v>1</v>
      </c>
      <c r="S266" s="52" t="s">
        <v>1</v>
      </c>
      <c r="T266" s="46" t="s">
        <v>1</v>
      </c>
      <c r="U266" s="31" t="s">
        <v>1</v>
      </c>
      <c r="V266" s="46" t="s">
        <v>1</v>
      </c>
      <c r="W266" s="31" t="s">
        <v>1</v>
      </c>
      <c r="X266" s="46" t="s">
        <v>1</v>
      </c>
      <c r="Y266" s="31" t="s">
        <v>1</v>
      </c>
      <c r="Z266" s="46" t="s">
        <v>1</v>
      </c>
      <c r="AA266" s="31" t="s">
        <v>1</v>
      </c>
      <c r="AB266" s="46" t="s">
        <v>1</v>
      </c>
      <c r="AC266" s="47" t="s">
        <v>1</v>
      </c>
      <c r="AD266" s="36" t="s">
        <v>1</v>
      </c>
      <c r="AE266" s="51" t="s">
        <v>1</v>
      </c>
      <c r="AF266" s="36" t="s">
        <v>1</v>
      </c>
      <c r="AG266" s="51" t="s">
        <v>1</v>
      </c>
      <c r="AH266" s="36" t="s">
        <v>1</v>
      </c>
      <c r="AI266" s="51" t="s">
        <v>1</v>
      </c>
      <c r="AJ266" s="36" t="s">
        <v>1</v>
      </c>
      <c r="AK266" s="51" t="s">
        <v>1</v>
      </c>
      <c r="AL266" s="36" t="s">
        <v>1</v>
      </c>
      <c r="AM266" s="31" t="s">
        <v>1</v>
      </c>
      <c r="AN266" s="36" t="s">
        <v>1</v>
      </c>
      <c r="AO266" s="31" t="s">
        <v>1</v>
      </c>
      <c r="AP266" s="36" t="s">
        <v>1</v>
      </c>
      <c r="AQ266" s="51" t="s">
        <v>1</v>
      </c>
      <c r="AR266" s="36" t="s">
        <v>1</v>
      </c>
      <c r="AS266" s="47" t="s">
        <v>1</v>
      </c>
      <c r="AT266" s="36" t="s">
        <v>1</v>
      </c>
      <c r="AU266" s="47" t="s">
        <v>1</v>
      </c>
      <c r="AV266" s="36" t="s">
        <v>1</v>
      </c>
      <c r="AW266" s="47" t="s">
        <v>1</v>
      </c>
      <c r="AX266" s="36" t="s">
        <v>2065</v>
      </c>
      <c r="AY266" s="47" t="s">
        <v>2193</v>
      </c>
      <c r="AZ266" s="36" t="s">
        <v>1299</v>
      </c>
      <c r="BA266" s="47" t="s">
        <v>2193</v>
      </c>
      <c r="BB266" s="36" t="s">
        <v>2188</v>
      </c>
      <c r="BC266" s="47" t="s">
        <v>819</v>
      </c>
      <c r="BD266" s="36" t="s">
        <v>2189</v>
      </c>
      <c r="BE266" s="47" t="str">
        <f t="shared" si="8"/>
        <v>"Bairro"</v>
      </c>
    </row>
    <row r="267" spans="1:57" ht="6.65" customHeight="1" x14ac:dyDescent="0.4">
      <c r="A267" s="93">
        <v>234</v>
      </c>
      <c r="B267" s="74" t="s">
        <v>1054</v>
      </c>
      <c r="C267" s="44" t="s">
        <v>664</v>
      </c>
      <c r="D267" s="18" t="s">
        <v>744</v>
      </c>
      <c r="E267" s="48" t="s">
        <v>753</v>
      </c>
      <c r="F267" s="18" t="s">
        <v>1</v>
      </c>
      <c r="G267" s="20" t="s">
        <v>1</v>
      </c>
      <c r="H267" s="18" t="s">
        <v>1</v>
      </c>
      <c r="I267" s="20" t="s">
        <v>1</v>
      </c>
      <c r="J267" s="18" t="s">
        <v>1</v>
      </c>
      <c r="K267" s="20" t="s">
        <v>1</v>
      </c>
      <c r="L267" s="18" t="s">
        <v>1</v>
      </c>
      <c r="M267" s="20" t="s">
        <v>1</v>
      </c>
      <c r="N267" s="46" t="s">
        <v>82</v>
      </c>
      <c r="O267" s="25" t="str">
        <f t="shared" si="9"/>
        <v>"B.036 é bairro de Rio de Janeiro"</v>
      </c>
      <c r="P267" s="46" t="s">
        <v>1</v>
      </c>
      <c r="Q267" s="25" t="s">
        <v>1</v>
      </c>
      <c r="R267" s="46" t="s">
        <v>1</v>
      </c>
      <c r="S267" s="52" t="s">
        <v>1</v>
      </c>
      <c r="T267" s="46" t="s">
        <v>1</v>
      </c>
      <c r="U267" s="31" t="s">
        <v>1</v>
      </c>
      <c r="V267" s="46" t="s">
        <v>1</v>
      </c>
      <c r="W267" s="31" t="s">
        <v>1</v>
      </c>
      <c r="X267" s="46" t="s">
        <v>1</v>
      </c>
      <c r="Y267" s="31" t="s">
        <v>1</v>
      </c>
      <c r="Z267" s="46" t="s">
        <v>1</v>
      </c>
      <c r="AA267" s="31" t="s">
        <v>1</v>
      </c>
      <c r="AB267" s="46" t="s">
        <v>1</v>
      </c>
      <c r="AC267" s="47" t="s">
        <v>1</v>
      </c>
      <c r="AD267" s="36" t="s">
        <v>1</v>
      </c>
      <c r="AE267" s="51" t="s">
        <v>1</v>
      </c>
      <c r="AF267" s="36" t="s">
        <v>1</v>
      </c>
      <c r="AG267" s="51" t="s">
        <v>1</v>
      </c>
      <c r="AH267" s="36" t="s">
        <v>1</v>
      </c>
      <c r="AI267" s="51" t="s">
        <v>1</v>
      </c>
      <c r="AJ267" s="36" t="s">
        <v>1</v>
      </c>
      <c r="AK267" s="51" t="s">
        <v>1</v>
      </c>
      <c r="AL267" s="36" t="s">
        <v>1</v>
      </c>
      <c r="AM267" s="31" t="s">
        <v>1</v>
      </c>
      <c r="AN267" s="36" t="s">
        <v>1</v>
      </c>
      <c r="AO267" s="31" t="s">
        <v>1</v>
      </c>
      <c r="AP267" s="36" t="s">
        <v>1</v>
      </c>
      <c r="AQ267" s="51" t="s">
        <v>1</v>
      </c>
      <c r="AR267" s="36" t="s">
        <v>1</v>
      </c>
      <c r="AS267" s="47" t="s">
        <v>1</v>
      </c>
      <c r="AT267" s="36" t="s">
        <v>1</v>
      </c>
      <c r="AU267" s="47" t="s">
        <v>1</v>
      </c>
      <c r="AV267" s="36" t="s">
        <v>1</v>
      </c>
      <c r="AW267" s="47" t="s">
        <v>1</v>
      </c>
      <c r="AX267" s="36" t="s">
        <v>2065</v>
      </c>
      <c r="AY267" s="47" t="s">
        <v>2193</v>
      </c>
      <c r="AZ267" s="36" t="s">
        <v>1299</v>
      </c>
      <c r="BA267" s="47" t="s">
        <v>2193</v>
      </c>
      <c r="BB267" s="36" t="s">
        <v>2188</v>
      </c>
      <c r="BC267" s="47" t="s">
        <v>819</v>
      </c>
      <c r="BD267" s="36" t="s">
        <v>2189</v>
      </c>
      <c r="BE267" s="47" t="str">
        <f t="shared" si="8"/>
        <v>"Bairro"</v>
      </c>
    </row>
    <row r="268" spans="1:57" ht="6.65" customHeight="1" x14ac:dyDescent="0.4">
      <c r="A268" s="93">
        <v>235</v>
      </c>
      <c r="B268" s="74" t="s">
        <v>1055</v>
      </c>
      <c r="C268" s="44" t="s">
        <v>664</v>
      </c>
      <c r="D268" s="18" t="s">
        <v>744</v>
      </c>
      <c r="E268" s="48" t="s">
        <v>753</v>
      </c>
      <c r="F268" s="18" t="s">
        <v>1</v>
      </c>
      <c r="G268" s="20" t="s">
        <v>1</v>
      </c>
      <c r="H268" s="18" t="s">
        <v>1</v>
      </c>
      <c r="I268" s="20" t="s">
        <v>1</v>
      </c>
      <c r="J268" s="18" t="s">
        <v>1</v>
      </c>
      <c r="K268" s="20" t="s">
        <v>1</v>
      </c>
      <c r="L268" s="18" t="s">
        <v>1</v>
      </c>
      <c r="M268" s="20" t="s">
        <v>1</v>
      </c>
      <c r="N268" s="46" t="s">
        <v>82</v>
      </c>
      <c r="O268" s="25" t="str">
        <f t="shared" si="9"/>
        <v>"B.162 é bairro de Rio de Janeiro"</v>
      </c>
      <c r="P268" s="46" t="s">
        <v>1</v>
      </c>
      <c r="Q268" s="25" t="s">
        <v>1</v>
      </c>
      <c r="R268" s="46" t="s">
        <v>1</v>
      </c>
      <c r="S268" s="52" t="s">
        <v>1</v>
      </c>
      <c r="T268" s="46" t="s">
        <v>1</v>
      </c>
      <c r="U268" s="31" t="s">
        <v>1</v>
      </c>
      <c r="V268" s="46" t="s">
        <v>1</v>
      </c>
      <c r="W268" s="31" t="s">
        <v>1</v>
      </c>
      <c r="X268" s="46" t="s">
        <v>1</v>
      </c>
      <c r="Y268" s="31" t="s">
        <v>1</v>
      </c>
      <c r="Z268" s="46" t="s">
        <v>1</v>
      </c>
      <c r="AA268" s="31" t="s">
        <v>1</v>
      </c>
      <c r="AB268" s="46" t="s">
        <v>1</v>
      </c>
      <c r="AC268" s="47" t="s">
        <v>1</v>
      </c>
      <c r="AD268" s="36" t="s">
        <v>1</v>
      </c>
      <c r="AE268" s="51" t="s">
        <v>1</v>
      </c>
      <c r="AF268" s="36" t="s">
        <v>1</v>
      </c>
      <c r="AG268" s="51" t="s">
        <v>1</v>
      </c>
      <c r="AH268" s="36" t="s">
        <v>1</v>
      </c>
      <c r="AI268" s="51" t="s">
        <v>1</v>
      </c>
      <c r="AJ268" s="36" t="s">
        <v>1</v>
      </c>
      <c r="AK268" s="51" t="s">
        <v>1</v>
      </c>
      <c r="AL268" s="36" t="s">
        <v>1</v>
      </c>
      <c r="AM268" s="31" t="s">
        <v>1</v>
      </c>
      <c r="AN268" s="36" t="s">
        <v>1</v>
      </c>
      <c r="AO268" s="31" t="s">
        <v>1</v>
      </c>
      <c r="AP268" s="36" t="s">
        <v>1</v>
      </c>
      <c r="AQ268" s="51" t="s">
        <v>1</v>
      </c>
      <c r="AR268" s="36" t="s">
        <v>1</v>
      </c>
      <c r="AS268" s="47" t="s">
        <v>1</v>
      </c>
      <c r="AT268" s="36" t="s">
        <v>1</v>
      </c>
      <c r="AU268" s="47" t="s">
        <v>1</v>
      </c>
      <c r="AV268" s="36" t="s">
        <v>1</v>
      </c>
      <c r="AW268" s="47" t="s">
        <v>1</v>
      </c>
      <c r="AX268" s="36" t="s">
        <v>2065</v>
      </c>
      <c r="AY268" s="47" t="s">
        <v>2193</v>
      </c>
      <c r="AZ268" s="36" t="s">
        <v>1299</v>
      </c>
      <c r="BA268" s="47" t="s">
        <v>2193</v>
      </c>
      <c r="BB268" s="36" t="s">
        <v>2188</v>
      </c>
      <c r="BC268" s="47" t="s">
        <v>819</v>
      </c>
      <c r="BD268" s="36" t="s">
        <v>2189</v>
      </c>
      <c r="BE268" s="47" t="str">
        <f t="shared" si="8"/>
        <v>"Bairro"</v>
      </c>
    </row>
    <row r="269" spans="1:57" ht="6.65" customHeight="1" x14ac:dyDescent="0.4">
      <c r="A269" s="93">
        <v>236</v>
      </c>
      <c r="B269" s="74" t="s">
        <v>1056</v>
      </c>
      <c r="C269" s="44" t="s">
        <v>664</v>
      </c>
      <c r="D269" s="18" t="s">
        <v>744</v>
      </c>
      <c r="E269" s="48" t="s">
        <v>753</v>
      </c>
      <c r="F269" s="18" t="s">
        <v>1</v>
      </c>
      <c r="G269" s="20" t="s">
        <v>1</v>
      </c>
      <c r="H269" s="18" t="s">
        <v>1</v>
      </c>
      <c r="I269" s="20" t="s">
        <v>1</v>
      </c>
      <c r="J269" s="18" t="s">
        <v>1</v>
      </c>
      <c r="K269" s="20" t="s">
        <v>1</v>
      </c>
      <c r="L269" s="18" t="s">
        <v>1</v>
      </c>
      <c r="M269" s="20" t="s">
        <v>1</v>
      </c>
      <c r="N269" s="46" t="s">
        <v>82</v>
      </c>
      <c r="O269" s="25" t="str">
        <f t="shared" si="9"/>
        <v>"B.072 é bairro de Rio de Janeiro"</v>
      </c>
      <c r="P269" s="46" t="s">
        <v>1</v>
      </c>
      <c r="Q269" s="25" t="s">
        <v>1</v>
      </c>
      <c r="R269" s="46" t="s">
        <v>1</v>
      </c>
      <c r="S269" s="52" t="s">
        <v>1</v>
      </c>
      <c r="T269" s="46" t="s">
        <v>1</v>
      </c>
      <c r="U269" s="31" t="s">
        <v>1</v>
      </c>
      <c r="V269" s="46" t="s">
        <v>1</v>
      </c>
      <c r="W269" s="31" t="s">
        <v>1</v>
      </c>
      <c r="X269" s="46" t="s">
        <v>1</v>
      </c>
      <c r="Y269" s="31" t="s">
        <v>1</v>
      </c>
      <c r="Z269" s="46" t="s">
        <v>1</v>
      </c>
      <c r="AA269" s="31" t="s">
        <v>1</v>
      </c>
      <c r="AB269" s="46" t="s">
        <v>1</v>
      </c>
      <c r="AC269" s="47" t="s">
        <v>1</v>
      </c>
      <c r="AD269" s="36" t="s">
        <v>1</v>
      </c>
      <c r="AE269" s="51" t="s">
        <v>1</v>
      </c>
      <c r="AF269" s="36" t="s">
        <v>1</v>
      </c>
      <c r="AG269" s="51" t="s">
        <v>1</v>
      </c>
      <c r="AH269" s="36" t="s">
        <v>1</v>
      </c>
      <c r="AI269" s="51" t="s">
        <v>1</v>
      </c>
      <c r="AJ269" s="36" t="s">
        <v>1</v>
      </c>
      <c r="AK269" s="51" t="s">
        <v>1</v>
      </c>
      <c r="AL269" s="36" t="s">
        <v>1</v>
      </c>
      <c r="AM269" s="31" t="s">
        <v>1</v>
      </c>
      <c r="AN269" s="36" t="s">
        <v>1</v>
      </c>
      <c r="AO269" s="31" t="s">
        <v>1</v>
      </c>
      <c r="AP269" s="36" t="s">
        <v>1</v>
      </c>
      <c r="AQ269" s="51" t="s">
        <v>1</v>
      </c>
      <c r="AR269" s="36" t="s">
        <v>1</v>
      </c>
      <c r="AS269" s="47" t="s">
        <v>1</v>
      </c>
      <c r="AT269" s="36" t="s">
        <v>1</v>
      </c>
      <c r="AU269" s="47" t="s">
        <v>1</v>
      </c>
      <c r="AV269" s="36" t="s">
        <v>1</v>
      </c>
      <c r="AW269" s="47" t="s">
        <v>1</v>
      </c>
      <c r="AX269" s="36" t="s">
        <v>2065</v>
      </c>
      <c r="AY269" s="47" t="s">
        <v>2193</v>
      </c>
      <c r="AZ269" s="36" t="s">
        <v>1299</v>
      </c>
      <c r="BA269" s="47" t="s">
        <v>2193</v>
      </c>
      <c r="BB269" s="36" t="s">
        <v>2188</v>
      </c>
      <c r="BC269" s="47" t="s">
        <v>819</v>
      </c>
      <c r="BD269" s="36" t="s">
        <v>2189</v>
      </c>
      <c r="BE269" s="47" t="str">
        <f t="shared" si="8"/>
        <v>"Bairro"</v>
      </c>
    </row>
    <row r="270" spans="1:57" ht="6.65" customHeight="1" x14ac:dyDescent="0.4">
      <c r="A270" s="93">
        <v>237</v>
      </c>
      <c r="B270" s="74" t="s">
        <v>1057</v>
      </c>
      <c r="C270" s="44" t="s">
        <v>664</v>
      </c>
      <c r="D270" s="18" t="s">
        <v>744</v>
      </c>
      <c r="E270" s="48" t="s">
        <v>753</v>
      </c>
      <c r="F270" s="18" t="s">
        <v>1</v>
      </c>
      <c r="G270" s="20" t="s">
        <v>1</v>
      </c>
      <c r="H270" s="18" t="s">
        <v>1</v>
      </c>
      <c r="I270" s="20" t="s">
        <v>1</v>
      </c>
      <c r="J270" s="18" t="s">
        <v>1</v>
      </c>
      <c r="K270" s="20" t="s">
        <v>1</v>
      </c>
      <c r="L270" s="18" t="s">
        <v>1</v>
      </c>
      <c r="M270" s="20" t="s">
        <v>1</v>
      </c>
      <c r="N270" s="46" t="s">
        <v>82</v>
      </c>
      <c r="O270" s="25" t="str">
        <f t="shared" si="9"/>
        <v>"B.135 é bairro de Rio de Janeiro"</v>
      </c>
      <c r="P270" s="46" t="s">
        <v>1</v>
      </c>
      <c r="Q270" s="25" t="s">
        <v>1</v>
      </c>
      <c r="R270" s="46" t="s">
        <v>1</v>
      </c>
      <c r="S270" s="52" t="s">
        <v>1</v>
      </c>
      <c r="T270" s="46" t="s">
        <v>1</v>
      </c>
      <c r="U270" s="31" t="s">
        <v>1</v>
      </c>
      <c r="V270" s="46" t="s">
        <v>1</v>
      </c>
      <c r="W270" s="31" t="s">
        <v>1</v>
      </c>
      <c r="X270" s="46" t="s">
        <v>1</v>
      </c>
      <c r="Y270" s="31" t="s">
        <v>1</v>
      </c>
      <c r="Z270" s="46" t="s">
        <v>1</v>
      </c>
      <c r="AA270" s="31" t="s">
        <v>1</v>
      </c>
      <c r="AB270" s="46" t="s">
        <v>1</v>
      </c>
      <c r="AC270" s="47" t="s">
        <v>1</v>
      </c>
      <c r="AD270" s="36" t="s">
        <v>1</v>
      </c>
      <c r="AE270" s="51" t="s">
        <v>1</v>
      </c>
      <c r="AF270" s="36" t="s">
        <v>1</v>
      </c>
      <c r="AG270" s="51" t="s">
        <v>1</v>
      </c>
      <c r="AH270" s="36" t="s">
        <v>1</v>
      </c>
      <c r="AI270" s="51" t="s">
        <v>1</v>
      </c>
      <c r="AJ270" s="36" t="s">
        <v>1</v>
      </c>
      <c r="AK270" s="51" t="s">
        <v>1</v>
      </c>
      <c r="AL270" s="36" t="s">
        <v>1</v>
      </c>
      <c r="AM270" s="31" t="s">
        <v>1</v>
      </c>
      <c r="AN270" s="36" t="s">
        <v>1</v>
      </c>
      <c r="AO270" s="31" t="s">
        <v>1</v>
      </c>
      <c r="AP270" s="36" t="s">
        <v>1</v>
      </c>
      <c r="AQ270" s="51" t="s">
        <v>1</v>
      </c>
      <c r="AR270" s="36" t="s">
        <v>1</v>
      </c>
      <c r="AS270" s="47" t="s">
        <v>1</v>
      </c>
      <c r="AT270" s="36" t="s">
        <v>1</v>
      </c>
      <c r="AU270" s="47" t="s">
        <v>1</v>
      </c>
      <c r="AV270" s="36" t="s">
        <v>1</v>
      </c>
      <c r="AW270" s="47" t="s">
        <v>1</v>
      </c>
      <c r="AX270" s="36" t="s">
        <v>2065</v>
      </c>
      <c r="AY270" s="47" t="s">
        <v>2193</v>
      </c>
      <c r="AZ270" s="36" t="s">
        <v>1299</v>
      </c>
      <c r="BA270" s="47" t="s">
        <v>2193</v>
      </c>
      <c r="BB270" s="36" t="s">
        <v>2188</v>
      </c>
      <c r="BC270" s="47" t="s">
        <v>819</v>
      </c>
      <c r="BD270" s="36" t="s">
        <v>2189</v>
      </c>
      <c r="BE270" s="47" t="str">
        <f t="shared" si="8"/>
        <v>"Bairro"</v>
      </c>
    </row>
    <row r="271" spans="1:57" ht="6.65" customHeight="1" x14ac:dyDescent="0.4">
      <c r="A271" s="93">
        <v>238</v>
      </c>
      <c r="B271" s="74" t="s">
        <v>1058</v>
      </c>
      <c r="C271" s="44" t="s">
        <v>664</v>
      </c>
      <c r="D271" s="18" t="s">
        <v>744</v>
      </c>
      <c r="E271" s="48" t="s">
        <v>753</v>
      </c>
      <c r="F271" s="18" t="s">
        <v>1</v>
      </c>
      <c r="G271" s="20" t="s">
        <v>1</v>
      </c>
      <c r="H271" s="18" t="s">
        <v>1</v>
      </c>
      <c r="I271" s="20" t="s">
        <v>1</v>
      </c>
      <c r="J271" s="18" t="s">
        <v>1</v>
      </c>
      <c r="K271" s="20" t="s">
        <v>1</v>
      </c>
      <c r="L271" s="18" t="s">
        <v>1</v>
      </c>
      <c r="M271" s="20" t="s">
        <v>1</v>
      </c>
      <c r="N271" s="46" t="s">
        <v>82</v>
      </c>
      <c r="O271" s="25" t="str">
        <f t="shared" si="9"/>
        <v>"B.125 é bairro de Rio de Janeiro"</v>
      </c>
      <c r="P271" s="46" t="s">
        <v>1</v>
      </c>
      <c r="Q271" s="25" t="s">
        <v>1</v>
      </c>
      <c r="R271" s="46" t="s">
        <v>1</v>
      </c>
      <c r="S271" s="52" t="s">
        <v>1</v>
      </c>
      <c r="T271" s="46" t="s">
        <v>1</v>
      </c>
      <c r="U271" s="31" t="s">
        <v>1</v>
      </c>
      <c r="V271" s="46" t="s">
        <v>1</v>
      </c>
      <c r="W271" s="31" t="s">
        <v>1</v>
      </c>
      <c r="X271" s="46" t="s">
        <v>1</v>
      </c>
      <c r="Y271" s="31" t="s">
        <v>1</v>
      </c>
      <c r="Z271" s="46" t="s">
        <v>1</v>
      </c>
      <c r="AA271" s="31" t="s">
        <v>1</v>
      </c>
      <c r="AB271" s="46" t="s">
        <v>1</v>
      </c>
      <c r="AC271" s="47" t="s">
        <v>1</v>
      </c>
      <c r="AD271" s="36" t="s">
        <v>1</v>
      </c>
      <c r="AE271" s="51" t="s">
        <v>1</v>
      </c>
      <c r="AF271" s="36" t="s">
        <v>1</v>
      </c>
      <c r="AG271" s="51" t="s">
        <v>1</v>
      </c>
      <c r="AH271" s="36" t="s">
        <v>1</v>
      </c>
      <c r="AI271" s="51" t="s">
        <v>1</v>
      </c>
      <c r="AJ271" s="36" t="s">
        <v>1</v>
      </c>
      <c r="AK271" s="51" t="s">
        <v>1</v>
      </c>
      <c r="AL271" s="36" t="s">
        <v>1</v>
      </c>
      <c r="AM271" s="31" t="s">
        <v>1</v>
      </c>
      <c r="AN271" s="36" t="s">
        <v>1</v>
      </c>
      <c r="AO271" s="31" t="s">
        <v>1</v>
      </c>
      <c r="AP271" s="36" t="s">
        <v>1</v>
      </c>
      <c r="AQ271" s="51" t="s">
        <v>1</v>
      </c>
      <c r="AR271" s="36" t="s">
        <v>1</v>
      </c>
      <c r="AS271" s="47" t="s">
        <v>1</v>
      </c>
      <c r="AT271" s="36" t="s">
        <v>1</v>
      </c>
      <c r="AU271" s="47" t="s">
        <v>1</v>
      </c>
      <c r="AV271" s="36" t="s">
        <v>1</v>
      </c>
      <c r="AW271" s="47" t="s">
        <v>1</v>
      </c>
      <c r="AX271" s="36" t="s">
        <v>2065</v>
      </c>
      <c r="AY271" s="47" t="s">
        <v>2193</v>
      </c>
      <c r="AZ271" s="36" t="s">
        <v>1299</v>
      </c>
      <c r="BA271" s="47" t="s">
        <v>2193</v>
      </c>
      <c r="BB271" s="36" t="s">
        <v>2188</v>
      </c>
      <c r="BC271" s="47" t="s">
        <v>819</v>
      </c>
      <c r="BD271" s="36" t="s">
        <v>2189</v>
      </c>
      <c r="BE271" s="47" t="str">
        <f t="shared" si="8"/>
        <v>"Bairro"</v>
      </c>
    </row>
    <row r="272" spans="1:57" ht="6.65" customHeight="1" x14ac:dyDescent="0.4">
      <c r="A272" s="93">
        <v>239</v>
      </c>
      <c r="B272" s="74" t="s">
        <v>1059</v>
      </c>
      <c r="C272" s="44" t="s">
        <v>664</v>
      </c>
      <c r="D272" s="18" t="s">
        <v>744</v>
      </c>
      <c r="E272" s="48" t="s">
        <v>753</v>
      </c>
      <c r="F272" s="18" t="s">
        <v>1</v>
      </c>
      <c r="G272" s="20" t="s">
        <v>1</v>
      </c>
      <c r="H272" s="18" t="s">
        <v>1</v>
      </c>
      <c r="I272" s="20" t="s">
        <v>1</v>
      </c>
      <c r="J272" s="18" t="s">
        <v>1</v>
      </c>
      <c r="K272" s="20" t="s">
        <v>1</v>
      </c>
      <c r="L272" s="18" t="s">
        <v>1</v>
      </c>
      <c r="M272" s="20" t="s">
        <v>1</v>
      </c>
      <c r="N272" s="46" t="s">
        <v>82</v>
      </c>
      <c r="O272" s="25" t="str">
        <f t="shared" si="9"/>
        <v>"B.075 é bairro de Rio de Janeiro"</v>
      </c>
      <c r="P272" s="46" t="s">
        <v>1</v>
      </c>
      <c r="Q272" s="25" t="s">
        <v>1</v>
      </c>
      <c r="R272" s="46" t="s">
        <v>1</v>
      </c>
      <c r="S272" s="52" t="s">
        <v>1</v>
      </c>
      <c r="T272" s="46" t="s">
        <v>1</v>
      </c>
      <c r="U272" s="31" t="s">
        <v>1</v>
      </c>
      <c r="V272" s="46" t="s">
        <v>1</v>
      </c>
      <c r="W272" s="31" t="s">
        <v>1</v>
      </c>
      <c r="X272" s="46" t="s">
        <v>1</v>
      </c>
      <c r="Y272" s="31" t="s">
        <v>1</v>
      </c>
      <c r="Z272" s="46" t="s">
        <v>1</v>
      </c>
      <c r="AA272" s="31" t="s">
        <v>1</v>
      </c>
      <c r="AB272" s="46" t="s">
        <v>1</v>
      </c>
      <c r="AC272" s="47" t="s">
        <v>1</v>
      </c>
      <c r="AD272" s="36" t="s">
        <v>1</v>
      </c>
      <c r="AE272" s="51" t="s">
        <v>1</v>
      </c>
      <c r="AF272" s="36" t="s">
        <v>1</v>
      </c>
      <c r="AG272" s="51" t="s">
        <v>1</v>
      </c>
      <c r="AH272" s="36" t="s">
        <v>1</v>
      </c>
      <c r="AI272" s="51" t="s">
        <v>1</v>
      </c>
      <c r="AJ272" s="36" t="s">
        <v>1</v>
      </c>
      <c r="AK272" s="51" t="s">
        <v>1</v>
      </c>
      <c r="AL272" s="36" t="s">
        <v>1</v>
      </c>
      <c r="AM272" s="31" t="s">
        <v>1</v>
      </c>
      <c r="AN272" s="36" t="s">
        <v>1</v>
      </c>
      <c r="AO272" s="31" t="s">
        <v>1</v>
      </c>
      <c r="AP272" s="36" t="s">
        <v>1</v>
      </c>
      <c r="AQ272" s="51" t="s">
        <v>1</v>
      </c>
      <c r="AR272" s="36" t="s">
        <v>1</v>
      </c>
      <c r="AS272" s="47" t="s">
        <v>1</v>
      </c>
      <c r="AT272" s="36" t="s">
        <v>1</v>
      </c>
      <c r="AU272" s="47" t="s">
        <v>1</v>
      </c>
      <c r="AV272" s="36" t="s">
        <v>1</v>
      </c>
      <c r="AW272" s="47" t="s">
        <v>1</v>
      </c>
      <c r="AX272" s="36" t="s">
        <v>2065</v>
      </c>
      <c r="AY272" s="47" t="s">
        <v>2193</v>
      </c>
      <c r="AZ272" s="36" t="s">
        <v>1299</v>
      </c>
      <c r="BA272" s="47" t="s">
        <v>2193</v>
      </c>
      <c r="BB272" s="36" t="s">
        <v>2188</v>
      </c>
      <c r="BC272" s="47" t="s">
        <v>819</v>
      </c>
      <c r="BD272" s="36" t="s">
        <v>2189</v>
      </c>
      <c r="BE272" s="47" t="str">
        <f t="shared" si="8"/>
        <v>"Bairro"</v>
      </c>
    </row>
    <row r="273" spans="1:57" ht="6.65" customHeight="1" x14ac:dyDescent="0.4">
      <c r="A273" s="93">
        <v>240</v>
      </c>
      <c r="B273" s="74" t="s">
        <v>1060</v>
      </c>
      <c r="C273" s="44" t="s">
        <v>664</v>
      </c>
      <c r="D273" s="18" t="s">
        <v>744</v>
      </c>
      <c r="E273" s="48" t="s">
        <v>753</v>
      </c>
      <c r="F273" s="18" t="s">
        <v>1</v>
      </c>
      <c r="G273" s="20" t="s">
        <v>1</v>
      </c>
      <c r="H273" s="18" t="s">
        <v>1</v>
      </c>
      <c r="I273" s="20" t="s">
        <v>1</v>
      </c>
      <c r="J273" s="18" t="s">
        <v>1</v>
      </c>
      <c r="K273" s="20" t="s">
        <v>1</v>
      </c>
      <c r="L273" s="18" t="s">
        <v>1</v>
      </c>
      <c r="M273" s="20" t="s">
        <v>1</v>
      </c>
      <c r="N273" s="46" t="s">
        <v>82</v>
      </c>
      <c r="O273" s="25" t="str">
        <f t="shared" si="9"/>
        <v>"B.092 é bairro de Rio de Janeiro"</v>
      </c>
      <c r="P273" s="46" t="s">
        <v>1</v>
      </c>
      <c r="Q273" s="25" t="s">
        <v>1</v>
      </c>
      <c r="R273" s="46" t="s">
        <v>1</v>
      </c>
      <c r="S273" s="52" t="s">
        <v>1</v>
      </c>
      <c r="T273" s="46" t="s">
        <v>1</v>
      </c>
      <c r="U273" s="31" t="s">
        <v>1</v>
      </c>
      <c r="V273" s="46" t="s">
        <v>1</v>
      </c>
      <c r="W273" s="31" t="s">
        <v>1</v>
      </c>
      <c r="X273" s="46" t="s">
        <v>1</v>
      </c>
      <c r="Y273" s="31" t="s">
        <v>1</v>
      </c>
      <c r="Z273" s="46" t="s">
        <v>1</v>
      </c>
      <c r="AA273" s="31" t="s">
        <v>1</v>
      </c>
      <c r="AB273" s="46" t="s">
        <v>1</v>
      </c>
      <c r="AC273" s="47" t="s">
        <v>1</v>
      </c>
      <c r="AD273" s="36" t="s">
        <v>1</v>
      </c>
      <c r="AE273" s="51" t="s">
        <v>1</v>
      </c>
      <c r="AF273" s="36" t="s">
        <v>1</v>
      </c>
      <c r="AG273" s="51" t="s">
        <v>1</v>
      </c>
      <c r="AH273" s="36" t="s">
        <v>1</v>
      </c>
      <c r="AI273" s="51" t="s">
        <v>1</v>
      </c>
      <c r="AJ273" s="36" t="s">
        <v>1</v>
      </c>
      <c r="AK273" s="51" t="s">
        <v>1</v>
      </c>
      <c r="AL273" s="36" t="s">
        <v>1</v>
      </c>
      <c r="AM273" s="31" t="s">
        <v>1</v>
      </c>
      <c r="AN273" s="36" t="s">
        <v>1</v>
      </c>
      <c r="AO273" s="31" t="s">
        <v>1</v>
      </c>
      <c r="AP273" s="36" t="s">
        <v>1</v>
      </c>
      <c r="AQ273" s="51" t="s">
        <v>1</v>
      </c>
      <c r="AR273" s="36" t="s">
        <v>1</v>
      </c>
      <c r="AS273" s="47" t="s">
        <v>1</v>
      </c>
      <c r="AT273" s="36" t="s">
        <v>1</v>
      </c>
      <c r="AU273" s="47" t="s">
        <v>1</v>
      </c>
      <c r="AV273" s="36" t="s">
        <v>1</v>
      </c>
      <c r="AW273" s="47" t="s">
        <v>1</v>
      </c>
      <c r="AX273" s="36" t="s">
        <v>2065</v>
      </c>
      <c r="AY273" s="47" t="s">
        <v>2193</v>
      </c>
      <c r="AZ273" s="36" t="s">
        <v>1299</v>
      </c>
      <c r="BA273" s="47" t="s">
        <v>2193</v>
      </c>
      <c r="BB273" s="36" t="s">
        <v>2188</v>
      </c>
      <c r="BC273" s="47" t="s">
        <v>819</v>
      </c>
      <c r="BD273" s="36" t="s">
        <v>2189</v>
      </c>
      <c r="BE273" s="47" t="str">
        <f t="shared" si="8"/>
        <v>"Bairro"</v>
      </c>
    </row>
    <row r="274" spans="1:57" ht="6.65" customHeight="1" x14ac:dyDescent="0.4">
      <c r="A274" s="93">
        <v>274</v>
      </c>
      <c r="B274" s="74" t="s">
        <v>1061</v>
      </c>
      <c r="C274" s="44" t="s">
        <v>664</v>
      </c>
      <c r="D274" s="18" t="s">
        <v>744</v>
      </c>
      <c r="E274" s="48" t="s">
        <v>855</v>
      </c>
      <c r="F274" s="18" t="s">
        <v>820</v>
      </c>
      <c r="G274" s="48" t="s">
        <v>897</v>
      </c>
      <c r="H274" s="18" t="s">
        <v>1062</v>
      </c>
      <c r="I274" s="48" t="s">
        <v>855</v>
      </c>
      <c r="J274" s="18" t="s">
        <v>744</v>
      </c>
      <c r="K274" s="48" t="s">
        <v>1063</v>
      </c>
      <c r="L274" s="18" t="s">
        <v>1</v>
      </c>
      <c r="M274" s="20" t="s">
        <v>1</v>
      </c>
      <c r="N274" s="46" t="s">
        <v>82</v>
      </c>
      <c r="O274" s="25" t="str">
        <f>_xlfn.CONCAT("""","Bairro N° ",G274, " ",E274," ", B274,"""")</f>
        <v>"Bairro N° B.070 RA.13 Abolição"</v>
      </c>
      <c r="P274" s="46" t="s">
        <v>1</v>
      </c>
      <c r="Q274" s="25" t="s">
        <v>1</v>
      </c>
      <c r="R274" s="46" t="s">
        <v>1</v>
      </c>
      <c r="S274" s="52" t="s">
        <v>1</v>
      </c>
      <c r="T274" s="46" t="s">
        <v>1</v>
      </c>
      <c r="U274" s="31" t="s">
        <v>1</v>
      </c>
      <c r="V274" s="46" t="s">
        <v>1</v>
      </c>
      <c r="W274" s="31" t="s">
        <v>1</v>
      </c>
      <c r="X274" s="46" t="s">
        <v>1</v>
      </c>
      <c r="Y274" s="31" t="s">
        <v>1</v>
      </c>
      <c r="Z274" s="46" t="s">
        <v>1</v>
      </c>
      <c r="AA274" s="31" t="s">
        <v>1</v>
      </c>
      <c r="AB274" s="46" t="s">
        <v>1</v>
      </c>
      <c r="AC274" s="47" t="s">
        <v>1</v>
      </c>
      <c r="AD274" s="36" t="s">
        <v>1</v>
      </c>
      <c r="AE274" s="51" t="s">
        <v>1</v>
      </c>
      <c r="AF274" s="36" t="s">
        <v>1</v>
      </c>
      <c r="AG274" s="51" t="s">
        <v>1</v>
      </c>
      <c r="AH274" s="36" t="s">
        <v>1</v>
      </c>
      <c r="AI274" s="51" t="s">
        <v>1</v>
      </c>
      <c r="AJ274" s="36" t="s">
        <v>1</v>
      </c>
      <c r="AK274" s="51" t="s">
        <v>1</v>
      </c>
      <c r="AL274" s="36" t="s">
        <v>1</v>
      </c>
      <c r="AM274" s="31" t="s">
        <v>1</v>
      </c>
      <c r="AN274" s="36" t="s">
        <v>1</v>
      </c>
      <c r="AO274" s="31" t="s">
        <v>1</v>
      </c>
      <c r="AP274" s="36" t="s">
        <v>1</v>
      </c>
      <c r="AQ274" s="51" t="s">
        <v>1</v>
      </c>
      <c r="AR274" s="36" t="s">
        <v>1</v>
      </c>
      <c r="AS274" s="47" t="s">
        <v>1</v>
      </c>
      <c r="AT274" s="36" t="s">
        <v>1</v>
      </c>
      <c r="AU274" s="47" t="s">
        <v>1</v>
      </c>
      <c r="AV274" s="36" t="s">
        <v>1</v>
      </c>
      <c r="AW274" s="47" t="s">
        <v>1</v>
      </c>
      <c r="AX274" s="36" t="s">
        <v>2065</v>
      </c>
      <c r="AY274" s="47" t="s">
        <v>2193</v>
      </c>
      <c r="AZ274" s="36" t="s">
        <v>1299</v>
      </c>
      <c r="BA274" s="47" t="s">
        <v>2193</v>
      </c>
      <c r="BB274" s="36" t="s">
        <v>2188</v>
      </c>
      <c r="BC274" s="47" t="s">
        <v>819</v>
      </c>
      <c r="BD274" s="36" t="s">
        <v>2189</v>
      </c>
      <c r="BE274" s="47" t="str">
        <f t="shared" ref="BE274:BE324" si="10">_xlfn.CONCAT("""",C274,"""")</f>
        <v>"Bairro"</v>
      </c>
    </row>
    <row r="275" spans="1:57" ht="6.65" customHeight="1" x14ac:dyDescent="0.4">
      <c r="A275" s="93">
        <v>275</v>
      </c>
      <c r="B275" s="74" t="s">
        <v>1064</v>
      </c>
      <c r="C275" s="44" t="s">
        <v>664</v>
      </c>
      <c r="D275" s="18" t="s">
        <v>744</v>
      </c>
      <c r="E275" s="48" t="s">
        <v>879</v>
      </c>
      <c r="F275" s="18" t="s">
        <v>820</v>
      </c>
      <c r="G275" s="48" t="s">
        <v>898</v>
      </c>
      <c r="H275" s="18" t="s">
        <v>1062</v>
      </c>
      <c r="I275" s="48" t="s">
        <v>879</v>
      </c>
      <c r="J275" s="18" t="s">
        <v>744</v>
      </c>
      <c r="K275" s="48" t="s">
        <v>1063</v>
      </c>
      <c r="L275" s="18" t="s">
        <v>1</v>
      </c>
      <c r="M275" s="20" t="s">
        <v>1</v>
      </c>
      <c r="N275" s="46" t="s">
        <v>82</v>
      </c>
      <c r="O275" s="25" t="str">
        <f t="shared" ref="O275:O338" si="11">_xlfn.CONCAT("""","Bairro N° ",G275, " ",E275," ", B275,"""")</f>
        <v>"Bairro N° B.111 RA.25 Acari"</v>
      </c>
      <c r="P275" s="46" t="s">
        <v>1</v>
      </c>
      <c r="Q275" s="25" t="s">
        <v>1</v>
      </c>
      <c r="R275" s="46" t="s">
        <v>1</v>
      </c>
      <c r="S275" s="52" t="s">
        <v>1</v>
      </c>
      <c r="T275" s="46" t="s">
        <v>1</v>
      </c>
      <c r="U275" s="31" t="s">
        <v>1</v>
      </c>
      <c r="V275" s="46" t="s">
        <v>1</v>
      </c>
      <c r="W275" s="31" t="s">
        <v>1</v>
      </c>
      <c r="X275" s="46" t="s">
        <v>1</v>
      </c>
      <c r="Y275" s="31" t="s">
        <v>1</v>
      </c>
      <c r="Z275" s="46" t="s">
        <v>1</v>
      </c>
      <c r="AA275" s="31" t="s">
        <v>1</v>
      </c>
      <c r="AB275" s="46" t="s">
        <v>1</v>
      </c>
      <c r="AC275" s="47" t="s">
        <v>1</v>
      </c>
      <c r="AD275" s="36" t="s">
        <v>1</v>
      </c>
      <c r="AE275" s="51" t="s">
        <v>1</v>
      </c>
      <c r="AF275" s="36" t="s">
        <v>1</v>
      </c>
      <c r="AG275" s="51" t="s">
        <v>1</v>
      </c>
      <c r="AH275" s="36" t="s">
        <v>1</v>
      </c>
      <c r="AI275" s="51" t="s">
        <v>1</v>
      </c>
      <c r="AJ275" s="36" t="s">
        <v>1</v>
      </c>
      <c r="AK275" s="51" t="s">
        <v>1</v>
      </c>
      <c r="AL275" s="36" t="s">
        <v>1</v>
      </c>
      <c r="AM275" s="31" t="s">
        <v>1</v>
      </c>
      <c r="AN275" s="36" t="s">
        <v>1</v>
      </c>
      <c r="AO275" s="31" t="s">
        <v>1</v>
      </c>
      <c r="AP275" s="36" t="s">
        <v>1</v>
      </c>
      <c r="AQ275" s="51" t="s">
        <v>1</v>
      </c>
      <c r="AR275" s="36" t="s">
        <v>1</v>
      </c>
      <c r="AS275" s="47" t="s">
        <v>1</v>
      </c>
      <c r="AT275" s="36" t="s">
        <v>1</v>
      </c>
      <c r="AU275" s="47" t="s">
        <v>1</v>
      </c>
      <c r="AV275" s="36" t="s">
        <v>1</v>
      </c>
      <c r="AW275" s="47" t="s">
        <v>1</v>
      </c>
      <c r="AX275" s="36" t="s">
        <v>2065</v>
      </c>
      <c r="AY275" s="47" t="s">
        <v>2193</v>
      </c>
      <c r="AZ275" s="36" t="s">
        <v>1299</v>
      </c>
      <c r="BA275" s="47" t="s">
        <v>2193</v>
      </c>
      <c r="BB275" s="36" t="s">
        <v>2188</v>
      </c>
      <c r="BC275" s="47" t="s">
        <v>819</v>
      </c>
      <c r="BD275" s="36" t="s">
        <v>2189</v>
      </c>
      <c r="BE275" s="47" t="str">
        <f t="shared" si="10"/>
        <v>"Bairro"</v>
      </c>
    </row>
    <row r="276" spans="1:57" ht="6.65" customHeight="1" x14ac:dyDescent="0.4">
      <c r="A276" s="93">
        <v>276</v>
      </c>
      <c r="B276" s="74" t="s">
        <v>1065</v>
      </c>
      <c r="C276" s="44" t="s">
        <v>664</v>
      </c>
      <c r="D276" s="18" t="s">
        <v>744</v>
      </c>
      <c r="E276" s="48" t="s">
        <v>855</v>
      </c>
      <c r="F276" s="18" t="s">
        <v>820</v>
      </c>
      <c r="G276" s="48" t="s">
        <v>899</v>
      </c>
      <c r="H276" s="18" t="s">
        <v>1062</v>
      </c>
      <c r="I276" s="48" t="s">
        <v>855</v>
      </c>
      <c r="J276" s="18" t="s">
        <v>744</v>
      </c>
      <c r="K276" s="48" t="s">
        <v>1063</v>
      </c>
      <c r="L276" s="18" t="s">
        <v>1</v>
      </c>
      <c r="M276" s="20" t="s">
        <v>1</v>
      </c>
      <c r="N276" s="46" t="s">
        <v>82</v>
      </c>
      <c r="O276" s="25" t="str">
        <f t="shared" si="11"/>
        <v>"Bairro N° B.067 RA.13 Água.Santa"</v>
      </c>
      <c r="P276" s="46" t="s">
        <v>1</v>
      </c>
      <c r="Q276" s="25" t="s">
        <v>1</v>
      </c>
      <c r="R276" s="46" t="s">
        <v>1</v>
      </c>
      <c r="S276" s="52" t="s">
        <v>1</v>
      </c>
      <c r="T276" s="46" t="s">
        <v>1</v>
      </c>
      <c r="U276" s="31" t="s">
        <v>1</v>
      </c>
      <c r="V276" s="46" t="s">
        <v>1</v>
      </c>
      <c r="W276" s="31" t="s">
        <v>1</v>
      </c>
      <c r="X276" s="46" t="s">
        <v>1</v>
      </c>
      <c r="Y276" s="31" t="s">
        <v>1</v>
      </c>
      <c r="Z276" s="46" t="s">
        <v>1</v>
      </c>
      <c r="AA276" s="31" t="s">
        <v>1</v>
      </c>
      <c r="AB276" s="46" t="s">
        <v>1</v>
      </c>
      <c r="AC276" s="47" t="s">
        <v>1</v>
      </c>
      <c r="AD276" s="36" t="s">
        <v>1</v>
      </c>
      <c r="AE276" s="51" t="s">
        <v>1</v>
      </c>
      <c r="AF276" s="36" t="s">
        <v>1</v>
      </c>
      <c r="AG276" s="51" t="s">
        <v>1</v>
      </c>
      <c r="AH276" s="36" t="s">
        <v>1</v>
      </c>
      <c r="AI276" s="51" t="s">
        <v>1</v>
      </c>
      <c r="AJ276" s="36" t="s">
        <v>1</v>
      </c>
      <c r="AK276" s="51" t="s">
        <v>1</v>
      </c>
      <c r="AL276" s="36" t="s">
        <v>1</v>
      </c>
      <c r="AM276" s="31" t="s">
        <v>1</v>
      </c>
      <c r="AN276" s="36" t="s">
        <v>1</v>
      </c>
      <c r="AO276" s="31" t="s">
        <v>1</v>
      </c>
      <c r="AP276" s="36" t="s">
        <v>1</v>
      </c>
      <c r="AQ276" s="51" t="s">
        <v>1</v>
      </c>
      <c r="AR276" s="36" t="s">
        <v>1</v>
      </c>
      <c r="AS276" s="47" t="s">
        <v>1</v>
      </c>
      <c r="AT276" s="36" t="s">
        <v>1</v>
      </c>
      <c r="AU276" s="47" t="s">
        <v>1</v>
      </c>
      <c r="AV276" s="36" t="s">
        <v>1</v>
      </c>
      <c r="AW276" s="47" t="s">
        <v>1</v>
      </c>
      <c r="AX276" s="36" t="s">
        <v>2065</v>
      </c>
      <c r="AY276" s="47" t="s">
        <v>2193</v>
      </c>
      <c r="AZ276" s="36" t="s">
        <v>1299</v>
      </c>
      <c r="BA276" s="47" t="s">
        <v>2193</v>
      </c>
      <c r="BB276" s="36" t="s">
        <v>2188</v>
      </c>
      <c r="BC276" s="47" t="s">
        <v>819</v>
      </c>
      <c r="BD276" s="36" t="s">
        <v>2189</v>
      </c>
      <c r="BE276" s="47" t="str">
        <f t="shared" si="10"/>
        <v>"Bairro"</v>
      </c>
    </row>
    <row r="277" spans="1:57" ht="6.65" customHeight="1" x14ac:dyDescent="0.4">
      <c r="A277" s="93">
        <v>277</v>
      </c>
      <c r="B277" s="74" t="s">
        <v>1066</v>
      </c>
      <c r="C277" s="44" t="s">
        <v>664</v>
      </c>
      <c r="D277" s="18" t="s">
        <v>744</v>
      </c>
      <c r="E277" s="48" t="s">
        <v>845</v>
      </c>
      <c r="F277" s="18" t="s">
        <v>820</v>
      </c>
      <c r="G277" s="48" t="s">
        <v>900</v>
      </c>
      <c r="H277" s="18" t="s">
        <v>1062</v>
      </c>
      <c r="I277" s="48" t="s">
        <v>845</v>
      </c>
      <c r="J277" s="18" t="s">
        <v>744</v>
      </c>
      <c r="K277" s="48" t="s">
        <v>1067</v>
      </c>
      <c r="L277" s="18" t="s">
        <v>1</v>
      </c>
      <c r="M277" s="20" t="s">
        <v>1</v>
      </c>
      <c r="N277" s="46" t="s">
        <v>82</v>
      </c>
      <c r="O277" s="25" t="str">
        <f t="shared" si="11"/>
        <v>"Bairro N° B.034 RA.08 Alto.da.Boa.Vista"</v>
      </c>
      <c r="P277" s="46" t="s">
        <v>1</v>
      </c>
      <c r="Q277" s="25" t="s">
        <v>1</v>
      </c>
      <c r="R277" s="46" t="s">
        <v>1</v>
      </c>
      <c r="S277" s="52" t="s">
        <v>1</v>
      </c>
      <c r="T277" s="46" t="s">
        <v>1</v>
      </c>
      <c r="U277" s="31" t="s">
        <v>1</v>
      </c>
      <c r="V277" s="46" t="s">
        <v>1</v>
      </c>
      <c r="W277" s="31" t="s">
        <v>1</v>
      </c>
      <c r="X277" s="46" t="s">
        <v>1</v>
      </c>
      <c r="Y277" s="31" t="s">
        <v>1</v>
      </c>
      <c r="Z277" s="46" t="s">
        <v>1</v>
      </c>
      <c r="AA277" s="31" t="s">
        <v>1</v>
      </c>
      <c r="AB277" s="46" t="s">
        <v>1</v>
      </c>
      <c r="AC277" s="47" t="s">
        <v>1</v>
      </c>
      <c r="AD277" s="36" t="s">
        <v>1</v>
      </c>
      <c r="AE277" s="51" t="s">
        <v>1</v>
      </c>
      <c r="AF277" s="36" t="s">
        <v>1</v>
      </c>
      <c r="AG277" s="51" t="s">
        <v>1</v>
      </c>
      <c r="AH277" s="36" t="s">
        <v>1</v>
      </c>
      <c r="AI277" s="51" t="s">
        <v>1</v>
      </c>
      <c r="AJ277" s="36" t="s">
        <v>1</v>
      </c>
      <c r="AK277" s="51" t="s">
        <v>1</v>
      </c>
      <c r="AL277" s="36" t="s">
        <v>1</v>
      </c>
      <c r="AM277" s="31" t="s">
        <v>1</v>
      </c>
      <c r="AN277" s="36" t="s">
        <v>1</v>
      </c>
      <c r="AO277" s="31" t="s">
        <v>1</v>
      </c>
      <c r="AP277" s="36" t="s">
        <v>1</v>
      </c>
      <c r="AQ277" s="51" t="s">
        <v>1</v>
      </c>
      <c r="AR277" s="36" t="s">
        <v>1</v>
      </c>
      <c r="AS277" s="47" t="s">
        <v>1</v>
      </c>
      <c r="AT277" s="36" t="s">
        <v>1</v>
      </c>
      <c r="AU277" s="47" t="s">
        <v>1</v>
      </c>
      <c r="AV277" s="36" t="s">
        <v>1</v>
      </c>
      <c r="AW277" s="47" t="s">
        <v>1</v>
      </c>
      <c r="AX277" s="36" t="s">
        <v>2065</v>
      </c>
      <c r="AY277" s="47" t="s">
        <v>2193</v>
      </c>
      <c r="AZ277" s="36" t="s">
        <v>1299</v>
      </c>
      <c r="BA277" s="47" t="s">
        <v>2193</v>
      </c>
      <c r="BB277" s="36" t="s">
        <v>2188</v>
      </c>
      <c r="BC277" s="47" t="s">
        <v>819</v>
      </c>
      <c r="BD277" s="36" t="s">
        <v>2189</v>
      </c>
      <c r="BE277" s="47" t="str">
        <f t="shared" si="10"/>
        <v>"Bairro"</v>
      </c>
    </row>
    <row r="278" spans="1:57" ht="6.65" customHeight="1" x14ac:dyDescent="0.4">
      <c r="A278" s="93">
        <v>278</v>
      </c>
      <c r="B278" s="74" t="s">
        <v>1068</v>
      </c>
      <c r="C278" s="44" t="s">
        <v>664</v>
      </c>
      <c r="D278" s="18" t="s">
        <v>744</v>
      </c>
      <c r="E278" s="48" t="s">
        <v>873</v>
      </c>
      <c r="F278" s="18" t="s">
        <v>820</v>
      </c>
      <c r="G278" s="48" t="s">
        <v>901</v>
      </c>
      <c r="H278" s="18" t="s">
        <v>1062</v>
      </c>
      <c r="I278" s="48" t="s">
        <v>873</v>
      </c>
      <c r="J278" s="18" t="s">
        <v>744</v>
      </c>
      <c r="K278" s="48" t="s">
        <v>1063</v>
      </c>
      <c r="L278" s="18" t="s">
        <v>1</v>
      </c>
      <c r="M278" s="20" t="s">
        <v>1</v>
      </c>
      <c r="N278" s="46" t="s">
        <v>82</v>
      </c>
      <c r="O278" s="25" t="str">
        <f t="shared" si="11"/>
        <v>"Bairro N° B.107 RA.22 Anchieta"</v>
      </c>
      <c r="P278" s="46" t="s">
        <v>1</v>
      </c>
      <c r="Q278" s="25" t="s">
        <v>1</v>
      </c>
      <c r="R278" s="46" t="s">
        <v>1</v>
      </c>
      <c r="S278" s="52" t="s">
        <v>1</v>
      </c>
      <c r="T278" s="46" t="s">
        <v>1</v>
      </c>
      <c r="U278" s="31" t="s">
        <v>1</v>
      </c>
      <c r="V278" s="46" t="s">
        <v>1</v>
      </c>
      <c r="W278" s="31" t="s">
        <v>1</v>
      </c>
      <c r="X278" s="46" t="s">
        <v>1</v>
      </c>
      <c r="Y278" s="31" t="s">
        <v>1</v>
      </c>
      <c r="Z278" s="46" t="s">
        <v>1</v>
      </c>
      <c r="AA278" s="31" t="s">
        <v>1</v>
      </c>
      <c r="AB278" s="46" t="s">
        <v>1</v>
      </c>
      <c r="AC278" s="47" t="s">
        <v>1</v>
      </c>
      <c r="AD278" s="36" t="s">
        <v>1</v>
      </c>
      <c r="AE278" s="51" t="s">
        <v>1</v>
      </c>
      <c r="AF278" s="36" t="s">
        <v>1</v>
      </c>
      <c r="AG278" s="51" t="s">
        <v>1</v>
      </c>
      <c r="AH278" s="36" t="s">
        <v>1</v>
      </c>
      <c r="AI278" s="51" t="s">
        <v>1</v>
      </c>
      <c r="AJ278" s="36" t="s">
        <v>1</v>
      </c>
      <c r="AK278" s="51" t="s">
        <v>1</v>
      </c>
      <c r="AL278" s="36" t="s">
        <v>1</v>
      </c>
      <c r="AM278" s="31" t="s">
        <v>1</v>
      </c>
      <c r="AN278" s="36" t="s">
        <v>1</v>
      </c>
      <c r="AO278" s="31" t="s">
        <v>1</v>
      </c>
      <c r="AP278" s="36" t="s">
        <v>1</v>
      </c>
      <c r="AQ278" s="51" t="s">
        <v>1</v>
      </c>
      <c r="AR278" s="36" t="s">
        <v>1</v>
      </c>
      <c r="AS278" s="47" t="s">
        <v>1</v>
      </c>
      <c r="AT278" s="36" t="s">
        <v>1</v>
      </c>
      <c r="AU278" s="47" t="s">
        <v>1</v>
      </c>
      <c r="AV278" s="36" t="s">
        <v>1</v>
      </c>
      <c r="AW278" s="47" t="s">
        <v>1</v>
      </c>
      <c r="AX278" s="36" t="s">
        <v>2065</v>
      </c>
      <c r="AY278" s="47" t="s">
        <v>2193</v>
      </c>
      <c r="AZ278" s="36" t="s">
        <v>1299</v>
      </c>
      <c r="BA278" s="47" t="s">
        <v>2193</v>
      </c>
      <c r="BB278" s="36" t="s">
        <v>2188</v>
      </c>
      <c r="BC278" s="47" t="s">
        <v>819</v>
      </c>
      <c r="BD278" s="36" t="s">
        <v>2189</v>
      </c>
      <c r="BE278" s="47" t="str">
        <f t="shared" si="10"/>
        <v>"Bairro"</v>
      </c>
    </row>
    <row r="279" spans="1:57" ht="6.65" customHeight="1" x14ac:dyDescent="0.4">
      <c r="A279" s="93">
        <v>279</v>
      </c>
      <c r="B279" s="74" t="s">
        <v>1069</v>
      </c>
      <c r="C279" s="44" t="s">
        <v>664</v>
      </c>
      <c r="D279" s="18" t="s">
        <v>744</v>
      </c>
      <c r="E279" s="48" t="s">
        <v>847</v>
      </c>
      <c r="F279" s="18" t="s">
        <v>820</v>
      </c>
      <c r="G279" s="48" t="s">
        <v>902</v>
      </c>
      <c r="H279" s="18" t="s">
        <v>1062</v>
      </c>
      <c r="I279" s="48" t="s">
        <v>847</v>
      </c>
      <c r="J279" s="18" t="s">
        <v>744</v>
      </c>
      <c r="K279" s="48" t="s">
        <v>1067</v>
      </c>
      <c r="L279" s="18" t="s">
        <v>1</v>
      </c>
      <c r="M279" s="20" t="s">
        <v>1</v>
      </c>
      <c r="N279" s="46" t="s">
        <v>82</v>
      </c>
      <c r="O279" s="25" t="str">
        <f t="shared" si="11"/>
        <v>"Bairro N° B.037 RA.09 Andaraí"</v>
      </c>
      <c r="P279" s="46" t="s">
        <v>1</v>
      </c>
      <c r="Q279" s="25" t="s">
        <v>1</v>
      </c>
      <c r="R279" s="46" t="s">
        <v>1</v>
      </c>
      <c r="S279" s="52" t="s">
        <v>1</v>
      </c>
      <c r="T279" s="46" t="s">
        <v>1</v>
      </c>
      <c r="U279" s="31" t="s">
        <v>1</v>
      </c>
      <c r="V279" s="46" t="s">
        <v>1</v>
      </c>
      <c r="W279" s="31" t="s">
        <v>1</v>
      </c>
      <c r="X279" s="46" t="s">
        <v>1</v>
      </c>
      <c r="Y279" s="31" t="s">
        <v>1</v>
      </c>
      <c r="Z279" s="46" t="s">
        <v>1</v>
      </c>
      <c r="AA279" s="31" t="s">
        <v>1</v>
      </c>
      <c r="AB279" s="46" t="s">
        <v>1</v>
      </c>
      <c r="AC279" s="47" t="s">
        <v>1</v>
      </c>
      <c r="AD279" s="36" t="s">
        <v>1</v>
      </c>
      <c r="AE279" s="51" t="s">
        <v>1</v>
      </c>
      <c r="AF279" s="36" t="s">
        <v>1</v>
      </c>
      <c r="AG279" s="51" t="s">
        <v>1</v>
      </c>
      <c r="AH279" s="36" t="s">
        <v>1</v>
      </c>
      <c r="AI279" s="51" t="s">
        <v>1</v>
      </c>
      <c r="AJ279" s="36" t="s">
        <v>1</v>
      </c>
      <c r="AK279" s="51" t="s">
        <v>1</v>
      </c>
      <c r="AL279" s="36" t="s">
        <v>1</v>
      </c>
      <c r="AM279" s="31" t="s">
        <v>1</v>
      </c>
      <c r="AN279" s="36" t="s">
        <v>1</v>
      </c>
      <c r="AO279" s="31" t="s">
        <v>1</v>
      </c>
      <c r="AP279" s="36" t="s">
        <v>1</v>
      </c>
      <c r="AQ279" s="51" t="s">
        <v>1</v>
      </c>
      <c r="AR279" s="36" t="s">
        <v>1</v>
      </c>
      <c r="AS279" s="47" t="s">
        <v>1</v>
      </c>
      <c r="AT279" s="36" t="s">
        <v>1</v>
      </c>
      <c r="AU279" s="47" t="s">
        <v>1</v>
      </c>
      <c r="AV279" s="36" t="s">
        <v>1</v>
      </c>
      <c r="AW279" s="47" t="s">
        <v>1</v>
      </c>
      <c r="AX279" s="36" t="s">
        <v>2065</v>
      </c>
      <c r="AY279" s="47" t="s">
        <v>2193</v>
      </c>
      <c r="AZ279" s="36" t="s">
        <v>1299</v>
      </c>
      <c r="BA279" s="47" t="s">
        <v>2193</v>
      </c>
      <c r="BB279" s="36" t="s">
        <v>2188</v>
      </c>
      <c r="BC279" s="47" t="s">
        <v>819</v>
      </c>
      <c r="BD279" s="36" t="s">
        <v>2189</v>
      </c>
      <c r="BE279" s="47" t="str">
        <f t="shared" si="10"/>
        <v>"Bairro"</v>
      </c>
    </row>
    <row r="280" spans="1:57" ht="6.65" customHeight="1" x14ac:dyDescent="0.4">
      <c r="A280" s="93">
        <v>280</v>
      </c>
      <c r="B280" s="74" t="s">
        <v>1070</v>
      </c>
      <c r="C280" s="44" t="s">
        <v>664</v>
      </c>
      <c r="D280" s="18" t="s">
        <v>744</v>
      </c>
      <c r="E280" s="48" t="s">
        <v>861</v>
      </c>
      <c r="F280" s="18" t="s">
        <v>820</v>
      </c>
      <c r="G280" s="48" t="s">
        <v>903</v>
      </c>
      <c r="H280" s="18" t="s">
        <v>1062</v>
      </c>
      <c r="I280" s="48" t="s">
        <v>861</v>
      </c>
      <c r="J280" s="18" t="s">
        <v>744</v>
      </c>
      <c r="K280" s="48" t="s">
        <v>1071</v>
      </c>
      <c r="L280" s="18" t="s">
        <v>1</v>
      </c>
      <c r="M280" s="20" t="s">
        <v>1</v>
      </c>
      <c r="N280" s="46" t="s">
        <v>82</v>
      </c>
      <c r="O280" s="25" t="str">
        <f t="shared" si="11"/>
        <v>"Bairro N° B.116 RA.16 Anil"</v>
      </c>
      <c r="P280" s="46" t="s">
        <v>1</v>
      </c>
      <c r="Q280" s="25" t="s">
        <v>1</v>
      </c>
      <c r="R280" s="46" t="s">
        <v>1</v>
      </c>
      <c r="S280" s="52" t="s">
        <v>1</v>
      </c>
      <c r="T280" s="46" t="s">
        <v>1</v>
      </c>
      <c r="U280" s="31" t="s">
        <v>1</v>
      </c>
      <c r="V280" s="46" t="s">
        <v>1</v>
      </c>
      <c r="W280" s="31" t="s">
        <v>1</v>
      </c>
      <c r="X280" s="46" t="s">
        <v>1</v>
      </c>
      <c r="Y280" s="31" t="s">
        <v>1</v>
      </c>
      <c r="Z280" s="46" t="s">
        <v>1</v>
      </c>
      <c r="AA280" s="31" t="s">
        <v>1</v>
      </c>
      <c r="AB280" s="46" t="s">
        <v>1</v>
      </c>
      <c r="AC280" s="47" t="s">
        <v>1</v>
      </c>
      <c r="AD280" s="36" t="s">
        <v>1</v>
      </c>
      <c r="AE280" s="51" t="s">
        <v>1</v>
      </c>
      <c r="AF280" s="36" t="s">
        <v>1</v>
      </c>
      <c r="AG280" s="51" t="s">
        <v>1</v>
      </c>
      <c r="AH280" s="36" t="s">
        <v>1</v>
      </c>
      <c r="AI280" s="51" t="s">
        <v>1</v>
      </c>
      <c r="AJ280" s="36" t="s">
        <v>1</v>
      </c>
      <c r="AK280" s="51" t="s">
        <v>1</v>
      </c>
      <c r="AL280" s="36" t="s">
        <v>1</v>
      </c>
      <c r="AM280" s="31" t="s">
        <v>1</v>
      </c>
      <c r="AN280" s="36" t="s">
        <v>1</v>
      </c>
      <c r="AO280" s="31" t="s">
        <v>1</v>
      </c>
      <c r="AP280" s="36" t="s">
        <v>1</v>
      </c>
      <c r="AQ280" s="51" t="s">
        <v>1</v>
      </c>
      <c r="AR280" s="36" t="s">
        <v>1</v>
      </c>
      <c r="AS280" s="47" t="s">
        <v>1</v>
      </c>
      <c r="AT280" s="36" t="s">
        <v>1</v>
      </c>
      <c r="AU280" s="47" t="s">
        <v>1</v>
      </c>
      <c r="AV280" s="36" t="s">
        <v>1</v>
      </c>
      <c r="AW280" s="47" t="s">
        <v>1</v>
      </c>
      <c r="AX280" s="36" t="s">
        <v>2065</v>
      </c>
      <c r="AY280" s="47" t="s">
        <v>2193</v>
      </c>
      <c r="AZ280" s="36" t="s">
        <v>1299</v>
      </c>
      <c r="BA280" s="47" t="s">
        <v>2193</v>
      </c>
      <c r="BB280" s="36" t="s">
        <v>2188</v>
      </c>
      <c r="BC280" s="47" t="s">
        <v>819</v>
      </c>
      <c r="BD280" s="36" t="s">
        <v>2189</v>
      </c>
      <c r="BE280" s="47" t="str">
        <f t="shared" si="10"/>
        <v>"Bairro"</v>
      </c>
    </row>
    <row r="281" spans="1:57" ht="6.65" customHeight="1" x14ac:dyDescent="0.4">
      <c r="A281" s="93">
        <v>281</v>
      </c>
      <c r="B281" s="74" t="s">
        <v>1072</v>
      </c>
      <c r="C281" s="44" t="s">
        <v>664</v>
      </c>
      <c r="D281" s="18" t="s">
        <v>744</v>
      </c>
      <c r="E281" s="48" t="s">
        <v>869</v>
      </c>
      <c r="F281" s="18" t="s">
        <v>820</v>
      </c>
      <c r="G281" s="48" t="s">
        <v>904</v>
      </c>
      <c r="H281" s="18" t="s">
        <v>1062</v>
      </c>
      <c r="I281" s="48" t="s">
        <v>869</v>
      </c>
      <c r="J281" s="18" t="s">
        <v>744</v>
      </c>
      <c r="K281" s="48" t="s">
        <v>1073</v>
      </c>
      <c r="L281" s="18" t="s">
        <v>1</v>
      </c>
      <c r="M281" s="20" t="s">
        <v>1</v>
      </c>
      <c r="N281" s="46" t="s">
        <v>82</v>
      </c>
      <c r="O281" s="25" t="str">
        <f t="shared" si="11"/>
        <v>"Bairro N° B.097 RA.20 Bancários"</v>
      </c>
      <c r="P281" s="46" t="s">
        <v>1</v>
      </c>
      <c r="Q281" s="25" t="s">
        <v>1</v>
      </c>
      <c r="R281" s="46" t="s">
        <v>1</v>
      </c>
      <c r="S281" s="52" t="s">
        <v>1</v>
      </c>
      <c r="T281" s="46" t="s">
        <v>1</v>
      </c>
      <c r="U281" s="31" t="s">
        <v>1</v>
      </c>
      <c r="V281" s="46" t="s">
        <v>1</v>
      </c>
      <c r="W281" s="31" t="s">
        <v>1</v>
      </c>
      <c r="X281" s="46" t="s">
        <v>1</v>
      </c>
      <c r="Y281" s="31" t="s">
        <v>1</v>
      </c>
      <c r="Z281" s="46" t="s">
        <v>1</v>
      </c>
      <c r="AA281" s="31" t="s">
        <v>1</v>
      </c>
      <c r="AB281" s="46" t="s">
        <v>1</v>
      </c>
      <c r="AC281" s="47" t="s">
        <v>1</v>
      </c>
      <c r="AD281" s="36" t="s">
        <v>1</v>
      </c>
      <c r="AE281" s="51" t="s">
        <v>1</v>
      </c>
      <c r="AF281" s="36" t="s">
        <v>1</v>
      </c>
      <c r="AG281" s="51" t="s">
        <v>1</v>
      </c>
      <c r="AH281" s="36" t="s">
        <v>1</v>
      </c>
      <c r="AI281" s="51" t="s">
        <v>1</v>
      </c>
      <c r="AJ281" s="36" t="s">
        <v>1</v>
      </c>
      <c r="AK281" s="51" t="s">
        <v>1</v>
      </c>
      <c r="AL281" s="36" t="s">
        <v>1</v>
      </c>
      <c r="AM281" s="31" t="s">
        <v>1</v>
      </c>
      <c r="AN281" s="36" t="s">
        <v>1</v>
      </c>
      <c r="AO281" s="31" t="s">
        <v>1</v>
      </c>
      <c r="AP281" s="36" t="s">
        <v>1</v>
      </c>
      <c r="AQ281" s="51" t="s">
        <v>1</v>
      </c>
      <c r="AR281" s="36" t="s">
        <v>1</v>
      </c>
      <c r="AS281" s="47" t="s">
        <v>1</v>
      </c>
      <c r="AT281" s="36" t="s">
        <v>1</v>
      </c>
      <c r="AU281" s="47" t="s">
        <v>1</v>
      </c>
      <c r="AV281" s="36" t="s">
        <v>1</v>
      </c>
      <c r="AW281" s="47" t="s">
        <v>1</v>
      </c>
      <c r="AX281" s="36" t="s">
        <v>2065</v>
      </c>
      <c r="AY281" s="47" t="s">
        <v>2193</v>
      </c>
      <c r="AZ281" s="36" t="s">
        <v>1299</v>
      </c>
      <c r="BA281" s="47" t="s">
        <v>2193</v>
      </c>
      <c r="BB281" s="36" t="s">
        <v>2188</v>
      </c>
      <c r="BC281" s="47" t="s">
        <v>819</v>
      </c>
      <c r="BD281" s="36" t="s">
        <v>2189</v>
      </c>
      <c r="BE281" s="47" t="str">
        <f t="shared" si="10"/>
        <v>"Bairro"</v>
      </c>
    </row>
    <row r="282" spans="1:57" ht="6.65" customHeight="1" x14ac:dyDescent="0.4">
      <c r="A282" s="93">
        <v>282</v>
      </c>
      <c r="B282" s="74" t="s">
        <v>1074</v>
      </c>
      <c r="C282" s="44" t="s">
        <v>664</v>
      </c>
      <c r="D282" s="18" t="s">
        <v>744</v>
      </c>
      <c r="E282" s="48" t="s">
        <v>863</v>
      </c>
      <c r="F282" s="18" t="s">
        <v>820</v>
      </c>
      <c r="G282" s="48" t="s">
        <v>905</v>
      </c>
      <c r="H282" s="18" t="s">
        <v>1062</v>
      </c>
      <c r="I282" s="48" t="s">
        <v>863</v>
      </c>
      <c r="J282" s="18" t="s">
        <v>744</v>
      </c>
      <c r="K282" s="48" t="s">
        <v>1075</v>
      </c>
      <c r="L282" s="18" t="s">
        <v>1</v>
      </c>
      <c r="M282" s="20" t="s">
        <v>1</v>
      </c>
      <c r="N282" s="46" t="s">
        <v>82</v>
      </c>
      <c r="O282" s="25" t="str">
        <f t="shared" si="11"/>
        <v>"Bairro N° B.141 RA.17 Bangu"</v>
      </c>
      <c r="P282" s="46" t="s">
        <v>1</v>
      </c>
      <c r="Q282" s="25" t="s">
        <v>1</v>
      </c>
      <c r="R282" s="46" t="s">
        <v>1</v>
      </c>
      <c r="S282" s="52" t="s">
        <v>1</v>
      </c>
      <c r="T282" s="46" t="s">
        <v>1</v>
      </c>
      <c r="U282" s="31" t="s">
        <v>1</v>
      </c>
      <c r="V282" s="46" t="s">
        <v>1</v>
      </c>
      <c r="W282" s="31" t="s">
        <v>1</v>
      </c>
      <c r="X282" s="46" t="s">
        <v>1</v>
      </c>
      <c r="Y282" s="31" t="s">
        <v>1</v>
      </c>
      <c r="Z282" s="46" t="s">
        <v>1</v>
      </c>
      <c r="AA282" s="31" t="s">
        <v>1</v>
      </c>
      <c r="AB282" s="46" t="s">
        <v>1</v>
      </c>
      <c r="AC282" s="47" t="s">
        <v>1</v>
      </c>
      <c r="AD282" s="36" t="s">
        <v>1</v>
      </c>
      <c r="AE282" s="51" t="s">
        <v>1</v>
      </c>
      <c r="AF282" s="36" t="s">
        <v>1</v>
      </c>
      <c r="AG282" s="51" t="s">
        <v>1</v>
      </c>
      <c r="AH282" s="36" t="s">
        <v>1</v>
      </c>
      <c r="AI282" s="51" t="s">
        <v>1</v>
      </c>
      <c r="AJ282" s="36" t="s">
        <v>1</v>
      </c>
      <c r="AK282" s="51" t="s">
        <v>1</v>
      </c>
      <c r="AL282" s="36" t="s">
        <v>1</v>
      </c>
      <c r="AM282" s="31" t="s">
        <v>1</v>
      </c>
      <c r="AN282" s="36" t="s">
        <v>1</v>
      </c>
      <c r="AO282" s="31" t="s">
        <v>1</v>
      </c>
      <c r="AP282" s="36" t="s">
        <v>1</v>
      </c>
      <c r="AQ282" s="51" t="s">
        <v>1</v>
      </c>
      <c r="AR282" s="36" t="s">
        <v>1</v>
      </c>
      <c r="AS282" s="47" t="s">
        <v>1</v>
      </c>
      <c r="AT282" s="36" t="s">
        <v>1</v>
      </c>
      <c r="AU282" s="47" t="s">
        <v>1</v>
      </c>
      <c r="AV282" s="36" t="s">
        <v>1</v>
      </c>
      <c r="AW282" s="47" t="s">
        <v>1</v>
      </c>
      <c r="AX282" s="36" t="s">
        <v>2065</v>
      </c>
      <c r="AY282" s="47" t="s">
        <v>2193</v>
      </c>
      <c r="AZ282" s="36" t="s">
        <v>1299</v>
      </c>
      <c r="BA282" s="47" t="s">
        <v>2193</v>
      </c>
      <c r="BB282" s="36" t="s">
        <v>2188</v>
      </c>
      <c r="BC282" s="47" t="s">
        <v>819</v>
      </c>
      <c r="BD282" s="36" t="s">
        <v>2189</v>
      </c>
      <c r="BE282" s="47" t="str">
        <f t="shared" si="10"/>
        <v>"Bairro"</v>
      </c>
    </row>
    <row r="283" spans="1:57" ht="6.65" customHeight="1" x14ac:dyDescent="0.4">
      <c r="A283" s="93">
        <v>283</v>
      </c>
      <c r="B283" s="74" t="s">
        <v>1076</v>
      </c>
      <c r="C283" s="44" t="s">
        <v>664</v>
      </c>
      <c r="D283" s="18" t="s">
        <v>744</v>
      </c>
      <c r="E283" s="48" t="s">
        <v>877</v>
      </c>
      <c r="F283" s="18" t="s">
        <v>820</v>
      </c>
      <c r="G283" s="48" t="s">
        <v>906</v>
      </c>
      <c r="H283" s="18" t="s">
        <v>1062</v>
      </c>
      <c r="I283" s="48" t="s">
        <v>877</v>
      </c>
      <c r="J283" s="18" t="s">
        <v>744</v>
      </c>
      <c r="K283" s="48" t="s">
        <v>1077</v>
      </c>
      <c r="L283" s="18" t="s">
        <v>1</v>
      </c>
      <c r="M283" s="20" t="s">
        <v>1</v>
      </c>
      <c r="N283" s="46" t="s">
        <v>82</v>
      </c>
      <c r="O283" s="25" t="str">
        <f t="shared" si="11"/>
        <v>"Bairro N° B.128 RA.24 Barra.da.Tijuca"</v>
      </c>
      <c r="P283" s="46" t="s">
        <v>1</v>
      </c>
      <c r="Q283" s="25" t="s">
        <v>1</v>
      </c>
      <c r="R283" s="46" t="s">
        <v>1</v>
      </c>
      <c r="S283" s="52" t="s">
        <v>1</v>
      </c>
      <c r="T283" s="46" t="s">
        <v>1</v>
      </c>
      <c r="U283" s="31" t="s">
        <v>1</v>
      </c>
      <c r="V283" s="46" t="s">
        <v>1</v>
      </c>
      <c r="W283" s="31" t="s">
        <v>1</v>
      </c>
      <c r="X283" s="46" t="s">
        <v>1</v>
      </c>
      <c r="Y283" s="31" t="s">
        <v>1</v>
      </c>
      <c r="Z283" s="46" t="s">
        <v>1</v>
      </c>
      <c r="AA283" s="31" t="s">
        <v>1</v>
      </c>
      <c r="AB283" s="46" t="s">
        <v>1</v>
      </c>
      <c r="AC283" s="47" t="s">
        <v>1</v>
      </c>
      <c r="AD283" s="36" t="s">
        <v>1</v>
      </c>
      <c r="AE283" s="51" t="s">
        <v>1</v>
      </c>
      <c r="AF283" s="36" t="s">
        <v>1</v>
      </c>
      <c r="AG283" s="51" t="s">
        <v>1</v>
      </c>
      <c r="AH283" s="36" t="s">
        <v>1</v>
      </c>
      <c r="AI283" s="51" t="s">
        <v>1</v>
      </c>
      <c r="AJ283" s="36" t="s">
        <v>1</v>
      </c>
      <c r="AK283" s="51" t="s">
        <v>1</v>
      </c>
      <c r="AL283" s="36" t="s">
        <v>1</v>
      </c>
      <c r="AM283" s="31" t="s">
        <v>1</v>
      </c>
      <c r="AN283" s="36" t="s">
        <v>1</v>
      </c>
      <c r="AO283" s="31" t="s">
        <v>1</v>
      </c>
      <c r="AP283" s="36" t="s">
        <v>1</v>
      </c>
      <c r="AQ283" s="51" t="s">
        <v>1</v>
      </c>
      <c r="AR283" s="36" t="s">
        <v>1</v>
      </c>
      <c r="AS283" s="47" t="s">
        <v>1</v>
      </c>
      <c r="AT283" s="36" t="s">
        <v>1</v>
      </c>
      <c r="AU283" s="47" t="s">
        <v>1</v>
      </c>
      <c r="AV283" s="36" t="s">
        <v>1</v>
      </c>
      <c r="AW283" s="47" t="s">
        <v>1</v>
      </c>
      <c r="AX283" s="36" t="s">
        <v>2065</v>
      </c>
      <c r="AY283" s="47" t="s">
        <v>2193</v>
      </c>
      <c r="AZ283" s="36" t="s">
        <v>1299</v>
      </c>
      <c r="BA283" s="47" t="s">
        <v>2193</v>
      </c>
      <c r="BB283" s="36" t="s">
        <v>2188</v>
      </c>
      <c r="BC283" s="47" t="s">
        <v>819</v>
      </c>
      <c r="BD283" s="36" t="s">
        <v>2189</v>
      </c>
      <c r="BE283" s="47" t="str">
        <f t="shared" si="10"/>
        <v>"Bairro"</v>
      </c>
    </row>
    <row r="284" spans="1:57" ht="6.65" customHeight="1" x14ac:dyDescent="0.4">
      <c r="A284" s="93">
        <v>284</v>
      </c>
      <c r="B284" s="74" t="s">
        <v>1078</v>
      </c>
      <c r="C284" s="44" t="s">
        <v>664</v>
      </c>
      <c r="D284" s="18" t="s">
        <v>744</v>
      </c>
      <c r="E284" s="48" t="s">
        <v>881</v>
      </c>
      <c r="F284" s="18" t="s">
        <v>820</v>
      </c>
      <c r="G284" s="48" t="s">
        <v>907</v>
      </c>
      <c r="H284" s="18" t="s">
        <v>1062</v>
      </c>
      <c r="I284" s="48" t="s">
        <v>881</v>
      </c>
      <c r="J284" s="18" t="s">
        <v>744</v>
      </c>
      <c r="K284" s="48" t="s">
        <v>1079</v>
      </c>
      <c r="L284" s="18" t="s">
        <v>1</v>
      </c>
      <c r="M284" s="20" t="s">
        <v>1</v>
      </c>
      <c r="N284" s="46" t="s">
        <v>82</v>
      </c>
      <c r="O284" s="25" t="str">
        <f t="shared" si="11"/>
        <v>"Bairro N° B.152 RA.26 Barra.de.Guaratiba"</v>
      </c>
      <c r="P284" s="46" t="s">
        <v>1</v>
      </c>
      <c r="Q284" s="25" t="s">
        <v>1</v>
      </c>
      <c r="R284" s="46" t="s">
        <v>1</v>
      </c>
      <c r="S284" s="52" t="s">
        <v>1</v>
      </c>
      <c r="T284" s="46" t="s">
        <v>1</v>
      </c>
      <c r="U284" s="31" t="s">
        <v>1</v>
      </c>
      <c r="V284" s="46" t="s">
        <v>1</v>
      </c>
      <c r="W284" s="31" t="s">
        <v>1</v>
      </c>
      <c r="X284" s="46" t="s">
        <v>1</v>
      </c>
      <c r="Y284" s="31" t="s">
        <v>1</v>
      </c>
      <c r="Z284" s="46" t="s">
        <v>1</v>
      </c>
      <c r="AA284" s="31" t="s">
        <v>1</v>
      </c>
      <c r="AB284" s="46" t="s">
        <v>1</v>
      </c>
      <c r="AC284" s="47" t="s">
        <v>1</v>
      </c>
      <c r="AD284" s="36" t="s">
        <v>1</v>
      </c>
      <c r="AE284" s="51" t="s">
        <v>1</v>
      </c>
      <c r="AF284" s="36" t="s">
        <v>1</v>
      </c>
      <c r="AG284" s="51" t="s">
        <v>1</v>
      </c>
      <c r="AH284" s="36" t="s">
        <v>1</v>
      </c>
      <c r="AI284" s="51" t="s">
        <v>1</v>
      </c>
      <c r="AJ284" s="36" t="s">
        <v>1</v>
      </c>
      <c r="AK284" s="51" t="s">
        <v>1</v>
      </c>
      <c r="AL284" s="36" t="s">
        <v>1</v>
      </c>
      <c r="AM284" s="31" t="s">
        <v>1</v>
      </c>
      <c r="AN284" s="36" t="s">
        <v>1</v>
      </c>
      <c r="AO284" s="31" t="s">
        <v>1</v>
      </c>
      <c r="AP284" s="36" t="s">
        <v>1</v>
      </c>
      <c r="AQ284" s="51" t="s">
        <v>1</v>
      </c>
      <c r="AR284" s="36" t="s">
        <v>1</v>
      </c>
      <c r="AS284" s="47" t="s">
        <v>1</v>
      </c>
      <c r="AT284" s="36" t="s">
        <v>1</v>
      </c>
      <c r="AU284" s="47" t="s">
        <v>1</v>
      </c>
      <c r="AV284" s="36" t="s">
        <v>1</v>
      </c>
      <c r="AW284" s="47" t="s">
        <v>1</v>
      </c>
      <c r="AX284" s="36" t="s">
        <v>2065</v>
      </c>
      <c r="AY284" s="47" t="s">
        <v>2193</v>
      </c>
      <c r="AZ284" s="36" t="s">
        <v>1299</v>
      </c>
      <c r="BA284" s="47" t="s">
        <v>2193</v>
      </c>
      <c r="BB284" s="36" t="s">
        <v>2188</v>
      </c>
      <c r="BC284" s="47" t="s">
        <v>819</v>
      </c>
      <c r="BD284" s="36" t="s">
        <v>2189</v>
      </c>
      <c r="BE284" s="47" t="str">
        <f t="shared" si="10"/>
        <v>"Bairro"</v>
      </c>
    </row>
    <row r="285" spans="1:57" ht="6.65" customHeight="1" x14ac:dyDescent="0.4">
      <c r="A285" s="93">
        <v>285</v>
      </c>
      <c r="B285" s="74" t="s">
        <v>1080</v>
      </c>
      <c r="C285" s="44" t="s">
        <v>664</v>
      </c>
      <c r="D285" s="18" t="s">
        <v>744</v>
      </c>
      <c r="E285" s="48" t="s">
        <v>879</v>
      </c>
      <c r="F285" s="18" t="s">
        <v>820</v>
      </c>
      <c r="G285" s="48" t="s">
        <v>908</v>
      </c>
      <c r="H285" s="18" t="s">
        <v>1062</v>
      </c>
      <c r="I285" s="48" t="s">
        <v>879</v>
      </c>
      <c r="J285" s="18" t="s">
        <v>744</v>
      </c>
      <c r="K285" s="48" t="s">
        <v>1063</v>
      </c>
      <c r="L285" s="18" t="s">
        <v>1</v>
      </c>
      <c r="M285" s="20" t="s">
        <v>1</v>
      </c>
      <c r="N285" s="46" t="s">
        <v>82</v>
      </c>
      <c r="O285" s="25" t="str">
        <f t="shared" si="11"/>
        <v>"Bairro N° B.112 RA.25 Barros.Filho"</v>
      </c>
      <c r="P285" s="46" t="s">
        <v>1</v>
      </c>
      <c r="Q285" s="25" t="s">
        <v>1</v>
      </c>
      <c r="R285" s="46" t="s">
        <v>1</v>
      </c>
      <c r="S285" s="52" t="s">
        <v>1</v>
      </c>
      <c r="T285" s="46" t="s">
        <v>1</v>
      </c>
      <c r="U285" s="31" t="s">
        <v>1</v>
      </c>
      <c r="V285" s="46" t="s">
        <v>1</v>
      </c>
      <c r="W285" s="31" t="s">
        <v>1</v>
      </c>
      <c r="X285" s="46" t="s">
        <v>1</v>
      </c>
      <c r="Y285" s="31" t="s">
        <v>1</v>
      </c>
      <c r="Z285" s="46" t="s">
        <v>1</v>
      </c>
      <c r="AA285" s="31" t="s">
        <v>1</v>
      </c>
      <c r="AB285" s="46" t="s">
        <v>1</v>
      </c>
      <c r="AC285" s="47" t="s">
        <v>1</v>
      </c>
      <c r="AD285" s="36" t="s">
        <v>1</v>
      </c>
      <c r="AE285" s="51" t="s">
        <v>1</v>
      </c>
      <c r="AF285" s="36" t="s">
        <v>1</v>
      </c>
      <c r="AG285" s="51" t="s">
        <v>1</v>
      </c>
      <c r="AH285" s="36" t="s">
        <v>1</v>
      </c>
      <c r="AI285" s="51" t="s">
        <v>1</v>
      </c>
      <c r="AJ285" s="36" t="s">
        <v>1</v>
      </c>
      <c r="AK285" s="51" t="s">
        <v>1</v>
      </c>
      <c r="AL285" s="36" t="s">
        <v>1</v>
      </c>
      <c r="AM285" s="31" t="s">
        <v>1</v>
      </c>
      <c r="AN285" s="36" t="s">
        <v>1</v>
      </c>
      <c r="AO285" s="31" t="s">
        <v>1</v>
      </c>
      <c r="AP285" s="36" t="s">
        <v>1</v>
      </c>
      <c r="AQ285" s="51" t="s">
        <v>1</v>
      </c>
      <c r="AR285" s="36" t="s">
        <v>1</v>
      </c>
      <c r="AS285" s="47" t="s">
        <v>1</v>
      </c>
      <c r="AT285" s="36" t="s">
        <v>1</v>
      </c>
      <c r="AU285" s="47" t="s">
        <v>1</v>
      </c>
      <c r="AV285" s="36" t="s">
        <v>1</v>
      </c>
      <c r="AW285" s="47" t="s">
        <v>1</v>
      </c>
      <c r="AX285" s="36" t="s">
        <v>2065</v>
      </c>
      <c r="AY285" s="47" t="s">
        <v>2193</v>
      </c>
      <c r="AZ285" s="36" t="s">
        <v>1299</v>
      </c>
      <c r="BA285" s="47" t="s">
        <v>2193</v>
      </c>
      <c r="BB285" s="36" t="s">
        <v>2188</v>
      </c>
      <c r="BC285" s="47" t="s">
        <v>819</v>
      </c>
      <c r="BD285" s="36" t="s">
        <v>2189</v>
      </c>
      <c r="BE285" s="47" t="str">
        <f t="shared" si="10"/>
        <v>"Bairro"</v>
      </c>
    </row>
    <row r="286" spans="1:57" ht="6.65" customHeight="1" x14ac:dyDescent="0.4">
      <c r="A286" s="93">
        <v>286</v>
      </c>
      <c r="B286" s="74" t="s">
        <v>1081</v>
      </c>
      <c r="C286" s="44" t="s">
        <v>664</v>
      </c>
      <c r="D286" s="18" t="s">
        <v>744</v>
      </c>
      <c r="E286" s="48" t="s">
        <v>843</v>
      </c>
      <c r="F286" s="18" t="s">
        <v>820</v>
      </c>
      <c r="G286" s="48" t="s">
        <v>909</v>
      </c>
      <c r="H286" s="18" t="s">
        <v>1062</v>
      </c>
      <c r="I286" s="48" t="s">
        <v>843</v>
      </c>
      <c r="J286" s="18" t="s">
        <v>744</v>
      </c>
      <c r="K286" s="48" t="s">
        <v>1082</v>
      </c>
      <c r="L286" s="18" t="s">
        <v>1</v>
      </c>
      <c r="M286" s="20" t="s">
        <v>1</v>
      </c>
      <c r="N286" s="46" t="s">
        <v>82</v>
      </c>
      <c r="O286" s="25" t="str">
        <f t="shared" si="11"/>
        <v>"Bairro N° B.012 RA.07 Benfica"</v>
      </c>
      <c r="P286" s="46" t="s">
        <v>1</v>
      </c>
      <c r="Q286" s="25" t="s">
        <v>1</v>
      </c>
      <c r="R286" s="46" t="s">
        <v>1</v>
      </c>
      <c r="S286" s="52" t="s">
        <v>1</v>
      </c>
      <c r="T286" s="46" t="s">
        <v>1</v>
      </c>
      <c r="U286" s="31" t="s">
        <v>1</v>
      </c>
      <c r="V286" s="46" t="s">
        <v>1</v>
      </c>
      <c r="W286" s="31" t="s">
        <v>1</v>
      </c>
      <c r="X286" s="46" t="s">
        <v>1</v>
      </c>
      <c r="Y286" s="31" t="s">
        <v>1</v>
      </c>
      <c r="Z286" s="46" t="s">
        <v>1</v>
      </c>
      <c r="AA286" s="31" t="s">
        <v>1</v>
      </c>
      <c r="AB286" s="46" t="s">
        <v>1</v>
      </c>
      <c r="AC286" s="47" t="s">
        <v>1</v>
      </c>
      <c r="AD286" s="36" t="s">
        <v>1</v>
      </c>
      <c r="AE286" s="51" t="s">
        <v>1</v>
      </c>
      <c r="AF286" s="36" t="s">
        <v>1</v>
      </c>
      <c r="AG286" s="51" t="s">
        <v>1</v>
      </c>
      <c r="AH286" s="36" t="s">
        <v>1</v>
      </c>
      <c r="AI286" s="51" t="s">
        <v>1</v>
      </c>
      <c r="AJ286" s="36" t="s">
        <v>1</v>
      </c>
      <c r="AK286" s="51" t="s">
        <v>1</v>
      </c>
      <c r="AL286" s="36" t="s">
        <v>1</v>
      </c>
      <c r="AM286" s="31" t="s">
        <v>1</v>
      </c>
      <c r="AN286" s="36" t="s">
        <v>1</v>
      </c>
      <c r="AO286" s="31" t="s">
        <v>1</v>
      </c>
      <c r="AP286" s="36" t="s">
        <v>1</v>
      </c>
      <c r="AQ286" s="51" t="s">
        <v>1</v>
      </c>
      <c r="AR286" s="36" t="s">
        <v>1</v>
      </c>
      <c r="AS286" s="47" t="s">
        <v>1</v>
      </c>
      <c r="AT286" s="36" t="s">
        <v>1</v>
      </c>
      <c r="AU286" s="47" t="s">
        <v>1</v>
      </c>
      <c r="AV286" s="36" t="s">
        <v>1</v>
      </c>
      <c r="AW286" s="47" t="s">
        <v>1</v>
      </c>
      <c r="AX286" s="36" t="s">
        <v>2065</v>
      </c>
      <c r="AY286" s="47" t="s">
        <v>2193</v>
      </c>
      <c r="AZ286" s="36" t="s">
        <v>1299</v>
      </c>
      <c r="BA286" s="47" t="s">
        <v>2193</v>
      </c>
      <c r="BB286" s="36" t="s">
        <v>2188</v>
      </c>
      <c r="BC286" s="47" t="s">
        <v>819</v>
      </c>
      <c r="BD286" s="36" t="s">
        <v>2189</v>
      </c>
      <c r="BE286" s="47" t="str">
        <f t="shared" si="10"/>
        <v>"Bairro"</v>
      </c>
    </row>
    <row r="287" spans="1:57" ht="6.65" customHeight="1" x14ac:dyDescent="0.4">
      <c r="A287" s="93">
        <v>287</v>
      </c>
      <c r="B287" s="74" t="s">
        <v>1083</v>
      </c>
      <c r="C287" s="44" t="s">
        <v>664</v>
      </c>
      <c r="D287" s="18" t="s">
        <v>744</v>
      </c>
      <c r="E287" s="48" t="s">
        <v>859</v>
      </c>
      <c r="F287" s="18" t="s">
        <v>820</v>
      </c>
      <c r="G287" s="48" t="s">
        <v>910</v>
      </c>
      <c r="H287" s="18" t="s">
        <v>1062</v>
      </c>
      <c r="I287" s="48" t="s">
        <v>859</v>
      </c>
      <c r="J287" s="18" t="s">
        <v>744</v>
      </c>
      <c r="K287" s="48" t="s">
        <v>1063</v>
      </c>
      <c r="L287" s="18" t="s">
        <v>1</v>
      </c>
      <c r="M287" s="20" t="s">
        <v>1</v>
      </c>
      <c r="N287" s="46" t="s">
        <v>82</v>
      </c>
      <c r="O287" s="25" t="str">
        <f t="shared" si="11"/>
        <v>"Bairro N° B.089 RA.15 Bento.Ribeiro"</v>
      </c>
      <c r="P287" s="46" t="s">
        <v>1</v>
      </c>
      <c r="Q287" s="25" t="s">
        <v>1</v>
      </c>
      <c r="R287" s="46" t="s">
        <v>1</v>
      </c>
      <c r="S287" s="52" t="s">
        <v>1</v>
      </c>
      <c r="T287" s="46" t="s">
        <v>1</v>
      </c>
      <c r="U287" s="31" t="s">
        <v>1</v>
      </c>
      <c r="V287" s="46" t="s">
        <v>1</v>
      </c>
      <c r="W287" s="31" t="s">
        <v>1</v>
      </c>
      <c r="X287" s="46" t="s">
        <v>1</v>
      </c>
      <c r="Y287" s="31" t="s">
        <v>1</v>
      </c>
      <c r="Z287" s="46" t="s">
        <v>1</v>
      </c>
      <c r="AA287" s="31" t="s">
        <v>1</v>
      </c>
      <c r="AB287" s="46" t="s">
        <v>1</v>
      </c>
      <c r="AC287" s="47" t="s">
        <v>1</v>
      </c>
      <c r="AD287" s="36" t="s">
        <v>1</v>
      </c>
      <c r="AE287" s="51" t="s">
        <v>1</v>
      </c>
      <c r="AF287" s="36" t="s">
        <v>1</v>
      </c>
      <c r="AG287" s="51" t="s">
        <v>1</v>
      </c>
      <c r="AH287" s="36" t="s">
        <v>1</v>
      </c>
      <c r="AI287" s="51" t="s">
        <v>1</v>
      </c>
      <c r="AJ287" s="36" t="s">
        <v>1</v>
      </c>
      <c r="AK287" s="51" t="s">
        <v>1</v>
      </c>
      <c r="AL287" s="36" t="s">
        <v>1</v>
      </c>
      <c r="AM287" s="31" t="s">
        <v>1</v>
      </c>
      <c r="AN287" s="36" t="s">
        <v>1</v>
      </c>
      <c r="AO287" s="31" t="s">
        <v>1</v>
      </c>
      <c r="AP287" s="36" t="s">
        <v>1</v>
      </c>
      <c r="AQ287" s="51" t="s">
        <v>1</v>
      </c>
      <c r="AR287" s="36" t="s">
        <v>1</v>
      </c>
      <c r="AS287" s="47" t="s">
        <v>1</v>
      </c>
      <c r="AT287" s="36" t="s">
        <v>1</v>
      </c>
      <c r="AU287" s="47" t="s">
        <v>1</v>
      </c>
      <c r="AV287" s="36" t="s">
        <v>1</v>
      </c>
      <c r="AW287" s="47" t="s">
        <v>1</v>
      </c>
      <c r="AX287" s="36" t="s">
        <v>2065</v>
      </c>
      <c r="AY287" s="47" t="s">
        <v>2193</v>
      </c>
      <c r="AZ287" s="36" t="s">
        <v>1299</v>
      </c>
      <c r="BA287" s="47" t="s">
        <v>2193</v>
      </c>
      <c r="BB287" s="36" t="s">
        <v>2188</v>
      </c>
      <c r="BC287" s="47" t="s">
        <v>819</v>
      </c>
      <c r="BD287" s="36" t="s">
        <v>2189</v>
      </c>
      <c r="BE287" s="47" t="str">
        <f t="shared" si="10"/>
        <v>"Bairro"</v>
      </c>
    </row>
    <row r="288" spans="1:57" ht="6.65" customHeight="1" x14ac:dyDescent="0.4">
      <c r="A288" s="93">
        <v>288</v>
      </c>
      <c r="B288" s="74" t="s">
        <v>1084</v>
      </c>
      <c r="C288" s="44" t="s">
        <v>664</v>
      </c>
      <c r="D288" s="18" t="s">
        <v>744</v>
      </c>
      <c r="E288" s="48" t="s">
        <v>849</v>
      </c>
      <c r="F288" s="18" t="s">
        <v>820</v>
      </c>
      <c r="G288" s="48" t="s">
        <v>911</v>
      </c>
      <c r="H288" s="18" t="s">
        <v>1062</v>
      </c>
      <c r="I288" s="48" t="s">
        <v>849</v>
      </c>
      <c r="J288" s="18" t="s">
        <v>744</v>
      </c>
      <c r="K288" s="48" t="s">
        <v>1063</v>
      </c>
      <c r="L288" s="18" t="s">
        <v>1</v>
      </c>
      <c r="M288" s="20" t="s">
        <v>1</v>
      </c>
      <c r="N288" s="46" t="s">
        <v>82</v>
      </c>
      <c r="O288" s="25" t="str">
        <f t="shared" si="11"/>
        <v>"Bairro N° B.040 RA.10 Bonsucesso"</v>
      </c>
      <c r="P288" s="46" t="s">
        <v>1</v>
      </c>
      <c r="Q288" s="25" t="s">
        <v>1</v>
      </c>
      <c r="R288" s="46" t="s">
        <v>1</v>
      </c>
      <c r="S288" s="52" t="s">
        <v>1</v>
      </c>
      <c r="T288" s="46" t="s">
        <v>1</v>
      </c>
      <c r="U288" s="31" t="s">
        <v>1</v>
      </c>
      <c r="V288" s="46" t="s">
        <v>1</v>
      </c>
      <c r="W288" s="31" t="s">
        <v>1</v>
      </c>
      <c r="X288" s="46" t="s">
        <v>1</v>
      </c>
      <c r="Y288" s="31" t="s">
        <v>1</v>
      </c>
      <c r="Z288" s="46" t="s">
        <v>1</v>
      </c>
      <c r="AA288" s="31" t="s">
        <v>1</v>
      </c>
      <c r="AB288" s="46" t="s">
        <v>1</v>
      </c>
      <c r="AC288" s="47" t="s">
        <v>1</v>
      </c>
      <c r="AD288" s="36" t="s">
        <v>1</v>
      </c>
      <c r="AE288" s="51" t="s">
        <v>1</v>
      </c>
      <c r="AF288" s="36" t="s">
        <v>1</v>
      </c>
      <c r="AG288" s="51" t="s">
        <v>1</v>
      </c>
      <c r="AH288" s="36" t="s">
        <v>1</v>
      </c>
      <c r="AI288" s="51" t="s">
        <v>1</v>
      </c>
      <c r="AJ288" s="36" t="s">
        <v>1</v>
      </c>
      <c r="AK288" s="51" t="s">
        <v>1</v>
      </c>
      <c r="AL288" s="36" t="s">
        <v>1</v>
      </c>
      <c r="AM288" s="31" t="s">
        <v>1</v>
      </c>
      <c r="AN288" s="36" t="s">
        <v>1</v>
      </c>
      <c r="AO288" s="31" t="s">
        <v>1</v>
      </c>
      <c r="AP288" s="36" t="s">
        <v>1</v>
      </c>
      <c r="AQ288" s="51" t="s">
        <v>1</v>
      </c>
      <c r="AR288" s="36" t="s">
        <v>1</v>
      </c>
      <c r="AS288" s="47" t="s">
        <v>1</v>
      </c>
      <c r="AT288" s="36" t="s">
        <v>1</v>
      </c>
      <c r="AU288" s="47" t="s">
        <v>1</v>
      </c>
      <c r="AV288" s="36" t="s">
        <v>1</v>
      </c>
      <c r="AW288" s="47" t="s">
        <v>1</v>
      </c>
      <c r="AX288" s="36" t="s">
        <v>2065</v>
      </c>
      <c r="AY288" s="47" t="s">
        <v>2193</v>
      </c>
      <c r="AZ288" s="36" t="s">
        <v>1299</v>
      </c>
      <c r="BA288" s="47" t="s">
        <v>2193</v>
      </c>
      <c r="BB288" s="36" t="s">
        <v>2188</v>
      </c>
      <c r="BC288" s="47" t="s">
        <v>819</v>
      </c>
      <c r="BD288" s="36" t="s">
        <v>2189</v>
      </c>
      <c r="BE288" s="47" t="str">
        <f t="shared" si="10"/>
        <v>"Bairro"</v>
      </c>
    </row>
    <row r="289" spans="1:57" ht="6.65" customHeight="1" x14ac:dyDescent="0.4">
      <c r="A289" s="93">
        <v>289</v>
      </c>
      <c r="B289" s="74" t="s">
        <v>1085</v>
      </c>
      <c r="C289" s="44" t="s">
        <v>664</v>
      </c>
      <c r="D289" s="18" t="s">
        <v>744</v>
      </c>
      <c r="E289" s="48" t="s">
        <v>837</v>
      </c>
      <c r="F289" s="18" t="s">
        <v>820</v>
      </c>
      <c r="G289" s="48" t="s">
        <v>912</v>
      </c>
      <c r="H289" s="18" t="s">
        <v>1062</v>
      </c>
      <c r="I289" s="48" t="s">
        <v>837</v>
      </c>
      <c r="J289" s="18" t="s">
        <v>744</v>
      </c>
      <c r="K289" s="48" t="s">
        <v>1086</v>
      </c>
      <c r="L289" s="18" t="s">
        <v>1</v>
      </c>
      <c r="M289" s="20" t="s">
        <v>1</v>
      </c>
      <c r="N289" s="46" t="s">
        <v>82</v>
      </c>
      <c r="O289" s="25" t="str">
        <f t="shared" si="11"/>
        <v>"Bairro N° B.020 RA.04 Botafogo"</v>
      </c>
      <c r="P289" s="46" t="s">
        <v>1</v>
      </c>
      <c r="Q289" s="25" t="s">
        <v>1</v>
      </c>
      <c r="R289" s="46" t="s">
        <v>1</v>
      </c>
      <c r="S289" s="52" t="s">
        <v>1</v>
      </c>
      <c r="T289" s="46" t="s">
        <v>1</v>
      </c>
      <c r="U289" s="31" t="s">
        <v>1</v>
      </c>
      <c r="V289" s="46" t="s">
        <v>1</v>
      </c>
      <c r="W289" s="31" t="s">
        <v>1</v>
      </c>
      <c r="X289" s="46" t="s">
        <v>1</v>
      </c>
      <c r="Y289" s="31" t="s">
        <v>1</v>
      </c>
      <c r="Z289" s="46" t="s">
        <v>1</v>
      </c>
      <c r="AA289" s="31" t="s">
        <v>1</v>
      </c>
      <c r="AB289" s="46" t="s">
        <v>1</v>
      </c>
      <c r="AC289" s="47" t="s">
        <v>1</v>
      </c>
      <c r="AD289" s="36" t="s">
        <v>1</v>
      </c>
      <c r="AE289" s="51" t="s">
        <v>1</v>
      </c>
      <c r="AF289" s="36" t="s">
        <v>1</v>
      </c>
      <c r="AG289" s="51" t="s">
        <v>1</v>
      </c>
      <c r="AH289" s="36" t="s">
        <v>1</v>
      </c>
      <c r="AI289" s="51" t="s">
        <v>1</v>
      </c>
      <c r="AJ289" s="36" t="s">
        <v>1</v>
      </c>
      <c r="AK289" s="51" t="s">
        <v>1</v>
      </c>
      <c r="AL289" s="36" t="s">
        <v>1</v>
      </c>
      <c r="AM289" s="31" t="s">
        <v>1</v>
      </c>
      <c r="AN289" s="36" t="s">
        <v>1</v>
      </c>
      <c r="AO289" s="31" t="s">
        <v>1</v>
      </c>
      <c r="AP289" s="36" t="s">
        <v>1</v>
      </c>
      <c r="AQ289" s="51" t="s">
        <v>1</v>
      </c>
      <c r="AR289" s="36" t="s">
        <v>1</v>
      </c>
      <c r="AS289" s="47" t="s">
        <v>1</v>
      </c>
      <c r="AT289" s="36" t="s">
        <v>1</v>
      </c>
      <c r="AU289" s="47" t="s">
        <v>1</v>
      </c>
      <c r="AV289" s="36" t="s">
        <v>1</v>
      </c>
      <c r="AW289" s="47" t="s">
        <v>1</v>
      </c>
      <c r="AX289" s="36" t="s">
        <v>2065</v>
      </c>
      <c r="AY289" s="47" t="s">
        <v>2193</v>
      </c>
      <c r="AZ289" s="36" t="s">
        <v>1299</v>
      </c>
      <c r="BA289" s="47" t="s">
        <v>2193</v>
      </c>
      <c r="BB289" s="36" t="s">
        <v>2188</v>
      </c>
      <c r="BC289" s="47" t="s">
        <v>819</v>
      </c>
      <c r="BD289" s="36" t="s">
        <v>2189</v>
      </c>
      <c r="BE289" s="47" t="str">
        <f t="shared" si="10"/>
        <v>"Bairro"</v>
      </c>
    </row>
    <row r="290" spans="1:57" ht="6.65" customHeight="1" x14ac:dyDescent="0.4">
      <c r="A290" s="93">
        <v>290</v>
      </c>
      <c r="B290" s="74" t="s">
        <v>1087</v>
      </c>
      <c r="C290" s="44" t="s">
        <v>664</v>
      </c>
      <c r="D290" s="18" t="s">
        <v>744</v>
      </c>
      <c r="E290" s="48" t="s">
        <v>851</v>
      </c>
      <c r="F290" s="18" t="s">
        <v>820</v>
      </c>
      <c r="G290" s="48" t="s">
        <v>913</v>
      </c>
      <c r="H290" s="18" t="s">
        <v>1062</v>
      </c>
      <c r="I290" s="48" t="s">
        <v>851</v>
      </c>
      <c r="J290" s="18" t="s">
        <v>744</v>
      </c>
      <c r="K290" s="48" t="s">
        <v>1063</v>
      </c>
      <c r="L290" s="18" t="s">
        <v>1</v>
      </c>
      <c r="M290" s="20" t="s">
        <v>1</v>
      </c>
      <c r="N290" s="46" t="s">
        <v>82</v>
      </c>
      <c r="O290" s="25" t="str">
        <f t="shared" si="11"/>
        <v>"Bairro N° B.045 RA.11 Brás.de.Pina"</v>
      </c>
      <c r="P290" s="46" t="s">
        <v>1</v>
      </c>
      <c r="Q290" s="25" t="s">
        <v>1</v>
      </c>
      <c r="R290" s="46" t="s">
        <v>1</v>
      </c>
      <c r="S290" s="52" t="s">
        <v>1</v>
      </c>
      <c r="T290" s="46" t="s">
        <v>1</v>
      </c>
      <c r="U290" s="31" t="s">
        <v>1</v>
      </c>
      <c r="V290" s="46" t="s">
        <v>1</v>
      </c>
      <c r="W290" s="31" t="s">
        <v>1</v>
      </c>
      <c r="X290" s="46" t="s">
        <v>1</v>
      </c>
      <c r="Y290" s="31" t="s">
        <v>1</v>
      </c>
      <c r="Z290" s="46" t="s">
        <v>1</v>
      </c>
      <c r="AA290" s="31" t="s">
        <v>1</v>
      </c>
      <c r="AB290" s="46" t="s">
        <v>1</v>
      </c>
      <c r="AC290" s="47" t="s">
        <v>1</v>
      </c>
      <c r="AD290" s="36" t="s">
        <v>1</v>
      </c>
      <c r="AE290" s="51" t="s">
        <v>1</v>
      </c>
      <c r="AF290" s="36" t="s">
        <v>1</v>
      </c>
      <c r="AG290" s="51" t="s">
        <v>1</v>
      </c>
      <c r="AH290" s="36" t="s">
        <v>1</v>
      </c>
      <c r="AI290" s="51" t="s">
        <v>1</v>
      </c>
      <c r="AJ290" s="36" t="s">
        <v>1</v>
      </c>
      <c r="AK290" s="51" t="s">
        <v>1</v>
      </c>
      <c r="AL290" s="36" t="s">
        <v>1</v>
      </c>
      <c r="AM290" s="31" t="s">
        <v>1</v>
      </c>
      <c r="AN290" s="36" t="s">
        <v>1</v>
      </c>
      <c r="AO290" s="31" t="s">
        <v>1</v>
      </c>
      <c r="AP290" s="36" t="s">
        <v>1</v>
      </c>
      <c r="AQ290" s="51" t="s">
        <v>1</v>
      </c>
      <c r="AR290" s="36" t="s">
        <v>1</v>
      </c>
      <c r="AS290" s="47" t="s">
        <v>1</v>
      </c>
      <c r="AT290" s="36" t="s">
        <v>1</v>
      </c>
      <c r="AU290" s="47" t="s">
        <v>1</v>
      </c>
      <c r="AV290" s="36" t="s">
        <v>1</v>
      </c>
      <c r="AW290" s="47" t="s">
        <v>1</v>
      </c>
      <c r="AX290" s="36" t="s">
        <v>2065</v>
      </c>
      <c r="AY290" s="47" t="s">
        <v>2193</v>
      </c>
      <c r="AZ290" s="36" t="s">
        <v>1299</v>
      </c>
      <c r="BA290" s="47" t="s">
        <v>2193</v>
      </c>
      <c r="BB290" s="36" t="s">
        <v>2188</v>
      </c>
      <c r="BC290" s="47" t="s">
        <v>819</v>
      </c>
      <c r="BD290" s="36" t="s">
        <v>2189</v>
      </c>
      <c r="BE290" s="47" t="str">
        <f t="shared" si="10"/>
        <v>"Bairro"</v>
      </c>
    </row>
    <row r="291" spans="1:57" ht="6.65" customHeight="1" x14ac:dyDescent="0.4">
      <c r="A291" s="93">
        <v>291</v>
      </c>
      <c r="B291" s="74" t="s">
        <v>1088</v>
      </c>
      <c r="C291" s="44" t="s">
        <v>664</v>
      </c>
      <c r="D291" s="18" t="s">
        <v>744</v>
      </c>
      <c r="E291" s="48" t="s">
        <v>855</v>
      </c>
      <c r="F291" s="18" t="s">
        <v>820</v>
      </c>
      <c r="G291" s="48" t="s">
        <v>914</v>
      </c>
      <c r="H291" s="18" t="s">
        <v>1062</v>
      </c>
      <c r="I291" s="48" t="s">
        <v>855</v>
      </c>
      <c r="J291" s="18" t="s">
        <v>744</v>
      </c>
      <c r="K291" s="48" t="s">
        <v>1063</v>
      </c>
      <c r="L291" s="18" t="s">
        <v>1</v>
      </c>
      <c r="M291" s="20" t="s">
        <v>1</v>
      </c>
      <c r="N291" s="46" t="s">
        <v>82</v>
      </c>
      <c r="O291" s="25" t="str">
        <f t="shared" si="11"/>
        <v>"Bairro N° B.065 RA.13 Cachambi"</v>
      </c>
      <c r="P291" s="46" t="s">
        <v>1</v>
      </c>
      <c r="Q291" s="25" t="s">
        <v>1</v>
      </c>
      <c r="R291" s="46" t="s">
        <v>1</v>
      </c>
      <c r="S291" s="52" t="s">
        <v>1</v>
      </c>
      <c r="T291" s="46" t="s">
        <v>1</v>
      </c>
      <c r="U291" s="31" t="s">
        <v>1</v>
      </c>
      <c r="V291" s="46" t="s">
        <v>1</v>
      </c>
      <c r="W291" s="31" t="s">
        <v>1</v>
      </c>
      <c r="X291" s="46" t="s">
        <v>1</v>
      </c>
      <c r="Y291" s="31" t="s">
        <v>1</v>
      </c>
      <c r="Z291" s="46" t="s">
        <v>1</v>
      </c>
      <c r="AA291" s="31" t="s">
        <v>1</v>
      </c>
      <c r="AB291" s="46" t="s">
        <v>1</v>
      </c>
      <c r="AC291" s="47" t="s">
        <v>1</v>
      </c>
      <c r="AD291" s="36" t="s">
        <v>1</v>
      </c>
      <c r="AE291" s="51" t="s">
        <v>1</v>
      </c>
      <c r="AF291" s="36" t="s">
        <v>1</v>
      </c>
      <c r="AG291" s="51" t="s">
        <v>1</v>
      </c>
      <c r="AH291" s="36" t="s">
        <v>1</v>
      </c>
      <c r="AI291" s="51" t="s">
        <v>1</v>
      </c>
      <c r="AJ291" s="36" t="s">
        <v>1</v>
      </c>
      <c r="AK291" s="51" t="s">
        <v>1</v>
      </c>
      <c r="AL291" s="36" t="s">
        <v>1</v>
      </c>
      <c r="AM291" s="31" t="s">
        <v>1</v>
      </c>
      <c r="AN291" s="36" t="s">
        <v>1</v>
      </c>
      <c r="AO291" s="31" t="s">
        <v>1</v>
      </c>
      <c r="AP291" s="36" t="s">
        <v>1</v>
      </c>
      <c r="AQ291" s="51" t="s">
        <v>1</v>
      </c>
      <c r="AR291" s="36" t="s">
        <v>1</v>
      </c>
      <c r="AS291" s="47" t="s">
        <v>1</v>
      </c>
      <c r="AT291" s="36" t="s">
        <v>1</v>
      </c>
      <c r="AU291" s="47" t="s">
        <v>1</v>
      </c>
      <c r="AV291" s="36" t="s">
        <v>1</v>
      </c>
      <c r="AW291" s="47" t="s">
        <v>1</v>
      </c>
      <c r="AX291" s="36" t="s">
        <v>2065</v>
      </c>
      <c r="AY291" s="47" t="s">
        <v>2193</v>
      </c>
      <c r="AZ291" s="36" t="s">
        <v>1299</v>
      </c>
      <c r="BA291" s="47" t="s">
        <v>2193</v>
      </c>
      <c r="BB291" s="36" t="s">
        <v>2188</v>
      </c>
      <c r="BC291" s="47" t="s">
        <v>819</v>
      </c>
      <c r="BD291" s="36" t="s">
        <v>2189</v>
      </c>
      <c r="BE291" s="47" t="str">
        <f t="shared" si="10"/>
        <v>"Bairro"</v>
      </c>
    </row>
    <row r="292" spans="1:57" ht="6.65" customHeight="1" x14ac:dyDescent="0.4">
      <c r="A292" s="93">
        <v>292</v>
      </c>
      <c r="B292" s="74" t="s">
        <v>1089</v>
      </c>
      <c r="C292" s="44" t="s">
        <v>664</v>
      </c>
      <c r="D292" s="18" t="s">
        <v>744</v>
      </c>
      <c r="E292" s="48" t="s">
        <v>869</v>
      </c>
      <c r="F292" s="18" t="s">
        <v>820</v>
      </c>
      <c r="G292" s="48" t="s">
        <v>915</v>
      </c>
      <c r="H292" s="18" t="s">
        <v>1062</v>
      </c>
      <c r="I292" s="48" t="s">
        <v>869</v>
      </c>
      <c r="J292" s="18" t="s">
        <v>744</v>
      </c>
      <c r="K292" s="48" t="s">
        <v>1073</v>
      </c>
      <c r="L292" s="18" t="s">
        <v>1</v>
      </c>
      <c r="M292" s="20" t="s">
        <v>1</v>
      </c>
      <c r="N292" s="46" t="s">
        <v>82</v>
      </c>
      <c r="O292" s="25" t="str">
        <f t="shared" si="11"/>
        <v>"Bairro N° B.093 RA.20 Cacuia"</v>
      </c>
      <c r="P292" s="46" t="s">
        <v>1</v>
      </c>
      <c r="Q292" s="25" t="s">
        <v>1</v>
      </c>
      <c r="R292" s="46" t="s">
        <v>1</v>
      </c>
      <c r="S292" s="52" t="s">
        <v>1</v>
      </c>
      <c r="T292" s="46" t="s">
        <v>1</v>
      </c>
      <c r="U292" s="31" t="s">
        <v>1</v>
      </c>
      <c r="V292" s="46" t="s">
        <v>1</v>
      </c>
      <c r="W292" s="31" t="s">
        <v>1</v>
      </c>
      <c r="X292" s="46" t="s">
        <v>1</v>
      </c>
      <c r="Y292" s="31" t="s">
        <v>1</v>
      </c>
      <c r="Z292" s="46" t="s">
        <v>1</v>
      </c>
      <c r="AA292" s="31" t="s">
        <v>1</v>
      </c>
      <c r="AB292" s="46" t="s">
        <v>1</v>
      </c>
      <c r="AC292" s="47" t="s">
        <v>1</v>
      </c>
      <c r="AD292" s="36" t="s">
        <v>1</v>
      </c>
      <c r="AE292" s="51" t="s">
        <v>1</v>
      </c>
      <c r="AF292" s="36" t="s">
        <v>1</v>
      </c>
      <c r="AG292" s="51" t="s">
        <v>1</v>
      </c>
      <c r="AH292" s="36" t="s">
        <v>1</v>
      </c>
      <c r="AI292" s="51" t="s">
        <v>1</v>
      </c>
      <c r="AJ292" s="36" t="s">
        <v>1</v>
      </c>
      <c r="AK292" s="51" t="s">
        <v>1</v>
      </c>
      <c r="AL292" s="36" t="s">
        <v>1</v>
      </c>
      <c r="AM292" s="31" t="s">
        <v>1</v>
      </c>
      <c r="AN292" s="36" t="s">
        <v>1</v>
      </c>
      <c r="AO292" s="31" t="s">
        <v>1</v>
      </c>
      <c r="AP292" s="36" t="s">
        <v>1</v>
      </c>
      <c r="AQ292" s="51" t="s">
        <v>1</v>
      </c>
      <c r="AR292" s="36" t="s">
        <v>1</v>
      </c>
      <c r="AS292" s="47" t="s">
        <v>1</v>
      </c>
      <c r="AT292" s="36" t="s">
        <v>1</v>
      </c>
      <c r="AU292" s="47" t="s">
        <v>1</v>
      </c>
      <c r="AV292" s="36" t="s">
        <v>1</v>
      </c>
      <c r="AW292" s="47" t="s">
        <v>1</v>
      </c>
      <c r="AX292" s="36" t="s">
        <v>2065</v>
      </c>
      <c r="AY292" s="47" t="s">
        <v>2193</v>
      </c>
      <c r="AZ292" s="36" t="s">
        <v>1299</v>
      </c>
      <c r="BA292" s="47" t="s">
        <v>2193</v>
      </c>
      <c r="BB292" s="36" t="s">
        <v>2188</v>
      </c>
      <c r="BC292" s="47" t="s">
        <v>819</v>
      </c>
      <c r="BD292" s="36" t="s">
        <v>2189</v>
      </c>
      <c r="BE292" s="47" t="str">
        <f t="shared" si="10"/>
        <v>"Bairro"</v>
      </c>
    </row>
    <row r="293" spans="1:57" ht="6.65" customHeight="1" x14ac:dyDescent="0.4">
      <c r="A293" s="93">
        <v>293</v>
      </c>
      <c r="B293" s="74" t="s">
        <v>1090</v>
      </c>
      <c r="C293" s="44" t="s">
        <v>664</v>
      </c>
      <c r="D293" s="18" t="s">
        <v>744</v>
      </c>
      <c r="E293" s="48" t="s">
        <v>831</v>
      </c>
      <c r="F293" s="18" t="s">
        <v>820</v>
      </c>
      <c r="G293" s="48" t="s">
        <v>916</v>
      </c>
      <c r="H293" s="18" t="s">
        <v>1062</v>
      </c>
      <c r="I293" s="48" t="s">
        <v>831</v>
      </c>
      <c r="J293" s="18" t="s">
        <v>744</v>
      </c>
      <c r="K293" s="48" t="s">
        <v>1082</v>
      </c>
      <c r="L293" s="18" t="s">
        <v>1</v>
      </c>
      <c r="M293" s="20" t="s">
        <v>1</v>
      </c>
      <c r="N293" s="46" t="s">
        <v>82</v>
      </c>
      <c r="O293" s="25" t="str">
        <f t="shared" si="11"/>
        <v>"Bairro N° B.004 RA.01 Caju"</v>
      </c>
      <c r="P293" s="46" t="s">
        <v>1</v>
      </c>
      <c r="Q293" s="25" t="s">
        <v>1</v>
      </c>
      <c r="R293" s="46" t="s">
        <v>1</v>
      </c>
      <c r="S293" s="52" t="s">
        <v>1</v>
      </c>
      <c r="T293" s="46" t="s">
        <v>1</v>
      </c>
      <c r="U293" s="31" t="s">
        <v>1</v>
      </c>
      <c r="V293" s="46" t="s">
        <v>1</v>
      </c>
      <c r="W293" s="31" t="s">
        <v>1</v>
      </c>
      <c r="X293" s="46" t="s">
        <v>1</v>
      </c>
      <c r="Y293" s="31" t="s">
        <v>1</v>
      </c>
      <c r="Z293" s="46" t="s">
        <v>1</v>
      </c>
      <c r="AA293" s="31" t="s">
        <v>1</v>
      </c>
      <c r="AB293" s="46" t="s">
        <v>1</v>
      </c>
      <c r="AC293" s="47" t="s">
        <v>1</v>
      </c>
      <c r="AD293" s="36" t="s">
        <v>1</v>
      </c>
      <c r="AE293" s="51" t="s">
        <v>1</v>
      </c>
      <c r="AF293" s="36" t="s">
        <v>1</v>
      </c>
      <c r="AG293" s="51" t="s">
        <v>1</v>
      </c>
      <c r="AH293" s="36" t="s">
        <v>1</v>
      </c>
      <c r="AI293" s="51" t="s">
        <v>1</v>
      </c>
      <c r="AJ293" s="36" t="s">
        <v>1</v>
      </c>
      <c r="AK293" s="51" t="s">
        <v>1</v>
      </c>
      <c r="AL293" s="36" t="s">
        <v>1</v>
      </c>
      <c r="AM293" s="31" t="s">
        <v>1</v>
      </c>
      <c r="AN293" s="36" t="s">
        <v>1</v>
      </c>
      <c r="AO293" s="31" t="s">
        <v>1</v>
      </c>
      <c r="AP293" s="36" t="s">
        <v>1</v>
      </c>
      <c r="AQ293" s="51" t="s">
        <v>1</v>
      </c>
      <c r="AR293" s="36" t="s">
        <v>1</v>
      </c>
      <c r="AS293" s="47" t="s">
        <v>1</v>
      </c>
      <c r="AT293" s="36" t="s">
        <v>1</v>
      </c>
      <c r="AU293" s="47" t="s">
        <v>1</v>
      </c>
      <c r="AV293" s="36" t="s">
        <v>1</v>
      </c>
      <c r="AW293" s="47" t="s">
        <v>1</v>
      </c>
      <c r="AX293" s="36" t="s">
        <v>2065</v>
      </c>
      <c r="AY293" s="47" t="s">
        <v>2193</v>
      </c>
      <c r="AZ293" s="36" t="s">
        <v>1299</v>
      </c>
      <c r="BA293" s="47" t="s">
        <v>2193</v>
      </c>
      <c r="BB293" s="36" t="s">
        <v>2188</v>
      </c>
      <c r="BC293" s="47" t="s">
        <v>819</v>
      </c>
      <c r="BD293" s="36" t="s">
        <v>2189</v>
      </c>
      <c r="BE293" s="47" t="str">
        <f t="shared" si="10"/>
        <v>"Bairro"</v>
      </c>
    </row>
    <row r="294" spans="1:57" ht="6.65" customHeight="1" x14ac:dyDescent="0.4">
      <c r="A294" s="93">
        <v>294</v>
      </c>
      <c r="B294" s="74" t="s">
        <v>1091</v>
      </c>
      <c r="C294" s="44" t="s">
        <v>664</v>
      </c>
      <c r="D294" s="18" t="s">
        <v>744</v>
      </c>
      <c r="E294" s="48" t="s">
        <v>877</v>
      </c>
      <c r="F294" s="18" t="s">
        <v>820</v>
      </c>
      <c r="G294" s="48" t="s">
        <v>917</v>
      </c>
      <c r="H294" s="18" t="s">
        <v>1062</v>
      </c>
      <c r="I294" s="48" t="s">
        <v>877</v>
      </c>
      <c r="J294" s="18" t="s">
        <v>744</v>
      </c>
      <c r="K294" s="48" t="s">
        <v>1077</v>
      </c>
      <c r="L294" s="18" t="s">
        <v>1</v>
      </c>
      <c r="M294" s="20" t="s">
        <v>1</v>
      </c>
      <c r="N294" s="46" t="s">
        <v>82</v>
      </c>
      <c r="O294" s="25" t="str">
        <f t="shared" si="11"/>
        <v>"Bairro N° B.129 RA.24 Camorim"</v>
      </c>
      <c r="P294" s="46" t="s">
        <v>1</v>
      </c>
      <c r="Q294" s="25" t="s">
        <v>1</v>
      </c>
      <c r="R294" s="46" t="s">
        <v>1</v>
      </c>
      <c r="S294" s="52" t="s">
        <v>1</v>
      </c>
      <c r="T294" s="46" t="s">
        <v>1</v>
      </c>
      <c r="U294" s="31" t="s">
        <v>1</v>
      </c>
      <c r="V294" s="46" t="s">
        <v>1</v>
      </c>
      <c r="W294" s="31" t="s">
        <v>1</v>
      </c>
      <c r="X294" s="46" t="s">
        <v>1</v>
      </c>
      <c r="Y294" s="31" t="s">
        <v>1</v>
      </c>
      <c r="Z294" s="46" t="s">
        <v>1</v>
      </c>
      <c r="AA294" s="31" t="s">
        <v>1</v>
      </c>
      <c r="AB294" s="46" t="s">
        <v>1</v>
      </c>
      <c r="AC294" s="47" t="s">
        <v>1</v>
      </c>
      <c r="AD294" s="36" t="s">
        <v>1</v>
      </c>
      <c r="AE294" s="51" t="s">
        <v>1</v>
      </c>
      <c r="AF294" s="36" t="s">
        <v>1</v>
      </c>
      <c r="AG294" s="51" t="s">
        <v>1</v>
      </c>
      <c r="AH294" s="36" t="s">
        <v>1</v>
      </c>
      <c r="AI294" s="51" t="s">
        <v>1</v>
      </c>
      <c r="AJ294" s="36" t="s">
        <v>1</v>
      </c>
      <c r="AK294" s="51" t="s">
        <v>1</v>
      </c>
      <c r="AL294" s="36" t="s">
        <v>1</v>
      </c>
      <c r="AM294" s="31" t="s">
        <v>1</v>
      </c>
      <c r="AN294" s="36" t="s">
        <v>1</v>
      </c>
      <c r="AO294" s="31" t="s">
        <v>1</v>
      </c>
      <c r="AP294" s="36" t="s">
        <v>1</v>
      </c>
      <c r="AQ294" s="51" t="s">
        <v>1</v>
      </c>
      <c r="AR294" s="36" t="s">
        <v>1</v>
      </c>
      <c r="AS294" s="47" t="s">
        <v>1</v>
      </c>
      <c r="AT294" s="36" t="s">
        <v>1</v>
      </c>
      <c r="AU294" s="47" t="s">
        <v>1</v>
      </c>
      <c r="AV294" s="36" t="s">
        <v>1</v>
      </c>
      <c r="AW294" s="47" t="s">
        <v>1</v>
      </c>
      <c r="AX294" s="36" t="s">
        <v>2065</v>
      </c>
      <c r="AY294" s="47" t="s">
        <v>2193</v>
      </c>
      <c r="AZ294" s="36" t="s">
        <v>1299</v>
      </c>
      <c r="BA294" s="47" t="s">
        <v>2193</v>
      </c>
      <c r="BB294" s="36" t="s">
        <v>2188</v>
      </c>
      <c r="BC294" s="47" t="s">
        <v>819</v>
      </c>
      <c r="BD294" s="36" t="s">
        <v>2189</v>
      </c>
      <c r="BE294" s="47" t="str">
        <f t="shared" si="10"/>
        <v>"Bairro"</v>
      </c>
    </row>
    <row r="295" spans="1:57" ht="6.65" customHeight="1" x14ac:dyDescent="0.4">
      <c r="A295" s="93">
        <v>295</v>
      </c>
      <c r="B295" s="74" t="s">
        <v>1092</v>
      </c>
      <c r="C295" s="44" t="s">
        <v>664</v>
      </c>
      <c r="D295" s="18" t="s">
        <v>744</v>
      </c>
      <c r="E295" s="48" t="s">
        <v>859</v>
      </c>
      <c r="F295" s="18" t="s">
        <v>820</v>
      </c>
      <c r="G295" s="48" t="s">
        <v>918</v>
      </c>
      <c r="H295" s="18" t="s">
        <v>1062</v>
      </c>
      <c r="I295" s="48" t="s">
        <v>859</v>
      </c>
      <c r="J295" s="18" t="s">
        <v>744</v>
      </c>
      <c r="K295" s="48" t="s">
        <v>1063</v>
      </c>
      <c r="L295" s="18" t="s">
        <v>1</v>
      </c>
      <c r="M295" s="20" t="s">
        <v>1</v>
      </c>
      <c r="N295" s="46" t="s">
        <v>82</v>
      </c>
      <c r="O295" s="25" t="str">
        <f t="shared" si="11"/>
        <v>"Bairro N° B.078 RA.15 Campinho"</v>
      </c>
      <c r="P295" s="46" t="s">
        <v>1</v>
      </c>
      <c r="Q295" s="25" t="s">
        <v>1</v>
      </c>
      <c r="R295" s="46" t="s">
        <v>1</v>
      </c>
      <c r="S295" s="52" t="s">
        <v>1</v>
      </c>
      <c r="T295" s="46" t="s">
        <v>1</v>
      </c>
      <c r="U295" s="31" t="s">
        <v>1</v>
      </c>
      <c r="V295" s="46" t="s">
        <v>1</v>
      </c>
      <c r="W295" s="31" t="s">
        <v>1</v>
      </c>
      <c r="X295" s="46" t="s">
        <v>1</v>
      </c>
      <c r="Y295" s="31" t="s">
        <v>1</v>
      </c>
      <c r="Z295" s="46" t="s">
        <v>1</v>
      </c>
      <c r="AA295" s="31" t="s">
        <v>1</v>
      </c>
      <c r="AB295" s="46" t="s">
        <v>1</v>
      </c>
      <c r="AC295" s="47" t="s">
        <v>1</v>
      </c>
      <c r="AD295" s="36" t="s">
        <v>1</v>
      </c>
      <c r="AE295" s="51" t="s">
        <v>1</v>
      </c>
      <c r="AF295" s="36" t="s">
        <v>1</v>
      </c>
      <c r="AG295" s="51" t="s">
        <v>1</v>
      </c>
      <c r="AH295" s="36" t="s">
        <v>1</v>
      </c>
      <c r="AI295" s="51" t="s">
        <v>1</v>
      </c>
      <c r="AJ295" s="36" t="s">
        <v>1</v>
      </c>
      <c r="AK295" s="51" t="s">
        <v>1</v>
      </c>
      <c r="AL295" s="36" t="s">
        <v>1</v>
      </c>
      <c r="AM295" s="31" t="s">
        <v>1</v>
      </c>
      <c r="AN295" s="36" t="s">
        <v>1</v>
      </c>
      <c r="AO295" s="31" t="s">
        <v>1</v>
      </c>
      <c r="AP295" s="36" t="s">
        <v>1</v>
      </c>
      <c r="AQ295" s="51" t="s">
        <v>1</v>
      </c>
      <c r="AR295" s="36" t="s">
        <v>1</v>
      </c>
      <c r="AS295" s="47" t="s">
        <v>1</v>
      </c>
      <c r="AT295" s="36" t="s">
        <v>1</v>
      </c>
      <c r="AU295" s="47" t="s">
        <v>1</v>
      </c>
      <c r="AV295" s="36" t="s">
        <v>1</v>
      </c>
      <c r="AW295" s="47" t="s">
        <v>1</v>
      </c>
      <c r="AX295" s="36" t="s">
        <v>2065</v>
      </c>
      <c r="AY295" s="47" t="s">
        <v>2193</v>
      </c>
      <c r="AZ295" s="36" t="s">
        <v>1299</v>
      </c>
      <c r="BA295" s="47" t="s">
        <v>2193</v>
      </c>
      <c r="BB295" s="36" t="s">
        <v>2188</v>
      </c>
      <c r="BC295" s="47" t="s">
        <v>819</v>
      </c>
      <c r="BD295" s="36" t="s">
        <v>2189</v>
      </c>
      <c r="BE295" s="47" t="str">
        <f t="shared" si="10"/>
        <v>"Bairro"</v>
      </c>
    </row>
    <row r="296" spans="1:57" ht="6.65" customHeight="1" x14ac:dyDescent="0.4">
      <c r="A296" s="93">
        <v>296</v>
      </c>
      <c r="B296" s="74" t="s">
        <v>1093</v>
      </c>
      <c r="C296" s="44" t="s">
        <v>664</v>
      </c>
      <c r="D296" s="18" t="s">
        <v>744</v>
      </c>
      <c r="E296" s="48" t="s">
        <v>893</v>
      </c>
      <c r="F296" s="18" t="s">
        <v>820</v>
      </c>
      <c r="G296" s="48" t="s">
        <v>919</v>
      </c>
      <c r="H296" s="18" t="s">
        <v>1062</v>
      </c>
      <c r="I296" s="48" t="s">
        <v>893</v>
      </c>
      <c r="J296" s="18" t="s">
        <v>744</v>
      </c>
      <c r="K296" s="48" t="s">
        <v>1075</v>
      </c>
      <c r="L296" s="18" t="s">
        <v>1</v>
      </c>
      <c r="M296" s="20" t="s">
        <v>1</v>
      </c>
      <c r="N296" s="46" t="s">
        <v>82</v>
      </c>
      <c r="O296" s="25" t="str">
        <f t="shared" si="11"/>
        <v>"Bairro N° B.136 RA.32 Campo.dos.Afonsos"</v>
      </c>
      <c r="P296" s="46" t="s">
        <v>1</v>
      </c>
      <c r="Q296" s="25" t="s">
        <v>1</v>
      </c>
      <c r="R296" s="46" t="s">
        <v>1</v>
      </c>
      <c r="S296" s="52" t="s">
        <v>1</v>
      </c>
      <c r="T296" s="46" t="s">
        <v>1</v>
      </c>
      <c r="U296" s="31" t="s">
        <v>1</v>
      </c>
      <c r="V296" s="46" t="s">
        <v>1</v>
      </c>
      <c r="W296" s="31" t="s">
        <v>1</v>
      </c>
      <c r="X296" s="46" t="s">
        <v>1</v>
      </c>
      <c r="Y296" s="31" t="s">
        <v>1</v>
      </c>
      <c r="Z296" s="46" t="s">
        <v>1</v>
      </c>
      <c r="AA296" s="31" t="s">
        <v>1</v>
      </c>
      <c r="AB296" s="46" t="s">
        <v>1</v>
      </c>
      <c r="AC296" s="47" t="s">
        <v>1</v>
      </c>
      <c r="AD296" s="36" t="s">
        <v>1</v>
      </c>
      <c r="AE296" s="51" t="s">
        <v>1</v>
      </c>
      <c r="AF296" s="36" t="s">
        <v>1</v>
      </c>
      <c r="AG296" s="51" t="s">
        <v>1</v>
      </c>
      <c r="AH296" s="36" t="s">
        <v>1</v>
      </c>
      <c r="AI296" s="51" t="s">
        <v>1</v>
      </c>
      <c r="AJ296" s="36" t="s">
        <v>1</v>
      </c>
      <c r="AK296" s="51" t="s">
        <v>1</v>
      </c>
      <c r="AL296" s="36" t="s">
        <v>1</v>
      </c>
      <c r="AM296" s="31" t="s">
        <v>1</v>
      </c>
      <c r="AN296" s="36" t="s">
        <v>1</v>
      </c>
      <c r="AO296" s="31" t="s">
        <v>1</v>
      </c>
      <c r="AP296" s="36" t="s">
        <v>1</v>
      </c>
      <c r="AQ296" s="51" t="s">
        <v>1</v>
      </c>
      <c r="AR296" s="36" t="s">
        <v>1</v>
      </c>
      <c r="AS296" s="47" t="s">
        <v>1</v>
      </c>
      <c r="AT296" s="36" t="s">
        <v>1</v>
      </c>
      <c r="AU296" s="47" t="s">
        <v>1</v>
      </c>
      <c r="AV296" s="36" t="s">
        <v>1</v>
      </c>
      <c r="AW296" s="47" t="s">
        <v>1</v>
      </c>
      <c r="AX296" s="36" t="s">
        <v>2065</v>
      </c>
      <c r="AY296" s="47" t="s">
        <v>2193</v>
      </c>
      <c r="AZ296" s="36" t="s">
        <v>1299</v>
      </c>
      <c r="BA296" s="47" t="s">
        <v>2193</v>
      </c>
      <c r="BB296" s="36" t="s">
        <v>2188</v>
      </c>
      <c r="BC296" s="47" t="s">
        <v>819</v>
      </c>
      <c r="BD296" s="36" t="s">
        <v>2189</v>
      </c>
      <c r="BE296" s="47" t="str">
        <f t="shared" si="10"/>
        <v>"Bairro"</v>
      </c>
    </row>
    <row r="297" spans="1:57" ht="6.65" customHeight="1" x14ac:dyDescent="0.4">
      <c r="A297" s="93">
        <v>297</v>
      </c>
      <c r="B297" s="74" t="s">
        <v>1094</v>
      </c>
      <c r="C297" s="44" t="s">
        <v>664</v>
      </c>
      <c r="D297" s="18" t="s">
        <v>744</v>
      </c>
      <c r="E297" s="48" t="s">
        <v>865</v>
      </c>
      <c r="F297" s="18" t="s">
        <v>820</v>
      </c>
      <c r="G297" s="48" t="s">
        <v>920</v>
      </c>
      <c r="H297" s="18" t="s">
        <v>1062</v>
      </c>
      <c r="I297" s="48" t="s">
        <v>865</v>
      </c>
      <c r="J297" s="18" t="s">
        <v>744</v>
      </c>
      <c r="K297" s="48" t="s">
        <v>1079</v>
      </c>
      <c r="L297" s="18" t="s">
        <v>1</v>
      </c>
      <c r="M297" s="20" t="s">
        <v>1</v>
      </c>
      <c r="N297" s="46" t="s">
        <v>82</v>
      </c>
      <c r="O297" s="25" t="str">
        <f t="shared" si="11"/>
        <v>"Bairro N° B.144 RA.18 Cmpo.Grande"</v>
      </c>
      <c r="P297" s="46" t="s">
        <v>1</v>
      </c>
      <c r="Q297" s="25" t="s">
        <v>1</v>
      </c>
      <c r="R297" s="46" t="s">
        <v>1</v>
      </c>
      <c r="S297" s="52" t="s">
        <v>1</v>
      </c>
      <c r="T297" s="46" t="s">
        <v>1</v>
      </c>
      <c r="U297" s="31" t="s">
        <v>1</v>
      </c>
      <c r="V297" s="46" t="s">
        <v>1</v>
      </c>
      <c r="W297" s="31" t="s">
        <v>1</v>
      </c>
      <c r="X297" s="46" t="s">
        <v>1</v>
      </c>
      <c r="Y297" s="31" t="s">
        <v>1</v>
      </c>
      <c r="Z297" s="46" t="s">
        <v>1</v>
      </c>
      <c r="AA297" s="31" t="s">
        <v>1</v>
      </c>
      <c r="AB297" s="46" t="s">
        <v>1</v>
      </c>
      <c r="AC297" s="47" t="s">
        <v>1</v>
      </c>
      <c r="AD297" s="36" t="s">
        <v>1</v>
      </c>
      <c r="AE297" s="51" t="s">
        <v>1</v>
      </c>
      <c r="AF297" s="36" t="s">
        <v>1</v>
      </c>
      <c r="AG297" s="51" t="s">
        <v>1</v>
      </c>
      <c r="AH297" s="36" t="s">
        <v>1</v>
      </c>
      <c r="AI297" s="51" t="s">
        <v>1</v>
      </c>
      <c r="AJ297" s="36" t="s">
        <v>1</v>
      </c>
      <c r="AK297" s="51" t="s">
        <v>1</v>
      </c>
      <c r="AL297" s="36" t="s">
        <v>1</v>
      </c>
      <c r="AM297" s="31" t="s">
        <v>1</v>
      </c>
      <c r="AN297" s="36" t="s">
        <v>1</v>
      </c>
      <c r="AO297" s="31" t="s">
        <v>1</v>
      </c>
      <c r="AP297" s="36" t="s">
        <v>1</v>
      </c>
      <c r="AQ297" s="51" t="s">
        <v>1</v>
      </c>
      <c r="AR297" s="36" t="s">
        <v>1</v>
      </c>
      <c r="AS297" s="47" t="s">
        <v>1</v>
      </c>
      <c r="AT297" s="36" t="s">
        <v>1</v>
      </c>
      <c r="AU297" s="47" t="s">
        <v>1</v>
      </c>
      <c r="AV297" s="36" t="s">
        <v>1</v>
      </c>
      <c r="AW297" s="47" t="s">
        <v>1</v>
      </c>
      <c r="AX297" s="36" t="s">
        <v>2065</v>
      </c>
      <c r="AY297" s="47" t="s">
        <v>2193</v>
      </c>
      <c r="AZ297" s="36" t="s">
        <v>1299</v>
      </c>
      <c r="BA297" s="47" t="s">
        <v>2193</v>
      </c>
      <c r="BB297" s="36" t="s">
        <v>2188</v>
      </c>
      <c r="BC297" s="47" t="s">
        <v>819</v>
      </c>
      <c r="BD297" s="36" t="s">
        <v>2189</v>
      </c>
      <c r="BE297" s="47" t="str">
        <f t="shared" si="10"/>
        <v>"Bairro"</v>
      </c>
    </row>
    <row r="298" spans="1:57" ht="6.65" customHeight="1" x14ac:dyDescent="0.4">
      <c r="A298" s="93">
        <v>298</v>
      </c>
      <c r="B298" s="74" t="s">
        <v>1095</v>
      </c>
      <c r="C298" s="44" t="s">
        <v>664</v>
      </c>
      <c r="D298" s="18" t="s">
        <v>744</v>
      </c>
      <c r="E298" s="48" t="s">
        <v>859</v>
      </c>
      <c r="F298" s="18" t="s">
        <v>820</v>
      </c>
      <c r="G298" s="48" t="s">
        <v>921</v>
      </c>
      <c r="H298" s="18" t="s">
        <v>1062</v>
      </c>
      <c r="I298" s="48" t="s">
        <v>859</v>
      </c>
      <c r="J298" s="18" t="s">
        <v>744</v>
      </c>
      <c r="K298" s="48" t="s">
        <v>1063</v>
      </c>
      <c r="L298" s="18" t="s">
        <v>1</v>
      </c>
      <c r="M298" s="20" t="s">
        <v>1</v>
      </c>
      <c r="N298" s="46" t="s">
        <v>82</v>
      </c>
      <c r="O298" s="25" t="str">
        <f t="shared" si="11"/>
        <v>"Bairro N° B.082 RA.15 Cascadura"</v>
      </c>
      <c r="P298" s="46" t="s">
        <v>1</v>
      </c>
      <c r="Q298" s="25" t="s">
        <v>1</v>
      </c>
      <c r="R298" s="46" t="s">
        <v>1</v>
      </c>
      <c r="S298" s="52" t="s">
        <v>1</v>
      </c>
      <c r="T298" s="46" t="s">
        <v>1</v>
      </c>
      <c r="U298" s="31" t="s">
        <v>1</v>
      </c>
      <c r="V298" s="46" t="s">
        <v>1</v>
      </c>
      <c r="W298" s="31" t="s">
        <v>1</v>
      </c>
      <c r="X298" s="46" t="s">
        <v>1</v>
      </c>
      <c r="Y298" s="31" t="s">
        <v>1</v>
      </c>
      <c r="Z298" s="46" t="s">
        <v>1</v>
      </c>
      <c r="AA298" s="31" t="s">
        <v>1</v>
      </c>
      <c r="AB298" s="46" t="s">
        <v>1</v>
      </c>
      <c r="AC298" s="47" t="s">
        <v>1</v>
      </c>
      <c r="AD298" s="36" t="s">
        <v>1</v>
      </c>
      <c r="AE298" s="51" t="s">
        <v>1</v>
      </c>
      <c r="AF298" s="36" t="s">
        <v>1</v>
      </c>
      <c r="AG298" s="51" t="s">
        <v>1</v>
      </c>
      <c r="AH298" s="36" t="s">
        <v>1</v>
      </c>
      <c r="AI298" s="51" t="s">
        <v>1</v>
      </c>
      <c r="AJ298" s="36" t="s">
        <v>1</v>
      </c>
      <c r="AK298" s="51" t="s">
        <v>1</v>
      </c>
      <c r="AL298" s="36" t="s">
        <v>1</v>
      </c>
      <c r="AM298" s="31" t="s">
        <v>1</v>
      </c>
      <c r="AN298" s="36" t="s">
        <v>1</v>
      </c>
      <c r="AO298" s="31" t="s">
        <v>1</v>
      </c>
      <c r="AP298" s="36" t="s">
        <v>1</v>
      </c>
      <c r="AQ298" s="51" t="s">
        <v>1</v>
      </c>
      <c r="AR298" s="36" t="s">
        <v>1</v>
      </c>
      <c r="AS298" s="47" t="s">
        <v>1</v>
      </c>
      <c r="AT298" s="36" t="s">
        <v>1</v>
      </c>
      <c r="AU298" s="47" t="s">
        <v>1</v>
      </c>
      <c r="AV298" s="36" t="s">
        <v>1</v>
      </c>
      <c r="AW298" s="47" t="s">
        <v>1</v>
      </c>
      <c r="AX298" s="36" t="s">
        <v>2065</v>
      </c>
      <c r="AY298" s="47" t="s">
        <v>2193</v>
      </c>
      <c r="AZ298" s="36" t="s">
        <v>1299</v>
      </c>
      <c r="BA298" s="47" t="s">
        <v>2193</v>
      </c>
      <c r="BB298" s="36" t="s">
        <v>2188</v>
      </c>
      <c r="BC298" s="47" t="s">
        <v>819</v>
      </c>
      <c r="BD298" s="36" t="s">
        <v>2189</v>
      </c>
      <c r="BE298" s="47" t="str">
        <f t="shared" si="10"/>
        <v>"Bairro"</v>
      </c>
    </row>
    <row r="299" spans="1:57" ht="6.65" customHeight="1" x14ac:dyDescent="0.4">
      <c r="A299" s="93">
        <v>299</v>
      </c>
      <c r="B299" s="74" t="s">
        <v>1096</v>
      </c>
      <c r="C299" s="44" t="s">
        <v>664</v>
      </c>
      <c r="D299" s="18" t="s">
        <v>744</v>
      </c>
      <c r="E299" s="48" t="s">
        <v>837</v>
      </c>
      <c r="F299" s="18" t="s">
        <v>820</v>
      </c>
      <c r="G299" s="48" t="s">
        <v>922</v>
      </c>
      <c r="H299" s="18" t="s">
        <v>1062</v>
      </c>
      <c r="I299" s="48" t="s">
        <v>837</v>
      </c>
      <c r="J299" s="18" t="s">
        <v>744</v>
      </c>
      <c r="K299" s="48" t="s">
        <v>1086</v>
      </c>
      <c r="L299" s="18" t="s">
        <v>1</v>
      </c>
      <c r="M299" s="20" t="s">
        <v>1</v>
      </c>
      <c r="N299" s="46" t="s">
        <v>82</v>
      </c>
      <c r="O299" s="25" t="str">
        <f t="shared" si="11"/>
        <v>"Bairro N° B.018 RA.04 Catete"</v>
      </c>
      <c r="P299" s="46" t="s">
        <v>1</v>
      </c>
      <c r="Q299" s="25" t="s">
        <v>1</v>
      </c>
      <c r="R299" s="46" t="s">
        <v>1</v>
      </c>
      <c r="S299" s="52" t="s">
        <v>1</v>
      </c>
      <c r="T299" s="46" t="s">
        <v>1</v>
      </c>
      <c r="U299" s="31" t="s">
        <v>1</v>
      </c>
      <c r="V299" s="46" t="s">
        <v>1</v>
      </c>
      <c r="W299" s="31" t="s">
        <v>1</v>
      </c>
      <c r="X299" s="46" t="s">
        <v>1</v>
      </c>
      <c r="Y299" s="31" t="s">
        <v>1</v>
      </c>
      <c r="Z299" s="46" t="s">
        <v>1</v>
      </c>
      <c r="AA299" s="31" t="s">
        <v>1</v>
      </c>
      <c r="AB299" s="46" t="s">
        <v>1</v>
      </c>
      <c r="AC299" s="47" t="s">
        <v>1</v>
      </c>
      <c r="AD299" s="36" t="s">
        <v>1</v>
      </c>
      <c r="AE299" s="51" t="s">
        <v>1</v>
      </c>
      <c r="AF299" s="36" t="s">
        <v>1</v>
      </c>
      <c r="AG299" s="51" t="s">
        <v>1</v>
      </c>
      <c r="AH299" s="36" t="s">
        <v>1</v>
      </c>
      <c r="AI299" s="51" t="s">
        <v>1</v>
      </c>
      <c r="AJ299" s="36" t="s">
        <v>1</v>
      </c>
      <c r="AK299" s="51" t="s">
        <v>1</v>
      </c>
      <c r="AL299" s="36" t="s">
        <v>1</v>
      </c>
      <c r="AM299" s="31" t="s">
        <v>1</v>
      </c>
      <c r="AN299" s="36" t="s">
        <v>1</v>
      </c>
      <c r="AO299" s="31" t="s">
        <v>1</v>
      </c>
      <c r="AP299" s="36" t="s">
        <v>1</v>
      </c>
      <c r="AQ299" s="51" t="s">
        <v>1</v>
      </c>
      <c r="AR299" s="36" t="s">
        <v>1</v>
      </c>
      <c r="AS299" s="47" t="s">
        <v>1</v>
      </c>
      <c r="AT299" s="36" t="s">
        <v>1</v>
      </c>
      <c r="AU299" s="47" t="s">
        <v>1</v>
      </c>
      <c r="AV299" s="36" t="s">
        <v>1</v>
      </c>
      <c r="AW299" s="47" t="s">
        <v>1</v>
      </c>
      <c r="AX299" s="36" t="s">
        <v>2065</v>
      </c>
      <c r="AY299" s="47" t="s">
        <v>2193</v>
      </c>
      <c r="AZ299" s="36" t="s">
        <v>1299</v>
      </c>
      <c r="BA299" s="47" t="s">
        <v>2193</v>
      </c>
      <c r="BB299" s="36" t="s">
        <v>2188</v>
      </c>
      <c r="BC299" s="47" t="s">
        <v>819</v>
      </c>
      <c r="BD299" s="36" t="s">
        <v>2189</v>
      </c>
      <c r="BE299" s="47" t="str">
        <f t="shared" si="10"/>
        <v>"Bairro"</v>
      </c>
    </row>
    <row r="300" spans="1:57" ht="6.65" customHeight="1" x14ac:dyDescent="0.4">
      <c r="A300" s="93">
        <v>300</v>
      </c>
      <c r="B300" s="74" t="s">
        <v>1097</v>
      </c>
      <c r="C300" s="44" t="s">
        <v>664</v>
      </c>
      <c r="D300" s="18" t="s">
        <v>744</v>
      </c>
      <c r="E300" s="48" t="s">
        <v>835</v>
      </c>
      <c r="F300" s="18" t="s">
        <v>820</v>
      </c>
      <c r="G300" s="48" t="s">
        <v>923</v>
      </c>
      <c r="H300" s="18" t="s">
        <v>1062</v>
      </c>
      <c r="I300" s="48" t="s">
        <v>835</v>
      </c>
      <c r="J300" s="18" t="s">
        <v>744</v>
      </c>
      <c r="K300" s="48" t="s">
        <v>1082</v>
      </c>
      <c r="L300" s="18" t="s">
        <v>1</v>
      </c>
      <c r="M300" s="20" t="s">
        <v>1</v>
      </c>
      <c r="N300" s="46" t="s">
        <v>82</v>
      </c>
      <c r="O300" s="25" t="str">
        <f t="shared" si="11"/>
        <v>"Bairro N° B.006 RA.03 Catumbi"</v>
      </c>
      <c r="P300" s="46" t="s">
        <v>1</v>
      </c>
      <c r="Q300" s="25" t="s">
        <v>1</v>
      </c>
      <c r="R300" s="46" t="s">
        <v>1</v>
      </c>
      <c r="S300" s="52" t="s">
        <v>1</v>
      </c>
      <c r="T300" s="46" t="s">
        <v>1</v>
      </c>
      <c r="U300" s="31" t="s">
        <v>1</v>
      </c>
      <c r="V300" s="46" t="s">
        <v>1</v>
      </c>
      <c r="W300" s="31" t="s">
        <v>1</v>
      </c>
      <c r="X300" s="46" t="s">
        <v>1</v>
      </c>
      <c r="Y300" s="31" t="s">
        <v>1</v>
      </c>
      <c r="Z300" s="46" t="s">
        <v>1</v>
      </c>
      <c r="AA300" s="31" t="s">
        <v>1</v>
      </c>
      <c r="AB300" s="46" t="s">
        <v>1</v>
      </c>
      <c r="AC300" s="47" t="s">
        <v>1</v>
      </c>
      <c r="AD300" s="36" t="s">
        <v>1</v>
      </c>
      <c r="AE300" s="51" t="s">
        <v>1</v>
      </c>
      <c r="AF300" s="36" t="s">
        <v>1</v>
      </c>
      <c r="AG300" s="51" t="s">
        <v>1</v>
      </c>
      <c r="AH300" s="36" t="s">
        <v>1</v>
      </c>
      <c r="AI300" s="51" t="s">
        <v>1</v>
      </c>
      <c r="AJ300" s="36" t="s">
        <v>1</v>
      </c>
      <c r="AK300" s="51" t="s">
        <v>1</v>
      </c>
      <c r="AL300" s="36" t="s">
        <v>1</v>
      </c>
      <c r="AM300" s="31" t="s">
        <v>1</v>
      </c>
      <c r="AN300" s="36" t="s">
        <v>1</v>
      </c>
      <c r="AO300" s="31" t="s">
        <v>1</v>
      </c>
      <c r="AP300" s="36" t="s">
        <v>1</v>
      </c>
      <c r="AQ300" s="51" t="s">
        <v>1</v>
      </c>
      <c r="AR300" s="36" t="s">
        <v>1</v>
      </c>
      <c r="AS300" s="47" t="s">
        <v>1</v>
      </c>
      <c r="AT300" s="36" t="s">
        <v>1</v>
      </c>
      <c r="AU300" s="47" t="s">
        <v>1</v>
      </c>
      <c r="AV300" s="36" t="s">
        <v>1</v>
      </c>
      <c r="AW300" s="47" t="s">
        <v>1</v>
      </c>
      <c r="AX300" s="36" t="s">
        <v>2065</v>
      </c>
      <c r="AY300" s="47" t="s">
        <v>2193</v>
      </c>
      <c r="AZ300" s="36" t="s">
        <v>1299</v>
      </c>
      <c r="BA300" s="47" t="s">
        <v>2193</v>
      </c>
      <c r="BB300" s="36" t="s">
        <v>2188</v>
      </c>
      <c r="BC300" s="47" t="s">
        <v>819</v>
      </c>
      <c r="BD300" s="36" t="s">
        <v>2189</v>
      </c>
      <c r="BE300" s="47" t="str">
        <f t="shared" si="10"/>
        <v>"Bairro"</v>
      </c>
    </row>
    <row r="301" spans="1:57" ht="6.65" customHeight="1" x14ac:dyDescent="0.4">
      <c r="A301" s="93">
        <v>301</v>
      </c>
      <c r="B301" s="74" t="s">
        <v>1098</v>
      </c>
      <c r="C301" s="44" t="s">
        <v>664</v>
      </c>
      <c r="D301" s="18" t="s">
        <v>744</v>
      </c>
      <c r="E301" s="48" t="s">
        <v>859</v>
      </c>
      <c r="F301" s="18" t="s">
        <v>820</v>
      </c>
      <c r="G301" s="48" t="s">
        <v>924</v>
      </c>
      <c r="H301" s="18" t="s">
        <v>1062</v>
      </c>
      <c r="I301" s="48" t="s">
        <v>859</v>
      </c>
      <c r="J301" s="18" t="s">
        <v>744</v>
      </c>
      <c r="K301" s="48" t="s">
        <v>1063</v>
      </c>
      <c r="L301" s="18" t="s">
        <v>1</v>
      </c>
      <c r="M301" s="20" t="s">
        <v>1</v>
      </c>
      <c r="N301" s="46" t="s">
        <v>82</v>
      </c>
      <c r="O301" s="25" t="str">
        <f t="shared" si="11"/>
        <v>"Bairro N° B.080 RA.15 Cavalcanti"</v>
      </c>
      <c r="P301" s="46" t="s">
        <v>1</v>
      </c>
      <c r="Q301" s="25" t="s">
        <v>1</v>
      </c>
      <c r="R301" s="46" t="s">
        <v>1</v>
      </c>
      <c r="S301" s="52" t="s">
        <v>1</v>
      </c>
      <c r="T301" s="46" t="s">
        <v>1</v>
      </c>
      <c r="U301" s="31" t="s">
        <v>1</v>
      </c>
      <c r="V301" s="46" t="s">
        <v>1</v>
      </c>
      <c r="W301" s="31" t="s">
        <v>1</v>
      </c>
      <c r="X301" s="46" t="s">
        <v>1</v>
      </c>
      <c r="Y301" s="31" t="s">
        <v>1</v>
      </c>
      <c r="Z301" s="46" t="s">
        <v>1</v>
      </c>
      <c r="AA301" s="31" t="s">
        <v>1</v>
      </c>
      <c r="AB301" s="46" t="s">
        <v>1</v>
      </c>
      <c r="AC301" s="47" t="s">
        <v>1</v>
      </c>
      <c r="AD301" s="36" t="s">
        <v>1</v>
      </c>
      <c r="AE301" s="51" t="s">
        <v>1</v>
      </c>
      <c r="AF301" s="36" t="s">
        <v>1</v>
      </c>
      <c r="AG301" s="51" t="s">
        <v>1</v>
      </c>
      <c r="AH301" s="36" t="s">
        <v>1</v>
      </c>
      <c r="AI301" s="51" t="s">
        <v>1</v>
      </c>
      <c r="AJ301" s="36" t="s">
        <v>1</v>
      </c>
      <c r="AK301" s="51" t="s">
        <v>1</v>
      </c>
      <c r="AL301" s="36" t="s">
        <v>1</v>
      </c>
      <c r="AM301" s="31" t="s">
        <v>1</v>
      </c>
      <c r="AN301" s="36" t="s">
        <v>1</v>
      </c>
      <c r="AO301" s="31" t="s">
        <v>1</v>
      </c>
      <c r="AP301" s="36" t="s">
        <v>1</v>
      </c>
      <c r="AQ301" s="51" t="s">
        <v>1</v>
      </c>
      <c r="AR301" s="36" t="s">
        <v>1</v>
      </c>
      <c r="AS301" s="47" t="s">
        <v>1</v>
      </c>
      <c r="AT301" s="36" t="s">
        <v>1</v>
      </c>
      <c r="AU301" s="47" t="s">
        <v>1</v>
      </c>
      <c r="AV301" s="36" t="s">
        <v>1</v>
      </c>
      <c r="AW301" s="47" t="s">
        <v>1</v>
      </c>
      <c r="AX301" s="36" t="s">
        <v>2065</v>
      </c>
      <c r="AY301" s="47" t="s">
        <v>2193</v>
      </c>
      <c r="AZ301" s="36" t="s">
        <v>1299</v>
      </c>
      <c r="BA301" s="47" t="s">
        <v>2193</v>
      </c>
      <c r="BB301" s="36" t="s">
        <v>2188</v>
      </c>
      <c r="BC301" s="47" t="s">
        <v>819</v>
      </c>
      <c r="BD301" s="36" t="s">
        <v>2189</v>
      </c>
      <c r="BE301" s="47" t="str">
        <f t="shared" si="10"/>
        <v>"Bairro"</v>
      </c>
    </row>
    <row r="302" spans="1:57" ht="6.65" customHeight="1" x14ac:dyDescent="0.4">
      <c r="A302" s="93">
        <v>302</v>
      </c>
      <c r="B302" s="74" t="s">
        <v>1099</v>
      </c>
      <c r="C302" s="44" t="s">
        <v>664</v>
      </c>
      <c r="D302" s="18" t="s">
        <v>744</v>
      </c>
      <c r="E302" s="48" t="s">
        <v>833</v>
      </c>
      <c r="F302" s="18" t="s">
        <v>820</v>
      </c>
      <c r="G302" s="48" t="s">
        <v>925</v>
      </c>
      <c r="H302" s="18" t="s">
        <v>1062</v>
      </c>
      <c r="I302" s="48" t="s">
        <v>833</v>
      </c>
      <c r="J302" s="18" t="s">
        <v>744</v>
      </c>
      <c r="K302" s="48" t="s">
        <v>1082</v>
      </c>
      <c r="L302" s="18" t="s">
        <v>1</v>
      </c>
      <c r="M302" s="20" t="s">
        <v>1</v>
      </c>
      <c r="N302" s="46" t="s">
        <v>82</v>
      </c>
      <c r="O302" s="25" t="str">
        <f t="shared" si="11"/>
        <v>"Bairro N° B.005 RA.02 Centro"</v>
      </c>
      <c r="P302" s="46" t="s">
        <v>1</v>
      </c>
      <c r="Q302" s="25" t="s">
        <v>1</v>
      </c>
      <c r="R302" s="46" t="s">
        <v>1</v>
      </c>
      <c r="S302" s="52" t="s">
        <v>1</v>
      </c>
      <c r="T302" s="46" t="s">
        <v>1</v>
      </c>
      <c r="U302" s="31" t="s">
        <v>1</v>
      </c>
      <c r="V302" s="46" t="s">
        <v>1</v>
      </c>
      <c r="W302" s="31" t="s">
        <v>1</v>
      </c>
      <c r="X302" s="46" t="s">
        <v>1</v>
      </c>
      <c r="Y302" s="31" t="s">
        <v>1</v>
      </c>
      <c r="Z302" s="46" t="s">
        <v>1</v>
      </c>
      <c r="AA302" s="31" t="s">
        <v>1</v>
      </c>
      <c r="AB302" s="46" t="s">
        <v>1</v>
      </c>
      <c r="AC302" s="47" t="s">
        <v>1</v>
      </c>
      <c r="AD302" s="36" t="s">
        <v>1</v>
      </c>
      <c r="AE302" s="51" t="s">
        <v>1</v>
      </c>
      <c r="AF302" s="36" t="s">
        <v>1</v>
      </c>
      <c r="AG302" s="51" t="s">
        <v>1</v>
      </c>
      <c r="AH302" s="36" t="s">
        <v>1</v>
      </c>
      <c r="AI302" s="51" t="s">
        <v>1</v>
      </c>
      <c r="AJ302" s="36" t="s">
        <v>1</v>
      </c>
      <c r="AK302" s="51" t="s">
        <v>1</v>
      </c>
      <c r="AL302" s="36" t="s">
        <v>1</v>
      </c>
      <c r="AM302" s="31" t="s">
        <v>1</v>
      </c>
      <c r="AN302" s="36" t="s">
        <v>1</v>
      </c>
      <c r="AO302" s="31" t="s">
        <v>1</v>
      </c>
      <c r="AP302" s="36" t="s">
        <v>1</v>
      </c>
      <c r="AQ302" s="51" t="s">
        <v>1</v>
      </c>
      <c r="AR302" s="36" t="s">
        <v>1</v>
      </c>
      <c r="AS302" s="47" t="s">
        <v>1</v>
      </c>
      <c r="AT302" s="36" t="s">
        <v>1</v>
      </c>
      <c r="AU302" s="47" t="s">
        <v>1</v>
      </c>
      <c r="AV302" s="36" t="s">
        <v>1</v>
      </c>
      <c r="AW302" s="47" t="s">
        <v>1</v>
      </c>
      <c r="AX302" s="36" t="s">
        <v>2065</v>
      </c>
      <c r="AY302" s="47" t="s">
        <v>2193</v>
      </c>
      <c r="AZ302" s="36" t="s">
        <v>1299</v>
      </c>
      <c r="BA302" s="47" t="s">
        <v>2193</v>
      </c>
      <c r="BB302" s="36" t="s">
        <v>2188</v>
      </c>
      <c r="BC302" s="47" t="s">
        <v>819</v>
      </c>
      <c r="BD302" s="36" t="s">
        <v>2189</v>
      </c>
      <c r="BE302" s="47" t="str">
        <f t="shared" si="10"/>
        <v>"Bairro"</v>
      </c>
    </row>
    <row r="303" spans="1:57" ht="6.65" customHeight="1" x14ac:dyDescent="0.4">
      <c r="A303" s="93">
        <v>303</v>
      </c>
      <c r="B303" s="74" t="s">
        <v>1100</v>
      </c>
      <c r="C303" s="44" t="s">
        <v>664</v>
      </c>
      <c r="D303" s="18" t="s">
        <v>744</v>
      </c>
      <c r="E303" s="48" t="s">
        <v>895</v>
      </c>
      <c r="F303" s="18" t="s">
        <v>820</v>
      </c>
      <c r="G303" s="48" t="s">
        <v>926</v>
      </c>
      <c r="H303" s="18" t="s">
        <v>1062</v>
      </c>
      <c r="I303" s="48" t="s">
        <v>895</v>
      </c>
      <c r="J303" s="18" t="s">
        <v>744</v>
      </c>
      <c r="K303" s="48" t="s">
        <v>1071</v>
      </c>
      <c r="L303" s="18" t="s">
        <v>1</v>
      </c>
      <c r="M303" s="20" t="s">
        <v>1</v>
      </c>
      <c r="N303" s="46" t="s">
        <v>82</v>
      </c>
      <c r="O303" s="25" t="str">
        <f t="shared" si="11"/>
        <v>"Bairro N° B.118 RA.33 Cidade.de.Deus"</v>
      </c>
      <c r="P303" s="46" t="s">
        <v>1</v>
      </c>
      <c r="Q303" s="25" t="s">
        <v>1</v>
      </c>
      <c r="R303" s="46" t="s">
        <v>1</v>
      </c>
      <c r="S303" s="52" t="s">
        <v>1</v>
      </c>
      <c r="T303" s="46" t="s">
        <v>1</v>
      </c>
      <c r="U303" s="31" t="s">
        <v>1</v>
      </c>
      <c r="V303" s="46" t="s">
        <v>1</v>
      </c>
      <c r="W303" s="31" t="s">
        <v>1</v>
      </c>
      <c r="X303" s="46" t="s">
        <v>1</v>
      </c>
      <c r="Y303" s="31" t="s">
        <v>1</v>
      </c>
      <c r="Z303" s="46" t="s">
        <v>1</v>
      </c>
      <c r="AA303" s="31" t="s">
        <v>1</v>
      </c>
      <c r="AB303" s="46" t="s">
        <v>1</v>
      </c>
      <c r="AC303" s="47" t="s">
        <v>1</v>
      </c>
      <c r="AD303" s="36" t="s">
        <v>1</v>
      </c>
      <c r="AE303" s="51" t="s">
        <v>1</v>
      </c>
      <c r="AF303" s="36" t="s">
        <v>1</v>
      </c>
      <c r="AG303" s="51" t="s">
        <v>1</v>
      </c>
      <c r="AH303" s="36" t="s">
        <v>1</v>
      </c>
      <c r="AI303" s="51" t="s">
        <v>1</v>
      </c>
      <c r="AJ303" s="36" t="s">
        <v>1</v>
      </c>
      <c r="AK303" s="51" t="s">
        <v>1</v>
      </c>
      <c r="AL303" s="36" t="s">
        <v>1</v>
      </c>
      <c r="AM303" s="31" t="s">
        <v>1</v>
      </c>
      <c r="AN303" s="36" t="s">
        <v>1</v>
      </c>
      <c r="AO303" s="31" t="s">
        <v>1</v>
      </c>
      <c r="AP303" s="36" t="s">
        <v>1</v>
      </c>
      <c r="AQ303" s="51" t="s">
        <v>1</v>
      </c>
      <c r="AR303" s="36" t="s">
        <v>1</v>
      </c>
      <c r="AS303" s="47" t="s">
        <v>1</v>
      </c>
      <c r="AT303" s="36" t="s">
        <v>1</v>
      </c>
      <c r="AU303" s="47" t="s">
        <v>1</v>
      </c>
      <c r="AV303" s="36" t="s">
        <v>1</v>
      </c>
      <c r="AW303" s="47" t="s">
        <v>1</v>
      </c>
      <c r="AX303" s="36" t="s">
        <v>2065</v>
      </c>
      <c r="AY303" s="47" t="s">
        <v>2193</v>
      </c>
      <c r="AZ303" s="36" t="s">
        <v>1299</v>
      </c>
      <c r="BA303" s="47" t="s">
        <v>2193</v>
      </c>
      <c r="BB303" s="36" t="s">
        <v>2188</v>
      </c>
      <c r="BC303" s="47" t="s">
        <v>819</v>
      </c>
      <c r="BD303" s="36" t="s">
        <v>2189</v>
      </c>
      <c r="BE303" s="47" t="str">
        <f t="shared" si="10"/>
        <v>"Bairro"</v>
      </c>
    </row>
    <row r="304" spans="1:57" ht="6.65" customHeight="1" x14ac:dyDescent="0.4">
      <c r="A304" s="93">
        <v>304</v>
      </c>
      <c r="B304" s="74" t="s">
        <v>1101</v>
      </c>
      <c r="C304" s="44" t="s">
        <v>664</v>
      </c>
      <c r="D304" s="18" t="s">
        <v>744</v>
      </c>
      <c r="E304" s="48" t="s">
        <v>835</v>
      </c>
      <c r="F304" s="18" t="s">
        <v>820</v>
      </c>
      <c r="G304" s="48" t="s">
        <v>927</v>
      </c>
      <c r="H304" s="18" t="s">
        <v>1062</v>
      </c>
      <c r="I304" s="48" t="s">
        <v>835</v>
      </c>
      <c r="J304" s="18" t="s">
        <v>744</v>
      </c>
      <c r="K304" s="48" t="s">
        <v>1082</v>
      </c>
      <c r="L304" s="18" t="s">
        <v>1</v>
      </c>
      <c r="M304" s="20" t="s">
        <v>1</v>
      </c>
      <c r="N304" s="46" t="s">
        <v>82</v>
      </c>
      <c r="O304" s="25" t="str">
        <f t="shared" si="11"/>
        <v>"Bairro N° B.008 RA.03 Cidade.Nova"</v>
      </c>
      <c r="P304" s="46" t="s">
        <v>1</v>
      </c>
      <c r="Q304" s="25" t="s">
        <v>1</v>
      </c>
      <c r="R304" s="46" t="s">
        <v>1</v>
      </c>
      <c r="S304" s="52" t="s">
        <v>1</v>
      </c>
      <c r="T304" s="46" t="s">
        <v>1</v>
      </c>
      <c r="U304" s="31" t="s">
        <v>1</v>
      </c>
      <c r="V304" s="46" t="s">
        <v>1</v>
      </c>
      <c r="W304" s="31" t="s">
        <v>1</v>
      </c>
      <c r="X304" s="46" t="s">
        <v>1</v>
      </c>
      <c r="Y304" s="31" t="s">
        <v>1</v>
      </c>
      <c r="Z304" s="46" t="s">
        <v>1</v>
      </c>
      <c r="AA304" s="31" t="s">
        <v>1</v>
      </c>
      <c r="AB304" s="46" t="s">
        <v>1</v>
      </c>
      <c r="AC304" s="47" t="s">
        <v>1</v>
      </c>
      <c r="AD304" s="36" t="s">
        <v>1</v>
      </c>
      <c r="AE304" s="51" t="s">
        <v>1</v>
      </c>
      <c r="AF304" s="36" t="s">
        <v>1</v>
      </c>
      <c r="AG304" s="51" t="s">
        <v>1</v>
      </c>
      <c r="AH304" s="36" t="s">
        <v>1</v>
      </c>
      <c r="AI304" s="51" t="s">
        <v>1</v>
      </c>
      <c r="AJ304" s="36" t="s">
        <v>1</v>
      </c>
      <c r="AK304" s="51" t="s">
        <v>1</v>
      </c>
      <c r="AL304" s="36" t="s">
        <v>1</v>
      </c>
      <c r="AM304" s="31" t="s">
        <v>1</v>
      </c>
      <c r="AN304" s="36" t="s">
        <v>1</v>
      </c>
      <c r="AO304" s="31" t="s">
        <v>1</v>
      </c>
      <c r="AP304" s="36" t="s">
        <v>1</v>
      </c>
      <c r="AQ304" s="51" t="s">
        <v>1</v>
      </c>
      <c r="AR304" s="36" t="s">
        <v>1</v>
      </c>
      <c r="AS304" s="47" t="s">
        <v>1</v>
      </c>
      <c r="AT304" s="36" t="s">
        <v>1</v>
      </c>
      <c r="AU304" s="47" t="s">
        <v>1</v>
      </c>
      <c r="AV304" s="36" t="s">
        <v>1</v>
      </c>
      <c r="AW304" s="47" t="s">
        <v>1</v>
      </c>
      <c r="AX304" s="36" t="s">
        <v>2065</v>
      </c>
      <c r="AY304" s="47" t="s">
        <v>2193</v>
      </c>
      <c r="AZ304" s="36" t="s">
        <v>1299</v>
      </c>
      <c r="BA304" s="47" t="s">
        <v>2193</v>
      </c>
      <c r="BB304" s="36" t="s">
        <v>2188</v>
      </c>
      <c r="BC304" s="47" t="s">
        <v>819</v>
      </c>
      <c r="BD304" s="36" t="s">
        <v>2189</v>
      </c>
      <c r="BE304" s="47" t="str">
        <f t="shared" si="10"/>
        <v>"Bairro"</v>
      </c>
    </row>
    <row r="305" spans="1:57" ht="6.65" customHeight="1" x14ac:dyDescent="0.4">
      <c r="A305" s="93">
        <v>305</v>
      </c>
      <c r="B305" s="74" t="s">
        <v>1102</v>
      </c>
      <c r="C305" s="44" t="s">
        <v>664</v>
      </c>
      <c r="D305" s="18" t="s">
        <v>744</v>
      </c>
      <c r="E305" s="48" t="s">
        <v>869</v>
      </c>
      <c r="F305" s="18" t="s">
        <v>820</v>
      </c>
      <c r="G305" s="48" t="s">
        <v>928</v>
      </c>
      <c r="H305" s="18" t="s">
        <v>1062</v>
      </c>
      <c r="I305" s="48" t="s">
        <v>869</v>
      </c>
      <c r="J305" s="18" t="s">
        <v>744</v>
      </c>
      <c r="K305" s="48" t="s">
        <v>1073</v>
      </c>
      <c r="L305" s="18" t="s">
        <v>1</v>
      </c>
      <c r="M305" s="20" t="s">
        <v>1</v>
      </c>
      <c r="N305" s="46" t="s">
        <v>82</v>
      </c>
      <c r="O305" s="25" t="str">
        <f t="shared" si="11"/>
        <v>"Bairro N° B.105 RA.20 Cidade.Universitária"</v>
      </c>
      <c r="P305" s="46" t="s">
        <v>1</v>
      </c>
      <c r="Q305" s="25" t="s">
        <v>1</v>
      </c>
      <c r="R305" s="46" t="s">
        <v>1</v>
      </c>
      <c r="S305" s="52" t="s">
        <v>1</v>
      </c>
      <c r="T305" s="46" t="s">
        <v>1</v>
      </c>
      <c r="U305" s="31" t="s">
        <v>1</v>
      </c>
      <c r="V305" s="46" t="s">
        <v>1</v>
      </c>
      <c r="W305" s="31" t="s">
        <v>1</v>
      </c>
      <c r="X305" s="46" t="s">
        <v>1</v>
      </c>
      <c r="Y305" s="31" t="s">
        <v>1</v>
      </c>
      <c r="Z305" s="46" t="s">
        <v>1</v>
      </c>
      <c r="AA305" s="31" t="s">
        <v>1</v>
      </c>
      <c r="AB305" s="46" t="s">
        <v>1</v>
      </c>
      <c r="AC305" s="47" t="s">
        <v>1</v>
      </c>
      <c r="AD305" s="36" t="s">
        <v>1</v>
      </c>
      <c r="AE305" s="51" t="s">
        <v>1</v>
      </c>
      <c r="AF305" s="36" t="s">
        <v>1</v>
      </c>
      <c r="AG305" s="51" t="s">
        <v>1</v>
      </c>
      <c r="AH305" s="36" t="s">
        <v>1</v>
      </c>
      <c r="AI305" s="51" t="s">
        <v>1</v>
      </c>
      <c r="AJ305" s="36" t="s">
        <v>1</v>
      </c>
      <c r="AK305" s="51" t="s">
        <v>1</v>
      </c>
      <c r="AL305" s="36" t="s">
        <v>1</v>
      </c>
      <c r="AM305" s="31" t="s">
        <v>1</v>
      </c>
      <c r="AN305" s="36" t="s">
        <v>1</v>
      </c>
      <c r="AO305" s="31" t="s">
        <v>1</v>
      </c>
      <c r="AP305" s="36" t="s">
        <v>1</v>
      </c>
      <c r="AQ305" s="51" t="s">
        <v>1</v>
      </c>
      <c r="AR305" s="36" t="s">
        <v>1</v>
      </c>
      <c r="AS305" s="47" t="s">
        <v>1</v>
      </c>
      <c r="AT305" s="36" t="s">
        <v>1</v>
      </c>
      <c r="AU305" s="47" t="s">
        <v>1</v>
      </c>
      <c r="AV305" s="36" t="s">
        <v>1</v>
      </c>
      <c r="AW305" s="47" t="s">
        <v>1</v>
      </c>
      <c r="AX305" s="36" t="s">
        <v>2065</v>
      </c>
      <c r="AY305" s="47" t="s">
        <v>2193</v>
      </c>
      <c r="AZ305" s="36" t="s">
        <v>1299</v>
      </c>
      <c r="BA305" s="47" t="s">
        <v>2193</v>
      </c>
      <c r="BB305" s="36" t="s">
        <v>2188</v>
      </c>
      <c r="BC305" s="47" t="s">
        <v>819</v>
      </c>
      <c r="BD305" s="36" t="s">
        <v>2189</v>
      </c>
      <c r="BE305" s="47" t="str">
        <f t="shared" si="10"/>
        <v>"Bairro"</v>
      </c>
    </row>
    <row r="306" spans="1:57" ht="6.65" customHeight="1" x14ac:dyDescent="0.4">
      <c r="A306" s="93">
        <v>306</v>
      </c>
      <c r="B306" s="74" t="s">
        <v>1103</v>
      </c>
      <c r="C306" s="44" t="s">
        <v>664</v>
      </c>
      <c r="D306" s="18" t="s">
        <v>744</v>
      </c>
      <c r="E306" s="48" t="s">
        <v>869</v>
      </c>
      <c r="F306" s="18" t="s">
        <v>820</v>
      </c>
      <c r="G306" s="48" t="s">
        <v>929</v>
      </c>
      <c r="H306" s="18" t="s">
        <v>1062</v>
      </c>
      <c r="I306" s="48" t="s">
        <v>869</v>
      </c>
      <c r="J306" s="18" t="s">
        <v>744</v>
      </c>
      <c r="K306" s="48" t="s">
        <v>1073</v>
      </c>
      <c r="L306" s="18" t="s">
        <v>1</v>
      </c>
      <c r="M306" s="20" t="s">
        <v>1</v>
      </c>
      <c r="N306" s="46" t="s">
        <v>82</v>
      </c>
      <c r="O306" s="25" t="str">
        <f t="shared" si="11"/>
        <v>"Bairro N° B.096 RA.20 Cocotá"</v>
      </c>
      <c r="P306" s="46" t="s">
        <v>1</v>
      </c>
      <c r="Q306" s="25" t="s">
        <v>1</v>
      </c>
      <c r="R306" s="46" t="s">
        <v>1</v>
      </c>
      <c r="S306" s="52" t="s">
        <v>1</v>
      </c>
      <c r="T306" s="46" t="s">
        <v>1</v>
      </c>
      <c r="U306" s="31" t="s">
        <v>1</v>
      </c>
      <c r="V306" s="46" t="s">
        <v>1</v>
      </c>
      <c r="W306" s="31" t="s">
        <v>1</v>
      </c>
      <c r="X306" s="46" t="s">
        <v>1</v>
      </c>
      <c r="Y306" s="31" t="s">
        <v>1</v>
      </c>
      <c r="Z306" s="46" t="s">
        <v>1</v>
      </c>
      <c r="AA306" s="31" t="s">
        <v>1</v>
      </c>
      <c r="AB306" s="46" t="s">
        <v>1</v>
      </c>
      <c r="AC306" s="47" t="s">
        <v>1</v>
      </c>
      <c r="AD306" s="36" t="s">
        <v>1</v>
      </c>
      <c r="AE306" s="51" t="s">
        <v>1</v>
      </c>
      <c r="AF306" s="36" t="s">
        <v>1</v>
      </c>
      <c r="AG306" s="51" t="s">
        <v>1</v>
      </c>
      <c r="AH306" s="36" t="s">
        <v>1</v>
      </c>
      <c r="AI306" s="51" t="s">
        <v>1</v>
      </c>
      <c r="AJ306" s="36" t="s">
        <v>1</v>
      </c>
      <c r="AK306" s="51" t="s">
        <v>1</v>
      </c>
      <c r="AL306" s="36" t="s">
        <v>1</v>
      </c>
      <c r="AM306" s="31" t="s">
        <v>1</v>
      </c>
      <c r="AN306" s="36" t="s">
        <v>1</v>
      </c>
      <c r="AO306" s="31" t="s">
        <v>1</v>
      </c>
      <c r="AP306" s="36" t="s">
        <v>1</v>
      </c>
      <c r="AQ306" s="51" t="s">
        <v>1</v>
      </c>
      <c r="AR306" s="36" t="s">
        <v>1</v>
      </c>
      <c r="AS306" s="47" t="s">
        <v>1</v>
      </c>
      <c r="AT306" s="36" t="s">
        <v>1</v>
      </c>
      <c r="AU306" s="47" t="s">
        <v>1</v>
      </c>
      <c r="AV306" s="36" t="s">
        <v>1</v>
      </c>
      <c r="AW306" s="47" t="s">
        <v>1</v>
      </c>
      <c r="AX306" s="36" t="s">
        <v>2065</v>
      </c>
      <c r="AY306" s="47" t="s">
        <v>2193</v>
      </c>
      <c r="AZ306" s="36" t="s">
        <v>1299</v>
      </c>
      <c r="BA306" s="47" t="s">
        <v>2193</v>
      </c>
      <c r="BB306" s="36" t="s">
        <v>2188</v>
      </c>
      <c r="BC306" s="47" t="s">
        <v>819</v>
      </c>
      <c r="BD306" s="36" t="s">
        <v>2189</v>
      </c>
      <c r="BE306" s="47" t="str">
        <f t="shared" si="10"/>
        <v>"Bairro"</v>
      </c>
    </row>
    <row r="307" spans="1:57" ht="6.65" customHeight="1" x14ac:dyDescent="0.4">
      <c r="A307" s="93">
        <v>307</v>
      </c>
      <c r="B307" s="74" t="s">
        <v>1104</v>
      </c>
      <c r="C307" s="44" t="s">
        <v>664</v>
      </c>
      <c r="D307" s="18" t="s">
        <v>744</v>
      </c>
      <c r="E307" s="48" t="s">
        <v>879</v>
      </c>
      <c r="F307" s="18" t="s">
        <v>820</v>
      </c>
      <c r="G307" s="48" t="s">
        <v>930</v>
      </c>
      <c r="H307" s="18" t="s">
        <v>1062</v>
      </c>
      <c r="I307" s="48" t="s">
        <v>879</v>
      </c>
      <c r="J307" s="18" t="s">
        <v>744</v>
      </c>
      <c r="K307" s="48" t="s">
        <v>1063</v>
      </c>
      <c r="L307" s="18" t="s">
        <v>1</v>
      </c>
      <c r="M307" s="20" t="s">
        <v>1</v>
      </c>
      <c r="N307" s="46" t="s">
        <v>82</v>
      </c>
      <c r="O307" s="25" t="str">
        <f t="shared" si="11"/>
        <v>"Bairro N° B.110 RA.25 Coelho.Neto"</v>
      </c>
      <c r="P307" s="46" t="s">
        <v>1</v>
      </c>
      <c r="Q307" s="25" t="s">
        <v>1</v>
      </c>
      <c r="R307" s="46" t="s">
        <v>1</v>
      </c>
      <c r="S307" s="52" t="s">
        <v>1</v>
      </c>
      <c r="T307" s="46" t="s">
        <v>1</v>
      </c>
      <c r="U307" s="31" t="s">
        <v>1</v>
      </c>
      <c r="V307" s="46" t="s">
        <v>1</v>
      </c>
      <c r="W307" s="31" t="s">
        <v>1</v>
      </c>
      <c r="X307" s="46" t="s">
        <v>1</v>
      </c>
      <c r="Y307" s="31" t="s">
        <v>1</v>
      </c>
      <c r="Z307" s="46" t="s">
        <v>1</v>
      </c>
      <c r="AA307" s="31" t="s">
        <v>1</v>
      </c>
      <c r="AB307" s="46" t="s">
        <v>1</v>
      </c>
      <c r="AC307" s="47" t="s">
        <v>1</v>
      </c>
      <c r="AD307" s="36" t="s">
        <v>1</v>
      </c>
      <c r="AE307" s="51" t="s">
        <v>1</v>
      </c>
      <c r="AF307" s="36" t="s">
        <v>1</v>
      </c>
      <c r="AG307" s="51" t="s">
        <v>1</v>
      </c>
      <c r="AH307" s="36" t="s">
        <v>1</v>
      </c>
      <c r="AI307" s="51" t="s">
        <v>1</v>
      </c>
      <c r="AJ307" s="36" t="s">
        <v>1</v>
      </c>
      <c r="AK307" s="51" t="s">
        <v>1</v>
      </c>
      <c r="AL307" s="36" t="s">
        <v>1</v>
      </c>
      <c r="AM307" s="31" t="s">
        <v>1</v>
      </c>
      <c r="AN307" s="36" t="s">
        <v>1</v>
      </c>
      <c r="AO307" s="31" t="s">
        <v>1</v>
      </c>
      <c r="AP307" s="36" t="s">
        <v>1</v>
      </c>
      <c r="AQ307" s="51" t="s">
        <v>1</v>
      </c>
      <c r="AR307" s="36" t="s">
        <v>1</v>
      </c>
      <c r="AS307" s="47" t="s">
        <v>1</v>
      </c>
      <c r="AT307" s="36" t="s">
        <v>1</v>
      </c>
      <c r="AU307" s="47" t="s">
        <v>1</v>
      </c>
      <c r="AV307" s="36" t="s">
        <v>1</v>
      </c>
      <c r="AW307" s="47" t="s">
        <v>1</v>
      </c>
      <c r="AX307" s="36" t="s">
        <v>2065</v>
      </c>
      <c r="AY307" s="47" t="s">
        <v>2193</v>
      </c>
      <c r="AZ307" s="36" t="s">
        <v>1299</v>
      </c>
      <c r="BA307" s="47" t="s">
        <v>2193</v>
      </c>
      <c r="BB307" s="36" t="s">
        <v>2188</v>
      </c>
      <c r="BC307" s="47" t="s">
        <v>819</v>
      </c>
      <c r="BD307" s="36" t="s">
        <v>2189</v>
      </c>
      <c r="BE307" s="47" t="str">
        <f t="shared" si="10"/>
        <v>"Bairro"</v>
      </c>
    </row>
    <row r="308" spans="1:57" ht="6.65" customHeight="1" x14ac:dyDescent="0.4">
      <c r="A308" s="93">
        <v>308</v>
      </c>
      <c r="B308" s="74" t="s">
        <v>1105</v>
      </c>
      <c r="C308" s="44" t="s">
        <v>664</v>
      </c>
      <c r="D308" s="18" t="s">
        <v>744</v>
      </c>
      <c r="E308" s="48" t="s">
        <v>857</v>
      </c>
      <c r="F308" s="18" t="s">
        <v>820</v>
      </c>
      <c r="G308" s="48" t="s">
        <v>931</v>
      </c>
      <c r="H308" s="18" t="s">
        <v>1062</v>
      </c>
      <c r="I308" s="48" t="s">
        <v>857</v>
      </c>
      <c r="J308" s="18" t="s">
        <v>744</v>
      </c>
      <c r="K308" s="48" t="s">
        <v>1063</v>
      </c>
      <c r="L308" s="18" t="s">
        <v>1</v>
      </c>
      <c r="M308" s="20" t="s">
        <v>1</v>
      </c>
      <c r="N308" s="46" t="s">
        <v>82</v>
      </c>
      <c r="O308" s="25" t="str">
        <f t="shared" si="11"/>
        <v>"Bairro N° B.077 RA.14 Colégio"</v>
      </c>
      <c r="P308" s="46" t="s">
        <v>1</v>
      </c>
      <c r="Q308" s="25" t="s">
        <v>1</v>
      </c>
      <c r="R308" s="46" t="s">
        <v>1</v>
      </c>
      <c r="S308" s="52" t="s">
        <v>1</v>
      </c>
      <c r="T308" s="46" t="s">
        <v>1</v>
      </c>
      <c r="U308" s="31" t="s">
        <v>1</v>
      </c>
      <c r="V308" s="46" t="s">
        <v>1</v>
      </c>
      <c r="W308" s="31" t="s">
        <v>1</v>
      </c>
      <c r="X308" s="46" t="s">
        <v>1</v>
      </c>
      <c r="Y308" s="31" t="s">
        <v>1</v>
      </c>
      <c r="Z308" s="46" t="s">
        <v>1</v>
      </c>
      <c r="AA308" s="31" t="s">
        <v>1</v>
      </c>
      <c r="AB308" s="46" t="s">
        <v>1</v>
      </c>
      <c r="AC308" s="47" t="s">
        <v>1</v>
      </c>
      <c r="AD308" s="36" t="s">
        <v>1</v>
      </c>
      <c r="AE308" s="51" t="s">
        <v>1</v>
      </c>
      <c r="AF308" s="36" t="s">
        <v>1</v>
      </c>
      <c r="AG308" s="51" t="s">
        <v>1</v>
      </c>
      <c r="AH308" s="36" t="s">
        <v>1</v>
      </c>
      <c r="AI308" s="51" t="s">
        <v>1</v>
      </c>
      <c r="AJ308" s="36" t="s">
        <v>1</v>
      </c>
      <c r="AK308" s="51" t="s">
        <v>1</v>
      </c>
      <c r="AL308" s="36" t="s">
        <v>1</v>
      </c>
      <c r="AM308" s="31" t="s">
        <v>1</v>
      </c>
      <c r="AN308" s="36" t="s">
        <v>1</v>
      </c>
      <c r="AO308" s="31" t="s">
        <v>1</v>
      </c>
      <c r="AP308" s="36" t="s">
        <v>1</v>
      </c>
      <c r="AQ308" s="51" t="s">
        <v>1</v>
      </c>
      <c r="AR308" s="36" t="s">
        <v>1</v>
      </c>
      <c r="AS308" s="47" t="s">
        <v>1</v>
      </c>
      <c r="AT308" s="36" t="s">
        <v>1</v>
      </c>
      <c r="AU308" s="47" t="s">
        <v>1</v>
      </c>
      <c r="AV308" s="36" t="s">
        <v>1</v>
      </c>
      <c r="AW308" s="47" t="s">
        <v>1</v>
      </c>
      <c r="AX308" s="36" t="s">
        <v>2065</v>
      </c>
      <c r="AY308" s="47" t="s">
        <v>2193</v>
      </c>
      <c r="AZ308" s="36" t="s">
        <v>1299</v>
      </c>
      <c r="BA308" s="47" t="s">
        <v>2193</v>
      </c>
      <c r="BB308" s="36" t="s">
        <v>2188</v>
      </c>
      <c r="BC308" s="47" t="s">
        <v>819</v>
      </c>
      <c r="BD308" s="36" t="s">
        <v>2189</v>
      </c>
      <c r="BE308" s="47" t="str">
        <f t="shared" si="10"/>
        <v>"Bairro"</v>
      </c>
    </row>
    <row r="309" spans="1:57" ht="6.65" customHeight="1" x14ac:dyDescent="0.4">
      <c r="A309" s="93">
        <v>309</v>
      </c>
      <c r="B309" s="74" t="s">
        <v>1106</v>
      </c>
      <c r="C309" s="44" t="s">
        <v>664</v>
      </c>
      <c r="D309" s="18" t="s">
        <v>744</v>
      </c>
      <c r="E309" s="48" t="s">
        <v>887</v>
      </c>
      <c r="F309" s="18" t="s">
        <v>820</v>
      </c>
      <c r="G309" s="48" t="s">
        <v>932</v>
      </c>
      <c r="H309" s="18" t="s">
        <v>1062</v>
      </c>
      <c r="I309" s="48" t="s">
        <v>887</v>
      </c>
      <c r="J309" s="18" t="s">
        <v>744</v>
      </c>
      <c r="K309" s="48" t="s">
        <v>1063</v>
      </c>
      <c r="L309" s="18" t="s">
        <v>1</v>
      </c>
      <c r="M309" s="20" t="s">
        <v>1</v>
      </c>
      <c r="N309" s="46" t="s">
        <v>82</v>
      </c>
      <c r="O309" s="25" t="str">
        <f t="shared" si="11"/>
        <v>"Bairro N° B.156 RA.29 Complexo.do.Alemão"</v>
      </c>
      <c r="P309" s="46" t="s">
        <v>1</v>
      </c>
      <c r="Q309" s="25" t="s">
        <v>1</v>
      </c>
      <c r="R309" s="46" t="s">
        <v>1</v>
      </c>
      <c r="S309" s="52" t="s">
        <v>1</v>
      </c>
      <c r="T309" s="46" t="s">
        <v>1</v>
      </c>
      <c r="U309" s="31" t="s">
        <v>1</v>
      </c>
      <c r="V309" s="46" t="s">
        <v>1</v>
      </c>
      <c r="W309" s="31" t="s">
        <v>1</v>
      </c>
      <c r="X309" s="46" t="s">
        <v>1</v>
      </c>
      <c r="Y309" s="31" t="s">
        <v>1</v>
      </c>
      <c r="Z309" s="46" t="s">
        <v>1</v>
      </c>
      <c r="AA309" s="31" t="s">
        <v>1</v>
      </c>
      <c r="AB309" s="46" t="s">
        <v>1</v>
      </c>
      <c r="AC309" s="47" t="s">
        <v>1</v>
      </c>
      <c r="AD309" s="36" t="s">
        <v>1</v>
      </c>
      <c r="AE309" s="51" t="s">
        <v>1</v>
      </c>
      <c r="AF309" s="36" t="s">
        <v>1</v>
      </c>
      <c r="AG309" s="51" t="s">
        <v>1</v>
      </c>
      <c r="AH309" s="36" t="s">
        <v>1</v>
      </c>
      <c r="AI309" s="51" t="s">
        <v>1</v>
      </c>
      <c r="AJ309" s="36" t="s">
        <v>1</v>
      </c>
      <c r="AK309" s="51" t="s">
        <v>1</v>
      </c>
      <c r="AL309" s="36" t="s">
        <v>1</v>
      </c>
      <c r="AM309" s="31" t="s">
        <v>1</v>
      </c>
      <c r="AN309" s="36" t="s">
        <v>1</v>
      </c>
      <c r="AO309" s="31" t="s">
        <v>1</v>
      </c>
      <c r="AP309" s="36" t="s">
        <v>1</v>
      </c>
      <c r="AQ309" s="51" t="s">
        <v>1</v>
      </c>
      <c r="AR309" s="36" t="s">
        <v>1</v>
      </c>
      <c r="AS309" s="47" t="s">
        <v>1</v>
      </c>
      <c r="AT309" s="36" t="s">
        <v>1</v>
      </c>
      <c r="AU309" s="47" t="s">
        <v>1</v>
      </c>
      <c r="AV309" s="36" t="s">
        <v>1</v>
      </c>
      <c r="AW309" s="47" t="s">
        <v>1</v>
      </c>
      <c r="AX309" s="36" t="s">
        <v>2065</v>
      </c>
      <c r="AY309" s="47" t="s">
        <v>2193</v>
      </c>
      <c r="AZ309" s="36" t="s">
        <v>1299</v>
      </c>
      <c r="BA309" s="47" t="s">
        <v>2193</v>
      </c>
      <c r="BB309" s="36" t="s">
        <v>2188</v>
      </c>
      <c r="BC309" s="47" t="s">
        <v>819</v>
      </c>
      <c r="BD309" s="36" t="s">
        <v>2189</v>
      </c>
      <c r="BE309" s="47" t="str">
        <f t="shared" si="10"/>
        <v>"Bairro"</v>
      </c>
    </row>
    <row r="310" spans="1:57" ht="6.65" customHeight="1" x14ac:dyDescent="0.4">
      <c r="A310" s="93">
        <v>310</v>
      </c>
      <c r="B310" s="74" t="s">
        <v>1107</v>
      </c>
      <c r="C310" s="44" t="s">
        <v>664</v>
      </c>
      <c r="D310" s="18" t="s">
        <v>744</v>
      </c>
      <c r="E310" s="48" t="s">
        <v>839</v>
      </c>
      <c r="F310" s="18" t="s">
        <v>820</v>
      </c>
      <c r="G310" s="48" t="s">
        <v>933</v>
      </c>
      <c r="H310" s="18" t="s">
        <v>1062</v>
      </c>
      <c r="I310" s="48" t="s">
        <v>839</v>
      </c>
      <c r="J310" s="18" t="s">
        <v>744</v>
      </c>
      <c r="K310" s="48" t="s">
        <v>1086</v>
      </c>
      <c r="L310" s="18" t="s">
        <v>1</v>
      </c>
      <c r="M310" s="20" t="s">
        <v>1</v>
      </c>
      <c r="N310" s="46" t="s">
        <v>82</v>
      </c>
      <c r="O310" s="25" t="str">
        <f t="shared" si="11"/>
        <v>"Bairro N° B.024 RA.05 Copacabana"</v>
      </c>
      <c r="P310" s="46" t="s">
        <v>1</v>
      </c>
      <c r="Q310" s="25" t="s">
        <v>1</v>
      </c>
      <c r="R310" s="46" t="s">
        <v>1</v>
      </c>
      <c r="S310" s="52" t="s">
        <v>1</v>
      </c>
      <c r="T310" s="46" t="s">
        <v>1</v>
      </c>
      <c r="U310" s="31" t="s">
        <v>1</v>
      </c>
      <c r="V310" s="46" t="s">
        <v>1</v>
      </c>
      <c r="W310" s="31" t="s">
        <v>1</v>
      </c>
      <c r="X310" s="46" t="s">
        <v>1</v>
      </c>
      <c r="Y310" s="31" t="s">
        <v>1</v>
      </c>
      <c r="Z310" s="46" t="s">
        <v>1</v>
      </c>
      <c r="AA310" s="31" t="s">
        <v>1</v>
      </c>
      <c r="AB310" s="46" t="s">
        <v>1</v>
      </c>
      <c r="AC310" s="47" t="s">
        <v>1</v>
      </c>
      <c r="AD310" s="36" t="s">
        <v>1</v>
      </c>
      <c r="AE310" s="51" t="s">
        <v>1</v>
      </c>
      <c r="AF310" s="36" t="s">
        <v>1</v>
      </c>
      <c r="AG310" s="51" t="s">
        <v>1</v>
      </c>
      <c r="AH310" s="36" t="s">
        <v>1</v>
      </c>
      <c r="AI310" s="51" t="s">
        <v>1</v>
      </c>
      <c r="AJ310" s="36" t="s">
        <v>1</v>
      </c>
      <c r="AK310" s="51" t="s">
        <v>1</v>
      </c>
      <c r="AL310" s="36" t="s">
        <v>1</v>
      </c>
      <c r="AM310" s="31" t="s">
        <v>1</v>
      </c>
      <c r="AN310" s="36" t="s">
        <v>1</v>
      </c>
      <c r="AO310" s="31" t="s">
        <v>1</v>
      </c>
      <c r="AP310" s="36" t="s">
        <v>1</v>
      </c>
      <c r="AQ310" s="51" t="s">
        <v>1</v>
      </c>
      <c r="AR310" s="36" t="s">
        <v>1</v>
      </c>
      <c r="AS310" s="47" t="s">
        <v>1</v>
      </c>
      <c r="AT310" s="36" t="s">
        <v>1</v>
      </c>
      <c r="AU310" s="47" t="s">
        <v>1</v>
      </c>
      <c r="AV310" s="36" t="s">
        <v>1</v>
      </c>
      <c r="AW310" s="47" t="s">
        <v>1</v>
      </c>
      <c r="AX310" s="36" t="s">
        <v>2065</v>
      </c>
      <c r="AY310" s="47" t="s">
        <v>2193</v>
      </c>
      <c r="AZ310" s="36" t="s">
        <v>1299</v>
      </c>
      <c r="BA310" s="47" t="s">
        <v>2193</v>
      </c>
      <c r="BB310" s="36" t="s">
        <v>2188</v>
      </c>
      <c r="BC310" s="47" t="s">
        <v>819</v>
      </c>
      <c r="BD310" s="36" t="s">
        <v>2189</v>
      </c>
      <c r="BE310" s="47" t="str">
        <f t="shared" si="10"/>
        <v>"Bairro"</v>
      </c>
    </row>
    <row r="311" spans="1:57" ht="6.65" customHeight="1" x14ac:dyDescent="0.4">
      <c r="A311" s="93">
        <v>311</v>
      </c>
      <c r="B311" s="74" t="s">
        <v>1108</v>
      </c>
      <c r="C311" s="44" t="s">
        <v>664</v>
      </c>
      <c r="D311" s="18" t="s">
        <v>744</v>
      </c>
      <c r="E311" s="48" t="s">
        <v>891</v>
      </c>
      <c r="F311" s="18" t="s">
        <v>820</v>
      </c>
      <c r="G311" s="48" t="s">
        <v>934</v>
      </c>
      <c r="H311" s="18" t="s">
        <v>1062</v>
      </c>
      <c r="I311" s="48" t="s">
        <v>891</v>
      </c>
      <c r="J311" s="18" t="s">
        <v>744</v>
      </c>
      <c r="K311" s="48" t="s">
        <v>1063</v>
      </c>
      <c r="L311" s="18" t="s">
        <v>1</v>
      </c>
      <c r="M311" s="20" t="s">
        <v>1</v>
      </c>
      <c r="N311" s="46" t="s">
        <v>82</v>
      </c>
      <c r="O311" s="25" t="str">
        <f t="shared" si="11"/>
        <v>"Bairro N° B.046 RA.31 Cordovil"</v>
      </c>
      <c r="P311" s="46" t="s">
        <v>1</v>
      </c>
      <c r="Q311" s="25" t="s">
        <v>1</v>
      </c>
      <c r="R311" s="46" t="s">
        <v>1</v>
      </c>
      <c r="S311" s="52" t="s">
        <v>1</v>
      </c>
      <c r="T311" s="46" t="s">
        <v>1</v>
      </c>
      <c r="U311" s="31" t="s">
        <v>1</v>
      </c>
      <c r="V311" s="46" t="s">
        <v>1</v>
      </c>
      <c r="W311" s="31" t="s">
        <v>1</v>
      </c>
      <c r="X311" s="46" t="s">
        <v>1</v>
      </c>
      <c r="Y311" s="31" t="s">
        <v>1</v>
      </c>
      <c r="Z311" s="46" t="s">
        <v>1</v>
      </c>
      <c r="AA311" s="31" t="s">
        <v>1</v>
      </c>
      <c r="AB311" s="46" t="s">
        <v>1</v>
      </c>
      <c r="AC311" s="47" t="s">
        <v>1</v>
      </c>
      <c r="AD311" s="36" t="s">
        <v>1</v>
      </c>
      <c r="AE311" s="51" t="s">
        <v>1</v>
      </c>
      <c r="AF311" s="36" t="s">
        <v>1</v>
      </c>
      <c r="AG311" s="51" t="s">
        <v>1</v>
      </c>
      <c r="AH311" s="36" t="s">
        <v>1</v>
      </c>
      <c r="AI311" s="51" t="s">
        <v>1</v>
      </c>
      <c r="AJ311" s="36" t="s">
        <v>1</v>
      </c>
      <c r="AK311" s="51" t="s">
        <v>1</v>
      </c>
      <c r="AL311" s="36" t="s">
        <v>1</v>
      </c>
      <c r="AM311" s="31" t="s">
        <v>1</v>
      </c>
      <c r="AN311" s="36" t="s">
        <v>1</v>
      </c>
      <c r="AO311" s="31" t="s">
        <v>1</v>
      </c>
      <c r="AP311" s="36" t="s">
        <v>1</v>
      </c>
      <c r="AQ311" s="51" t="s">
        <v>1</v>
      </c>
      <c r="AR311" s="36" t="s">
        <v>1</v>
      </c>
      <c r="AS311" s="47" t="s">
        <v>1</v>
      </c>
      <c r="AT311" s="36" t="s">
        <v>1</v>
      </c>
      <c r="AU311" s="47" t="s">
        <v>1</v>
      </c>
      <c r="AV311" s="36" t="s">
        <v>1</v>
      </c>
      <c r="AW311" s="47" t="s">
        <v>1</v>
      </c>
      <c r="AX311" s="36" t="s">
        <v>2065</v>
      </c>
      <c r="AY311" s="47" t="s">
        <v>2193</v>
      </c>
      <c r="AZ311" s="36" t="s">
        <v>1299</v>
      </c>
      <c r="BA311" s="47" t="s">
        <v>2193</v>
      </c>
      <c r="BB311" s="36" t="s">
        <v>2188</v>
      </c>
      <c r="BC311" s="47" t="s">
        <v>819</v>
      </c>
      <c r="BD311" s="36" t="s">
        <v>2189</v>
      </c>
      <c r="BE311" s="47" t="str">
        <f t="shared" si="10"/>
        <v>"Bairro"</v>
      </c>
    </row>
    <row r="312" spans="1:57" ht="6.65" customHeight="1" x14ac:dyDescent="0.4">
      <c r="A312" s="93">
        <v>312</v>
      </c>
      <c r="B312" s="74" t="s">
        <v>1109</v>
      </c>
      <c r="C312" s="44" t="s">
        <v>664</v>
      </c>
      <c r="D312" s="18" t="s">
        <v>744</v>
      </c>
      <c r="E312" s="48" t="s">
        <v>837</v>
      </c>
      <c r="F312" s="18" t="s">
        <v>820</v>
      </c>
      <c r="G312" s="48" t="s">
        <v>935</v>
      </c>
      <c r="H312" s="18" t="s">
        <v>1062</v>
      </c>
      <c r="I312" s="48" t="s">
        <v>837</v>
      </c>
      <c r="J312" s="18" t="s">
        <v>744</v>
      </c>
      <c r="K312" s="48" t="s">
        <v>1086</v>
      </c>
      <c r="L312" s="18" t="s">
        <v>1</v>
      </c>
      <c r="M312" s="20" t="s">
        <v>1</v>
      </c>
      <c r="N312" s="46" t="s">
        <v>82</v>
      </c>
      <c r="O312" s="25" t="str">
        <f t="shared" si="11"/>
        <v>"Bairro N° B.019 RA.04 Cosme.Velho"</v>
      </c>
      <c r="P312" s="46" t="s">
        <v>1</v>
      </c>
      <c r="Q312" s="25" t="s">
        <v>1</v>
      </c>
      <c r="R312" s="46" t="s">
        <v>1</v>
      </c>
      <c r="S312" s="52" t="s">
        <v>1</v>
      </c>
      <c r="T312" s="46" t="s">
        <v>1</v>
      </c>
      <c r="U312" s="31" t="s">
        <v>1</v>
      </c>
      <c r="V312" s="46" t="s">
        <v>1</v>
      </c>
      <c r="W312" s="31" t="s">
        <v>1</v>
      </c>
      <c r="X312" s="46" t="s">
        <v>1</v>
      </c>
      <c r="Y312" s="31" t="s">
        <v>1</v>
      </c>
      <c r="Z312" s="46" t="s">
        <v>1</v>
      </c>
      <c r="AA312" s="31" t="s">
        <v>1</v>
      </c>
      <c r="AB312" s="46" t="s">
        <v>1</v>
      </c>
      <c r="AC312" s="47" t="s">
        <v>1</v>
      </c>
      <c r="AD312" s="36" t="s">
        <v>1</v>
      </c>
      <c r="AE312" s="51" t="s">
        <v>1</v>
      </c>
      <c r="AF312" s="36" t="s">
        <v>1</v>
      </c>
      <c r="AG312" s="51" t="s">
        <v>1</v>
      </c>
      <c r="AH312" s="36" t="s">
        <v>1</v>
      </c>
      <c r="AI312" s="51" t="s">
        <v>1</v>
      </c>
      <c r="AJ312" s="36" t="s">
        <v>1</v>
      </c>
      <c r="AK312" s="51" t="s">
        <v>1</v>
      </c>
      <c r="AL312" s="36" t="s">
        <v>1</v>
      </c>
      <c r="AM312" s="31" t="s">
        <v>1</v>
      </c>
      <c r="AN312" s="36" t="s">
        <v>1</v>
      </c>
      <c r="AO312" s="31" t="s">
        <v>1</v>
      </c>
      <c r="AP312" s="36" t="s">
        <v>1</v>
      </c>
      <c r="AQ312" s="51" t="s">
        <v>1</v>
      </c>
      <c r="AR312" s="36" t="s">
        <v>1</v>
      </c>
      <c r="AS312" s="47" t="s">
        <v>1</v>
      </c>
      <c r="AT312" s="36" t="s">
        <v>1</v>
      </c>
      <c r="AU312" s="47" t="s">
        <v>1</v>
      </c>
      <c r="AV312" s="36" t="s">
        <v>1</v>
      </c>
      <c r="AW312" s="47" t="s">
        <v>1</v>
      </c>
      <c r="AX312" s="36" t="s">
        <v>2065</v>
      </c>
      <c r="AY312" s="47" t="s">
        <v>2193</v>
      </c>
      <c r="AZ312" s="36" t="s">
        <v>1299</v>
      </c>
      <c r="BA312" s="47" t="s">
        <v>2193</v>
      </c>
      <c r="BB312" s="36" t="s">
        <v>2188</v>
      </c>
      <c r="BC312" s="47" t="s">
        <v>819</v>
      </c>
      <c r="BD312" s="36" t="s">
        <v>2189</v>
      </c>
      <c r="BE312" s="47" t="str">
        <f t="shared" si="10"/>
        <v>"Bairro"</v>
      </c>
    </row>
    <row r="313" spans="1:57" ht="6.65" customHeight="1" x14ac:dyDescent="0.4">
      <c r="A313" s="93">
        <v>313</v>
      </c>
      <c r="B313" s="74" t="s">
        <v>1110</v>
      </c>
      <c r="C313" s="44" t="s">
        <v>664</v>
      </c>
      <c r="D313" s="18" t="s">
        <v>744</v>
      </c>
      <c r="E313" s="48" t="s">
        <v>865</v>
      </c>
      <c r="F313" s="18" t="s">
        <v>820</v>
      </c>
      <c r="G313" s="48" t="s">
        <v>936</v>
      </c>
      <c r="H313" s="18" t="s">
        <v>1062</v>
      </c>
      <c r="I313" s="48" t="s">
        <v>865</v>
      </c>
      <c r="J313" s="18" t="s">
        <v>744</v>
      </c>
      <c r="K313" s="48" t="s">
        <v>1079</v>
      </c>
      <c r="L313" s="18" t="s">
        <v>1</v>
      </c>
      <c r="M313" s="20" t="s">
        <v>1</v>
      </c>
      <c r="N313" s="46" t="s">
        <v>82</v>
      </c>
      <c r="O313" s="25" t="str">
        <f t="shared" si="11"/>
        <v>"Bairro N° B.147 RA.18 Cosmos"</v>
      </c>
      <c r="P313" s="46" t="s">
        <v>1</v>
      </c>
      <c r="Q313" s="25" t="s">
        <v>1</v>
      </c>
      <c r="R313" s="46" t="s">
        <v>1</v>
      </c>
      <c r="S313" s="52" t="s">
        <v>1</v>
      </c>
      <c r="T313" s="46" t="s">
        <v>1</v>
      </c>
      <c r="U313" s="31" t="s">
        <v>1</v>
      </c>
      <c r="V313" s="46" t="s">
        <v>1</v>
      </c>
      <c r="W313" s="31" t="s">
        <v>1</v>
      </c>
      <c r="X313" s="46" t="s">
        <v>1</v>
      </c>
      <c r="Y313" s="31" t="s">
        <v>1</v>
      </c>
      <c r="Z313" s="46" t="s">
        <v>1</v>
      </c>
      <c r="AA313" s="31" t="s">
        <v>1</v>
      </c>
      <c r="AB313" s="46" t="s">
        <v>1</v>
      </c>
      <c r="AC313" s="47" t="s">
        <v>1</v>
      </c>
      <c r="AD313" s="36" t="s">
        <v>1</v>
      </c>
      <c r="AE313" s="51" t="s">
        <v>1</v>
      </c>
      <c r="AF313" s="36" t="s">
        <v>1</v>
      </c>
      <c r="AG313" s="51" t="s">
        <v>1</v>
      </c>
      <c r="AH313" s="36" t="s">
        <v>1</v>
      </c>
      <c r="AI313" s="51" t="s">
        <v>1</v>
      </c>
      <c r="AJ313" s="36" t="s">
        <v>1</v>
      </c>
      <c r="AK313" s="51" t="s">
        <v>1</v>
      </c>
      <c r="AL313" s="36" t="s">
        <v>1</v>
      </c>
      <c r="AM313" s="31" t="s">
        <v>1</v>
      </c>
      <c r="AN313" s="36" t="s">
        <v>1</v>
      </c>
      <c r="AO313" s="31" t="s">
        <v>1</v>
      </c>
      <c r="AP313" s="36" t="s">
        <v>1</v>
      </c>
      <c r="AQ313" s="51" t="s">
        <v>1</v>
      </c>
      <c r="AR313" s="36" t="s">
        <v>1</v>
      </c>
      <c r="AS313" s="47" t="s">
        <v>1</v>
      </c>
      <c r="AT313" s="36" t="s">
        <v>1</v>
      </c>
      <c r="AU313" s="47" t="s">
        <v>1</v>
      </c>
      <c r="AV313" s="36" t="s">
        <v>1</v>
      </c>
      <c r="AW313" s="47" t="s">
        <v>1</v>
      </c>
      <c r="AX313" s="36" t="s">
        <v>2065</v>
      </c>
      <c r="AY313" s="47" t="s">
        <v>2193</v>
      </c>
      <c r="AZ313" s="36" t="s">
        <v>1299</v>
      </c>
      <c r="BA313" s="47" t="s">
        <v>2193</v>
      </c>
      <c r="BB313" s="36" t="s">
        <v>2188</v>
      </c>
      <c r="BC313" s="47" t="s">
        <v>819</v>
      </c>
      <c r="BD313" s="36" t="s">
        <v>2189</v>
      </c>
      <c r="BE313" s="47" t="str">
        <f t="shared" si="10"/>
        <v>"Bairro"</v>
      </c>
    </row>
    <row r="314" spans="1:57" ht="6.65" customHeight="1" x14ac:dyDescent="0.4">
      <c r="A314" s="93">
        <v>314</v>
      </c>
      <c r="B314" s="74" t="s">
        <v>1111</v>
      </c>
      <c r="C314" s="44" t="s">
        <v>664</v>
      </c>
      <c r="D314" s="18" t="s">
        <v>744</v>
      </c>
      <c r="E314" s="48" t="s">
        <v>879</v>
      </c>
      <c r="F314" s="18" t="s">
        <v>820</v>
      </c>
      <c r="G314" s="48" t="s">
        <v>937</v>
      </c>
      <c r="H314" s="18" t="s">
        <v>1062</v>
      </c>
      <c r="I314" s="48" t="s">
        <v>879</v>
      </c>
      <c r="J314" s="18" t="s">
        <v>744</v>
      </c>
      <c r="K314" s="48" t="s">
        <v>1063</v>
      </c>
      <c r="L314" s="18" t="s">
        <v>1</v>
      </c>
      <c r="M314" s="20" t="s">
        <v>1</v>
      </c>
      <c r="N314" s="46" t="s">
        <v>82</v>
      </c>
      <c r="O314" s="25" t="str">
        <f t="shared" si="11"/>
        <v>"Bairro N° B.113 RA.25 Costa.Barros"</v>
      </c>
      <c r="P314" s="46" t="s">
        <v>1</v>
      </c>
      <c r="Q314" s="25" t="s">
        <v>1</v>
      </c>
      <c r="R314" s="46" t="s">
        <v>1</v>
      </c>
      <c r="S314" s="52" t="s">
        <v>1</v>
      </c>
      <c r="T314" s="46" t="s">
        <v>1</v>
      </c>
      <c r="U314" s="31" t="s">
        <v>1</v>
      </c>
      <c r="V314" s="46" t="s">
        <v>1</v>
      </c>
      <c r="W314" s="31" t="s">
        <v>1</v>
      </c>
      <c r="X314" s="46" t="s">
        <v>1</v>
      </c>
      <c r="Y314" s="31" t="s">
        <v>1</v>
      </c>
      <c r="Z314" s="46" t="s">
        <v>1</v>
      </c>
      <c r="AA314" s="31" t="s">
        <v>1</v>
      </c>
      <c r="AB314" s="46" t="s">
        <v>1</v>
      </c>
      <c r="AC314" s="47" t="s">
        <v>1</v>
      </c>
      <c r="AD314" s="36" t="s">
        <v>1</v>
      </c>
      <c r="AE314" s="51" t="s">
        <v>1</v>
      </c>
      <c r="AF314" s="36" t="s">
        <v>1</v>
      </c>
      <c r="AG314" s="51" t="s">
        <v>1</v>
      </c>
      <c r="AH314" s="36" t="s">
        <v>1</v>
      </c>
      <c r="AI314" s="51" t="s">
        <v>1</v>
      </c>
      <c r="AJ314" s="36" t="s">
        <v>1</v>
      </c>
      <c r="AK314" s="51" t="s">
        <v>1</v>
      </c>
      <c r="AL314" s="36" t="s">
        <v>1</v>
      </c>
      <c r="AM314" s="31" t="s">
        <v>1</v>
      </c>
      <c r="AN314" s="36" t="s">
        <v>1</v>
      </c>
      <c r="AO314" s="31" t="s">
        <v>1</v>
      </c>
      <c r="AP314" s="36" t="s">
        <v>1</v>
      </c>
      <c r="AQ314" s="51" t="s">
        <v>1</v>
      </c>
      <c r="AR314" s="36" t="s">
        <v>1</v>
      </c>
      <c r="AS314" s="47" t="s">
        <v>1</v>
      </c>
      <c r="AT314" s="36" t="s">
        <v>1</v>
      </c>
      <c r="AU314" s="47" t="s">
        <v>1</v>
      </c>
      <c r="AV314" s="36" t="s">
        <v>1</v>
      </c>
      <c r="AW314" s="47" t="s">
        <v>1</v>
      </c>
      <c r="AX314" s="36" t="s">
        <v>2065</v>
      </c>
      <c r="AY314" s="47" t="s">
        <v>2193</v>
      </c>
      <c r="AZ314" s="36" t="s">
        <v>1299</v>
      </c>
      <c r="BA314" s="47" t="s">
        <v>2193</v>
      </c>
      <c r="BB314" s="36" t="s">
        <v>2188</v>
      </c>
      <c r="BC314" s="47" t="s">
        <v>819</v>
      </c>
      <c r="BD314" s="36" t="s">
        <v>2189</v>
      </c>
      <c r="BE314" s="47" t="str">
        <f t="shared" si="10"/>
        <v>"Bairro"</v>
      </c>
    </row>
    <row r="315" spans="1:57" ht="6.65" customHeight="1" x14ac:dyDescent="0.4">
      <c r="A315" s="93">
        <v>315</v>
      </c>
      <c r="B315" s="74" t="s">
        <v>1112</v>
      </c>
      <c r="C315" s="44" t="s">
        <v>664</v>
      </c>
      <c r="D315" s="18" t="s">
        <v>744</v>
      </c>
      <c r="E315" s="48" t="s">
        <v>861</v>
      </c>
      <c r="F315" s="18" t="s">
        <v>820</v>
      </c>
      <c r="G315" s="48" t="s">
        <v>938</v>
      </c>
      <c r="H315" s="18" t="s">
        <v>1062</v>
      </c>
      <c r="I315" s="48" t="s">
        <v>861</v>
      </c>
      <c r="J315" s="18" t="s">
        <v>744</v>
      </c>
      <c r="K315" s="48" t="s">
        <v>1071</v>
      </c>
      <c r="L315" s="18" t="s">
        <v>1</v>
      </c>
      <c r="M315" s="20" t="s">
        <v>1</v>
      </c>
      <c r="N315" s="46" t="s">
        <v>82</v>
      </c>
      <c r="O315" s="25" t="str">
        <f t="shared" si="11"/>
        <v>"Bairro N° B.119 RA.16 Curicica"</v>
      </c>
      <c r="P315" s="46" t="s">
        <v>1</v>
      </c>
      <c r="Q315" s="25" t="s">
        <v>1</v>
      </c>
      <c r="R315" s="46" t="s">
        <v>1</v>
      </c>
      <c r="S315" s="52" t="s">
        <v>1</v>
      </c>
      <c r="T315" s="46" t="s">
        <v>1</v>
      </c>
      <c r="U315" s="31" t="s">
        <v>1</v>
      </c>
      <c r="V315" s="46" t="s">
        <v>1</v>
      </c>
      <c r="W315" s="31" t="s">
        <v>1</v>
      </c>
      <c r="X315" s="46" t="s">
        <v>1</v>
      </c>
      <c r="Y315" s="31" t="s">
        <v>1</v>
      </c>
      <c r="Z315" s="46" t="s">
        <v>1</v>
      </c>
      <c r="AA315" s="31" t="s">
        <v>1</v>
      </c>
      <c r="AB315" s="46" t="s">
        <v>1</v>
      </c>
      <c r="AC315" s="47" t="s">
        <v>1</v>
      </c>
      <c r="AD315" s="36" t="s">
        <v>1</v>
      </c>
      <c r="AE315" s="51" t="s">
        <v>1</v>
      </c>
      <c r="AF315" s="36" t="s">
        <v>1</v>
      </c>
      <c r="AG315" s="51" t="s">
        <v>1</v>
      </c>
      <c r="AH315" s="36" t="s">
        <v>1</v>
      </c>
      <c r="AI315" s="51" t="s">
        <v>1</v>
      </c>
      <c r="AJ315" s="36" t="s">
        <v>1</v>
      </c>
      <c r="AK315" s="51" t="s">
        <v>1</v>
      </c>
      <c r="AL315" s="36" t="s">
        <v>1</v>
      </c>
      <c r="AM315" s="31" t="s">
        <v>1</v>
      </c>
      <c r="AN315" s="36" t="s">
        <v>1</v>
      </c>
      <c r="AO315" s="31" t="s">
        <v>1</v>
      </c>
      <c r="AP315" s="36" t="s">
        <v>1</v>
      </c>
      <c r="AQ315" s="51" t="s">
        <v>1</v>
      </c>
      <c r="AR315" s="36" t="s">
        <v>1</v>
      </c>
      <c r="AS315" s="47" t="s">
        <v>1</v>
      </c>
      <c r="AT315" s="36" t="s">
        <v>1</v>
      </c>
      <c r="AU315" s="47" t="s">
        <v>1</v>
      </c>
      <c r="AV315" s="36" t="s">
        <v>1</v>
      </c>
      <c r="AW315" s="47" t="s">
        <v>1</v>
      </c>
      <c r="AX315" s="36" t="s">
        <v>2065</v>
      </c>
      <c r="AY315" s="47" t="s">
        <v>2193</v>
      </c>
      <c r="AZ315" s="36" t="s">
        <v>1299</v>
      </c>
      <c r="BA315" s="47" t="s">
        <v>2193</v>
      </c>
      <c r="BB315" s="36" t="s">
        <v>2188</v>
      </c>
      <c r="BC315" s="47" t="s">
        <v>819</v>
      </c>
      <c r="BD315" s="36" t="s">
        <v>2189</v>
      </c>
      <c r="BE315" s="47" t="str">
        <f t="shared" si="10"/>
        <v>"Bairro"</v>
      </c>
    </row>
    <row r="316" spans="1:57" ht="6.65" customHeight="1" x14ac:dyDescent="0.4">
      <c r="A316" s="93">
        <v>316</v>
      </c>
      <c r="B316" s="74" t="s">
        <v>1113</v>
      </c>
      <c r="C316" s="44" t="s">
        <v>664</v>
      </c>
      <c r="D316" s="18" t="s">
        <v>744</v>
      </c>
      <c r="E316" s="48" t="s">
        <v>853</v>
      </c>
      <c r="F316" s="18" t="s">
        <v>820</v>
      </c>
      <c r="G316" s="48" t="s">
        <v>939</v>
      </c>
      <c r="H316" s="18" t="s">
        <v>1062</v>
      </c>
      <c r="I316" s="48" t="s">
        <v>853</v>
      </c>
      <c r="J316" s="18" t="s">
        <v>744</v>
      </c>
      <c r="K316" s="48" t="s">
        <v>1063</v>
      </c>
      <c r="L316" s="18" t="s">
        <v>1</v>
      </c>
      <c r="M316" s="20" t="s">
        <v>1</v>
      </c>
      <c r="N316" s="46" t="s">
        <v>82</v>
      </c>
      <c r="O316" s="25" t="str">
        <f t="shared" si="11"/>
        <v>"Bairro N° B.053 RA.12 Del.Castilho"</v>
      </c>
      <c r="P316" s="46" t="s">
        <v>1</v>
      </c>
      <c r="Q316" s="25" t="s">
        <v>1</v>
      </c>
      <c r="R316" s="46" t="s">
        <v>1</v>
      </c>
      <c r="S316" s="52" t="s">
        <v>1</v>
      </c>
      <c r="T316" s="46" t="s">
        <v>1</v>
      </c>
      <c r="U316" s="31" t="s">
        <v>1</v>
      </c>
      <c r="V316" s="46" t="s">
        <v>1</v>
      </c>
      <c r="W316" s="31" t="s">
        <v>1</v>
      </c>
      <c r="X316" s="46" t="s">
        <v>1</v>
      </c>
      <c r="Y316" s="31" t="s">
        <v>1</v>
      </c>
      <c r="Z316" s="46" t="s">
        <v>1</v>
      </c>
      <c r="AA316" s="31" t="s">
        <v>1</v>
      </c>
      <c r="AB316" s="46" t="s">
        <v>1</v>
      </c>
      <c r="AC316" s="47" t="s">
        <v>1</v>
      </c>
      <c r="AD316" s="36" t="s">
        <v>1</v>
      </c>
      <c r="AE316" s="51" t="s">
        <v>1</v>
      </c>
      <c r="AF316" s="36" t="s">
        <v>1</v>
      </c>
      <c r="AG316" s="51" t="s">
        <v>1</v>
      </c>
      <c r="AH316" s="36" t="s">
        <v>1</v>
      </c>
      <c r="AI316" s="51" t="s">
        <v>1</v>
      </c>
      <c r="AJ316" s="36" t="s">
        <v>1</v>
      </c>
      <c r="AK316" s="51" t="s">
        <v>1</v>
      </c>
      <c r="AL316" s="36" t="s">
        <v>1</v>
      </c>
      <c r="AM316" s="31" t="s">
        <v>1</v>
      </c>
      <c r="AN316" s="36" t="s">
        <v>1</v>
      </c>
      <c r="AO316" s="31" t="s">
        <v>1</v>
      </c>
      <c r="AP316" s="36" t="s">
        <v>1</v>
      </c>
      <c r="AQ316" s="51" t="s">
        <v>1</v>
      </c>
      <c r="AR316" s="36" t="s">
        <v>1</v>
      </c>
      <c r="AS316" s="47" t="s">
        <v>1</v>
      </c>
      <c r="AT316" s="36" t="s">
        <v>1</v>
      </c>
      <c r="AU316" s="47" t="s">
        <v>1</v>
      </c>
      <c r="AV316" s="36" t="s">
        <v>1</v>
      </c>
      <c r="AW316" s="47" t="s">
        <v>1</v>
      </c>
      <c r="AX316" s="36" t="s">
        <v>2065</v>
      </c>
      <c r="AY316" s="47" t="s">
        <v>2193</v>
      </c>
      <c r="AZ316" s="36" t="s">
        <v>1299</v>
      </c>
      <c r="BA316" s="47" t="s">
        <v>2193</v>
      </c>
      <c r="BB316" s="36" t="s">
        <v>2188</v>
      </c>
      <c r="BC316" s="47" t="s">
        <v>819</v>
      </c>
      <c r="BD316" s="36" t="s">
        <v>2189</v>
      </c>
      <c r="BE316" s="47" t="str">
        <f t="shared" si="10"/>
        <v>"Bairro"</v>
      </c>
    </row>
    <row r="317" spans="1:57" ht="6.65" customHeight="1" x14ac:dyDescent="0.4">
      <c r="A317" s="93">
        <v>317</v>
      </c>
      <c r="B317" s="74" t="s">
        <v>1114</v>
      </c>
      <c r="C317" s="44" t="s">
        <v>664</v>
      </c>
      <c r="D317" s="18" t="s">
        <v>744</v>
      </c>
      <c r="E317" s="48" t="s">
        <v>893</v>
      </c>
      <c r="F317" s="18" t="s">
        <v>820</v>
      </c>
      <c r="G317" s="48" t="s">
        <v>940</v>
      </c>
      <c r="H317" s="18" t="s">
        <v>1062</v>
      </c>
      <c r="I317" s="48" t="s">
        <v>893</v>
      </c>
      <c r="J317" s="18" t="s">
        <v>744</v>
      </c>
      <c r="K317" s="48" t="s">
        <v>1075</v>
      </c>
      <c r="L317" s="18" t="s">
        <v>1</v>
      </c>
      <c r="M317" s="20" t="s">
        <v>1</v>
      </c>
      <c r="N317" s="46" t="s">
        <v>82</v>
      </c>
      <c r="O317" s="25" t="str">
        <f t="shared" si="11"/>
        <v>"Bairro N° B.134 RA.32 Deodoro"</v>
      </c>
      <c r="P317" s="46" t="s">
        <v>1</v>
      </c>
      <c r="Q317" s="25" t="s">
        <v>1</v>
      </c>
      <c r="R317" s="46" t="s">
        <v>1</v>
      </c>
      <c r="S317" s="52" t="s">
        <v>1</v>
      </c>
      <c r="T317" s="46" t="s">
        <v>1</v>
      </c>
      <c r="U317" s="31" t="s">
        <v>1</v>
      </c>
      <c r="V317" s="46" t="s">
        <v>1</v>
      </c>
      <c r="W317" s="31" t="s">
        <v>1</v>
      </c>
      <c r="X317" s="46" t="s">
        <v>1</v>
      </c>
      <c r="Y317" s="31" t="s">
        <v>1</v>
      </c>
      <c r="Z317" s="46" t="s">
        <v>1</v>
      </c>
      <c r="AA317" s="31" t="s">
        <v>1</v>
      </c>
      <c r="AB317" s="46" t="s">
        <v>1</v>
      </c>
      <c r="AC317" s="47" t="s">
        <v>1</v>
      </c>
      <c r="AD317" s="36" t="s">
        <v>1</v>
      </c>
      <c r="AE317" s="51" t="s">
        <v>1</v>
      </c>
      <c r="AF317" s="36" t="s">
        <v>1</v>
      </c>
      <c r="AG317" s="51" t="s">
        <v>1</v>
      </c>
      <c r="AH317" s="36" t="s">
        <v>1</v>
      </c>
      <c r="AI317" s="51" t="s">
        <v>1</v>
      </c>
      <c r="AJ317" s="36" t="s">
        <v>1</v>
      </c>
      <c r="AK317" s="51" t="s">
        <v>1</v>
      </c>
      <c r="AL317" s="36" t="s">
        <v>1</v>
      </c>
      <c r="AM317" s="31" t="s">
        <v>1</v>
      </c>
      <c r="AN317" s="36" t="s">
        <v>1</v>
      </c>
      <c r="AO317" s="31" t="s">
        <v>1</v>
      </c>
      <c r="AP317" s="36" t="s">
        <v>1</v>
      </c>
      <c r="AQ317" s="51" t="s">
        <v>1</v>
      </c>
      <c r="AR317" s="36" t="s">
        <v>1</v>
      </c>
      <c r="AS317" s="47" t="s">
        <v>1</v>
      </c>
      <c r="AT317" s="36" t="s">
        <v>1</v>
      </c>
      <c r="AU317" s="47" t="s">
        <v>1</v>
      </c>
      <c r="AV317" s="36" t="s">
        <v>1</v>
      </c>
      <c r="AW317" s="47" t="s">
        <v>1</v>
      </c>
      <c r="AX317" s="36" t="s">
        <v>2065</v>
      </c>
      <c r="AY317" s="47" t="s">
        <v>2193</v>
      </c>
      <c r="AZ317" s="36" t="s">
        <v>1299</v>
      </c>
      <c r="BA317" s="47" t="s">
        <v>2193</v>
      </c>
      <c r="BB317" s="36" t="s">
        <v>2188</v>
      </c>
      <c r="BC317" s="47" t="s">
        <v>819</v>
      </c>
      <c r="BD317" s="36" t="s">
        <v>2189</v>
      </c>
      <c r="BE317" s="47" t="str">
        <f t="shared" si="10"/>
        <v>"Bairro"</v>
      </c>
    </row>
    <row r="318" spans="1:57" ht="6.65" customHeight="1" x14ac:dyDescent="0.4">
      <c r="A318" s="93">
        <v>318</v>
      </c>
      <c r="B318" s="74" t="s">
        <v>1115</v>
      </c>
      <c r="C318" s="44" t="s">
        <v>664</v>
      </c>
      <c r="D318" s="18" t="s">
        <v>744</v>
      </c>
      <c r="E318" s="48" t="s">
        <v>855</v>
      </c>
      <c r="F318" s="18" t="s">
        <v>820</v>
      </c>
      <c r="G318" s="48" t="s">
        <v>941</v>
      </c>
      <c r="H318" s="18" t="s">
        <v>1062</v>
      </c>
      <c r="I318" s="48" t="s">
        <v>855</v>
      </c>
      <c r="J318" s="18" t="s">
        <v>744</v>
      </c>
      <c r="K318" s="48" t="s">
        <v>1063</v>
      </c>
      <c r="L318" s="18" t="s">
        <v>1</v>
      </c>
      <c r="M318" s="20" t="s">
        <v>1</v>
      </c>
      <c r="N318" s="46" t="s">
        <v>82</v>
      </c>
      <c r="O318" s="25" t="str">
        <f t="shared" si="11"/>
        <v>"Bairro N° B.068 RA.13 Encantado"</v>
      </c>
      <c r="P318" s="46" t="s">
        <v>1</v>
      </c>
      <c r="Q318" s="25" t="s">
        <v>1</v>
      </c>
      <c r="R318" s="46" t="s">
        <v>1</v>
      </c>
      <c r="S318" s="52" t="s">
        <v>1</v>
      </c>
      <c r="T318" s="46" t="s">
        <v>1</v>
      </c>
      <c r="U318" s="31" t="s">
        <v>1</v>
      </c>
      <c r="V318" s="46" t="s">
        <v>1</v>
      </c>
      <c r="W318" s="31" t="s">
        <v>1</v>
      </c>
      <c r="X318" s="46" t="s">
        <v>1</v>
      </c>
      <c r="Y318" s="31" t="s">
        <v>1</v>
      </c>
      <c r="Z318" s="46" t="s">
        <v>1</v>
      </c>
      <c r="AA318" s="31" t="s">
        <v>1</v>
      </c>
      <c r="AB318" s="46" t="s">
        <v>1</v>
      </c>
      <c r="AC318" s="47" t="s">
        <v>1</v>
      </c>
      <c r="AD318" s="36" t="s">
        <v>1</v>
      </c>
      <c r="AE318" s="51" t="s">
        <v>1</v>
      </c>
      <c r="AF318" s="36" t="s">
        <v>1</v>
      </c>
      <c r="AG318" s="51" t="s">
        <v>1</v>
      </c>
      <c r="AH318" s="36" t="s">
        <v>1</v>
      </c>
      <c r="AI318" s="51" t="s">
        <v>1</v>
      </c>
      <c r="AJ318" s="36" t="s">
        <v>1</v>
      </c>
      <c r="AK318" s="51" t="s">
        <v>1</v>
      </c>
      <c r="AL318" s="36" t="s">
        <v>1</v>
      </c>
      <c r="AM318" s="31" t="s">
        <v>1</v>
      </c>
      <c r="AN318" s="36" t="s">
        <v>1</v>
      </c>
      <c r="AO318" s="31" t="s">
        <v>1</v>
      </c>
      <c r="AP318" s="36" t="s">
        <v>1</v>
      </c>
      <c r="AQ318" s="51" t="s">
        <v>1</v>
      </c>
      <c r="AR318" s="36" t="s">
        <v>1</v>
      </c>
      <c r="AS318" s="47" t="s">
        <v>1</v>
      </c>
      <c r="AT318" s="36" t="s">
        <v>1</v>
      </c>
      <c r="AU318" s="47" t="s">
        <v>1</v>
      </c>
      <c r="AV318" s="36" t="s">
        <v>1</v>
      </c>
      <c r="AW318" s="47" t="s">
        <v>1</v>
      </c>
      <c r="AX318" s="36" t="s">
        <v>2065</v>
      </c>
      <c r="AY318" s="47" t="s">
        <v>2193</v>
      </c>
      <c r="AZ318" s="36" t="s">
        <v>1299</v>
      </c>
      <c r="BA318" s="47" t="s">
        <v>2193</v>
      </c>
      <c r="BB318" s="36" t="s">
        <v>2188</v>
      </c>
      <c r="BC318" s="47" t="s">
        <v>819</v>
      </c>
      <c r="BD318" s="36" t="s">
        <v>2189</v>
      </c>
      <c r="BE318" s="47" t="str">
        <f t="shared" si="10"/>
        <v>"Bairro"</v>
      </c>
    </row>
    <row r="319" spans="1:57" ht="6.65" customHeight="1" x14ac:dyDescent="0.4">
      <c r="A319" s="93">
        <v>319</v>
      </c>
      <c r="B319" s="74" t="s">
        <v>1116</v>
      </c>
      <c r="C319" s="44" t="s">
        <v>664</v>
      </c>
      <c r="D319" s="18" t="s">
        <v>744</v>
      </c>
      <c r="E319" s="48" t="s">
        <v>859</v>
      </c>
      <c r="F319" s="18" t="s">
        <v>820</v>
      </c>
      <c r="G319" s="48" t="s">
        <v>942</v>
      </c>
      <c r="H319" s="18" t="s">
        <v>1062</v>
      </c>
      <c r="I319" s="48" t="s">
        <v>859</v>
      </c>
      <c r="J319" s="18" t="s">
        <v>744</v>
      </c>
      <c r="K319" s="48" t="s">
        <v>1063</v>
      </c>
      <c r="L319" s="18" t="s">
        <v>1</v>
      </c>
      <c r="M319" s="20" t="s">
        <v>1</v>
      </c>
      <c r="N319" s="46" t="s">
        <v>82</v>
      </c>
      <c r="O319" s="25" t="str">
        <f t="shared" si="11"/>
        <v>"Bairro N° B.081 RA.15 Engenheiro.Leal"</v>
      </c>
      <c r="P319" s="46" t="s">
        <v>1</v>
      </c>
      <c r="Q319" s="25" t="s">
        <v>1</v>
      </c>
      <c r="R319" s="46" t="s">
        <v>1</v>
      </c>
      <c r="S319" s="52" t="s">
        <v>1</v>
      </c>
      <c r="T319" s="46" t="s">
        <v>1</v>
      </c>
      <c r="U319" s="31" t="s">
        <v>1</v>
      </c>
      <c r="V319" s="46" t="s">
        <v>1</v>
      </c>
      <c r="W319" s="31" t="s">
        <v>1</v>
      </c>
      <c r="X319" s="46" t="s">
        <v>1</v>
      </c>
      <c r="Y319" s="31" t="s">
        <v>1</v>
      </c>
      <c r="Z319" s="46" t="s">
        <v>1</v>
      </c>
      <c r="AA319" s="31" t="s">
        <v>1</v>
      </c>
      <c r="AB319" s="46" t="s">
        <v>1</v>
      </c>
      <c r="AC319" s="47" t="s">
        <v>1</v>
      </c>
      <c r="AD319" s="36" t="s">
        <v>1</v>
      </c>
      <c r="AE319" s="51" t="s">
        <v>1</v>
      </c>
      <c r="AF319" s="36" t="s">
        <v>1</v>
      </c>
      <c r="AG319" s="51" t="s">
        <v>1</v>
      </c>
      <c r="AH319" s="36" t="s">
        <v>1</v>
      </c>
      <c r="AI319" s="51" t="s">
        <v>1</v>
      </c>
      <c r="AJ319" s="36" t="s">
        <v>1</v>
      </c>
      <c r="AK319" s="51" t="s">
        <v>1</v>
      </c>
      <c r="AL319" s="36" t="s">
        <v>1</v>
      </c>
      <c r="AM319" s="31" t="s">
        <v>1</v>
      </c>
      <c r="AN319" s="36" t="s">
        <v>1</v>
      </c>
      <c r="AO319" s="31" t="s">
        <v>1</v>
      </c>
      <c r="AP319" s="36" t="s">
        <v>1</v>
      </c>
      <c r="AQ319" s="51" t="s">
        <v>1</v>
      </c>
      <c r="AR319" s="36" t="s">
        <v>1</v>
      </c>
      <c r="AS319" s="47" t="s">
        <v>1</v>
      </c>
      <c r="AT319" s="36" t="s">
        <v>1</v>
      </c>
      <c r="AU319" s="47" t="s">
        <v>1</v>
      </c>
      <c r="AV319" s="36" t="s">
        <v>1</v>
      </c>
      <c r="AW319" s="47" t="s">
        <v>1</v>
      </c>
      <c r="AX319" s="36" t="s">
        <v>2065</v>
      </c>
      <c r="AY319" s="47" t="s">
        <v>2193</v>
      </c>
      <c r="AZ319" s="36" t="s">
        <v>1299</v>
      </c>
      <c r="BA319" s="47" t="s">
        <v>2193</v>
      </c>
      <c r="BB319" s="36" t="s">
        <v>2188</v>
      </c>
      <c r="BC319" s="47" t="s">
        <v>819</v>
      </c>
      <c r="BD319" s="36" t="s">
        <v>2189</v>
      </c>
      <c r="BE319" s="47" t="str">
        <f t="shared" si="10"/>
        <v>"Bairro"</v>
      </c>
    </row>
    <row r="320" spans="1:57" ht="6.65" customHeight="1" x14ac:dyDescent="0.4">
      <c r="A320" s="93">
        <v>320</v>
      </c>
      <c r="B320" s="74" t="s">
        <v>1117</v>
      </c>
      <c r="C320" s="44" t="s">
        <v>664</v>
      </c>
      <c r="D320" s="18" t="s">
        <v>744</v>
      </c>
      <c r="E320" s="48" t="s">
        <v>853</v>
      </c>
      <c r="F320" s="18" t="s">
        <v>820</v>
      </c>
      <c r="G320" s="48" t="s">
        <v>943</v>
      </c>
      <c r="H320" s="18" t="s">
        <v>1062</v>
      </c>
      <c r="I320" s="48" t="s">
        <v>853</v>
      </c>
      <c r="J320" s="18" t="s">
        <v>744</v>
      </c>
      <c r="K320" s="48" t="s">
        <v>1063</v>
      </c>
      <c r="L320" s="18" t="s">
        <v>1</v>
      </c>
      <c r="M320" s="20" t="s">
        <v>1</v>
      </c>
      <c r="N320" s="46" t="s">
        <v>82</v>
      </c>
      <c r="O320" s="25" t="str">
        <f t="shared" si="11"/>
        <v>"Bairro N° B.055 RA.12 Engenho.da.Rainha"</v>
      </c>
      <c r="P320" s="46" t="s">
        <v>1</v>
      </c>
      <c r="Q320" s="25" t="s">
        <v>1</v>
      </c>
      <c r="R320" s="46" t="s">
        <v>1</v>
      </c>
      <c r="S320" s="52" t="s">
        <v>1</v>
      </c>
      <c r="T320" s="46" t="s">
        <v>1</v>
      </c>
      <c r="U320" s="31" t="s">
        <v>1</v>
      </c>
      <c r="V320" s="46" t="s">
        <v>1</v>
      </c>
      <c r="W320" s="31" t="s">
        <v>1</v>
      </c>
      <c r="X320" s="46" t="s">
        <v>1</v>
      </c>
      <c r="Y320" s="31" t="s">
        <v>1</v>
      </c>
      <c r="Z320" s="46" t="s">
        <v>1</v>
      </c>
      <c r="AA320" s="31" t="s">
        <v>1</v>
      </c>
      <c r="AB320" s="46" t="s">
        <v>1</v>
      </c>
      <c r="AC320" s="47" t="s">
        <v>1</v>
      </c>
      <c r="AD320" s="36" t="s">
        <v>1</v>
      </c>
      <c r="AE320" s="51" t="s">
        <v>1</v>
      </c>
      <c r="AF320" s="36" t="s">
        <v>1</v>
      </c>
      <c r="AG320" s="51" t="s">
        <v>1</v>
      </c>
      <c r="AH320" s="36" t="s">
        <v>1</v>
      </c>
      <c r="AI320" s="51" t="s">
        <v>1</v>
      </c>
      <c r="AJ320" s="36" t="s">
        <v>1</v>
      </c>
      <c r="AK320" s="51" t="s">
        <v>1</v>
      </c>
      <c r="AL320" s="36" t="s">
        <v>1</v>
      </c>
      <c r="AM320" s="31" t="s">
        <v>1</v>
      </c>
      <c r="AN320" s="36" t="s">
        <v>1</v>
      </c>
      <c r="AO320" s="31" t="s">
        <v>1</v>
      </c>
      <c r="AP320" s="36" t="s">
        <v>1</v>
      </c>
      <c r="AQ320" s="51" t="s">
        <v>1</v>
      </c>
      <c r="AR320" s="36" t="s">
        <v>1</v>
      </c>
      <c r="AS320" s="47" t="s">
        <v>1</v>
      </c>
      <c r="AT320" s="36" t="s">
        <v>1</v>
      </c>
      <c r="AU320" s="47" t="s">
        <v>1</v>
      </c>
      <c r="AV320" s="36" t="s">
        <v>1</v>
      </c>
      <c r="AW320" s="47" t="s">
        <v>1</v>
      </c>
      <c r="AX320" s="36" t="s">
        <v>2065</v>
      </c>
      <c r="AY320" s="47" t="s">
        <v>2193</v>
      </c>
      <c r="AZ320" s="36" t="s">
        <v>1299</v>
      </c>
      <c r="BA320" s="47" t="s">
        <v>2193</v>
      </c>
      <c r="BB320" s="36" t="s">
        <v>2188</v>
      </c>
      <c r="BC320" s="47" t="s">
        <v>819</v>
      </c>
      <c r="BD320" s="36" t="s">
        <v>2189</v>
      </c>
      <c r="BE320" s="47" t="str">
        <f t="shared" si="10"/>
        <v>"Bairro"</v>
      </c>
    </row>
    <row r="321" spans="1:57" ht="6.65" customHeight="1" x14ac:dyDescent="0.4">
      <c r="A321" s="93">
        <v>321</v>
      </c>
      <c r="B321" s="74" t="s">
        <v>1118</v>
      </c>
      <c r="C321" s="44" t="s">
        <v>664</v>
      </c>
      <c r="D321" s="18" t="s">
        <v>744</v>
      </c>
      <c r="E321" s="48" t="s">
        <v>855</v>
      </c>
      <c r="F321" s="18" t="s">
        <v>820</v>
      </c>
      <c r="G321" s="48" t="s">
        <v>944</v>
      </c>
      <c r="H321" s="18" t="s">
        <v>1062</v>
      </c>
      <c r="I321" s="48" t="s">
        <v>855</v>
      </c>
      <c r="J321" s="18" t="s">
        <v>744</v>
      </c>
      <c r="K321" s="48" t="s">
        <v>1063</v>
      </c>
      <c r="L321" s="18" t="s">
        <v>1</v>
      </c>
      <c r="M321" s="20" t="s">
        <v>1</v>
      </c>
      <c r="N321" s="46" t="s">
        <v>82</v>
      </c>
      <c r="O321" s="25" t="str">
        <f t="shared" si="11"/>
        <v>"Bairro N° B.066 RA.13 Engenho.de.Dentro"</v>
      </c>
      <c r="P321" s="46" t="s">
        <v>1</v>
      </c>
      <c r="Q321" s="25" t="s">
        <v>1</v>
      </c>
      <c r="R321" s="46" t="s">
        <v>1</v>
      </c>
      <c r="S321" s="52" t="s">
        <v>1</v>
      </c>
      <c r="T321" s="46" t="s">
        <v>1</v>
      </c>
      <c r="U321" s="31" t="s">
        <v>1</v>
      </c>
      <c r="V321" s="46" t="s">
        <v>1</v>
      </c>
      <c r="W321" s="31" t="s">
        <v>1</v>
      </c>
      <c r="X321" s="46" t="s">
        <v>1</v>
      </c>
      <c r="Y321" s="31" t="s">
        <v>1</v>
      </c>
      <c r="Z321" s="46" t="s">
        <v>1</v>
      </c>
      <c r="AA321" s="31" t="s">
        <v>1</v>
      </c>
      <c r="AB321" s="46" t="s">
        <v>1</v>
      </c>
      <c r="AC321" s="47" t="s">
        <v>1</v>
      </c>
      <c r="AD321" s="36" t="s">
        <v>1</v>
      </c>
      <c r="AE321" s="51" t="s">
        <v>1</v>
      </c>
      <c r="AF321" s="36" t="s">
        <v>1</v>
      </c>
      <c r="AG321" s="51" t="s">
        <v>1</v>
      </c>
      <c r="AH321" s="36" t="s">
        <v>1</v>
      </c>
      <c r="AI321" s="51" t="s">
        <v>1</v>
      </c>
      <c r="AJ321" s="36" t="s">
        <v>1</v>
      </c>
      <c r="AK321" s="51" t="s">
        <v>1</v>
      </c>
      <c r="AL321" s="36" t="s">
        <v>1</v>
      </c>
      <c r="AM321" s="31" t="s">
        <v>1</v>
      </c>
      <c r="AN321" s="36" t="s">
        <v>1</v>
      </c>
      <c r="AO321" s="31" t="s">
        <v>1</v>
      </c>
      <c r="AP321" s="36" t="s">
        <v>1</v>
      </c>
      <c r="AQ321" s="51" t="s">
        <v>1</v>
      </c>
      <c r="AR321" s="36" t="s">
        <v>1</v>
      </c>
      <c r="AS321" s="47" t="s">
        <v>1</v>
      </c>
      <c r="AT321" s="36" t="s">
        <v>1</v>
      </c>
      <c r="AU321" s="47" t="s">
        <v>1</v>
      </c>
      <c r="AV321" s="36" t="s">
        <v>1</v>
      </c>
      <c r="AW321" s="47" t="s">
        <v>1</v>
      </c>
      <c r="AX321" s="36" t="s">
        <v>2065</v>
      </c>
      <c r="AY321" s="47" t="s">
        <v>2193</v>
      </c>
      <c r="AZ321" s="36" t="s">
        <v>1299</v>
      </c>
      <c r="BA321" s="47" t="s">
        <v>2193</v>
      </c>
      <c r="BB321" s="36" t="s">
        <v>2188</v>
      </c>
      <c r="BC321" s="47" t="s">
        <v>819</v>
      </c>
      <c r="BD321" s="36" t="s">
        <v>2189</v>
      </c>
      <c r="BE321" s="47" t="str">
        <f t="shared" si="10"/>
        <v>"Bairro"</v>
      </c>
    </row>
    <row r="322" spans="1:57" ht="6.65" customHeight="1" x14ac:dyDescent="0.4">
      <c r="A322" s="93">
        <v>322</v>
      </c>
      <c r="B322" s="74" t="s">
        <v>1119</v>
      </c>
      <c r="C322" s="44" t="s">
        <v>664</v>
      </c>
      <c r="D322" s="18" t="s">
        <v>744</v>
      </c>
      <c r="E322" s="48" t="s">
        <v>855</v>
      </c>
      <c r="F322" s="18" t="s">
        <v>820</v>
      </c>
      <c r="G322" s="48" t="s">
        <v>945</v>
      </c>
      <c r="H322" s="18" t="s">
        <v>1062</v>
      </c>
      <c r="I322" s="48" t="s">
        <v>855</v>
      </c>
      <c r="J322" s="18" t="s">
        <v>744</v>
      </c>
      <c r="K322" s="48" t="s">
        <v>1063</v>
      </c>
      <c r="L322" s="18" t="s">
        <v>1</v>
      </c>
      <c r="M322" s="20" t="s">
        <v>1</v>
      </c>
      <c r="N322" s="46" t="s">
        <v>82</v>
      </c>
      <c r="O322" s="25" t="str">
        <f t="shared" si="11"/>
        <v>"Bairro N° B.061 RA.13 Engenho.Novo"</v>
      </c>
      <c r="P322" s="46" t="s">
        <v>1</v>
      </c>
      <c r="Q322" s="25" t="s">
        <v>1</v>
      </c>
      <c r="R322" s="46" t="s">
        <v>1</v>
      </c>
      <c r="S322" s="52" t="s">
        <v>1</v>
      </c>
      <c r="T322" s="46" t="s">
        <v>1</v>
      </c>
      <c r="U322" s="31" t="s">
        <v>1</v>
      </c>
      <c r="V322" s="46" t="s">
        <v>1</v>
      </c>
      <c r="W322" s="31" t="s">
        <v>1</v>
      </c>
      <c r="X322" s="46" t="s">
        <v>1</v>
      </c>
      <c r="Y322" s="31" t="s">
        <v>1</v>
      </c>
      <c r="Z322" s="46" t="s">
        <v>1</v>
      </c>
      <c r="AA322" s="31" t="s">
        <v>1</v>
      </c>
      <c r="AB322" s="46" t="s">
        <v>1</v>
      </c>
      <c r="AC322" s="47" t="s">
        <v>1</v>
      </c>
      <c r="AD322" s="36" t="s">
        <v>1</v>
      </c>
      <c r="AE322" s="51" t="s">
        <v>1</v>
      </c>
      <c r="AF322" s="36" t="s">
        <v>1</v>
      </c>
      <c r="AG322" s="51" t="s">
        <v>1</v>
      </c>
      <c r="AH322" s="36" t="s">
        <v>1</v>
      </c>
      <c r="AI322" s="51" t="s">
        <v>1</v>
      </c>
      <c r="AJ322" s="36" t="s">
        <v>1</v>
      </c>
      <c r="AK322" s="51" t="s">
        <v>1</v>
      </c>
      <c r="AL322" s="36" t="s">
        <v>1</v>
      </c>
      <c r="AM322" s="31" t="s">
        <v>1</v>
      </c>
      <c r="AN322" s="36" t="s">
        <v>1</v>
      </c>
      <c r="AO322" s="31" t="s">
        <v>1</v>
      </c>
      <c r="AP322" s="36" t="s">
        <v>1</v>
      </c>
      <c r="AQ322" s="51" t="s">
        <v>1</v>
      </c>
      <c r="AR322" s="36" t="s">
        <v>1</v>
      </c>
      <c r="AS322" s="47" t="s">
        <v>1</v>
      </c>
      <c r="AT322" s="36" t="s">
        <v>1</v>
      </c>
      <c r="AU322" s="47" t="s">
        <v>1</v>
      </c>
      <c r="AV322" s="36" t="s">
        <v>1</v>
      </c>
      <c r="AW322" s="47" t="s">
        <v>1</v>
      </c>
      <c r="AX322" s="36" t="s">
        <v>2065</v>
      </c>
      <c r="AY322" s="47" t="s">
        <v>2193</v>
      </c>
      <c r="AZ322" s="36" t="s">
        <v>1299</v>
      </c>
      <c r="BA322" s="47" t="s">
        <v>2193</v>
      </c>
      <c r="BB322" s="36" t="s">
        <v>2188</v>
      </c>
      <c r="BC322" s="47" t="s">
        <v>819</v>
      </c>
      <c r="BD322" s="36" t="s">
        <v>2189</v>
      </c>
      <c r="BE322" s="47" t="str">
        <f t="shared" si="10"/>
        <v>"Bairro"</v>
      </c>
    </row>
    <row r="323" spans="1:57" ht="6.65" customHeight="1" x14ac:dyDescent="0.4">
      <c r="A323" s="93">
        <v>323</v>
      </c>
      <c r="B323" s="74" t="s">
        <v>1120</v>
      </c>
      <c r="C323" s="44" t="s">
        <v>664</v>
      </c>
      <c r="D323" s="18" t="s">
        <v>744</v>
      </c>
      <c r="E323" s="48" t="s">
        <v>835</v>
      </c>
      <c r="F323" s="18" t="s">
        <v>820</v>
      </c>
      <c r="G323" s="48" t="s">
        <v>946</v>
      </c>
      <c r="H323" s="18" t="s">
        <v>1062</v>
      </c>
      <c r="I323" s="48" t="s">
        <v>835</v>
      </c>
      <c r="J323" s="18" t="s">
        <v>744</v>
      </c>
      <c r="K323" s="48" t="s">
        <v>1082</v>
      </c>
      <c r="L323" s="18" t="s">
        <v>1</v>
      </c>
      <c r="M323" s="20" t="s">
        <v>1</v>
      </c>
      <c r="N323" s="46" t="s">
        <v>82</v>
      </c>
      <c r="O323" s="25" t="str">
        <f t="shared" si="11"/>
        <v>"Bairro N° B.009 RA.03 Estácio"</v>
      </c>
      <c r="P323" s="46" t="s">
        <v>1</v>
      </c>
      <c r="Q323" s="25" t="s">
        <v>1</v>
      </c>
      <c r="R323" s="46" t="s">
        <v>1</v>
      </c>
      <c r="S323" s="52" t="s">
        <v>1</v>
      </c>
      <c r="T323" s="46" t="s">
        <v>1</v>
      </c>
      <c r="U323" s="31" t="s">
        <v>1</v>
      </c>
      <c r="V323" s="46" t="s">
        <v>1</v>
      </c>
      <c r="W323" s="31" t="s">
        <v>1</v>
      </c>
      <c r="X323" s="46" t="s">
        <v>1</v>
      </c>
      <c r="Y323" s="31" t="s">
        <v>1</v>
      </c>
      <c r="Z323" s="46" t="s">
        <v>1</v>
      </c>
      <c r="AA323" s="31" t="s">
        <v>1</v>
      </c>
      <c r="AB323" s="46" t="s">
        <v>1</v>
      </c>
      <c r="AC323" s="47" t="s">
        <v>1</v>
      </c>
      <c r="AD323" s="36" t="s">
        <v>1</v>
      </c>
      <c r="AE323" s="51" t="s">
        <v>1</v>
      </c>
      <c r="AF323" s="36" t="s">
        <v>1</v>
      </c>
      <c r="AG323" s="51" t="s">
        <v>1</v>
      </c>
      <c r="AH323" s="36" t="s">
        <v>1</v>
      </c>
      <c r="AI323" s="51" t="s">
        <v>1</v>
      </c>
      <c r="AJ323" s="36" t="s">
        <v>1</v>
      </c>
      <c r="AK323" s="51" t="s">
        <v>1</v>
      </c>
      <c r="AL323" s="36" t="s">
        <v>1</v>
      </c>
      <c r="AM323" s="31" t="s">
        <v>1</v>
      </c>
      <c r="AN323" s="36" t="s">
        <v>1</v>
      </c>
      <c r="AO323" s="31" t="s">
        <v>1</v>
      </c>
      <c r="AP323" s="36" t="s">
        <v>1</v>
      </c>
      <c r="AQ323" s="51" t="s">
        <v>1</v>
      </c>
      <c r="AR323" s="36" t="s">
        <v>1</v>
      </c>
      <c r="AS323" s="47" t="s">
        <v>1</v>
      </c>
      <c r="AT323" s="36" t="s">
        <v>1</v>
      </c>
      <c r="AU323" s="47" t="s">
        <v>1</v>
      </c>
      <c r="AV323" s="36" t="s">
        <v>1</v>
      </c>
      <c r="AW323" s="47" t="s">
        <v>1</v>
      </c>
      <c r="AX323" s="36" t="s">
        <v>2065</v>
      </c>
      <c r="AY323" s="47" t="s">
        <v>2193</v>
      </c>
      <c r="AZ323" s="36" t="s">
        <v>1299</v>
      </c>
      <c r="BA323" s="47" t="s">
        <v>2193</v>
      </c>
      <c r="BB323" s="36" t="s">
        <v>2188</v>
      </c>
      <c r="BC323" s="47" t="s">
        <v>819</v>
      </c>
      <c r="BD323" s="36" t="s">
        <v>2189</v>
      </c>
      <c r="BE323" s="47" t="str">
        <f t="shared" si="10"/>
        <v>"Bairro"</v>
      </c>
    </row>
    <row r="324" spans="1:57" ht="6.65" customHeight="1" x14ac:dyDescent="0.4">
      <c r="A324" s="93">
        <v>324</v>
      </c>
      <c r="B324" s="74" t="s">
        <v>1121</v>
      </c>
      <c r="C324" s="44" t="s">
        <v>664</v>
      </c>
      <c r="D324" s="18" t="s">
        <v>744</v>
      </c>
      <c r="E324" s="48" t="s">
        <v>837</v>
      </c>
      <c r="F324" s="18" t="s">
        <v>820</v>
      </c>
      <c r="G324" s="48" t="s">
        <v>947</v>
      </c>
      <c r="H324" s="18" t="s">
        <v>1062</v>
      </c>
      <c r="I324" s="48" t="s">
        <v>837</v>
      </c>
      <c r="J324" s="18" t="s">
        <v>744</v>
      </c>
      <c r="K324" s="48" t="s">
        <v>1086</v>
      </c>
      <c r="L324" s="18" t="s">
        <v>1</v>
      </c>
      <c r="M324" s="20" t="s">
        <v>1</v>
      </c>
      <c r="N324" s="46" t="s">
        <v>82</v>
      </c>
      <c r="O324" s="25" t="str">
        <f t="shared" si="11"/>
        <v>"Bairro N° B.015 RA.04 Flamengo"</v>
      </c>
      <c r="P324" s="46" t="s">
        <v>1</v>
      </c>
      <c r="Q324" s="25" t="s">
        <v>1</v>
      </c>
      <c r="R324" s="46" t="s">
        <v>1</v>
      </c>
      <c r="S324" s="52" t="s">
        <v>1</v>
      </c>
      <c r="T324" s="46" t="s">
        <v>1</v>
      </c>
      <c r="U324" s="31" t="s">
        <v>1</v>
      </c>
      <c r="V324" s="46" t="s">
        <v>1</v>
      </c>
      <c r="W324" s="31" t="s">
        <v>1</v>
      </c>
      <c r="X324" s="46" t="s">
        <v>1</v>
      </c>
      <c r="Y324" s="31" t="s">
        <v>1</v>
      </c>
      <c r="Z324" s="46" t="s">
        <v>1</v>
      </c>
      <c r="AA324" s="31" t="s">
        <v>1</v>
      </c>
      <c r="AB324" s="46" t="s">
        <v>1</v>
      </c>
      <c r="AC324" s="47" t="s">
        <v>1</v>
      </c>
      <c r="AD324" s="36" t="s">
        <v>1</v>
      </c>
      <c r="AE324" s="51" t="s">
        <v>1</v>
      </c>
      <c r="AF324" s="36" t="s">
        <v>1</v>
      </c>
      <c r="AG324" s="51" t="s">
        <v>1</v>
      </c>
      <c r="AH324" s="36" t="s">
        <v>1</v>
      </c>
      <c r="AI324" s="51" t="s">
        <v>1</v>
      </c>
      <c r="AJ324" s="36" t="s">
        <v>1</v>
      </c>
      <c r="AK324" s="51" t="s">
        <v>1</v>
      </c>
      <c r="AL324" s="36" t="s">
        <v>1</v>
      </c>
      <c r="AM324" s="31" t="s">
        <v>1</v>
      </c>
      <c r="AN324" s="36" t="s">
        <v>1</v>
      </c>
      <c r="AO324" s="31" t="s">
        <v>1</v>
      </c>
      <c r="AP324" s="36" t="s">
        <v>1</v>
      </c>
      <c r="AQ324" s="51" t="s">
        <v>1</v>
      </c>
      <c r="AR324" s="36" t="s">
        <v>1</v>
      </c>
      <c r="AS324" s="47" t="s">
        <v>1</v>
      </c>
      <c r="AT324" s="36" t="s">
        <v>1</v>
      </c>
      <c r="AU324" s="47" t="s">
        <v>1</v>
      </c>
      <c r="AV324" s="36" t="s">
        <v>1</v>
      </c>
      <c r="AW324" s="47" t="s">
        <v>1</v>
      </c>
      <c r="AX324" s="36" t="s">
        <v>2065</v>
      </c>
      <c r="AY324" s="47" t="s">
        <v>2193</v>
      </c>
      <c r="AZ324" s="36" t="s">
        <v>1299</v>
      </c>
      <c r="BA324" s="47" t="s">
        <v>2193</v>
      </c>
      <c r="BB324" s="36" t="s">
        <v>2188</v>
      </c>
      <c r="BC324" s="47" t="s">
        <v>819</v>
      </c>
      <c r="BD324" s="36" t="s">
        <v>2189</v>
      </c>
      <c r="BE324" s="47" t="str">
        <f t="shared" si="10"/>
        <v>"Bairro"</v>
      </c>
    </row>
    <row r="325" spans="1:57" ht="6.65" customHeight="1" x14ac:dyDescent="0.4">
      <c r="A325" s="93">
        <v>325</v>
      </c>
      <c r="B325" s="74" t="s">
        <v>1122</v>
      </c>
      <c r="C325" s="44" t="s">
        <v>664</v>
      </c>
      <c r="D325" s="18" t="s">
        <v>744</v>
      </c>
      <c r="E325" s="48" t="s">
        <v>869</v>
      </c>
      <c r="F325" s="18" t="s">
        <v>820</v>
      </c>
      <c r="G325" s="48" t="s">
        <v>948</v>
      </c>
      <c r="H325" s="18" t="s">
        <v>1062</v>
      </c>
      <c r="I325" s="48" t="s">
        <v>869</v>
      </c>
      <c r="J325" s="18" t="s">
        <v>744</v>
      </c>
      <c r="K325" s="48" t="s">
        <v>1073</v>
      </c>
      <c r="L325" s="18" t="s">
        <v>1</v>
      </c>
      <c r="M325" s="20" t="s">
        <v>1</v>
      </c>
      <c r="N325" s="46" t="s">
        <v>82</v>
      </c>
      <c r="O325" s="25" t="str">
        <f t="shared" si="11"/>
        <v>"Bairro N° B.098 RA.20 Freguesia.Ilha"</v>
      </c>
      <c r="P325" s="46" t="s">
        <v>1</v>
      </c>
      <c r="Q325" s="25" t="s">
        <v>1</v>
      </c>
      <c r="R325" s="46" t="s">
        <v>1</v>
      </c>
      <c r="S325" s="52" t="s">
        <v>1</v>
      </c>
      <c r="T325" s="46" t="s">
        <v>1</v>
      </c>
      <c r="U325" s="31" t="s">
        <v>1</v>
      </c>
      <c r="V325" s="46" t="s">
        <v>1</v>
      </c>
      <c r="W325" s="31" t="s">
        <v>1</v>
      </c>
      <c r="X325" s="46" t="s">
        <v>1</v>
      </c>
      <c r="Y325" s="31" t="s">
        <v>1</v>
      </c>
      <c r="Z325" s="46" t="s">
        <v>1</v>
      </c>
      <c r="AA325" s="31" t="s">
        <v>1</v>
      </c>
      <c r="AB325" s="46" t="s">
        <v>1</v>
      </c>
      <c r="AC325" s="47" t="s">
        <v>1</v>
      </c>
      <c r="AD325" s="36" t="s">
        <v>1</v>
      </c>
      <c r="AE325" s="51" t="s">
        <v>1</v>
      </c>
      <c r="AF325" s="36" t="s">
        <v>1</v>
      </c>
      <c r="AG325" s="51" t="s">
        <v>1</v>
      </c>
      <c r="AH325" s="36" t="s">
        <v>1</v>
      </c>
      <c r="AI325" s="51" t="s">
        <v>1</v>
      </c>
      <c r="AJ325" s="36" t="s">
        <v>1</v>
      </c>
      <c r="AK325" s="51" t="s">
        <v>1</v>
      </c>
      <c r="AL325" s="36" t="s">
        <v>1</v>
      </c>
      <c r="AM325" s="31" t="s">
        <v>1</v>
      </c>
      <c r="AN325" s="36" t="s">
        <v>1</v>
      </c>
      <c r="AO325" s="31" t="s">
        <v>1</v>
      </c>
      <c r="AP325" s="36" t="s">
        <v>1</v>
      </c>
      <c r="AQ325" s="51" t="s">
        <v>1</v>
      </c>
      <c r="AR325" s="36" t="s">
        <v>1</v>
      </c>
      <c r="AS325" s="47" t="s">
        <v>1</v>
      </c>
      <c r="AT325" s="36" t="s">
        <v>1</v>
      </c>
      <c r="AU325" s="47" t="s">
        <v>1</v>
      </c>
      <c r="AV325" s="36" t="s">
        <v>1</v>
      </c>
      <c r="AW325" s="47" t="s">
        <v>1</v>
      </c>
      <c r="AX325" s="36" t="s">
        <v>2065</v>
      </c>
      <c r="AY325" s="47" t="s">
        <v>2193</v>
      </c>
      <c r="AZ325" s="36" t="s">
        <v>1299</v>
      </c>
      <c r="BA325" s="47" t="s">
        <v>2193</v>
      </c>
      <c r="BB325" s="36" t="s">
        <v>2188</v>
      </c>
      <c r="BC325" s="47" t="s">
        <v>819</v>
      </c>
      <c r="BD325" s="36" t="s">
        <v>2189</v>
      </c>
      <c r="BE325" s="47" t="str">
        <f t="shared" ref="BE325:BE388" si="12">_xlfn.CONCAT("""",C325,"""")</f>
        <v>"Bairro"</v>
      </c>
    </row>
    <row r="326" spans="1:57" ht="6.65" customHeight="1" x14ac:dyDescent="0.4">
      <c r="A326" s="93">
        <v>326</v>
      </c>
      <c r="B326" s="74" t="s">
        <v>1123</v>
      </c>
      <c r="C326" s="44" t="s">
        <v>664</v>
      </c>
      <c r="D326" s="18" t="s">
        <v>744</v>
      </c>
      <c r="E326" s="48" t="s">
        <v>861</v>
      </c>
      <c r="F326" s="18" t="s">
        <v>820</v>
      </c>
      <c r="G326" s="48" t="s">
        <v>949</v>
      </c>
      <c r="H326" s="18" t="s">
        <v>1062</v>
      </c>
      <c r="I326" s="48" t="s">
        <v>861</v>
      </c>
      <c r="J326" s="18" t="s">
        <v>744</v>
      </c>
      <c r="K326" s="48" t="s">
        <v>1071</v>
      </c>
      <c r="L326" s="18" t="s">
        <v>1</v>
      </c>
      <c r="M326" s="20" t="s">
        <v>1</v>
      </c>
      <c r="N326" s="46" t="s">
        <v>82</v>
      </c>
      <c r="O326" s="25" t="str">
        <f t="shared" si="11"/>
        <v>"Bairro N° B.120 RA.16 Freguesia.Jacarepaguá"</v>
      </c>
      <c r="P326" s="46" t="s">
        <v>1</v>
      </c>
      <c r="Q326" s="25" t="s">
        <v>1</v>
      </c>
      <c r="R326" s="46" t="s">
        <v>1</v>
      </c>
      <c r="S326" s="52" t="s">
        <v>1</v>
      </c>
      <c r="T326" s="46" t="s">
        <v>1</v>
      </c>
      <c r="U326" s="31" t="s">
        <v>1</v>
      </c>
      <c r="V326" s="46" t="s">
        <v>1</v>
      </c>
      <c r="W326" s="31" t="s">
        <v>1</v>
      </c>
      <c r="X326" s="46" t="s">
        <v>1</v>
      </c>
      <c r="Y326" s="31" t="s">
        <v>1</v>
      </c>
      <c r="Z326" s="46" t="s">
        <v>1</v>
      </c>
      <c r="AA326" s="31" t="s">
        <v>1</v>
      </c>
      <c r="AB326" s="46" t="s">
        <v>1</v>
      </c>
      <c r="AC326" s="47" t="s">
        <v>1</v>
      </c>
      <c r="AD326" s="36" t="s">
        <v>1</v>
      </c>
      <c r="AE326" s="51" t="s">
        <v>1</v>
      </c>
      <c r="AF326" s="36" t="s">
        <v>1</v>
      </c>
      <c r="AG326" s="51" t="s">
        <v>1</v>
      </c>
      <c r="AH326" s="36" t="s">
        <v>1</v>
      </c>
      <c r="AI326" s="51" t="s">
        <v>1</v>
      </c>
      <c r="AJ326" s="36" t="s">
        <v>1</v>
      </c>
      <c r="AK326" s="51" t="s">
        <v>1</v>
      </c>
      <c r="AL326" s="36" t="s">
        <v>1</v>
      </c>
      <c r="AM326" s="31" t="s">
        <v>1</v>
      </c>
      <c r="AN326" s="36" t="s">
        <v>1</v>
      </c>
      <c r="AO326" s="31" t="s">
        <v>1</v>
      </c>
      <c r="AP326" s="36" t="s">
        <v>1</v>
      </c>
      <c r="AQ326" s="51" t="s">
        <v>1</v>
      </c>
      <c r="AR326" s="36" t="s">
        <v>1</v>
      </c>
      <c r="AS326" s="47" t="s">
        <v>1</v>
      </c>
      <c r="AT326" s="36" t="s">
        <v>1</v>
      </c>
      <c r="AU326" s="47" t="s">
        <v>1</v>
      </c>
      <c r="AV326" s="36" t="s">
        <v>1</v>
      </c>
      <c r="AW326" s="47" t="s">
        <v>1</v>
      </c>
      <c r="AX326" s="36" t="s">
        <v>2065</v>
      </c>
      <c r="AY326" s="47" t="s">
        <v>2193</v>
      </c>
      <c r="AZ326" s="36" t="s">
        <v>1299</v>
      </c>
      <c r="BA326" s="47" t="s">
        <v>2193</v>
      </c>
      <c r="BB326" s="36" t="s">
        <v>2188</v>
      </c>
      <c r="BC326" s="47" t="s">
        <v>819</v>
      </c>
      <c r="BD326" s="36" t="s">
        <v>2189</v>
      </c>
      <c r="BE326" s="47" t="str">
        <f t="shared" si="12"/>
        <v>"Bairro"</v>
      </c>
    </row>
    <row r="327" spans="1:57" ht="6.65" customHeight="1" x14ac:dyDescent="0.4">
      <c r="A327" s="93">
        <v>327</v>
      </c>
      <c r="B327" s="74" t="s">
        <v>1124</v>
      </c>
      <c r="C327" s="44" t="s">
        <v>664</v>
      </c>
      <c r="D327" s="18" t="s">
        <v>744</v>
      </c>
      <c r="E327" s="48" t="s">
        <v>869</v>
      </c>
      <c r="F327" s="18" t="s">
        <v>820</v>
      </c>
      <c r="G327" s="48" t="s">
        <v>950</v>
      </c>
      <c r="H327" s="18" t="s">
        <v>1062</v>
      </c>
      <c r="I327" s="48" t="s">
        <v>869</v>
      </c>
      <c r="J327" s="18" t="s">
        <v>744</v>
      </c>
      <c r="K327" s="48" t="s">
        <v>1073</v>
      </c>
      <c r="L327" s="18" t="s">
        <v>1</v>
      </c>
      <c r="M327" s="20" t="s">
        <v>1</v>
      </c>
      <c r="N327" s="46" t="s">
        <v>82</v>
      </c>
      <c r="O327" s="25" t="str">
        <f t="shared" si="11"/>
        <v>"Bairro N° B.104 RA.20 Galeão"</v>
      </c>
      <c r="P327" s="46" t="s">
        <v>1</v>
      </c>
      <c r="Q327" s="25" t="s">
        <v>1</v>
      </c>
      <c r="R327" s="46" t="s">
        <v>1</v>
      </c>
      <c r="S327" s="52" t="s">
        <v>1</v>
      </c>
      <c r="T327" s="46" t="s">
        <v>1</v>
      </c>
      <c r="U327" s="31" t="s">
        <v>1</v>
      </c>
      <c r="V327" s="46" t="s">
        <v>1</v>
      </c>
      <c r="W327" s="31" t="s">
        <v>1</v>
      </c>
      <c r="X327" s="46" t="s">
        <v>1</v>
      </c>
      <c r="Y327" s="31" t="s">
        <v>1</v>
      </c>
      <c r="Z327" s="46" t="s">
        <v>1</v>
      </c>
      <c r="AA327" s="31" t="s">
        <v>1</v>
      </c>
      <c r="AB327" s="46" t="s">
        <v>1</v>
      </c>
      <c r="AC327" s="47" t="s">
        <v>1</v>
      </c>
      <c r="AD327" s="36" t="s">
        <v>1</v>
      </c>
      <c r="AE327" s="51" t="s">
        <v>1</v>
      </c>
      <c r="AF327" s="36" t="s">
        <v>1</v>
      </c>
      <c r="AG327" s="51" t="s">
        <v>1</v>
      </c>
      <c r="AH327" s="36" t="s">
        <v>1</v>
      </c>
      <c r="AI327" s="51" t="s">
        <v>1</v>
      </c>
      <c r="AJ327" s="36" t="s">
        <v>1</v>
      </c>
      <c r="AK327" s="51" t="s">
        <v>1</v>
      </c>
      <c r="AL327" s="36" t="s">
        <v>1</v>
      </c>
      <c r="AM327" s="31" t="s">
        <v>1</v>
      </c>
      <c r="AN327" s="36" t="s">
        <v>1</v>
      </c>
      <c r="AO327" s="31" t="s">
        <v>1</v>
      </c>
      <c r="AP327" s="36" t="s">
        <v>1</v>
      </c>
      <c r="AQ327" s="51" t="s">
        <v>1</v>
      </c>
      <c r="AR327" s="36" t="s">
        <v>1</v>
      </c>
      <c r="AS327" s="47" t="s">
        <v>1</v>
      </c>
      <c r="AT327" s="36" t="s">
        <v>1</v>
      </c>
      <c r="AU327" s="47" t="s">
        <v>1</v>
      </c>
      <c r="AV327" s="36" t="s">
        <v>1</v>
      </c>
      <c r="AW327" s="47" t="s">
        <v>1</v>
      </c>
      <c r="AX327" s="36" t="s">
        <v>2065</v>
      </c>
      <c r="AY327" s="47" t="s">
        <v>2193</v>
      </c>
      <c r="AZ327" s="36" t="s">
        <v>1299</v>
      </c>
      <c r="BA327" s="47" t="s">
        <v>2193</v>
      </c>
      <c r="BB327" s="36" t="s">
        <v>2188</v>
      </c>
      <c r="BC327" s="47" t="s">
        <v>819</v>
      </c>
      <c r="BD327" s="36" t="s">
        <v>2189</v>
      </c>
      <c r="BE327" s="47" t="str">
        <f t="shared" si="12"/>
        <v>"Bairro"</v>
      </c>
    </row>
    <row r="328" spans="1:57" ht="6.65" customHeight="1" x14ac:dyDescent="0.4">
      <c r="A328" s="93">
        <v>328</v>
      </c>
      <c r="B328" s="74" t="s">
        <v>1125</v>
      </c>
      <c r="C328" s="44" t="s">
        <v>664</v>
      </c>
      <c r="D328" s="18" t="s">
        <v>744</v>
      </c>
      <c r="E328" s="48" t="s">
        <v>831</v>
      </c>
      <c r="F328" s="18" t="s">
        <v>820</v>
      </c>
      <c r="G328" s="48" t="s">
        <v>951</v>
      </c>
      <c r="H328" s="18" t="s">
        <v>1062</v>
      </c>
      <c r="I328" s="48" t="s">
        <v>831</v>
      </c>
      <c r="J328" s="18" t="s">
        <v>744</v>
      </c>
      <c r="K328" s="48" t="s">
        <v>1082</v>
      </c>
      <c r="L328" s="18" t="s">
        <v>1</v>
      </c>
      <c r="M328" s="20" t="s">
        <v>1</v>
      </c>
      <c r="N328" s="46" t="s">
        <v>82</v>
      </c>
      <c r="O328" s="25" t="str">
        <f t="shared" si="11"/>
        <v>"Bairro N° B.002 RA.01 Gamboa"</v>
      </c>
      <c r="P328" s="46" t="s">
        <v>1</v>
      </c>
      <c r="Q328" s="25" t="s">
        <v>1</v>
      </c>
      <c r="R328" s="46" t="s">
        <v>1</v>
      </c>
      <c r="S328" s="52" t="s">
        <v>1</v>
      </c>
      <c r="T328" s="46" t="s">
        <v>1</v>
      </c>
      <c r="U328" s="31" t="s">
        <v>1</v>
      </c>
      <c r="V328" s="46" t="s">
        <v>1</v>
      </c>
      <c r="W328" s="31" t="s">
        <v>1</v>
      </c>
      <c r="X328" s="46" t="s">
        <v>1</v>
      </c>
      <c r="Y328" s="31" t="s">
        <v>1</v>
      </c>
      <c r="Z328" s="46" t="s">
        <v>1</v>
      </c>
      <c r="AA328" s="31" t="s">
        <v>1</v>
      </c>
      <c r="AB328" s="46" t="s">
        <v>1</v>
      </c>
      <c r="AC328" s="47" t="s">
        <v>1</v>
      </c>
      <c r="AD328" s="36" t="s">
        <v>1</v>
      </c>
      <c r="AE328" s="51" t="s">
        <v>1</v>
      </c>
      <c r="AF328" s="36" t="s">
        <v>1</v>
      </c>
      <c r="AG328" s="51" t="s">
        <v>1</v>
      </c>
      <c r="AH328" s="36" t="s">
        <v>1</v>
      </c>
      <c r="AI328" s="51" t="s">
        <v>1</v>
      </c>
      <c r="AJ328" s="36" t="s">
        <v>1</v>
      </c>
      <c r="AK328" s="51" t="s">
        <v>1</v>
      </c>
      <c r="AL328" s="36" t="s">
        <v>1</v>
      </c>
      <c r="AM328" s="31" t="s">
        <v>1</v>
      </c>
      <c r="AN328" s="36" t="s">
        <v>1</v>
      </c>
      <c r="AO328" s="31" t="s">
        <v>1</v>
      </c>
      <c r="AP328" s="36" t="s">
        <v>1</v>
      </c>
      <c r="AQ328" s="51" t="s">
        <v>1</v>
      </c>
      <c r="AR328" s="36" t="s">
        <v>1</v>
      </c>
      <c r="AS328" s="47" t="s">
        <v>1</v>
      </c>
      <c r="AT328" s="36" t="s">
        <v>1</v>
      </c>
      <c r="AU328" s="47" t="s">
        <v>1</v>
      </c>
      <c r="AV328" s="36" t="s">
        <v>1</v>
      </c>
      <c r="AW328" s="47" t="s">
        <v>1</v>
      </c>
      <c r="AX328" s="36" t="s">
        <v>2065</v>
      </c>
      <c r="AY328" s="47" t="s">
        <v>2193</v>
      </c>
      <c r="AZ328" s="36" t="s">
        <v>1299</v>
      </c>
      <c r="BA328" s="47" t="s">
        <v>2193</v>
      </c>
      <c r="BB328" s="36" t="s">
        <v>2188</v>
      </c>
      <c r="BC328" s="47" t="s">
        <v>819</v>
      </c>
      <c r="BD328" s="36" t="s">
        <v>2189</v>
      </c>
      <c r="BE328" s="47" t="str">
        <f t="shared" si="12"/>
        <v>"Bairro"</v>
      </c>
    </row>
    <row r="329" spans="1:57" ht="6.65" customHeight="1" x14ac:dyDescent="0.4">
      <c r="A329" s="93">
        <v>329</v>
      </c>
      <c r="B329" s="74" t="s">
        <v>1126</v>
      </c>
      <c r="C329" s="44" t="s">
        <v>664</v>
      </c>
      <c r="D329" s="18" t="s">
        <v>744</v>
      </c>
      <c r="E329" s="48" t="s">
        <v>861</v>
      </c>
      <c r="F329" s="18" t="s">
        <v>820</v>
      </c>
      <c r="G329" s="48" t="s">
        <v>952</v>
      </c>
      <c r="H329" s="18" t="s">
        <v>1062</v>
      </c>
      <c r="I329" s="48" t="s">
        <v>861</v>
      </c>
      <c r="J329" s="18" t="s">
        <v>744</v>
      </c>
      <c r="K329" s="48" t="s">
        <v>1071</v>
      </c>
      <c r="L329" s="18" t="s">
        <v>1</v>
      </c>
      <c r="M329" s="20" t="s">
        <v>1</v>
      </c>
      <c r="N329" s="46" t="s">
        <v>82</v>
      </c>
      <c r="O329" s="25" t="str">
        <f t="shared" si="11"/>
        <v>"Bairro N° B.117 RA.16 Gardênia.Azul"</v>
      </c>
      <c r="P329" s="46" t="s">
        <v>1</v>
      </c>
      <c r="Q329" s="25" t="s">
        <v>1</v>
      </c>
      <c r="R329" s="46" t="s">
        <v>1</v>
      </c>
      <c r="S329" s="52" t="s">
        <v>1</v>
      </c>
      <c r="T329" s="46" t="s">
        <v>1</v>
      </c>
      <c r="U329" s="31" t="s">
        <v>1</v>
      </c>
      <c r="V329" s="46" t="s">
        <v>1</v>
      </c>
      <c r="W329" s="31" t="s">
        <v>1</v>
      </c>
      <c r="X329" s="46" t="s">
        <v>1</v>
      </c>
      <c r="Y329" s="31" t="s">
        <v>1</v>
      </c>
      <c r="Z329" s="46" t="s">
        <v>1</v>
      </c>
      <c r="AA329" s="31" t="s">
        <v>1</v>
      </c>
      <c r="AB329" s="46" t="s">
        <v>1</v>
      </c>
      <c r="AC329" s="47" t="s">
        <v>1</v>
      </c>
      <c r="AD329" s="36" t="s">
        <v>1</v>
      </c>
      <c r="AE329" s="51" t="s">
        <v>1</v>
      </c>
      <c r="AF329" s="36" t="s">
        <v>1</v>
      </c>
      <c r="AG329" s="51" t="s">
        <v>1</v>
      </c>
      <c r="AH329" s="36" t="s">
        <v>1</v>
      </c>
      <c r="AI329" s="51" t="s">
        <v>1</v>
      </c>
      <c r="AJ329" s="36" t="s">
        <v>1</v>
      </c>
      <c r="AK329" s="51" t="s">
        <v>1</v>
      </c>
      <c r="AL329" s="36" t="s">
        <v>1</v>
      </c>
      <c r="AM329" s="31" t="s">
        <v>1</v>
      </c>
      <c r="AN329" s="36" t="s">
        <v>1</v>
      </c>
      <c r="AO329" s="31" t="s">
        <v>1</v>
      </c>
      <c r="AP329" s="36" t="s">
        <v>1</v>
      </c>
      <c r="AQ329" s="51" t="s">
        <v>1</v>
      </c>
      <c r="AR329" s="36" t="s">
        <v>1</v>
      </c>
      <c r="AS329" s="47" t="s">
        <v>1</v>
      </c>
      <c r="AT329" s="36" t="s">
        <v>1</v>
      </c>
      <c r="AU329" s="47" t="s">
        <v>1</v>
      </c>
      <c r="AV329" s="36" t="s">
        <v>1</v>
      </c>
      <c r="AW329" s="47" t="s">
        <v>1</v>
      </c>
      <c r="AX329" s="36" t="s">
        <v>2065</v>
      </c>
      <c r="AY329" s="47" t="s">
        <v>2193</v>
      </c>
      <c r="AZ329" s="36" t="s">
        <v>1299</v>
      </c>
      <c r="BA329" s="47" t="s">
        <v>2193</v>
      </c>
      <c r="BB329" s="36" t="s">
        <v>2188</v>
      </c>
      <c r="BC329" s="47" t="s">
        <v>819</v>
      </c>
      <c r="BD329" s="36" t="s">
        <v>2189</v>
      </c>
      <c r="BE329" s="47" t="str">
        <f t="shared" si="12"/>
        <v>"Bairro"</v>
      </c>
    </row>
    <row r="330" spans="1:57" ht="6.65" customHeight="1" x14ac:dyDescent="0.4">
      <c r="A330" s="93">
        <v>330</v>
      </c>
      <c r="B330" s="74" t="s">
        <v>1127</v>
      </c>
      <c r="C330" s="44" t="s">
        <v>664</v>
      </c>
      <c r="D330" s="18" t="s">
        <v>744</v>
      </c>
      <c r="E330" s="48" t="s">
        <v>841</v>
      </c>
      <c r="F330" s="18" t="s">
        <v>820</v>
      </c>
      <c r="G330" s="48" t="s">
        <v>953</v>
      </c>
      <c r="H330" s="18" t="s">
        <v>1062</v>
      </c>
      <c r="I330" s="48" t="s">
        <v>841</v>
      </c>
      <c r="J330" s="18" t="s">
        <v>744</v>
      </c>
      <c r="K330" s="48" t="s">
        <v>1086</v>
      </c>
      <c r="L330" s="18" t="s">
        <v>1</v>
      </c>
      <c r="M330" s="20" t="s">
        <v>1</v>
      </c>
      <c r="N330" s="46" t="s">
        <v>82</v>
      </c>
      <c r="O330" s="25" t="str">
        <f t="shared" si="11"/>
        <v>"Bairro N° B.029 RA.06 Gávea"</v>
      </c>
      <c r="P330" s="46" t="s">
        <v>1</v>
      </c>
      <c r="Q330" s="25" t="s">
        <v>1</v>
      </c>
      <c r="R330" s="46" t="s">
        <v>1</v>
      </c>
      <c r="S330" s="52" t="s">
        <v>1</v>
      </c>
      <c r="T330" s="46" t="s">
        <v>1</v>
      </c>
      <c r="U330" s="31" t="s">
        <v>1</v>
      </c>
      <c r="V330" s="46" t="s">
        <v>1</v>
      </c>
      <c r="W330" s="31" t="s">
        <v>1</v>
      </c>
      <c r="X330" s="46" t="s">
        <v>1</v>
      </c>
      <c r="Y330" s="31" t="s">
        <v>1</v>
      </c>
      <c r="Z330" s="46" t="s">
        <v>1</v>
      </c>
      <c r="AA330" s="31" t="s">
        <v>1</v>
      </c>
      <c r="AB330" s="46" t="s">
        <v>1</v>
      </c>
      <c r="AC330" s="47" t="s">
        <v>1</v>
      </c>
      <c r="AD330" s="36" t="s">
        <v>1</v>
      </c>
      <c r="AE330" s="51" t="s">
        <v>1</v>
      </c>
      <c r="AF330" s="36" t="s">
        <v>1</v>
      </c>
      <c r="AG330" s="51" t="s">
        <v>1</v>
      </c>
      <c r="AH330" s="36" t="s">
        <v>1</v>
      </c>
      <c r="AI330" s="51" t="s">
        <v>1</v>
      </c>
      <c r="AJ330" s="36" t="s">
        <v>1</v>
      </c>
      <c r="AK330" s="51" t="s">
        <v>1</v>
      </c>
      <c r="AL330" s="36" t="s">
        <v>1</v>
      </c>
      <c r="AM330" s="31" t="s">
        <v>1</v>
      </c>
      <c r="AN330" s="36" t="s">
        <v>1</v>
      </c>
      <c r="AO330" s="31" t="s">
        <v>1</v>
      </c>
      <c r="AP330" s="36" t="s">
        <v>1</v>
      </c>
      <c r="AQ330" s="51" t="s">
        <v>1</v>
      </c>
      <c r="AR330" s="36" t="s">
        <v>1</v>
      </c>
      <c r="AS330" s="47" t="s">
        <v>1</v>
      </c>
      <c r="AT330" s="36" t="s">
        <v>1</v>
      </c>
      <c r="AU330" s="47" t="s">
        <v>1</v>
      </c>
      <c r="AV330" s="36" t="s">
        <v>1</v>
      </c>
      <c r="AW330" s="47" t="s">
        <v>1</v>
      </c>
      <c r="AX330" s="36" t="s">
        <v>2065</v>
      </c>
      <c r="AY330" s="47" t="s">
        <v>2193</v>
      </c>
      <c r="AZ330" s="36" t="s">
        <v>1299</v>
      </c>
      <c r="BA330" s="47" t="s">
        <v>2193</v>
      </c>
      <c r="BB330" s="36" t="s">
        <v>2188</v>
      </c>
      <c r="BC330" s="47" t="s">
        <v>819</v>
      </c>
      <c r="BD330" s="36" t="s">
        <v>2189</v>
      </c>
      <c r="BE330" s="47" t="str">
        <f t="shared" si="12"/>
        <v>"Bairro"</v>
      </c>
    </row>
    <row r="331" spans="1:57" ht="6.65" customHeight="1" x14ac:dyDescent="0.4">
      <c r="A331" s="93">
        <v>331</v>
      </c>
      <c r="B331" s="74" t="s">
        <v>1128</v>
      </c>
      <c r="C331" s="44" t="s">
        <v>664</v>
      </c>
      <c r="D331" s="18" t="s">
        <v>744</v>
      </c>
      <c r="E331" s="48" t="s">
        <v>863</v>
      </c>
      <c r="F331" s="18" t="s">
        <v>820</v>
      </c>
      <c r="G331" s="48" t="s">
        <v>954</v>
      </c>
      <c r="H331" s="18" t="s">
        <v>1062</v>
      </c>
      <c r="I331" s="48" t="s">
        <v>863</v>
      </c>
      <c r="J331" s="18" t="s">
        <v>744</v>
      </c>
      <c r="K331" s="48" t="s">
        <v>1075</v>
      </c>
      <c r="L331" s="18" t="s">
        <v>1</v>
      </c>
      <c r="M331" s="20" t="s">
        <v>1</v>
      </c>
      <c r="N331" s="46" t="s">
        <v>82</v>
      </c>
      <c r="O331" s="25" t="str">
        <f t="shared" si="11"/>
        <v>"Bairro N° B.160 RA.17 Gericinó"</v>
      </c>
      <c r="P331" s="46" t="s">
        <v>1</v>
      </c>
      <c r="Q331" s="25" t="s">
        <v>1</v>
      </c>
      <c r="R331" s="46" t="s">
        <v>1</v>
      </c>
      <c r="S331" s="52" t="s">
        <v>1</v>
      </c>
      <c r="T331" s="46" t="s">
        <v>1</v>
      </c>
      <c r="U331" s="31" t="s">
        <v>1</v>
      </c>
      <c r="V331" s="46" t="s">
        <v>1</v>
      </c>
      <c r="W331" s="31" t="s">
        <v>1</v>
      </c>
      <c r="X331" s="46" t="s">
        <v>1</v>
      </c>
      <c r="Y331" s="31" t="s">
        <v>1</v>
      </c>
      <c r="Z331" s="46" t="s">
        <v>1</v>
      </c>
      <c r="AA331" s="31" t="s">
        <v>1</v>
      </c>
      <c r="AB331" s="46" t="s">
        <v>1</v>
      </c>
      <c r="AC331" s="47" t="s">
        <v>1</v>
      </c>
      <c r="AD331" s="36" t="s">
        <v>1</v>
      </c>
      <c r="AE331" s="51" t="s">
        <v>1</v>
      </c>
      <c r="AF331" s="36" t="s">
        <v>1</v>
      </c>
      <c r="AG331" s="51" t="s">
        <v>1</v>
      </c>
      <c r="AH331" s="36" t="s">
        <v>1</v>
      </c>
      <c r="AI331" s="51" t="s">
        <v>1</v>
      </c>
      <c r="AJ331" s="36" t="s">
        <v>1</v>
      </c>
      <c r="AK331" s="51" t="s">
        <v>1</v>
      </c>
      <c r="AL331" s="36" t="s">
        <v>1</v>
      </c>
      <c r="AM331" s="31" t="s">
        <v>1</v>
      </c>
      <c r="AN331" s="36" t="s">
        <v>1</v>
      </c>
      <c r="AO331" s="31" t="s">
        <v>1</v>
      </c>
      <c r="AP331" s="36" t="s">
        <v>1</v>
      </c>
      <c r="AQ331" s="51" t="s">
        <v>1</v>
      </c>
      <c r="AR331" s="36" t="s">
        <v>1</v>
      </c>
      <c r="AS331" s="47" t="s">
        <v>1</v>
      </c>
      <c r="AT331" s="36" t="s">
        <v>1</v>
      </c>
      <c r="AU331" s="47" t="s">
        <v>1</v>
      </c>
      <c r="AV331" s="36" t="s">
        <v>1</v>
      </c>
      <c r="AW331" s="47" t="s">
        <v>1</v>
      </c>
      <c r="AX331" s="36" t="s">
        <v>2065</v>
      </c>
      <c r="AY331" s="47" t="s">
        <v>2193</v>
      </c>
      <c r="AZ331" s="36" t="s">
        <v>1299</v>
      </c>
      <c r="BA331" s="47" t="s">
        <v>2193</v>
      </c>
      <c r="BB331" s="36" t="s">
        <v>2188</v>
      </c>
      <c r="BC331" s="47" t="s">
        <v>819</v>
      </c>
      <c r="BD331" s="36" t="s">
        <v>2189</v>
      </c>
      <c r="BE331" s="47" t="str">
        <f t="shared" si="12"/>
        <v>"Bairro"</v>
      </c>
    </row>
    <row r="332" spans="1:57" ht="6.65" customHeight="1" x14ac:dyDescent="0.4">
      <c r="A332" s="93">
        <v>332</v>
      </c>
      <c r="B332" s="74" t="s">
        <v>1129</v>
      </c>
      <c r="C332" s="44" t="s">
        <v>664</v>
      </c>
      <c r="D332" s="18" t="s">
        <v>744</v>
      </c>
      <c r="E332" s="48" t="s">
        <v>837</v>
      </c>
      <c r="F332" s="18" t="s">
        <v>820</v>
      </c>
      <c r="G332" s="48" t="s">
        <v>955</v>
      </c>
      <c r="H332" s="18" t="s">
        <v>1062</v>
      </c>
      <c r="I332" s="48" t="s">
        <v>837</v>
      </c>
      <c r="J332" s="18" t="s">
        <v>744</v>
      </c>
      <c r="K332" s="48" t="s">
        <v>1082</v>
      </c>
      <c r="L332" s="18" t="s">
        <v>1</v>
      </c>
      <c r="M332" s="20" t="s">
        <v>1</v>
      </c>
      <c r="N332" s="46" t="s">
        <v>82</v>
      </c>
      <c r="O332" s="25" t="str">
        <f t="shared" si="11"/>
        <v>"Bairro N° B.016 RA.04 Glória"</v>
      </c>
      <c r="P332" s="46" t="s">
        <v>1</v>
      </c>
      <c r="Q332" s="25" t="s">
        <v>1</v>
      </c>
      <c r="R332" s="46" t="s">
        <v>1</v>
      </c>
      <c r="S332" s="52" t="s">
        <v>1</v>
      </c>
      <c r="T332" s="46" t="s">
        <v>1</v>
      </c>
      <c r="U332" s="31" t="s">
        <v>1</v>
      </c>
      <c r="V332" s="46" t="s">
        <v>1</v>
      </c>
      <c r="W332" s="31" t="s">
        <v>1</v>
      </c>
      <c r="X332" s="46" t="s">
        <v>1</v>
      </c>
      <c r="Y332" s="31" t="s">
        <v>1</v>
      </c>
      <c r="Z332" s="46" t="s">
        <v>1</v>
      </c>
      <c r="AA332" s="31" t="s">
        <v>1</v>
      </c>
      <c r="AB332" s="46" t="s">
        <v>1</v>
      </c>
      <c r="AC332" s="47" t="s">
        <v>1</v>
      </c>
      <c r="AD332" s="36" t="s">
        <v>1</v>
      </c>
      <c r="AE332" s="51" t="s">
        <v>1</v>
      </c>
      <c r="AF332" s="36" t="s">
        <v>1</v>
      </c>
      <c r="AG332" s="51" t="s">
        <v>1</v>
      </c>
      <c r="AH332" s="36" t="s">
        <v>1</v>
      </c>
      <c r="AI332" s="51" t="s">
        <v>1</v>
      </c>
      <c r="AJ332" s="36" t="s">
        <v>1</v>
      </c>
      <c r="AK332" s="51" t="s">
        <v>1</v>
      </c>
      <c r="AL332" s="36" t="s">
        <v>1</v>
      </c>
      <c r="AM332" s="31" t="s">
        <v>1</v>
      </c>
      <c r="AN332" s="36" t="s">
        <v>1</v>
      </c>
      <c r="AO332" s="31" t="s">
        <v>1</v>
      </c>
      <c r="AP332" s="36" t="s">
        <v>1</v>
      </c>
      <c r="AQ332" s="51" t="s">
        <v>1</v>
      </c>
      <c r="AR332" s="36" t="s">
        <v>1</v>
      </c>
      <c r="AS332" s="47" t="s">
        <v>1</v>
      </c>
      <c r="AT332" s="36" t="s">
        <v>1</v>
      </c>
      <c r="AU332" s="47" t="s">
        <v>1</v>
      </c>
      <c r="AV332" s="36" t="s">
        <v>1</v>
      </c>
      <c r="AW332" s="47" t="s">
        <v>1</v>
      </c>
      <c r="AX332" s="36" t="s">
        <v>2065</v>
      </c>
      <c r="AY332" s="47" t="s">
        <v>2193</v>
      </c>
      <c r="AZ332" s="36" t="s">
        <v>1299</v>
      </c>
      <c r="BA332" s="47" t="s">
        <v>2193</v>
      </c>
      <c r="BB332" s="36" t="s">
        <v>2188</v>
      </c>
      <c r="BC332" s="47" t="s">
        <v>819</v>
      </c>
      <c r="BD332" s="36" t="s">
        <v>2189</v>
      </c>
      <c r="BE332" s="47" t="str">
        <f t="shared" si="12"/>
        <v>"Bairro"</v>
      </c>
    </row>
    <row r="333" spans="1:57" ht="6.65" customHeight="1" x14ac:dyDescent="0.4">
      <c r="A333" s="93">
        <v>333</v>
      </c>
      <c r="B333" s="74" t="s">
        <v>1130</v>
      </c>
      <c r="C333" s="44" t="s">
        <v>664</v>
      </c>
      <c r="D333" s="18" t="s">
        <v>744</v>
      </c>
      <c r="E333" s="48" t="s">
        <v>847</v>
      </c>
      <c r="F333" s="18" t="s">
        <v>820</v>
      </c>
      <c r="G333" s="48" t="s">
        <v>956</v>
      </c>
      <c r="H333" s="18" t="s">
        <v>1062</v>
      </c>
      <c r="I333" s="48" t="s">
        <v>847</v>
      </c>
      <c r="J333" s="18" t="s">
        <v>744</v>
      </c>
      <c r="K333" s="48" t="s">
        <v>1067</v>
      </c>
      <c r="L333" s="18" t="s">
        <v>1</v>
      </c>
      <c r="M333" s="20" t="s">
        <v>1</v>
      </c>
      <c r="N333" s="46" t="s">
        <v>82</v>
      </c>
      <c r="O333" s="25" t="str">
        <f t="shared" si="11"/>
        <v>"Bairro N° B.038 RA.09 Grajaú"</v>
      </c>
      <c r="P333" s="46" t="s">
        <v>1</v>
      </c>
      <c r="Q333" s="25" t="s">
        <v>1</v>
      </c>
      <c r="R333" s="46" t="s">
        <v>1</v>
      </c>
      <c r="S333" s="52" t="s">
        <v>1</v>
      </c>
      <c r="T333" s="46" t="s">
        <v>1</v>
      </c>
      <c r="U333" s="31" t="s">
        <v>1</v>
      </c>
      <c r="V333" s="46" t="s">
        <v>1</v>
      </c>
      <c r="W333" s="31" t="s">
        <v>1</v>
      </c>
      <c r="X333" s="46" t="s">
        <v>1</v>
      </c>
      <c r="Y333" s="31" t="s">
        <v>1</v>
      </c>
      <c r="Z333" s="46" t="s">
        <v>1</v>
      </c>
      <c r="AA333" s="31" t="s">
        <v>1</v>
      </c>
      <c r="AB333" s="46" t="s">
        <v>1</v>
      </c>
      <c r="AC333" s="47" t="s">
        <v>1</v>
      </c>
      <c r="AD333" s="36" t="s">
        <v>1</v>
      </c>
      <c r="AE333" s="51" t="s">
        <v>1</v>
      </c>
      <c r="AF333" s="36" t="s">
        <v>1</v>
      </c>
      <c r="AG333" s="51" t="s">
        <v>1</v>
      </c>
      <c r="AH333" s="36" t="s">
        <v>1</v>
      </c>
      <c r="AI333" s="51" t="s">
        <v>1</v>
      </c>
      <c r="AJ333" s="36" t="s">
        <v>1</v>
      </c>
      <c r="AK333" s="51" t="s">
        <v>1</v>
      </c>
      <c r="AL333" s="36" t="s">
        <v>1</v>
      </c>
      <c r="AM333" s="31" t="s">
        <v>1</v>
      </c>
      <c r="AN333" s="36" t="s">
        <v>1</v>
      </c>
      <c r="AO333" s="31" t="s">
        <v>1</v>
      </c>
      <c r="AP333" s="36" t="s">
        <v>1</v>
      </c>
      <c r="AQ333" s="51" t="s">
        <v>1</v>
      </c>
      <c r="AR333" s="36" t="s">
        <v>1</v>
      </c>
      <c r="AS333" s="47" t="s">
        <v>1</v>
      </c>
      <c r="AT333" s="36" t="s">
        <v>1</v>
      </c>
      <c r="AU333" s="47" t="s">
        <v>1</v>
      </c>
      <c r="AV333" s="36" t="s">
        <v>1</v>
      </c>
      <c r="AW333" s="47" t="s">
        <v>1</v>
      </c>
      <c r="AX333" s="36" t="s">
        <v>2065</v>
      </c>
      <c r="AY333" s="47" t="s">
        <v>2193</v>
      </c>
      <c r="AZ333" s="36" t="s">
        <v>1299</v>
      </c>
      <c r="BA333" s="47" t="s">
        <v>2193</v>
      </c>
      <c r="BB333" s="36" t="s">
        <v>2188</v>
      </c>
      <c r="BC333" s="47" t="s">
        <v>819</v>
      </c>
      <c r="BD333" s="36" t="s">
        <v>2189</v>
      </c>
      <c r="BE333" s="47" t="str">
        <f t="shared" si="12"/>
        <v>"Bairro"</v>
      </c>
    </row>
    <row r="334" spans="1:57" ht="6.65" customHeight="1" x14ac:dyDescent="0.4">
      <c r="A334" s="93">
        <v>334</v>
      </c>
      <c r="B334" s="74" t="s">
        <v>1131</v>
      </c>
      <c r="C334" s="44" t="s">
        <v>664</v>
      </c>
      <c r="D334" s="18" t="s">
        <v>744</v>
      </c>
      <c r="E334" s="48" t="s">
        <v>877</v>
      </c>
      <c r="F334" s="18" t="s">
        <v>820</v>
      </c>
      <c r="G334" s="48" t="s">
        <v>957</v>
      </c>
      <c r="H334" s="18" t="s">
        <v>1062</v>
      </c>
      <c r="I334" s="48" t="s">
        <v>877</v>
      </c>
      <c r="J334" s="18" t="s">
        <v>744</v>
      </c>
      <c r="K334" s="48" t="s">
        <v>1077</v>
      </c>
      <c r="L334" s="18" t="s">
        <v>1</v>
      </c>
      <c r="M334" s="20" t="s">
        <v>1</v>
      </c>
      <c r="N334" s="46" t="s">
        <v>82</v>
      </c>
      <c r="O334" s="25" t="str">
        <f t="shared" si="11"/>
        <v>"Bairro N° B.133 RA.24 Grumari"</v>
      </c>
      <c r="P334" s="46" t="s">
        <v>1</v>
      </c>
      <c r="Q334" s="25" t="s">
        <v>1</v>
      </c>
      <c r="R334" s="46" t="s">
        <v>1</v>
      </c>
      <c r="S334" s="52" t="s">
        <v>1</v>
      </c>
      <c r="T334" s="46" t="s">
        <v>1</v>
      </c>
      <c r="U334" s="31" t="s">
        <v>1</v>
      </c>
      <c r="V334" s="46" t="s">
        <v>1</v>
      </c>
      <c r="W334" s="31" t="s">
        <v>1</v>
      </c>
      <c r="X334" s="46" t="s">
        <v>1</v>
      </c>
      <c r="Y334" s="31" t="s">
        <v>1</v>
      </c>
      <c r="Z334" s="46" t="s">
        <v>1</v>
      </c>
      <c r="AA334" s="31" t="s">
        <v>1</v>
      </c>
      <c r="AB334" s="46" t="s">
        <v>1</v>
      </c>
      <c r="AC334" s="47" t="s">
        <v>1</v>
      </c>
      <c r="AD334" s="36" t="s">
        <v>1</v>
      </c>
      <c r="AE334" s="51" t="s">
        <v>1</v>
      </c>
      <c r="AF334" s="36" t="s">
        <v>1</v>
      </c>
      <c r="AG334" s="51" t="s">
        <v>1</v>
      </c>
      <c r="AH334" s="36" t="s">
        <v>1</v>
      </c>
      <c r="AI334" s="51" t="s">
        <v>1</v>
      </c>
      <c r="AJ334" s="36" t="s">
        <v>1</v>
      </c>
      <c r="AK334" s="51" t="s">
        <v>1</v>
      </c>
      <c r="AL334" s="36" t="s">
        <v>1</v>
      </c>
      <c r="AM334" s="31" t="s">
        <v>1</v>
      </c>
      <c r="AN334" s="36" t="s">
        <v>1</v>
      </c>
      <c r="AO334" s="31" t="s">
        <v>1</v>
      </c>
      <c r="AP334" s="36" t="s">
        <v>1</v>
      </c>
      <c r="AQ334" s="51" t="s">
        <v>1</v>
      </c>
      <c r="AR334" s="36" t="s">
        <v>1</v>
      </c>
      <c r="AS334" s="47" t="s">
        <v>1</v>
      </c>
      <c r="AT334" s="36" t="s">
        <v>1</v>
      </c>
      <c r="AU334" s="47" t="s">
        <v>1</v>
      </c>
      <c r="AV334" s="36" t="s">
        <v>1</v>
      </c>
      <c r="AW334" s="47" t="s">
        <v>1</v>
      </c>
      <c r="AX334" s="36" t="s">
        <v>2065</v>
      </c>
      <c r="AY334" s="47" t="s">
        <v>2193</v>
      </c>
      <c r="AZ334" s="36" t="s">
        <v>1299</v>
      </c>
      <c r="BA334" s="47" t="s">
        <v>2193</v>
      </c>
      <c r="BB334" s="36" t="s">
        <v>2188</v>
      </c>
      <c r="BC334" s="47" t="s">
        <v>819</v>
      </c>
      <c r="BD334" s="36" t="s">
        <v>2189</v>
      </c>
      <c r="BE334" s="47" t="str">
        <f t="shared" si="12"/>
        <v>"Bairro"</v>
      </c>
    </row>
    <row r="335" spans="1:57" ht="6.65" customHeight="1" x14ac:dyDescent="0.4">
      <c r="A335" s="93">
        <v>335</v>
      </c>
      <c r="B335" s="74" t="s">
        <v>1132</v>
      </c>
      <c r="C335" s="44" t="s">
        <v>664</v>
      </c>
      <c r="D335" s="18" t="s">
        <v>744</v>
      </c>
      <c r="E335" s="48" t="s">
        <v>873</v>
      </c>
      <c r="F335" s="18" t="s">
        <v>820</v>
      </c>
      <c r="G335" s="48" t="s">
        <v>958</v>
      </c>
      <c r="H335" s="18" t="s">
        <v>1062</v>
      </c>
      <c r="I335" s="48" t="s">
        <v>873</v>
      </c>
      <c r="J335" s="18" t="s">
        <v>744</v>
      </c>
      <c r="K335" s="48" t="s">
        <v>1063</v>
      </c>
      <c r="L335" s="18" t="s">
        <v>1</v>
      </c>
      <c r="M335" s="20" t="s">
        <v>1</v>
      </c>
      <c r="N335" s="46" t="s">
        <v>82</v>
      </c>
      <c r="O335" s="25" t="str">
        <f t="shared" si="11"/>
        <v>"Bairro N° B.106 RA.22 Guadalupe"</v>
      </c>
      <c r="P335" s="46" t="s">
        <v>1</v>
      </c>
      <c r="Q335" s="25" t="s">
        <v>1</v>
      </c>
      <c r="R335" s="46" t="s">
        <v>1</v>
      </c>
      <c r="S335" s="52" t="s">
        <v>1</v>
      </c>
      <c r="T335" s="46" t="s">
        <v>1</v>
      </c>
      <c r="U335" s="31" t="s">
        <v>1</v>
      </c>
      <c r="V335" s="46" t="s">
        <v>1</v>
      </c>
      <c r="W335" s="31" t="s">
        <v>1</v>
      </c>
      <c r="X335" s="46" t="s">
        <v>1</v>
      </c>
      <c r="Y335" s="31" t="s">
        <v>1</v>
      </c>
      <c r="Z335" s="46" t="s">
        <v>1</v>
      </c>
      <c r="AA335" s="31" t="s">
        <v>1</v>
      </c>
      <c r="AB335" s="46" t="s">
        <v>1</v>
      </c>
      <c r="AC335" s="47" t="s">
        <v>1</v>
      </c>
      <c r="AD335" s="36" t="s">
        <v>1</v>
      </c>
      <c r="AE335" s="51" t="s">
        <v>1</v>
      </c>
      <c r="AF335" s="36" t="s">
        <v>1</v>
      </c>
      <c r="AG335" s="51" t="s">
        <v>1</v>
      </c>
      <c r="AH335" s="36" t="s">
        <v>1</v>
      </c>
      <c r="AI335" s="51" t="s">
        <v>1</v>
      </c>
      <c r="AJ335" s="36" t="s">
        <v>1</v>
      </c>
      <c r="AK335" s="51" t="s">
        <v>1</v>
      </c>
      <c r="AL335" s="36" t="s">
        <v>1</v>
      </c>
      <c r="AM335" s="31" t="s">
        <v>1</v>
      </c>
      <c r="AN335" s="36" t="s">
        <v>1</v>
      </c>
      <c r="AO335" s="31" t="s">
        <v>1</v>
      </c>
      <c r="AP335" s="36" t="s">
        <v>1</v>
      </c>
      <c r="AQ335" s="51" t="s">
        <v>1</v>
      </c>
      <c r="AR335" s="36" t="s">
        <v>1</v>
      </c>
      <c r="AS335" s="47" t="s">
        <v>1</v>
      </c>
      <c r="AT335" s="36" t="s">
        <v>1</v>
      </c>
      <c r="AU335" s="47" t="s">
        <v>1</v>
      </c>
      <c r="AV335" s="36" t="s">
        <v>1</v>
      </c>
      <c r="AW335" s="47" t="s">
        <v>1</v>
      </c>
      <c r="AX335" s="36" t="s">
        <v>2065</v>
      </c>
      <c r="AY335" s="47" t="s">
        <v>2193</v>
      </c>
      <c r="AZ335" s="36" t="s">
        <v>1299</v>
      </c>
      <c r="BA335" s="47" t="s">
        <v>2193</v>
      </c>
      <c r="BB335" s="36" t="s">
        <v>2188</v>
      </c>
      <c r="BC335" s="47" t="s">
        <v>819</v>
      </c>
      <c r="BD335" s="36" t="s">
        <v>2189</v>
      </c>
      <c r="BE335" s="47" t="str">
        <f t="shared" si="12"/>
        <v>"Bairro"</v>
      </c>
    </row>
    <row r="336" spans="1:57" ht="6.65" customHeight="1" x14ac:dyDescent="0.4">
      <c r="A336" s="93">
        <v>336</v>
      </c>
      <c r="B336" s="74" t="s">
        <v>1133</v>
      </c>
      <c r="C336" s="44" t="s">
        <v>664</v>
      </c>
      <c r="D336" s="18" t="s">
        <v>744</v>
      </c>
      <c r="E336" s="48" t="s">
        <v>881</v>
      </c>
      <c r="F336" s="18" t="s">
        <v>820</v>
      </c>
      <c r="G336" s="48" t="s">
        <v>959</v>
      </c>
      <c r="H336" s="18" t="s">
        <v>1062</v>
      </c>
      <c r="I336" s="48" t="s">
        <v>881</v>
      </c>
      <c r="J336" s="18" t="s">
        <v>744</v>
      </c>
      <c r="K336" s="48" t="s">
        <v>1079</v>
      </c>
      <c r="L336" s="18" t="s">
        <v>1</v>
      </c>
      <c r="M336" s="20" t="s">
        <v>1</v>
      </c>
      <c r="N336" s="46" t="s">
        <v>82</v>
      </c>
      <c r="O336" s="25" t="str">
        <f t="shared" si="11"/>
        <v>"Bairro N° B.151 RA.26 Guaratiba"</v>
      </c>
      <c r="P336" s="46" t="s">
        <v>1</v>
      </c>
      <c r="Q336" s="25" t="s">
        <v>1</v>
      </c>
      <c r="R336" s="46" t="s">
        <v>1</v>
      </c>
      <c r="S336" s="52" t="s">
        <v>1</v>
      </c>
      <c r="T336" s="46" t="s">
        <v>1</v>
      </c>
      <c r="U336" s="31" t="s">
        <v>1</v>
      </c>
      <c r="V336" s="46" t="s">
        <v>1</v>
      </c>
      <c r="W336" s="31" t="s">
        <v>1</v>
      </c>
      <c r="X336" s="46" t="s">
        <v>1</v>
      </c>
      <c r="Y336" s="31" t="s">
        <v>1</v>
      </c>
      <c r="Z336" s="46" t="s">
        <v>1</v>
      </c>
      <c r="AA336" s="31" t="s">
        <v>1</v>
      </c>
      <c r="AB336" s="46" t="s">
        <v>1</v>
      </c>
      <c r="AC336" s="47" t="s">
        <v>1</v>
      </c>
      <c r="AD336" s="36" t="s">
        <v>1</v>
      </c>
      <c r="AE336" s="51" t="s">
        <v>1</v>
      </c>
      <c r="AF336" s="36" t="s">
        <v>1</v>
      </c>
      <c r="AG336" s="51" t="s">
        <v>1</v>
      </c>
      <c r="AH336" s="36" t="s">
        <v>1</v>
      </c>
      <c r="AI336" s="51" t="s">
        <v>1</v>
      </c>
      <c r="AJ336" s="36" t="s">
        <v>1</v>
      </c>
      <c r="AK336" s="51" t="s">
        <v>1</v>
      </c>
      <c r="AL336" s="36" t="s">
        <v>1</v>
      </c>
      <c r="AM336" s="31" t="s">
        <v>1</v>
      </c>
      <c r="AN336" s="36" t="s">
        <v>1</v>
      </c>
      <c r="AO336" s="31" t="s">
        <v>1</v>
      </c>
      <c r="AP336" s="36" t="s">
        <v>1</v>
      </c>
      <c r="AQ336" s="51" t="s">
        <v>1</v>
      </c>
      <c r="AR336" s="36" t="s">
        <v>1</v>
      </c>
      <c r="AS336" s="47" t="s">
        <v>1</v>
      </c>
      <c r="AT336" s="36" t="s">
        <v>1</v>
      </c>
      <c r="AU336" s="47" t="s">
        <v>1</v>
      </c>
      <c r="AV336" s="36" t="s">
        <v>1</v>
      </c>
      <c r="AW336" s="47" t="s">
        <v>1</v>
      </c>
      <c r="AX336" s="36" t="s">
        <v>2065</v>
      </c>
      <c r="AY336" s="47" t="s">
        <v>2193</v>
      </c>
      <c r="AZ336" s="36" t="s">
        <v>1299</v>
      </c>
      <c r="BA336" s="47" t="s">
        <v>2193</v>
      </c>
      <c r="BB336" s="36" t="s">
        <v>2188</v>
      </c>
      <c r="BC336" s="47" t="s">
        <v>819</v>
      </c>
      <c r="BD336" s="36" t="s">
        <v>2189</v>
      </c>
      <c r="BE336" s="47" t="str">
        <f t="shared" si="12"/>
        <v>"Bairro"</v>
      </c>
    </row>
    <row r="337" spans="1:57" ht="6.65" customHeight="1" x14ac:dyDescent="0.4">
      <c r="A337" s="93">
        <v>337</v>
      </c>
      <c r="B337" s="74" t="s">
        <v>1134</v>
      </c>
      <c r="C337" s="44" t="s">
        <v>664</v>
      </c>
      <c r="D337" s="18" t="s">
        <v>744</v>
      </c>
      <c r="E337" s="48" t="s">
        <v>853</v>
      </c>
      <c r="F337" s="18" t="s">
        <v>820</v>
      </c>
      <c r="G337" s="48" t="s">
        <v>960</v>
      </c>
      <c r="H337" s="18" t="s">
        <v>1062</v>
      </c>
      <c r="I337" s="48" t="s">
        <v>853</v>
      </c>
      <c r="J337" s="18" t="s">
        <v>744</v>
      </c>
      <c r="K337" s="48" t="s">
        <v>1063</v>
      </c>
      <c r="L337" s="18" t="s">
        <v>1</v>
      </c>
      <c r="M337" s="20" t="s">
        <v>1</v>
      </c>
      <c r="N337" s="46" t="s">
        <v>82</v>
      </c>
      <c r="O337" s="25" t="str">
        <f t="shared" si="11"/>
        <v>"Bairro N° B.050 RA.12 Higienópolis"</v>
      </c>
      <c r="P337" s="46" t="s">
        <v>1</v>
      </c>
      <c r="Q337" s="25" t="s">
        <v>1</v>
      </c>
      <c r="R337" s="46" t="s">
        <v>1</v>
      </c>
      <c r="S337" s="52" t="s">
        <v>1</v>
      </c>
      <c r="T337" s="46" t="s">
        <v>1</v>
      </c>
      <c r="U337" s="31" t="s">
        <v>1</v>
      </c>
      <c r="V337" s="46" t="s">
        <v>1</v>
      </c>
      <c r="W337" s="31" t="s">
        <v>1</v>
      </c>
      <c r="X337" s="46" t="s">
        <v>1</v>
      </c>
      <c r="Y337" s="31" t="s">
        <v>1</v>
      </c>
      <c r="Z337" s="46" t="s">
        <v>1</v>
      </c>
      <c r="AA337" s="31" t="s">
        <v>1</v>
      </c>
      <c r="AB337" s="46" t="s">
        <v>1</v>
      </c>
      <c r="AC337" s="47" t="s">
        <v>1</v>
      </c>
      <c r="AD337" s="36" t="s">
        <v>1</v>
      </c>
      <c r="AE337" s="51" t="s">
        <v>1</v>
      </c>
      <c r="AF337" s="36" t="s">
        <v>1</v>
      </c>
      <c r="AG337" s="51" t="s">
        <v>1</v>
      </c>
      <c r="AH337" s="36" t="s">
        <v>1</v>
      </c>
      <c r="AI337" s="51" t="s">
        <v>1</v>
      </c>
      <c r="AJ337" s="36" t="s">
        <v>1</v>
      </c>
      <c r="AK337" s="51" t="s">
        <v>1</v>
      </c>
      <c r="AL337" s="36" t="s">
        <v>1</v>
      </c>
      <c r="AM337" s="31" t="s">
        <v>1</v>
      </c>
      <c r="AN337" s="36" t="s">
        <v>1</v>
      </c>
      <c r="AO337" s="31" t="s">
        <v>1</v>
      </c>
      <c r="AP337" s="36" t="s">
        <v>1</v>
      </c>
      <c r="AQ337" s="51" t="s">
        <v>1</v>
      </c>
      <c r="AR337" s="36" t="s">
        <v>1</v>
      </c>
      <c r="AS337" s="47" t="s">
        <v>1</v>
      </c>
      <c r="AT337" s="36" t="s">
        <v>1</v>
      </c>
      <c r="AU337" s="47" t="s">
        <v>1</v>
      </c>
      <c r="AV337" s="36" t="s">
        <v>1</v>
      </c>
      <c r="AW337" s="47" t="s">
        <v>1</v>
      </c>
      <c r="AX337" s="36" t="s">
        <v>2065</v>
      </c>
      <c r="AY337" s="47" t="s">
        <v>2193</v>
      </c>
      <c r="AZ337" s="36" t="s">
        <v>1299</v>
      </c>
      <c r="BA337" s="47" t="s">
        <v>2193</v>
      </c>
      <c r="BB337" s="36" t="s">
        <v>2188</v>
      </c>
      <c r="BC337" s="47" t="s">
        <v>819</v>
      </c>
      <c r="BD337" s="36" t="s">
        <v>2189</v>
      </c>
      <c r="BE337" s="47" t="str">
        <f t="shared" si="12"/>
        <v>"Bairro"</v>
      </c>
    </row>
    <row r="338" spans="1:57" ht="6.65" customHeight="1" x14ac:dyDescent="0.4">
      <c r="A338" s="93">
        <v>338</v>
      </c>
      <c r="B338" s="74" t="s">
        <v>1135</v>
      </c>
      <c r="C338" s="44" t="s">
        <v>664</v>
      </c>
      <c r="D338" s="18" t="s">
        <v>744</v>
      </c>
      <c r="E338" s="48" t="s">
        <v>859</v>
      </c>
      <c r="F338" s="18" t="s">
        <v>820</v>
      </c>
      <c r="G338" s="48" t="s">
        <v>961</v>
      </c>
      <c r="H338" s="18" t="s">
        <v>1062</v>
      </c>
      <c r="I338" s="48" t="s">
        <v>859</v>
      </c>
      <c r="J338" s="18" t="s">
        <v>744</v>
      </c>
      <c r="K338" s="48" t="s">
        <v>1063</v>
      </c>
      <c r="L338" s="18" t="s">
        <v>1</v>
      </c>
      <c r="M338" s="20" t="s">
        <v>1</v>
      </c>
      <c r="N338" s="46" t="s">
        <v>82</v>
      </c>
      <c r="O338" s="25" t="str">
        <f t="shared" si="11"/>
        <v>"Bairro N° B.087 RA.15 Honório.Gurgel"</v>
      </c>
      <c r="P338" s="46" t="s">
        <v>1</v>
      </c>
      <c r="Q338" s="25" t="s">
        <v>1</v>
      </c>
      <c r="R338" s="46" t="s">
        <v>1</v>
      </c>
      <c r="S338" s="52" t="s">
        <v>1</v>
      </c>
      <c r="T338" s="46" t="s">
        <v>1</v>
      </c>
      <c r="U338" s="31" t="s">
        <v>1</v>
      </c>
      <c r="V338" s="46" t="s">
        <v>1</v>
      </c>
      <c r="W338" s="31" t="s">
        <v>1</v>
      </c>
      <c r="X338" s="46" t="s">
        <v>1</v>
      </c>
      <c r="Y338" s="31" t="s">
        <v>1</v>
      </c>
      <c r="Z338" s="46" t="s">
        <v>1</v>
      </c>
      <c r="AA338" s="31" t="s">
        <v>1</v>
      </c>
      <c r="AB338" s="46" t="s">
        <v>1</v>
      </c>
      <c r="AC338" s="47" t="s">
        <v>1</v>
      </c>
      <c r="AD338" s="36" t="s">
        <v>1</v>
      </c>
      <c r="AE338" s="51" t="s">
        <v>1</v>
      </c>
      <c r="AF338" s="36" t="s">
        <v>1</v>
      </c>
      <c r="AG338" s="51" t="s">
        <v>1</v>
      </c>
      <c r="AH338" s="36" t="s">
        <v>1</v>
      </c>
      <c r="AI338" s="51" t="s">
        <v>1</v>
      </c>
      <c r="AJ338" s="36" t="s">
        <v>1</v>
      </c>
      <c r="AK338" s="51" t="s">
        <v>1</v>
      </c>
      <c r="AL338" s="36" t="s">
        <v>1</v>
      </c>
      <c r="AM338" s="31" t="s">
        <v>1</v>
      </c>
      <c r="AN338" s="36" t="s">
        <v>1</v>
      </c>
      <c r="AO338" s="31" t="s">
        <v>1</v>
      </c>
      <c r="AP338" s="36" t="s">
        <v>1</v>
      </c>
      <c r="AQ338" s="51" t="s">
        <v>1</v>
      </c>
      <c r="AR338" s="36" t="s">
        <v>1</v>
      </c>
      <c r="AS338" s="47" t="s">
        <v>1</v>
      </c>
      <c r="AT338" s="36" t="s">
        <v>1</v>
      </c>
      <c r="AU338" s="47" t="s">
        <v>1</v>
      </c>
      <c r="AV338" s="36" t="s">
        <v>1</v>
      </c>
      <c r="AW338" s="47" t="s">
        <v>1</v>
      </c>
      <c r="AX338" s="36" t="s">
        <v>2065</v>
      </c>
      <c r="AY338" s="47" t="s">
        <v>2193</v>
      </c>
      <c r="AZ338" s="36" t="s">
        <v>1299</v>
      </c>
      <c r="BA338" s="47" t="s">
        <v>2193</v>
      </c>
      <c r="BB338" s="36" t="s">
        <v>2188</v>
      </c>
      <c r="BC338" s="47" t="s">
        <v>819</v>
      </c>
      <c r="BD338" s="36" t="s">
        <v>2189</v>
      </c>
      <c r="BE338" s="47" t="str">
        <f t="shared" si="12"/>
        <v>"Bairro"</v>
      </c>
    </row>
    <row r="339" spans="1:57" ht="6.65" customHeight="1" x14ac:dyDescent="0.4">
      <c r="A339" s="93">
        <v>339</v>
      </c>
      <c r="B339" s="74" t="s">
        <v>1136</v>
      </c>
      <c r="C339" s="44" t="s">
        <v>664</v>
      </c>
      <c r="D339" s="18" t="s">
        <v>744</v>
      </c>
      <c r="E339" s="48" t="s">
        <v>837</v>
      </c>
      <c r="F339" s="18" t="s">
        <v>820</v>
      </c>
      <c r="G339" s="48" t="s">
        <v>962</v>
      </c>
      <c r="H339" s="18" t="s">
        <v>1062</v>
      </c>
      <c r="I339" s="48" t="s">
        <v>837</v>
      </c>
      <c r="J339" s="18" t="s">
        <v>744</v>
      </c>
      <c r="K339" s="48" t="s">
        <v>1086</v>
      </c>
      <c r="L339" s="18" t="s">
        <v>1</v>
      </c>
      <c r="M339" s="20" t="s">
        <v>1</v>
      </c>
      <c r="N339" s="46" t="s">
        <v>82</v>
      </c>
      <c r="O339" s="25" t="str">
        <f t="shared" ref="O339:O402" si="13">_xlfn.CONCAT("""","Bairro N° ",G339, " ",E339," ", B339,"""")</f>
        <v>"Bairro N° B.021 RA.04 Humaitá"</v>
      </c>
      <c r="P339" s="46" t="s">
        <v>1</v>
      </c>
      <c r="Q339" s="25" t="s">
        <v>1</v>
      </c>
      <c r="R339" s="46" t="s">
        <v>1</v>
      </c>
      <c r="S339" s="52" t="s">
        <v>1</v>
      </c>
      <c r="T339" s="46" t="s">
        <v>1</v>
      </c>
      <c r="U339" s="31" t="s">
        <v>1</v>
      </c>
      <c r="V339" s="46" t="s">
        <v>1</v>
      </c>
      <c r="W339" s="31" t="s">
        <v>1</v>
      </c>
      <c r="X339" s="46" t="s">
        <v>1</v>
      </c>
      <c r="Y339" s="31" t="s">
        <v>1</v>
      </c>
      <c r="Z339" s="46" t="s">
        <v>1</v>
      </c>
      <c r="AA339" s="31" t="s">
        <v>1</v>
      </c>
      <c r="AB339" s="46" t="s">
        <v>1</v>
      </c>
      <c r="AC339" s="47" t="s">
        <v>1</v>
      </c>
      <c r="AD339" s="36" t="s">
        <v>1</v>
      </c>
      <c r="AE339" s="51" t="s">
        <v>1</v>
      </c>
      <c r="AF339" s="36" t="s">
        <v>1</v>
      </c>
      <c r="AG339" s="51" t="s">
        <v>1</v>
      </c>
      <c r="AH339" s="36" t="s">
        <v>1</v>
      </c>
      <c r="AI339" s="51" t="s">
        <v>1</v>
      </c>
      <c r="AJ339" s="36" t="s">
        <v>1</v>
      </c>
      <c r="AK339" s="51" t="s">
        <v>1</v>
      </c>
      <c r="AL339" s="36" t="s">
        <v>1</v>
      </c>
      <c r="AM339" s="31" t="s">
        <v>1</v>
      </c>
      <c r="AN339" s="36" t="s">
        <v>1</v>
      </c>
      <c r="AO339" s="31" t="s">
        <v>1</v>
      </c>
      <c r="AP339" s="36" t="s">
        <v>1</v>
      </c>
      <c r="AQ339" s="51" t="s">
        <v>1</v>
      </c>
      <c r="AR339" s="36" t="s">
        <v>1</v>
      </c>
      <c r="AS339" s="47" t="s">
        <v>1</v>
      </c>
      <c r="AT339" s="36" t="s">
        <v>1</v>
      </c>
      <c r="AU339" s="47" t="s">
        <v>1</v>
      </c>
      <c r="AV339" s="36" t="s">
        <v>1</v>
      </c>
      <c r="AW339" s="47" t="s">
        <v>1</v>
      </c>
      <c r="AX339" s="36" t="s">
        <v>2065</v>
      </c>
      <c r="AY339" s="47" t="s">
        <v>2193</v>
      </c>
      <c r="AZ339" s="36" t="s">
        <v>1299</v>
      </c>
      <c r="BA339" s="47" t="s">
        <v>2193</v>
      </c>
      <c r="BB339" s="36" t="s">
        <v>2188</v>
      </c>
      <c r="BC339" s="47" t="s">
        <v>819</v>
      </c>
      <c r="BD339" s="36" t="s">
        <v>2189</v>
      </c>
      <c r="BE339" s="47" t="str">
        <f t="shared" si="12"/>
        <v>"Bairro"</v>
      </c>
    </row>
    <row r="340" spans="1:57" ht="6.65" customHeight="1" x14ac:dyDescent="0.4">
      <c r="A340" s="93">
        <v>340</v>
      </c>
      <c r="B340" s="74" t="s">
        <v>1137</v>
      </c>
      <c r="C340" s="44" t="s">
        <v>664</v>
      </c>
      <c r="D340" s="18" t="s">
        <v>744</v>
      </c>
      <c r="E340" s="48" t="s">
        <v>881</v>
      </c>
      <c r="F340" s="18" t="s">
        <v>820</v>
      </c>
      <c r="G340" s="48" t="s">
        <v>963</v>
      </c>
      <c r="H340" s="18" t="s">
        <v>1062</v>
      </c>
      <c r="I340" s="48" t="s">
        <v>881</v>
      </c>
      <c r="J340" s="18" t="s">
        <v>744</v>
      </c>
      <c r="K340" s="48" t="s">
        <v>1079</v>
      </c>
      <c r="L340" s="18" t="s">
        <v>1</v>
      </c>
      <c r="M340" s="20" t="s">
        <v>1</v>
      </c>
      <c r="N340" s="46" t="s">
        <v>82</v>
      </c>
      <c r="O340" s="25" t="str">
        <f t="shared" si="13"/>
        <v>"Bairro N° B.164 RA.26 Ilha.de.Guaratiba"</v>
      </c>
      <c r="P340" s="46" t="s">
        <v>1</v>
      </c>
      <c r="Q340" s="25" t="s">
        <v>1</v>
      </c>
      <c r="R340" s="46" t="s">
        <v>1</v>
      </c>
      <c r="S340" s="52" t="s">
        <v>1</v>
      </c>
      <c r="T340" s="46" t="s">
        <v>1</v>
      </c>
      <c r="U340" s="31" t="s">
        <v>1</v>
      </c>
      <c r="V340" s="46" t="s">
        <v>1</v>
      </c>
      <c r="W340" s="31" t="s">
        <v>1</v>
      </c>
      <c r="X340" s="46" t="s">
        <v>1</v>
      </c>
      <c r="Y340" s="31" t="s">
        <v>1</v>
      </c>
      <c r="Z340" s="46" t="s">
        <v>1</v>
      </c>
      <c r="AA340" s="31" t="s">
        <v>1</v>
      </c>
      <c r="AB340" s="46" t="s">
        <v>1</v>
      </c>
      <c r="AC340" s="47" t="s">
        <v>1</v>
      </c>
      <c r="AD340" s="36" t="s">
        <v>1</v>
      </c>
      <c r="AE340" s="51" t="s">
        <v>1</v>
      </c>
      <c r="AF340" s="36" t="s">
        <v>1</v>
      </c>
      <c r="AG340" s="51" t="s">
        <v>1</v>
      </c>
      <c r="AH340" s="36" t="s">
        <v>1</v>
      </c>
      <c r="AI340" s="51" t="s">
        <v>1</v>
      </c>
      <c r="AJ340" s="36" t="s">
        <v>1</v>
      </c>
      <c r="AK340" s="51" t="s">
        <v>1</v>
      </c>
      <c r="AL340" s="36" t="s">
        <v>1</v>
      </c>
      <c r="AM340" s="31" t="s">
        <v>1</v>
      </c>
      <c r="AN340" s="36" t="s">
        <v>1</v>
      </c>
      <c r="AO340" s="31" t="s">
        <v>1</v>
      </c>
      <c r="AP340" s="36" t="s">
        <v>1</v>
      </c>
      <c r="AQ340" s="51" t="s">
        <v>1</v>
      </c>
      <c r="AR340" s="36" t="s">
        <v>1</v>
      </c>
      <c r="AS340" s="47" t="s">
        <v>1</v>
      </c>
      <c r="AT340" s="36" t="s">
        <v>1</v>
      </c>
      <c r="AU340" s="47" t="s">
        <v>1</v>
      </c>
      <c r="AV340" s="36" t="s">
        <v>1</v>
      </c>
      <c r="AW340" s="47" t="s">
        <v>1</v>
      </c>
      <c r="AX340" s="36" t="s">
        <v>2065</v>
      </c>
      <c r="AY340" s="47" t="s">
        <v>2193</v>
      </c>
      <c r="AZ340" s="36" t="s">
        <v>1299</v>
      </c>
      <c r="BA340" s="47" t="s">
        <v>2193</v>
      </c>
      <c r="BB340" s="36" t="s">
        <v>2188</v>
      </c>
      <c r="BC340" s="47" t="s">
        <v>819</v>
      </c>
      <c r="BD340" s="36" t="s">
        <v>2189</v>
      </c>
      <c r="BE340" s="47" t="str">
        <f t="shared" si="12"/>
        <v>"Bairro"</v>
      </c>
    </row>
    <row r="341" spans="1:57" ht="6.65" customHeight="1" x14ac:dyDescent="0.4">
      <c r="A341" s="93">
        <v>341</v>
      </c>
      <c r="B341" s="74" t="s">
        <v>1138</v>
      </c>
      <c r="C341" s="44" t="s">
        <v>664</v>
      </c>
      <c r="D341" s="18" t="s">
        <v>744</v>
      </c>
      <c r="E341" s="48" t="s">
        <v>853</v>
      </c>
      <c r="F341" s="18" t="s">
        <v>820</v>
      </c>
      <c r="G341" s="48" t="s">
        <v>964</v>
      </c>
      <c r="H341" s="18" t="s">
        <v>1062</v>
      </c>
      <c r="I341" s="48" t="s">
        <v>853</v>
      </c>
      <c r="J341" s="18" t="s">
        <v>744</v>
      </c>
      <c r="K341" s="48" t="s">
        <v>1063</v>
      </c>
      <c r="L341" s="18" t="s">
        <v>1</v>
      </c>
      <c r="M341" s="20" t="s">
        <v>1</v>
      </c>
      <c r="N341" s="46" t="s">
        <v>82</v>
      </c>
      <c r="O341" s="25" t="str">
        <f t="shared" si="13"/>
        <v>"Bairro N° B.054 RA.12 Inhaúma"</v>
      </c>
      <c r="P341" s="46" t="s">
        <v>1</v>
      </c>
      <c r="Q341" s="25" t="s">
        <v>1</v>
      </c>
      <c r="R341" s="46" t="s">
        <v>1</v>
      </c>
      <c r="S341" s="52" t="s">
        <v>1</v>
      </c>
      <c r="T341" s="46" t="s">
        <v>1</v>
      </c>
      <c r="U341" s="31" t="s">
        <v>1</v>
      </c>
      <c r="V341" s="46" t="s">
        <v>1</v>
      </c>
      <c r="W341" s="31" t="s">
        <v>1</v>
      </c>
      <c r="X341" s="46" t="s">
        <v>1</v>
      </c>
      <c r="Y341" s="31" t="s">
        <v>1</v>
      </c>
      <c r="Z341" s="46" t="s">
        <v>1</v>
      </c>
      <c r="AA341" s="31" t="s">
        <v>1</v>
      </c>
      <c r="AB341" s="46" t="s">
        <v>1</v>
      </c>
      <c r="AC341" s="47" t="s">
        <v>1</v>
      </c>
      <c r="AD341" s="36" t="s">
        <v>1</v>
      </c>
      <c r="AE341" s="51" t="s">
        <v>1</v>
      </c>
      <c r="AF341" s="36" t="s">
        <v>1</v>
      </c>
      <c r="AG341" s="51" t="s">
        <v>1</v>
      </c>
      <c r="AH341" s="36" t="s">
        <v>1</v>
      </c>
      <c r="AI341" s="51" t="s">
        <v>1</v>
      </c>
      <c r="AJ341" s="36" t="s">
        <v>1</v>
      </c>
      <c r="AK341" s="51" t="s">
        <v>1</v>
      </c>
      <c r="AL341" s="36" t="s">
        <v>1</v>
      </c>
      <c r="AM341" s="31" t="s">
        <v>1</v>
      </c>
      <c r="AN341" s="36" t="s">
        <v>1</v>
      </c>
      <c r="AO341" s="31" t="s">
        <v>1</v>
      </c>
      <c r="AP341" s="36" t="s">
        <v>1</v>
      </c>
      <c r="AQ341" s="51" t="s">
        <v>1</v>
      </c>
      <c r="AR341" s="36" t="s">
        <v>1</v>
      </c>
      <c r="AS341" s="47" t="s">
        <v>1</v>
      </c>
      <c r="AT341" s="36" t="s">
        <v>1</v>
      </c>
      <c r="AU341" s="47" t="s">
        <v>1</v>
      </c>
      <c r="AV341" s="36" t="s">
        <v>1</v>
      </c>
      <c r="AW341" s="47" t="s">
        <v>1</v>
      </c>
      <c r="AX341" s="36" t="s">
        <v>2065</v>
      </c>
      <c r="AY341" s="47" t="s">
        <v>2193</v>
      </c>
      <c r="AZ341" s="36" t="s">
        <v>1299</v>
      </c>
      <c r="BA341" s="47" t="s">
        <v>2193</v>
      </c>
      <c r="BB341" s="36" t="s">
        <v>2188</v>
      </c>
      <c r="BC341" s="47" t="s">
        <v>819</v>
      </c>
      <c r="BD341" s="36" t="s">
        <v>2189</v>
      </c>
      <c r="BE341" s="47" t="str">
        <f t="shared" si="12"/>
        <v>"Bairro"</v>
      </c>
    </row>
    <row r="342" spans="1:57" ht="6.65" customHeight="1" x14ac:dyDescent="0.4">
      <c r="A342" s="93">
        <v>342</v>
      </c>
      <c r="B342" s="74" t="s">
        <v>1139</v>
      </c>
      <c r="C342" s="44" t="s">
        <v>664</v>
      </c>
      <c r="D342" s="18" t="s">
        <v>744</v>
      </c>
      <c r="E342" s="48" t="s">
        <v>865</v>
      </c>
      <c r="F342" s="18" t="s">
        <v>820</v>
      </c>
      <c r="G342" s="48" t="s">
        <v>965</v>
      </c>
      <c r="H342" s="18" t="s">
        <v>1062</v>
      </c>
      <c r="I342" s="48" t="s">
        <v>865</v>
      </c>
      <c r="J342" s="18" t="s">
        <v>744</v>
      </c>
      <c r="K342" s="48" t="s">
        <v>1079</v>
      </c>
      <c r="L342" s="18" t="s">
        <v>1</v>
      </c>
      <c r="M342" s="20" t="s">
        <v>1</v>
      </c>
      <c r="N342" s="46" t="s">
        <v>82</v>
      </c>
      <c r="O342" s="25" t="str">
        <f t="shared" si="13"/>
        <v>"Bairro N° B.146 RA.18 Inhoaíba"</v>
      </c>
      <c r="P342" s="46" t="s">
        <v>1</v>
      </c>
      <c r="Q342" s="25" t="s">
        <v>1</v>
      </c>
      <c r="R342" s="46" t="s">
        <v>1</v>
      </c>
      <c r="S342" s="52" t="s">
        <v>1</v>
      </c>
      <c r="T342" s="46" t="s">
        <v>1</v>
      </c>
      <c r="U342" s="31" t="s">
        <v>1</v>
      </c>
      <c r="V342" s="46" t="s">
        <v>1</v>
      </c>
      <c r="W342" s="31" t="s">
        <v>1</v>
      </c>
      <c r="X342" s="46" t="s">
        <v>1</v>
      </c>
      <c r="Y342" s="31" t="s">
        <v>1</v>
      </c>
      <c r="Z342" s="46" t="s">
        <v>1</v>
      </c>
      <c r="AA342" s="31" t="s">
        <v>1</v>
      </c>
      <c r="AB342" s="46" t="s">
        <v>1</v>
      </c>
      <c r="AC342" s="47" t="s">
        <v>1</v>
      </c>
      <c r="AD342" s="36" t="s">
        <v>1</v>
      </c>
      <c r="AE342" s="51" t="s">
        <v>1</v>
      </c>
      <c r="AF342" s="36" t="s">
        <v>1</v>
      </c>
      <c r="AG342" s="51" t="s">
        <v>1</v>
      </c>
      <c r="AH342" s="36" t="s">
        <v>1</v>
      </c>
      <c r="AI342" s="51" t="s">
        <v>1</v>
      </c>
      <c r="AJ342" s="36" t="s">
        <v>1</v>
      </c>
      <c r="AK342" s="51" t="s">
        <v>1</v>
      </c>
      <c r="AL342" s="36" t="s">
        <v>1</v>
      </c>
      <c r="AM342" s="31" t="s">
        <v>1</v>
      </c>
      <c r="AN342" s="36" t="s">
        <v>1</v>
      </c>
      <c r="AO342" s="31" t="s">
        <v>1</v>
      </c>
      <c r="AP342" s="36" t="s">
        <v>1</v>
      </c>
      <c r="AQ342" s="51" t="s">
        <v>1</v>
      </c>
      <c r="AR342" s="36" t="s">
        <v>1</v>
      </c>
      <c r="AS342" s="47" t="s">
        <v>1</v>
      </c>
      <c r="AT342" s="36" t="s">
        <v>1</v>
      </c>
      <c r="AU342" s="47" t="s">
        <v>1</v>
      </c>
      <c r="AV342" s="36" t="s">
        <v>1</v>
      </c>
      <c r="AW342" s="47" t="s">
        <v>1</v>
      </c>
      <c r="AX342" s="36" t="s">
        <v>2065</v>
      </c>
      <c r="AY342" s="47" t="s">
        <v>2193</v>
      </c>
      <c r="AZ342" s="36" t="s">
        <v>1299</v>
      </c>
      <c r="BA342" s="47" t="s">
        <v>2193</v>
      </c>
      <c r="BB342" s="36" t="s">
        <v>2188</v>
      </c>
      <c r="BC342" s="47" t="s">
        <v>819</v>
      </c>
      <c r="BD342" s="36" t="s">
        <v>2189</v>
      </c>
      <c r="BE342" s="47" t="str">
        <f t="shared" si="12"/>
        <v>"Bairro"</v>
      </c>
    </row>
    <row r="343" spans="1:57" ht="6.65" customHeight="1" x14ac:dyDescent="0.4">
      <c r="A343" s="93">
        <v>343</v>
      </c>
      <c r="B343" s="74" t="s">
        <v>1140</v>
      </c>
      <c r="C343" s="44" t="s">
        <v>664</v>
      </c>
      <c r="D343" s="18" t="s">
        <v>744</v>
      </c>
      <c r="E343" s="48" t="s">
        <v>841</v>
      </c>
      <c r="F343" s="18" t="s">
        <v>820</v>
      </c>
      <c r="G343" s="48" t="s">
        <v>966</v>
      </c>
      <c r="H343" s="18" t="s">
        <v>1062</v>
      </c>
      <c r="I343" s="48" t="s">
        <v>841</v>
      </c>
      <c r="J343" s="18" t="s">
        <v>744</v>
      </c>
      <c r="K343" s="48" t="s">
        <v>1086</v>
      </c>
      <c r="L343" s="18" t="s">
        <v>1</v>
      </c>
      <c r="M343" s="20" t="s">
        <v>1</v>
      </c>
      <c r="N343" s="46" t="s">
        <v>82</v>
      </c>
      <c r="O343" s="25" t="str">
        <f t="shared" si="13"/>
        <v>"Bairro N° B.025 RA.06 Ipanema"</v>
      </c>
      <c r="P343" s="46" t="s">
        <v>1</v>
      </c>
      <c r="Q343" s="25" t="s">
        <v>1</v>
      </c>
      <c r="R343" s="46" t="s">
        <v>1</v>
      </c>
      <c r="S343" s="52" t="s">
        <v>1</v>
      </c>
      <c r="T343" s="46" t="s">
        <v>1</v>
      </c>
      <c r="U343" s="31" t="s">
        <v>1</v>
      </c>
      <c r="V343" s="46" t="s">
        <v>1</v>
      </c>
      <c r="W343" s="31" t="s">
        <v>1</v>
      </c>
      <c r="X343" s="46" t="s">
        <v>1</v>
      </c>
      <c r="Y343" s="31" t="s">
        <v>1</v>
      </c>
      <c r="Z343" s="46" t="s">
        <v>1</v>
      </c>
      <c r="AA343" s="31" t="s">
        <v>1</v>
      </c>
      <c r="AB343" s="46" t="s">
        <v>1</v>
      </c>
      <c r="AC343" s="47" t="s">
        <v>1</v>
      </c>
      <c r="AD343" s="36" t="s">
        <v>1</v>
      </c>
      <c r="AE343" s="51" t="s">
        <v>1</v>
      </c>
      <c r="AF343" s="36" t="s">
        <v>1</v>
      </c>
      <c r="AG343" s="51" t="s">
        <v>1</v>
      </c>
      <c r="AH343" s="36" t="s">
        <v>1</v>
      </c>
      <c r="AI343" s="51" t="s">
        <v>1</v>
      </c>
      <c r="AJ343" s="36" t="s">
        <v>1</v>
      </c>
      <c r="AK343" s="51" t="s">
        <v>1</v>
      </c>
      <c r="AL343" s="36" t="s">
        <v>1</v>
      </c>
      <c r="AM343" s="31" t="s">
        <v>1</v>
      </c>
      <c r="AN343" s="36" t="s">
        <v>1</v>
      </c>
      <c r="AO343" s="31" t="s">
        <v>1</v>
      </c>
      <c r="AP343" s="36" t="s">
        <v>1</v>
      </c>
      <c r="AQ343" s="51" t="s">
        <v>1</v>
      </c>
      <c r="AR343" s="36" t="s">
        <v>1</v>
      </c>
      <c r="AS343" s="47" t="s">
        <v>1</v>
      </c>
      <c r="AT343" s="36" t="s">
        <v>1</v>
      </c>
      <c r="AU343" s="47" t="s">
        <v>1</v>
      </c>
      <c r="AV343" s="36" t="s">
        <v>1</v>
      </c>
      <c r="AW343" s="47" t="s">
        <v>1</v>
      </c>
      <c r="AX343" s="36" t="s">
        <v>2065</v>
      </c>
      <c r="AY343" s="47" t="s">
        <v>2193</v>
      </c>
      <c r="AZ343" s="36" t="s">
        <v>1299</v>
      </c>
      <c r="BA343" s="47" t="s">
        <v>2193</v>
      </c>
      <c r="BB343" s="36" t="s">
        <v>2188</v>
      </c>
      <c r="BC343" s="47" t="s">
        <v>819</v>
      </c>
      <c r="BD343" s="36" t="s">
        <v>2189</v>
      </c>
      <c r="BE343" s="47" t="str">
        <f t="shared" si="12"/>
        <v>"Bairro"</v>
      </c>
    </row>
    <row r="344" spans="1:57" ht="6.65" customHeight="1" x14ac:dyDescent="0.4">
      <c r="A344" s="93">
        <v>344</v>
      </c>
      <c r="B344" s="74" t="s">
        <v>1141</v>
      </c>
      <c r="C344" s="44" t="s">
        <v>664</v>
      </c>
      <c r="D344" s="18" t="s">
        <v>744</v>
      </c>
      <c r="E344" s="48" t="s">
        <v>857</v>
      </c>
      <c r="F344" s="18" t="s">
        <v>820</v>
      </c>
      <c r="G344" s="48" t="s">
        <v>967</v>
      </c>
      <c r="H344" s="18" t="s">
        <v>1062</v>
      </c>
      <c r="I344" s="48" t="s">
        <v>857</v>
      </c>
      <c r="J344" s="18" t="s">
        <v>744</v>
      </c>
      <c r="K344" s="48" t="s">
        <v>1063</v>
      </c>
      <c r="L344" s="18" t="s">
        <v>1</v>
      </c>
      <c r="M344" s="20" t="s">
        <v>1</v>
      </c>
      <c r="N344" s="46" t="s">
        <v>82</v>
      </c>
      <c r="O344" s="25" t="str">
        <f t="shared" si="13"/>
        <v>"Bairro N° B.076 RA.14 Irajá"</v>
      </c>
      <c r="P344" s="46" t="s">
        <v>1</v>
      </c>
      <c r="Q344" s="25" t="s">
        <v>1</v>
      </c>
      <c r="R344" s="46" t="s">
        <v>1</v>
      </c>
      <c r="S344" s="52" t="s">
        <v>1</v>
      </c>
      <c r="T344" s="46" t="s">
        <v>1</v>
      </c>
      <c r="U344" s="31" t="s">
        <v>1</v>
      </c>
      <c r="V344" s="46" t="s">
        <v>1</v>
      </c>
      <c r="W344" s="31" t="s">
        <v>1</v>
      </c>
      <c r="X344" s="46" t="s">
        <v>1</v>
      </c>
      <c r="Y344" s="31" t="s">
        <v>1</v>
      </c>
      <c r="Z344" s="46" t="s">
        <v>1</v>
      </c>
      <c r="AA344" s="31" t="s">
        <v>1</v>
      </c>
      <c r="AB344" s="46" t="s">
        <v>1</v>
      </c>
      <c r="AC344" s="47" t="s">
        <v>1</v>
      </c>
      <c r="AD344" s="36" t="s">
        <v>1</v>
      </c>
      <c r="AE344" s="51" t="s">
        <v>1</v>
      </c>
      <c r="AF344" s="36" t="s">
        <v>1</v>
      </c>
      <c r="AG344" s="51" t="s">
        <v>1</v>
      </c>
      <c r="AH344" s="36" t="s">
        <v>1</v>
      </c>
      <c r="AI344" s="51" t="s">
        <v>1</v>
      </c>
      <c r="AJ344" s="36" t="s">
        <v>1</v>
      </c>
      <c r="AK344" s="51" t="s">
        <v>1</v>
      </c>
      <c r="AL344" s="36" t="s">
        <v>1</v>
      </c>
      <c r="AM344" s="31" t="s">
        <v>1</v>
      </c>
      <c r="AN344" s="36" t="s">
        <v>1</v>
      </c>
      <c r="AO344" s="31" t="s">
        <v>1</v>
      </c>
      <c r="AP344" s="36" t="s">
        <v>1</v>
      </c>
      <c r="AQ344" s="51" t="s">
        <v>1</v>
      </c>
      <c r="AR344" s="36" t="s">
        <v>1</v>
      </c>
      <c r="AS344" s="47" t="s">
        <v>1</v>
      </c>
      <c r="AT344" s="36" t="s">
        <v>1</v>
      </c>
      <c r="AU344" s="47" t="s">
        <v>1</v>
      </c>
      <c r="AV344" s="36" t="s">
        <v>1</v>
      </c>
      <c r="AW344" s="47" t="s">
        <v>1</v>
      </c>
      <c r="AX344" s="36" t="s">
        <v>2065</v>
      </c>
      <c r="AY344" s="47" t="s">
        <v>2193</v>
      </c>
      <c r="AZ344" s="36" t="s">
        <v>1299</v>
      </c>
      <c r="BA344" s="47" t="s">
        <v>2193</v>
      </c>
      <c r="BB344" s="36" t="s">
        <v>2188</v>
      </c>
      <c r="BC344" s="47" t="s">
        <v>819</v>
      </c>
      <c r="BD344" s="36" t="s">
        <v>2189</v>
      </c>
      <c r="BE344" s="47" t="str">
        <f t="shared" si="12"/>
        <v>"Bairro"</v>
      </c>
    </row>
    <row r="345" spans="1:57" ht="6.65" customHeight="1" x14ac:dyDescent="0.4">
      <c r="A345" s="93">
        <v>345</v>
      </c>
      <c r="B345" s="74" t="s">
        <v>1142</v>
      </c>
      <c r="C345" s="44" t="s">
        <v>664</v>
      </c>
      <c r="D345" s="18" t="s">
        <v>744</v>
      </c>
      <c r="E345" s="48" t="s">
        <v>877</v>
      </c>
      <c r="F345" s="18" t="s">
        <v>820</v>
      </c>
      <c r="G345" s="48" t="s">
        <v>968</v>
      </c>
      <c r="H345" s="18" t="s">
        <v>1062</v>
      </c>
      <c r="I345" s="48" t="s">
        <v>877</v>
      </c>
      <c r="J345" s="18" t="s">
        <v>744</v>
      </c>
      <c r="K345" s="48" t="s">
        <v>1077</v>
      </c>
      <c r="L345" s="18" t="s">
        <v>1</v>
      </c>
      <c r="M345" s="20" t="s">
        <v>1</v>
      </c>
      <c r="N345" s="46" t="s">
        <v>82</v>
      </c>
      <c r="O345" s="25" t="str">
        <f t="shared" si="13"/>
        <v>"Bairro N° B.127 RA.24 Itanhangá"</v>
      </c>
      <c r="P345" s="46" t="s">
        <v>1</v>
      </c>
      <c r="Q345" s="25" t="s">
        <v>1</v>
      </c>
      <c r="R345" s="46" t="s">
        <v>1</v>
      </c>
      <c r="S345" s="52" t="s">
        <v>1</v>
      </c>
      <c r="T345" s="46" t="s">
        <v>1</v>
      </c>
      <c r="U345" s="31" t="s">
        <v>1</v>
      </c>
      <c r="V345" s="46" t="s">
        <v>1</v>
      </c>
      <c r="W345" s="31" t="s">
        <v>1</v>
      </c>
      <c r="X345" s="46" t="s">
        <v>1</v>
      </c>
      <c r="Y345" s="31" t="s">
        <v>1</v>
      </c>
      <c r="Z345" s="46" t="s">
        <v>1</v>
      </c>
      <c r="AA345" s="31" t="s">
        <v>1</v>
      </c>
      <c r="AB345" s="46" t="s">
        <v>1</v>
      </c>
      <c r="AC345" s="47" t="s">
        <v>1</v>
      </c>
      <c r="AD345" s="36" t="s">
        <v>1</v>
      </c>
      <c r="AE345" s="51" t="s">
        <v>1</v>
      </c>
      <c r="AF345" s="36" t="s">
        <v>1</v>
      </c>
      <c r="AG345" s="51" t="s">
        <v>1</v>
      </c>
      <c r="AH345" s="36" t="s">
        <v>1</v>
      </c>
      <c r="AI345" s="51" t="s">
        <v>1</v>
      </c>
      <c r="AJ345" s="36" t="s">
        <v>1</v>
      </c>
      <c r="AK345" s="51" t="s">
        <v>1</v>
      </c>
      <c r="AL345" s="36" t="s">
        <v>1</v>
      </c>
      <c r="AM345" s="31" t="s">
        <v>1</v>
      </c>
      <c r="AN345" s="36" t="s">
        <v>1</v>
      </c>
      <c r="AO345" s="31" t="s">
        <v>1</v>
      </c>
      <c r="AP345" s="36" t="s">
        <v>1</v>
      </c>
      <c r="AQ345" s="51" t="s">
        <v>1</v>
      </c>
      <c r="AR345" s="36" t="s">
        <v>1</v>
      </c>
      <c r="AS345" s="47" t="s">
        <v>1</v>
      </c>
      <c r="AT345" s="36" t="s">
        <v>1</v>
      </c>
      <c r="AU345" s="47" t="s">
        <v>1</v>
      </c>
      <c r="AV345" s="36" t="s">
        <v>1</v>
      </c>
      <c r="AW345" s="47" t="s">
        <v>1</v>
      </c>
      <c r="AX345" s="36" t="s">
        <v>2065</v>
      </c>
      <c r="AY345" s="47" t="s">
        <v>2193</v>
      </c>
      <c r="AZ345" s="36" t="s">
        <v>1299</v>
      </c>
      <c r="BA345" s="47" t="s">
        <v>2193</v>
      </c>
      <c r="BB345" s="36" t="s">
        <v>2188</v>
      </c>
      <c r="BC345" s="47" t="s">
        <v>819</v>
      </c>
      <c r="BD345" s="36" t="s">
        <v>2189</v>
      </c>
      <c r="BE345" s="47" t="str">
        <f t="shared" si="12"/>
        <v>"Bairro"</v>
      </c>
    </row>
    <row r="346" spans="1:57" ht="6.65" customHeight="1" x14ac:dyDescent="0.4">
      <c r="A346" s="93">
        <v>346</v>
      </c>
      <c r="B346" s="74" t="s">
        <v>1143</v>
      </c>
      <c r="C346" s="44" t="s">
        <v>664</v>
      </c>
      <c r="D346" s="18" t="s">
        <v>744</v>
      </c>
      <c r="E346" s="48" t="s">
        <v>863</v>
      </c>
      <c r="F346" s="18" t="s">
        <v>820</v>
      </c>
      <c r="G346" s="48" t="s">
        <v>969</v>
      </c>
      <c r="H346" s="18" t="s">
        <v>1062</v>
      </c>
      <c r="I346" s="48" t="s">
        <v>863</v>
      </c>
      <c r="J346" s="18" t="s">
        <v>744</v>
      </c>
      <c r="K346" s="48" t="s">
        <v>1075</v>
      </c>
      <c r="L346" s="18" t="s">
        <v>1</v>
      </c>
      <c r="M346" s="20" t="s">
        <v>1</v>
      </c>
      <c r="N346" s="46" t="s">
        <v>82</v>
      </c>
      <c r="O346" s="25" t="str">
        <f t="shared" si="13"/>
        <v>"Bairro N° B.163 RA.17 Jabour"</v>
      </c>
      <c r="P346" s="46" t="s">
        <v>1</v>
      </c>
      <c r="Q346" s="25" t="s">
        <v>1</v>
      </c>
      <c r="R346" s="46" t="s">
        <v>1</v>
      </c>
      <c r="S346" s="52" t="s">
        <v>1</v>
      </c>
      <c r="T346" s="46" t="s">
        <v>1</v>
      </c>
      <c r="U346" s="31" t="s">
        <v>1</v>
      </c>
      <c r="V346" s="46" t="s">
        <v>1</v>
      </c>
      <c r="W346" s="31" t="s">
        <v>1</v>
      </c>
      <c r="X346" s="46" t="s">
        <v>1</v>
      </c>
      <c r="Y346" s="31" t="s">
        <v>1</v>
      </c>
      <c r="Z346" s="46" t="s">
        <v>1</v>
      </c>
      <c r="AA346" s="31" t="s">
        <v>1</v>
      </c>
      <c r="AB346" s="46" t="s">
        <v>1</v>
      </c>
      <c r="AC346" s="47" t="s">
        <v>1</v>
      </c>
      <c r="AD346" s="36" t="s">
        <v>1</v>
      </c>
      <c r="AE346" s="51" t="s">
        <v>1</v>
      </c>
      <c r="AF346" s="36" t="s">
        <v>1</v>
      </c>
      <c r="AG346" s="51" t="s">
        <v>1</v>
      </c>
      <c r="AH346" s="36" t="s">
        <v>1</v>
      </c>
      <c r="AI346" s="51" t="s">
        <v>1</v>
      </c>
      <c r="AJ346" s="36" t="s">
        <v>1</v>
      </c>
      <c r="AK346" s="51" t="s">
        <v>1</v>
      </c>
      <c r="AL346" s="36" t="s">
        <v>1</v>
      </c>
      <c r="AM346" s="31" t="s">
        <v>1</v>
      </c>
      <c r="AN346" s="36" t="s">
        <v>1</v>
      </c>
      <c r="AO346" s="31" t="s">
        <v>1</v>
      </c>
      <c r="AP346" s="36" t="s">
        <v>1</v>
      </c>
      <c r="AQ346" s="51" t="s">
        <v>1</v>
      </c>
      <c r="AR346" s="36" t="s">
        <v>1</v>
      </c>
      <c r="AS346" s="47" t="s">
        <v>1</v>
      </c>
      <c r="AT346" s="36" t="s">
        <v>1</v>
      </c>
      <c r="AU346" s="47" t="s">
        <v>1</v>
      </c>
      <c r="AV346" s="36" t="s">
        <v>1</v>
      </c>
      <c r="AW346" s="47" t="s">
        <v>1</v>
      </c>
      <c r="AX346" s="36" t="s">
        <v>2065</v>
      </c>
      <c r="AY346" s="47" t="s">
        <v>2193</v>
      </c>
      <c r="AZ346" s="36" t="s">
        <v>1299</v>
      </c>
      <c r="BA346" s="47" t="s">
        <v>2193</v>
      </c>
      <c r="BB346" s="36" t="s">
        <v>2188</v>
      </c>
      <c r="BC346" s="47" t="s">
        <v>819</v>
      </c>
      <c r="BD346" s="36" t="s">
        <v>2189</v>
      </c>
      <c r="BE346" s="47" t="str">
        <f t="shared" si="12"/>
        <v>"Bairro"</v>
      </c>
    </row>
    <row r="347" spans="1:57" ht="6.65" customHeight="1" x14ac:dyDescent="0.4">
      <c r="A347" s="93">
        <v>347</v>
      </c>
      <c r="B347" s="74" t="s">
        <v>1144</v>
      </c>
      <c r="C347" s="44" t="s">
        <v>664</v>
      </c>
      <c r="D347" s="18" t="s">
        <v>744</v>
      </c>
      <c r="E347" s="48" t="s">
        <v>855</v>
      </c>
      <c r="F347" s="18" t="s">
        <v>820</v>
      </c>
      <c r="G347" s="48" t="s">
        <v>970</v>
      </c>
      <c r="H347" s="18" t="s">
        <v>1062</v>
      </c>
      <c r="I347" s="48" t="s">
        <v>855</v>
      </c>
      <c r="J347" s="18" t="s">
        <v>744</v>
      </c>
      <c r="K347" s="48" t="s">
        <v>1063</v>
      </c>
      <c r="L347" s="18" t="s">
        <v>1</v>
      </c>
      <c r="M347" s="20" t="s">
        <v>1</v>
      </c>
      <c r="N347" s="46" t="s">
        <v>82</v>
      </c>
      <c r="O347" s="25" t="str">
        <f t="shared" si="13"/>
        <v>"Bairro N° B.051 RA.13 Jacaré"</v>
      </c>
      <c r="P347" s="46" t="s">
        <v>1</v>
      </c>
      <c r="Q347" s="25" t="s">
        <v>1</v>
      </c>
      <c r="R347" s="46" t="s">
        <v>1</v>
      </c>
      <c r="S347" s="52" t="s">
        <v>1</v>
      </c>
      <c r="T347" s="46" t="s">
        <v>1</v>
      </c>
      <c r="U347" s="31" t="s">
        <v>1</v>
      </c>
      <c r="V347" s="46" t="s">
        <v>1</v>
      </c>
      <c r="W347" s="31" t="s">
        <v>1</v>
      </c>
      <c r="X347" s="46" t="s">
        <v>1</v>
      </c>
      <c r="Y347" s="31" t="s">
        <v>1</v>
      </c>
      <c r="Z347" s="46" t="s">
        <v>1</v>
      </c>
      <c r="AA347" s="31" t="s">
        <v>1</v>
      </c>
      <c r="AB347" s="46" t="s">
        <v>1</v>
      </c>
      <c r="AC347" s="47" t="s">
        <v>1</v>
      </c>
      <c r="AD347" s="36" t="s">
        <v>1</v>
      </c>
      <c r="AE347" s="51" t="s">
        <v>1</v>
      </c>
      <c r="AF347" s="36" t="s">
        <v>1</v>
      </c>
      <c r="AG347" s="51" t="s">
        <v>1</v>
      </c>
      <c r="AH347" s="36" t="s">
        <v>1</v>
      </c>
      <c r="AI347" s="51" t="s">
        <v>1</v>
      </c>
      <c r="AJ347" s="36" t="s">
        <v>1</v>
      </c>
      <c r="AK347" s="51" t="s">
        <v>1</v>
      </c>
      <c r="AL347" s="36" t="s">
        <v>1</v>
      </c>
      <c r="AM347" s="31" t="s">
        <v>1</v>
      </c>
      <c r="AN347" s="36" t="s">
        <v>1</v>
      </c>
      <c r="AO347" s="31" t="s">
        <v>1</v>
      </c>
      <c r="AP347" s="36" t="s">
        <v>1</v>
      </c>
      <c r="AQ347" s="51" t="s">
        <v>1</v>
      </c>
      <c r="AR347" s="36" t="s">
        <v>1</v>
      </c>
      <c r="AS347" s="47" t="s">
        <v>1</v>
      </c>
      <c r="AT347" s="36" t="s">
        <v>1</v>
      </c>
      <c r="AU347" s="47" t="s">
        <v>1</v>
      </c>
      <c r="AV347" s="36" t="s">
        <v>1</v>
      </c>
      <c r="AW347" s="47" t="s">
        <v>1</v>
      </c>
      <c r="AX347" s="36" t="s">
        <v>2065</v>
      </c>
      <c r="AY347" s="47" t="s">
        <v>2193</v>
      </c>
      <c r="AZ347" s="36" t="s">
        <v>1299</v>
      </c>
      <c r="BA347" s="47" t="s">
        <v>2193</v>
      </c>
      <c r="BB347" s="36" t="s">
        <v>2188</v>
      </c>
      <c r="BC347" s="47" t="s">
        <v>819</v>
      </c>
      <c r="BD347" s="36" t="s">
        <v>2189</v>
      </c>
      <c r="BE347" s="47" t="str">
        <f t="shared" si="12"/>
        <v>"Bairro"</v>
      </c>
    </row>
    <row r="348" spans="1:57" ht="6.65" customHeight="1" x14ac:dyDescent="0.4">
      <c r="A348" s="93">
        <v>348</v>
      </c>
      <c r="B348" s="74" t="s">
        <v>1145</v>
      </c>
      <c r="C348" s="44" t="s">
        <v>664</v>
      </c>
      <c r="D348" s="18" t="s">
        <v>744</v>
      </c>
      <c r="E348" s="48" t="s">
        <v>861</v>
      </c>
      <c r="F348" s="18" t="s">
        <v>820</v>
      </c>
      <c r="G348" s="48" t="s">
        <v>971</v>
      </c>
      <c r="H348" s="18" t="s">
        <v>1062</v>
      </c>
      <c r="I348" s="48" t="s">
        <v>861</v>
      </c>
      <c r="J348" s="18" t="s">
        <v>744</v>
      </c>
      <c r="K348" s="48" t="s">
        <v>1071</v>
      </c>
      <c r="L348" s="18" t="s">
        <v>1</v>
      </c>
      <c r="M348" s="20" t="s">
        <v>1</v>
      </c>
      <c r="N348" s="46" t="s">
        <v>82</v>
      </c>
      <c r="O348" s="25" t="str">
        <f t="shared" si="13"/>
        <v>"Bairro N° B.115 RA.16 Jacarepaguá"</v>
      </c>
      <c r="P348" s="46" t="s">
        <v>1</v>
      </c>
      <c r="Q348" s="25" t="s">
        <v>1</v>
      </c>
      <c r="R348" s="46" t="s">
        <v>1</v>
      </c>
      <c r="S348" s="52" t="s">
        <v>1</v>
      </c>
      <c r="T348" s="46" t="s">
        <v>1</v>
      </c>
      <c r="U348" s="31" t="s">
        <v>1</v>
      </c>
      <c r="V348" s="46" t="s">
        <v>1</v>
      </c>
      <c r="W348" s="31" t="s">
        <v>1</v>
      </c>
      <c r="X348" s="46" t="s">
        <v>1</v>
      </c>
      <c r="Y348" s="31" t="s">
        <v>1</v>
      </c>
      <c r="Z348" s="46" t="s">
        <v>1</v>
      </c>
      <c r="AA348" s="31" t="s">
        <v>1</v>
      </c>
      <c r="AB348" s="46" t="s">
        <v>1</v>
      </c>
      <c r="AC348" s="47" t="s">
        <v>1</v>
      </c>
      <c r="AD348" s="36" t="s">
        <v>1</v>
      </c>
      <c r="AE348" s="51" t="s">
        <v>1</v>
      </c>
      <c r="AF348" s="36" t="s">
        <v>1</v>
      </c>
      <c r="AG348" s="51" t="s">
        <v>1</v>
      </c>
      <c r="AH348" s="36" t="s">
        <v>1</v>
      </c>
      <c r="AI348" s="51" t="s">
        <v>1</v>
      </c>
      <c r="AJ348" s="36" t="s">
        <v>1</v>
      </c>
      <c r="AK348" s="51" t="s">
        <v>1</v>
      </c>
      <c r="AL348" s="36" t="s">
        <v>1</v>
      </c>
      <c r="AM348" s="31" t="s">
        <v>1</v>
      </c>
      <c r="AN348" s="36" t="s">
        <v>1</v>
      </c>
      <c r="AO348" s="31" t="s">
        <v>1</v>
      </c>
      <c r="AP348" s="36" t="s">
        <v>1</v>
      </c>
      <c r="AQ348" s="51" t="s">
        <v>1</v>
      </c>
      <c r="AR348" s="36" t="s">
        <v>1</v>
      </c>
      <c r="AS348" s="47" t="s">
        <v>1</v>
      </c>
      <c r="AT348" s="36" t="s">
        <v>1</v>
      </c>
      <c r="AU348" s="47" t="s">
        <v>1</v>
      </c>
      <c r="AV348" s="36" t="s">
        <v>1</v>
      </c>
      <c r="AW348" s="47" t="s">
        <v>1</v>
      </c>
      <c r="AX348" s="36" t="s">
        <v>2065</v>
      </c>
      <c r="AY348" s="47" t="s">
        <v>2193</v>
      </c>
      <c r="AZ348" s="36" t="s">
        <v>1299</v>
      </c>
      <c r="BA348" s="47" t="s">
        <v>2193</v>
      </c>
      <c r="BB348" s="36" t="s">
        <v>2188</v>
      </c>
      <c r="BC348" s="47" t="s">
        <v>819</v>
      </c>
      <c r="BD348" s="36" t="s">
        <v>2189</v>
      </c>
      <c r="BE348" s="47" t="str">
        <f t="shared" si="12"/>
        <v>"Bairro"</v>
      </c>
    </row>
    <row r="349" spans="1:57" ht="6.65" customHeight="1" x14ac:dyDescent="0.4">
      <c r="A349" s="93">
        <v>349</v>
      </c>
      <c r="B349" s="74" t="s">
        <v>1146</v>
      </c>
      <c r="C349" s="44" t="s">
        <v>664</v>
      </c>
      <c r="D349" s="18" t="s">
        <v>744</v>
      </c>
      <c r="E349" s="48" t="s">
        <v>885</v>
      </c>
      <c r="F349" s="18" t="s">
        <v>820</v>
      </c>
      <c r="G349" s="48" t="s">
        <v>972</v>
      </c>
      <c r="H349" s="18" t="s">
        <v>1062</v>
      </c>
      <c r="I349" s="48" t="s">
        <v>885</v>
      </c>
      <c r="J349" s="18" t="s">
        <v>744</v>
      </c>
      <c r="K349" s="48" t="s">
        <v>1063</v>
      </c>
      <c r="L349" s="18" t="s">
        <v>1</v>
      </c>
      <c r="M349" s="20" t="s">
        <v>1</v>
      </c>
      <c r="N349" s="46" t="s">
        <v>82</v>
      </c>
      <c r="O349" s="25" t="str">
        <f t="shared" si="13"/>
        <v>"Bairro N° B.155 RA.28 Jacarezinho"</v>
      </c>
      <c r="P349" s="46" t="s">
        <v>1</v>
      </c>
      <c r="Q349" s="25" t="s">
        <v>1</v>
      </c>
      <c r="R349" s="46" t="s">
        <v>1</v>
      </c>
      <c r="S349" s="52" t="s">
        <v>1</v>
      </c>
      <c r="T349" s="46" t="s">
        <v>1</v>
      </c>
      <c r="U349" s="31" t="s">
        <v>1</v>
      </c>
      <c r="V349" s="46" t="s">
        <v>1</v>
      </c>
      <c r="W349" s="31" t="s">
        <v>1</v>
      </c>
      <c r="X349" s="46" t="s">
        <v>1</v>
      </c>
      <c r="Y349" s="31" t="s">
        <v>1</v>
      </c>
      <c r="Z349" s="46" t="s">
        <v>1</v>
      </c>
      <c r="AA349" s="31" t="s">
        <v>1</v>
      </c>
      <c r="AB349" s="46" t="s">
        <v>1</v>
      </c>
      <c r="AC349" s="47" t="s">
        <v>1</v>
      </c>
      <c r="AD349" s="36" t="s">
        <v>1</v>
      </c>
      <c r="AE349" s="51" t="s">
        <v>1</v>
      </c>
      <c r="AF349" s="36" t="s">
        <v>1</v>
      </c>
      <c r="AG349" s="51" t="s">
        <v>1</v>
      </c>
      <c r="AH349" s="36" t="s">
        <v>1</v>
      </c>
      <c r="AI349" s="51" t="s">
        <v>1</v>
      </c>
      <c r="AJ349" s="36" t="s">
        <v>1</v>
      </c>
      <c r="AK349" s="51" t="s">
        <v>1</v>
      </c>
      <c r="AL349" s="36" t="s">
        <v>1</v>
      </c>
      <c r="AM349" s="31" t="s">
        <v>1</v>
      </c>
      <c r="AN349" s="36" t="s">
        <v>1</v>
      </c>
      <c r="AO349" s="31" t="s">
        <v>1</v>
      </c>
      <c r="AP349" s="36" t="s">
        <v>1</v>
      </c>
      <c r="AQ349" s="51" t="s">
        <v>1</v>
      </c>
      <c r="AR349" s="36" t="s">
        <v>1</v>
      </c>
      <c r="AS349" s="47" t="s">
        <v>1</v>
      </c>
      <c r="AT349" s="36" t="s">
        <v>1</v>
      </c>
      <c r="AU349" s="47" t="s">
        <v>1</v>
      </c>
      <c r="AV349" s="36" t="s">
        <v>1</v>
      </c>
      <c r="AW349" s="47" t="s">
        <v>1</v>
      </c>
      <c r="AX349" s="36" t="s">
        <v>2065</v>
      </c>
      <c r="AY349" s="47" t="s">
        <v>2193</v>
      </c>
      <c r="AZ349" s="36" t="s">
        <v>1299</v>
      </c>
      <c r="BA349" s="47" t="s">
        <v>2193</v>
      </c>
      <c r="BB349" s="36" t="s">
        <v>2188</v>
      </c>
      <c r="BC349" s="47" t="s">
        <v>819</v>
      </c>
      <c r="BD349" s="36" t="s">
        <v>2189</v>
      </c>
      <c r="BE349" s="47" t="str">
        <f t="shared" si="12"/>
        <v>"Bairro"</v>
      </c>
    </row>
    <row r="350" spans="1:57" ht="6.65" customHeight="1" x14ac:dyDescent="0.4">
      <c r="A350" s="93">
        <v>350</v>
      </c>
      <c r="B350" s="74" t="s">
        <v>1147</v>
      </c>
      <c r="C350" s="44" t="s">
        <v>664</v>
      </c>
      <c r="D350" s="18" t="s">
        <v>744</v>
      </c>
      <c r="E350" s="48" t="s">
        <v>891</v>
      </c>
      <c r="F350" s="18" t="s">
        <v>820</v>
      </c>
      <c r="G350" s="48" t="s">
        <v>973</v>
      </c>
      <c r="H350" s="18" t="s">
        <v>1062</v>
      </c>
      <c r="I350" s="48" t="s">
        <v>891</v>
      </c>
      <c r="J350" s="18" t="s">
        <v>744</v>
      </c>
      <c r="K350" s="48" t="s">
        <v>1063</v>
      </c>
      <c r="L350" s="18" t="s">
        <v>1</v>
      </c>
      <c r="M350" s="20" t="s">
        <v>1</v>
      </c>
      <c r="N350" s="46" t="s">
        <v>82</v>
      </c>
      <c r="O350" s="25" t="str">
        <f t="shared" si="13"/>
        <v>"Bairro N° B.049 RA.31 Jardim.América"</v>
      </c>
      <c r="P350" s="46" t="s">
        <v>1</v>
      </c>
      <c r="Q350" s="25" t="s">
        <v>1</v>
      </c>
      <c r="R350" s="46" t="s">
        <v>1</v>
      </c>
      <c r="S350" s="52" t="s">
        <v>1</v>
      </c>
      <c r="T350" s="46" t="s">
        <v>1</v>
      </c>
      <c r="U350" s="31" t="s">
        <v>1</v>
      </c>
      <c r="V350" s="46" t="s">
        <v>1</v>
      </c>
      <c r="W350" s="31" t="s">
        <v>1</v>
      </c>
      <c r="X350" s="46" t="s">
        <v>1</v>
      </c>
      <c r="Y350" s="31" t="s">
        <v>1</v>
      </c>
      <c r="Z350" s="46" t="s">
        <v>1</v>
      </c>
      <c r="AA350" s="31" t="s">
        <v>1</v>
      </c>
      <c r="AB350" s="46" t="s">
        <v>1</v>
      </c>
      <c r="AC350" s="47" t="s">
        <v>1</v>
      </c>
      <c r="AD350" s="36" t="s">
        <v>1</v>
      </c>
      <c r="AE350" s="51" t="s">
        <v>1</v>
      </c>
      <c r="AF350" s="36" t="s">
        <v>1</v>
      </c>
      <c r="AG350" s="51" t="s">
        <v>1</v>
      </c>
      <c r="AH350" s="36" t="s">
        <v>1</v>
      </c>
      <c r="AI350" s="51" t="s">
        <v>1</v>
      </c>
      <c r="AJ350" s="36" t="s">
        <v>1</v>
      </c>
      <c r="AK350" s="51" t="s">
        <v>1</v>
      </c>
      <c r="AL350" s="36" t="s">
        <v>1</v>
      </c>
      <c r="AM350" s="31" t="s">
        <v>1</v>
      </c>
      <c r="AN350" s="36" t="s">
        <v>1</v>
      </c>
      <c r="AO350" s="31" t="s">
        <v>1</v>
      </c>
      <c r="AP350" s="36" t="s">
        <v>1</v>
      </c>
      <c r="AQ350" s="51" t="s">
        <v>1</v>
      </c>
      <c r="AR350" s="36" t="s">
        <v>1</v>
      </c>
      <c r="AS350" s="47" t="s">
        <v>1</v>
      </c>
      <c r="AT350" s="36" t="s">
        <v>1</v>
      </c>
      <c r="AU350" s="47" t="s">
        <v>1</v>
      </c>
      <c r="AV350" s="36" t="s">
        <v>1</v>
      </c>
      <c r="AW350" s="47" t="s">
        <v>1</v>
      </c>
      <c r="AX350" s="36" t="s">
        <v>2065</v>
      </c>
      <c r="AY350" s="47" t="s">
        <v>2193</v>
      </c>
      <c r="AZ350" s="36" t="s">
        <v>1299</v>
      </c>
      <c r="BA350" s="47" t="s">
        <v>2193</v>
      </c>
      <c r="BB350" s="36" t="s">
        <v>2188</v>
      </c>
      <c r="BC350" s="47" t="s">
        <v>819</v>
      </c>
      <c r="BD350" s="36" t="s">
        <v>2189</v>
      </c>
      <c r="BE350" s="47" t="str">
        <f t="shared" si="12"/>
        <v>"Bairro"</v>
      </c>
    </row>
    <row r="351" spans="1:57" ht="6.65" customHeight="1" x14ac:dyDescent="0.4">
      <c r="A351" s="93">
        <v>351</v>
      </c>
      <c r="B351" s="74" t="s">
        <v>1148</v>
      </c>
      <c r="C351" s="44" t="s">
        <v>664</v>
      </c>
      <c r="D351" s="18" t="s">
        <v>744</v>
      </c>
      <c r="E351" s="48" t="s">
        <v>841</v>
      </c>
      <c r="F351" s="18" t="s">
        <v>820</v>
      </c>
      <c r="G351" s="48" t="s">
        <v>974</v>
      </c>
      <c r="H351" s="18" t="s">
        <v>1062</v>
      </c>
      <c r="I351" s="48" t="s">
        <v>841</v>
      </c>
      <c r="J351" s="18" t="s">
        <v>744</v>
      </c>
      <c r="K351" s="48" t="s">
        <v>1086</v>
      </c>
      <c r="L351" s="18" t="s">
        <v>1</v>
      </c>
      <c r="M351" s="20" t="s">
        <v>1</v>
      </c>
      <c r="N351" s="46" t="s">
        <v>82</v>
      </c>
      <c r="O351" s="25" t="str">
        <f t="shared" si="13"/>
        <v>"Bairro N° B.028 RA.06 Jardim.Botânico"</v>
      </c>
      <c r="P351" s="46" t="s">
        <v>1</v>
      </c>
      <c r="Q351" s="25" t="s">
        <v>1</v>
      </c>
      <c r="R351" s="46" t="s">
        <v>1</v>
      </c>
      <c r="S351" s="52" t="s">
        <v>1</v>
      </c>
      <c r="T351" s="46" t="s">
        <v>1</v>
      </c>
      <c r="U351" s="31" t="s">
        <v>1</v>
      </c>
      <c r="V351" s="46" t="s">
        <v>1</v>
      </c>
      <c r="W351" s="31" t="s">
        <v>1</v>
      </c>
      <c r="X351" s="46" t="s">
        <v>1</v>
      </c>
      <c r="Y351" s="31" t="s">
        <v>1</v>
      </c>
      <c r="Z351" s="46" t="s">
        <v>1</v>
      </c>
      <c r="AA351" s="31" t="s">
        <v>1</v>
      </c>
      <c r="AB351" s="46" t="s">
        <v>1</v>
      </c>
      <c r="AC351" s="47" t="s">
        <v>1</v>
      </c>
      <c r="AD351" s="36" t="s">
        <v>1</v>
      </c>
      <c r="AE351" s="51" t="s">
        <v>1</v>
      </c>
      <c r="AF351" s="36" t="s">
        <v>1</v>
      </c>
      <c r="AG351" s="51" t="s">
        <v>1</v>
      </c>
      <c r="AH351" s="36" t="s">
        <v>1</v>
      </c>
      <c r="AI351" s="51" t="s">
        <v>1</v>
      </c>
      <c r="AJ351" s="36" t="s">
        <v>1</v>
      </c>
      <c r="AK351" s="51" t="s">
        <v>1</v>
      </c>
      <c r="AL351" s="36" t="s">
        <v>1</v>
      </c>
      <c r="AM351" s="31" t="s">
        <v>1</v>
      </c>
      <c r="AN351" s="36" t="s">
        <v>1</v>
      </c>
      <c r="AO351" s="31" t="s">
        <v>1</v>
      </c>
      <c r="AP351" s="36" t="s">
        <v>1</v>
      </c>
      <c r="AQ351" s="51" t="s">
        <v>1</v>
      </c>
      <c r="AR351" s="36" t="s">
        <v>1</v>
      </c>
      <c r="AS351" s="47" t="s">
        <v>1</v>
      </c>
      <c r="AT351" s="36" t="s">
        <v>1</v>
      </c>
      <c r="AU351" s="47" t="s">
        <v>1</v>
      </c>
      <c r="AV351" s="36" t="s">
        <v>1</v>
      </c>
      <c r="AW351" s="47" t="s">
        <v>1</v>
      </c>
      <c r="AX351" s="36" t="s">
        <v>2065</v>
      </c>
      <c r="AY351" s="47" t="s">
        <v>2193</v>
      </c>
      <c r="AZ351" s="36" t="s">
        <v>1299</v>
      </c>
      <c r="BA351" s="47" t="s">
        <v>2193</v>
      </c>
      <c r="BB351" s="36" t="s">
        <v>2188</v>
      </c>
      <c r="BC351" s="47" t="s">
        <v>819</v>
      </c>
      <c r="BD351" s="36" t="s">
        <v>2189</v>
      </c>
      <c r="BE351" s="47" t="str">
        <f t="shared" si="12"/>
        <v>"Bairro"</v>
      </c>
    </row>
    <row r="352" spans="1:57" ht="6.65" customHeight="1" x14ac:dyDescent="0.4">
      <c r="A352" s="93">
        <v>352</v>
      </c>
      <c r="B352" s="74" t="s">
        <v>1149</v>
      </c>
      <c r="C352" s="44" t="s">
        <v>664</v>
      </c>
      <c r="D352" s="18" t="s">
        <v>744</v>
      </c>
      <c r="E352" s="48" t="s">
        <v>869</v>
      </c>
      <c r="F352" s="18" t="s">
        <v>820</v>
      </c>
      <c r="G352" s="48" t="s">
        <v>975</v>
      </c>
      <c r="H352" s="18" t="s">
        <v>1062</v>
      </c>
      <c r="I352" s="48" t="s">
        <v>869</v>
      </c>
      <c r="J352" s="18" t="s">
        <v>744</v>
      </c>
      <c r="K352" s="48" t="s">
        <v>1073</v>
      </c>
      <c r="L352" s="18" t="s">
        <v>1</v>
      </c>
      <c r="M352" s="20" t="s">
        <v>1</v>
      </c>
      <c r="N352" s="46" t="s">
        <v>82</v>
      </c>
      <c r="O352" s="25" t="str">
        <f t="shared" si="13"/>
        <v>"Bairro N° B.100 RA.20 Jardim.Carioca"</v>
      </c>
      <c r="P352" s="46" t="s">
        <v>1</v>
      </c>
      <c r="Q352" s="25" t="s">
        <v>1</v>
      </c>
      <c r="R352" s="46" t="s">
        <v>1</v>
      </c>
      <c r="S352" s="52" t="s">
        <v>1</v>
      </c>
      <c r="T352" s="46" t="s">
        <v>1</v>
      </c>
      <c r="U352" s="31" t="s">
        <v>1</v>
      </c>
      <c r="V352" s="46" t="s">
        <v>1</v>
      </c>
      <c r="W352" s="31" t="s">
        <v>1</v>
      </c>
      <c r="X352" s="46" t="s">
        <v>1</v>
      </c>
      <c r="Y352" s="31" t="s">
        <v>1</v>
      </c>
      <c r="Z352" s="46" t="s">
        <v>1</v>
      </c>
      <c r="AA352" s="31" t="s">
        <v>1</v>
      </c>
      <c r="AB352" s="46" t="s">
        <v>1</v>
      </c>
      <c r="AC352" s="47" t="s">
        <v>1</v>
      </c>
      <c r="AD352" s="36" t="s">
        <v>1</v>
      </c>
      <c r="AE352" s="51" t="s">
        <v>1</v>
      </c>
      <c r="AF352" s="36" t="s">
        <v>1</v>
      </c>
      <c r="AG352" s="51" t="s">
        <v>1</v>
      </c>
      <c r="AH352" s="36" t="s">
        <v>1</v>
      </c>
      <c r="AI352" s="51" t="s">
        <v>1</v>
      </c>
      <c r="AJ352" s="36" t="s">
        <v>1</v>
      </c>
      <c r="AK352" s="51" t="s">
        <v>1</v>
      </c>
      <c r="AL352" s="36" t="s">
        <v>1</v>
      </c>
      <c r="AM352" s="31" t="s">
        <v>1</v>
      </c>
      <c r="AN352" s="36" t="s">
        <v>1</v>
      </c>
      <c r="AO352" s="31" t="s">
        <v>1</v>
      </c>
      <c r="AP352" s="36" t="s">
        <v>1</v>
      </c>
      <c r="AQ352" s="51" t="s">
        <v>1</v>
      </c>
      <c r="AR352" s="36" t="s">
        <v>1</v>
      </c>
      <c r="AS352" s="47" t="s">
        <v>1</v>
      </c>
      <c r="AT352" s="36" t="s">
        <v>1</v>
      </c>
      <c r="AU352" s="47" t="s">
        <v>1</v>
      </c>
      <c r="AV352" s="36" t="s">
        <v>1</v>
      </c>
      <c r="AW352" s="47" t="s">
        <v>1</v>
      </c>
      <c r="AX352" s="36" t="s">
        <v>2065</v>
      </c>
      <c r="AY352" s="47" t="s">
        <v>2193</v>
      </c>
      <c r="AZ352" s="36" t="s">
        <v>1299</v>
      </c>
      <c r="BA352" s="47" t="s">
        <v>2193</v>
      </c>
      <c r="BB352" s="36" t="s">
        <v>2188</v>
      </c>
      <c r="BC352" s="47" t="s">
        <v>819</v>
      </c>
      <c r="BD352" s="36" t="s">
        <v>2189</v>
      </c>
      <c r="BE352" s="47" t="str">
        <f t="shared" si="12"/>
        <v>"Bairro"</v>
      </c>
    </row>
    <row r="353" spans="1:57" ht="6.65" customHeight="1" x14ac:dyDescent="0.4">
      <c r="A353" s="93">
        <v>353</v>
      </c>
      <c r="B353" s="74" t="s">
        <v>1150</v>
      </c>
      <c r="C353" s="44" t="s">
        <v>664</v>
      </c>
      <c r="D353" s="18" t="s">
        <v>744</v>
      </c>
      <c r="E353" s="48" t="s">
        <v>869</v>
      </c>
      <c r="F353" s="18" t="s">
        <v>820</v>
      </c>
      <c r="G353" s="48" t="s">
        <v>976</v>
      </c>
      <c r="H353" s="18" t="s">
        <v>1062</v>
      </c>
      <c r="I353" s="48" t="s">
        <v>869</v>
      </c>
      <c r="J353" s="18" t="s">
        <v>744</v>
      </c>
      <c r="K353" s="48" t="s">
        <v>1073</v>
      </c>
      <c r="L353" s="18" t="s">
        <v>1</v>
      </c>
      <c r="M353" s="20" t="s">
        <v>1</v>
      </c>
      <c r="N353" s="46" t="s">
        <v>82</v>
      </c>
      <c r="O353" s="25" t="str">
        <f t="shared" si="13"/>
        <v>"Bairro N° B.099 RA.20 Jardim.Guanabara"</v>
      </c>
      <c r="P353" s="46" t="s">
        <v>1</v>
      </c>
      <c r="Q353" s="25" t="s">
        <v>1</v>
      </c>
      <c r="R353" s="46" t="s">
        <v>1</v>
      </c>
      <c r="S353" s="52" t="s">
        <v>1</v>
      </c>
      <c r="T353" s="46" t="s">
        <v>1</v>
      </c>
      <c r="U353" s="31" t="s">
        <v>1</v>
      </c>
      <c r="V353" s="46" t="s">
        <v>1</v>
      </c>
      <c r="W353" s="31" t="s">
        <v>1</v>
      </c>
      <c r="X353" s="46" t="s">
        <v>1</v>
      </c>
      <c r="Y353" s="31" t="s">
        <v>1</v>
      </c>
      <c r="Z353" s="46" t="s">
        <v>1</v>
      </c>
      <c r="AA353" s="31" t="s">
        <v>1</v>
      </c>
      <c r="AB353" s="46" t="s">
        <v>1</v>
      </c>
      <c r="AC353" s="47" t="s">
        <v>1</v>
      </c>
      <c r="AD353" s="36" t="s">
        <v>1</v>
      </c>
      <c r="AE353" s="51" t="s">
        <v>1</v>
      </c>
      <c r="AF353" s="36" t="s">
        <v>1</v>
      </c>
      <c r="AG353" s="51" t="s">
        <v>1</v>
      </c>
      <c r="AH353" s="36" t="s">
        <v>1</v>
      </c>
      <c r="AI353" s="51" t="s">
        <v>1</v>
      </c>
      <c r="AJ353" s="36" t="s">
        <v>1</v>
      </c>
      <c r="AK353" s="51" t="s">
        <v>1</v>
      </c>
      <c r="AL353" s="36" t="s">
        <v>1</v>
      </c>
      <c r="AM353" s="31" t="s">
        <v>1</v>
      </c>
      <c r="AN353" s="36" t="s">
        <v>1</v>
      </c>
      <c r="AO353" s="31" t="s">
        <v>1</v>
      </c>
      <c r="AP353" s="36" t="s">
        <v>1</v>
      </c>
      <c r="AQ353" s="51" t="s">
        <v>1</v>
      </c>
      <c r="AR353" s="36" t="s">
        <v>1</v>
      </c>
      <c r="AS353" s="47" t="s">
        <v>1</v>
      </c>
      <c r="AT353" s="36" t="s">
        <v>1</v>
      </c>
      <c r="AU353" s="47" t="s">
        <v>1</v>
      </c>
      <c r="AV353" s="36" t="s">
        <v>1</v>
      </c>
      <c r="AW353" s="47" t="s">
        <v>1</v>
      </c>
      <c r="AX353" s="36" t="s">
        <v>2065</v>
      </c>
      <c r="AY353" s="47" t="s">
        <v>2193</v>
      </c>
      <c r="AZ353" s="36" t="s">
        <v>1299</v>
      </c>
      <c r="BA353" s="47" t="s">
        <v>2193</v>
      </c>
      <c r="BB353" s="36" t="s">
        <v>2188</v>
      </c>
      <c r="BC353" s="47" t="s">
        <v>819</v>
      </c>
      <c r="BD353" s="36" t="s">
        <v>2189</v>
      </c>
      <c r="BE353" s="47" t="str">
        <f t="shared" si="12"/>
        <v>"Bairro"</v>
      </c>
    </row>
    <row r="354" spans="1:57" ht="6.65" customHeight="1" x14ac:dyDescent="0.4">
      <c r="A354" s="93">
        <v>354</v>
      </c>
      <c r="B354" s="74" t="s">
        <v>1151</v>
      </c>
      <c r="C354" s="44" t="s">
        <v>664</v>
      </c>
      <c r="D354" s="18" t="s">
        <v>744</v>
      </c>
      <c r="E354" s="48" t="s">
        <v>893</v>
      </c>
      <c r="F354" s="18" t="s">
        <v>820</v>
      </c>
      <c r="G354" s="48" t="s">
        <v>977</v>
      </c>
      <c r="H354" s="18" t="s">
        <v>1062</v>
      </c>
      <c r="I354" s="48" t="s">
        <v>893</v>
      </c>
      <c r="J354" s="18" t="s">
        <v>744</v>
      </c>
      <c r="K354" s="48" t="s">
        <v>1075</v>
      </c>
      <c r="L354" s="18" t="s">
        <v>1</v>
      </c>
      <c r="M354" s="20" t="s">
        <v>1</v>
      </c>
      <c r="N354" s="46" t="s">
        <v>82</v>
      </c>
      <c r="O354" s="25" t="str">
        <f t="shared" si="13"/>
        <v>"Bairro N° B.137 RA.32 Jardim.Sulacap"</v>
      </c>
      <c r="P354" s="46" t="s">
        <v>1</v>
      </c>
      <c r="Q354" s="25" t="s">
        <v>1</v>
      </c>
      <c r="R354" s="46" t="s">
        <v>1</v>
      </c>
      <c r="S354" s="52" t="s">
        <v>1</v>
      </c>
      <c r="T354" s="46" t="s">
        <v>1</v>
      </c>
      <c r="U354" s="31" t="s">
        <v>1</v>
      </c>
      <c r="V354" s="46" t="s">
        <v>1</v>
      </c>
      <c r="W354" s="31" t="s">
        <v>1</v>
      </c>
      <c r="X354" s="46" t="s">
        <v>1</v>
      </c>
      <c r="Y354" s="31" t="s">
        <v>1</v>
      </c>
      <c r="Z354" s="46" t="s">
        <v>1</v>
      </c>
      <c r="AA354" s="31" t="s">
        <v>1</v>
      </c>
      <c r="AB354" s="46" t="s">
        <v>1</v>
      </c>
      <c r="AC354" s="47" t="s">
        <v>1</v>
      </c>
      <c r="AD354" s="36" t="s">
        <v>1</v>
      </c>
      <c r="AE354" s="51" t="s">
        <v>1</v>
      </c>
      <c r="AF354" s="36" t="s">
        <v>1</v>
      </c>
      <c r="AG354" s="51" t="s">
        <v>1</v>
      </c>
      <c r="AH354" s="36" t="s">
        <v>1</v>
      </c>
      <c r="AI354" s="51" t="s">
        <v>1</v>
      </c>
      <c r="AJ354" s="36" t="s">
        <v>1</v>
      </c>
      <c r="AK354" s="51" t="s">
        <v>1</v>
      </c>
      <c r="AL354" s="36" t="s">
        <v>1</v>
      </c>
      <c r="AM354" s="31" t="s">
        <v>1</v>
      </c>
      <c r="AN354" s="36" t="s">
        <v>1</v>
      </c>
      <c r="AO354" s="31" t="s">
        <v>1</v>
      </c>
      <c r="AP354" s="36" t="s">
        <v>1</v>
      </c>
      <c r="AQ354" s="51" t="s">
        <v>1</v>
      </c>
      <c r="AR354" s="36" t="s">
        <v>1</v>
      </c>
      <c r="AS354" s="47" t="s">
        <v>1</v>
      </c>
      <c r="AT354" s="36" t="s">
        <v>1</v>
      </c>
      <c r="AU354" s="47" t="s">
        <v>1</v>
      </c>
      <c r="AV354" s="36" t="s">
        <v>1</v>
      </c>
      <c r="AW354" s="47" t="s">
        <v>1</v>
      </c>
      <c r="AX354" s="36" t="s">
        <v>2065</v>
      </c>
      <c r="AY354" s="47" t="s">
        <v>2193</v>
      </c>
      <c r="AZ354" s="36" t="s">
        <v>1299</v>
      </c>
      <c r="BA354" s="47" t="s">
        <v>2193</v>
      </c>
      <c r="BB354" s="36" t="s">
        <v>2188</v>
      </c>
      <c r="BC354" s="47" t="s">
        <v>819</v>
      </c>
      <c r="BD354" s="36" t="s">
        <v>2189</v>
      </c>
      <c r="BE354" s="47" t="str">
        <f t="shared" si="12"/>
        <v>"Bairro"</v>
      </c>
    </row>
    <row r="355" spans="1:57" ht="6.65" customHeight="1" x14ac:dyDescent="0.4">
      <c r="A355" s="93">
        <v>355</v>
      </c>
      <c r="B355" s="74" t="s">
        <v>1152</v>
      </c>
      <c r="C355" s="44" t="s">
        <v>664</v>
      </c>
      <c r="D355" s="18" t="s">
        <v>744</v>
      </c>
      <c r="E355" s="48" t="s">
        <v>877</v>
      </c>
      <c r="F355" s="18" t="s">
        <v>820</v>
      </c>
      <c r="G355" s="48" t="s">
        <v>978</v>
      </c>
      <c r="H355" s="18" t="s">
        <v>1062</v>
      </c>
      <c r="I355" s="48" t="s">
        <v>877</v>
      </c>
      <c r="J355" s="18" t="s">
        <v>744</v>
      </c>
      <c r="K355" s="48" t="s">
        <v>1077</v>
      </c>
      <c r="L355" s="18" t="s">
        <v>1</v>
      </c>
      <c r="M355" s="20" t="s">
        <v>1</v>
      </c>
      <c r="N355" s="46" t="s">
        <v>82</v>
      </c>
      <c r="O355" s="25" t="str">
        <f t="shared" si="13"/>
        <v>"Bairro N° B.126 RA.24 Joá"</v>
      </c>
      <c r="P355" s="46" t="s">
        <v>1</v>
      </c>
      <c r="Q355" s="25" t="s">
        <v>1</v>
      </c>
      <c r="R355" s="46" t="s">
        <v>1</v>
      </c>
      <c r="S355" s="52" t="s">
        <v>1</v>
      </c>
      <c r="T355" s="46" t="s">
        <v>1</v>
      </c>
      <c r="U355" s="31" t="s">
        <v>1</v>
      </c>
      <c r="V355" s="46" t="s">
        <v>1</v>
      </c>
      <c r="W355" s="31" t="s">
        <v>1</v>
      </c>
      <c r="X355" s="46" t="s">
        <v>1</v>
      </c>
      <c r="Y355" s="31" t="s">
        <v>1</v>
      </c>
      <c r="Z355" s="46" t="s">
        <v>1</v>
      </c>
      <c r="AA355" s="31" t="s">
        <v>1</v>
      </c>
      <c r="AB355" s="46" t="s">
        <v>1</v>
      </c>
      <c r="AC355" s="47" t="s">
        <v>1</v>
      </c>
      <c r="AD355" s="36" t="s">
        <v>1</v>
      </c>
      <c r="AE355" s="51" t="s">
        <v>1</v>
      </c>
      <c r="AF355" s="36" t="s">
        <v>1</v>
      </c>
      <c r="AG355" s="51" t="s">
        <v>1</v>
      </c>
      <c r="AH355" s="36" t="s">
        <v>1</v>
      </c>
      <c r="AI355" s="51" t="s">
        <v>1</v>
      </c>
      <c r="AJ355" s="36" t="s">
        <v>1</v>
      </c>
      <c r="AK355" s="51" t="s">
        <v>1</v>
      </c>
      <c r="AL355" s="36" t="s">
        <v>1</v>
      </c>
      <c r="AM355" s="31" t="s">
        <v>1</v>
      </c>
      <c r="AN355" s="36" t="s">
        <v>1</v>
      </c>
      <c r="AO355" s="31" t="s">
        <v>1</v>
      </c>
      <c r="AP355" s="36" t="s">
        <v>1</v>
      </c>
      <c r="AQ355" s="51" t="s">
        <v>1</v>
      </c>
      <c r="AR355" s="36" t="s">
        <v>1</v>
      </c>
      <c r="AS355" s="47" t="s">
        <v>1</v>
      </c>
      <c r="AT355" s="36" t="s">
        <v>1</v>
      </c>
      <c r="AU355" s="47" t="s">
        <v>1</v>
      </c>
      <c r="AV355" s="36" t="s">
        <v>1</v>
      </c>
      <c r="AW355" s="47" t="s">
        <v>1</v>
      </c>
      <c r="AX355" s="36" t="s">
        <v>2065</v>
      </c>
      <c r="AY355" s="47" t="s">
        <v>2193</v>
      </c>
      <c r="AZ355" s="36" t="s">
        <v>1299</v>
      </c>
      <c r="BA355" s="47" t="s">
        <v>2193</v>
      </c>
      <c r="BB355" s="36" t="s">
        <v>2188</v>
      </c>
      <c r="BC355" s="47" t="s">
        <v>819</v>
      </c>
      <c r="BD355" s="36" t="s">
        <v>2189</v>
      </c>
      <c r="BE355" s="47" t="str">
        <f t="shared" si="12"/>
        <v>"Bairro"</v>
      </c>
    </row>
    <row r="356" spans="1:57" ht="6.65" customHeight="1" x14ac:dyDescent="0.4">
      <c r="A356" s="93">
        <v>356</v>
      </c>
      <c r="B356" s="74" t="s">
        <v>1153</v>
      </c>
      <c r="C356" s="44" t="s">
        <v>664</v>
      </c>
      <c r="D356" s="18" t="s">
        <v>744</v>
      </c>
      <c r="E356" s="48" t="s">
        <v>841</v>
      </c>
      <c r="F356" s="18" t="s">
        <v>820</v>
      </c>
      <c r="G356" s="48" t="s">
        <v>979</v>
      </c>
      <c r="H356" s="18" t="s">
        <v>1062</v>
      </c>
      <c r="I356" s="48" t="s">
        <v>841</v>
      </c>
      <c r="J356" s="18" t="s">
        <v>744</v>
      </c>
      <c r="K356" s="48" t="s">
        <v>1086</v>
      </c>
      <c r="L356" s="18" t="s">
        <v>1</v>
      </c>
      <c r="M356" s="20" t="s">
        <v>1</v>
      </c>
      <c r="N356" s="46" t="s">
        <v>82</v>
      </c>
      <c r="O356" s="25" t="str">
        <f t="shared" si="13"/>
        <v>"Bairro N° B.027 RA.06 Lagoa"</v>
      </c>
      <c r="P356" s="46" t="s">
        <v>1</v>
      </c>
      <c r="Q356" s="25" t="s">
        <v>1</v>
      </c>
      <c r="R356" s="46" t="s">
        <v>1</v>
      </c>
      <c r="S356" s="52" t="s">
        <v>1</v>
      </c>
      <c r="T356" s="46" t="s">
        <v>1</v>
      </c>
      <c r="U356" s="31" t="s">
        <v>1</v>
      </c>
      <c r="V356" s="46" t="s">
        <v>1</v>
      </c>
      <c r="W356" s="31" t="s">
        <v>1</v>
      </c>
      <c r="X356" s="46" t="s">
        <v>1</v>
      </c>
      <c r="Y356" s="31" t="s">
        <v>1</v>
      </c>
      <c r="Z356" s="46" t="s">
        <v>1</v>
      </c>
      <c r="AA356" s="31" t="s">
        <v>1</v>
      </c>
      <c r="AB356" s="46" t="s">
        <v>1</v>
      </c>
      <c r="AC356" s="47" t="s">
        <v>1</v>
      </c>
      <c r="AD356" s="36" t="s">
        <v>1</v>
      </c>
      <c r="AE356" s="51" t="s">
        <v>1</v>
      </c>
      <c r="AF356" s="36" t="s">
        <v>1</v>
      </c>
      <c r="AG356" s="51" t="s">
        <v>1</v>
      </c>
      <c r="AH356" s="36" t="s">
        <v>1</v>
      </c>
      <c r="AI356" s="51" t="s">
        <v>1</v>
      </c>
      <c r="AJ356" s="36" t="s">
        <v>1</v>
      </c>
      <c r="AK356" s="51" t="s">
        <v>1</v>
      </c>
      <c r="AL356" s="36" t="s">
        <v>1</v>
      </c>
      <c r="AM356" s="31" t="s">
        <v>1</v>
      </c>
      <c r="AN356" s="36" t="s">
        <v>1</v>
      </c>
      <c r="AO356" s="31" t="s">
        <v>1</v>
      </c>
      <c r="AP356" s="36" t="s">
        <v>1</v>
      </c>
      <c r="AQ356" s="51" t="s">
        <v>1</v>
      </c>
      <c r="AR356" s="36" t="s">
        <v>1</v>
      </c>
      <c r="AS356" s="47" t="s">
        <v>1</v>
      </c>
      <c r="AT356" s="36" t="s">
        <v>1</v>
      </c>
      <c r="AU356" s="47" t="s">
        <v>1</v>
      </c>
      <c r="AV356" s="36" t="s">
        <v>1</v>
      </c>
      <c r="AW356" s="47" t="s">
        <v>1</v>
      </c>
      <c r="AX356" s="36" t="s">
        <v>2065</v>
      </c>
      <c r="AY356" s="47" t="s">
        <v>2193</v>
      </c>
      <c r="AZ356" s="36" t="s">
        <v>1299</v>
      </c>
      <c r="BA356" s="47" t="s">
        <v>2193</v>
      </c>
      <c r="BB356" s="36" t="s">
        <v>2188</v>
      </c>
      <c r="BC356" s="47" t="s">
        <v>819</v>
      </c>
      <c r="BD356" s="36" t="s">
        <v>2189</v>
      </c>
      <c r="BE356" s="47" t="str">
        <f t="shared" si="12"/>
        <v>"Bairro"</v>
      </c>
    </row>
    <row r="357" spans="1:57" ht="6.65" customHeight="1" x14ac:dyDescent="0.4">
      <c r="A357" s="93">
        <v>357</v>
      </c>
      <c r="B357" s="74" t="s">
        <v>1154</v>
      </c>
      <c r="C357" s="44" t="s">
        <v>664</v>
      </c>
      <c r="D357" s="18" t="s">
        <v>744</v>
      </c>
      <c r="E357" s="48" t="s">
        <v>833</v>
      </c>
      <c r="F357" s="18" t="s">
        <v>820</v>
      </c>
      <c r="G357" s="48" t="s">
        <v>980</v>
      </c>
      <c r="H357" s="18" t="s">
        <v>1062</v>
      </c>
      <c r="I357" s="48" t="s">
        <v>833</v>
      </c>
      <c r="J357" s="18" t="s">
        <v>744</v>
      </c>
      <c r="K357" s="48" t="s">
        <v>1082</v>
      </c>
      <c r="L357" s="18" t="s">
        <v>1</v>
      </c>
      <c r="M357" s="20" t="s">
        <v>1</v>
      </c>
      <c r="N357" s="46" t="s">
        <v>82</v>
      </c>
      <c r="O357" s="25" t="str">
        <f t="shared" si="13"/>
        <v>"Bairro N° B.161 RA.02 Lapa"</v>
      </c>
      <c r="P357" s="46" t="s">
        <v>1</v>
      </c>
      <c r="Q357" s="25" t="s">
        <v>1</v>
      </c>
      <c r="R357" s="46" t="s">
        <v>1</v>
      </c>
      <c r="S357" s="52" t="s">
        <v>1</v>
      </c>
      <c r="T357" s="46" t="s">
        <v>1</v>
      </c>
      <c r="U357" s="31" t="s">
        <v>1</v>
      </c>
      <c r="V357" s="46" t="s">
        <v>1</v>
      </c>
      <c r="W357" s="31" t="s">
        <v>1</v>
      </c>
      <c r="X357" s="46" t="s">
        <v>1</v>
      </c>
      <c r="Y357" s="31" t="s">
        <v>1</v>
      </c>
      <c r="Z357" s="46" t="s">
        <v>1</v>
      </c>
      <c r="AA357" s="31" t="s">
        <v>1</v>
      </c>
      <c r="AB357" s="46" t="s">
        <v>1</v>
      </c>
      <c r="AC357" s="47" t="s">
        <v>1</v>
      </c>
      <c r="AD357" s="36" t="s">
        <v>1</v>
      </c>
      <c r="AE357" s="51" t="s">
        <v>1</v>
      </c>
      <c r="AF357" s="36" t="s">
        <v>1</v>
      </c>
      <c r="AG357" s="51" t="s">
        <v>1</v>
      </c>
      <c r="AH357" s="36" t="s">
        <v>1</v>
      </c>
      <c r="AI357" s="51" t="s">
        <v>1</v>
      </c>
      <c r="AJ357" s="36" t="s">
        <v>1</v>
      </c>
      <c r="AK357" s="51" t="s">
        <v>1</v>
      </c>
      <c r="AL357" s="36" t="s">
        <v>1</v>
      </c>
      <c r="AM357" s="31" t="s">
        <v>1</v>
      </c>
      <c r="AN357" s="36" t="s">
        <v>1</v>
      </c>
      <c r="AO357" s="31" t="s">
        <v>1</v>
      </c>
      <c r="AP357" s="36" t="s">
        <v>1</v>
      </c>
      <c r="AQ357" s="51" t="s">
        <v>1</v>
      </c>
      <c r="AR357" s="36" t="s">
        <v>1</v>
      </c>
      <c r="AS357" s="47" t="s">
        <v>1</v>
      </c>
      <c r="AT357" s="36" t="s">
        <v>1</v>
      </c>
      <c r="AU357" s="47" t="s">
        <v>1</v>
      </c>
      <c r="AV357" s="36" t="s">
        <v>1</v>
      </c>
      <c r="AW357" s="47" t="s">
        <v>1</v>
      </c>
      <c r="AX357" s="36" t="s">
        <v>2065</v>
      </c>
      <c r="AY357" s="47" t="s">
        <v>2193</v>
      </c>
      <c r="AZ357" s="36" t="s">
        <v>1299</v>
      </c>
      <c r="BA357" s="47" t="s">
        <v>2193</v>
      </c>
      <c r="BB357" s="36" t="s">
        <v>2188</v>
      </c>
      <c r="BC357" s="47" t="s">
        <v>819</v>
      </c>
      <c r="BD357" s="36" t="s">
        <v>2189</v>
      </c>
      <c r="BE357" s="47" t="str">
        <f t="shared" si="12"/>
        <v>"Bairro"</v>
      </c>
    </row>
    <row r="358" spans="1:57" ht="6.65" customHeight="1" x14ac:dyDescent="0.4">
      <c r="A358" s="93">
        <v>358</v>
      </c>
      <c r="B358" s="74" t="s">
        <v>1155</v>
      </c>
      <c r="C358" s="44" t="s">
        <v>664</v>
      </c>
      <c r="D358" s="18" t="s">
        <v>744</v>
      </c>
      <c r="E358" s="48" t="s">
        <v>837</v>
      </c>
      <c r="F358" s="18" t="s">
        <v>820</v>
      </c>
      <c r="G358" s="48" t="s">
        <v>981</v>
      </c>
      <c r="H358" s="18" t="s">
        <v>1062</v>
      </c>
      <c r="I358" s="48" t="s">
        <v>837</v>
      </c>
      <c r="J358" s="18" t="s">
        <v>744</v>
      </c>
      <c r="K358" s="48" t="s">
        <v>1086</v>
      </c>
      <c r="L358" s="18" t="s">
        <v>1</v>
      </c>
      <c r="M358" s="20" t="s">
        <v>1</v>
      </c>
      <c r="N358" s="46" t="s">
        <v>82</v>
      </c>
      <c r="O358" s="25" t="str">
        <f t="shared" si="13"/>
        <v>"Bairro N° B.017 RA.04 Laranjeiras"</v>
      </c>
      <c r="P358" s="46" t="s">
        <v>1</v>
      </c>
      <c r="Q358" s="25" t="s">
        <v>1</v>
      </c>
      <c r="R358" s="46" t="s">
        <v>1</v>
      </c>
      <c r="S358" s="52" t="s">
        <v>1</v>
      </c>
      <c r="T358" s="46" t="s">
        <v>1</v>
      </c>
      <c r="U358" s="31" t="s">
        <v>1</v>
      </c>
      <c r="V358" s="46" t="s">
        <v>1</v>
      </c>
      <c r="W358" s="31" t="s">
        <v>1</v>
      </c>
      <c r="X358" s="46" t="s">
        <v>1</v>
      </c>
      <c r="Y358" s="31" t="s">
        <v>1</v>
      </c>
      <c r="Z358" s="46" t="s">
        <v>1</v>
      </c>
      <c r="AA358" s="31" t="s">
        <v>1</v>
      </c>
      <c r="AB358" s="46" t="s">
        <v>1</v>
      </c>
      <c r="AC358" s="47" t="s">
        <v>1</v>
      </c>
      <c r="AD358" s="36" t="s">
        <v>1</v>
      </c>
      <c r="AE358" s="51" t="s">
        <v>1</v>
      </c>
      <c r="AF358" s="36" t="s">
        <v>1</v>
      </c>
      <c r="AG358" s="51" t="s">
        <v>1</v>
      </c>
      <c r="AH358" s="36" t="s">
        <v>1</v>
      </c>
      <c r="AI358" s="51" t="s">
        <v>1</v>
      </c>
      <c r="AJ358" s="36" t="s">
        <v>1</v>
      </c>
      <c r="AK358" s="51" t="s">
        <v>1</v>
      </c>
      <c r="AL358" s="36" t="s">
        <v>1</v>
      </c>
      <c r="AM358" s="31" t="s">
        <v>1</v>
      </c>
      <c r="AN358" s="36" t="s">
        <v>1</v>
      </c>
      <c r="AO358" s="31" t="s">
        <v>1</v>
      </c>
      <c r="AP358" s="36" t="s">
        <v>1</v>
      </c>
      <c r="AQ358" s="51" t="s">
        <v>1</v>
      </c>
      <c r="AR358" s="36" t="s">
        <v>1</v>
      </c>
      <c r="AS358" s="47" t="s">
        <v>1</v>
      </c>
      <c r="AT358" s="36" t="s">
        <v>1</v>
      </c>
      <c r="AU358" s="47" t="s">
        <v>1</v>
      </c>
      <c r="AV358" s="36" t="s">
        <v>1</v>
      </c>
      <c r="AW358" s="47" t="s">
        <v>1</v>
      </c>
      <c r="AX358" s="36" t="s">
        <v>2065</v>
      </c>
      <c r="AY358" s="47" t="s">
        <v>2193</v>
      </c>
      <c r="AZ358" s="36" t="s">
        <v>1299</v>
      </c>
      <c r="BA358" s="47" t="s">
        <v>2193</v>
      </c>
      <c r="BB358" s="36" t="s">
        <v>2188</v>
      </c>
      <c r="BC358" s="47" t="s">
        <v>819</v>
      </c>
      <c r="BD358" s="36" t="s">
        <v>2189</v>
      </c>
      <c r="BE358" s="47" t="str">
        <f t="shared" si="12"/>
        <v>"Bairro"</v>
      </c>
    </row>
    <row r="359" spans="1:57" ht="6.65" customHeight="1" x14ac:dyDescent="0.4">
      <c r="A359" s="93">
        <v>359</v>
      </c>
      <c r="B359" s="74" t="s">
        <v>1156</v>
      </c>
      <c r="C359" s="44" t="s">
        <v>664</v>
      </c>
      <c r="D359" s="18" t="s">
        <v>744</v>
      </c>
      <c r="E359" s="48" t="s">
        <v>841</v>
      </c>
      <c r="F359" s="18" t="s">
        <v>820</v>
      </c>
      <c r="G359" s="48" t="s">
        <v>982</v>
      </c>
      <c r="H359" s="18" t="s">
        <v>1062</v>
      </c>
      <c r="I359" s="48" t="s">
        <v>841</v>
      </c>
      <c r="J359" s="18" t="s">
        <v>744</v>
      </c>
      <c r="K359" s="48" t="s">
        <v>1086</v>
      </c>
      <c r="L359" s="18" t="s">
        <v>1</v>
      </c>
      <c r="M359" s="20" t="s">
        <v>1</v>
      </c>
      <c r="N359" s="46" t="s">
        <v>82</v>
      </c>
      <c r="O359" s="25" t="str">
        <f t="shared" si="13"/>
        <v>"Bairro N° B.026 RA.06 Leblon"</v>
      </c>
      <c r="P359" s="46" t="s">
        <v>1</v>
      </c>
      <c r="Q359" s="25" t="s">
        <v>1</v>
      </c>
      <c r="R359" s="46" t="s">
        <v>1</v>
      </c>
      <c r="S359" s="52" t="s">
        <v>1</v>
      </c>
      <c r="T359" s="46" t="s">
        <v>1</v>
      </c>
      <c r="U359" s="31" t="s">
        <v>1</v>
      </c>
      <c r="V359" s="46" t="s">
        <v>1</v>
      </c>
      <c r="W359" s="31" t="s">
        <v>1</v>
      </c>
      <c r="X359" s="46" t="s">
        <v>1</v>
      </c>
      <c r="Y359" s="31" t="s">
        <v>1</v>
      </c>
      <c r="Z359" s="46" t="s">
        <v>1</v>
      </c>
      <c r="AA359" s="31" t="s">
        <v>1</v>
      </c>
      <c r="AB359" s="46" t="s">
        <v>1</v>
      </c>
      <c r="AC359" s="47" t="s">
        <v>1</v>
      </c>
      <c r="AD359" s="36" t="s">
        <v>1</v>
      </c>
      <c r="AE359" s="51" t="s">
        <v>1</v>
      </c>
      <c r="AF359" s="36" t="s">
        <v>1</v>
      </c>
      <c r="AG359" s="51" t="s">
        <v>1</v>
      </c>
      <c r="AH359" s="36" t="s">
        <v>1</v>
      </c>
      <c r="AI359" s="51" t="s">
        <v>1</v>
      </c>
      <c r="AJ359" s="36" t="s">
        <v>1</v>
      </c>
      <c r="AK359" s="51" t="s">
        <v>1</v>
      </c>
      <c r="AL359" s="36" t="s">
        <v>1</v>
      </c>
      <c r="AM359" s="31" t="s">
        <v>1</v>
      </c>
      <c r="AN359" s="36" t="s">
        <v>1</v>
      </c>
      <c r="AO359" s="31" t="s">
        <v>1</v>
      </c>
      <c r="AP359" s="36" t="s">
        <v>1</v>
      </c>
      <c r="AQ359" s="51" t="s">
        <v>1</v>
      </c>
      <c r="AR359" s="36" t="s">
        <v>1</v>
      </c>
      <c r="AS359" s="47" t="s">
        <v>1</v>
      </c>
      <c r="AT359" s="36" t="s">
        <v>1</v>
      </c>
      <c r="AU359" s="47" t="s">
        <v>1</v>
      </c>
      <c r="AV359" s="36" t="s">
        <v>1</v>
      </c>
      <c r="AW359" s="47" t="s">
        <v>1</v>
      </c>
      <c r="AX359" s="36" t="s">
        <v>2065</v>
      </c>
      <c r="AY359" s="47" t="s">
        <v>2193</v>
      </c>
      <c r="AZ359" s="36" t="s">
        <v>1299</v>
      </c>
      <c r="BA359" s="47" t="s">
        <v>2193</v>
      </c>
      <c r="BB359" s="36" t="s">
        <v>2188</v>
      </c>
      <c r="BC359" s="47" t="s">
        <v>819</v>
      </c>
      <c r="BD359" s="36" t="s">
        <v>2189</v>
      </c>
      <c r="BE359" s="47" t="str">
        <f t="shared" si="12"/>
        <v>"Bairro"</v>
      </c>
    </row>
    <row r="360" spans="1:57" ht="6.65" customHeight="1" x14ac:dyDescent="0.4">
      <c r="A360" s="93">
        <v>360</v>
      </c>
      <c r="B360" s="74" t="s">
        <v>1157</v>
      </c>
      <c r="C360" s="44" t="s">
        <v>664</v>
      </c>
      <c r="D360" s="18" t="s">
        <v>744</v>
      </c>
      <c r="E360" s="48" t="s">
        <v>839</v>
      </c>
      <c r="F360" s="18" t="s">
        <v>820</v>
      </c>
      <c r="G360" s="48" t="s">
        <v>983</v>
      </c>
      <c r="H360" s="18" t="s">
        <v>1062</v>
      </c>
      <c r="I360" s="48" t="s">
        <v>839</v>
      </c>
      <c r="J360" s="18" t="s">
        <v>744</v>
      </c>
      <c r="K360" s="48" t="s">
        <v>1086</v>
      </c>
      <c r="L360" s="18" t="s">
        <v>1</v>
      </c>
      <c r="M360" s="20" t="s">
        <v>1</v>
      </c>
      <c r="N360" s="46" t="s">
        <v>82</v>
      </c>
      <c r="O360" s="25" t="str">
        <f t="shared" si="13"/>
        <v>"Bairro N° B.023 RA.05 Leme"</v>
      </c>
      <c r="P360" s="46" t="s">
        <v>1</v>
      </c>
      <c r="Q360" s="25" t="s">
        <v>1</v>
      </c>
      <c r="R360" s="46" t="s">
        <v>1</v>
      </c>
      <c r="S360" s="52" t="s">
        <v>1</v>
      </c>
      <c r="T360" s="46" t="s">
        <v>1</v>
      </c>
      <c r="U360" s="31" t="s">
        <v>1</v>
      </c>
      <c r="V360" s="46" t="s">
        <v>1</v>
      </c>
      <c r="W360" s="31" t="s">
        <v>1</v>
      </c>
      <c r="X360" s="46" t="s">
        <v>1</v>
      </c>
      <c r="Y360" s="31" t="s">
        <v>1</v>
      </c>
      <c r="Z360" s="46" t="s">
        <v>1</v>
      </c>
      <c r="AA360" s="31" t="s">
        <v>1</v>
      </c>
      <c r="AB360" s="46" t="s">
        <v>1</v>
      </c>
      <c r="AC360" s="47" t="s">
        <v>1</v>
      </c>
      <c r="AD360" s="36" t="s">
        <v>1</v>
      </c>
      <c r="AE360" s="51" t="s">
        <v>1</v>
      </c>
      <c r="AF360" s="36" t="s">
        <v>1</v>
      </c>
      <c r="AG360" s="51" t="s">
        <v>1</v>
      </c>
      <c r="AH360" s="36" t="s">
        <v>1</v>
      </c>
      <c r="AI360" s="51" t="s">
        <v>1</v>
      </c>
      <c r="AJ360" s="36" t="s">
        <v>1</v>
      </c>
      <c r="AK360" s="51" t="s">
        <v>1</v>
      </c>
      <c r="AL360" s="36" t="s">
        <v>1</v>
      </c>
      <c r="AM360" s="31" t="s">
        <v>1</v>
      </c>
      <c r="AN360" s="36" t="s">
        <v>1</v>
      </c>
      <c r="AO360" s="31" t="s">
        <v>1</v>
      </c>
      <c r="AP360" s="36" t="s">
        <v>1</v>
      </c>
      <c r="AQ360" s="51" t="s">
        <v>1</v>
      </c>
      <c r="AR360" s="36" t="s">
        <v>1</v>
      </c>
      <c r="AS360" s="47" t="s">
        <v>1</v>
      </c>
      <c r="AT360" s="36" t="s">
        <v>1</v>
      </c>
      <c r="AU360" s="47" t="s">
        <v>1</v>
      </c>
      <c r="AV360" s="36" t="s">
        <v>1</v>
      </c>
      <c r="AW360" s="47" t="s">
        <v>1</v>
      </c>
      <c r="AX360" s="36" t="s">
        <v>2065</v>
      </c>
      <c r="AY360" s="47" t="s">
        <v>2193</v>
      </c>
      <c r="AZ360" s="36" t="s">
        <v>1299</v>
      </c>
      <c r="BA360" s="47" t="s">
        <v>2193</v>
      </c>
      <c r="BB360" s="36" t="s">
        <v>2188</v>
      </c>
      <c r="BC360" s="47" t="s">
        <v>819</v>
      </c>
      <c r="BD360" s="36" t="s">
        <v>2189</v>
      </c>
      <c r="BE360" s="47" t="str">
        <f t="shared" si="12"/>
        <v>"Bairro"</v>
      </c>
    </row>
    <row r="361" spans="1:57" ht="6.65" customHeight="1" x14ac:dyDescent="0.4">
      <c r="A361" s="93">
        <v>361</v>
      </c>
      <c r="B361" s="74" t="s">
        <v>1158</v>
      </c>
      <c r="C361" s="44" t="s">
        <v>664</v>
      </c>
      <c r="D361" s="18" t="s">
        <v>744</v>
      </c>
      <c r="E361" s="48" t="s">
        <v>855</v>
      </c>
      <c r="F361" s="18" t="s">
        <v>820</v>
      </c>
      <c r="G361" s="48" t="s">
        <v>984</v>
      </c>
      <c r="H361" s="18" t="s">
        <v>1062</v>
      </c>
      <c r="I361" s="48" t="s">
        <v>855</v>
      </c>
      <c r="J361" s="18" t="s">
        <v>744</v>
      </c>
      <c r="K361" s="48" t="s">
        <v>1063</v>
      </c>
      <c r="L361" s="18" t="s">
        <v>1</v>
      </c>
      <c r="M361" s="20" t="s">
        <v>1</v>
      </c>
      <c r="N361" s="46" t="s">
        <v>82</v>
      </c>
      <c r="O361" s="25" t="str">
        <f t="shared" si="13"/>
        <v>"Bairro N° B.062 RA.13 Lins.de.Vasconcelos"</v>
      </c>
      <c r="P361" s="46" t="s">
        <v>1</v>
      </c>
      <c r="Q361" s="25" t="s">
        <v>1</v>
      </c>
      <c r="R361" s="46" t="s">
        <v>1</v>
      </c>
      <c r="S361" s="52" t="s">
        <v>1</v>
      </c>
      <c r="T361" s="46" t="s">
        <v>1</v>
      </c>
      <c r="U361" s="31" t="s">
        <v>1</v>
      </c>
      <c r="V361" s="46" t="s">
        <v>1</v>
      </c>
      <c r="W361" s="31" t="s">
        <v>1</v>
      </c>
      <c r="X361" s="46" t="s">
        <v>1</v>
      </c>
      <c r="Y361" s="31" t="s">
        <v>1</v>
      </c>
      <c r="Z361" s="46" t="s">
        <v>1</v>
      </c>
      <c r="AA361" s="31" t="s">
        <v>1</v>
      </c>
      <c r="AB361" s="46" t="s">
        <v>1</v>
      </c>
      <c r="AC361" s="47" t="s">
        <v>1</v>
      </c>
      <c r="AD361" s="36" t="s">
        <v>1</v>
      </c>
      <c r="AE361" s="51" t="s">
        <v>1</v>
      </c>
      <c r="AF361" s="36" t="s">
        <v>1</v>
      </c>
      <c r="AG361" s="51" t="s">
        <v>1</v>
      </c>
      <c r="AH361" s="36" t="s">
        <v>1</v>
      </c>
      <c r="AI361" s="51" t="s">
        <v>1</v>
      </c>
      <c r="AJ361" s="36" t="s">
        <v>1</v>
      </c>
      <c r="AK361" s="51" t="s">
        <v>1</v>
      </c>
      <c r="AL361" s="36" t="s">
        <v>1</v>
      </c>
      <c r="AM361" s="31" t="s">
        <v>1</v>
      </c>
      <c r="AN361" s="36" t="s">
        <v>1</v>
      </c>
      <c r="AO361" s="31" t="s">
        <v>1</v>
      </c>
      <c r="AP361" s="36" t="s">
        <v>1</v>
      </c>
      <c r="AQ361" s="51" t="s">
        <v>1</v>
      </c>
      <c r="AR361" s="36" t="s">
        <v>1</v>
      </c>
      <c r="AS361" s="47" t="s">
        <v>1</v>
      </c>
      <c r="AT361" s="36" t="s">
        <v>1</v>
      </c>
      <c r="AU361" s="47" t="s">
        <v>1</v>
      </c>
      <c r="AV361" s="36" t="s">
        <v>1</v>
      </c>
      <c r="AW361" s="47" t="s">
        <v>1</v>
      </c>
      <c r="AX361" s="36" t="s">
        <v>2065</v>
      </c>
      <c r="AY361" s="47" t="s">
        <v>2193</v>
      </c>
      <c r="AZ361" s="36" t="s">
        <v>1299</v>
      </c>
      <c r="BA361" s="47" t="s">
        <v>2193</v>
      </c>
      <c r="BB361" s="36" t="s">
        <v>2188</v>
      </c>
      <c r="BC361" s="47" t="s">
        <v>819</v>
      </c>
      <c r="BD361" s="36" t="s">
        <v>2189</v>
      </c>
      <c r="BE361" s="47" t="str">
        <f t="shared" si="12"/>
        <v>"Bairro"</v>
      </c>
    </row>
    <row r="362" spans="1:57" ht="6.65" customHeight="1" x14ac:dyDescent="0.4">
      <c r="A362" s="93">
        <v>362</v>
      </c>
      <c r="B362" s="74" t="s">
        <v>1159</v>
      </c>
      <c r="C362" s="44" t="s">
        <v>664</v>
      </c>
      <c r="D362" s="18" t="s">
        <v>744</v>
      </c>
      <c r="E362" s="48" t="s">
        <v>859</v>
      </c>
      <c r="F362" s="18" t="s">
        <v>820</v>
      </c>
      <c r="G362" s="48" t="s">
        <v>985</v>
      </c>
      <c r="H362" s="18" t="s">
        <v>1062</v>
      </c>
      <c r="I362" s="48" t="s">
        <v>859</v>
      </c>
      <c r="J362" s="18" t="s">
        <v>744</v>
      </c>
      <c r="K362" s="48" t="s">
        <v>1063</v>
      </c>
      <c r="L362" s="18" t="s">
        <v>1</v>
      </c>
      <c r="M362" s="20" t="s">
        <v>1</v>
      </c>
      <c r="N362" s="46" t="s">
        <v>82</v>
      </c>
      <c r="O362" s="25" t="str">
        <f t="shared" si="13"/>
        <v>"Bairro N° B.083 RA.15 Madureira"</v>
      </c>
      <c r="P362" s="46" t="s">
        <v>1</v>
      </c>
      <c r="Q362" s="25" t="s">
        <v>1</v>
      </c>
      <c r="R362" s="46" t="s">
        <v>1</v>
      </c>
      <c r="S362" s="52" t="s">
        <v>1</v>
      </c>
      <c r="T362" s="46" t="s">
        <v>1</v>
      </c>
      <c r="U362" s="31" t="s">
        <v>1</v>
      </c>
      <c r="V362" s="46" t="s">
        <v>1</v>
      </c>
      <c r="W362" s="31" t="s">
        <v>1</v>
      </c>
      <c r="X362" s="46" t="s">
        <v>1</v>
      </c>
      <c r="Y362" s="31" t="s">
        <v>1</v>
      </c>
      <c r="Z362" s="46" t="s">
        <v>1</v>
      </c>
      <c r="AA362" s="31" t="s">
        <v>1</v>
      </c>
      <c r="AB362" s="46" t="s">
        <v>1</v>
      </c>
      <c r="AC362" s="47" t="s">
        <v>1</v>
      </c>
      <c r="AD362" s="36" t="s">
        <v>1</v>
      </c>
      <c r="AE362" s="51" t="s">
        <v>1</v>
      </c>
      <c r="AF362" s="36" t="s">
        <v>1</v>
      </c>
      <c r="AG362" s="51" t="s">
        <v>1</v>
      </c>
      <c r="AH362" s="36" t="s">
        <v>1</v>
      </c>
      <c r="AI362" s="51" t="s">
        <v>1</v>
      </c>
      <c r="AJ362" s="36" t="s">
        <v>1</v>
      </c>
      <c r="AK362" s="51" t="s">
        <v>1</v>
      </c>
      <c r="AL362" s="36" t="s">
        <v>1</v>
      </c>
      <c r="AM362" s="31" t="s">
        <v>1</v>
      </c>
      <c r="AN362" s="36" t="s">
        <v>1</v>
      </c>
      <c r="AO362" s="31" t="s">
        <v>1</v>
      </c>
      <c r="AP362" s="36" t="s">
        <v>1</v>
      </c>
      <c r="AQ362" s="51" t="s">
        <v>1</v>
      </c>
      <c r="AR362" s="36" t="s">
        <v>1</v>
      </c>
      <c r="AS362" s="47" t="s">
        <v>1</v>
      </c>
      <c r="AT362" s="36" t="s">
        <v>1</v>
      </c>
      <c r="AU362" s="47" t="s">
        <v>1</v>
      </c>
      <c r="AV362" s="36" t="s">
        <v>1</v>
      </c>
      <c r="AW362" s="47" t="s">
        <v>1</v>
      </c>
      <c r="AX362" s="36" t="s">
        <v>2065</v>
      </c>
      <c r="AY362" s="47" t="s">
        <v>2193</v>
      </c>
      <c r="AZ362" s="36" t="s">
        <v>1299</v>
      </c>
      <c r="BA362" s="47" t="s">
        <v>2193</v>
      </c>
      <c r="BB362" s="36" t="s">
        <v>2188</v>
      </c>
      <c r="BC362" s="47" t="s">
        <v>819</v>
      </c>
      <c r="BD362" s="36" t="s">
        <v>2189</v>
      </c>
      <c r="BE362" s="47" t="str">
        <f t="shared" si="12"/>
        <v>"Bairro"</v>
      </c>
    </row>
    <row r="363" spans="1:57" ht="6.65" customHeight="1" x14ac:dyDescent="0.4">
      <c r="A363" s="93">
        <v>363</v>
      </c>
      <c r="B363" s="74" t="s">
        <v>1160</v>
      </c>
      <c r="C363" s="44" t="s">
        <v>664</v>
      </c>
      <c r="D363" s="18" t="s">
        <v>744</v>
      </c>
      <c r="E363" s="48" t="s">
        <v>893</v>
      </c>
      <c r="F363" s="18" t="s">
        <v>820</v>
      </c>
      <c r="G363" s="48" t="s">
        <v>986</v>
      </c>
      <c r="H363" s="18" t="s">
        <v>1062</v>
      </c>
      <c r="I363" s="48" t="s">
        <v>893</v>
      </c>
      <c r="J363" s="18" t="s">
        <v>744</v>
      </c>
      <c r="K363" s="48" t="s">
        <v>1075</v>
      </c>
      <c r="L363" s="18" t="s">
        <v>1</v>
      </c>
      <c r="M363" s="20" t="s">
        <v>1</v>
      </c>
      <c r="N363" s="46" t="s">
        <v>82</v>
      </c>
      <c r="O363" s="25" t="str">
        <f t="shared" si="13"/>
        <v>"Bairro N° B.138 RA.32 Magalhães.Bastos"</v>
      </c>
      <c r="P363" s="46" t="s">
        <v>1</v>
      </c>
      <c r="Q363" s="25" t="s">
        <v>1</v>
      </c>
      <c r="R363" s="46" t="s">
        <v>1</v>
      </c>
      <c r="S363" s="52" t="s">
        <v>1</v>
      </c>
      <c r="T363" s="46" t="s">
        <v>1</v>
      </c>
      <c r="U363" s="31" t="s">
        <v>1</v>
      </c>
      <c r="V363" s="46" t="s">
        <v>1</v>
      </c>
      <c r="W363" s="31" t="s">
        <v>1</v>
      </c>
      <c r="X363" s="46" t="s">
        <v>1</v>
      </c>
      <c r="Y363" s="31" t="s">
        <v>1</v>
      </c>
      <c r="Z363" s="46" t="s">
        <v>1</v>
      </c>
      <c r="AA363" s="31" t="s">
        <v>1</v>
      </c>
      <c r="AB363" s="46" t="s">
        <v>1</v>
      </c>
      <c r="AC363" s="47" t="s">
        <v>1</v>
      </c>
      <c r="AD363" s="36" t="s">
        <v>1</v>
      </c>
      <c r="AE363" s="51" t="s">
        <v>1</v>
      </c>
      <c r="AF363" s="36" t="s">
        <v>1</v>
      </c>
      <c r="AG363" s="51" t="s">
        <v>1</v>
      </c>
      <c r="AH363" s="36" t="s">
        <v>1</v>
      </c>
      <c r="AI363" s="51" t="s">
        <v>1</v>
      </c>
      <c r="AJ363" s="36" t="s">
        <v>1</v>
      </c>
      <c r="AK363" s="51" t="s">
        <v>1</v>
      </c>
      <c r="AL363" s="36" t="s">
        <v>1</v>
      </c>
      <c r="AM363" s="31" t="s">
        <v>1</v>
      </c>
      <c r="AN363" s="36" t="s">
        <v>1</v>
      </c>
      <c r="AO363" s="31" t="s">
        <v>1</v>
      </c>
      <c r="AP363" s="36" t="s">
        <v>1</v>
      </c>
      <c r="AQ363" s="51" t="s">
        <v>1</v>
      </c>
      <c r="AR363" s="36" t="s">
        <v>1</v>
      </c>
      <c r="AS363" s="47" t="s">
        <v>1</v>
      </c>
      <c r="AT363" s="36" t="s">
        <v>1</v>
      </c>
      <c r="AU363" s="47" t="s">
        <v>1</v>
      </c>
      <c r="AV363" s="36" t="s">
        <v>1</v>
      </c>
      <c r="AW363" s="47" t="s">
        <v>1</v>
      </c>
      <c r="AX363" s="36" t="s">
        <v>2065</v>
      </c>
      <c r="AY363" s="47" t="s">
        <v>2193</v>
      </c>
      <c r="AZ363" s="36" t="s">
        <v>1299</v>
      </c>
      <c r="BA363" s="47" t="s">
        <v>2193</v>
      </c>
      <c r="BB363" s="36" t="s">
        <v>2188</v>
      </c>
      <c r="BC363" s="47" t="s">
        <v>819</v>
      </c>
      <c r="BD363" s="36" t="s">
        <v>2189</v>
      </c>
      <c r="BE363" s="47" t="str">
        <f t="shared" si="12"/>
        <v>"Bairro"</v>
      </c>
    </row>
    <row r="364" spans="1:57" ht="6.65" customHeight="1" x14ac:dyDescent="0.4">
      <c r="A364" s="93">
        <v>364</v>
      </c>
      <c r="B364" s="74" t="s">
        <v>1161</v>
      </c>
      <c r="C364" s="44" t="s">
        <v>664</v>
      </c>
      <c r="D364" s="18" t="s">
        <v>744</v>
      </c>
      <c r="E364" s="48" t="s">
        <v>843</v>
      </c>
      <c r="F364" s="18" t="s">
        <v>820</v>
      </c>
      <c r="G364" s="48" t="s">
        <v>987</v>
      </c>
      <c r="H364" s="18" t="s">
        <v>1062</v>
      </c>
      <c r="I364" s="48" t="s">
        <v>843</v>
      </c>
      <c r="J364" s="18" t="s">
        <v>744</v>
      </c>
      <c r="K364" s="48" t="s">
        <v>1082</v>
      </c>
      <c r="L364" s="18" t="s">
        <v>1</v>
      </c>
      <c r="M364" s="20" t="s">
        <v>1</v>
      </c>
      <c r="N364" s="46" t="s">
        <v>82</v>
      </c>
      <c r="O364" s="25" t="str">
        <f t="shared" si="13"/>
        <v>"Bairro N° B.011 RA.07 Mangueira"</v>
      </c>
      <c r="P364" s="46" t="s">
        <v>1</v>
      </c>
      <c r="Q364" s="25" t="s">
        <v>1</v>
      </c>
      <c r="R364" s="46" t="s">
        <v>1</v>
      </c>
      <c r="S364" s="52" t="s">
        <v>1</v>
      </c>
      <c r="T364" s="46" t="s">
        <v>1</v>
      </c>
      <c r="U364" s="31" t="s">
        <v>1</v>
      </c>
      <c r="V364" s="46" t="s">
        <v>1</v>
      </c>
      <c r="W364" s="31" t="s">
        <v>1</v>
      </c>
      <c r="X364" s="46" t="s">
        <v>1</v>
      </c>
      <c r="Y364" s="31" t="s">
        <v>1</v>
      </c>
      <c r="Z364" s="46" t="s">
        <v>1</v>
      </c>
      <c r="AA364" s="31" t="s">
        <v>1</v>
      </c>
      <c r="AB364" s="46" t="s">
        <v>1</v>
      </c>
      <c r="AC364" s="47" t="s">
        <v>1</v>
      </c>
      <c r="AD364" s="36" t="s">
        <v>1</v>
      </c>
      <c r="AE364" s="51" t="s">
        <v>1</v>
      </c>
      <c r="AF364" s="36" t="s">
        <v>1</v>
      </c>
      <c r="AG364" s="51" t="s">
        <v>1</v>
      </c>
      <c r="AH364" s="36" t="s">
        <v>1</v>
      </c>
      <c r="AI364" s="51" t="s">
        <v>1</v>
      </c>
      <c r="AJ364" s="36" t="s">
        <v>1</v>
      </c>
      <c r="AK364" s="51" t="s">
        <v>1</v>
      </c>
      <c r="AL364" s="36" t="s">
        <v>1</v>
      </c>
      <c r="AM364" s="31" t="s">
        <v>1</v>
      </c>
      <c r="AN364" s="36" t="s">
        <v>1</v>
      </c>
      <c r="AO364" s="31" t="s">
        <v>1</v>
      </c>
      <c r="AP364" s="36" t="s">
        <v>1</v>
      </c>
      <c r="AQ364" s="51" t="s">
        <v>1</v>
      </c>
      <c r="AR364" s="36" t="s">
        <v>1</v>
      </c>
      <c r="AS364" s="47" t="s">
        <v>1</v>
      </c>
      <c r="AT364" s="36" t="s">
        <v>1</v>
      </c>
      <c r="AU364" s="47" t="s">
        <v>1</v>
      </c>
      <c r="AV364" s="36" t="s">
        <v>1</v>
      </c>
      <c r="AW364" s="47" t="s">
        <v>1</v>
      </c>
      <c r="AX364" s="36" t="s">
        <v>2065</v>
      </c>
      <c r="AY364" s="47" t="s">
        <v>2193</v>
      </c>
      <c r="AZ364" s="36" t="s">
        <v>1299</v>
      </c>
      <c r="BA364" s="47" t="s">
        <v>2193</v>
      </c>
      <c r="BB364" s="36" t="s">
        <v>2188</v>
      </c>
      <c r="BC364" s="47" t="s">
        <v>819</v>
      </c>
      <c r="BD364" s="36" t="s">
        <v>2189</v>
      </c>
      <c r="BE364" s="47" t="str">
        <f t="shared" si="12"/>
        <v>"Bairro"</v>
      </c>
    </row>
    <row r="365" spans="1:57" ht="6.65" customHeight="1" x14ac:dyDescent="0.4">
      <c r="A365" s="93">
        <v>365</v>
      </c>
      <c r="B365" s="74" t="s">
        <v>1162</v>
      </c>
      <c r="C365" s="44" t="s">
        <v>664</v>
      </c>
      <c r="D365" s="18" t="s">
        <v>744</v>
      </c>
      <c r="E365" s="48" t="s">
        <v>849</v>
      </c>
      <c r="F365" s="18" t="s">
        <v>820</v>
      </c>
      <c r="G365" s="48" t="s">
        <v>988</v>
      </c>
      <c r="H365" s="18" t="s">
        <v>1062</v>
      </c>
      <c r="I365" s="48" t="s">
        <v>849</v>
      </c>
      <c r="J365" s="18" t="s">
        <v>744</v>
      </c>
      <c r="K365" s="48" t="s">
        <v>1063</v>
      </c>
      <c r="L365" s="18" t="s">
        <v>1</v>
      </c>
      <c r="M365" s="20" t="s">
        <v>1</v>
      </c>
      <c r="N365" s="46" t="s">
        <v>82</v>
      </c>
      <c r="O365" s="25" t="str">
        <f t="shared" si="13"/>
        <v>"Bairro N° B.039 RA.10 Manguinhos"</v>
      </c>
      <c r="P365" s="46" t="s">
        <v>1</v>
      </c>
      <c r="Q365" s="25" t="s">
        <v>1</v>
      </c>
      <c r="R365" s="46" t="s">
        <v>1</v>
      </c>
      <c r="S365" s="52" t="s">
        <v>1</v>
      </c>
      <c r="T365" s="46" t="s">
        <v>1</v>
      </c>
      <c r="U365" s="31" t="s">
        <v>1</v>
      </c>
      <c r="V365" s="46" t="s">
        <v>1</v>
      </c>
      <c r="W365" s="31" t="s">
        <v>1</v>
      </c>
      <c r="X365" s="46" t="s">
        <v>1</v>
      </c>
      <c r="Y365" s="31" t="s">
        <v>1</v>
      </c>
      <c r="Z365" s="46" t="s">
        <v>1</v>
      </c>
      <c r="AA365" s="31" t="s">
        <v>1</v>
      </c>
      <c r="AB365" s="46" t="s">
        <v>1</v>
      </c>
      <c r="AC365" s="47" t="s">
        <v>1</v>
      </c>
      <c r="AD365" s="36" t="s">
        <v>1</v>
      </c>
      <c r="AE365" s="51" t="s">
        <v>1</v>
      </c>
      <c r="AF365" s="36" t="s">
        <v>1</v>
      </c>
      <c r="AG365" s="51" t="s">
        <v>1</v>
      </c>
      <c r="AH365" s="36" t="s">
        <v>1</v>
      </c>
      <c r="AI365" s="51" t="s">
        <v>1</v>
      </c>
      <c r="AJ365" s="36" t="s">
        <v>1</v>
      </c>
      <c r="AK365" s="51" t="s">
        <v>1</v>
      </c>
      <c r="AL365" s="36" t="s">
        <v>1</v>
      </c>
      <c r="AM365" s="31" t="s">
        <v>1</v>
      </c>
      <c r="AN365" s="36" t="s">
        <v>1</v>
      </c>
      <c r="AO365" s="31" t="s">
        <v>1</v>
      </c>
      <c r="AP365" s="36" t="s">
        <v>1</v>
      </c>
      <c r="AQ365" s="51" t="s">
        <v>1</v>
      </c>
      <c r="AR365" s="36" t="s">
        <v>1</v>
      </c>
      <c r="AS365" s="47" t="s">
        <v>1</v>
      </c>
      <c r="AT365" s="36" t="s">
        <v>1</v>
      </c>
      <c r="AU365" s="47" t="s">
        <v>1</v>
      </c>
      <c r="AV365" s="36" t="s">
        <v>1</v>
      </c>
      <c r="AW365" s="47" t="s">
        <v>1</v>
      </c>
      <c r="AX365" s="36" t="s">
        <v>2065</v>
      </c>
      <c r="AY365" s="47" t="s">
        <v>2193</v>
      </c>
      <c r="AZ365" s="36" t="s">
        <v>1299</v>
      </c>
      <c r="BA365" s="47" t="s">
        <v>2193</v>
      </c>
      <c r="BB365" s="36" t="s">
        <v>2188</v>
      </c>
      <c r="BC365" s="47" t="s">
        <v>819</v>
      </c>
      <c r="BD365" s="36" t="s">
        <v>2189</v>
      </c>
      <c r="BE365" s="47" t="str">
        <f t="shared" si="12"/>
        <v>"Bairro"</v>
      </c>
    </row>
    <row r="366" spans="1:57" ht="6.65" customHeight="1" x14ac:dyDescent="0.4">
      <c r="A366" s="93">
        <v>366</v>
      </c>
      <c r="B366" s="74" t="s">
        <v>1163</v>
      </c>
      <c r="C366" s="44" t="s">
        <v>664</v>
      </c>
      <c r="D366" s="18" t="s">
        <v>744</v>
      </c>
      <c r="E366" s="48" t="s">
        <v>847</v>
      </c>
      <c r="F366" s="18" t="s">
        <v>820</v>
      </c>
      <c r="G366" s="48" t="s">
        <v>989</v>
      </c>
      <c r="H366" s="18" t="s">
        <v>1062</v>
      </c>
      <c r="I366" s="48" t="s">
        <v>847</v>
      </c>
      <c r="J366" s="18" t="s">
        <v>744</v>
      </c>
      <c r="K366" s="48" t="s">
        <v>1067</v>
      </c>
      <c r="L366" s="18" t="s">
        <v>1</v>
      </c>
      <c r="M366" s="20" t="s">
        <v>1</v>
      </c>
      <c r="N366" s="46" t="s">
        <v>82</v>
      </c>
      <c r="O366" s="25" t="str">
        <f t="shared" si="13"/>
        <v>"Bairro N° B.035 RA.09 Maracanã"</v>
      </c>
      <c r="P366" s="46" t="s">
        <v>1</v>
      </c>
      <c r="Q366" s="25" t="s">
        <v>1</v>
      </c>
      <c r="R366" s="46" t="s">
        <v>1</v>
      </c>
      <c r="S366" s="52" t="s">
        <v>1</v>
      </c>
      <c r="T366" s="46" t="s">
        <v>1</v>
      </c>
      <c r="U366" s="31" t="s">
        <v>1</v>
      </c>
      <c r="V366" s="46" t="s">
        <v>1</v>
      </c>
      <c r="W366" s="31" t="s">
        <v>1</v>
      </c>
      <c r="X366" s="46" t="s">
        <v>1</v>
      </c>
      <c r="Y366" s="31" t="s">
        <v>1</v>
      </c>
      <c r="Z366" s="46" t="s">
        <v>1</v>
      </c>
      <c r="AA366" s="31" t="s">
        <v>1</v>
      </c>
      <c r="AB366" s="46" t="s">
        <v>1</v>
      </c>
      <c r="AC366" s="47" t="s">
        <v>1</v>
      </c>
      <c r="AD366" s="36" t="s">
        <v>1</v>
      </c>
      <c r="AE366" s="51" t="s">
        <v>1</v>
      </c>
      <c r="AF366" s="36" t="s">
        <v>1</v>
      </c>
      <c r="AG366" s="51" t="s">
        <v>1</v>
      </c>
      <c r="AH366" s="36" t="s">
        <v>1</v>
      </c>
      <c r="AI366" s="51" t="s">
        <v>1</v>
      </c>
      <c r="AJ366" s="36" t="s">
        <v>1</v>
      </c>
      <c r="AK366" s="51" t="s">
        <v>1</v>
      </c>
      <c r="AL366" s="36" t="s">
        <v>1</v>
      </c>
      <c r="AM366" s="31" t="s">
        <v>1</v>
      </c>
      <c r="AN366" s="36" t="s">
        <v>1</v>
      </c>
      <c r="AO366" s="31" t="s">
        <v>1</v>
      </c>
      <c r="AP366" s="36" t="s">
        <v>1</v>
      </c>
      <c r="AQ366" s="51" t="s">
        <v>1</v>
      </c>
      <c r="AR366" s="36" t="s">
        <v>1</v>
      </c>
      <c r="AS366" s="47" t="s">
        <v>1</v>
      </c>
      <c r="AT366" s="36" t="s">
        <v>1</v>
      </c>
      <c r="AU366" s="47" t="s">
        <v>1</v>
      </c>
      <c r="AV366" s="36" t="s">
        <v>1</v>
      </c>
      <c r="AW366" s="47" t="s">
        <v>1</v>
      </c>
      <c r="AX366" s="36" t="s">
        <v>2065</v>
      </c>
      <c r="AY366" s="47" t="s">
        <v>2193</v>
      </c>
      <c r="AZ366" s="36" t="s">
        <v>1299</v>
      </c>
      <c r="BA366" s="47" t="s">
        <v>2193</v>
      </c>
      <c r="BB366" s="36" t="s">
        <v>2188</v>
      </c>
      <c r="BC366" s="47" t="s">
        <v>819</v>
      </c>
      <c r="BD366" s="36" t="s">
        <v>2189</v>
      </c>
      <c r="BE366" s="47" t="str">
        <f t="shared" si="12"/>
        <v>"Bairro"</v>
      </c>
    </row>
    <row r="367" spans="1:57" ht="6.65" customHeight="1" x14ac:dyDescent="0.4">
      <c r="A367" s="93">
        <v>367</v>
      </c>
      <c r="B367" s="74" t="s">
        <v>1164</v>
      </c>
      <c r="C367" s="44" t="s">
        <v>664</v>
      </c>
      <c r="D367" s="18" t="s">
        <v>744</v>
      </c>
      <c r="E367" s="48" t="s">
        <v>889</v>
      </c>
      <c r="F367" s="18" t="s">
        <v>820</v>
      </c>
      <c r="G367" s="48" t="s">
        <v>990</v>
      </c>
      <c r="H367" s="18" t="s">
        <v>1062</v>
      </c>
      <c r="I367" s="48" t="s">
        <v>889</v>
      </c>
      <c r="J367" s="18" t="s">
        <v>744</v>
      </c>
      <c r="K367" s="48" t="s">
        <v>1063</v>
      </c>
      <c r="L367" s="18" t="s">
        <v>1</v>
      </c>
      <c r="M367" s="20" t="s">
        <v>1</v>
      </c>
      <c r="N367" s="46" t="s">
        <v>82</v>
      </c>
      <c r="O367" s="25" t="str">
        <f t="shared" si="13"/>
        <v>"Bairro N° B.157 RA.30 Maré"</v>
      </c>
      <c r="P367" s="46" t="s">
        <v>1</v>
      </c>
      <c r="Q367" s="25" t="s">
        <v>1</v>
      </c>
      <c r="R367" s="46" t="s">
        <v>1</v>
      </c>
      <c r="S367" s="52" t="s">
        <v>1</v>
      </c>
      <c r="T367" s="46" t="s">
        <v>1</v>
      </c>
      <c r="U367" s="31" t="s">
        <v>1</v>
      </c>
      <c r="V367" s="46" t="s">
        <v>1</v>
      </c>
      <c r="W367" s="31" t="s">
        <v>1</v>
      </c>
      <c r="X367" s="46" t="s">
        <v>1</v>
      </c>
      <c r="Y367" s="31" t="s">
        <v>1</v>
      </c>
      <c r="Z367" s="46" t="s">
        <v>1</v>
      </c>
      <c r="AA367" s="31" t="s">
        <v>1</v>
      </c>
      <c r="AB367" s="46" t="s">
        <v>1</v>
      </c>
      <c r="AC367" s="47" t="s">
        <v>1</v>
      </c>
      <c r="AD367" s="36" t="s">
        <v>1</v>
      </c>
      <c r="AE367" s="51" t="s">
        <v>1</v>
      </c>
      <c r="AF367" s="36" t="s">
        <v>1</v>
      </c>
      <c r="AG367" s="51" t="s">
        <v>1</v>
      </c>
      <c r="AH367" s="36" t="s">
        <v>1</v>
      </c>
      <c r="AI367" s="51" t="s">
        <v>1</v>
      </c>
      <c r="AJ367" s="36" t="s">
        <v>1</v>
      </c>
      <c r="AK367" s="51" t="s">
        <v>1</v>
      </c>
      <c r="AL367" s="36" t="s">
        <v>1</v>
      </c>
      <c r="AM367" s="31" t="s">
        <v>1</v>
      </c>
      <c r="AN367" s="36" t="s">
        <v>1</v>
      </c>
      <c r="AO367" s="31" t="s">
        <v>1</v>
      </c>
      <c r="AP367" s="36" t="s">
        <v>1</v>
      </c>
      <c r="AQ367" s="51" t="s">
        <v>1</v>
      </c>
      <c r="AR367" s="36" t="s">
        <v>1</v>
      </c>
      <c r="AS367" s="47" t="s">
        <v>1</v>
      </c>
      <c r="AT367" s="36" t="s">
        <v>1</v>
      </c>
      <c r="AU367" s="47" t="s">
        <v>1</v>
      </c>
      <c r="AV367" s="36" t="s">
        <v>1</v>
      </c>
      <c r="AW367" s="47" t="s">
        <v>1</v>
      </c>
      <c r="AX367" s="36" t="s">
        <v>2065</v>
      </c>
      <c r="AY367" s="47" t="s">
        <v>2193</v>
      </c>
      <c r="AZ367" s="36" t="s">
        <v>1299</v>
      </c>
      <c r="BA367" s="47" t="s">
        <v>2193</v>
      </c>
      <c r="BB367" s="36" t="s">
        <v>2188</v>
      </c>
      <c r="BC367" s="47" t="s">
        <v>819</v>
      </c>
      <c r="BD367" s="36" t="s">
        <v>2189</v>
      </c>
      <c r="BE367" s="47" t="str">
        <f t="shared" si="12"/>
        <v>"Bairro"</v>
      </c>
    </row>
    <row r="368" spans="1:57" ht="6.65" customHeight="1" x14ac:dyDescent="0.4">
      <c r="A368" s="93">
        <v>368</v>
      </c>
      <c r="B368" s="74" t="s">
        <v>1165</v>
      </c>
      <c r="C368" s="44" t="s">
        <v>664</v>
      </c>
      <c r="D368" s="18" t="s">
        <v>744</v>
      </c>
      <c r="E368" s="48" t="s">
        <v>859</v>
      </c>
      <c r="F368" s="18" t="s">
        <v>820</v>
      </c>
      <c r="G368" s="48" t="s">
        <v>991</v>
      </c>
      <c r="H368" s="18" t="s">
        <v>1062</v>
      </c>
      <c r="I368" s="48" t="s">
        <v>859</v>
      </c>
      <c r="J368" s="18" t="s">
        <v>744</v>
      </c>
      <c r="K368" s="48" t="s">
        <v>1063</v>
      </c>
      <c r="L368" s="18" t="s">
        <v>1</v>
      </c>
      <c r="M368" s="20" t="s">
        <v>1</v>
      </c>
      <c r="N368" s="46" t="s">
        <v>82</v>
      </c>
      <c r="O368" s="25" t="str">
        <f t="shared" si="13"/>
        <v>"Bairro N° B.090 RA.15 Marechal.Hermes"</v>
      </c>
      <c r="P368" s="46" t="s">
        <v>1</v>
      </c>
      <c r="Q368" s="25" t="s">
        <v>1</v>
      </c>
      <c r="R368" s="46" t="s">
        <v>1</v>
      </c>
      <c r="S368" s="52" t="s">
        <v>1</v>
      </c>
      <c r="T368" s="46" t="s">
        <v>1</v>
      </c>
      <c r="U368" s="31" t="s">
        <v>1</v>
      </c>
      <c r="V368" s="46" t="s">
        <v>1</v>
      </c>
      <c r="W368" s="31" t="s">
        <v>1</v>
      </c>
      <c r="X368" s="46" t="s">
        <v>1</v>
      </c>
      <c r="Y368" s="31" t="s">
        <v>1</v>
      </c>
      <c r="Z368" s="46" t="s">
        <v>1</v>
      </c>
      <c r="AA368" s="31" t="s">
        <v>1</v>
      </c>
      <c r="AB368" s="46" t="s">
        <v>1</v>
      </c>
      <c r="AC368" s="47" t="s">
        <v>1</v>
      </c>
      <c r="AD368" s="36" t="s">
        <v>1</v>
      </c>
      <c r="AE368" s="51" t="s">
        <v>1</v>
      </c>
      <c r="AF368" s="36" t="s">
        <v>1</v>
      </c>
      <c r="AG368" s="51" t="s">
        <v>1</v>
      </c>
      <c r="AH368" s="36" t="s">
        <v>1</v>
      </c>
      <c r="AI368" s="51" t="s">
        <v>1</v>
      </c>
      <c r="AJ368" s="36" t="s">
        <v>1</v>
      </c>
      <c r="AK368" s="51" t="s">
        <v>1</v>
      </c>
      <c r="AL368" s="36" t="s">
        <v>1</v>
      </c>
      <c r="AM368" s="31" t="s">
        <v>1</v>
      </c>
      <c r="AN368" s="36" t="s">
        <v>1</v>
      </c>
      <c r="AO368" s="31" t="s">
        <v>1</v>
      </c>
      <c r="AP368" s="36" t="s">
        <v>1</v>
      </c>
      <c r="AQ368" s="51" t="s">
        <v>1</v>
      </c>
      <c r="AR368" s="36" t="s">
        <v>1</v>
      </c>
      <c r="AS368" s="47" t="s">
        <v>1</v>
      </c>
      <c r="AT368" s="36" t="s">
        <v>1</v>
      </c>
      <c r="AU368" s="47" t="s">
        <v>1</v>
      </c>
      <c r="AV368" s="36" t="s">
        <v>1</v>
      </c>
      <c r="AW368" s="47" t="s">
        <v>1</v>
      </c>
      <c r="AX368" s="36" t="s">
        <v>2065</v>
      </c>
      <c r="AY368" s="47" t="s">
        <v>2193</v>
      </c>
      <c r="AZ368" s="36" t="s">
        <v>1299</v>
      </c>
      <c r="BA368" s="47" t="s">
        <v>2193</v>
      </c>
      <c r="BB368" s="36" t="s">
        <v>2188</v>
      </c>
      <c r="BC368" s="47" t="s">
        <v>819</v>
      </c>
      <c r="BD368" s="36" t="s">
        <v>2189</v>
      </c>
      <c r="BE368" s="47" t="str">
        <f t="shared" si="12"/>
        <v>"Bairro"</v>
      </c>
    </row>
    <row r="369" spans="1:57" ht="6.65" customHeight="1" x14ac:dyDescent="0.4">
      <c r="A369" s="93">
        <v>369</v>
      </c>
      <c r="B369" s="74" t="s">
        <v>1166</v>
      </c>
      <c r="C369" s="44" t="s">
        <v>664</v>
      </c>
      <c r="D369" s="18" t="s">
        <v>744</v>
      </c>
      <c r="E369" s="48" t="s">
        <v>853</v>
      </c>
      <c r="F369" s="18" t="s">
        <v>820</v>
      </c>
      <c r="G369" s="48" t="s">
        <v>992</v>
      </c>
      <c r="H369" s="18" t="s">
        <v>1062</v>
      </c>
      <c r="I369" s="48" t="s">
        <v>853</v>
      </c>
      <c r="J369" s="18" t="s">
        <v>744</v>
      </c>
      <c r="K369" s="48" t="s">
        <v>1063</v>
      </c>
      <c r="L369" s="18" t="s">
        <v>1</v>
      </c>
      <c r="M369" s="20" t="s">
        <v>1</v>
      </c>
      <c r="N369" s="46" t="s">
        <v>82</v>
      </c>
      <c r="O369" s="25" t="str">
        <f t="shared" si="13"/>
        <v>"Bairro N° B.052 RA.12 Maria.da.Graça"</v>
      </c>
      <c r="P369" s="46" t="s">
        <v>1</v>
      </c>
      <c r="Q369" s="25" t="s">
        <v>1</v>
      </c>
      <c r="R369" s="46" t="s">
        <v>1</v>
      </c>
      <c r="S369" s="52" t="s">
        <v>1</v>
      </c>
      <c r="T369" s="46" t="s">
        <v>1</v>
      </c>
      <c r="U369" s="31" t="s">
        <v>1</v>
      </c>
      <c r="V369" s="46" t="s">
        <v>1</v>
      </c>
      <c r="W369" s="31" t="s">
        <v>1</v>
      </c>
      <c r="X369" s="46" t="s">
        <v>1</v>
      </c>
      <c r="Y369" s="31" t="s">
        <v>1</v>
      </c>
      <c r="Z369" s="46" t="s">
        <v>1</v>
      </c>
      <c r="AA369" s="31" t="s">
        <v>1</v>
      </c>
      <c r="AB369" s="46" t="s">
        <v>1</v>
      </c>
      <c r="AC369" s="47" t="s">
        <v>1</v>
      </c>
      <c r="AD369" s="36" t="s">
        <v>1</v>
      </c>
      <c r="AE369" s="51" t="s">
        <v>1</v>
      </c>
      <c r="AF369" s="36" t="s">
        <v>1</v>
      </c>
      <c r="AG369" s="51" t="s">
        <v>1</v>
      </c>
      <c r="AH369" s="36" t="s">
        <v>1</v>
      </c>
      <c r="AI369" s="51" t="s">
        <v>1</v>
      </c>
      <c r="AJ369" s="36" t="s">
        <v>1</v>
      </c>
      <c r="AK369" s="51" t="s">
        <v>1</v>
      </c>
      <c r="AL369" s="36" t="s">
        <v>1</v>
      </c>
      <c r="AM369" s="31" t="s">
        <v>1</v>
      </c>
      <c r="AN369" s="36" t="s">
        <v>1</v>
      </c>
      <c r="AO369" s="31" t="s">
        <v>1</v>
      </c>
      <c r="AP369" s="36" t="s">
        <v>1</v>
      </c>
      <c r="AQ369" s="51" t="s">
        <v>1</v>
      </c>
      <c r="AR369" s="36" t="s">
        <v>1</v>
      </c>
      <c r="AS369" s="47" t="s">
        <v>1</v>
      </c>
      <c r="AT369" s="36" t="s">
        <v>1</v>
      </c>
      <c r="AU369" s="47" t="s">
        <v>1</v>
      </c>
      <c r="AV369" s="36" t="s">
        <v>1</v>
      </c>
      <c r="AW369" s="47" t="s">
        <v>1</v>
      </c>
      <c r="AX369" s="36" t="s">
        <v>2065</v>
      </c>
      <c r="AY369" s="47" t="s">
        <v>2193</v>
      </c>
      <c r="AZ369" s="36" t="s">
        <v>1299</v>
      </c>
      <c r="BA369" s="47" t="s">
        <v>2193</v>
      </c>
      <c r="BB369" s="36" t="s">
        <v>2188</v>
      </c>
      <c r="BC369" s="47" t="s">
        <v>819</v>
      </c>
      <c r="BD369" s="36" t="s">
        <v>2189</v>
      </c>
      <c r="BE369" s="47" t="str">
        <f t="shared" si="12"/>
        <v>"Bairro"</v>
      </c>
    </row>
    <row r="370" spans="1:57" ht="6.65" customHeight="1" x14ac:dyDescent="0.4">
      <c r="A370" s="93">
        <v>370</v>
      </c>
      <c r="B370" s="74" t="s">
        <v>1167</v>
      </c>
      <c r="C370" s="44" t="s">
        <v>664</v>
      </c>
      <c r="D370" s="18" t="s">
        <v>744</v>
      </c>
      <c r="E370" s="48" t="s">
        <v>855</v>
      </c>
      <c r="F370" s="18" t="s">
        <v>820</v>
      </c>
      <c r="G370" s="48" t="s">
        <v>993</v>
      </c>
      <c r="H370" s="18" t="s">
        <v>1062</v>
      </c>
      <c r="I370" s="48" t="s">
        <v>855</v>
      </c>
      <c r="J370" s="18" t="s">
        <v>744</v>
      </c>
      <c r="K370" s="48" t="s">
        <v>1063</v>
      </c>
      <c r="L370" s="18" t="s">
        <v>1</v>
      </c>
      <c r="M370" s="20" t="s">
        <v>1</v>
      </c>
      <c r="N370" s="46" t="s">
        <v>82</v>
      </c>
      <c r="O370" s="25" t="str">
        <f t="shared" si="13"/>
        <v>"Bairro N° B.063 RA.13 Méier"</v>
      </c>
      <c r="P370" s="46" t="s">
        <v>1</v>
      </c>
      <c r="Q370" s="25" t="s">
        <v>1</v>
      </c>
      <c r="R370" s="46" t="s">
        <v>1</v>
      </c>
      <c r="S370" s="52" t="s">
        <v>1</v>
      </c>
      <c r="T370" s="46" t="s">
        <v>1</v>
      </c>
      <c r="U370" s="31" t="s">
        <v>1</v>
      </c>
      <c r="V370" s="46" t="s">
        <v>1</v>
      </c>
      <c r="W370" s="31" t="s">
        <v>1</v>
      </c>
      <c r="X370" s="46" t="s">
        <v>1</v>
      </c>
      <c r="Y370" s="31" t="s">
        <v>1</v>
      </c>
      <c r="Z370" s="46" t="s">
        <v>1</v>
      </c>
      <c r="AA370" s="31" t="s">
        <v>1</v>
      </c>
      <c r="AB370" s="46" t="s">
        <v>1</v>
      </c>
      <c r="AC370" s="47" t="s">
        <v>1</v>
      </c>
      <c r="AD370" s="36" t="s">
        <v>1</v>
      </c>
      <c r="AE370" s="51" t="s">
        <v>1</v>
      </c>
      <c r="AF370" s="36" t="s">
        <v>1</v>
      </c>
      <c r="AG370" s="51" t="s">
        <v>1</v>
      </c>
      <c r="AH370" s="36" t="s">
        <v>1</v>
      </c>
      <c r="AI370" s="51" t="s">
        <v>1</v>
      </c>
      <c r="AJ370" s="36" t="s">
        <v>1</v>
      </c>
      <c r="AK370" s="51" t="s">
        <v>1</v>
      </c>
      <c r="AL370" s="36" t="s">
        <v>1</v>
      </c>
      <c r="AM370" s="31" t="s">
        <v>1</v>
      </c>
      <c r="AN370" s="36" t="s">
        <v>1</v>
      </c>
      <c r="AO370" s="31" t="s">
        <v>1</v>
      </c>
      <c r="AP370" s="36" t="s">
        <v>1</v>
      </c>
      <c r="AQ370" s="51" t="s">
        <v>1</v>
      </c>
      <c r="AR370" s="36" t="s">
        <v>1</v>
      </c>
      <c r="AS370" s="47" t="s">
        <v>1</v>
      </c>
      <c r="AT370" s="36" t="s">
        <v>1</v>
      </c>
      <c r="AU370" s="47" t="s">
        <v>1</v>
      </c>
      <c r="AV370" s="36" t="s">
        <v>1</v>
      </c>
      <c r="AW370" s="47" t="s">
        <v>1</v>
      </c>
      <c r="AX370" s="36" t="s">
        <v>2065</v>
      </c>
      <c r="AY370" s="47" t="s">
        <v>2193</v>
      </c>
      <c r="AZ370" s="36" t="s">
        <v>1299</v>
      </c>
      <c r="BA370" s="47" t="s">
        <v>2193</v>
      </c>
      <c r="BB370" s="36" t="s">
        <v>2188</v>
      </c>
      <c r="BC370" s="47" t="s">
        <v>819</v>
      </c>
      <c r="BD370" s="36" t="s">
        <v>2189</v>
      </c>
      <c r="BE370" s="47" t="str">
        <f t="shared" si="12"/>
        <v>"Bairro"</v>
      </c>
    </row>
    <row r="371" spans="1:57" ht="6.65" customHeight="1" x14ac:dyDescent="0.4">
      <c r="A371" s="93">
        <v>371</v>
      </c>
      <c r="B371" s="74" t="s">
        <v>1168</v>
      </c>
      <c r="C371" s="44" t="s">
        <v>664</v>
      </c>
      <c r="D371" s="18" t="s">
        <v>744</v>
      </c>
      <c r="E371" s="48" t="s">
        <v>869</v>
      </c>
      <c r="F371" s="18" t="s">
        <v>820</v>
      </c>
      <c r="G371" s="48" t="s">
        <v>994</v>
      </c>
      <c r="H371" s="18" t="s">
        <v>1062</v>
      </c>
      <c r="I371" s="48" t="s">
        <v>869</v>
      </c>
      <c r="J371" s="18" t="s">
        <v>744</v>
      </c>
      <c r="K371" s="48" t="s">
        <v>1073</v>
      </c>
      <c r="L371" s="18" t="s">
        <v>1</v>
      </c>
      <c r="M371" s="20" t="s">
        <v>1</v>
      </c>
      <c r="N371" s="46" t="s">
        <v>82</v>
      </c>
      <c r="O371" s="25" t="str">
        <f t="shared" si="13"/>
        <v>"Bairro N° B.102 RA.20 Moneró"</v>
      </c>
      <c r="P371" s="46" t="s">
        <v>1</v>
      </c>
      <c r="Q371" s="25" t="s">
        <v>1</v>
      </c>
      <c r="R371" s="46" t="s">
        <v>1</v>
      </c>
      <c r="S371" s="52" t="s">
        <v>1</v>
      </c>
      <c r="T371" s="46" t="s">
        <v>1</v>
      </c>
      <c r="U371" s="31" t="s">
        <v>1</v>
      </c>
      <c r="V371" s="46" t="s">
        <v>1</v>
      </c>
      <c r="W371" s="31" t="s">
        <v>1</v>
      </c>
      <c r="X371" s="46" t="s">
        <v>1</v>
      </c>
      <c r="Y371" s="31" t="s">
        <v>1</v>
      </c>
      <c r="Z371" s="46" t="s">
        <v>1</v>
      </c>
      <c r="AA371" s="31" t="s">
        <v>1</v>
      </c>
      <c r="AB371" s="46" t="s">
        <v>1</v>
      </c>
      <c r="AC371" s="47" t="s">
        <v>1</v>
      </c>
      <c r="AD371" s="36" t="s">
        <v>1</v>
      </c>
      <c r="AE371" s="51" t="s">
        <v>1</v>
      </c>
      <c r="AF371" s="36" t="s">
        <v>1</v>
      </c>
      <c r="AG371" s="51" t="s">
        <v>1</v>
      </c>
      <c r="AH371" s="36" t="s">
        <v>1</v>
      </c>
      <c r="AI371" s="51" t="s">
        <v>1</v>
      </c>
      <c r="AJ371" s="36" t="s">
        <v>1</v>
      </c>
      <c r="AK371" s="51" t="s">
        <v>1</v>
      </c>
      <c r="AL371" s="36" t="s">
        <v>1</v>
      </c>
      <c r="AM371" s="31" t="s">
        <v>1</v>
      </c>
      <c r="AN371" s="36" t="s">
        <v>1</v>
      </c>
      <c r="AO371" s="31" t="s">
        <v>1</v>
      </c>
      <c r="AP371" s="36" t="s">
        <v>1</v>
      </c>
      <c r="AQ371" s="51" t="s">
        <v>1</v>
      </c>
      <c r="AR371" s="36" t="s">
        <v>1</v>
      </c>
      <c r="AS371" s="47" t="s">
        <v>1</v>
      </c>
      <c r="AT371" s="36" t="s">
        <v>1</v>
      </c>
      <c r="AU371" s="47" t="s">
        <v>1</v>
      </c>
      <c r="AV371" s="36" t="s">
        <v>1</v>
      </c>
      <c r="AW371" s="47" t="s">
        <v>1</v>
      </c>
      <c r="AX371" s="36" t="s">
        <v>2065</v>
      </c>
      <c r="AY371" s="47" t="s">
        <v>2193</v>
      </c>
      <c r="AZ371" s="36" t="s">
        <v>1299</v>
      </c>
      <c r="BA371" s="47" t="s">
        <v>2193</v>
      </c>
      <c r="BB371" s="36" t="s">
        <v>2188</v>
      </c>
      <c r="BC371" s="47" t="s">
        <v>819</v>
      </c>
      <c r="BD371" s="36" t="s">
        <v>2189</v>
      </c>
      <c r="BE371" s="47" t="str">
        <f t="shared" si="12"/>
        <v>"Bairro"</v>
      </c>
    </row>
    <row r="372" spans="1:57" ht="6.65" customHeight="1" x14ac:dyDescent="0.4">
      <c r="A372" s="93">
        <v>372</v>
      </c>
      <c r="B372" s="74" t="s">
        <v>1169</v>
      </c>
      <c r="C372" s="44" t="s">
        <v>664</v>
      </c>
      <c r="D372" s="18" t="s">
        <v>744</v>
      </c>
      <c r="E372" s="48" t="s">
        <v>849</v>
      </c>
      <c r="F372" s="18" t="s">
        <v>820</v>
      </c>
      <c r="G372" s="48" t="s">
        <v>995</v>
      </c>
      <c r="H372" s="18" t="s">
        <v>1062</v>
      </c>
      <c r="I372" s="48" t="s">
        <v>849</v>
      </c>
      <c r="J372" s="18" t="s">
        <v>744</v>
      </c>
      <c r="K372" s="48" t="s">
        <v>1063</v>
      </c>
      <c r="L372" s="18" t="s">
        <v>1</v>
      </c>
      <c r="M372" s="20" t="s">
        <v>1</v>
      </c>
      <c r="N372" s="46" t="s">
        <v>82</v>
      </c>
      <c r="O372" s="25" t="str">
        <f t="shared" si="13"/>
        <v>"Bairro N° B.042 RA.10 Olaria"</v>
      </c>
      <c r="P372" s="46" t="s">
        <v>1</v>
      </c>
      <c r="Q372" s="25" t="s">
        <v>1</v>
      </c>
      <c r="R372" s="46" t="s">
        <v>1</v>
      </c>
      <c r="S372" s="52" t="s">
        <v>1</v>
      </c>
      <c r="T372" s="46" t="s">
        <v>1</v>
      </c>
      <c r="U372" s="31" t="s">
        <v>1</v>
      </c>
      <c r="V372" s="46" t="s">
        <v>1</v>
      </c>
      <c r="W372" s="31" t="s">
        <v>1</v>
      </c>
      <c r="X372" s="46" t="s">
        <v>1</v>
      </c>
      <c r="Y372" s="31" t="s">
        <v>1</v>
      </c>
      <c r="Z372" s="46" t="s">
        <v>1</v>
      </c>
      <c r="AA372" s="31" t="s">
        <v>1</v>
      </c>
      <c r="AB372" s="46" t="s">
        <v>1</v>
      </c>
      <c r="AC372" s="47" t="s">
        <v>1</v>
      </c>
      <c r="AD372" s="36" t="s">
        <v>1</v>
      </c>
      <c r="AE372" s="51" t="s">
        <v>1</v>
      </c>
      <c r="AF372" s="36" t="s">
        <v>1</v>
      </c>
      <c r="AG372" s="51" t="s">
        <v>1</v>
      </c>
      <c r="AH372" s="36" t="s">
        <v>1</v>
      </c>
      <c r="AI372" s="51" t="s">
        <v>1</v>
      </c>
      <c r="AJ372" s="36" t="s">
        <v>1</v>
      </c>
      <c r="AK372" s="51" t="s">
        <v>1</v>
      </c>
      <c r="AL372" s="36" t="s">
        <v>1</v>
      </c>
      <c r="AM372" s="31" t="s">
        <v>1</v>
      </c>
      <c r="AN372" s="36" t="s">
        <v>1</v>
      </c>
      <c r="AO372" s="31" t="s">
        <v>1</v>
      </c>
      <c r="AP372" s="36" t="s">
        <v>1</v>
      </c>
      <c r="AQ372" s="51" t="s">
        <v>1</v>
      </c>
      <c r="AR372" s="36" t="s">
        <v>1</v>
      </c>
      <c r="AS372" s="47" t="s">
        <v>1</v>
      </c>
      <c r="AT372" s="36" t="s">
        <v>1</v>
      </c>
      <c r="AU372" s="47" t="s">
        <v>1</v>
      </c>
      <c r="AV372" s="36" t="s">
        <v>1</v>
      </c>
      <c r="AW372" s="47" t="s">
        <v>1</v>
      </c>
      <c r="AX372" s="36" t="s">
        <v>2065</v>
      </c>
      <c r="AY372" s="47" t="s">
        <v>2193</v>
      </c>
      <c r="AZ372" s="36" t="s">
        <v>1299</v>
      </c>
      <c r="BA372" s="47" t="s">
        <v>2193</v>
      </c>
      <c r="BB372" s="36" t="s">
        <v>2188</v>
      </c>
      <c r="BC372" s="47" t="s">
        <v>819</v>
      </c>
      <c r="BD372" s="36" t="s">
        <v>2189</v>
      </c>
      <c r="BE372" s="47" t="str">
        <f t="shared" si="12"/>
        <v>"Bairro"</v>
      </c>
    </row>
    <row r="373" spans="1:57" ht="6.65" customHeight="1" x14ac:dyDescent="0.4">
      <c r="A373" s="93">
        <v>373</v>
      </c>
      <c r="B373" s="74" t="s">
        <v>1170</v>
      </c>
      <c r="C373" s="44" t="s">
        <v>664</v>
      </c>
      <c r="D373" s="18" t="s">
        <v>744</v>
      </c>
      <c r="E373" s="48" t="s">
        <v>859</v>
      </c>
      <c r="F373" s="18" t="s">
        <v>820</v>
      </c>
      <c r="G373" s="48" t="s">
        <v>996</v>
      </c>
      <c r="H373" s="18" t="s">
        <v>1062</v>
      </c>
      <c r="I373" s="48" t="s">
        <v>859</v>
      </c>
      <c r="J373" s="18" t="s">
        <v>744</v>
      </c>
      <c r="K373" s="48" t="s">
        <v>1063</v>
      </c>
      <c r="L373" s="18" t="s">
        <v>1</v>
      </c>
      <c r="M373" s="20" t="s">
        <v>1</v>
      </c>
      <c r="N373" s="46" t="s">
        <v>82</v>
      </c>
      <c r="O373" s="25" t="str">
        <f t="shared" si="13"/>
        <v>"Bairro N° B.088 RA.15 Osvaldo.Cruz"</v>
      </c>
      <c r="P373" s="46" t="s">
        <v>1</v>
      </c>
      <c r="Q373" s="25" t="s">
        <v>1</v>
      </c>
      <c r="R373" s="46" t="s">
        <v>1</v>
      </c>
      <c r="S373" s="52" t="s">
        <v>1</v>
      </c>
      <c r="T373" s="46" t="s">
        <v>1</v>
      </c>
      <c r="U373" s="31" t="s">
        <v>1</v>
      </c>
      <c r="V373" s="46" t="s">
        <v>1</v>
      </c>
      <c r="W373" s="31" t="s">
        <v>1</v>
      </c>
      <c r="X373" s="46" t="s">
        <v>1</v>
      </c>
      <c r="Y373" s="31" t="s">
        <v>1</v>
      </c>
      <c r="Z373" s="46" t="s">
        <v>1</v>
      </c>
      <c r="AA373" s="31" t="s">
        <v>1</v>
      </c>
      <c r="AB373" s="46" t="s">
        <v>1</v>
      </c>
      <c r="AC373" s="47" t="s">
        <v>1</v>
      </c>
      <c r="AD373" s="36" t="s">
        <v>1</v>
      </c>
      <c r="AE373" s="51" t="s">
        <v>1</v>
      </c>
      <c r="AF373" s="36" t="s">
        <v>1</v>
      </c>
      <c r="AG373" s="51" t="s">
        <v>1</v>
      </c>
      <c r="AH373" s="36" t="s">
        <v>1</v>
      </c>
      <c r="AI373" s="51" t="s">
        <v>1</v>
      </c>
      <c r="AJ373" s="36" t="s">
        <v>1</v>
      </c>
      <c r="AK373" s="51" t="s">
        <v>1</v>
      </c>
      <c r="AL373" s="36" t="s">
        <v>1</v>
      </c>
      <c r="AM373" s="31" t="s">
        <v>1</v>
      </c>
      <c r="AN373" s="36" t="s">
        <v>1</v>
      </c>
      <c r="AO373" s="31" t="s">
        <v>1</v>
      </c>
      <c r="AP373" s="36" t="s">
        <v>1</v>
      </c>
      <c r="AQ373" s="51" t="s">
        <v>1</v>
      </c>
      <c r="AR373" s="36" t="s">
        <v>1</v>
      </c>
      <c r="AS373" s="47" t="s">
        <v>1</v>
      </c>
      <c r="AT373" s="36" t="s">
        <v>1</v>
      </c>
      <c r="AU373" s="47" t="s">
        <v>1</v>
      </c>
      <c r="AV373" s="36" t="s">
        <v>1</v>
      </c>
      <c r="AW373" s="47" t="s">
        <v>1</v>
      </c>
      <c r="AX373" s="36" t="s">
        <v>2065</v>
      </c>
      <c r="AY373" s="47" t="s">
        <v>2193</v>
      </c>
      <c r="AZ373" s="36" t="s">
        <v>1299</v>
      </c>
      <c r="BA373" s="47" t="s">
        <v>2193</v>
      </c>
      <c r="BB373" s="36" t="s">
        <v>2188</v>
      </c>
      <c r="BC373" s="47" t="s">
        <v>819</v>
      </c>
      <c r="BD373" s="36" t="s">
        <v>2189</v>
      </c>
      <c r="BE373" s="47" t="str">
        <f t="shared" si="12"/>
        <v>"Bairro"</v>
      </c>
    </row>
    <row r="374" spans="1:57" ht="6.65" customHeight="1" x14ac:dyDescent="0.4">
      <c r="A374" s="93">
        <v>374</v>
      </c>
      <c r="B374" s="74" t="s">
        <v>1171</v>
      </c>
      <c r="C374" s="44" t="s">
        <v>664</v>
      </c>
      <c r="D374" s="18" t="s">
        <v>744</v>
      </c>
      <c r="E374" s="48" t="s">
        <v>867</v>
      </c>
      <c r="F374" s="18" t="s">
        <v>820</v>
      </c>
      <c r="G374" s="48" t="s">
        <v>997</v>
      </c>
      <c r="H374" s="18" t="s">
        <v>1062</v>
      </c>
      <c r="I374" s="48" t="s">
        <v>867</v>
      </c>
      <c r="J374" s="18" t="s">
        <v>744</v>
      </c>
      <c r="K374" s="48" t="s">
        <v>1079</v>
      </c>
      <c r="L374" s="18" t="s">
        <v>1</v>
      </c>
      <c r="M374" s="20" t="s">
        <v>1</v>
      </c>
      <c r="N374" s="46" t="s">
        <v>82</v>
      </c>
      <c r="O374" s="25" t="str">
        <f t="shared" si="13"/>
        <v>"Bairro N° B.148 RA.19 Paciência"</v>
      </c>
      <c r="P374" s="46" t="s">
        <v>1</v>
      </c>
      <c r="Q374" s="25" t="s">
        <v>1</v>
      </c>
      <c r="R374" s="46" t="s">
        <v>1</v>
      </c>
      <c r="S374" s="52" t="s">
        <v>1</v>
      </c>
      <c r="T374" s="46" t="s">
        <v>1</v>
      </c>
      <c r="U374" s="31" t="s">
        <v>1</v>
      </c>
      <c r="V374" s="46" t="s">
        <v>1</v>
      </c>
      <c r="W374" s="31" t="s">
        <v>1</v>
      </c>
      <c r="X374" s="46" t="s">
        <v>1</v>
      </c>
      <c r="Y374" s="31" t="s">
        <v>1</v>
      </c>
      <c r="Z374" s="46" t="s">
        <v>1</v>
      </c>
      <c r="AA374" s="31" t="s">
        <v>1</v>
      </c>
      <c r="AB374" s="46" t="s">
        <v>1</v>
      </c>
      <c r="AC374" s="47" t="s">
        <v>1</v>
      </c>
      <c r="AD374" s="36" t="s">
        <v>1</v>
      </c>
      <c r="AE374" s="51" t="s">
        <v>1</v>
      </c>
      <c r="AF374" s="36" t="s">
        <v>1</v>
      </c>
      <c r="AG374" s="51" t="s">
        <v>1</v>
      </c>
      <c r="AH374" s="36" t="s">
        <v>1</v>
      </c>
      <c r="AI374" s="51" t="s">
        <v>1</v>
      </c>
      <c r="AJ374" s="36" t="s">
        <v>1</v>
      </c>
      <c r="AK374" s="51" t="s">
        <v>1</v>
      </c>
      <c r="AL374" s="36" t="s">
        <v>1</v>
      </c>
      <c r="AM374" s="31" t="s">
        <v>1</v>
      </c>
      <c r="AN374" s="36" t="s">
        <v>1</v>
      </c>
      <c r="AO374" s="31" t="s">
        <v>1</v>
      </c>
      <c r="AP374" s="36" t="s">
        <v>1</v>
      </c>
      <c r="AQ374" s="51" t="s">
        <v>1</v>
      </c>
      <c r="AR374" s="36" t="s">
        <v>1</v>
      </c>
      <c r="AS374" s="47" t="s">
        <v>1</v>
      </c>
      <c r="AT374" s="36" t="s">
        <v>1</v>
      </c>
      <c r="AU374" s="47" t="s">
        <v>1</v>
      </c>
      <c r="AV374" s="36" t="s">
        <v>1</v>
      </c>
      <c r="AW374" s="47" t="s">
        <v>1</v>
      </c>
      <c r="AX374" s="36" t="s">
        <v>2065</v>
      </c>
      <c r="AY374" s="47" t="s">
        <v>2193</v>
      </c>
      <c r="AZ374" s="36" t="s">
        <v>1299</v>
      </c>
      <c r="BA374" s="47" t="s">
        <v>2193</v>
      </c>
      <c r="BB374" s="36" t="s">
        <v>2188</v>
      </c>
      <c r="BC374" s="47" t="s">
        <v>819</v>
      </c>
      <c r="BD374" s="36" t="s">
        <v>2189</v>
      </c>
      <c r="BE374" s="47" t="str">
        <f t="shared" si="12"/>
        <v>"Bairro"</v>
      </c>
    </row>
    <row r="375" spans="1:57" ht="6.65" customHeight="1" x14ac:dyDescent="0.4">
      <c r="A375" s="93">
        <v>375</v>
      </c>
      <c r="B375" s="74" t="s">
        <v>1172</v>
      </c>
      <c r="C375" s="44" t="s">
        <v>664</v>
      </c>
      <c r="D375" s="18" t="s">
        <v>744</v>
      </c>
      <c r="E375" s="48" t="s">
        <v>863</v>
      </c>
      <c r="F375" s="18" t="s">
        <v>820</v>
      </c>
      <c r="G375" s="48" t="s">
        <v>998</v>
      </c>
      <c r="H375" s="18" t="s">
        <v>1062</v>
      </c>
      <c r="I375" s="48" t="s">
        <v>863</v>
      </c>
      <c r="J375" s="18" t="s">
        <v>744</v>
      </c>
      <c r="K375" s="48" t="s">
        <v>1075</v>
      </c>
      <c r="L375" s="18" t="s">
        <v>1</v>
      </c>
      <c r="M375" s="20" t="s">
        <v>1</v>
      </c>
      <c r="N375" s="46" t="s">
        <v>82</v>
      </c>
      <c r="O375" s="25" t="str">
        <f t="shared" si="13"/>
        <v>"Bairro N° B.140 RA.17 Padre.Miguel"</v>
      </c>
      <c r="P375" s="46" t="s">
        <v>1</v>
      </c>
      <c r="Q375" s="25" t="s">
        <v>1</v>
      </c>
      <c r="R375" s="46" t="s">
        <v>1</v>
      </c>
      <c r="S375" s="52" t="s">
        <v>1</v>
      </c>
      <c r="T375" s="46" t="s">
        <v>1</v>
      </c>
      <c r="U375" s="31" t="s">
        <v>1</v>
      </c>
      <c r="V375" s="46" t="s">
        <v>1</v>
      </c>
      <c r="W375" s="31" t="s">
        <v>1</v>
      </c>
      <c r="X375" s="46" t="s">
        <v>1</v>
      </c>
      <c r="Y375" s="31" t="s">
        <v>1</v>
      </c>
      <c r="Z375" s="46" t="s">
        <v>1</v>
      </c>
      <c r="AA375" s="31" t="s">
        <v>1</v>
      </c>
      <c r="AB375" s="46" t="s">
        <v>1</v>
      </c>
      <c r="AC375" s="47" t="s">
        <v>1</v>
      </c>
      <c r="AD375" s="36" t="s">
        <v>1</v>
      </c>
      <c r="AE375" s="51" t="s">
        <v>1</v>
      </c>
      <c r="AF375" s="36" t="s">
        <v>1</v>
      </c>
      <c r="AG375" s="51" t="s">
        <v>1</v>
      </c>
      <c r="AH375" s="36" t="s">
        <v>1</v>
      </c>
      <c r="AI375" s="51" t="s">
        <v>1</v>
      </c>
      <c r="AJ375" s="36" t="s">
        <v>1</v>
      </c>
      <c r="AK375" s="51" t="s">
        <v>1</v>
      </c>
      <c r="AL375" s="36" t="s">
        <v>1</v>
      </c>
      <c r="AM375" s="31" t="s">
        <v>1</v>
      </c>
      <c r="AN375" s="36" t="s">
        <v>1</v>
      </c>
      <c r="AO375" s="31" t="s">
        <v>1</v>
      </c>
      <c r="AP375" s="36" t="s">
        <v>1</v>
      </c>
      <c r="AQ375" s="51" t="s">
        <v>1</v>
      </c>
      <c r="AR375" s="36" t="s">
        <v>1</v>
      </c>
      <c r="AS375" s="47" t="s">
        <v>1</v>
      </c>
      <c r="AT375" s="36" t="s">
        <v>1</v>
      </c>
      <c r="AU375" s="47" t="s">
        <v>1</v>
      </c>
      <c r="AV375" s="36" t="s">
        <v>1</v>
      </c>
      <c r="AW375" s="47" t="s">
        <v>1</v>
      </c>
      <c r="AX375" s="36" t="s">
        <v>2065</v>
      </c>
      <c r="AY375" s="47" t="s">
        <v>2193</v>
      </c>
      <c r="AZ375" s="36" t="s">
        <v>1299</v>
      </c>
      <c r="BA375" s="47" t="s">
        <v>2193</v>
      </c>
      <c r="BB375" s="36" t="s">
        <v>2188</v>
      </c>
      <c r="BC375" s="47" t="s">
        <v>819</v>
      </c>
      <c r="BD375" s="36" t="s">
        <v>2189</v>
      </c>
      <c r="BE375" s="47" t="str">
        <f t="shared" si="12"/>
        <v>"Bairro"</v>
      </c>
    </row>
    <row r="376" spans="1:57" ht="6.65" customHeight="1" x14ac:dyDescent="0.4">
      <c r="A376" s="93">
        <v>376</v>
      </c>
      <c r="B376" s="74" t="s">
        <v>1173</v>
      </c>
      <c r="C376" s="44" t="s">
        <v>664</v>
      </c>
      <c r="D376" s="18" t="s">
        <v>744</v>
      </c>
      <c r="E376" s="48" t="s">
        <v>871</v>
      </c>
      <c r="F376" s="18" t="s">
        <v>820</v>
      </c>
      <c r="G376" s="48" t="s">
        <v>999</v>
      </c>
      <c r="H376" s="18" t="s">
        <v>1062</v>
      </c>
      <c r="I376" s="48" t="s">
        <v>871</v>
      </c>
      <c r="J376" s="18" t="s">
        <v>744</v>
      </c>
      <c r="K376" s="48" t="s">
        <v>1073</v>
      </c>
      <c r="L376" s="18" t="s">
        <v>1</v>
      </c>
      <c r="M376" s="20" t="s">
        <v>1</v>
      </c>
      <c r="N376" s="46" t="s">
        <v>82</v>
      </c>
      <c r="O376" s="25" t="str">
        <f t="shared" si="13"/>
        <v>"Bairro N° B.013 RA.21 Paquetá"</v>
      </c>
      <c r="P376" s="46" t="s">
        <v>1</v>
      </c>
      <c r="Q376" s="25" t="s">
        <v>1</v>
      </c>
      <c r="R376" s="46" t="s">
        <v>1</v>
      </c>
      <c r="S376" s="52" t="s">
        <v>1</v>
      </c>
      <c r="T376" s="46" t="s">
        <v>1</v>
      </c>
      <c r="U376" s="31" t="s">
        <v>1</v>
      </c>
      <c r="V376" s="46" t="s">
        <v>1</v>
      </c>
      <c r="W376" s="31" t="s">
        <v>1</v>
      </c>
      <c r="X376" s="46" t="s">
        <v>1</v>
      </c>
      <c r="Y376" s="31" t="s">
        <v>1</v>
      </c>
      <c r="Z376" s="46" t="s">
        <v>1</v>
      </c>
      <c r="AA376" s="31" t="s">
        <v>1</v>
      </c>
      <c r="AB376" s="46" t="s">
        <v>1</v>
      </c>
      <c r="AC376" s="47" t="s">
        <v>1</v>
      </c>
      <c r="AD376" s="36" t="s">
        <v>1</v>
      </c>
      <c r="AE376" s="51" t="s">
        <v>1</v>
      </c>
      <c r="AF376" s="36" t="s">
        <v>1</v>
      </c>
      <c r="AG376" s="51" t="s">
        <v>1</v>
      </c>
      <c r="AH376" s="36" t="s">
        <v>1</v>
      </c>
      <c r="AI376" s="51" t="s">
        <v>1</v>
      </c>
      <c r="AJ376" s="36" t="s">
        <v>1</v>
      </c>
      <c r="AK376" s="51" t="s">
        <v>1</v>
      </c>
      <c r="AL376" s="36" t="s">
        <v>1</v>
      </c>
      <c r="AM376" s="31" t="s">
        <v>1</v>
      </c>
      <c r="AN376" s="36" t="s">
        <v>1</v>
      </c>
      <c r="AO376" s="31" t="s">
        <v>1</v>
      </c>
      <c r="AP376" s="36" t="s">
        <v>1</v>
      </c>
      <c r="AQ376" s="51" t="s">
        <v>1</v>
      </c>
      <c r="AR376" s="36" t="s">
        <v>1</v>
      </c>
      <c r="AS376" s="47" t="s">
        <v>1</v>
      </c>
      <c r="AT376" s="36" t="s">
        <v>1</v>
      </c>
      <c r="AU376" s="47" t="s">
        <v>1</v>
      </c>
      <c r="AV376" s="36" t="s">
        <v>1</v>
      </c>
      <c r="AW376" s="47" t="s">
        <v>1</v>
      </c>
      <c r="AX376" s="36" t="s">
        <v>2065</v>
      </c>
      <c r="AY376" s="47" t="s">
        <v>2193</v>
      </c>
      <c r="AZ376" s="36" t="s">
        <v>1299</v>
      </c>
      <c r="BA376" s="47" t="s">
        <v>2193</v>
      </c>
      <c r="BB376" s="36" t="s">
        <v>2188</v>
      </c>
      <c r="BC376" s="47" t="s">
        <v>819</v>
      </c>
      <c r="BD376" s="36" t="s">
        <v>2189</v>
      </c>
      <c r="BE376" s="47" t="str">
        <f t="shared" si="12"/>
        <v>"Bairro"</v>
      </c>
    </row>
    <row r="377" spans="1:57" ht="6.65" customHeight="1" x14ac:dyDescent="0.4">
      <c r="A377" s="93">
        <v>377</v>
      </c>
      <c r="B377" s="74" t="s">
        <v>1174</v>
      </c>
      <c r="C377" s="44" t="s">
        <v>664</v>
      </c>
      <c r="D377" s="18" t="s">
        <v>744</v>
      </c>
      <c r="E377" s="48" t="s">
        <v>891</v>
      </c>
      <c r="F377" s="18" t="s">
        <v>820</v>
      </c>
      <c r="G377" s="48" t="s">
        <v>1000</v>
      </c>
      <c r="H377" s="18" t="s">
        <v>1062</v>
      </c>
      <c r="I377" s="48" t="s">
        <v>891</v>
      </c>
      <c r="J377" s="18" t="s">
        <v>744</v>
      </c>
      <c r="K377" s="48" t="s">
        <v>1063</v>
      </c>
      <c r="L377" s="18" t="s">
        <v>1</v>
      </c>
      <c r="M377" s="20" t="s">
        <v>1</v>
      </c>
      <c r="N377" s="46" t="s">
        <v>82</v>
      </c>
      <c r="O377" s="25" t="str">
        <f t="shared" si="13"/>
        <v>"Bairro N° B.047 RA.31 Parada.de.Lucas"</v>
      </c>
      <c r="P377" s="46" t="s">
        <v>1</v>
      </c>
      <c r="Q377" s="25" t="s">
        <v>1</v>
      </c>
      <c r="R377" s="46" t="s">
        <v>1</v>
      </c>
      <c r="S377" s="52" t="s">
        <v>1</v>
      </c>
      <c r="T377" s="46" t="s">
        <v>1</v>
      </c>
      <c r="U377" s="31" t="s">
        <v>1</v>
      </c>
      <c r="V377" s="46" t="s">
        <v>1</v>
      </c>
      <c r="W377" s="31" t="s">
        <v>1</v>
      </c>
      <c r="X377" s="46" t="s">
        <v>1</v>
      </c>
      <c r="Y377" s="31" t="s">
        <v>1</v>
      </c>
      <c r="Z377" s="46" t="s">
        <v>1</v>
      </c>
      <c r="AA377" s="31" t="s">
        <v>1</v>
      </c>
      <c r="AB377" s="46" t="s">
        <v>1</v>
      </c>
      <c r="AC377" s="47" t="s">
        <v>1</v>
      </c>
      <c r="AD377" s="36" t="s">
        <v>1</v>
      </c>
      <c r="AE377" s="51" t="s">
        <v>1</v>
      </c>
      <c r="AF377" s="36" t="s">
        <v>1</v>
      </c>
      <c r="AG377" s="51" t="s">
        <v>1</v>
      </c>
      <c r="AH377" s="36" t="s">
        <v>1</v>
      </c>
      <c r="AI377" s="51" t="s">
        <v>1</v>
      </c>
      <c r="AJ377" s="36" t="s">
        <v>1</v>
      </c>
      <c r="AK377" s="51" t="s">
        <v>1</v>
      </c>
      <c r="AL377" s="36" t="s">
        <v>1</v>
      </c>
      <c r="AM377" s="31" t="s">
        <v>1</v>
      </c>
      <c r="AN377" s="36" t="s">
        <v>1</v>
      </c>
      <c r="AO377" s="31" t="s">
        <v>1</v>
      </c>
      <c r="AP377" s="36" t="s">
        <v>1</v>
      </c>
      <c r="AQ377" s="51" t="s">
        <v>1</v>
      </c>
      <c r="AR377" s="36" t="s">
        <v>1</v>
      </c>
      <c r="AS377" s="47" t="s">
        <v>1</v>
      </c>
      <c r="AT377" s="36" t="s">
        <v>1</v>
      </c>
      <c r="AU377" s="47" t="s">
        <v>1</v>
      </c>
      <c r="AV377" s="36" t="s">
        <v>1</v>
      </c>
      <c r="AW377" s="47" t="s">
        <v>1</v>
      </c>
      <c r="AX377" s="36" t="s">
        <v>2065</v>
      </c>
      <c r="AY377" s="47" t="s">
        <v>2193</v>
      </c>
      <c r="AZ377" s="36" t="s">
        <v>1299</v>
      </c>
      <c r="BA377" s="47" t="s">
        <v>2193</v>
      </c>
      <c r="BB377" s="36" t="s">
        <v>2188</v>
      </c>
      <c r="BC377" s="47" t="s">
        <v>819</v>
      </c>
      <c r="BD377" s="36" t="s">
        <v>2189</v>
      </c>
      <c r="BE377" s="47" t="str">
        <f t="shared" si="12"/>
        <v>"Bairro"</v>
      </c>
    </row>
    <row r="378" spans="1:57" ht="6.65" customHeight="1" x14ac:dyDescent="0.4">
      <c r="A378" s="93">
        <v>378</v>
      </c>
      <c r="B378" s="74" t="s">
        <v>1175</v>
      </c>
      <c r="C378" s="44" t="s">
        <v>664</v>
      </c>
      <c r="D378" s="18" t="s">
        <v>744</v>
      </c>
      <c r="E378" s="48" t="s">
        <v>873</v>
      </c>
      <c r="F378" s="18" t="s">
        <v>820</v>
      </c>
      <c r="G378" s="48" t="s">
        <v>1001</v>
      </c>
      <c r="H378" s="18" t="s">
        <v>1062</v>
      </c>
      <c r="I378" s="48" t="s">
        <v>873</v>
      </c>
      <c r="J378" s="18" t="s">
        <v>744</v>
      </c>
      <c r="K378" s="48" t="s">
        <v>1063</v>
      </c>
      <c r="L378" s="18" t="s">
        <v>1</v>
      </c>
      <c r="M378" s="20" t="s">
        <v>1</v>
      </c>
      <c r="N378" s="46" t="s">
        <v>82</v>
      </c>
      <c r="O378" s="25" t="str">
        <f t="shared" si="13"/>
        <v>"Bairro N° B.108 RA.22 Parque.Anchieta"</v>
      </c>
      <c r="P378" s="46" t="s">
        <v>1</v>
      </c>
      <c r="Q378" s="25" t="s">
        <v>1</v>
      </c>
      <c r="R378" s="46" t="s">
        <v>1</v>
      </c>
      <c r="S378" s="52" t="s">
        <v>1</v>
      </c>
      <c r="T378" s="46" t="s">
        <v>1</v>
      </c>
      <c r="U378" s="31" t="s">
        <v>1</v>
      </c>
      <c r="V378" s="46" t="s">
        <v>1</v>
      </c>
      <c r="W378" s="31" t="s">
        <v>1</v>
      </c>
      <c r="X378" s="46" t="s">
        <v>1</v>
      </c>
      <c r="Y378" s="31" t="s">
        <v>1</v>
      </c>
      <c r="Z378" s="46" t="s">
        <v>1</v>
      </c>
      <c r="AA378" s="31" t="s">
        <v>1</v>
      </c>
      <c r="AB378" s="46" t="s">
        <v>1</v>
      </c>
      <c r="AC378" s="47" t="s">
        <v>1</v>
      </c>
      <c r="AD378" s="36" t="s">
        <v>1</v>
      </c>
      <c r="AE378" s="51" t="s">
        <v>1</v>
      </c>
      <c r="AF378" s="36" t="s">
        <v>1</v>
      </c>
      <c r="AG378" s="51" t="s">
        <v>1</v>
      </c>
      <c r="AH378" s="36" t="s">
        <v>1</v>
      </c>
      <c r="AI378" s="51" t="s">
        <v>1</v>
      </c>
      <c r="AJ378" s="36" t="s">
        <v>1</v>
      </c>
      <c r="AK378" s="51" t="s">
        <v>1</v>
      </c>
      <c r="AL378" s="36" t="s">
        <v>1</v>
      </c>
      <c r="AM378" s="31" t="s">
        <v>1</v>
      </c>
      <c r="AN378" s="36" t="s">
        <v>1</v>
      </c>
      <c r="AO378" s="31" t="s">
        <v>1</v>
      </c>
      <c r="AP378" s="36" t="s">
        <v>1</v>
      </c>
      <c r="AQ378" s="51" t="s">
        <v>1</v>
      </c>
      <c r="AR378" s="36" t="s">
        <v>1</v>
      </c>
      <c r="AS378" s="47" t="s">
        <v>1</v>
      </c>
      <c r="AT378" s="36" t="s">
        <v>1</v>
      </c>
      <c r="AU378" s="47" t="s">
        <v>1</v>
      </c>
      <c r="AV378" s="36" t="s">
        <v>1</v>
      </c>
      <c r="AW378" s="47" t="s">
        <v>1</v>
      </c>
      <c r="AX378" s="36" t="s">
        <v>2065</v>
      </c>
      <c r="AY378" s="47" t="s">
        <v>2193</v>
      </c>
      <c r="AZ378" s="36" t="s">
        <v>1299</v>
      </c>
      <c r="BA378" s="47" t="s">
        <v>2193</v>
      </c>
      <c r="BB378" s="36" t="s">
        <v>2188</v>
      </c>
      <c r="BC378" s="47" t="s">
        <v>819</v>
      </c>
      <c r="BD378" s="36" t="s">
        <v>2189</v>
      </c>
      <c r="BE378" s="47" t="str">
        <f t="shared" si="12"/>
        <v>"Bairro"</v>
      </c>
    </row>
    <row r="379" spans="1:57" ht="6.65" customHeight="1" x14ac:dyDescent="0.4">
      <c r="A379" s="93">
        <v>379</v>
      </c>
      <c r="B379" s="74" t="s">
        <v>1176</v>
      </c>
      <c r="C379" s="44" t="s">
        <v>664</v>
      </c>
      <c r="D379" s="18" t="s">
        <v>744</v>
      </c>
      <c r="E379" s="48" t="s">
        <v>879</v>
      </c>
      <c r="F379" s="18" t="s">
        <v>820</v>
      </c>
      <c r="G379" s="48" t="s">
        <v>1002</v>
      </c>
      <c r="H379" s="18" t="s">
        <v>1062</v>
      </c>
      <c r="I379" s="48" t="s">
        <v>879</v>
      </c>
      <c r="J379" s="18" t="s">
        <v>744</v>
      </c>
      <c r="K379" s="48" t="s">
        <v>1063</v>
      </c>
      <c r="L379" s="18" t="s">
        <v>1</v>
      </c>
      <c r="M379" s="20" t="s">
        <v>1</v>
      </c>
      <c r="N379" s="46" t="s">
        <v>82</v>
      </c>
      <c r="O379" s="25" t="str">
        <f t="shared" si="13"/>
        <v>"Bairro N° B.159 RA.25 Parque.Colúmbia"</v>
      </c>
      <c r="P379" s="46" t="s">
        <v>1</v>
      </c>
      <c r="Q379" s="25" t="s">
        <v>1</v>
      </c>
      <c r="R379" s="46" t="s">
        <v>1</v>
      </c>
      <c r="S379" s="52" t="s">
        <v>1</v>
      </c>
      <c r="T379" s="46" t="s">
        <v>1</v>
      </c>
      <c r="U379" s="31" t="s">
        <v>1</v>
      </c>
      <c r="V379" s="46" t="s">
        <v>1</v>
      </c>
      <c r="W379" s="31" t="s">
        <v>1</v>
      </c>
      <c r="X379" s="46" t="s">
        <v>1</v>
      </c>
      <c r="Y379" s="31" t="s">
        <v>1</v>
      </c>
      <c r="Z379" s="46" t="s">
        <v>1</v>
      </c>
      <c r="AA379" s="31" t="s">
        <v>1</v>
      </c>
      <c r="AB379" s="46" t="s">
        <v>1</v>
      </c>
      <c r="AC379" s="47" t="s">
        <v>1</v>
      </c>
      <c r="AD379" s="36" t="s">
        <v>1</v>
      </c>
      <c r="AE379" s="51" t="s">
        <v>1</v>
      </c>
      <c r="AF379" s="36" t="s">
        <v>1</v>
      </c>
      <c r="AG379" s="51" t="s">
        <v>1</v>
      </c>
      <c r="AH379" s="36" t="s">
        <v>1</v>
      </c>
      <c r="AI379" s="51" t="s">
        <v>1</v>
      </c>
      <c r="AJ379" s="36" t="s">
        <v>1</v>
      </c>
      <c r="AK379" s="51" t="s">
        <v>1</v>
      </c>
      <c r="AL379" s="36" t="s">
        <v>1</v>
      </c>
      <c r="AM379" s="31" t="s">
        <v>1</v>
      </c>
      <c r="AN379" s="36" t="s">
        <v>1</v>
      </c>
      <c r="AO379" s="31" t="s">
        <v>1</v>
      </c>
      <c r="AP379" s="36" t="s">
        <v>1</v>
      </c>
      <c r="AQ379" s="51" t="s">
        <v>1</v>
      </c>
      <c r="AR379" s="36" t="s">
        <v>1</v>
      </c>
      <c r="AS379" s="47" t="s">
        <v>1</v>
      </c>
      <c r="AT379" s="36" t="s">
        <v>1</v>
      </c>
      <c r="AU379" s="47" t="s">
        <v>1</v>
      </c>
      <c r="AV379" s="36" t="s">
        <v>1</v>
      </c>
      <c r="AW379" s="47" t="s">
        <v>1</v>
      </c>
      <c r="AX379" s="36" t="s">
        <v>2065</v>
      </c>
      <c r="AY379" s="47" t="s">
        <v>2193</v>
      </c>
      <c r="AZ379" s="36" t="s">
        <v>1299</v>
      </c>
      <c r="BA379" s="47" t="s">
        <v>2193</v>
      </c>
      <c r="BB379" s="36" t="s">
        <v>2188</v>
      </c>
      <c r="BC379" s="47" t="s">
        <v>819</v>
      </c>
      <c r="BD379" s="36" t="s">
        <v>2189</v>
      </c>
      <c r="BE379" s="47" t="str">
        <f t="shared" si="12"/>
        <v>"Bairro"</v>
      </c>
    </row>
    <row r="380" spans="1:57" ht="6.65" customHeight="1" x14ac:dyDescent="0.4">
      <c r="A380" s="93">
        <v>380</v>
      </c>
      <c r="B380" s="74" t="s">
        <v>1177</v>
      </c>
      <c r="C380" s="44" t="s">
        <v>664</v>
      </c>
      <c r="D380" s="18" t="s">
        <v>744</v>
      </c>
      <c r="E380" s="48" t="s">
        <v>879</v>
      </c>
      <c r="F380" s="18" t="s">
        <v>820</v>
      </c>
      <c r="G380" s="48" t="s">
        <v>1003</v>
      </c>
      <c r="H380" s="18" t="s">
        <v>1062</v>
      </c>
      <c r="I380" s="48" t="s">
        <v>879</v>
      </c>
      <c r="J380" s="18" t="s">
        <v>744</v>
      </c>
      <c r="K380" s="48" t="s">
        <v>1063</v>
      </c>
      <c r="L380" s="18" t="s">
        <v>1</v>
      </c>
      <c r="M380" s="20" t="s">
        <v>1</v>
      </c>
      <c r="N380" s="46" t="s">
        <v>82</v>
      </c>
      <c r="O380" s="25" t="str">
        <f t="shared" si="13"/>
        <v>"Bairro N° B.114 RA.25 Pavuna"</v>
      </c>
      <c r="P380" s="46" t="s">
        <v>1</v>
      </c>
      <c r="Q380" s="25" t="s">
        <v>1</v>
      </c>
      <c r="R380" s="46" t="s">
        <v>1</v>
      </c>
      <c r="S380" s="52" t="s">
        <v>1</v>
      </c>
      <c r="T380" s="46" t="s">
        <v>1</v>
      </c>
      <c r="U380" s="31" t="s">
        <v>1</v>
      </c>
      <c r="V380" s="46" t="s">
        <v>1</v>
      </c>
      <c r="W380" s="31" t="s">
        <v>1</v>
      </c>
      <c r="X380" s="46" t="s">
        <v>1</v>
      </c>
      <c r="Y380" s="31" t="s">
        <v>1</v>
      </c>
      <c r="Z380" s="46" t="s">
        <v>1</v>
      </c>
      <c r="AA380" s="31" t="s">
        <v>1</v>
      </c>
      <c r="AB380" s="46" t="s">
        <v>1</v>
      </c>
      <c r="AC380" s="47" t="s">
        <v>1</v>
      </c>
      <c r="AD380" s="36" t="s">
        <v>1</v>
      </c>
      <c r="AE380" s="51" t="s">
        <v>1</v>
      </c>
      <c r="AF380" s="36" t="s">
        <v>1</v>
      </c>
      <c r="AG380" s="51" t="s">
        <v>1</v>
      </c>
      <c r="AH380" s="36" t="s">
        <v>1</v>
      </c>
      <c r="AI380" s="51" t="s">
        <v>1</v>
      </c>
      <c r="AJ380" s="36" t="s">
        <v>1</v>
      </c>
      <c r="AK380" s="51" t="s">
        <v>1</v>
      </c>
      <c r="AL380" s="36" t="s">
        <v>1</v>
      </c>
      <c r="AM380" s="31" t="s">
        <v>1</v>
      </c>
      <c r="AN380" s="36" t="s">
        <v>1</v>
      </c>
      <c r="AO380" s="31" t="s">
        <v>1</v>
      </c>
      <c r="AP380" s="36" t="s">
        <v>1</v>
      </c>
      <c r="AQ380" s="51" t="s">
        <v>1</v>
      </c>
      <c r="AR380" s="36" t="s">
        <v>1</v>
      </c>
      <c r="AS380" s="47" t="s">
        <v>1</v>
      </c>
      <c r="AT380" s="36" t="s">
        <v>1</v>
      </c>
      <c r="AU380" s="47" t="s">
        <v>1</v>
      </c>
      <c r="AV380" s="36" t="s">
        <v>1</v>
      </c>
      <c r="AW380" s="47" t="s">
        <v>1</v>
      </c>
      <c r="AX380" s="36" t="s">
        <v>2065</v>
      </c>
      <c r="AY380" s="47" t="s">
        <v>2193</v>
      </c>
      <c r="AZ380" s="36" t="s">
        <v>1299</v>
      </c>
      <c r="BA380" s="47" t="s">
        <v>2193</v>
      </c>
      <c r="BB380" s="36" t="s">
        <v>2188</v>
      </c>
      <c r="BC380" s="47" t="s">
        <v>819</v>
      </c>
      <c r="BD380" s="36" t="s">
        <v>2189</v>
      </c>
      <c r="BE380" s="47" t="str">
        <f t="shared" si="12"/>
        <v>"Bairro"</v>
      </c>
    </row>
    <row r="381" spans="1:57" ht="6.65" customHeight="1" x14ac:dyDescent="0.4">
      <c r="A381" s="93">
        <v>381</v>
      </c>
      <c r="B381" s="74" t="s">
        <v>1178</v>
      </c>
      <c r="C381" s="44" t="s">
        <v>664</v>
      </c>
      <c r="D381" s="18" t="s">
        <v>744</v>
      </c>
      <c r="E381" s="48" t="s">
        <v>861</v>
      </c>
      <c r="F381" s="18" t="s">
        <v>820</v>
      </c>
      <c r="G381" s="48" t="s">
        <v>1004</v>
      </c>
      <c r="H381" s="18" t="s">
        <v>1062</v>
      </c>
      <c r="I381" s="48" t="s">
        <v>861</v>
      </c>
      <c r="J381" s="18" t="s">
        <v>744</v>
      </c>
      <c r="K381" s="48" t="s">
        <v>1071</v>
      </c>
      <c r="L381" s="18" t="s">
        <v>1</v>
      </c>
      <c r="M381" s="20" t="s">
        <v>1</v>
      </c>
      <c r="N381" s="46" t="s">
        <v>82</v>
      </c>
      <c r="O381" s="25" t="str">
        <f t="shared" si="13"/>
        <v>"Bairro N° B.121 RA.16 Pechincha"</v>
      </c>
      <c r="P381" s="46" t="s">
        <v>1</v>
      </c>
      <c r="Q381" s="25" t="s">
        <v>1</v>
      </c>
      <c r="R381" s="46" t="s">
        <v>1</v>
      </c>
      <c r="S381" s="52" t="s">
        <v>1</v>
      </c>
      <c r="T381" s="46" t="s">
        <v>1</v>
      </c>
      <c r="U381" s="31" t="s">
        <v>1</v>
      </c>
      <c r="V381" s="46" t="s">
        <v>1</v>
      </c>
      <c r="W381" s="31" t="s">
        <v>1</v>
      </c>
      <c r="X381" s="46" t="s">
        <v>1</v>
      </c>
      <c r="Y381" s="31" t="s">
        <v>1</v>
      </c>
      <c r="Z381" s="46" t="s">
        <v>1</v>
      </c>
      <c r="AA381" s="31" t="s">
        <v>1</v>
      </c>
      <c r="AB381" s="46" t="s">
        <v>1</v>
      </c>
      <c r="AC381" s="47" t="s">
        <v>1</v>
      </c>
      <c r="AD381" s="36" t="s">
        <v>1</v>
      </c>
      <c r="AE381" s="51" t="s">
        <v>1</v>
      </c>
      <c r="AF381" s="36" t="s">
        <v>1</v>
      </c>
      <c r="AG381" s="51" t="s">
        <v>1</v>
      </c>
      <c r="AH381" s="36" t="s">
        <v>1</v>
      </c>
      <c r="AI381" s="51" t="s">
        <v>1</v>
      </c>
      <c r="AJ381" s="36" t="s">
        <v>1</v>
      </c>
      <c r="AK381" s="51" t="s">
        <v>1</v>
      </c>
      <c r="AL381" s="36" t="s">
        <v>1</v>
      </c>
      <c r="AM381" s="31" t="s">
        <v>1</v>
      </c>
      <c r="AN381" s="36" t="s">
        <v>1</v>
      </c>
      <c r="AO381" s="31" t="s">
        <v>1</v>
      </c>
      <c r="AP381" s="36" t="s">
        <v>1</v>
      </c>
      <c r="AQ381" s="51" t="s">
        <v>1</v>
      </c>
      <c r="AR381" s="36" t="s">
        <v>1</v>
      </c>
      <c r="AS381" s="47" t="s">
        <v>1</v>
      </c>
      <c r="AT381" s="36" t="s">
        <v>1</v>
      </c>
      <c r="AU381" s="47" t="s">
        <v>1</v>
      </c>
      <c r="AV381" s="36" t="s">
        <v>1</v>
      </c>
      <c r="AW381" s="47" t="s">
        <v>1</v>
      </c>
      <c r="AX381" s="36" t="s">
        <v>2065</v>
      </c>
      <c r="AY381" s="47" t="s">
        <v>2193</v>
      </c>
      <c r="AZ381" s="36" t="s">
        <v>1299</v>
      </c>
      <c r="BA381" s="47" t="s">
        <v>2193</v>
      </c>
      <c r="BB381" s="36" t="s">
        <v>2188</v>
      </c>
      <c r="BC381" s="47" t="s">
        <v>819</v>
      </c>
      <c r="BD381" s="36" t="s">
        <v>2189</v>
      </c>
      <c r="BE381" s="47" t="str">
        <f t="shared" si="12"/>
        <v>"Bairro"</v>
      </c>
    </row>
    <row r="382" spans="1:57" ht="6.65" customHeight="1" x14ac:dyDescent="0.4">
      <c r="A382" s="93">
        <v>382</v>
      </c>
      <c r="B382" s="74" t="s">
        <v>1179</v>
      </c>
      <c r="C382" s="44" t="s">
        <v>664</v>
      </c>
      <c r="D382" s="18" t="s">
        <v>744</v>
      </c>
      <c r="E382" s="48" t="s">
        <v>881</v>
      </c>
      <c r="F382" s="18" t="s">
        <v>820</v>
      </c>
      <c r="G382" s="48" t="s">
        <v>1005</v>
      </c>
      <c r="H382" s="18" t="s">
        <v>1062</v>
      </c>
      <c r="I382" s="48" t="s">
        <v>881</v>
      </c>
      <c r="J382" s="18" t="s">
        <v>744</v>
      </c>
      <c r="K382" s="48" t="s">
        <v>1079</v>
      </c>
      <c r="L382" s="18" t="s">
        <v>1</v>
      </c>
      <c r="M382" s="20" t="s">
        <v>1</v>
      </c>
      <c r="N382" s="46" t="s">
        <v>82</v>
      </c>
      <c r="O382" s="25" t="str">
        <f t="shared" si="13"/>
        <v>"Bairro N° B.153 RA.26 Pedra.de.Guaratiba"</v>
      </c>
      <c r="P382" s="46" t="s">
        <v>1</v>
      </c>
      <c r="Q382" s="25" t="s">
        <v>1</v>
      </c>
      <c r="R382" s="46" t="s">
        <v>1</v>
      </c>
      <c r="S382" s="52" t="s">
        <v>1</v>
      </c>
      <c r="T382" s="46" t="s">
        <v>1</v>
      </c>
      <c r="U382" s="31" t="s">
        <v>1</v>
      </c>
      <c r="V382" s="46" t="s">
        <v>1</v>
      </c>
      <c r="W382" s="31" t="s">
        <v>1</v>
      </c>
      <c r="X382" s="46" t="s">
        <v>1</v>
      </c>
      <c r="Y382" s="31" t="s">
        <v>1</v>
      </c>
      <c r="Z382" s="46" t="s">
        <v>1</v>
      </c>
      <c r="AA382" s="31" t="s">
        <v>1</v>
      </c>
      <c r="AB382" s="46" t="s">
        <v>1</v>
      </c>
      <c r="AC382" s="47" t="s">
        <v>1</v>
      </c>
      <c r="AD382" s="36" t="s">
        <v>1</v>
      </c>
      <c r="AE382" s="51" t="s">
        <v>1</v>
      </c>
      <c r="AF382" s="36" t="s">
        <v>1</v>
      </c>
      <c r="AG382" s="51" t="s">
        <v>1</v>
      </c>
      <c r="AH382" s="36" t="s">
        <v>1</v>
      </c>
      <c r="AI382" s="51" t="s">
        <v>1</v>
      </c>
      <c r="AJ382" s="36" t="s">
        <v>1</v>
      </c>
      <c r="AK382" s="51" t="s">
        <v>1</v>
      </c>
      <c r="AL382" s="36" t="s">
        <v>1</v>
      </c>
      <c r="AM382" s="31" t="s">
        <v>1</v>
      </c>
      <c r="AN382" s="36" t="s">
        <v>1</v>
      </c>
      <c r="AO382" s="31" t="s">
        <v>1</v>
      </c>
      <c r="AP382" s="36" t="s">
        <v>1</v>
      </c>
      <c r="AQ382" s="51" t="s">
        <v>1</v>
      </c>
      <c r="AR382" s="36" t="s">
        <v>1</v>
      </c>
      <c r="AS382" s="47" t="s">
        <v>1</v>
      </c>
      <c r="AT382" s="36" t="s">
        <v>1</v>
      </c>
      <c r="AU382" s="47" t="s">
        <v>1</v>
      </c>
      <c r="AV382" s="36" t="s">
        <v>1</v>
      </c>
      <c r="AW382" s="47" t="s">
        <v>1</v>
      </c>
      <c r="AX382" s="36" t="s">
        <v>2065</v>
      </c>
      <c r="AY382" s="47" t="s">
        <v>2193</v>
      </c>
      <c r="AZ382" s="36" t="s">
        <v>1299</v>
      </c>
      <c r="BA382" s="47" t="s">
        <v>2193</v>
      </c>
      <c r="BB382" s="36" t="s">
        <v>2188</v>
      </c>
      <c r="BC382" s="47" t="s">
        <v>819</v>
      </c>
      <c r="BD382" s="36" t="s">
        <v>2189</v>
      </c>
      <c r="BE382" s="47" t="str">
        <f t="shared" si="12"/>
        <v>"Bairro"</v>
      </c>
    </row>
    <row r="383" spans="1:57" ht="6.65" customHeight="1" x14ac:dyDescent="0.4">
      <c r="A383" s="93">
        <v>383</v>
      </c>
      <c r="B383" s="74" t="s">
        <v>1180</v>
      </c>
      <c r="C383" s="44" t="s">
        <v>664</v>
      </c>
      <c r="D383" s="18" t="s">
        <v>744</v>
      </c>
      <c r="E383" s="48" t="s">
        <v>851</v>
      </c>
      <c r="F383" s="18" t="s">
        <v>820</v>
      </c>
      <c r="G383" s="48" t="s">
        <v>1006</v>
      </c>
      <c r="H383" s="18" t="s">
        <v>1062</v>
      </c>
      <c r="I383" s="48" t="s">
        <v>851</v>
      </c>
      <c r="J383" s="18" t="s">
        <v>744</v>
      </c>
      <c r="K383" s="48" t="s">
        <v>1063</v>
      </c>
      <c r="L383" s="18" t="s">
        <v>1</v>
      </c>
      <c r="M383" s="20" t="s">
        <v>1</v>
      </c>
      <c r="N383" s="46" t="s">
        <v>82</v>
      </c>
      <c r="O383" s="25" t="str">
        <f t="shared" si="13"/>
        <v>"Bairro N° B.043 RA.11 Penha"</v>
      </c>
      <c r="P383" s="46" t="s">
        <v>1</v>
      </c>
      <c r="Q383" s="25" t="s">
        <v>1</v>
      </c>
      <c r="R383" s="46" t="s">
        <v>1</v>
      </c>
      <c r="S383" s="52" t="s">
        <v>1</v>
      </c>
      <c r="T383" s="46" t="s">
        <v>1</v>
      </c>
      <c r="U383" s="31" t="s">
        <v>1</v>
      </c>
      <c r="V383" s="46" t="s">
        <v>1</v>
      </c>
      <c r="W383" s="31" t="s">
        <v>1</v>
      </c>
      <c r="X383" s="46" t="s">
        <v>1</v>
      </c>
      <c r="Y383" s="31" t="s">
        <v>1</v>
      </c>
      <c r="Z383" s="46" t="s">
        <v>1</v>
      </c>
      <c r="AA383" s="31" t="s">
        <v>1</v>
      </c>
      <c r="AB383" s="46" t="s">
        <v>1</v>
      </c>
      <c r="AC383" s="47" t="s">
        <v>1</v>
      </c>
      <c r="AD383" s="36" t="s">
        <v>1</v>
      </c>
      <c r="AE383" s="51" t="s">
        <v>1</v>
      </c>
      <c r="AF383" s="36" t="s">
        <v>1</v>
      </c>
      <c r="AG383" s="51" t="s">
        <v>1</v>
      </c>
      <c r="AH383" s="36" t="s">
        <v>1</v>
      </c>
      <c r="AI383" s="51" t="s">
        <v>1</v>
      </c>
      <c r="AJ383" s="36" t="s">
        <v>1</v>
      </c>
      <c r="AK383" s="51" t="s">
        <v>1</v>
      </c>
      <c r="AL383" s="36" t="s">
        <v>1</v>
      </c>
      <c r="AM383" s="31" t="s">
        <v>1</v>
      </c>
      <c r="AN383" s="36" t="s">
        <v>1</v>
      </c>
      <c r="AO383" s="31" t="s">
        <v>1</v>
      </c>
      <c r="AP383" s="36" t="s">
        <v>1</v>
      </c>
      <c r="AQ383" s="51" t="s">
        <v>1</v>
      </c>
      <c r="AR383" s="36" t="s">
        <v>1</v>
      </c>
      <c r="AS383" s="47" t="s">
        <v>1</v>
      </c>
      <c r="AT383" s="36" t="s">
        <v>1</v>
      </c>
      <c r="AU383" s="47" t="s">
        <v>1</v>
      </c>
      <c r="AV383" s="36" t="s">
        <v>1</v>
      </c>
      <c r="AW383" s="47" t="s">
        <v>1</v>
      </c>
      <c r="AX383" s="36" t="s">
        <v>2065</v>
      </c>
      <c r="AY383" s="47" t="s">
        <v>2193</v>
      </c>
      <c r="AZ383" s="36" t="s">
        <v>1299</v>
      </c>
      <c r="BA383" s="47" t="s">
        <v>2193</v>
      </c>
      <c r="BB383" s="36" t="s">
        <v>2188</v>
      </c>
      <c r="BC383" s="47" t="s">
        <v>819</v>
      </c>
      <c r="BD383" s="36" t="s">
        <v>2189</v>
      </c>
      <c r="BE383" s="47" t="str">
        <f t="shared" si="12"/>
        <v>"Bairro"</v>
      </c>
    </row>
    <row r="384" spans="1:57" ht="6.65" customHeight="1" x14ac:dyDescent="0.4">
      <c r="A384" s="93">
        <v>384</v>
      </c>
      <c r="B384" s="74" t="s">
        <v>1181</v>
      </c>
      <c r="C384" s="44" t="s">
        <v>664</v>
      </c>
      <c r="D384" s="18" t="s">
        <v>744</v>
      </c>
      <c r="E384" s="48" t="s">
        <v>851</v>
      </c>
      <c r="F384" s="18" t="s">
        <v>820</v>
      </c>
      <c r="G384" s="48" t="s">
        <v>1007</v>
      </c>
      <c r="H384" s="18" t="s">
        <v>1062</v>
      </c>
      <c r="I384" s="48" t="s">
        <v>851</v>
      </c>
      <c r="J384" s="18" t="s">
        <v>744</v>
      </c>
      <c r="K384" s="48" t="s">
        <v>1063</v>
      </c>
      <c r="L384" s="18" t="s">
        <v>1</v>
      </c>
      <c r="M384" s="20" t="s">
        <v>1</v>
      </c>
      <c r="N384" s="46" t="s">
        <v>82</v>
      </c>
      <c r="O384" s="25" t="str">
        <f t="shared" si="13"/>
        <v>"Bairro N° B.044 RA.11 Penha.Circular"</v>
      </c>
      <c r="P384" s="46" t="s">
        <v>1</v>
      </c>
      <c r="Q384" s="25" t="s">
        <v>1</v>
      </c>
      <c r="R384" s="46" t="s">
        <v>1</v>
      </c>
      <c r="S384" s="52" t="s">
        <v>1</v>
      </c>
      <c r="T384" s="46" t="s">
        <v>1</v>
      </c>
      <c r="U384" s="31" t="s">
        <v>1</v>
      </c>
      <c r="V384" s="46" t="s">
        <v>1</v>
      </c>
      <c r="W384" s="31" t="s">
        <v>1</v>
      </c>
      <c r="X384" s="46" t="s">
        <v>1</v>
      </c>
      <c r="Y384" s="31" t="s">
        <v>1</v>
      </c>
      <c r="Z384" s="46" t="s">
        <v>1</v>
      </c>
      <c r="AA384" s="31" t="s">
        <v>1</v>
      </c>
      <c r="AB384" s="46" t="s">
        <v>1</v>
      </c>
      <c r="AC384" s="47" t="s">
        <v>1</v>
      </c>
      <c r="AD384" s="36" t="s">
        <v>1</v>
      </c>
      <c r="AE384" s="51" t="s">
        <v>1</v>
      </c>
      <c r="AF384" s="36" t="s">
        <v>1</v>
      </c>
      <c r="AG384" s="51" t="s">
        <v>1</v>
      </c>
      <c r="AH384" s="36" t="s">
        <v>1</v>
      </c>
      <c r="AI384" s="51" t="s">
        <v>1</v>
      </c>
      <c r="AJ384" s="36" t="s">
        <v>1</v>
      </c>
      <c r="AK384" s="51" t="s">
        <v>1</v>
      </c>
      <c r="AL384" s="36" t="s">
        <v>1</v>
      </c>
      <c r="AM384" s="31" t="s">
        <v>1</v>
      </c>
      <c r="AN384" s="36" t="s">
        <v>1</v>
      </c>
      <c r="AO384" s="31" t="s">
        <v>1</v>
      </c>
      <c r="AP384" s="36" t="s">
        <v>1</v>
      </c>
      <c r="AQ384" s="51" t="s">
        <v>1</v>
      </c>
      <c r="AR384" s="36" t="s">
        <v>1</v>
      </c>
      <c r="AS384" s="47" t="s">
        <v>1</v>
      </c>
      <c r="AT384" s="36" t="s">
        <v>1</v>
      </c>
      <c r="AU384" s="47" t="s">
        <v>1</v>
      </c>
      <c r="AV384" s="36" t="s">
        <v>1</v>
      </c>
      <c r="AW384" s="47" t="s">
        <v>1</v>
      </c>
      <c r="AX384" s="36" t="s">
        <v>2065</v>
      </c>
      <c r="AY384" s="47" t="s">
        <v>2193</v>
      </c>
      <c r="AZ384" s="36" t="s">
        <v>1299</v>
      </c>
      <c r="BA384" s="47" t="s">
        <v>2193</v>
      </c>
      <c r="BB384" s="36" t="s">
        <v>2188</v>
      </c>
      <c r="BC384" s="47" t="s">
        <v>819</v>
      </c>
      <c r="BD384" s="36" t="s">
        <v>2189</v>
      </c>
      <c r="BE384" s="47" t="str">
        <f t="shared" si="12"/>
        <v>"Bairro"</v>
      </c>
    </row>
    <row r="385" spans="1:57" ht="6.65" customHeight="1" x14ac:dyDescent="0.4">
      <c r="A385" s="93">
        <v>385</v>
      </c>
      <c r="B385" s="74" t="s">
        <v>1182</v>
      </c>
      <c r="C385" s="44" t="s">
        <v>664</v>
      </c>
      <c r="D385" s="18" t="s">
        <v>744</v>
      </c>
      <c r="E385" s="48" t="s">
        <v>855</v>
      </c>
      <c r="F385" s="18" t="s">
        <v>820</v>
      </c>
      <c r="G385" s="48" t="s">
        <v>1008</v>
      </c>
      <c r="H385" s="18" t="s">
        <v>1062</v>
      </c>
      <c r="I385" s="48" t="s">
        <v>855</v>
      </c>
      <c r="J385" s="18" t="s">
        <v>744</v>
      </c>
      <c r="K385" s="48" t="s">
        <v>1063</v>
      </c>
      <c r="L385" s="18" t="s">
        <v>1</v>
      </c>
      <c r="M385" s="20" t="s">
        <v>1</v>
      </c>
      <c r="N385" s="46" t="s">
        <v>82</v>
      </c>
      <c r="O385" s="25" t="str">
        <f t="shared" si="13"/>
        <v>"Bairro N° B.069 RA.13 Piedade"</v>
      </c>
      <c r="P385" s="46" t="s">
        <v>1</v>
      </c>
      <c r="Q385" s="25" t="s">
        <v>1</v>
      </c>
      <c r="R385" s="46" t="s">
        <v>1</v>
      </c>
      <c r="S385" s="52" t="s">
        <v>1</v>
      </c>
      <c r="T385" s="46" t="s">
        <v>1</v>
      </c>
      <c r="U385" s="31" t="s">
        <v>1</v>
      </c>
      <c r="V385" s="46" t="s">
        <v>1</v>
      </c>
      <c r="W385" s="31" t="s">
        <v>1</v>
      </c>
      <c r="X385" s="46" t="s">
        <v>1</v>
      </c>
      <c r="Y385" s="31" t="s">
        <v>1</v>
      </c>
      <c r="Z385" s="46" t="s">
        <v>1</v>
      </c>
      <c r="AA385" s="31" t="s">
        <v>1</v>
      </c>
      <c r="AB385" s="46" t="s">
        <v>1</v>
      </c>
      <c r="AC385" s="47" t="s">
        <v>1</v>
      </c>
      <c r="AD385" s="36" t="s">
        <v>1</v>
      </c>
      <c r="AE385" s="51" t="s">
        <v>1</v>
      </c>
      <c r="AF385" s="36" t="s">
        <v>1</v>
      </c>
      <c r="AG385" s="51" t="s">
        <v>1</v>
      </c>
      <c r="AH385" s="36" t="s">
        <v>1</v>
      </c>
      <c r="AI385" s="51" t="s">
        <v>1</v>
      </c>
      <c r="AJ385" s="36" t="s">
        <v>1</v>
      </c>
      <c r="AK385" s="51" t="s">
        <v>1</v>
      </c>
      <c r="AL385" s="36" t="s">
        <v>1</v>
      </c>
      <c r="AM385" s="31" t="s">
        <v>1</v>
      </c>
      <c r="AN385" s="36" t="s">
        <v>1</v>
      </c>
      <c r="AO385" s="31" t="s">
        <v>1</v>
      </c>
      <c r="AP385" s="36" t="s">
        <v>1</v>
      </c>
      <c r="AQ385" s="51" t="s">
        <v>1</v>
      </c>
      <c r="AR385" s="36" t="s">
        <v>1</v>
      </c>
      <c r="AS385" s="47" t="s">
        <v>1</v>
      </c>
      <c r="AT385" s="36" t="s">
        <v>1</v>
      </c>
      <c r="AU385" s="47" t="s">
        <v>1</v>
      </c>
      <c r="AV385" s="36" t="s">
        <v>1</v>
      </c>
      <c r="AW385" s="47" t="s">
        <v>1</v>
      </c>
      <c r="AX385" s="36" t="s">
        <v>2065</v>
      </c>
      <c r="AY385" s="47" t="s">
        <v>2193</v>
      </c>
      <c r="AZ385" s="36" t="s">
        <v>1299</v>
      </c>
      <c r="BA385" s="47" t="s">
        <v>2193</v>
      </c>
      <c r="BB385" s="36" t="s">
        <v>2188</v>
      </c>
      <c r="BC385" s="47" t="s">
        <v>819</v>
      </c>
      <c r="BD385" s="36" t="s">
        <v>2189</v>
      </c>
      <c r="BE385" s="47" t="str">
        <f t="shared" si="12"/>
        <v>"Bairro"</v>
      </c>
    </row>
    <row r="386" spans="1:57" ht="6.65" customHeight="1" x14ac:dyDescent="0.4">
      <c r="A386" s="93">
        <v>386</v>
      </c>
      <c r="B386" s="74" t="s">
        <v>1183</v>
      </c>
      <c r="C386" s="44" t="s">
        <v>664</v>
      </c>
      <c r="D386" s="18" t="s">
        <v>744</v>
      </c>
      <c r="E386" s="48" t="s">
        <v>855</v>
      </c>
      <c r="F386" s="18" t="s">
        <v>820</v>
      </c>
      <c r="G386" s="48" t="s">
        <v>1009</v>
      </c>
      <c r="H386" s="18" t="s">
        <v>1062</v>
      </c>
      <c r="I386" s="48" t="s">
        <v>855</v>
      </c>
      <c r="J386" s="18" t="s">
        <v>744</v>
      </c>
      <c r="K386" s="48" t="s">
        <v>1063</v>
      </c>
      <c r="L386" s="18" t="s">
        <v>1</v>
      </c>
      <c r="M386" s="20" t="s">
        <v>1</v>
      </c>
      <c r="N386" s="46" t="s">
        <v>82</v>
      </c>
      <c r="O386" s="25" t="str">
        <f t="shared" si="13"/>
        <v>"Bairro N° B.071 RA.13 Pilares"</v>
      </c>
      <c r="P386" s="46" t="s">
        <v>1</v>
      </c>
      <c r="Q386" s="25" t="s">
        <v>1</v>
      </c>
      <c r="R386" s="46" t="s">
        <v>1</v>
      </c>
      <c r="S386" s="52" t="s">
        <v>1</v>
      </c>
      <c r="T386" s="46" t="s">
        <v>1</v>
      </c>
      <c r="U386" s="31" t="s">
        <v>1</v>
      </c>
      <c r="V386" s="46" t="s">
        <v>1</v>
      </c>
      <c r="W386" s="31" t="s">
        <v>1</v>
      </c>
      <c r="X386" s="46" t="s">
        <v>1</v>
      </c>
      <c r="Y386" s="31" t="s">
        <v>1</v>
      </c>
      <c r="Z386" s="46" t="s">
        <v>1</v>
      </c>
      <c r="AA386" s="31" t="s">
        <v>1</v>
      </c>
      <c r="AB386" s="46" t="s">
        <v>1</v>
      </c>
      <c r="AC386" s="47" t="s">
        <v>1</v>
      </c>
      <c r="AD386" s="36" t="s">
        <v>1</v>
      </c>
      <c r="AE386" s="51" t="s">
        <v>1</v>
      </c>
      <c r="AF386" s="36" t="s">
        <v>1</v>
      </c>
      <c r="AG386" s="51" t="s">
        <v>1</v>
      </c>
      <c r="AH386" s="36" t="s">
        <v>1</v>
      </c>
      <c r="AI386" s="51" t="s">
        <v>1</v>
      </c>
      <c r="AJ386" s="36" t="s">
        <v>1</v>
      </c>
      <c r="AK386" s="51" t="s">
        <v>1</v>
      </c>
      <c r="AL386" s="36" t="s">
        <v>1</v>
      </c>
      <c r="AM386" s="31" t="s">
        <v>1</v>
      </c>
      <c r="AN386" s="36" t="s">
        <v>1</v>
      </c>
      <c r="AO386" s="31" t="s">
        <v>1</v>
      </c>
      <c r="AP386" s="36" t="s">
        <v>1</v>
      </c>
      <c r="AQ386" s="51" t="s">
        <v>1</v>
      </c>
      <c r="AR386" s="36" t="s">
        <v>1</v>
      </c>
      <c r="AS386" s="47" t="s">
        <v>1</v>
      </c>
      <c r="AT386" s="36" t="s">
        <v>1</v>
      </c>
      <c r="AU386" s="47" t="s">
        <v>1</v>
      </c>
      <c r="AV386" s="36" t="s">
        <v>1</v>
      </c>
      <c r="AW386" s="47" t="s">
        <v>1</v>
      </c>
      <c r="AX386" s="36" t="s">
        <v>2065</v>
      </c>
      <c r="AY386" s="47" t="s">
        <v>2193</v>
      </c>
      <c r="AZ386" s="36" t="s">
        <v>1299</v>
      </c>
      <c r="BA386" s="47" t="s">
        <v>2193</v>
      </c>
      <c r="BB386" s="36" t="s">
        <v>2188</v>
      </c>
      <c r="BC386" s="47" t="s">
        <v>819</v>
      </c>
      <c r="BD386" s="36" t="s">
        <v>2189</v>
      </c>
      <c r="BE386" s="47" t="str">
        <f t="shared" si="12"/>
        <v>"Bairro"</v>
      </c>
    </row>
    <row r="387" spans="1:57" ht="6.65" customHeight="1" x14ac:dyDescent="0.4">
      <c r="A387" s="93">
        <v>387</v>
      </c>
      <c r="B387" s="74" t="s">
        <v>1184</v>
      </c>
      <c r="C387" s="44" t="s">
        <v>664</v>
      </c>
      <c r="D387" s="18" t="s">
        <v>744</v>
      </c>
      <c r="E387" s="48" t="s">
        <v>869</v>
      </c>
      <c r="F387" s="18" t="s">
        <v>820</v>
      </c>
      <c r="G387" s="48" t="s">
        <v>1010</v>
      </c>
      <c r="H387" s="18" t="s">
        <v>1062</v>
      </c>
      <c r="I387" s="48" t="s">
        <v>869</v>
      </c>
      <c r="J387" s="18" t="s">
        <v>744</v>
      </c>
      <c r="K387" s="48" t="s">
        <v>1073</v>
      </c>
      <c r="L387" s="18" t="s">
        <v>1</v>
      </c>
      <c r="M387" s="20" t="s">
        <v>1</v>
      </c>
      <c r="N387" s="46" t="s">
        <v>82</v>
      </c>
      <c r="O387" s="25" t="str">
        <f t="shared" si="13"/>
        <v>"Bairro N° B.094 RA.20 Pitangueiras"</v>
      </c>
      <c r="P387" s="46" t="s">
        <v>1</v>
      </c>
      <c r="Q387" s="25" t="s">
        <v>1</v>
      </c>
      <c r="R387" s="46" t="s">
        <v>1</v>
      </c>
      <c r="S387" s="52" t="s">
        <v>1</v>
      </c>
      <c r="T387" s="46" t="s">
        <v>1</v>
      </c>
      <c r="U387" s="31" t="s">
        <v>1</v>
      </c>
      <c r="V387" s="46" t="s">
        <v>1</v>
      </c>
      <c r="W387" s="31" t="s">
        <v>1</v>
      </c>
      <c r="X387" s="46" t="s">
        <v>1</v>
      </c>
      <c r="Y387" s="31" t="s">
        <v>1</v>
      </c>
      <c r="Z387" s="46" t="s">
        <v>1</v>
      </c>
      <c r="AA387" s="31" t="s">
        <v>1</v>
      </c>
      <c r="AB387" s="46" t="s">
        <v>1</v>
      </c>
      <c r="AC387" s="47" t="s">
        <v>1</v>
      </c>
      <c r="AD387" s="36" t="s">
        <v>1</v>
      </c>
      <c r="AE387" s="51" t="s">
        <v>1</v>
      </c>
      <c r="AF387" s="36" t="s">
        <v>1</v>
      </c>
      <c r="AG387" s="51" t="s">
        <v>1</v>
      </c>
      <c r="AH387" s="36" t="s">
        <v>1</v>
      </c>
      <c r="AI387" s="51" t="s">
        <v>1</v>
      </c>
      <c r="AJ387" s="36" t="s">
        <v>1</v>
      </c>
      <c r="AK387" s="51" t="s">
        <v>1</v>
      </c>
      <c r="AL387" s="36" t="s">
        <v>1</v>
      </c>
      <c r="AM387" s="31" t="s">
        <v>1</v>
      </c>
      <c r="AN387" s="36" t="s">
        <v>1</v>
      </c>
      <c r="AO387" s="31" t="s">
        <v>1</v>
      </c>
      <c r="AP387" s="36" t="s">
        <v>1</v>
      </c>
      <c r="AQ387" s="51" t="s">
        <v>1</v>
      </c>
      <c r="AR387" s="36" t="s">
        <v>1</v>
      </c>
      <c r="AS387" s="47" t="s">
        <v>1</v>
      </c>
      <c r="AT387" s="36" t="s">
        <v>1</v>
      </c>
      <c r="AU387" s="47" t="s">
        <v>1</v>
      </c>
      <c r="AV387" s="36" t="s">
        <v>1</v>
      </c>
      <c r="AW387" s="47" t="s">
        <v>1</v>
      </c>
      <c r="AX387" s="36" t="s">
        <v>2065</v>
      </c>
      <c r="AY387" s="47" t="s">
        <v>2193</v>
      </c>
      <c r="AZ387" s="36" t="s">
        <v>1299</v>
      </c>
      <c r="BA387" s="47" t="s">
        <v>2193</v>
      </c>
      <c r="BB387" s="36" t="s">
        <v>2188</v>
      </c>
      <c r="BC387" s="47" t="s">
        <v>819</v>
      </c>
      <c r="BD387" s="36" t="s">
        <v>2189</v>
      </c>
      <c r="BE387" s="47" t="str">
        <f t="shared" si="12"/>
        <v>"Bairro"</v>
      </c>
    </row>
    <row r="388" spans="1:57" ht="6.65" customHeight="1" x14ac:dyDescent="0.4">
      <c r="A388" s="93">
        <v>388</v>
      </c>
      <c r="B388" s="74" t="s">
        <v>1185</v>
      </c>
      <c r="C388" s="44" t="s">
        <v>664</v>
      </c>
      <c r="D388" s="18" t="s">
        <v>744</v>
      </c>
      <c r="E388" s="48" t="s">
        <v>869</v>
      </c>
      <c r="F388" s="18" t="s">
        <v>820</v>
      </c>
      <c r="G388" s="48" t="s">
        <v>1011</v>
      </c>
      <c r="H388" s="18" t="s">
        <v>1062</v>
      </c>
      <c r="I388" s="48" t="s">
        <v>869</v>
      </c>
      <c r="J388" s="18" t="s">
        <v>744</v>
      </c>
      <c r="K388" s="48" t="s">
        <v>1073</v>
      </c>
      <c r="L388" s="18" t="s">
        <v>1</v>
      </c>
      <c r="M388" s="20" t="s">
        <v>1</v>
      </c>
      <c r="N388" s="46" t="s">
        <v>82</v>
      </c>
      <c r="O388" s="25" t="str">
        <f t="shared" si="13"/>
        <v>"Bairro N° B.103 RA.20 Portuguesa"</v>
      </c>
      <c r="P388" s="46" t="s">
        <v>1</v>
      </c>
      <c r="Q388" s="25" t="s">
        <v>1</v>
      </c>
      <c r="R388" s="46" t="s">
        <v>1</v>
      </c>
      <c r="S388" s="52" t="s">
        <v>1</v>
      </c>
      <c r="T388" s="46" t="s">
        <v>1</v>
      </c>
      <c r="U388" s="31" t="s">
        <v>1</v>
      </c>
      <c r="V388" s="46" t="s">
        <v>1</v>
      </c>
      <c r="W388" s="31" t="s">
        <v>1</v>
      </c>
      <c r="X388" s="46" t="s">
        <v>1</v>
      </c>
      <c r="Y388" s="31" t="s">
        <v>1</v>
      </c>
      <c r="Z388" s="46" t="s">
        <v>1</v>
      </c>
      <c r="AA388" s="31" t="s">
        <v>1</v>
      </c>
      <c r="AB388" s="46" t="s">
        <v>1</v>
      </c>
      <c r="AC388" s="47" t="s">
        <v>1</v>
      </c>
      <c r="AD388" s="36" t="s">
        <v>1</v>
      </c>
      <c r="AE388" s="51" t="s">
        <v>1</v>
      </c>
      <c r="AF388" s="36" t="s">
        <v>1</v>
      </c>
      <c r="AG388" s="51" t="s">
        <v>1</v>
      </c>
      <c r="AH388" s="36" t="s">
        <v>1</v>
      </c>
      <c r="AI388" s="51" t="s">
        <v>1</v>
      </c>
      <c r="AJ388" s="36" t="s">
        <v>1</v>
      </c>
      <c r="AK388" s="51" t="s">
        <v>1</v>
      </c>
      <c r="AL388" s="36" t="s">
        <v>1</v>
      </c>
      <c r="AM388" s="31" t="s">
        <v>1</v>
      </c>
      <c r="AN388" s="36" t="s">
        <v>1</v>
      </c>
      <c r="AO388" s="31" t="s">
        <v>1</v>
      </c>
      <c r="AP388" s="36" t="s">
        <v>1</v>
      </c>
      <c r="AQ388" s="51" t="s">
        <v>1</v>
      </c>
      <c r="AR388" s="36" t="s">
        <v>1</v>
      </c>
      <c r="AS388" s="47" t="s">
        <v>1</v>
      </c>
      <c r="AT388" s="36" t="s">
        <v>1</v>
      </c>
      <c r="AU388" s="47" t="s">
        <v>1</v>
      </c>
      <c r="AV388" s="36" t="s">
        <v>1</v>
      </c>
      <c r="AW388" s="47" t="s">
        <v>1</v>
      </c>
      <c r="AX388" s="36" t="s">
        <v>2065</v>
      </c>
      <c r="AY388" s="47" t="s">
        <v>2193</v>
      </c>
      <c r="AZ388" s="36" t="s">
        <v>1299</v>
      </c>
      <c r="BA388" s="47" t="s">
        <v>2193</v>
      </c>
      <c r="BB388" s="36" t="s">
        <v>2188</v>
      </c>
      <c r="BC388" s="47" t="s">
        <v>819</v>
      </c>
      <c r="BD388" s="36" t="s">
        <v>2189</v>
      </c>
      <c r="BE388" s="47" t="str">
        <f t="shared" si="12"/>
        <v>"Bairro"</v>
      </c>
    </row>
    <row r="389" spans="1:57" ht="6.65" customHeight="1" x14ac:dyDescent="0.4">
      <c r="A389" s="93">
        <v>389</v>
      </c>
      <c r="B389" s="74" t="s">
        <v>1186</v>
      </c>
      <c r="C389" s="44" t="s">
        <v>664</v>
      </c>
      <c r="D389" s="18" t="s">
        <v>744</v>
      </c>
      <c r="E389" s="48" t="s">
        <v>845</v>
      </c>
      <c r="F389" s="18" t="s">
        <v>820</v>
      </c>
      <c r="G389" s="48" t="s">
        <v>1012</v>
      </c>
      <c r="H389" s="18" t="s">
        <v>1062</v>
      </c>
      <c r="I389" s="48" t="s">
        <v>845</v>
      </c>
      <c r="J389" s="18" t="s">
        <v>744</v>
      </c>
      <c r="K389" s="48" t="s">
        <v>1067</v>
      </c>
      <c r="L389" s="18" t="s">
        <v>1</v>
      </c>
      <c r="M389" s="20" t="s">
        <v>1</v>
      </c>
      <c r="N389" s="46" t="s">
        <v>82</v>
      </c>
      <c r="O389" s="25" t="str">
        <f t="shared" si="13"/>
        <v>"Bairro N° B.032 RA.08 Praça.da.Bandeira"</v>
      </c>
      <c r="P389" s="46" t="s">
        <v>1</v>
      </c>
      <c r="Q389" s="25" t="s">
        <v>1</v>
      </c>
      <c r="R389" s="46" t="s">
        <v>1</v>
      </c>
      <c r="S389" s="52" t="s">
        <v>1</v>
      </c>
      <c r="T389" s="46" t="s">
        <v>1</v>
      </c>
      <c r="U389" s="31" t="s">
        <v>1</v>
      </c>
      <c r="V389" s="46" t="s">
        <v>1</v>
      </c>
      <c r="W389" s="31" t="s">
        <v>1</v>
      </c>
      <c r="X389" s="46" t="s">
        <v>1</v>
      </c>
      <c r="Y389" s="31" t="s">
        <v>1</v>
      </c>
      <c r="Z389" s="46" t="s">
        <v>1</v>
      </c>
      <c r="AA389" s="31" t="s">
        <v>1</v>
      </c>
      <c r="AB389" s="46" t="s">
        <v>1</v>
      </c>
      <c r="AC389" s="47" t="s">
        <v>1</v>
      </c>
      <c r="AD389" s="36" t="s">
        <v>1</v>
      </c>
      <c r="AE389" s="51" t="s">
        <v>1</v>
      </c>
      <c r="AF389" s="36" t="s">
        <v>1</v>
      </c>
      <c r="AG389" s="51" t="s">
        <v>1</v>
      </c>
      <c r="AH389" s="36" t="s">
        <v>1</v>
      </c>
      <c r="AI389" s="51" t="s">
        <v>1</v>
      </c>
      <c r="AJ389" s="36" t="s">
        <v>1</v>
      </c>
      <c r="AK389" s="51" t="s">
        <v>1</v>
      </c>
      <c r="AL389" s="36" t="s">
        <v>1</v>
      </c>
      <c r="AM389" s="31" t="s">
        <v>1</v>
      </c>
      <c r="AN389" s="36" t="s">
        <v>1</v>
      </c>
      <c r="AO389" s="31" t="s">
        <v>1</v>
      </c>
      <c r="AP389" s="36" t="s">
        <v>1</v>
      </c>
      <c r="AQ389" s="51" t="s">
        <v>1</v>
      </c>
      <c r="AR389" s="36" t="s">
        <v>1</v>
      </c>
      <c r="AS389" s="47" t="s">
        <v>1</v>
      </c>
      <c r="AT389" s="36" t="s">
        <v>1</v>
      </c>
      <c r="AU389" s="47" t="s">
        <v>1</v>
      </c>
      <c r="AV389" s="36" t="s">
        <v>1</v>
      </c>
      <c r="AW389" s="47" t="s">
        <v>1</v>
      </c>
      <c r="AX389" s="36" t="s">
        <v>2065</v>
      </c>
      <c r="AY389" s="47" t="s">
        <v>2193</v>
      </c>
      <c r="AZ389" s="36" t="s">
        <v>1299</v>
      </c>
      <c r="BA389" s="47" t="s">
        <v>2193</v>
      </c>
      <c r="BB389" s="36" t="s">
        <v>2188</v>
      </c>
      <c r="BC389" s="47" t="s">
        <v>819</v>
      </c>
      <c r="BD389" s="36" t="s">
        <v>2189</v>
      </c>
      <c r="BE389" s="47" t="str">
        <f t="shared" ref="BE389:BE452" si="14">_xlfn.CONCAT("""",C389,"""")</f>
        <v>"Bairro"</v>
      </c>
    </row>
    <row r="390" spans="1:57" ht="6.65" customHeight="1" x14ac:dyDescent="0.4">
      <c r="A390" s="93">
        <v>390</v>
      </c>
      <c r="B390" s="74" t="s">
        <v>1187</v>
      </c>
      <c r="C390" s="44" t="s">
        <v>664</v>
      </c>
      <c r="D390" s="18" t="s">
        <v>744</v>
      </c>
      <c r="E390" s="48" t="s">
        <v>861</v>
      </c>
      <c r="F390" s="18" t="s">
        <v>820</v>
      </c>
      <c r="G390" s="48" t="s">
        <v>1013</v>
      </c>
      <c r="H390" s="18" t="s">
        <v>1062</v>
      </c>
      <c r="I390" s="48" t="s">
        <v>861</v>
      </c>
      <c r="J390" s="18" t="s">
        <v>744</v>
      </c>
      <c r="K390" s="48" t="s">
        <v>1071</v>
      </c>
      <c r="L390" s="18" t="s">
        <v>1</v>
      </c>
      <c r="M390" s="20" t="s">
        <v>1</v>
      </c>
      <c r="N390" s="46" t="s">
        <v>82</v>
      </c>
      <c r="O390" s="25" t="str">
        <f t="shared" si="13"/>
        <v>"Bairro N° B.124 RA.16 Praça.Seca"</v>
      </c>
      <c r="P390" s="46" t="s">
        <v>1</v>
      </c>
      <c r="Q390" s="25" t="s">
        <v>1</v>
      </c>
      <c r="R390" s="46" t="s">
        <v>1</v>
      </c>
      <c r="S390" s="52" t="s">
        <v>1</v>
      </c>
      <c r="T390" s="46" t="s">
        <v>1</v>
      </c>
      <c r="U390" s="31" t="s">
        <v>1</v>
      </c>
      <c r="V390" s="46" t="s">
        <v>1</v>
      </c>
      <c r="W390" s="31" t="s">
        <v>1</v>
      </c>
      <c r="X390" s="46" t="s">
        <v>1</v>
      </c>
      <c r="Y390" s="31" t="s">
        <v>1</v>
      </c>
      <c r="Z390" s="46" t="s">
        <v>1</v>
      </c>
      <c r="AA390" s="31" t="s">
        <v>1</v>
      </c>
      <c r="AB390" s="46" t="s">
        <v>1</v>
      </c>
      <c r="AC390" s="47" t="s">
        <v>1</v>
      </c>
      <c r="AD390" s="36" t="s">
        <v>1</v>
      </c>
      <c r="AE390" s="51" t="s">
        <v>1</v>
      </c>
      <c r="AF390" s="36" t="s">
        <v>1</v>
      </c>
      <c r="AG390" s="51" t="s">
        <v>1</v>
      </c>
      <c r="AH390" s="36" t="s">
        <v>1</v>
      </c>
      <c r="AI390" s="51" t="s">
        <v>1</v>
      </c>
      <c r="AJ390" s="36" t="s">
        <v>1</v>
      </c>
      <c r="AK390" s="51" t="s">
        <v>1</v>
      </c>
      <c r="AL390" s="36" t="s">
        <v>1</v>
      </c>
      <c r="AM390" s="31" t="s">
        <v>1</v>
      </c>
      <c r="AN390" s="36" t="s">
        <v>1</v>
      </c>
      <c r="AO390" s="31" t="s">
        <v>1</v>
      </c>
      <c r="AP390" s="36" t="s">
        <v>1</v>
      </c>
      <c r="AQ390" s="51" t="s">
        <v>1</v>
      </c>
      <c r="AR390" s="36" t="s">
        <v>1</v>
      </c>
      <c r="AS390" s="47" t="s">
        <v>1</v>
      </c>
      <c r="AT390" s="36" t="s">
        <v>1</v>
      </c>
      <c r="AU390" s="47" t="s">
        <v>1</v>
      </c>
      <c r="AV390" s="36" t="s">
        <v>1</v>
      </c>
      <c r="AW390" s="47" t="s">
        <v>1</v>
      </c>
      <c r="AX390" s="36" t="s">
        <v>2065</v>
      </c>
      <c r="AY390" s="47" t="s">
        <v>2193</v>
      </c>
      <c r="AZ390" s="36" t="s">
        <v>1299</v>
      </c>
      <c r="BA390" s="47" t="s">
        <v>2193</v>
      </c>
      <c r="BB390" s="36" t="s">
        <v>2188</v>
      </c>
      <c r="BC390" s="47" t="s">
        <v>819</v>
      </c>
      <c r="BD390" s="36" t="s">
        <v>2189</v>
      </c>
      <c r="BE390" s="47" t="str">
        <f t="shared" si="14"/>
        <v>"Bairro"</v>
      </c>
    </row>
    <row r="391" spans="1:57" ht="6.65" customHeight="1" x14ac:dyDescent="0.4">
      <c r="A391" s="93">
        <v>391</v>
      </c>
      <c r="B391" s="74" t="s">
        <v>1188</v>
      </c>
      <c r="C391" s="44" t="s">
        <v>664</v>
      </c>
      <c r="D391" s="18" t="s">
        <v>744</v>
      </c>
      <c r="E391" s="48" t="s">
        <v>869</v>
      </c>
      <c r="F391" s="18" t="s">
        <v>820</v>
      </c>
      <c r="G391" s="48" t="s">
        <v>1014</v>
      </c>
      <c r="H391" s="18" t="s">
        <v>1062</v>
      </c>
      <c r="I391" s="48" t="s">
        <v>869</v>
      </c>
      <c r="J391" s="18" t="s">
        <v>744</v>
      </c>
      <c r="K391" s="48" t="s">
        <v>1073</v>
      </c>
      <c r="L391" s="18" t="s">
        <v>1</v>
      </c>
      <c r="M391" s="20" t="s">
        <v>1</v>
      </c>
      <c r="N391" s="46" t="s">
        <v>82</v>
      </c>
      <c r="O391" s="25" t="str">
        <f t="shared" si="13"/>
        <v>"Bairro N° B.095 RA.20 Praia.da.Bandeira"</v>
      </c>
      <c r="P391" s="46" t="s">
        <v>1</v>
      </c>
      <c r="Q391" s="25" t="s">
        <v>1</v>
      </c>
      <c r="R391" s="46" t="s">
        <v>1</v>
      </c>
      <c r="S391" s="52" t="s">
        <v>1</v>
      </c>
      <c r="T391" s="46" t="s">
        <v>1</v>
      </c>
      <c r="U391" s="31" t="s">
        <v>1</v>
      </c>
      <c r="V391" s="46" t="s">
        <v>1</v>
      </c>
      <c r="W391" s="31" t="s">
        <v>1</v>
      </c>
      <c r="X391" s="46" t="s">
        <v>1</v>
      </c>
      <c r="Y391" s="31" t="s">
        <v>1</v>
      </c>
      <c r="Z391" s="46" t="s">
        <v>1</v>
      </c>
      <c r="AA391" s="31" t="s">
        <v>1</v>
      </c>
      <c r="AB391" s="46" t="s">
        <v>1</v>
      </c>
      <c r="AC391" s="47" t="s">
        <v>1</v>
      </c>
      <c r="AD391" s="36" t="s">
        <v>1</v>
      </c>
      <c r="AE391" s="51" t="s">
        <v>1</v>
      </c>
      <c r="AF391" s="36" t="s">
        <v>1</v>
      </c>
      <c r="AG391" s="51" t="s">
        <v>1</v>
      </c>
      <c r="AH391" s="36" t="s">
        <v>1</v>
      </c>
      <c r="AI391" s="51" t="s">
        <v>1</v>
      </c>
      <c r="AJ391" s="36" t="s">
        <v>1</v>
      </c>
      <c r="AK391" s="51" t="s">
        <v>1</v>
      </c>
      <c r="AL391" s="36" t="s">
        <v>1</v>
      </c>
      <c r="AM391" s="31" t="s">
        <v>1</v>
      </c>
      <c r="AN391" s="36" t="s">
        <v>1</v>
      </c>
      <c r="AO391" s="31" t="s">
        <v>1</v>
      </c>
      <c r="AP391" s="36" t="s">
        <v>1</v>
      </c>
      <c r="AQ391" s="51" t="s">
        <v>1</v>
      </c>
      <c r="AR391" s="36" t="s">
        <v>1</v>
      </c>
      <c r="AS391" s="47" t="s">
        <v>1</v>
      </c>
      <c r="AT391" s="36" t="s">
        <v>1</v>
      </c>
      <c r="AU391" s="47" t="s">
        <v>1</v>
      </c>
      <c r="AV391" s="36" t="s">
        <v>1</v>
      </c>
      <c r="AW391" s="47" t="s">
        <v>1</v>
      </c>
      <c r="AX391" s="36" t="s">
        <v>2065</v>
      </c>
      <c r="AY391" s="47" t="s">
        <v>2193</v>
      </c>
      <c r="AZ391" s="36" t="s">
        <v>1299</v>
      </c>
      <c r="BA391" s="47" t="s">
        <v>2193</v>
      </c>
      <c r="BB391" s="36" t="s">
        <v>2188</v>
      </c>
      <c r="BC391" s="47" t="s">
        <v>819</v>
      </c>
      <c r="BD391" s="36" t="s">
        <v>2189</v>
      </c>
      <c r="BE391" s="47" t="str">
        <f t="shared" si="14"/>
        <v>"Bairro"</v>
      </c>
    </row>
    <row r="392" spans="1:57" ht="6.65" customHeight="1" x14ac:dyDescent="0.4">
      <c r="A392" s="93">
        <v>392</v>
      </c>
      <c r="B392" s="74" t="s">
        <v>1189</v>
      </c>
      <c r="C392" s="44" t="s">
        <v>664</v>
      </c>
      <c r="D392" s="18" t="s">
        <v>744</v>
      </c>
      <c r="E392" s="48" t="s">
        <v>859</v>
      </c>
      <c r="F392" s="18" t="s">
        <v>820</v>
      </c>
      <c r="G392" s="48" t="s">
        <v>1015</v>
      </c>
      <c r="H392" s="18" t="s">
        <v>1062</v>
      </c>
      <c r="I392" s="48" t="s">
        <v>859</v>
      </c>
      <c r="J392" s="18" t="s">
        <v>744</v>
      </c>
      <c r="K392" s="48" t="s">
        <v>1063</v>
      </c>
      <c r="L392" s="18" t="s">
        <v>1</v>
      </c>
      <c r="M392" s="20" t="s">
        <v>1</v>
      </c>
      <c r="N392" s="46" t="s">
        <v>82</v>
      </c>
      <c r="O392" s="25" t="str">
        <f t="shared" si="13"/>
        <v>"Bairro N° B.079 RA.15 Quintino.Bocaiúva"</v>
      </c>
      <c r="P392" s="46" t="s">
        <v>1</v>
      </c>
      <c r="Q392" s="25" t="s">
        <v>1</v>
      </c>
      <c r="R392" s="46" t="s">
        <v>1</v>
      </c>
      <c r="S392" s="52" t="s">
        <v>1</v>
      </c>
      <c r="T392" s="46" t="s">
        <v>1</v>
      </c>
      <c r="U392" s="31" t="s">
        <v>1</v>
      </c>
      <c r="V392" s="46" t="s">
        <v>1</v>
      </c>
      <c r="W392" s="31" t="s">
        <v>1</v>
      </c>
      <c r="X392" s="46" t="s">
        <v>1</v>
      </c>
      <c r="Y392" s="31" t="s">
        <v>1</v>
      </c>
      <c r="Z392" s="46" t="s">
        <v>1</v>
      </c>
      <c r="AA392" s="31" t="s">
        <v>1</v>
      </c>
      <c r="AB392" s="46" t="s">
        <v>1</v>
      </c>
      <c r="AC392" s="47" t="s">
        <v>1</v>
      </c>
      <c r="AD392" s="36" t="s">
        <v>1</v>
      </c>
      <c r="AE392" s="51" t="s">
        <v>1</v>
      </c>
      <c r="AF392" s="36" t="s">
        <v>1</v>
      </c>
      <c r="AG392" s="51" t="s">
        <v>1</v>
      </c>
      <c r="AH392" s="36" t="s">
        <v>1</v>
      </c>
      <c r="AI392" s="51" t="s">
        <v>1</v>
      </c>
      <c r="AJ392" s="36" t="s">
        <v>1</v>
      </c>
      <c r="AK392" s="51" t="s">
        <v>1</v>
      </c>
      <c r="AL392" s="36" t="s">
        <v>1</v>
      </c>
      <c r="AM392" s="31" t="s">
        <v>1</v>
      </c>
      <c r="AN392" s="36" t="s">
        <v>1</v>
      </c>
      <c r="AO392" s="31" t="s">
        <v>1</v>
      </c>
      <c r="AP392" s="36" t="s">
        <v>1</v>
      </c>
      <c r="AQ392" s="51" t="s">
        <v>1</v>
      </c>
      <c r="AR392" s="36" t="s">
        <v>1</v>
      </c>
      <c r="AS392" s="47" t="s">
        <v>1</v>
      </c>
      <c r="AT392" s="36" t="s">
        <v>1</v>
      </c>
      <c r="AU392" s="47" t="s">
        <v>1</v>
      </c>
      <c r="AV392" s="36" t="s">
        <v>1</v>
      </c>
      <c r="AW392" s="47" t="s">
        <v>1</v>
      </c>
      <c r="AX392" s="36" t="s">
        <v>2065</v>
      </c>
      <c r="AY392" s="47" t="s">
        <v>2193</v>
      </c>
      <c r="AZ392" s="36" t="s">
        <v>1299</v>
      </c>
      <c r="BA392" s="47" t="s">
        <v>2193</v>
      </c>
      <c r="BB392" s="36" t="s">
        <v>2188</v>
      </c>
      <c r="BC392" s="47" t="s">
        <v>819</v>
      </c>
      <c r="BD392" s="36" t="s">
        <v>2189</v>
      </c>
      <c r="BE392" s="47" t="str">
        <f t="shared" si="14"/>
        <v>"Bairro"</v>
      </c>
    </row>
    <row r="393" spans="1:57" ht="6.65" customHeight="1" x14ac:dyDescent="0.4">
      <c r="A393" s="93">
        <v>393</v>
      </c>
      <c r="B393" s="74" t="s">
        <v>1190</v>
      </c>
      <c r="C393" s="44" t="s">
        <v>664</v>
      </c>
      <c r="D393" s="18" t="s">
        <v>744</v>
      </c>
      <c r="E393" s="48" t="s">
        <v>849</v>
      </c>
      <c r="F393" s="18" t="s">
        <v>820</v>
      </c>
      <c r="G393" s="48" t="s">
        <v>1016</v>
      </c>
      <c r="H393" s="18" t="s">
        <v>1062</v>
      </c>
      <c r="I393" s="48" t="s">
        <v>849</v>
      </c>
      <c r="J393" s="18" t="s">
        <v>744</v>
      </c>
      <c r="K393" s="48" t="s">
        <v>1063</v>
      </c>
      <c r="L393" s="18" t="s">
        <v>1</v>
      </c>
      <c r="M393" s="20" t="s">
        <v>1</v>
      </c>
      <c r="N393" s="46" t="s">
        <v>82</v>
      </c>
      <c r="O393" s="25" t="str">
        <f t="shared" si="13"/>
        <v>"Bairro N° B.041 RA.10 Ramos"</v>
      </c>
      <c r="P393" s="46" t="s">
        <v>1</v>
      </c>
      <c r="Q393" s="25" t="s">
        <v>1</v>
      </c>
      <c r="R393" s="46" t="s">
        <v>1</v>
      </c>
      <c r="S393" s="52" t="s">
        <v>1</v>
      </c>
      <c r="T393" s="46" t="s">
        <v>1</v>
      </c>
      <c r="U393" s="31" t="s">
        <v>1</v>
      </c>
      <c r="V393" s="46" t="s">
        <v>1</v>
      </c>
      <c r="W393" s="31" t="s">
        <v>1</v>
      </c>
      <c r="X393" s="46" t="s">
        <v>1</v>
      </c>
      <c r="Y393" s="31" t="s">
        <v>1</v>
      </c>
      <c r="Z393" s="46" t="s">
        <v>1</v>
      </c>
      <c r="AA393" s="31" t="s">
        <v>1</v>
      </c>
      <c r="AB393" s="46" t="s">
        <v>1</v>
      </c>
      <c r="AC393" s="47" t="s">
        <v>1</v>
      </c>
      <c r="AD393" s="36" t="s">
        <v>1</v>
      </c>
      <c r="AE393" s="51" t="s">
        <v>1</v>
      </c>
      <c r="AF393" s="36" t="s">
        <v>1</v>
      </c>
      <c r="AG393" s="51" t="s">
        <v>1</v>
      </c>
      <c r="AH393" s="36" t="s">
        <v>1</v>
      </c>
      <c r="AI393" s="51" t="s">
        <v>1</v>
      </c>
      <c r="AJ393" s="36" t="s">
        <v>1</v>
      </c>
      <c r="AK393" s="51" t="s">
        <v>1</v>
      </c>
      <c r="AL393" s="36" t="s">
        <v>1</v>
      </c>
      <c r="AM393" s="31" t="s">
        <v>1</v>
      </c>
      <c r="AN393" s="36" t="s">
        <v>1</v>
      </c>
      <c r="AO393" s="31" t="s">
        <v>1</v>
      </c>
      <c r="AP393" s="36" t="s">
        <v>1</v>
      </c>
      <c r="AQ393" s="51" t="s">
        <v>1</v>
      </c>
      <c r="AR393" s="36" t="s">
        <v>1</v>
      </c>
      <c r="AS393" s="47" t="s">
        <v>1</v>
      </c>
      <c r="AT393" s="36" t="s">
        <v>1</v>
      </c>
      <c r="AU393" s="47" t="s">
        <v>1</v>
      </c>
      <c r="AV393" s="36" t="s">
        <v>1</v>
      </c>
      <c r="AW393" s="47" t="s">
        <v>1</v>
      </c>
      <c r="AX393" s="36" t="s">
        <v>2065</v>
      </c>
      <c r="AY393" s="47" t="s">
        <v>2193</v>
      </c>
      <c r="AZ393" s="36" t="s">
        <v>1299</v>
      </c>
      <c r="BA393" s="47" t="s">
        <v>2193</v>
      </c>
      <c r="BB393" s="36" t="s">
        <v>2188</v>
      </c>
      <c r="BC393" s="47" t="s">
        <v>819</v>
      </c>
      <c r="BD393" s="36" t="s">
        <v>2189</v>
      </c>
      <c r="BE393" s="47" t="str">
        <f t="shared" si="14"/>
        <v>"Bairro"</v>
      </c>
    </row>
    <row r="394" spans="1:57" ht="6.65" customHeight="1" x14ac:dyDescent="0.4">
      <c r="A394" s="93">
        <v>394</v>
      </c>
      <c r="B394" s="74" t="s">
        <v>1191</v>
      </c>
      <c r="C394" s="44" t="s">
        <v>664</v>
      </c>
      <c r="D394" s="18" t="s">
        <v>744</v>
      </c>
      <c r="E394" s="48" t="s">
        <v>893</v>
      </c>
      <c r="F394" s="18" t="s">
        <v>820</v>
      </c>
      <c r="G394" s="48" t="s">
        <v>1017</v>
      </c>
      <c r="H394" s="18" t="s">
        <v>1062</v>
      </c>
      <c r="I394" s="48" t="s">
        <v>893</v>
      </c>
      <c r="J394" s="18" t="s">
        <v>744</v>
      </c>
      <c r="K394" s="48" t="s">
        <v>1075</v>
      </c>
      <c r="L394" s="18" t="s">
        <v>1</v>
      </c>
      <c r="M394" s="20" t="s">
        <v>1</v>
      </c>
      <c r="N394" s="46" t="s">
        <v>82</v>
      </c>
      <c r="O394" s="25" t="str">
        <f t="shared" si="13"/>
        <v>"Bairro N° B.139 RA.32 Realengo"</v>
      </c>
      <c r="P394" s="46" t="s">
        <v>1</v>
      </c>
      <c r="Q394" s="25" t="s">
        <v>1</v>
      </c>
      <c r="R394" s="46" t="s">
        <v>1</v>
      </c>
      <c r="S394" s="52" t="s">
        <v>1</v>
      </c>
      <c r="T394" s="46" t="s">
        <v>1</v>
      </c>
      <c r="U394" s="31" t="s">
        <v>1</v>
      </c>
      <c r="V394" s="46" t="s">
        <v>1</v>
      </c>
      <c r="W394" s="31" t="s">
        <v>1</v>
      </c>
      <c r="X394" s="46" t="s">
        <v>1</v>
      </c>
      <c r="Y394" s="31" t="s">
        <v>1</v>
      </c>
      <c r="Z394" s="46" t="s">
        <v>1</v>
      </c>
      <c r="AA394" s="31" t="s">
        <v>1</v>
      </c>
      <c r="AB394" s="46" t="s">
        <v>1</v>
      </c>
      <c r="AC394" s="47" t="s">
        <v>1</v>
      </c>
      <c r="AD394" s="36" t="s">
        <v>1</v>
      </c>
      <c r="AE394" s="51" t="s">
        <v>1</v>
      </c>
      <c r="AF394" s="36" t="s">
        <v>1</v>
      </c>
      <c r="AG394" s="51" t="s">
        <v>1</v>
      </c>
      <c r="AH394" s="36" t="s">
        <v>1</v>
      </c>
      <c r="AI394" s="51" t="s">
        <v>1</v>
      </c>
      <c r="AJ394" s="36" t="s">
        <v>1</v>
      </c>
      <c r="AK394" s="51" t="s">
        <v>1</v>
      </c>
      <c r="AL394" s="36" t="s">
        <v>1</v>
      </c>
      <c r="AM394" s="31" t="s">
        <v>1</v>
      </c>
      <c r="AN394" s="36" t="s">
        <v>1</v>
      </c>
      <c r="AO394" s="31" t="s">
        <v>1</v>
      </c>
      <c r="AP394" s="36" t="s">
        <v>1</v>
      </c>
      <c r="AQ394" s="51" t="s">
        <v>1</v>
      </c>
      <c r="AR394" s="36" t="s">
        <v>1</v>
      </c>
      <c r="AS394" s="47" t="s">
        <v>1</v>
      </c>
      <c r="AT394" s="36" t="s">
        <v>1</v>
      </c>
      <c r="AU394" s="47" t="s">
        <v>1</v>
      </c>
      <c r="AV394" s="36" t="s">
        <v>1</v>
      </c>
      <c r="AW394" s="47" t="s">
        <v>1</v>
      </c>
      <c r="AX394" s="36" t="s">
        <v>2065</v>
      </c>
      <c r="AY394" s="47" t="s">
        <v>2193</v>
      </c>
      <c r="AZ394" s="36" t="s">
        <v>1299</v>
      </c>
      <c r="BA394" s="47" t="s">
        <v>2193</v>
      </c>
      <c r="BB394" s="36" t="s">
        <v>2188</v>
      </c>
      <c r="BC394" s="47" t="s">
        <v>819</v>
      </c>
      <c r="BD394" s="36" t="s">
        <v>2189</v>
      </c>
      <c r="BE394" s="47" t="str">
        <f t="shared" si="14"/>
        <v>"Bairro"</v>
      </c>
    </row>
    <row r="395" spans="1:57" ht="6.65" customHeight="1" x14ac:dyDescent="0.4">
      <c r="A395" s="93">
        <v>395</v>
      </c>
      <c r="B395" s="74" t="s">
        <v>1192</v>
      </c>
      <c r="C395" s="44" t="s">
        <v>664</v>
      </c>
      <c r="D395" s="18" t="s">
        <v>744</v>
      </c>
      <c r="E395" s="48" t="s">
        <v>877</v>
      </c>
      <c r="F395" s="18" t="s">
        <v>820</v>
      </c>
      <c r="G395" s="48" t="s">
        <v>1018</v>
      </c>
      <c r="H395" s="18" t="s">
        <v>1062</v>
      </c>
      <c r="I395" s="48" t="s">
        <v>877</v>
      </c>
      <c r="J395" s="18" t="s">
        <v>744</v>
      </c>
      <c r="K395" s="48" t="s">
        <v>1077</v>
      </c>
      <c r="L395" s="18" t="s">
        <v>1</v>
      </c>
      <c r="M395" s="20" t="s">
        <v>1</v>
      </c>
      <c r="N395" s="46" t="s">
        <v>82</v>
      </c>
      <c r="O395" s="25" t="str">
        <f t="shared" si="13"/>
        <v>"Bairro N° B.132 RA.24 Recreio.dos.Bandeirantes"</v>
      </c>
      <c r="P395" s="46" t="s">
        <v>1</v>
      </c>
      <c r="Q395" s="25" t="s">
        <v>1</v>
      </c>
      <c r="R395" s="46" t="s">
        <v>1</v>
      </c>
      <c r="S395" s="52" t="s">
        <v>1</v>
      </c>
      <c r="T395" s="46" t="s">
        <v>1</v>
      </c>
      <c r="U395" s="31" t="s">
        <v>1</v>
      </c>
      <c r="V395" s="46" t="s">
        <v>1</v>
      </c>
      <c r="W395" s="31" t="s">
        <v>1</v>
      </c>
      <c r="X395" s="46" t="s">
        <v>1</v>
      </c>
      <c r="Y395" s="31" t="s">
        <v>1</v>
      </c>
      <c r="Z395" s="46" t="s">
        <v>1</v>
      </c>
      <c r="AA395" s="31" t="s">
        <v>1</v>
      </c>
      <c r="AB395" s="46" t="s">
        <v>1</v>
      </c>
      <c r="AC395" s="47" t="s">
        <v>1</v>
      </c>
      <c r="AD395" s="36" t="s">
        <v>1</v>
      </c>
      <c r="AE395" s="51" t="s">
        <v>1</v>
      </c>
      <c r="AF395" s="36" t="s">
        <v>1</v>
      </c>
      <c r="AG395" s="51" t="s">
        <v>1</v>
      </c>
      <c r="AH395" s="36" t="s">
        <v>1</v>
      </c>
      <c r="AI395" s="51" t="s">
        <v>1</v>
      </c>
      <c r="AJ395" s="36" t="s">
        <v>1</v>
      </c>
      <c r="AK395" s="51" t="s">
        <v>1</v>
      </c>
      <c r="AL395" s="36" t="s">
        <v>1</v>
      </c>
      <c r="AM395" s="31" t="s">
        <v>1</v>
      </c>
      <c r="AN395" s="36" t="s">
        <v>1</v>
      </c>
      <c r="AO395" s="31" t="s">
        <v>1</v>
      </c>
      <c r="AP395" s="36" t="s">
        <v>1</v>
      </c>
      <c r="AQ395" s="51" t="s">
        <v>1</v>
      </c>
      <c r="AR395" s="36" t="s">
        <v>1</v>
      </c>
      <c r="AS395" s="47" t="s">
        <v>1</v>
      </c>
      <c r="AT395" s="36" t="s">
        <v>1</v>
      </c>
      <c r="AU395" s="47" t="s">
        <v>1</v>
      </c>
      <c r="AV395" s="36" t="s">
        <v>1</v>
      </c>
      <c r="AW395" s="47" t="s">
        <v>1</v>
      </c>
      <c r="AX395" s="36" t="s">
        <v>2065</v>
      </c>
      <c r="AY395" s="47" t="s">
        <v>2193</v>
      </c>
      <c r="AZ395" s="36" t="s">
        <v>1299</v>
      </c>
      <c r="BA395" s="47" t="s">
        <v>2193</v>
      </c>
      <c r="BB395" s="36" t="s">
        <v>2188</v>
      </c>
      <c r="BC395" s="47" t="s">
        <v>819</v>
      </c>
      <c r="BD395" s="36" t="s">
        <v>2189</v>
      </c>
      <c r="BE395" s="47" t="str">
        <f t="shared" si="14"/>
        <v>"Bairro"</v>
      </c>
    </row>
    <row r="396" spans="1:57" ht="6.65" customHeight="1" x14ac:dyDescent="0.4">
      <c r="A396" s="93">
        <v>396</v>
      </c>
      <c r="B396" s="74" t="s">
        <v>1193</v>
      </c>
      <c r="C396" s="44" t="s">
        <v>664</v>
      </c>
      <c r="D396" s="18" t="s">
        <v>744</v>
      </c>
      <c r="E396" s="48" t="s">
        <v>855</v>
      </c>
      <c r="F396" s="18" t="s">
        <v>820</v>
      </c>
      <c r="G396" s="48" t="s">
        <v>1019</v>
      </c>
      <c r="H396" s="18" t="s">
        <v>1062</v>
      </c>
      <c r="I396" s="48" t="s">
        <v>855</v>
      </c>
      <c r="J396" s="18" t="s">
        <v>744</v>
      </c>
      <c r="K396" s="48" t="s">
        <v>1063</v>
      </c>
      <c r="L396" s="18" t="s">
        <v>1</v>
      </c>
      <c r="M396" s="20" t="s">
        <v>1</v>
      </c>
      <c r="N396" s="46" t="s">
        <v>82</v>
      </c>
      <c r="O396" s="25" t="str">
        <f t="shared" si="13"/>
        <v>"Bairro N° B.059 RA.13 Riachuelo"</v>
      </c>
      <c r="P396" s="46" t="s">
        <v>1</v>
      </c>
      <c r="Q396" s="25" t="s">
        <v>1</v>
      </c>
      <c r="R396" s="46" t="s">
        <v>1</v>
      </c>
      <c r="S396" s="52" t="s">
        <v>1</v>
      </c>
      <c r="T396" s="46" t="s">
        <v>1</v>
      </c>
      <c r="U396" s="31" t="s">
        <v>1</v>
      </c>
      <c r="V396" s="46" t="s">
        <v>1</v>
      </c>
      <c r="W396" s="31" t="s">
        <v>1</v>
      </c>
      <c r="X396" s="46" t="s">
        <v>1</v>
      </c>
      <c r="Y396" s="31" t="s">
        <v>1</v>
      </c>
      <c r="Z396" s="46" t="s">
        <v>1</v>
      </c>
      <c r="AA396" s="31" t="s">
        <v>1</v>
      </c>
      <c r="AB396" s="46" t="s">
        <v>1</v>
      </c>
      <c r="AC396" s="47" t="s">
        <v>1</v>
      </c>
      <c r="AD396" s="36" t="s">
        <v>1</v>
      </c>
      <c r="AE396" s="51" t="s">
        <v>1</v>
      </c>
      <c r="AF396" s="36" t="s">
        <v>1</v>
      </c>
      <c r="AG396" s="51" t="s">
        <v>1</v>
      </c>
      <c r="AH396" s="36" t="s">
        <v>1</v>
      </c>
      <c r="AI396" s="51" t="s">
        <v>1</v>
      </c>
      <c r="AJ396" s="36" t="s">
        <v>1</v>
      </c>
      <c r="AK396" s="51" t="s">
        <v>1</v>
      </c>
      <c r="AL396" s="36" t="s">
        <v>1</v>
      </c>
      <c r="AM396" s="31" t="s">
        <v>1</v>
      </c>
      <c r="AN396" s="36" t="s">
        <v>1</v>
      </c>
      <c r="AO396" s="31" t="s">
        <v>1</v>
      </c>
      <c r="AP396" s="36" t="s">
        <v>1</v>
      </c>
      <c r="AQ396" s="51" t="s">
        <v>1</v>
      </c>
      <c r="AR396" s="36" t="s">
        <v>1</v>
      </c>
      <c r="AS396" s="47" t="s">
        <v>1</v>
      </c>
      <c r="AT396" s="36" t="s">
        <v>1</v>
      </c>
      <c r="AU396" s="47" t="s">
        <v>1</v>
      </c>
      <c r="AV396" s="36" t="s">
        <v>1</v>
      </c>
      <c r="AW396" s="47" t="s">
        <v>1</v>
      </c>
      <c r="AX396" s="36" t="s">
        <v>2065</v>
      </c>
      <c r="AY396" s="47" t="s">
        <v>2193</v>
      </c>
      <c r="AZ396" s="36" t="s">
        <v>1299</v>
      </c>
      <c r="BA396" s="47" t="s">
        <v>2193</v>
      </c>
      <c r="BB396" s="36" t="s">
        <v>2188</v>
      </c>
      <c r="BC396" s="47" t="s">
        <v>819</v>
      </c>
      <c r="BD396" s="36" t="s">
        <v>2189</v>
      </c>
      <c r="BE396" s="47" t="str">
        <f t="shared" si="14"/>
        <v>"Bairro"</v>
      </c>
    </row>
    <row r="397" spans="1:57" ht="6.65" customHeight="1" x14ac:dyDescent="0.4">
      <c r="A397" s="93">
        <v>397</v>
      </c>
      <c r="B397" s="74" t="s">
        <v>1194</v>
      </c>
      <c r="C397" s="44" t="s">
        <v>664</v>
      </c>
      <c r="D397" s="18" t="s">
        <v>744</v>
      </c>
      <c r="E397" s="48" t="s">
        <v>869</v>
      </c>
      <c r="F397" s="18" t="s">
        <v>820</v>
      </c>
      <c r="G397" s="48" t="s">
        <v>1020</v>
      </c>
      <c r="H397" s="18" t="s">
        <v>1062</v>
      </c>
      <c r="I397" s="48" t="s">
        <v>869</v>
      </c>
      <c r="J397" s="18" t="s">
        <v>744</v>
      </c>
      <c r="K397" s="48" t="s">
        <v>1073</v>
      </c>
      <c r="L397" s="18" t="s">
        <v>1</v>
      </c>
      <c r="M397" s="20" t="s">
        <v>1</v>
      </c>
      <c r="N397" s="46" t="s">
        <v>82</v>
      </c>
      <c r="O397" s="25" t="str">
        <f t="shared" si="13"/>
        <v>"Bairro N° B.091 RA.20 Ribeira"</v>
      </c>
      <c r="P397" s="46" t="s">
        <v>1</v>
      </c>
      <c r="Q397" s="25" t="s">
        <v>1</v>
      </c>
      <c r="R397" s="46" t="s">
        <v>1</v>
      </c>
      <c r="S397" s="52" t="s">
        <v>1</v>
      </c>
      <c r="T397" s="46" t="s">
        <v>1</v>
      </c>
      <c r="U397" s="31" t="s">
        <v>1</v>
      </c>
      <c r="V397" s="46" t="s">
        <v>1</v>
      </c>
      <c r="W397" s="31" t="s">
        <v>1</v>
      </c>
      <c r="X397" s="46" t="s">
        <v>1</v>
      </c>
      <c r="Y397" s="31" t="s">
        <v>1</v>
      </c>
      <c r="Z397" s="46" t="s">
        <v>1</v>
      </c>
      <c r="AA397" s="31" t="s">
        <v>1</v>
      </c>
      <c r="AB397" s="46" t="s">
        <v>1</v>
      </c>
      <c r="AC397" s="47" t="s">
        <v>1</v>
      </c>
      <c r="AD397" s="36" t="s">
        <v>1</v>
      </c>
      <c r="AE397" s="51" t="s">
        <v>1</v>
      </c>
      <c r="AF397" s="36" t="s">
        <v>1</v>
      </c>
      <c r="AG397" s="51" t="s">
        <v>1</v>
      </c>
      <c r="AH397" s="36" t="s">
        <v>1</v>
      </c>
      <c r="AI397" s="51" t="s">
        <v>1</v>
      </c>
      <c r="AJ397" s="36" t="s">
        <v>1</v>
      </c>
      <c r="AK397" s="51" t="s">
        <v>1</v>
      </c>
      <c r="AL397" s="36" t="s">
        <v>1</v>
      </c>
      <c r="AM397" s="31" t="s">
        <v>1</v>
      </c>
      <c r="AN397" s="36" t="s">
        <v>1</v>
      </c>
      <c r="AO397" s="31" t="s">
        <v>1</v>
      </c>
      <c r="AP397" s="36" t="s">
        <v>1</v>
      </c>
      <c r="AQ397" s="51" t="s">
        <v>1</v>
      </c>
      <c r="AR397" s="36" t="s">
        <v>1</v>
      </c>
      <c r="AS397" s="47" t="s">
        <v>1</v>
      </c>
      <c r="AT397" s="36" t="s">
        <v>1</v>
      </c>
      <c r="AU397" s="47" t="s">
        <v>1</v>
      </c>
      <c r="AV397" s="36" t="s">
        <v>1</v>
      </c>
      <c r="AW397" s="47" t="s">
        <v>1</v>
      </c>
      <c r="AX397" s="36" t="s">
        <v>2065</v>
      </c>
      <c r="AY397" s="47" t="s">
        <v>2193</v>
      </c>
      <c r="AZ397" s="36" t="s">
        <v>1299</v>
      </c>
      <c r="BA397" s="47" t="s">
        <v>2193</v>
      </c>
      <c r="BB397" s="36" t="s">
        <v>2188</v>
      </c>
      <c r="BC397" s="47" t="s">
        <v>819</v>
      </c>
      <c r="BD397" s="36" t="s">
        <v>2189</v>
      </c>
      <c r="BE397" s="47" t="str">
        <f t="shared" si="14"/>
        <v>"Bairro"</v>
      </c>
    </row>
    <row r="398" spans="1:57" ht="6.65" customHeight="1" x14ac:dyDescent="0.4">
      <c r="A398" s="93">
        <v>398</v>
      </c>
      <c r="B398" s="74" t="s">
        <v>1195</v>
      </c>
      <c r="C398" s="44" t="s">
        <v>664</v>
      </c>
      <c r="D398" s="18" t="s">
        <v>744</v>
      </c>
      <c r="E398" s="48" t="s">
        <v>873</v>
      </c>
      <c r="F398" s="18" t="s">
        <v>820</v>
      </c>
      <c r="G398" s="48" t="s">
        <v>1021</v>
      </c>
      <c r="H398" s="18" t="s">
        <v>1062</v>
      </c>
      <c r="I398" s="48" t="s">
        <v>873</v>
      </c>
      <c r="J398" s="18" t="s">
        <v>744</v>
      </c>
      <c r="K398" s="48" t="s">
        <v>1063</v>
      </c>
      <c r="L398" s="18" t="s">
        <v>1</v>
      </c>
      <c r="M398" s="20" t="s">
        <v>1</v>
      </c>
      <c r="N398" s="46" t="s">
        <v>82</v>
      </c>
      <c r="O398" s="25" t="str">
        <f t="shared" si="13"/>
        <v>"Bairro N° B.109 RA.22 Ricardo.de.Albuquerque"</v>
      </c>
      <c r="P398" s="46" t="s">
        <v>1</v>
      </c>
      <c r="Q398" s="25" t="s">
        <v>1</v>
      </c>
      <c r="R398" s="46" t="s">
        <v>1</v>
      </c>
      <c r="S398" s="52" t="s">
        <v>1</v>
      </c>
      <c r="T398" s="46" t="s">
        <v>1</v>
      </c>
      <c r="U398" s="31" t="s">
        <v>1</v>
      </c>
      <c r="V398" s="46" t="s">
        <v>1</v>
      </c>
      <c r="W398" s="31" t="s">
        <v>1</v>
      </c>
      <c r="X398" s="46" t="s">
        <v>1</v>
      </c>
      <c r="Y398" s="31" t="s">
        <v>1</v>
      </c>
      <c r="Z398" s="46" t="s">
        <v>1</v>
      </c>
      <c r="AA398" s="31" t="s">
        <v>1</v>
      </c>
      <c r="AB398" s="46" t="s">
        <v>1</v>
      </c>
      <c r="AC398" s="47" t="s">
        <v>1</v>
      </c>
      <c r="AD398" s="36" t="s">
        <v>1</v>
      </c>
      <c r="AE398" s="51" t="s">
        <v>1</v>
      </c>
      <c r="AF398" s="36" t="s">
        <v>1</v>
      </c>
      <c r="AG398" s="51" t="s">
        <v>1</v>
      </c>
      <c r="AH398" s="36" t="s">
        <v>1</v>
      </c>
      <c r="AI398" s="51" t="s">
        <v>1</v>
      </c>
      <c r="AJ398" s="36" t="s">
        <v>1</v>
      </c>
      <c r="AK398" s="51" t="s">
        <v>1</v>
      </c>
      <c r="AL398" s="36" t="s">
        <v>1</v>
      </c>
      <c r="AM398" s="31" t="s">
        <v>1</v>
      </c>
      <c r="AN398" s="36" t="s">
        <v>1</v>
      </c>
      <c r="AO398" s="31" t="s">
        <v>1</v>
      </c>
      <c r="AP398" s="36" t="s">
        <v>1</v>
      </c>
      <c r="AQ398" s="51" t="s">
        <v>1</v>
      </c>
      <c r="AR398" s="36" t="s">
        <v>1</v>
      </c>
      <c r="AS398" s="47" t="s">
        <v>1</v>
      </c>
      <c r="AT398" s="36" t="s">
        <v>1</v>
      </c>
      <c r="AU398" s="47" t="s">
        <v>1</v>
      </c>
      <c r="AV398" s="36" t="s">
        <v>1</v>
      </c>
      <c r="AW398" s="47" t="s">
        <v>1</v>
      </c>
      <c r="AX398" s="36" t="s">
        <v>2065</v>
      </c>
      <c r="AY398" s="47" t="s">
        <v>2193</v>
      </c>
      <c r="AZ398" s="36" t="s">
        <v>1299</v>
      </c>
      <c r="BA398" s="47" t="s">
        <v>2193</v>
      </c>
      <c r="BB398" s="36" t="s">
        <v>2188</v>
      </c>
      <c r="BC398" s="47" t="s">
        <v>819</v>
      </c>
      <c r="BD398" s="36" t="s">
        <v>2189</v>
      </c>
      <c r="BE398" s="47" t="str">
        <f t="shared" si="14"/>
        <v>"Bairro"</v>
      </c>
    </row>
    <row r="399" spans="1:57" ht="6.65" customHeight="1" x14ac:dyDescent="0.4">
      <c r="A399" s="93">
        <v>399</v>
      </c>
      <c r="B399" s="74" t="s">
        <v>1196</v>
      </c>
      <c r="C399" s="44" t="s">
        <v>664</v>
      </c>
      <c r="D399" s="18" t="s">
        <v>744</v>
      </c>
      <c r="E399" s="48" t="s">
        <v>835</v>
      </c>
      <c r="F399" s="18" t="s">
        <v>820</v>
      </c>
      <c r="G399" s="48" t="s">
        <v>1022</v>
      </c>
      <c r="H399" s="18" t="s">
        <v>1062</v>
      </c>
      <c r="I399" s="48" t="s">
        <v>835</v>
      </c>
      <c r="J399" s="18" t="s">
        <v>744</v>
      </c>
      <c r="K399" s="48" t="s">
        <v>1082</v>
      </c>
      <c r="L399" s="18" t="s">
        <v>1</v>
      </c>
      <c r="M399" s="20" t="s">
        <v>1</v>
      </c>
      <c r="N399" s="46" t="s">
        <v>82</v>
      </c>
      <c r="O399" s="25" t="str">
        <f t="shared" si="13"/>
        <v>"Bairro N° B.007 RA.03 Rio.Comprido"</v>
      </c>
      <c r="P399" s="46" t="s">
        <v>1</v>
      </c>
      <c r="Q399" s="25" t="s">
        <v>1</v>
      </c>
      <c r="R399" s="46" t="s">
        <v>1</v>
      </c>
      <c r="S399" s="52" t="s">
        <v>1</v>
      </c>
      <c r="T399" s="46" t="s">
        <v>1</v>
      </c>
      <c r="U399" s="31" t="s">
        <v>1</v>
      </c>
      <c r="V399" s="46" t="s">
        <v>1</v>
      </c>
      <c r="W399" s="31" t="s">
        <v>1</v>
      </c>
      <c r="X399" s="46" t="s">
        <v>1</v>
      </c>
      <c r="Y399" s="31" t="s">
        <v>1</v>
      </c>
      <c r="Z399" s="46" t="s">
        <v>1</v>
      </c>
      <c r="AA399" s="31" t="s">
        <v>1</v>
      </c>
      <c r="AB399" s="46" t="s">
        <v>1</v>
      </c>
      <c r="AC399" s="47" t="s">
        <v>1</v>
      </c>
      <c r="AD399" s="36" t="s">
        <v>1</v>
      </c>
      <c r="AE399" s="51" t="s">
        <v>1</v>
      </c>
      <c r="AF399" s="36" t="s">
        <v>1</v>
      </c>
      <c r="AG399" s="51" t="s">
        <v>1</v>
      </c>
      <c r="AH399" s="36" t="s">
        <v>1</v>
      </c>
      <c r="AI399" s="51" t="s">
        <v>1</v>
      </c>
      <c r="AJ399" s="36" t="s">
        <v>1</v>
      </c>
      <c r="AK399" s="51" t="s">
        <v>1</v>
      </c>
      <c r="AL399" s="36" t="s">
        <v>1</v>
      </c>
      <c r="AM399" s="31" t="s">
        <v>1</v>
      </c>
      <c r="AN399" s="36" t="s">
        <v>1</v>
      </c>
      <c r="AO399" s="31" t="s">
        <v>1</v>
      </c>
      <c r="AP399" s="36" t="s">
        <v>1</v>
      </c>
      <c r="AQ399" s="51" t="s">
        <v>1</v>
      </c>
      <c r="AR399" s="36" t="s">
        <v>1</v>
      </c>
      <c r="AS399" s="47" t="s">
        <v>1</v>
      </c>
      <c r="AT399" s="36" t="s">
        <v>1</v>
      </c>
      <c r="AU399" s="47" t="s">
        <v>1</v>
      </c>
      <c r="AV399" s="36" t="s">
        <v>1</v>
      </c>
      <c r="AW399" s="47" t="s">
        <v>1</v>
      </c>
      <c r="AX399" s="36" t="s">
        <v>2065</v>
      </c>
      <c r="AY399" s="47" t="s">
        <v>2193</v>
      </c>
      <c r="AZ399" s="36" t="s">
        <v>1299</v>
      </c>
      <c r="BA399" s="47" t="s">
        <v>2193</v>
      </c>
      <c r="BB399" s="36" t="s">
        <v>2188</v>
      </c>
      <c r="BC399" s="47" t="s">
        <v>819</v>
      </c>
      <c r="BD399" s="36" t="s">
        <v>2189</v>
      </c>
      <c r="BE399" s="47" t="str">
        <f t="shared" si="14"/>
        <v>"Bairro"</v>
      </c>
    </row>
    <row r="400" spans="1:57" ht="6.65" customHeight="1" x14ac:dyDescent="0.4">
      <c r="A400" s="93">
        <v>400</v>
      </c>
      <c r="B400" s="74" t="s">
        <v>1197</v>
      </c>
      <c r="C400" s="44" t="s">
        <v>664</v>
      </c>
      <c r="D400" s="18" t="s">
        <v>744</v>
      </c>
      <c r="E400" s="48" t="s">
        <v>855</v>
      </c>
      <c r="F400" s="18" t="s">
        <v>820</v>
      </c>
      <c r="G400" s="48" t="s">
        <v>1023</v>
      </c>
      <c r="H400" s="18" t="s">
        <v>1062</v>
      </c>
      <c r="I400" s="48" t="s">
        <v>855</v>
      </c>
      <c r="J400" s="18" t="s">
        <v>744</v>
      </c>
      <c r="K400" s="48" t="s">
        <v>1063</v>
      </c>
      <c r="L400" s="18" t="s">
        <v>1</v>
      </c>
      <c r="M400" s="20" t="s">
        <v>1</v>
      </c>
      <c r="N400" s="46" t="s">
        <v>82</v>
      </c>
      <c r="O400" s="25" t="str">
        <f t="shared" si="13"/>
        <v>"Bairro N° B.058 RA.13 Rocha"</v>
      </c>
      <c r="P400" s="46" t="s">
        <v>1</v>
      </c>
      <c r="Q400" s="25" t="s">
        <v>1</v>
      </c>
      <c r="R400" s="46" t="s">
        <v>1</v>
      </c>
      <c r="S400" s="52" t="s">
        <v>1</v>
      </c>
      <c r="T400" s="46" t="s">
        <v>1</v>
      </c>
      <c r="U400" s="31" t="s">
        <v>1</v>
      </c>
      <c r="V400" s="46" t="s">
        <v>1</v>
      </c>
      <c r="W400" s="31" t="s">
        <v>1</v>
      </c>
      <c r="X400" s="46" t="s">
        <v>1</v>
      </c>
      <c r="Y400" s="31" t="s">
        <v>1</v>
      </c>
      <c r="Z400" s="46" t="s">
        <v>1</v>
      </c>
      <c r="AA400" s="31" t="s">
        <v>1</v>
      </c>
      <c r="AB400" s="46" t="s">
        <v>1</v>
      </c>
      <c r="AC400" s="47" t="s">
        <v>1</v>
      </c>
      <c r="AD400" s="36" t="s">
        <v>1</v>
      </c>
      <c r="AE400" s="51" t="s">
        <v>1</v>
      </c>
      <c r="AF400" s="36" t="s">
        <v>1</v>
      </c>
      <c r="AG400" s="51" t="s">
        <v>1</v>
      </c>
      <c r="AH400" s="36" t="s">
        <v>1</v>
      </c>
      <c r="AI400" s="51" t="s">
        <v>1</v>
      </c>
      <c r="AJ400" s="36" t="s">
        <v>1</v>
      </c>
      <c r="AK400" s="51" t="s">
        <v>1</v>
      </c>
      <c r="AL400" s="36" t="s">
        <v>1</v>
      </c>
      <c r="AM400" s="31" t="s">
        <v>1</v>
      </c>
      <c r="AN400" s="36" t="s">
        <v>1</v>
      </c>
      <c r="AO400" s="31" t="s">
        <v>1</v>
      </c>
      <c r="AP400" s="36" t="s">
        <v>1</v>
      </c>
      <c r="AQ400" s="51" t="s">
        <v>1</v>
      </c>
      <c r="AR400" s="36" t="s">
        <v>1</v>
      </c>
      <c r="AS400" s="47" t="s">
        <v>1</v>
      </c>
      <c r="AT400" s="36" t="s">
        <v>1</v>
      </c>
      <c r="AU400" s="47" t="s">
        <v>1</v>
      </c>
      <c r="AV400" s="36" t="s">
        <v>1</v>
      </c>
      <c r="AW400" s="47" t="s">
        <v>1</v>
      </c>
      <c r="AX400" s="36" t="s">
        <v>2065</v>
      </c>
      <c r="AY400" s="47" t="s">
        <v>2193</v>
      </c>
      <c r="AZ400" s="36" t="s">
        <v>1299</v>
      </c>
      <c r="BA400" s="47" t="s">
        <v>2193</v>
      </c>
      <c r="BB400" s="36" t="s">
        <v>2188</v>
      </c>
      <c r="BC400" s="47" t="s">
        <v>819</v>
      </c>
      <c r="BD400" s="36" t="s">
        <v>2189</v>
      </c>
      <c r="BE400" s="47" t="str">
        <f t="shared" si="14"/>
        <v>"Bairro"</v>
      </c>
    </row>
    <row r="401" spans="1:57" ht="6.65" customHeight="1" x14ac:dyDescent="0.4">
      <c r="A401" s="93">
        <v>401</v>
      </c>
      <c r="B401" s="74" t="s">
        <v>1198</v>
      </c>
      <c r="C401" s="44" t="s">
        <v>664</v>
      </c>
      <c r="D401" s="18" t="s">
        <v>744</v>
      </c>
      <c r="E401" s="48" t="s">
        <v>859</v>
      </c>
      <c r="F401" s="18" t="s">
        <v>820</v>
      </c>
      <c r="G401" s="48" t="s">
        <v>1024</v>
      </c>
      <c r="H401" s="18" t="s">
        <v>1062</v>
      </c>
      <c r="I401" s="48" t="s">
        <v>859</v>
      </c>
      <c r="J401" s="18" t="s">
        <v>744</v>
      </c>
      <c r="K401" s="48" t="s">
        <v>1063</v>
      </c>
      <c r="L401" s="18" t="s">
        <v>1</v>
      </c>
      <c r="M401" s="20" t="s">
        <v>1</v>
      </c>
      <c r="N401" s="46" t="s">
        <v>82</v>
      </c>
      <c r="O401" s="25" t="str">
        <f t="shared" si="13"/>
        <v>"Bairro N° B.086 RA.15 Rocha.Miranda"</v>
      </c>
      <c r="P401" s="46" t="s">
        <v>1</v>
      </c>
      <c r="Q401" s="25" t="s">
        <v>1</v>
      </c>
      <c r="R401" s="46" t="s">
        <v>1</v>
      </c>
      <c r="S401" s="52" t="s">
        <v>1</v>
      </c>
      <c r="T401" s="46" t="s">
        <v>1</v>
      </c>
      <c r="U401" s="31" t="s">
        <v>1</v>
      </c>
      <c r="V401" s="46" t="s">
        <v>1</v>
      </c>
      <c r="W401" s="31" t="s">
        <v>1</v>
      </c>
      <c r="X401" s="46" t="s">
        <v>1</v>
      </c>
      <c r="Y401" s="31" t="s">
        <v>1</v>
      </c>
      <c r="Z401" s="46" t="s">
        <v>1</v>
      </c>
      <c r="AA401" s="31" t="s">
        <v>1</v>
      </c>
      <c r="AB401" s="46" t="s">
        <v>1</v>
      </c>
      <c r="AC401" s="47" t="s">
        <v>1</v>
      </c>
      <c r="AD401" s="36" t="s">
        <v>1</v>
      </c>
      <c r="AE401" s="51" t="s">
        <v>1</v>
      </c>
      <c r="AF401" s="36" t="s">
        <v>1</v>
      </c>
      <c r="AG401" s="51" t="s">
        <v>1</v>
      </c>
      <c r="AH401" s="36" t="s">
        <v>1</v>
      </c>
      <c r="AI401" s="51" t="s">
        <v>1</v>
      </c>
      <c r="AJ401" s="36" t="s">
        <v>1</v>
      </c>
      <c r="AK401" s="51" t="s">
        <v>1</v>
      </c>
      <c r="AL401" s="36" t="s">
        <v>1</v>
      </c>
      <c r="AM401" s="31" t="s">
        <v>1</v>
      </c>
      <c r="AN401" s="36" t="s">
        <v>1</v>
      </c>
      <c r="AO401" s="31" t="s">
        <v>1</v>
      </c>
      <c r="AP401" s="36" t="s">
        <v>1</v>
      </c>
      <c r="AQ401" s="51" t="s">
        <v>1</v>
      </c>
      <c r="AR401" s="36" t="s">
        <v>1</v>
      </c>
      <c r="AS401" s="47" t="s">
        <v>1</v>
      </c>
      <c r="AT401" s="36" t="s">
        <v>1</v>
      </c>
      <c r="AU401" s="47" t="s">
        <v>1</v>
      </c>
      <c r="AV401" s="36" t="s">
        <v>1</v>
      </c>
      <c r="AW401" s="47" t="s">
        <v>1</v>
      </c>
      <c r="AX401" s="36" t="s">
        <v>2065</v>
      </c>
      <c r="AY401" s="47" t="s">
        <v>2193</v>
      </c>
      <c r="AZ401" s="36" t="s">
        <v>1299</v>
      </c>
      <c r="BA401" s="47" t="s">
        <v>2193</v>
      </c>
      <c r="BB401" s="36" t="s">
        <v>2188</v>
      </c>
      <c r="BC401" s="47" t="s">
        <v>819</v>
      </c>
      <c r="BD401" s="36" t="s">
        <v>2189</v>
      </c>
      <c r="BE401" s="47" t="str">
        <f t="shared" si="14"/>
        <v>"Bairro"</v>
      </c>
    </row>
    <row r="402" spans="1:57" ht="6.65" customHeight="1" x14ac:dyDescent="0.4">
      <c r="A402" s="93">
        <v>402</v>
      </c>
      <c r="B402" s="74" t="s">
        <v>1199</v>
      </c>
      <c r="C402" s="44" t="s">
        <v>664</v>
      </c>
      <c r="D402" s="18" t="s">
        <v>744</v>
      </c>
      <c r="E402" s="48" t="s">
        <v>883</v>
      </c>
      <c r="F402" s="18" t="s">
        <v>820</v>
      </c>
      <c r="G402" s="48" t="s">
        <v>1025</v>
      </c>
      <c r="H402" s="18" t="s">
        <v>1062</v>
      </c>
      <c r="I402" s="48" t="s">
        <v>883</v>
      </c>
      <c r="J402" s="18" t="s">
        <v>744</v>
      </c>
      <c r="K402" s="48" t="s">
        <v>1086</v>
      </c>
      <c r="L402" s="18" t="s">
        <v>1</v>
      </c>
      <c r="M402" s="20" t="s">
        <v>1</v>
      </c>
      <c r="N402" s="46" t="s">
        <v>82</v>
      </c>
      <c r="O402" s="25" t="str">
        <f t="shared" si="13"/>
        <v>"Bairro N° B.154 RA.27 Rocinha"</v>
      </c>
      <c r="P402" s="46" t="s">
        <v>1</v>
      </c>
      <c r="Q402" s="25" t="s">
        <v>1</v>
      </c>
      <c r="R402" s="46" t="s">
        <v>1</v>
      </c>
      <c r="S402" s="52" t="s">
        <v>1</v>
      </c>
      <c r="T402" s="46" t="s">
        <v>1</v>
      </c>
      <c r="U402" s="31" t="s">
        <v>1</v>
      </c>
      <c r="V402" s="46" t="s">
        <v>1</v>
      </c>
      <c r="W402" s="31" t="s">
        <v>1</v>
      </c>
      <c r="X402" s="46" t="s">
        <v>1</v>
      </c>
      <c r="Y402" s="31" t="s">
        <v>1</v>
      </c>
      <c r="Z402" s="46" t="s">
        <v>1</v>
      </c>
      <c r="AA402" s="31" t="s">
        <v>1</v>
      </c>
      <c r="AB402" s="46" t="s">
        <v>1</v>
      </c>
      <c r="AC402" s="47" t="s">
        <v>1</v>
      </c>
      <c r="AD402" s="36" t="s">
        <v>1</v>
      </c>
      <c r="AE402" s="51" t="s">
        <v>1</v>
      </c>
      <c r="AF402" s="36" t="s">
        <v>1</v>
      </c>
      <c r="AG402" s="51" t="s">
        <v>1</v>
      </c>
      <c r="AH402" s="36" t="s">
        <v>1</v>
      </c>
      <c r="AI402" s="51" t="s">
        <v>1</v>
      </c>
      <c r="AJ402" s="36" t="s">
        <v>1</v>
      </c>
      <c r="AK402" s="51" t="s">
        <v>1</v>
      </c>
      <c r="AL402" s="36" t="s">
        <v>1</v>
      </c>
      <c r="AM402" s="31" t="s">
        <v>1</v>
      </c>
      <c r="AN402" s="36" t="s">
        <v>1</v>
      </c>
      <c r="AO402" s="31" t="s">
        <v>1</v>
      </c>
      <c r="AP402" s="36" t="s">
        <v>1</v>
      </c>
      <c r="AQ402" s="51" t="s">
        <v>1</v>
      </c>
      <c r="AR402" s="36" t="s">
        <v>1</v>
      </c>
      <c r="AS402" s="47" t="s">
        <v>1</v>
      </c>
      <c r="AT402" s="36" t="s">
        <v>1</v>
      </c>
      <c r="AU402" s="47" t="s">
        <v>1</v>
      </c>
      <c r="AV402" s="36" t="s">
        <v>1</v>
      </c>
      <c r="AW402" s="47" t="s">
        <v>1</v>
      </c>
      <c r="AX402" s="36" t="s">
        <v>2065</v>
      </c>
      <c r="AY402" s="47" t="s">
        <v>2193</v>
      </c>
      <c r="AZ402" s="36" t="s">
        <v>1299</v>
      </c>
      <c r="BA402" s="47" t="s">
        <v>2193</v>
      </c>
      <c r="BB402" s="36" t="s">
        <v>2188</v>
      </c>
      <c r="BC402" s="47" t="s">
        <v>819</v>
      </c>
      <c r="BD402" s="36" t="s">
        <v>2189</v>
      </c>
      <c r="BE402" s="47" t="str">
        <f t="shared" si="14"/>
        <v>"Bairro"</v>
      </c>
    </row>
    <row r="403" spans="1:57" ht="6.65" customHeight="1" x14ac:dyDescent="0.4">
      <c r="A403" s="93">
        <v>403</v>
      </c>
      <c r="B403" s="74" t="s">
        <v>1200</v>
      </c>
      <c r="C403" s="44" t="s">
        <v>664</v>
      </c>
      <c r="D403" s="18" t="s">
        <v>744</v>
      </c>
      <c r="E403" s="48" t="s">
        <v>855</v>
      </c>
      <c r="F403" s="18" t="s">
        <v>820</v>
      </c>
      <c r="G403" s="48" t="s">
        <v>1026</v>
      </c>
      <c r="H403" s="18" t="s">
        <v>1062</v>
      </c>
      <c r="I403" s="48" t="s">
        <v>855</v>
      </c>
      <c r="J403" s="18" t="s">
        <v>744</v>
      </c>
      <c r="K403" s="48" t="s">
        <v>1063</v>
      </c>
      <c r="L403" s="18" t="s">
        <v>1</v>
      </c>
      <c r="M403" s="20" t="s">
        <v>1</v>
      </c>
      <c r="N403" s="46" t="s">
        <v>82</v>
      </c>
      <c r="O403" s="25" t="str">
        <f t="shared" ref="O403:O437" si="15">_xlfn.CONCAT("""","Bairro N° ",G403, " ",E403," ", B403,"""")</f>
        <v>"Bairro N° B.060 RA.13 Sampaio"</v>
      </c>
      <c r="P403" s="46" t="s">
        <v>1</v>
      </c>
      <c r="Q403" s="25" t="s">
        <v>1</v>
      </c>
      <c r="R403" s="46" t="s">
        <v>1</v>
      </c>
      <c r="S403" s="52" t="s">
        <v>1</v>
      </c>
      <c r="T403" s="46" t="s">
        <v>1</v>
      </c>
      <c r="U403" s="31" t="s">
        <v>1</v>
      </c>
      <c r="V403" s="46" t="s">
        <v>1</v>
      </c>
      <c r="W403" s="31" t="s">
        <v>1</v>
      </c>
      <c r="X403" s="46" t="s">
        <v>1</v>
      </c>
      <c r="Y403" s="31" t="s">
        <v>1</v>
      </c>
      <c r="Z403" s="46" t="s">
        <v>1</v>
      </c>
      <c r="AA403" s="31" t="s">
        <v>1</v>
      </c>
      <c r="AB403" s="46" t="s">
        <v>1</v>
      </c>
      <c r="AC403" s="47" t="s">
        <v>1</v>
      </c>
      <c r="AD403" s="36" t="s">
        <v>1</v>
      </c>
      <c r="AE403" s="51" t="s">
        <v>1</v>
      </c>
      <c r="AF403" s="36" t="s">
        <v>1</v>
      </c>
      <c r="AG403" s="51" t="s">
        <v>1</v>
      </c>
      <c r="AH403" s="36" t="s">
        <v>1</v>
      </c>
      <c r="AI403" s="51" t="s">
        <v>1</v>
      </c>
      <c r="AJ403" s="36" t="s">
        <v>1</v>
      </c>
      <c r="AK403" s="51" t="s">
        <v>1</v>
      </c>
      <c r="AL403" s="36" t="s">
        <v>1</v>
      </c>
      <c r="AM403" s="31" t="s">
        <v>1</v>
      </c>
      <c r="AN403" s="36" t="s">
        <v>1</v>
      </c>
      <c r="AO403" s="31" t="s">
        <v>1</v>
      </c>
      <c r="AP403" s="36" t="s">
        <v>1</v>
      </c>
      <c r="AQ403" s="51" t="s">
        <v>1</v>
      </c>
      <c r="AR403" s="36" t="s">
        <v>1</v>
      </c>
      <c r="AS403" s="47" t="s">
        <v>1</v>
      </c>
      <c r="AT403" s="36" t="s">
        <v>1</v>
      </c>
      <c r="AU403" s="47" t="s">
        <v>1</v>
      </c>
      <c r="AV403" s="36" t="s">
        <v>1</v>
      </c>
      <c r="AW403" s="47" t="s">
        <v>1</v>
      </c>
      <c r="AX403" s="36" t="s">
        <v>2065</v>
      </c>
      <c r="AY403" s="47" t="s">
        <v>2193</v>
      </c>
      <c r="AZ403" s="36" t="s">
        <v>1299</v>
      </c>
      <c r="BA403" s="47" t="s">
        <v>2193</v>
      </c>
      <c r="BB403" s="36" t="s">
        <v>2188</v>
      </c>
      <c r="BC403" s="47" t="s">
        <v>819</v>
      </c>
      <c r="BD403" s="36" t="s">
        <v>2189</v>
      </c>
      <c r="BE403" s="47" t="str">
        <f t="shared" si="14"/>
        <v>"Bairro"</v>
      </c>
    </row>
    <row r="404" spans="1:57" ht="6.65" customHeight="1" x14ac:dyDescent="0.4">
      <c r="A404" s="93">
        <v>404</v>
      </c>
      <c r="B404" s="74" t="s">
        <v>1201</v>
      </c>
      <c r="C404" s="44" t="s">
        <v>664</v>
      </c>
      <c r="D404" s="18" t="s">
        <v>744</v>
      </c>
      <c r="E404" s="48" t="s">
        <v>867</v>
      </c>
      <c r="F404" s="18" t="s">
        <v>820</v>
      </c>
      <c r="G404" s="48" t="s">
        <v>1027</v>
      </c>
      <c r="H404" s="18" t="s">
        <v>1062</v>
      </c>
      <c r="I404" s="48" t="s">
        <v>867</v>
      </c>
      <c r="J404" s="18" t="s">
        <v>744</v>
      </c>
      <c r="K404" s="48" t="s">
        <v>1079</v>
      </c>
      <c r="L404" s="18" t="s">
        <v>1</v>
      </c>
      <c r="M404" s="20" t="s">
        <v>1</v>
      </c>
      <c r="N404" s="46" t="s">
        <v>82</v>
      </c>
      <c r="O404" s="25" t="str">
        <f t="shared" si="15"/>
        <v>"Bairro N° B.149 RA.19 Santa.Cruz"</v>
      </c>
      <c r="P404" s="46" t="s">
        <v>1</v>
      </c>
      <c r="Q404" s="25" t="s">
        <v>1</v>
      </c>
      <c r="R404" s="46" t="s">
        <v>1</v>
      </c>
      <c r="S404" s="52" t="s">
        <v>1</v>
      </c>
      <c r="T404" s="46" t="s">
        <v>1</v>
      </c>
      <c r="U404" s="31" t="s">
        <v>1</v>
      </c>
      <c r="V404" s="46" t="s">
        <v>1</v>
      </c>
      <c r="W404" s="31" t="s">
        <v>1</v>
      </c>
      <c r="X404" s="46" t="s">
        <v>1</v>
      </c>
      <c r="Y404" s="31" t="s">
        <v>1</v>
      </c>
      <c r="Z404" s="46" t="s">
        <v>1</v>
      </c>
      <c r="AA404" s="31" t="s">
        <v>1</v>
      </c>
      <c r="AB404" s="46" t="s">
        <v>1</v>
      </c>
      <c r="AC404" s="47" t="s">
        <v>1</v>
      </c>
      <c r="AD404" s="36" t="s">
        <v>1</v>
      </c>
      <c r="AE404" s="51" t="s">
        <v>1</v>
      </c>
      <c r="AF404" s="36" t="s">
        <v>1</v>
      </c>
      <c r="AG404" s="51" t="s">
        <v>1</v>
      </c>
      <c r="AH404" s="36" t="s">
        <v>1</v>
      </c>
      <c r="AI404" s="51" t="s">
        <v>1</v>
      </c>
      <c r="AJ404" s="36" t="s">
        <v>1</v>
      </c>
      <c r="AK404" s="51" t="s">
        <v>1</v>
      </c>
      <c r="AL404" s="36" t="s">
        <v>1</v>
      </c>
      <c r="AM404" s="31" t="s">
        <v>1</v>
      </c>
      <c r="AN404" s="36" t="s">
        <v>1</v>
      </c>
      <c r="AO404" s="31" t="s">
        <v>1</v>
      </c>
      <c r="AP404" s="36" t="s">
        <v>1</v>
      </c>
      <c r="AQ404" s="51" t="s">
        <v>1</v>
      </c>
      <c r="AR404" s="36" t="s">
        <v>1</v>
      </c>
      <c r="AS404" s="47" t="s">
        <v>1</v>
      </c>
      <c r="AT404" s="36" t="s">
        <v>1</v>
      </c>
      <c r="AU404" s="47" t="s">
        <v>1</v>
      </c>
      <c r="AV404" s="36" t="s">
        <v>1</v>
      </c>
      <c r="AW404" s="47" t="s">
        <v>1</v>
      </c>
      <c r="AX404" s="36" t="s">
        <v>2065</v>
      </c>
      <c r="AY404" s="47" t="s">
        <v>2193</v>
      </c>
      <c r="AZ404" s="36" t="s">
        <v>1299</v>
      </c>
      <c r="BA404" s="47" t="s">
        <v>2193</v>
      </c>
      <c r="BB404" s="36" t="s">
        <v>2188</v>
      </c>
      <c r="BC404" s="47" t="s">
        <v>819</v>
      </c>
      <c r="BD404" s="36" t="s">
        <v>2189</v>
      </c>
      <c r="BE404" s="47" t="str">
        <f t="shared" si="14"/>
        <v>"Bairro"</v>
      </c>
    </row>
    <row r="405" spans="1:57" ht="6.65" customHeight="1" x14ac:dyDescent="0.4">
      <c r="A405" s="93">
        <v>405</v>
      </c>
      <c r="B405" s="74" t="s">
        <v>1202</v>
      </c>
      <c r="C405" s="44" t="s">
        <v>664</v>
      </c>
      <c r="D405" s="18" t="s">
        <v>744</v>
      </c>
      <c r="E405" s="48" t="s">
        <v>875</v>
      </c>
      <c r="F405" s="18" t="s">
        <v>820</v>
      </c>
      <c r="G405" s="48" t="s">
        <v>1028</v>
      </c>
      <c r="H405" s="18" t="s">
        <v>1062</v>
      </c>
      <c r="I405" s="48" t="s">
        <v>875</v>
      </c>
      <c r="J405" s="18" t="s">
        <v>744</v>
      </c>
      <c r="K405" s="48" t="s">
        <v>1082</v>
      </c>
      <c r="L405" s="18" t="s">
        <v>1</v>
      </c>
      <c r="M405" s="20" t="s">
        <v>1</v>
      </c>
      <c r="N405" s="46" t="s">
        <v>82</v>
      </c>
      <c r="O405" s="25" t="str">
        <f t="shared" si="15"/>
        <v>"Bairro N° B.014 RA.23 Santa.Teresa"</v>
      </c>
      <c r="P405" s="46" t="s">
        <v>1</v>
      </c>
      <c r="Q405" s="25" t="s">
        <v>1</v>
      </c>
      <c r="R405" s="46" t="s">
        <v>1</v>
      </c>
      <c r="S405" s="52" t="s">
        <v>1</v>
      </c>
      <c r="T405" s="46" t="s">
        <v>1</v>
      </c>
      <c r="U405" s="31" t="s">
        <v>1</v>
      </c>
      <c r="V405" s="46" t="s">
        <v>1</v>
      </c>
      <c r="W405" s="31" t="s">
        <v>1</v>
      </c>
      <c r="X405" s="46" t="s">
        <v>1</v>
      </c>
      <c r="Y405" s="31" t="s">
        <v>1</v>
      </c>
      <c r="Z405" s="46" t="s">
        <v>1</v>
      </c>
      <c r="AA405" s="31" t="s">
        <v>1</v>
      </c>
      <c r="AB405" s="46" t="s">
        <v>1</v>
      </c>
      <c r="AC405" s="47" t="s">
        <v>1</v>
      </c>
      <c r="AD405" s="36" t="s">
        <v>1</v>
      </c>
      <c r="AE405" s="51" t="s">
        <v>1</v>
      </c>
      <c r="AF405" s="36" t="s">
        <v>1</v>
      </c>
      <c r="AG405" s="51" t="s">
        <v>1</v>
      </c>
      <c r="AH405" s="36" t="s">
        <v>1</v>
      </c>
      <c r="AI405" s="51" t="s">
        <v>1</v>
      </c>
      <c r="AJ405" s="36" t="s">
        <v>1</v>
      </c>
      <c r="AK405" s="51" t="s">
        <v>1</v>
      </c>
      <c r="AL405" s="36" t="s">
        <v>1</v>
      </c>
      <c r="AM405" s="31" t="s">
        <v>1</v>
      </c>
      <c r="AN405" s="36" t="s">
        <v>1</v>
      </c>
      <c r="AO405" s="31" t="s">
        <v>1</v>
      </c>
      <c r="AP405" s="36" t="s">
        <v>1</v>
      </c>
      <c r="AQ405" s="51" t="s">
        <v>1</v>
      </c>
      <c r="AR405" s="36" t="s">
        <v>1</v>
      </c>
      <c r="AS405" s="47" t="s">
        <v>1</v>
      </c>
      <c r="AT405" s="36" t="s">
        <v>1</v>
      </c>
      <c r="AU405" s="47" t="s">
        <v>1</v>
      </c>
      <c r="AV405" s="36" t="s">
        <v>1</v>
      </c>
      <c r="AW405" s="47" t="s">
        <v>1</v>
      </c>
      <c r="AX405" s="36" t="s">
        <v>2065</v>
      </c>
      <c r="AY405" s="47" t="s">
        <v>2193</v>
      </c>
      <c r="AZ405" s="36" t="s">
        <v>1299</v>
      </c>
      <c r="BA405" s="47" t="s">
        <v>2193</v>
      </c>
      <c r="BB405" s="36" t="s">
        <v>2188</v>
      </c>
      <c r="BC405" s="47" t="s">
        <v>819</v>
      </c>
      <c r="BD405" s="36" t="s">
        <v>2189</v>
      </c>
      <c r="BE405" s="47" t="str">
        <f t="shared" si="14"/>
        <v>"Bairro"</v>
      </c>
    </row>
    <row r="406" spans="1:57" ht="6.65" customHeight="1" x14ac:dyDescent="0.4">
      <c r="A406" s="93">
        <v>406</v>
      </c>
      <c r="B406" s="74" t="s">
        <v>1203</v>
      </c>
      <c r="C406" s="44" t="s">
        <v>664</v>
      </c>
      <c r="D406" s="18" t="s">
        <v>744</v>
      </c>
      <c r="E406" s="48" t="s">
        <v>865</v>
      </c>
      <c r="F406" s="18" t="s">
        <v>820</v>
      </c>
      <c r="G406" s="48" t="s">
        <v>1029</v>
      </c>
      <c r="H406" s="18" t="s">
        <v>1062</v>
      </c>
      <c r="I406" s="48" t="s">
        <v>865</v>
      </c>
      <c r="J406" s="18" t="s">
        <v>744</v>
      </c>
      <c r="K406" s="48" t="s">
        <v>1079</v>
      </c>
      <c r="L406" s="18" t="s">
        <v>1</v>
      </c>
      <c r="M406" s="20" t="s">
        <v>1</v>
      </c>
      <c r="N406" s="46" t="s">
        <v>82</v>
      </c>
      <c r="O406" s="25" t="str">
        <f t="shared" si="15"/>
        <v>"Bairro N° B.143 RA.18 Santíssimo"</v>
      </c>
      <c r="P406" s="46" t="s">
        <v>1</v>
      </c>
      <c r="Q406" s="25" t="s">
        <v>1</v>
      </c>
      <c r="R406" s="46" t="s">
        <v>1</v>
      </c>
      <c r="S406" s="52" t="s">
        <v>1</v>
      </c>
      <c r="T406" s="46" t="s">
        <v>1</v>
      </c>
      <c r="U406" s="31" t="s">
        <v>1</v>
      </c>
      <c r="V406" s="46" t="s">
        <v>1</v>
      </c>
      <c r="W406" s="31" t="s">
        <v>1</v>
      </c>
      <c r="X406" s="46" t="s">
        <v>1</v>
      </c>
      <c r="Y406" s="31" t="s">
        <v>1</v>
      </c>
      <c r="Z406" s="46" t="s">
        <v>1</v>
      </c>
      <c r="AA406" s="31" t="s">
        <v>1</v>
      </c>
      <c r="AB406" s="46" t="s">
        <v>1</v>
      </c>
      <c r="AC406" s="47" t="s">
        <v>1</v>
      </c>
      <c r="AD406" s="36" t="s">
        <v>1</v>
      </c>
      <c r="AE406" s="51" t="s">
        <v>1</v>
      </c>
      <c r="AF406" s="36" t="s">
        <v>1</v>
      </c>
      <c r="AG406" s="51" t="s">
        <v>1</v>
      </c>
      <c r="AH406" s="36" t="s">
        <v>1</v>
      </c>
      <c r="AI406" s="51" t="s">
        <v>1</v>
      </c>
      <c r="AJ406" s="36" t="s">
        <v>1</v>
      </c>
      <c r="AK406" s="51" t="s">
        <v>1</v>
      </c>
      <c r="AL406" s="36" t="s">
        <v>1</v>
      </c>
      <c r="AM406" s="31" t="s">
        <v>1</v>
      </c>
      <c r="AN406" s="36" t="s">
        <v>1</v>
      </c>
      <c r="AO406" s="31" t="s">
        <v>1</v>
      </c>
      <c r="AP406" s="36" t="s">
        <v>1</v>
      </c>
      <c r="AQ406" s="51" t="s">
        <v>1</v>
      </c>
      <c r="AR406" s="36" t="s">
        <v>1</v>
      </c>
      <c r="AS406" s="47" t="s">
        <v>1</v>
      </c>
      <c r="AT406" s="36" t="s">
        <v>1</v>
      </c>
      <c r="AU406" s="47" t="s">
        <v>1</v>
      </c>
      <c r="AV406" s="36" t="s">
        <v>1</v>
      </c>
      <c r="AW406" s="47" t="s">
        <v>1</v>
      </c>
      <c r="AX406" s="36" t="s">
        <v>2065</v>
      </c>
      <c r="AY406" s="47" t="s">
        <v>2193</v>
      </c>
      <c r="AZ406" s="36" t="s">
        <v>1299</v>
      </c>
      <c r="BA406" s="47" t="s">
        <v>2193</v>
      </c>
      <c r="BB406" s="36" t="s">
        <v>2188</v>
      </c>
      <c r="BC406" s="47" t="s">
        <v>819</v>
      </c>
      <c r="BD406" s="36" t="s">
        <v>2189</v>
      </c>
      <c r="BE406" s="47" t="str">
        <f t="shared" si="14"/>
        <v>"Bairro"</v>
      </c>
    </row>
    <row r="407" spans="1:57" ht="6.65" customHeight="1" x14ac:dyDescent="0.4">
      <c r="A407" s="93">
        <v>407</v>
      </c>
      <c r="B407" s="74" t="s">
        <v>1204</v>
      </c>
      <c r="C407" s="44" t="s">
        <v>664</v>
      </c>
      <c r="D407" s="18" t="s">
        <v>744</v>
      </c>
      <c r="E407" s="48" t="s">
        <v>831</v>
      </c>
      <c r="F407" s="18" t="s">
        <v>820</v>
      </c>
      <c r="G407" s="48" t="s">
        <v>1030</v>
      </c>
      <c r="H407" s="18" t="s">
        <v>1062</v>
      </c>
      <c r="I407" s="48" t="s">
        <v>831</v>
      </c>
      <c r="J407" s="18" t="s">
        <v>744</v>
      </c>
      <c r="K407" s="48" t="s">
        <v>1082</v>
      </c>
      <c r="L407" s="18" t="s">
        <v>1</v>
      </c>
      <c r="M407" s="20" t="s">
        <v>1</v>
      </c>
      <c r="N407" s="46" t="s">
        <v>82</v>
      </c>
      <c r="O407" s="25" t="str">
        <f t="shared" si="15"/>
        <v>"Bairro N° B.003 RA.01 Santo.Cristo"</v>
      </c>
      <c r="P407" s="46" t="s">
        <v>1</v>
      </c>
      <c r="Q407" s="25" t="s">
        <v>1</v>
      </c>
      <c r="R407" s="46" t="s">
        <v>1</v>
      </c>
      <c r="S407" s="52" t="s">
        <v>1</v>
      </c>
      <c r="T407" s="46" t="s">
        <v>1</v>
      </c>
      <c r="U407" s="31" t="s">
        <v>1</v>
      </c>
      <c r="V407" s="46" t="s">
        <v>1</v>
      </c>
      <c r="W407" s="31" t="s">
        <v>1</v>
      </c>
      <c r="X407" s="46" t="s">
        <v>1</v>
      </c>
      <c r="Y407" s="31" t="s">
        <v>1</v>
      </c>
      <c r="Z407" s="46" t="s">
        <v>1</v>
      </c>
      <c r="AA407" s="31" t="s">
        <v>1</v>
      </c>
      <c r="AB407" s="46" t="s">
        <v>1</v>
      </c>
      <c r="AC407" s="47" t="s">
        <v>1</v>
      </c>
      <c r="AD407" s="36" t="s">
        <v>1</v>
      </c>
      <c r="AE407" s="51" t="s">
        <v>1</v>
      </c>
      <c r="AF407" s="36" t="s">
        <v>1</v>
      </c>
      <c r="AG407" s="51" t="s">
        <v>1</v>
      </c>
      <c r="AH407" s="36" t="s">
        <v>1</v>
      </c>
      <c r="AI407" s="51" t="s">
        <v>1</v>
      </c>
      <c r="AJ407" s="36" t="s">
        <v>1</v>
      </c>
      <c r="AK407" s="51" t="s">
        <v>1</v>
      </c>
      <c r="AL407" s="36" t="s">
        <v>1</v>
      </c>
      <c r="AM407" s="31" t="s">
        <v>1</v>
      </c>
      <c r="AN407" s="36" t="s">
        <v>1</v>
      </c>
      <c r="AO407" s="31" t="s">
        <v>1</v>
      </c>
      <c r="AP407" s="36" t="s">
        <v>1</v>
      </c>
      <c r="AQ407" s="51" t="s">
        <v>1</v>
      </c>
      <c r="AR407" s="36" t="s">
        <v>1</v>
      </c>
      <c r="AS407" s="47" t="s">
        <v>1</v>
      </c>
      <c r="AT407" s="36" t="s">
        <v>1</v>
      </c>
      <c r="AU407" s="47" t="s">
        <v>1</v>
      </c>
      <c r="AV407" s="36" t="s">
        <v>1</v>
      </c>
      <c r="AW407" s="47" t="s">
        <v>1</v>
      </c>
      <c r="AX407" s="36" t="s">
        <v>2065</v>
      </c>
      <c r="AY407" s="47" t="s">
        <v>2193</v>
      </c>
      <c r="AZ407" s="36" t="s">
        <v>1299</v>
      </c>
      <c r="BA407" s="47" t="s">
        <v>2193</v>
      </c>
      <c r="BB407" s="36" t="s">
        <v>2188</v>
      </c>
      <c r="BC407" s="47" t="s">
        <v>819</v>
      </c>
      <c r="BD407" s="36" t="s">
        <v>2189</v>
      </c>
      <c r="BE407" s="47" t="str">
        <f t="shared" si="14"/>
        <v>"Bairro"</v>
      </c>
    </row>
    <row r="408" spans="1:57" ht="6.65" customHeight="1" x14ac:dyDescent="0.4">
      <c r="A408" s="93">
        <v>408</v>
      </c>
      <c r="B408" s="74" t="s">
        <v>1205</v>
      </c>
      <c r="C408" s="44" t="s">
        <v>664</v>
      </c>
      <c r="D408" s="18" t="s">
        <v>744</v>
      </c>
      <c r="E408" s="48" t="s">
        <v>841</v>
      </c>
      <c r="F408" s="18" t="s">
        <v>820</v>
      </c>
      <c r="G408" s="48" t="s">
        <v>1031</v>
      </c>
      <c r="H408" s="18" t="s">
        <v>1062</v>
      </c>
      <c r="I408" s="48" t="s">
        <v>841</v>
      </c>
      <c r="J408" s="18" t="s">
        <v>744</v>
      </c>
      <c r="K408" s="48" t="s">
        <v>1086</v>
      </c>
      <c r="L408" s="18" t="s">
        <v>1</v>
      </c>
      <c r="M408" s="20" t="s">
        <v>1</v>
      </c>
      <c r="N408" s="46" t="s">
        <v>82</v>
      </c>
      <c r="O408" s="25" t="str">
        <f t="shared" si="15"/>
        <v>"Bairro N° B.031 RA.06 São.Conrado"</v>
      </c>
      <c r="P408" s="46" t="s">
        <v>1</v>
      </c>
      <c r="Q408" s="25" t="s">
        <v>1</v>
      </c>
      <c r="R408" s="46" t="s">
        <v>1</v>
      </c>
      <c r="S408" s="52" t="s">
        <v>1</v>
      </c>
      <c r="T408" s="46" t="s">
        <v>1</v>
      </c>
      <c r="U408" s="31" t="s">
        <v>1</v>
      </c>
      <c r="V408" s="46" t="s">
        <v>1</v>
      </c>
      <c r="W408" s="31" t="s">
        <v>1</v>
      </c>
      <c r="X408" s="46" t="s">
        <v>1</v>
      </c>
      <c r="Y408" s="31" t="s">
        <v>1</v>
      </c>
      <c r="Z408" s="46" t="s">
        <v>1</v>
      </c>
      <c r="AA408" s="31" t="s">
        <v>1</v>
      </c>
      <c r="AB408" s="46" t="s">
        <v>1</v>
      </c>
      <c r="AC408" s="47" t="s">
        <v>1</v>
      </c>
      <c r="AD408" s="36" t="s">
        <v>1</v>
      </c>
      <c r="AE408" s="51" t="s">
        <v>1</v>
      </c>
      <c r="AF408" s="36" t="s">
        <v>1</v>
      </c>
      <c r="AG408" s="51" t="s">
        <v>1</v>
      </c>
      <c r="AH408" s="36" t="s">
        <v>1</v>
      </c>
      <c r="AI408" s="51" t="s">
        <v>1</v>
      </c>
      <c r="AJ408" s="36" t="s">
        <v>1</v>
      </c>
      <c r="AK408" s="51" t="s">
        <v>1</v>
      </c>
      <c r="AL408" s="36" t="s">
        <v>1</v>
      </c>
      <c r="AM408" s="31" t="s">
        <v>1</v>
      </c>
      <c r="AN408" s="36" t="s">
        <v>1</v>
      </c>
      <c r="AO408" s="31" t="s">
        <v>1</v>
      </c>
      <c r="AP408" s="36" t="s">
        <v>1</v>
      </c>
      <c r="AQ408" s="51" t="s">
        <v>1</v>
      </c>
      <c r="AR408" s="36" t="s">
        <v>1</v>
      </c>
      <c r="AS408" s="47" t="s">
        <v>1</v>
      </c>
      <c r="AT408" s="36" t="s">
        <v>1</v>
      </c>
      <c r="AU408" s="47" t="s">
        <v>1</v>
      </c>
      <c r="AV408" s="36" t="s">
        <v>1</v>
      </c>
      <c r="AW408" s="47" t="s">
        <v>1</v>
      </c>
      <c r="AX408" s="36" t="s">
        <v>2065</v>
      </c>
      <c r="AY408" s="47" t="s">
        <v>2193</v>
      </c>
      <c r="AZ408" s="36" t="s">
        <v>1299</v>
      </c>
      <c r="BA408" s="47" t="s">
        <v>2193</v>
      </c>
      <c r="BB408" s="36" t="s">
        <v>2188</v>
      </c>
      <c r="BC408" s="47" t="s">
        <v>819</v>
      </c>
      <c r="BD408" s="36" t="s">
        <v>2189</v>
      </c>
      <c r="BE408" s="47" t="str">
        <f t="shared" si="14"/>
        <v>"Bairro"</v>
      </c>
    </row>
    <row r="409" spans="1:57" ht="6.65" customHeight="1" x14ac:dyDescent="0.4">
      <c r="A409" s="93">
        <v>409</v>
      </c>
      <c r="B409" s="74" t="s">
        <v>1206</v>
      </c>
      <c r="C409" s="44" t="s">
        <v>664</v>
      </c>
      <c r="D409" s="18" t="s">
        <v>744</v>
      </c>
      <c r="E409" s="48" t="s">
        <v>843</v>
      </c>
      <c r="F409" s="18" t="s">
        <v>820</v>
      </c>
      <c r="G409" s="48" t="s">
        <v>1032</v>
      </c>
      <c r="H409" s="18" t="s">
        <v>1062</v>
      </c>
      <c r="I409" s="48" t="s">
        <v>843</v>
      </c>
      <c r="J409" s="18" t="s">
        <v>744</v>
      </c>
      <c r="K409" s="48" t="s">
        <v>1082</v>
      </c>
      <c r="L409" s="18" t="s">
        <v>1</v>
      </c>
      <c r="M409" s="20" t="s">
        <v>1</v>
      </c>
      <c r="N409" s="46" t="s">
        <v>82</v>
      </c>
      <c r="O409" s="25" t="str">
        <f t="shared" si="15"/>
        <v>"Bairro N° B.010 RA.07 São.Cristóvão"</v>
      </c>
      <c r="P409" s="46" t="s">
        <v>1</v>
      </c>
      <c r="Q409" s="25" t="s">
        <v>1</v>
      </c>
      <c r="R409" s="46" t="s">
        <v>1</v>
      </c>
      <c r="S409" s="52" t="s">
        <v>1</v>
      </c>
      <c r="T409" s="46" t="s">
        <v>1</v>
      </c>
      <c r="U409" s="31" t="s">
        <v>1</v>
      </c>
      <c r="V409" s="46" t="s">
        <v>1</v>
      </c>
      <c r="W409" s="31" t="s">
        <v>1</v>
      </c>
      <c r="X409" s="46" t="s">
        <v>1</v>
      </c>
      <c r="Y409" s="31" t="s">
        <v>1</v>
      </c>
      <c r="Z409" s="46" t="s">
        <v>1</v>
      </c>
      <c r="AA409" s="31" t="s">
        <v>1</v>
      </c>
      <c r="AB409" s="46" t="s">
        <v>1</v>
      </c>
      <c r="AC409" s="47" t="s">
        <v>1</v>
      </c>
      <c r="AD409" s="36" t="s">
        <v>1</v>
      </c>
      <c r="AE409" s="51" t="s">
        <v>1</v>
      </c>
      <c r="AF409" s="36" t="s">
        <v>1</v>
      </c>
      <c r="AG409" s="51" t="s">
        <v>1</v>
      </c>
      <c r="AH409" s="36" t="s">
        <v>1</v>
      </c>
      <c r="AI409" s="51" t="s">
        <v>1</v>
      </c>
      <c r="AJ409" s="36" t="s">
        <v>1</v>
      </c>
      <c r="AK409" s="51" t="s">
        <v>1</v>
      </c>
      <c r="AL409" s="36" t="s">
        <v>1</v>
      </c>
      <c r="AM409" s="31" t="s">
        <v>1</v>
      </c>
      <c r="AN409" s="36" t="s">
        <v>1</v>
      </c>
      <c r="AO409" s="31" t="s">
        <v>1</v>
      </c>
      <c r="AP409" s="36" t="s">
        <v>1</v>
      </c>
      <c r="AQ409" s="51" t="s">
        <v>1</v>
      </c>
      <c r="AR409" s="36" t="s">
        <v>1</v>
      </c>
      <c r="AS409" s="47" t="s">
        <v>1</v>
      </c>
      <c r="AT409" s="36" t="s">
        <v>1</v>
      </c>
      <c r="AU409" s="47" t="s">
        <v>1</v>
      </c>
      <c r="AV409" s="36" t="s">
        <v>1</v>
      </c>
      <c r="AW409" s="47" t="s">
        <v>1</v>
      </c>
      <c r="AX409" s="36" t="s">
        <v>2065</v>
      </c>
      <c r="AY409" s="47" t="s">
        <v>2193</v>
      </c>
      <c r="AZ409" s="36" t="s">
        <v>1299</v>
      </c>
      <c r="BA409" s="47" t="s">
        <v>2193</v>
      </c>
      <c r="BB409" s="36" t="s">
        <v>2188</v>
      </c>
      <c r="BC409" s="47" t="s">
        <v>819</v>
      </c>
      <c r="BD409" s="36" t="s">
        <v>2189</v>
      </c>
      <c r="BE409" s="47" t="str">
        <f t="shared" si="14"/>
        <v>"Bairro"</v>
      </c>
    </row>
    <row r="410" spans="1:57" ht="6.65" customHeight="1" x14ac:dyDescent="0.4">
      <c r="A410" s="93">
        <v>410</v>
      </c>
      <c r="B410" s="74" t="s">
        <v>1207</v>
      </c>
      <c r="C410" s="44" t="s">
        <v>664</v>
      </c>
      <c r="D410" s="18" t="s">
        <v>744</v>
      </c>
      <c r="E410" s="48" t="s">
        <v>855</v>
      </c>
      <c r="F410" s="18" t="s">
        <v>820</v>
      </c>
      <c r="G410" s="48" t="s">
        <v>1033</v>
      </c>
      <c r="H410" s="18" t="s">
        <v>1062</v>
      </c>
      <c r="I410" s="48" t="s">
        <v>855</v>
      </c>
      <c r="J410" s="18" t="s">
        <v>744</v>
      </c>
      <c r="K410" s="48" t="s">
        <v>1063</v>
      </c>
      <c r="L410" s="18" t="s">
        <v>1</v>
      </c>
      <c r="M410" s="20" t="s">
        <v>1</v>
      </c>
      <c r="N410" s="46" t="s">
        <v>82</v>
      </c>
      <c r="O410" s="25" t="str">
        <f t="shared" si="15"/>
        <v>"Bairro N° B.057 RA.13 São.Francisco.Xavier"</v>
      </c>
      <c r="P410" s="46" t="s">
        <v>1</v>
      </c>
      <c r="Q410" s="25" t="s">
        <v>1</v>
      </c>
      <c r="R410" s="46" t="s">
        <v>1</v>
      </c>
      <c r="S410" s="52" t="s">
        <v>1</v>
      </c>
      <c r="T410" s="46" t="s">
        <v>1</v>
      </c>
      <c r="U410" s="31" t="s">
        <v>1</v>
      </c>
      <c r="V410" s="46" t="s">
        <v>1</v>
      </c>
      <c r="W410" s="31" t="s">
        <v>1</v>
      </c>
      <c r="X410" s="46" t="s">
        <v>1</v>
      </c>
      <c r="Y410" s="31" t="s">
        <v>1</v>
      </c>
      <c r="Z410" s="46" t="s">
        <v>1</v>
      </c>
      <c r="AA410" s="31" t="s">
        <v>1</v>
      </c>
      <c r="AB410" s="46" t="s">
        <v>1</v>
      </c>
      <c r="AC410" s="47" t="s">
        <v>1</v>
      </c>
      <c r="AD410" s="36" t="s">
        <v>1</v>
      </c>
      <c r="AE410" s="51" t="s">
        <v>1</v>
      </c>
      <c r="AF410" s="36" t="s">
        <v>1</v>
      </c>
      <c r="AG410" s="51" t="s">
        <v>1</v>
      </c>
      <c r="AH410" s="36" t="s">
        <v>1</v>
      </c>
      <c r="AI410" s="51" t="s">
        <v>1</v>
      </c>
      <c r="AJ410" s="36" t="s">
        <v>1</v>
      </c>
      <c r="AK410" s="51" t="s">
        <v>1</v>
      </c>
      <c r="AL410" s="36" t="s">
        <v>1</v>
      </c>
      <c r="AM410" s="31" t="s">
        <v>1</v>
      </c>
      <c r="AN410" s="36" t="s">
        <v>1</v>
      </c>
      <c r="AO410" s="31" t="s">
        <v>1</v>
      </c>
      <c r="AP410" s="36" t="s">
        <v>1</v>
      </c>
      <c r="AQ410" s="51" t="s">
        <v>1</v>
      </c>
      <c r="AR410" s="36" t="s">
        <v>1</v>
      </c>
      <c r="AS410" s="47" t="s">
        <v>1</v>
      </c>
      <c r="AT410" s="36" t="s">
        <v>1</v>
      </c>
      <c r="AU410" s="47" t="s">
        <v>1</v>
      </c>
      <c r="AV410" s="36" t="s">
        <v>1</v>
      </c>
      <c r="AW410" s="47" t="s">
        <v>1</v>
      </c>
      <c r="AX410" s="36" t="s">
        <v>2065</v>
      </c>
      <c r="AY410" s="47" t="s">
        <v>2193</v>
      </c>
      <c r="AZ410" s="36" t="s">
        <v>1299</v>
      </c>
      <c r="BA410" s="47" t="s">
        <v>2193</v>
      </c>
      <c r="BB410" s="36" t="s">
        <v>2188</v>
      </c>
      <c r="BC410" s="47" t="s">
        <v>819</v>
      </c>
      <c r="BD410" s="36" t="s">
        <v>2189</v>
      </c>
      <c r="BE410" s="47" t="str">
        <f t="shared" si="14"/>
        <v>"Bairro"</v>
      </c>
    </row>
    <row r="411" spans="1:57" ht="6.65" customHeight="1" x14ac:dyDescent="0.4">
      <c r="A411" s="93">
        <v>411</v>
      </c>
      <c r="B411" s="74" t="s">
        <v>702</v>
      </c>
      <c r="C411" s="44" t="s">
        <v>664</v>
      </c>
      <c r="D411" s="18" t="s">
        <v>744</v>
      </c>
      <c r="E411" s="48" t="s">
        <v>831</v>
      </c>
      <c r="F411" s="18" t="s">
        <v>820</v>
      </c>
      <c r="G411" s="48" t="s">
        <v>1034</v>
      </c>
      <c r="H411" s="18" t="s">
        <v>1062</v>
      </c>
      <c r="I411" s="48" t="s">
        <v>831</v>
      </c>
      <c r="J411" s="18" t="s">
        <v>744</v>
      </c>
      <c r="K411" s="48" t="s">
        <v>1082</v>
      </c>
      <c r="L411" s="18" t="s">
        <v>1</v>
      </c>
      <c r="M411" s="20" t="s">
        <v>1</v>
      </c>
      <c r="N411" s="46" t="s">
        <v>82</v>
      </c>
      <c r="O411" s="25" t="str">
        <f t="shared" si="15"/>
        <v>"Bairro N° B.001 RA.01 Saúde"</v>
      </c>
      <c r="P411" s="46" t="s">
        <v>1</v>
      </c>
      <c r="Q411" s="25" t="s">
        <v>1</v>
      </c>
      <c r="R411" s="46" t="s">
        <v>1</v>
      </c>
      <c r="S411" s="52" t="s">
        <v>1</v>
      </c>
      <c r="T411" s="46" t="s">
        <v>1</v>
      </c>
      <c r="U411" s="31" t="s">
        <v>1</v>
      </c>
      <c r="V411" s="46" t="s">
        <v>1</v>
      </c>
      <c r="W411" s="31" t="s">
        <v>1</v>
      </c>
      <c r="X411" s="46" t="s">
        <v>1</v>
      </c>
      <c r="Y411" s="31" t="s">
        <v>1</v>
      </c>
      <c r="Z411" s="46" t="s">
        <v>1</v>
      </c>
      <c r="AA411" s="31" t="s">
        <v>1</v>
      </c>
      <c r="AB411" s="46" t="s">
        <v>1</v>
      </c>
      <c r="AC411" s="47" t="s">
        <v>1</v>
      </c>
      <c r="AD411" s="36" t="s">
        <v>1</v>
      </c>
      <c r="AE411" s="51" t="s">
        <v>1</v>
      </c>
      <c r="AF411" s="36" t="s">
        <v>1</v>
      </c>
      <c r="AG411" s="51" t="s">
        <v>1</v>
      </c>
      <c r="AH411" s="36" t="s">
        <v>1</v>
      </c>
      <c r="AI411" s="51" t="s">
        <v>1</v>
      </c>
      <c r="AJ411" s="36" t="s">
        <v>1</v>
      </c>
      <c r="AK411" s="51" t="s">
        <v>1</v>
      </c>
      <c r="AL411" s="36" t="s">
        <v>1</v>
      </c>
      <c r="AM411" s="31" t="s">
        <v>1</v>
      </c>
      <c r="AN411" s="36" t="s">
        <v>1</v>
      </c>
      <c r="AO411" s="31" t="s">
        <v>1</v>
      </c>
      <c r="AP411" s="36" t="s">
        <v>1</v>
      </c>
      <c r="AQ411" s="51" t="s">
        <v>1</v>
      </c>
      <c r="AR411" s="36" t="s">
        <v>1</v>
      </c>
      <c r="AS411" s="47" t="s">
        <v>1</v>
      </c>
      <c r="AT411" s="36" t="s">
        <v>1</v>
      </c>
      <c r="AU411" s="47" t="s">
        <v>1</v>
      </c>
      <c r="AV411" s="36" t="s">
        <v>1</v>
      </c>
      <c r="AW411" s="47" t="s">
        <v>1</v>
      </c>
      <c r="AX411" s="36" t="s">
        <v>2065</v>
      </c>
      <c r="AY411" s="47" t="s">
        <v>2193</v>
      </c>
      <c r="AZ411" s="36" t="s">
        <v>1299</v>
      </c>
      <c r="BA411" s="47" t="s">
        <v>2193</v>
      </c>
      <c r="BB411" s="36" t="s">
        <v>2188</v>
      </c>
      <c r="BC411" s="47" t="s">
        <v>819</v>
      </c>
      <c r="BD411" s="36" t="s">
        <v>2189</v>
      </c>
      <c r="BE411" s="47" t="str">
        <f t="shared" si="14"/>
        <v>"Bairro"</v>
      </c>
    </row>
    <row r="412" spans="1:57" ht="6.65" customHeight="1" x14ac:dyDescent="0.4">
      <c r="A412" s="93">
        <v>412</v>
      </c>
      <c r="B412" s="74" t="s">
        <v>1208</v>
      </c>
      <c r="C412" s="44" t="s">
        <v>664</v>
      </c>
      <c r="D412" s="18" t="s">
        <v>744</v>
      </c>
      <c r="E412" s="48" t="s">
        <v>863</v>
      </c>
      <c r="F412" s="18" t="s">
        <v>820</v>
      </c>
      <c r="G412" s="48" t="s">
        <v>1035</v>
      </c>
      <c r="H412" s="18" t="s">
        <v>1062</v>
      </c>
      <c r="I412" s="48" t="s">
        <v>863</v>
      </c>
      <c r="J412" s="18" t="s">
        <v>744</v>
      </c>
      <c r="K412" s="48" t="s">
        <v>1075</v>
      </c>
      <c r="L412" s="18" t="s">
        <v>1</v>
      </c>
      <c r="M412" s="20" t="s">
        <v>1</v>
      </c>
      <c r="N412" s="46" t="s">
        <v>82</v>
      </c>
      <c r="O412" s="25" t="str">
        <f t="shared" si="15"/>
        <v>"Bairro N° B.142 RA.17 Senador.Camará"</v>
      </c>
      <c r="P412" s="46" t="s">
        <v>1</v>
      </c>
      <c r="Q412" s="25" t="s">
        <v>1</v>
      </c>
      <c r="R412" s="46" t="s">
        <v>1</v>
      </c>
      <c r="S412" s="52" t="s">
        <v>1</v>
      </c>
      <c r="T412" s="46" t="s">
        <v>1</v>
      </c>
      <c r="U412" s="31" t="s">
        <v>1</v>
      </c>
      <c r="V412" s="46" t="s">
        <v>1</v>
      </c>
      <c r="W412" s="31" t="s">
        <v>1</v>
      </c>
      <c r="X412" s="46" t="s">
        <v>1</v>
      </c>
      <c r="Y412" s="31" t="s">
        <v>1</v>
      </c>
      <c r="Z412" s="46" t="s">
        <v>1</v>
      </c>
      <c r="AA412" s="31" t="s">
        <v>1</v>
      </c>
      <c r="AB412" s="46" t="s">
        <v>1</v>
      </c>
      <c r="AC412" s="47" t="s">
        <v>1</v>
      </c>
      <c r="AD412" s="36" t="s">
        <v>1</v>
      </c>
      <c r="AE412" s="51" t="s">
        <v>1</v>
      </c>
      <c r="AF412" s="36" t="s">
        <v>1</v>
      </c>
      <c r="AG412" s="51" t="s">
        <v>1</v>
      </c>
      <c r="AH412" s="36" t="s">
        <v>1</v>
      </c>
      <c r="AI412" s="51" t="s">
        <v>1</v>
      </c>
      <c r="AJ412" s="36" t="s">
        <v>1</v>
      </c>
      <c r="AK412" s="51" t="s">
        <v>1</v>
      </c>
      <c r="AL412" s="36" t="s">
        <v>1</v>
      </c>
      <c r="AM412" s="31" t="s">
        <v>1</v>
      </c>
      <c r="AN412" s="36" t="s">
        <v>1</v>
      </c>
      <c r="AO412" s="31" t="s">
        <v>1</v>
      </c>
      <c r="AP412" s="36" t="s">
        <v>1</v>
      </c>
      <c r="AQ412" s="51" t="s">
        <v>1</v>
      </c>
      <c r="AR412" s="36" t="s">
        <v>1</v>
      </c>
      <c r="AS412" s="47" t="s">
        <v>1</v>
      </c>
      <c r="AT412" s="36" t="s">
        <v>1</v>
      </c>
      <c r="AU412" s="47" t="s">
        <v>1</v>
      </c>
      <c r="AV412" s="36" t="s">
        <v>1</v>
      </c>
      <c r="AW412" s="47" t="s">
        <v>1</v>
      </c>
      <c r="AX412" s="36" t="s">
        <v>2065</v>
      </c>
      <c r="AY412" s="47" t="s">
        <v>2193</v>
      </c>
      <c r="AZ412" s="36" t="s">
        <v>1299</v>
      </c>
      <c r="BA412" s="47" t="s">
        <v>2193</v>
      </c>
      <c r="BB412" s="36" t="s">
        <v>2188</v>
      </c>
      <c r="BC412" s="47" t="s">
        <v>819</v>
      </c>
      <c r="BD412" s="36" t="s">
        <v>2189</v>
      </c>
      <c r="BE412" s="47" t="str">
        <f t="shared" si="14"/>
        <v>"Bairro"</v>
      </c>
    </row>
    <row r="413" spans="1:57" ht="6.65" customHeight="1" x14ac:dyDescent="0.4">
      <c r="A413" s="93">
        <v>413</v>
      </c>
      <c r="B413" s="74" t="s">
        <v>1209</v>
      </c>
      <c r="C413" s="44" t="s">
        <v>664</v>
      </c>
      <c r="D413" s="18" t="s">
        <v>744</v>
      </c>
      <c r="E413" s="48" t="s">
        <v>865</v>
      </c>
      <c r="F413" s="18" t="s">
        <v>820</v>
      </c>
      <c r="G413" s="48" t="s">
        <v>1036</v>
      </c>
      <c r="H413" s="18" t="s">
        <v>1062</v>
      </c>
      <c r="I413" s="48" t="s">
        <v>865</v>
      </c>
      <c r="J413" s="18" t="s">
        <v>744</v>
      </c>
      <c r="K413" s="48" t="s">
        <v>1079</v>
      </c>
      <c r="L413" s="18" t="s">
        <v>1</v>
      </c>
      <c r="M413" s="20" t="s">
        <v>1</v>
      </c>
      <c r="N413" s="46" t="s">
        <v>82</v>
      </c>
      <c r="O413" s="25" t="str">
        <f t="shared" si="15"/>
        <v>"Bairro N° B.145 RA.18 Senador.Vasconcelos"</v>
      </c>
      <c r="P413" s="46" t="s">
        <v>1</v>
      </c>
      <c r="Q413" s="25" t="s">
        <v>1</v>
      </c>
      <c r="R413" s="46" t="s">
        <v>1</v>
      </c>
      <c r="S413" s="52" t="s">
        <v>1</v>
      </c>
      <c r="T413" s="46" t="s">
        <v>1</v>
      </c>
      <c r="U413" s="31" t="s">
        <v>1</v>
      </c>
      <c r="V413" s="46" t="s">
        <v>1</v>
      </c>
      <c r="W413" s="31" t="s">
        <v>1</v>
      </c>
      <c r="X413" s="46" t="s">
        <v>1</v>
      </c>
      <c r="Y413" s="31" t="s">
        <v>1</v>
      </c>
      <c r="Z413" s="46" t="s">
        <v>1</v>
      </c>
      <c r="AA413" s="31" t="s">
        <v>1</v>
      </c>
      <c r="AB413" s="46" t="s">
        <v>1</v>
      </c>
      <c r="AC413" s="47" t="s">
        <v>1</v>
      </c>
      <c r="AD413" s="36" t="s">
        <v>1</v>
      </c>
      <c r="AE413" s="51" t="s">
        <v>1</v>
      </c>
      <c r="AF413" s="36" t="s">
        <v>1</v>
      </c>
      <c r="AG413" s="51" t="s">
        <v>1</v>
      </c>
      <c r="AH413" s="36" t="s">
        <v>1</v>
      </c>
      <c r="AI413" s="51" t="s">
        <v>1</v>
      </c>
      <c r="AJ413" s="36" t="s">
        <v>1</v>
      </c>
      <c r="AK413" s="51" t="s">
        <v>1</v>
      </c>
      <c r="AL413" s="36" t="s">
        <v>1</v>
      </c>
      <c r="AM413" s="31" t="s">
        <v>1</v>
      </c>
      <c r="AN413" s="36" t="s">
        <v>1</v>
      </c>
      <c r="AO413" s="31" t="s">
        <v>1</v>
      </c>
      <c r="AP413" s="36" t="s">
        <v>1</v>
      </c>
      <c r="AQ413" s="51" t="s">
        <v>1</v>
      </c>
      <c r="AR413" s="36" t="s">
        <v>1</v>
      </c>
      <c r="AS413" s="47" t="s">
        <v>1</v>
      </c>
      <c r="AT413" s="36" t="s">
        <v>1</v>
      </c>
      <c r="AU413" s="47" t="s">
        <v>1</v>
      </c>
      <c r="AV413" s="36" t="s">
        <v>1</v>
      </c>
      <c r="AW413" s="47" t="s">
        <v>1</v>
      </c>
      <c r="AX413" s="36" t="s">
        <v>2065</v>
      </c>
      <c r="AY413" s="47" t="s">
        <v>2193</v>
      </c>
      <c r="AZ413" s="36" t="s">
        <v>1299</v>
      </c>
      <c r="BA413" s="47" t="s">
        <v>2193</v>
      </c>
      <c r="BB413" s="36" t="s">
        <v>2188</v>
      </c>
      <c r="BC413" s="47" t="s">
        <v>819</v>
      </c>
      <c r="BD413" s="36" t="s">
        <v>2189</v>
      </c>
      <c r="BE413" s="47" t="str">
        <f t="shared" si="14"/>
        <v>"Bairro"</v>
      </c>
    </row>
    <row r="414" spans="1:57" ht="6.65" customHeight="1" x14ac:dyDescent="0.4">
      <c r="A414" s="93">
        <v>414</v>
      </c>
      <c r="B414" s="74" t="s">
        <v>1210</v>
      </c>
      <c r="C414" s="44" t="s">
        <v>664</v>
      </c>
      <c r="D414" s="18" t="s">
        <v>744</v>
      </c>
      <c r="E414" s="48" t="s">
        <v>867</v>
      </c>
      <c r="F414" s="18" t="s">
        <v>820</v>
      </c>
      <c r="G414" s="48" t="s">
        <v>1037</v>
      </c>
      <c r="H414" s="18" t="s">
        <v>1062</v>
      </c>
      <c r="I414" s="48" t="s">
        <v>867</v>
      </c>
      <c r="J414" s="18" t="s">
        <v>744</v>
      </c>
      <c r="K414" s="48" t="s">
        <v>1079</v>
      </c>
      <c r="L414" s="18" t="s">
        <v>1</v>
      </c>
      <c r="M414" s="20" t="s">
        <v>1</v>
      </c>
      <c r="N414" s="46" t="s">
        <v>82</v>
      </c>
      <c r="O414" s="25" t="str">
        <f t="shared" si="15"/>
        <v>"Bairro N° B.150 RA.19 Sepetiba"</v>
      </c>
      <c r="P414" s="46" t="s">
        <v>1</v>
      </c>
      <c r="Q414" s="25" t="s">
        <v>1</v>
      </c>
      <c r="R414" s="46" t="s">
        <v>1</v>
      </c>
      <c r="S414" s="52" t="s">
        <v>1</v>
      </c>
      <c r="T414" s="46" t="s">
        <v>1</v>
      </c>
      <c r="U414" s="31" t="s">
        <v>1</v>
      </c>
      <c r="V414" s="46" t="s">
        <v>1</v>
      </c>
      <c r="W414" s="31" t="s">
        <v>1</v>
      </c>
      <c r="X414" s="46" t="s">
        <v>1</v>
      </c>
      <c r="Y414" s="31" t="s">
        <v>1</v>
      </c>
      <c r="Z414" s="46" t="s">
        <v>1</v>
      </c>
      <c r="AA414" s="31" t="s">
        <v>1</v>
      </c>
      <c r="AB414" s="46" t="s">
        <v>1</v>
      </c>
      <c r="AC414" s="47" t="s">
        <v>1</v>
      </c>
      <c r="AD414" s="36" t="s">
        <v>1</v>
      </c>
      <c r="AE414" s="51" t="s">
        <v>1</v>
      </c>
      <c r="AF414" s="36" t="s">
        <v>1</v>
      </c>
      <c r="AG414" s="51" t="s">
        <v>1</v>
      </c>
      <c r="AH414" s="36" t="s">
        <v>1</v>
      </c>
      <c r="AI414" s="51" t="s">
        <v>1</v>
      </c>
      <c r="AJ414" s="36" t="s">
        <v>1</v>
      </c>
      <c r="AK414" s="51" t="s">
        <v>1</v>
      </c>
      <c r="AL414" s="36" t="s">
        <v>1</v>
      </c>
      <c r="AM414" s="31" t="s">
        <v>1</v>
      </c>
      <c r="AN414" s="36" t="s">
        <v>1</v>
      </c>
      <c r="AO414" s="31" t="s">
        <v>1</v>
      </c>
      <c r="AP414" s="36" t="s">
        <v>1</v>
      </c>
      <c r="AQ414" s="51" t="s">
        <v>1</v>
      </c>
      <c r="AR414" s="36" t="s">
        <v>1</v>
      </c>
      <c r="AS414" s="47" t="s">
        <v>1</v>
      </c>
      <c r="AT414" s="36" t="s">
        <v>1</v>
      </c>
      <c r="AU414" s="47" t="s">
        <v>1</v>
      </c>
      <c r="AV414" s="36" t="s">
        <v>1</v>
      </c>
      <c r="AW414" s="47" t="s">
        <v>1</v>
      </c>
      <c r="AX414" s="36" t="s">
        <v>2065</v>
      </c>
      <c r="AY414" s="47" t="s">
        <v>2193</v>
      </c>
      <c r="AZ414" s="36" t="s">
        <v>1299</v>
      </c>
      <c r="BA414" s="47" t="s">
        <v>2193</v>
      </c>
      <c r="BB414" s="36" t="s">
        <v>2188</v>
      </c>
      <c r="BC414" s="47" t="s">
        <v>819</v>
      </c>
      <c r="BD414" s="36" t="s">
        <v>2189</v>
      </c>
      <c r="BE414" s="47" t="str">
        <f t="shared" si="14"/>
        <v>"Bairro"</v>
      </c>
    </row>
    <row r="415" spans="1:57" ht="6.65" customHeight="1" x14ac:dyDescent="0.4">
      <c r="A415" s="93">
        <v>415</v>
      </c>
      <c r="B415" s="74" t="s">
        <v>1211</v>
      </c>
      <c r="C415" s="44" t="s">
        <v>664</v>
      </c>
      <c r="D415" s="18" t="s">
        <v>744</v>
      </c>
      <c r="E415" s="48" t="s">
        <v>861</v>
      </c>
      <c r="F415" s="18" t="s">
        <v>820</v>
      </c>
      <c r="G415" s="48" t="s">
        <v>1038</v>
      </c>
      <c r="H415" s="18" t="s">
        <v>1062</v>
      </c>
      <c r="I415" s="48" t="s">
        <v>861</v>
      </c>
      <c r="J415" s="18" t="s">
        <v>744</v>
      </c>
      <c r="K415" s="48" t="s">
        <v>1071</v>
      </c>
      <c r="L415" s="18" t="s">
        <v>1</v>
      </c>
      <c r="M415" s="20" t="s">
        <v>1</v>
      </c>
      <c r="N415" s="46" t="s">
        <v>82</v>
      </c>
      <c r="O415" s="25" t="str">
        <f t="shared" si="15"/>
        <v>"Bairro N° B.123 RA.16 Tanque"</v>
      </c>
      <c r="P415" s="46" t="s">
        <v>1</v>
      </c>
      <c r="Q415" s="25" t="s">
        <v>1</v>
      </c>
      <c r="R415" s="46" t="s">
        <v>1</v>
      </c>
      <c r="S415" s="52" t="s">
        <v>1</v>
      </c>
      <c r="T415" s="46" t="s">
        <v>1</v>
      </c>
      <c r="U415" s="31" t="s">
        <v>1</v>
      </c>
      <c r="V415" s="46" t="s">
        <v>1</v>
      </c>
      <c r="W415" s="31" t="s">
        <v>1</v>
      </c>
      <c r="X415" s="46" t="s">
        <v>1</v>
      </c>
      <c r="Y415" s="31" t="s">
        <v>1</v>
      </c>
      <c r="Z415" s="46" t="s">
        <v>1</v>
      </c>
      <c r="AA415" s="31" t="s">
        <v>1</v>
      </c>
      <c r="AB415" s="46" t="s">
        <v>1</v>
      </c>
      <c r="AC415" s="47" t="s">
        <v>1</v>
      </c>
      <c r="AD415" s="36" t="s">
        <v>1</v>
      </c>
      <c r="AE415" s="51" t="s">
        <v>1</v>
      </c>
      <c r="AF415" s="36" t="s">
        <v>1</v>
      </c>
      <c r="AG415" s="51" t="s">
        <v>1</v>
      </c>
      <c r="AH415" s="36" t="s">
        <v>1</v>
      </c>
      <c r="AI415" s="51" t="s">
        <v>1</v>
      </c>
      <c r="AJ415" s="36" t="s">
        <v>1</v>
      </c>
      <c r="AK415" s="51" t="s">
        <v>1</v>
      </c>
      <c r="AL415" s="36" t="s">
        <v>1</v>
      </c>
      <c r="AM415" s="31" t="s">
        <v>1</v>
      </c>
      <c r="AN415" s="36" t="s">
        <v>1</v>
      </c>
      <c r="AO415" s="31" t="s">
        <v>1</v>
      </c>
      <c r="AP415" s="36" t="s">
        <v>1</v>
      </c>
      <c r="AQ415" s="51" t="s">
        <v>1</v>
      </c>
      <c r="AR415" s="36" t="s">
        <v>1</v>
      </c>
      <c r="AS415" s="47" t="s">
        <v>1</v>
      </c>
      <c r="AT415" s="36" t="s">
        <v>1</v>
      </c>
      <c r="AU415" s="47" t="s">
        <v>1</v>
      </c>
      <c r="AV415" s="36" t="s">
        <v>1</v>
      </c>
      <c r="AW415" s="47" t="s">
        <v>1</v>
      </c>
      <c r="AX415" s="36" t="s">
        <v>2065</v>
      </c>
      <c r="AY415" s="47" t="s">
        <v>2193</v>
      </c>
      <c r="AZ415" s="36" t="s">
        <v>1299</v>
      </c>
      <c r="BA415" s="47" t="s">
        <v>2193</v>
      </c>
      <c r="BB415" s="36" t="s">
        <v>2188</v>
      </c>
      <c r="BC415" s="47" t="s">
        <v>819</v>
      </c>
      <c r="BD415" s="36" t="s">
        <v>2189</v>
      </c>
      <c r="BE415" s="47" t="str">
        <f t="shared" si="14"/>
        <v>"Bairro"</v>
      </c>
    </row>
    <row r="416" spans="1:57" ht="6.65" customHeight="1" x14ac:dyDescent="0.4">
      <c r="A416" s="93">
        <v>416</v>
      </c>
      <c r="B416" s="74" t="s">
        <v>1212</v>
      </c>
      <c r="C416" s="44" t="s">
        <v>664</v>
      </c>
      <c r="D416" s="18" t="s">
        <v>744</v>
      </c>
      <c r="E416" s="48" t="s">
        <v>861</v>
      </c>
      <c r="F416" s="18" t="s">
        <v>820</v>
      </c>
      <c r="G416" s="48" t="s">
        <v>1039</v>
      </c>
      <c r="H416" s="18" t="s">
        <v>1062</v>
      </c>
      <c r="I416" s="48" t="s">
        <v>861</v>
      </c>
      <c r="J416" s="18" t="s">
        <v>744</v>
      </c>
      <c r="K416" s="48" t="s">
        <v>1071</v>
      </c>
      <c r="L416" s="18" t="s">
        <v>1</v>
      </c>
      <c r="M416" s="20" t="s">
        <v>1</v>
      </c>
      <c r="N416" s="46" t="s">
        <v>82</v>
      </c>
      <c r="O416" s="25" t="str">
        <f t="shared" si="15"/>
        <v>"Bairro N° B.122 RA.16 Taquara"</v>
      </c>
      <c r="P416" s="46" t="s">
        <v>1</v>
      </c>
      <c r="Q416" s="25" t="s">
        <v>1</v>
      </c>
      <c r="R416" s="46" t="s">
        <v>1</v>
      </c>
      <c r="S416" s="52" t="s">
        <v>1</v>
      </c>
      <c r="T416" s="46" t="s">
        <v>1</v>
      </c>
      <c r="U416" s="31" t="s">
        <v>1</v>
      </c>
      <c r="V416" s="46" t="s">
        <v>1</v>
      </c>
      <c r="W416" s="31" t="s">
        <v>1</v>
      </c>
      <c r="X416" s="46" t="s">
        <v>1</v>
      </c>
      <c r="Y416" s="31" t="s">
        <v>1</v>
      </c>
      <c r="Z416" s="46" t="s">
        <v>1</v>
      </c>
      <c r="AA416" s="31" t="s">
        <v>1</v>
      </c>
      <c r="AB416" s="46" t="s">
        <v>1</v>
      </c>
      <c r="AC416" s="47" t="s">
        <v>1</v>
      </c>
      <c r="AD416" s="36" t="s">
        <v>1</v>
      </c>
      <c r="AE416" s="51" t="s">
        <v>1</v>
      </c>
      <c r="AF416" s="36" t="s">
        <v>1</v>
      </c>
      <c r="AG416" s="51" t="s">
        <v>1</v>
      </c>
      <c r="AH416" s="36" t="s">
        <v>1</v>
      </c>
      <c r="AI416" s="51" t="s">
        <v>1</v>
      </c>
      <c r="AJ416" s="36" t="s">
        <v>1</v>
      </c>
      <c r="AK416" s="51" t="s">
        <v>1</v>
      </c>
      <c r="AL416" s="36" t="s">
        <v>1</v>
      </c>
      <c r="AM416" s="31" t="s">
        <v>1</v>
      </c>
      <c r="AN416" s="36" t="s">
        <v>1</v>
      </c>
      <c r="AO416" s="31" t="s">
        <v>1</v>
      </c>
      <c r="AP416" s="36" t="s">
        <v>1</v>
      </c>
      <c r="AQ416" s="51" t="s">
        <v>1</v>
      </c>
      <c r="AR416" s="36" t="s">
        <v>1</v>
      </c>
      <c r="AS416" s="47" t="s">
        <v>1</v>
      </c>
      <c r="AT416" s="36" t="s">
        <v>1</v>
      </c>
      <c r="AU416" s="47" t="s">
        <v>1</v>
      </c>
      <c r="AV416" s="36" t="s">
        <v>1</v>
      </c>
      <c r="AW416" s="47" t="s">
        <v>1</v>
      </c>
      <c r="AX416" s="36" t="s">
        <v>2065</v>
      </c>
      <c r="AY416" s="47" t="s">
        <v>2193</v>
      </c>
      <c r="AZ416" s="36" t="s">
        <v>1299</v>
      </c>
      <c r="BA416" s="47" t="s">
        <v>2193</v>
      </c>
      <c r="BB416" s="36" t="s">
        <v>2188</v>
      </c>
      <c r="BC416" s="47" t="s">
        <v>819</v>
      </c>
      <c r="BD416" s="36" t="s">
        <v>2189</v>
      </c>
      <c r="BE416" s="47" t="str">
        <f t="shared" si="14"/>
        <v>"Bairro"</v>
      </c>
    </row>
    <row r="417" spans="1:57" ht="6.65" customHeight="1" x14ac:dyDescent="0.4">
      <c r="A417" s="93">
        <v>417</v>
      </c>
      <c r="B417" s="74" t="s">
        <v>1213</v>
      </c>
      <c r="C417" s="44" t="s">
        <v>664</v>
      </c>
      <c r="D417" s="18" t="s">
        <v>744</v>
      </c>
      <c r="E417" s="48" t="s">
        <v>869</v>
      </c>
      <c r="F417" s="18" t="s">
        <v>820</v>
      </c>
      <c r="G417" s="48" t="s">
        <v>1040</v>
      </c>
      <c r="H417" s="18" t="s">
        <v>1062</v>
      </c>
      <c r="I417" s="48" t="s">
        <v>869</v>
      </c>
      <c r="J417" s="18" t="s">
        <v>744</v>
      </c>
      <c r="K417" s="48" t="s">
        <v>1073</v>
      </c>
      <c r="L417" s="18" t="s">
        <v>1</v>
      </c>
      <c r="M417" s="20" t="s">
        <v>1</v>
      </c>
      <c r="N417" s="46" t="s">
        <v>82</v>
      </c>
      <c r="O417" s="25" t="str">
        <f t="shared" si="15"/>
        <v>"Bairro N° B.101 RA.20 Tauá"</v>
      </c>
      <c r="P417" s="46" t="s">
        <v>1</v>
      </c>
      <c r="Q417" s="25" t="s">
        <v>1</v>
      </c>
      <c r="R417" s="46" t="s">
        <v>1</v>
      </c>
      <c r="S417" s="52" t="s">
        <v>1</v>
      </c>
      <c r="T417" s="46" t="s">
        <v>1</v>
      </c>
      <c r="U417" s="31" t="s">
        <v>1</v>
      </c>
      <c r="V417" s="46" t="s">
        <v>1</v>
      </c>
      <c r="W417" s="31" t="s">
        <v>1</v>
      </c>
      <c r="X417" s="46" t="s">
        <v>1</v>
      </c>
      <c r="Y417" s="31" t="s">
        <v>1</v>
      </c>
      <c r="Z417" s="46" t="s">
        <v>1</v>
      </c>
      <c r="AA417" s="31" t="s">
        <v>1</v>
      </c>
      <c r="AB417" s="46" t="s">
        <v>1</v>
      </c>
      <c r="AC417" s="47" t="s">
        <v>1</v>
      </c>
      <c r="AD417" s="36" t="s">
        <v>1</v>
      </c>
      <c r="AE417" s="51" t="s">
        <v>1</v>
      </c>
      <c r="AF417" s="36" t="s">
        <v>1</v>
      </c>
      <c r="AG417" s="51" t="s">
        <v>1</v>
      </c>
      <c r="AH417" s="36" t="s">
        <v>1</v>
      </c>
      <c r="AI417" s="51" t="s">
        <v>1</v>
      </c>
      <c r="AJ417" s="36" t="s">
        <v>1</v>
      </c>
      <c r="AK417" s="51" t="s">
        <v>1</v>
      </c>
      <c r="AL417" s="36" t="s">
        <v>1</v>
      </c>
      <c r="AM417" s="31" t="s">
        <v>1</v>
      </c>
      <c r="AN417" s="36" t="s">
        <v>1</v>
      </c>
      <c r="AO417" s="31" t="s">
        <v>1</v>
      </c>
      <c r="AP417" s="36" t="s">
        <v>1</v>
      </c>
      <c r="AQ417" s="51" t="s">
        <v>1</v>
      </c>
      <c r="AR417" s="36" t="s">
        <v>1</v>
      </c>
      <c r="AS417" s="47" t="s">
        <v>1</v>
      </c>
      <c r="AT417" s="36" t="s">
        <v>1</v>
      </c>
      <c r="AU417" s="47" t="s">
        <v>1</v>
      </c>
      <c r="AV417" s="36" t="s">
        <v>1</v>
      </c>
      <c r="AW417" s="47" t="s">
        <v>1</v>
      </c>
      <c r="AX417" s="36" t="s">
        <v>2065</v>
      </c>
      <c r="AY417" s="47" t="s">
        <v>2193</v>
      </c>
      <c r="AZ417" s="36" t="s">
        <v>1299</v>
      </c>
      <c r="BA417" s="47" t="s">
        <v>2193</v>
      </c>
      <c r="BB417" s="36" t="s">
        <v>2188</v>
      </c>
      <c r="BC417" s="47" t="s">
        <v>819</v>
      </c>
      <c r="BD417" s="36" t="s">
        <v>2189</v>
      </c>
      <c r="BE417" s="47" t="str">
        <f t="shared" si="14"/>
        <v>"Bairro"</v>
      </c>
    </row>
    <row r="418" spans="1:57" ht="6.65" customHeight="1" x14ac:dyDescent="0.4">
      <c r="A418" s="93">
        <v>418</v>
      </c>
      <c r="B418" s="74" t="s">
        <v>1214</v>
      </c>
      <c r="C418" s="44" t="s">
        <v>664</v>
      </c>
      <c r="D418" s="18" t="s">
        <v>744</v>
      </c>
      <c r="E418" s="48" t="s">
        <v>845</v>
      </c>
      <c r="F418" s="18" t="s">
        <v>820</v>
      </c>
      <c r="G418" s="48" t="s">
        <v>1041</v>
      </c>
      <c r="H418" s="18" t="s">
        <v>1062</v>
      </c>
      <c r="I418" s="48" t="s">
        <v>845</v>
      </c>
      <c r="J418" s="18" t="s">
        <v>744</v>
      </c>
      <c r="K418" s="48" t="s">
        <v>1067</v>
      </c>
      <c r="L418" s="18" t="s">
        <v>1</v>
      </c>
      <c r="M418" s="20" t="s">
        <v>1</v>
      </c>
      <c r="N418" s="46" t="s">
        <v>82</v>
      </c>
      <c r="O418" s="25" t="str">
        <f t="shared" si="15"/>
        <v>"Bairro N° B.033 RA.08 Tijuca"</v>
      </c>
      <c r="P418" s="46" t="s">
        <v>1</v>
      </c>
      <c r="Q418" s="25" t="s">
        <v>1</v>
      </c>
      <c r="R418" s="46" t="s">
        <v>1</v>
      </c>
      <c r="S418" s="52" t="s">
        <v>1</v>
      </c>
      <c r="T418" s="46" t="s">
        <v>1</v>
      </c>
      <c r="U418" s="31" t="s">
        <v>1</v>
      </c>
      <c r="V418" s="46" t="s">
        <v>1</v>
      </c>
      <c r="W418" s="31" t="s">
        <v>1</v>
      </c>
      <c r="X418" s="46" t="s">
        <v>1</v>
      </c>
      <c r="Y418" s="31" t="s">
        <v>1</v>
      </c>
      <c r="Z418" s="46" t="s">
        <v>1</v>
      </c>
      <c r="AA418" s="31" t="s">
        <v>1</v>
      </c>
      <c r="AB418" s="46" t="s">
        <v>1</v>
      </c>
      <c r="AC418" s="47" t="s">
        <v>1</v>
      </c>
      <c r="AD418" s="36" t="s">
        <v>1</v>
      </c>
      <c r="AE418" s="51" t="s">
        <v>1</v>
      </c>
      <c r="AF418" s="36" t="s">
        <v>1</v>
      </c>
      <c r="AG418" s="51" t="s">
        <v>1</v>
      </c>
      <c r="AH418" s="36" t="s">
        <v>1</v>
      </c>
      <c r="AI418" s="51" t="s">
        <v>1</v>
      </c>
      <c r="AJ418" s="36" t="s">
        <v>1</v>
      </c>
      <c r="AK418" s="51" t="s">
        <v>1</v>
      </c>
      <c r="AL418" s="36" t="s">
        <v>1</v>
      </c>
      <c r="AM418" s="31" t="s">
        <v>1</v>
      </c>
      <c r="AN418" s="36" t="s">
        <v>1</v>
      </c>
      <c r="AO418" s="31" t="s">
        <v>1</v>
      </c>
      <c r="AP418" s="36" t="s">
        <v>1</v>
      </c>
      <c r="AQ418" s="51" t="s">
        <v>1</v>
      </c>
      <c r="AR418" s="36" t="s">
        <v>1</v>
      </c>
      <c r="AS418" s="47" t="s">
        <v>1</v>
      </c>
      <c r="AT418" s="36" t="s">
        <v>1</v>
      </c>
      <c r="AU418" s="47" t="s">
        <v>1</v>
      </c>
      <c r="AV418" s="36" t="s">
        <v>1</v>
      </c>
      <c r="AW418" s="47" t="s">
        <v>1</v>
      </c>
      <c r="AX418" s="36" t="s">
        <v>2065</v>
      </c>
      <c r="AY418" s="47" t="s">
        <v>2193</v>
      </c>
      <c r="AZ418" s="36" t="s">
        <v>1299</v>
      </c>
      <c r="BA418" s="47" t="s">
        <v>2193</v>
      </c>
      <c r="BB418" s="36" t="s">
        <v>2188</v>
      </c>
      <c r="BC418" s="47" t="s">
        <v>819</v>
      </c>
      <c r="BD418" s="36" t="s">
        <v>2189</v>
      </c>
      <c r="BE418" s="47" t="str">
        <f t="shared" si="14"/>
        <v>"Bairro"</v>
      </c>
    </row>
    <row r="419" spans="1:57" ht="6.65" customHeight="1" x14ac:dyDescent="0.4">
      <c r="A419" s="93">
        <v>419</v>
      </c>
      <c r="B419" s="74" t="s">
        <v>1215</v>
      </c>
      <c r="C419" s="44" t="s">
        <v>664</v>
      </c>
      <c r="D419" s="18" t="s">
        <v>744</v>
      </c>
      <c r="E419" s="48" t="s">
        <v>855</v>
      </c>
      <c r="F419" s="18" t="s">
        <v>820</v>
      </c>
      <c r="G419" s="48" t="s">
        <v>1042</v>
      </c>
      <c r="H419" s="18" t="s">
        <v>1062</v>
      </c>
      <c r="I419" s="48" t="s">
        <v>855</v>
      </c>
      <c r="J419" s="18" t="s">
        <v>744</v>
      </c>
      <c r="K419" s="48" t="s">
        <v>1063</v>
      </c>
      <c r="L419" s="18" t="s">
        <v>1</v>
      </c>
      <c r="M419" s="20" t="s">
        <v>1</v>
      </c>
      <c r="N419" s="46" t="s">
        <v>82</v>
      </c>
      <c r="O419" s="25" t="str">
        <f t="shared" si="15"/>
        <v>"Bairro N° B.064 RA.13 Todos.os.Santos"</v>
      </c>
      <c r="P419" s="46" t="s">
        <v>1</v>
      </c>
      <c r="Q419" s="25" t="s">
        <v>1</v>
      </c>
      <c r="R419" s="46" t="s">
        <v>1</v>
      </c>
      <c r="S419" s="52" t="s">
        <v>1</v>
      </c>
      <c r="T419" s="46" t="s">
        <v>1</v>
      </c>
      <c r="U419" s="31" t="s">
        <v>1</v>
      </c>
      <c r="V419" s="46" t="s">
        <v>1</v>
      </c>
      <c r="W419" s="31" t="s">
        <v>1</v>
      </c>
      <c r="X419" s="46" t="s">
        <v>1</v>
      </c>
      <c r="Y419" s="31" t="s">
        <v>1</v>
      </c>
      <c r="Z419" s="46" t="s">
        <v>1</v>
      </c>
      <c r="AA419" s="31" t="s">
        <v>1</v>
      </c>
      <c r="AB419" s="46" t="s">
        <v>1</v>
      </c>
      <c r="AC419" s="47" t="s">
        <v>1</v>
      </c>
      <c r="AD419" s="36" t="s">
        <v>1</v>
      </c>
      <c r="AE419" s="51" t="s">
        <v>1</v>
      </c>
      <c r="AF419" s="36" t="s">
        <v>1</v>
      </c>
      <c r="AG419" s="51" t="s">
        <v>1</v>
      </c>
      <c r="AH419" s="36" t="s">
        <v>1</v>
      </c>
      <c r="AI419" s="51" t="s">
        <v>1</v>
      </c>
      <c r="AJ419" s="36" t="s">
        <v>1</v>
      </c>
      <c r="AK419" s="51" t="s">
        <v>1</v>
      </c>
      <c r="AL419" s="36" t="s">
        <v>1</v>
      </c>
      <c r="AM419" s="31" t="s">
        <v>1</v>
      </c>
      <c r="AN419" s="36" t="s">
        <v>1</v>
      </c>
      <c r="AO419" s="31" t="s">
        <v>1</v>
      </c>
      <c r="AP419" s="36" t="s">
        <v>1</v>
      </c>
      <c r="AQ419" s="51" t="s">
        <v>1</v>
      </c>
      <c r="AR419" s="36" t="s">
        <v>1</v>
      </c>
      <c r="AS419" s="47" t="s">
        <v>1</v>
      </c>
      <c r="AT419" s="36" t="s">
        <v>1</v>
      </c>
      <c r="AU419" s="47" t="s">
        <v>1</v>
      </c>
      <c r="AV419" s="36" t="s">
        <v>1</v>
      </c>
      <c r="AW419" s="47" t="s">
        <v>1</v>
      </c>
      <c r="AX419" s="36" t="s">
        <v>2065</v>
      </c>
      <c r="AY419" s="47" t="s">
        <v>2193</v>
      </c>
      <c r="AZ419" s="36" t="s">
        <v>1299</v>
      </c>
      <c r="BA419" s="47" t="s">
        <v>2193</v>
      </c>
      <c r="BB419" s="36" t="s">
        <v>2188</v>
      </c>
      <c r="BC419" s="47" t="s">
        <v>819</v>
      </c>
      <c r="BD419" s="36" t="s">
        <v>2189</v>
      </c>
      <c r="BE419" s="47" t="str">
        <f t="shared" si="14"/>
        <v>"Bairro"</v>
      </c>
    </row>
    <row r="420" spans="1:57" ht="6.65" customHeight="1" x14ac:dyDescent="0.4">
      <c r="A420" s="93">
        <v>420</v>
      </c>
      <c r="B420" s="74" t="s">
        <v>1216</v>
      </c>
      <c r="C420" s="44" t="s">
        <v>664</v>
      </c>
      <c r="D420" s="18" t="s">
        <v>744</v>
      </c>
      <c r="E420" s="48" t="s">
        <v>853</v>
      </c>
      <c r="F420" s="18" t="s">
        <v>820</v>
      </c>
      <c r="G420" s="48" t="s">
        <v>1043</v>
      </c>
      <c r="H420" s="18" t="s">
        <v>1062</v>
      </c>
      <c r="I420" s="48" t="s">
        <v>853</v>
      </c>
      <c r="J420" s="18" t="s">
        <v>744</v>
      </c>
      <c r="K420" s="48" t="s">
        <v>1063</v>
      </c>
      <c r="L420" s="18" t="s">
        <v>1</v>
      </c>
      <c r="M420" s="20" t="s">
        <v>1</v>
      </c>
      <c r="N420" s="46" t="s">
        <v>82</v>
      </c>
      <c r="O420" s="25" t="str">
        <f t="shared" si="15"/>
        <v>"Bairro N° B.056 RA.12 Tomás.Coelho"</v>
      </c>
      <c r="P420" s="46" t="s">
        <v>1</v>
      </c>
      <c r="Q420" s="25" t="s">
        <v>1</v>
      </c>
      <c r="R420" s="46" t="s">
        <v>1</v>
      </c>
      <c r="S420" s="52" t="s">
        <v>1</v>
      </c>
      <c r="T420" s="46" t="s">
        <v>1</v>
      </c>
      <c r="U420" s="31" t="s">
        <v>1</v>
      </c>
      <c r="V420" s="46" t="s">
        <v>1</v>
      </c>
      <c r="W420" s="31" t="s">
        <v>1</v>
      </c>
      <c r="X420" s="46" t="s">
        <v>1</v>
      </c>
      <c r="Y420" s="31" t="s">
        <v>1</v>
      </c>
      <c r="Z420" s="46" t="s">
        <v>1</v>
      </c>
      <c r="AA420" s="31" t="s">
        <v>1</v>
      </c>
      <c r="AB420" s="46" t="s">
        <v>1</v>
      </c>
      <c r="AC420" s="47" t="s">
        <v>1</v>
      </c>
      <c r="AD420" s="36" t="s">
        <v>1</v>
      </c>
      <c r="AE420" s="51" t="s">
        <v>1</v>
      </c>
      <c r="AF420" s="36" t="s">
        <v>1</v>
      </c>
      <c r="AG420" s="51" t="s">
        <v>1</v>
      </c>
      <c r="AH420" s="36" t="s">
        <v>1</v>
      </c>
      <c r="AI420" s="51" t="s">
        <v>1</v>
      </c>
      <c r="AJ420" s="36" t="s">
        <v>1</v>
      </c>
      <c r="AK420" s="51" t="s">
        <v>1</v>
      </c>
      <c r="AL420" s="36" t="s">
        <v>1</v>
      </c>
      <c r="AM420" s="31" t="s">
        <v>1</v>
      </c>
      <c r="AN420" s="36" t="s">
        <v>1</v>
      </c>
      <c r="AO420" s="31" t="s">
        <v>1</v>
      </c>
      <c r="AP420" s="36" t="s">
        <v>1</v>
      </c>
      <c r="AQ420" s="51" t="s">
        <v>1</v>
      </c>
      <c r="AR420" s="36" t="s">
        <v>1</v>
      </c>
      <c r="AS420" s="47" t="s">
        <v>1</v>
      </c>
      <c r="AT420" s="36" t="s">
        <v>1</v>
      </c>
      <c r="AU420" s="47" t="s">
        <v>1</v>
      </c>
      <c r="AV420" s="36" t="s">
        <v>1</v>
      </c>
      <c r="AW420" s="47" t="s">
        <v>1</v>
      </c>
      <c r="AX420" s="36" t="s">
        <v>2065</v>
      </c>
      <c r="AY420" s="47" t="s">
        <v>2193</v>
      </c>
      <c r="AZ420" s="36" t="s">
        <v>1299</v>
      </c>
      <c r="BA420" s="47" t="s">
        <v>2193</v>
      </c>
      <c r="BB420" s="36" t="s">
        <v>2188</v>
      </c>
      <c r="BC420" s="47" t="s">
        <v>819</v>
      </c>
      <c r="BD420" s="36" t="s">
        <v>2189</v>
      </c>
      <c r="BE420" s="47" t="str">
        <f t="shared" si="14"/>
        <v>"Bairro"</v>
      </c>
    </row>
    <row r="421" spans="1:57" ht="6.65" customHeight="1" x14ac:dyDescent="0.4">
      <c r="A421" s="93">
        <v>421</v>
      </c>
      <c r="B421" s="74" t="s">
        <v>1217</v>
      </c>
      <c r="C421" s="44" t="s">
        <v>664</v>
      </c>
      <c r="D421" s="18" t="s">
        <v>744</v>
      </c>
      <c r="E421" s="48" t="s">
        <v>859</v>
      </c>
      <c r="F421" s="18" t="s">
        <v>820</v>
      </c>
      <c r="G421" s="48" t="s">
        <v>1044</v>
      </c>
      <c r="H421" s="18" t="s">
        <v>1062</v>
      </c>
      <c r="I421" s="48" t="s">
        <v>859</v>
      </c>
      <c r="J421" s="18" t="s">
        <v>744</v>
      </c>
      <c r="K421" s="48" t="s">
        <v>1063</v>
      </c>
      <c r="L421" s="18" t="s">
        <v>1</v>
      </c>
      <c r="M421" s="20" t="s">
        <v>1</v>
      </c>
      <c r="N421" s="46" t="s">
        <v>82</v>
      </c>
      <c r="O421" s="25" t="str">
        <f t="shared" si="15"/>
        <v>"Bairro N° B.085 RA.15 Turiaçú"</v>
      </c>
      <c r="P421" s="46" t="s">
        <v>1</v>
      </c>
      <c r="Q421" s="25" t="s">
        <v>1</v>
      </c>
      <c r="R421" s="46" t="s">
        <v>1</v>
      </c>
      <c r="S421" s="52" t="s">
        <v>1</v>
      </c>
      <c r="T421" s="46" t="s">
        <v>1</v>
      </c>
      <c r="U421" s="31" t="s">
        <v>1</v>
      </c>
      <c r="V421" s="46" t="s">
        <v>1</v>
      </c>
      <c r="W421" s="31" t="s">
        <v>1</v>
      </c>
      <c r="X421" s="46" t="s">
        <v>1</v>
      </c>
      <c r="Y421" s="31" t="s">
        <v>1</v>
      </c>
      <c r="Z421" s="46" t="s">
        <v>1</v>
      </c>
      <c r="AA421" s="31" t="s">
        <v>1</v>
      </c>
      <c r="AB421" s="46" t="s">
        <v>1</v>
      </c>
      <c r="AC421" s="47" t="s">
        <v>1</v>
      </c>
      <c r="AD421" s="36" t="s">
        <v>1</v>
      </c>
      <c r="AE421" s="51" t="s">
        <v>1</v>
      </c>
      <c r="AF421" s="36" t="s">
        <v>1</v>
      </c>
      <c r="AG421" s="51" t="s">
        <v>1</v>
      </c>
      <c r="AH421" s="36" t="s">
        <v>1</v>
      </c>
      <c r="AI421" s="51" t="s">
        <v>1</v>
      </c>
      <c r="AJ421" s="36" t="s">
        <v>1</v>
      </c>
      <c r="AK421" s="51" t="s">
        <v>1</v>
      </c>
      <c r="AL421" s="36" t="s">
        <v>1</v>
      </c>
      <c r="AM421" s="31" t="s">
        <v>1</v>
      </c>
      <c r="AN421" s="36" t="s">
        <v>1</v>
      </c>
      <c r="AO421" s="31" t="s">
        <v>1</v>
      </c>
      <c r="AP421" s="36" t="s">
        <v>1</v>
      </c>
      <c r="AQ421" s="51" t="s">
        <v>1</v>
      </c>
      <c r="AR421" s="36" t="s">
        <v>1</v>
      </c>
      <c r="AS421" s="47" t="s">
        <v>1</v>
      </c>
      <c r="AT421" s="36" t="s">
        <v>1</v>
      </c>
      <c r="AU421" s="47" t="s">
        <v>1</v>
      </c>
      <c r="AV421" s="36" t="s">
        <v>1</v>
      </c>
      <c r="AW421" s="47" t="s">
        <v>1</v>
      </c>
      <c r="AX421" s="36" t="s">
        <v>2065</v>
      </c>
      <c r="AY421" s="47" t="s">
        <v>2193</v>
      </c>
      <c r="AZ421" s="36" t="s">
        <v>1299</v>
      </c>
      <c r="BA421" s="47" t="s">
        <v>2193</v>
      </c>
      <c r="BB421" s="36" t="s">
        <v>2188</v>
      </c>
      <c r="BC421" s="47" t="s">
        <v>819</v>
      </c>
      <c r="BD421" s="36" t="s">
        <v>2189</v>
      </c>
      <c r="BE421" s="47" t="str">
        <f t="shared" si="14"/>
        <v>"Bairro"</v>
      </c>
    </row>
    <row r="422" spans="1:57" ht="6.65" customHeight="1" x14ac:dyDescent="0.4">
      <c r="A422" s="93">
        <v>422</v>
      </c>
      <c r="B422" s="74" t="s">
        <v>1218</v>
      </c>
      <c r="C422" s="44" t="s">
        <v>664</v>
      </c>
      <c r="D422" s="18" t="s">
        <v>744</v>
      </c>
      <c r="E422" s="48" t="s">
        <v>837</v>
      </c>
      <c r="F422" s="18" t="s">
        <v>820</v>
      </c>
      <c r="G422" s="48" t="s">
        <v>1045</v>
      </c>
      <c r="H422" s="18" t="s">
        <v>1062</v>
      </c>
      <c r="I422" s="48" t="s">
        <v>837</v>
      </c>
      <c r="J422" s="18" t="s">
        <v>744</v>
      </c>
      <c r="K422" s="48" t="s">
        <v>1086</v>
      </c>
      <c r="L422" s="18" t="s">
        <v>1</v>
      </c>
      <c r="M422" s="20" t="s">
        <v>1</v>
      </c>
      <c r="N422" s="46" t="s">
        <v>82</v>
      </c>
      <c r="O422" s="25" t="str">
        <f t="shared" si="15"/>
        <v>"Bairro N° B.022 RA.04 Urca"</v>
      </c>
      <c r="P422" s="46" t="s">
        <v>1</v>
      </c>
      <c r="Q422" s="25" t="s">
        <v>1</v>
      </c>
      <c r="R422" s="46" t="s">
        <v>1</v>
      </c>
      <c r="S422" s="52" t="s">
        <v>1</v>
      </c>
      <c r="T422" s="46" t="s">
        <v>1</v>
      </c>
      <c r="U422" s="31" t="s">
        <v>1</v>
      </c>
      <c r="V422" s="46" t="s">
        <v>1</v>
      </c>
      <c r="W422" s="31" t="s">
        <v>1</v>
      </c>
      <c r="X422" s="46" t="s">
        <v>1</v>
      </c>
      <c r="Y422" s="31" t="s">
        <v>1</v>
      </c>
      <c r="Z422" s="46" t="s">
        <v>1</v>
      </c>
      <c r="AA422" s="31" t="s">
        <v>1</v>
      </c>
      <c r="AB422" s="46" t="s">
        <v>1</v>
      </c>
      <c r="AC422" s="47" t="s">
        <v>1</v>
      </c>
      <c r="AD422" s="36" t="s">
        <v>1</v>
      </c>
      <c r="AE422" s="51" t="s">
        <v>1</v>
      </c>
      <c r="AF422" s="36" t="s">
        <v>1</v>
      </c>
      <c r="AG422" s="51" t="s">
        <v>1</v>
      </c>
      <c r="AH422" s="36" t="s">
        <v>1</v>
      </c>
      <c r="AI422" s="51" t="s">
        <v>1</v>
      </c>
      <c r="AJ422" s="36" t="s">
        <v>1</v>
      </c>
      <c r="AK422" s="51" t="s">
        <v>1</v>
      </c>
      <c r="AL422" s="36" t="s">
        <v>1</v>
      </c>
      <c r="AM422" s="31" t="s">
        <v>1</v>
      </c>
      <c r="AN422" s="36" t="s">
        <v>1</v>
      </c>
      <c r="AO422" s="31" t="s">
        <v>1</v>
      </c>
      <c r="AP422" s="36" t="s">
        <v>1</v>
      </c>
      <c r="AQ422" s="51" t="s">
        <v>1</v>
      </c>
      <c r="AR422" s="36" t="s">
        <v>1</v>
      </c>
      <c r="AS422" s="47" t="s">
        <v>1</v>
      </c>
      <c r="AT422" s="36" t="s">
        <v>1</v>
      </c>
      <c r="AU422" s="47" t="s">
        <v>1</v>
      </c>
      <c r="AV422" s="36" t="s">
        <v>1</v>
      </c>
      <c r="AW422" s="47" t="s">
        <v>1</v>
      </c>
      <c r="AX422" s="36" t="s">
        <v>2065</v>
      </c>
      <c r="AY422" s="47" t="s">
        <v>2193</v>
      </c>
      <c r="AZ422" s="36" t="s">
        <v>1299</v>
      </c>
      <c r="BA422" s="47" t="s">
        <v>2193</v>
      </c>
      <c r="BB422" s="36" t="s">
        <v>2188</v>
      </c>
      <c r="BC422" s="47" t="s">
        <v>819</v>
      </c>
      <c r="BD422" s="36" t="s">
        <v>2189</v>
      </c>
      <c r="BE422" s="47" t="str">
        <f t="shared" si="14"/>
        <v>"Bairro"</v>
      </c>
    </row>
    <row r="423" spans="1:57" ht="6.65" customHeight="1" x14ac:dyDescent="0.4">
      <c r="A423" s="93">
        <v>423</v>
      </c>
      <c r="B423" s="74" t="s">
        <v>1219</v>
      </c>
      <c r="C423" s="44" t="s">
        <v>664</v>
      </c>
      <c r="D423" s="18" t="s">
        <v>744</v>
      </c>
      <c r="E423" s="48" t="s">
        <v>877</v>
      </c>
      <c r="F423" s="18" t="s">
        <v>820</v>
      </c>
      <c r="G423" s="48" t="s">
        <v>1046</v>
      </c>
      <c r="H423" s="18" t="s">
        <v>1062</v>
      </c>
      <c r="I423" s="48" t="s">
        <v>877</v>
      </c>
      <c r="J423" s="18" t="s">
        <v>744</v>
      </c>
      <c r="K423" s="48" t="s">
        <v>1077</v>
      </c>
      <c r="L423" s="18" t="s">
        <v>1</v>
      </c>
      <c r="M423" s="20" t="s">
        <v>1</v>
      </c>
      <c r="N423" s="46" t="s">
        <v>82</v>
      </c>
      <c r="O423" s="25" t="str">
        <f t="shared" si="15"/>
        <v>"Bairro N° B.131 RA.24 Vargem.Grande"</v>
      </c>
      <c r="P423" s="46" t="s">
        <v>1</v>
      </c>
      <c r="Q423" s="25" t="s">
        <v>1</v>
      </c>
      <c r="R423" s="46" t="s">
        <v>1</v>
      </c>
      <c r="S423" s="52" t="s">
        <v>1</v>
      </c>
      <c r="T423" s="46" t="s">
        <v>1</v>
      </c>
      <c r="U423" s="31" t="s">
        <v>1</v>
      </c>
      <c r="V423" s="46" t="s">
        <v>1</v>
      </c>
      <c r="W423" s="31" t="s">
        <v>1</v>
      </c>
      <c r="X423" s="46" t="s">
        <v>1</v>
      </c>
      <c r="Y423" s="31" t="s">
        <v>1</v>
      </c>
      <c r="Z423" s="46" t="s">
        <v>1</v>
      </c>
      <c r="AA423" s="31" t="s">
        <v>1</v>
      </c>
      <c r="AB423" s="46" t="s">
        <v>1</v>
      </c>
      <c r="AC423" s="47" t="s">
        <v>1</v>
      </c>
      <c r="AD423" s="36" t="s">
        <v>1</v>
      </c>
      <c r="AE423" s="51" t="s">
        <v>1</v>
      </c>
      <c r="AF423" s="36" t="s">
        <v>1</v>
      </c>
      <c r="AG423" s="51" t="s">
        <v>1</v>
      </c>
      <c r="AH423" s="36" t="s">
        <v>1</v>
      </c>
      <c r="AI423" s="51" t="s">
        <v>1</v>
      </c>
      <c r="AJ423" s="36" t="s">
        <v>1</v>
      </c>
      <c r="AK423" s="51" t="s">
        <v>1</v>
      </c>
      <c r="AL423" s="36" t="s">
        <v>1</v>
      </c>
      <c r="AM423" s="31" t="s">
        <v>1</v>
      </c>
      <c r="AN423" s="36" t="s">
        <v>1</v>
      </c>
      <c r="AO423" s="31" t="s">
        <v>1</v>
      </c>
      <c r="AP423" s="36" t="s">
        <v>1</v>
      </c>
      <c r="AQ423" s="51" t="s">
        <v>1</v>
      </c>
      <c r="AR423" s="36" t="s">
        <v>1</v>
      </c>
      <c r="AS423" s="47" t="s">
        <v>1</v>
      </c>
      <c r="AT423" s="36" t="s">
        <v>1</v>
      </c>
      <c r="AU423" s="47" t="s">
        <v>1</v>
      </c>
      <c r="AV423" s="36" t="s">
        <v>1</v>
      </c>
      <c r="AW423" s="47" t="s">
        <v>1</v>
      </c>
      <c r="AX423" s="36" t="s">
        <v>2065</v>
      </c>
      <c r="AY423" s="47" t="s">
        <v>2193</v>
      </c>
      <c r="AZ423" s="36" t="s">
        <v>1299</v>
      </c>
      <c r="BA423" s="47" t="s">
        <v>2193</v>
      </c>
      <c r="BB423" s="36" t="s">
        <v>2188</v>
      </c>
      <c r="BC423" s="47" t="s">
        <v>819</v>
      </c>
      <c r="BD423" s="36" t="s">
        <v>2189</v>
      </c>
      <c r="BE423" s="47" t="str">
        <f t="shared" si="14"/>
        <v>"Bairro"</v>
      </c>
    </row>
    <row r="424" spans="1:57" ht="6.65" customHeight="1" x14ac:dyDescent="0.4">
      <c r="A424" s="93">
        <v>424</v>
      </c>
      <c r="B424" s="74" t="s">
        <v>1220</v>
      </c>
      <c r="C424" s="44" t="s">
        <v>664</v>
      </c>
      <c r="D424" s="18" t="s">
        <v>744</v>
      </c>
      <c r="E424" s="48" t="s">
        <v>877</v>
      </c>
      <c r="F424" s="18" t="s">
        <v>820</v>
      </c>
      <c r="G424" s="48" t="s">
        <v>1047</v>
      </c>
      <c r="H424" s="18" t="s">
        <v>1062</v>
      </c>
      <c r="I424" s="48" t="s">
        <v>877</v>
      </c>
      <c r="J424" s="18" t="s">
        <v>744</v>
      </c>
      <c r="K424" s="48" t="s">
        <v>1077</v>
      </c>
      <c r="L424" s="18" t="s">
        <v>1</v>
      </c>
      <c r="M424" s="20" t="s">
        <v>1</v>
      </c>
      <c r="N424" s="46" t="s">
        <v>82</v>
      </c>
      <c r="O424" s="25" t="str">
        <f t="shared" si="15"/>
        <v>"Bairro N° B.130 RA.24 Vargem.Pequena"</v>
      </c>
      <c r="P424" s="46" t="s">
        <v>1</v>
      </c>
      <c r="Q424" s="25" t="s">
        <v>1</v>
      </c>
      <c r="R424" s="46" t="s">
        <v>1</v>
      </c>
      <c r="S424" s="52" t="s">
        <v>1</v>
      </c>
      <c r="T424" s="46" t="s">
        <v>1</v>
      </c>
      <c r="U424" s="31" t="s">
        <v>1</v>
      </c>
      <c r="V424" s="46" t="s">
        <v>1</v>
      </c>
      <c r="W424" s="31" t="s">
        <v>1</v>
      </c>
      <c r="X424" s="46" t="s">
        <v>1</v>
      </c>
      <c r="Y424" s="31" t="s">
        <v>1</v>
      </c>
      <c r="Z424" s="46" t="s">
        <v>1</v>
      </c>
      <c r="AA424" s="31" t="s">
        <v>1</v>
      </c>
      <c r="AB424" s="46" t="s">
        <v>1</v>
      </c>
      <c r="AC424" s="47" t="s">
        <v>1</v>
      </c>
      <c r="AD424" s="36" t="s">
        <v>1</v>
      </c>
      <c r="AE424" s="51" t="s">
        <v>1</v>
      </c>
      <c r="AF424" s="36" t="s">
        <v>1</v>
      </c>
      <c r="AG424" s="51" t="s">
        <v>1</v>
      </c>
      <c r="AH424" s="36" t="s">
        <v>1</v>
      </c>
      <c r="AI424" s="51" t="s">
        <v>1</v>
      </c>
      <c r="AJ424" s="36" t="s">
        <v>1</v>
      </c>
      <c r="AK424" s="51" t="s">
        <v>1</v>
      </c>
      <c r="AL424" s="36" t="s">
        <v>1</v>
      </c>
      <c r="AM424" s="31" t="s">
        <v>1</v>
      </c>
      <c r="AN424" s="36" t="s">
        <v>1</v>
      </c>
      <c r="AO424" s="31" t="s">
        <v>1</v>
      </c>
      <c r="AP424" s="36" t="s">
        <v>1</v>
      </c>
      <c r="AQ424" s="51" t="s">
        <v>1</v>
      </c>
      <c r="AR424" s="36" t="s">
        <v>1</v>
      </c>
      <c r="AS424" s="47" t="s">
        <v>1</v>
      </c>
      <c r="AT424" s="36" t="s">
        <v>1</v>
      </c>
      <c r="AU424" s="47" t="s">
        <v>1</v>
      </c>
      <c r="AV424" s="36" t="s">
        <v>1</v>
      </c>
      <c r="AW424" s="47" t="s">
        <v>1</v>
      </c>
      <c r="AX424" s="36" t="s">
        <v>2065</v>
      </c>
      <c r="AY424" s="47" t="s">
        <v>2193</v>
      </c>
      <c r="AZ424" s="36" t="s">
        <v>1299</v>
      </c>
      <c r="BA424" s="47" t="s">
        <v>2193</v>
      </c>
      <c r="BB424" s="36" t="s">
        <v>2188</v>
      </c>
      <c r="BC424" s="47" t="s">
        <v>819</v>
      </c>
      <c r="BD424" s="36" t="s">
        <v>2189</v>
      </c>
      <c r="BE424" s="47" t="str">
        <f t="shared" si="14"/>
        <v>"Bairro"</v>
      </c>
    </row>
    <row r="425" spans="1:57" ht="6.65" customHeight="1" x14ac:dyDescent="0.4">
      <c r="A425" s="93">
        <v>425</v>
      </c>
      <c r="B425" s="74" t="s">
        <v>1221</v>
      </c>
      <c r="C425" s="44" t="s">
        <v>664</v>
      </c>
      <c r="D425" s="18" t="s">
        <v>744</v>
      </c>
      <c r="E425" s="48" t="s">
        <v>843</v>
      </c>
      <c r="F425" s="18" t="s">
        <v>820</v>
      </c>
      <c r="G425" s="48" t="s">
        <v>1048</v>
      </c>
      <c r="H425" s="18" t="s">
        <v>1062</v>
      </c>
      <c r="I425" s="48" t="s">
        <v>843</v>
      </c>
      <c r="J425" s="18" t="s">
        <v>744</v>
      </c>
      <c r="K425" s="48" t="s">
        <v>1082</v>
      </c>
      <c r="L425" s="18" t="s">
        <v>1</v>
      </c>
      <c r="M425" s="20" t="s">
        <v>1</v>
      </c>
      <c r="N425" s="46" t="s">
        <v>82</v>
      </c>
      <c r="O425" s="25" t="str">
        <f t="shared" si="15"/>
        <v>"Bairro N° B.158 RA.07 Vasco.da.Gama"</v>
      </c>
      <c r="P425" s="46" t="s">
        <v>1</v>
      </c>
      <c r="Q425" s="25" t="s">
        <v>1</v>
      </c>
      <c r="R425" s="46" t="s">
        <v>1</v>
      </c>
      <c r="S425" s="52" t="s">
        <v>1</v>
      </c>
      <c r="T425" s="46" t="s">
        <v>1</v>
      </c>
      <c r="U425" s="31" t="s">
        <v>1</v>
      </c>
      <c r="V425" s="46" t="s">
        <v>1</v>
      </c>
      <c r="W425" s="31" t="s">
        <v>1</v>
      </c>
      <c r="X425" s="46" t="s">
        <v>1</v>
      </c>
      <c r="Y425" s="31" t="s">
        <v>1</v>
      </c>
      <c r="Z425" s="46" t="s">
        <v>1</v>
      </c>
      <c r="AA425" s="31" t="s">
        <v>1</v>
      </c>
      <c r="AB425" s="46" t="s">
        <v>1</v>
      </c>
      <c r="AC425" s="47" t="s">
        <v>1</v>
      </c>
      <c r="AD425" s="36" t="s">
        <v>1</v>
      </c>
      <c r="AE425" s="51" t="s">
        <v>1</v>
      </c>
      <c r="AF425" s="36" t="s">
        <v>1</v>
      </c>
      <c r="AG425" s="51" t="s">
        <v>1</v>
      </c>
      <c r="AH425" s="36" t="s">
        <v>1</v>
      </c>
      <c r="AI425" s="51" t="s">
        <v>1</v>
      </c>
      <c r="AJ425" s="36" t="s">
        <v>1</v>
      </c>
      <c r="AK425" s="51" t="s">
        <v>1</v>
      </c>
      <c r="AL425" s="36" t="s">
        <v>1</v>
      </c>
      <c r="AM425" s="31" t="s">
        <v>1</v>
      </c>
      <c r="AN425" s="36" t="s">
        <v>1</v>
      </c>
      <c r="AO425" s="31" t="s">
        <v>1</v>
      </c>
      <c r="AP425" s="36" t="s">
        <v>1</v>
      </c>
      <c r="AQ425" s="51" t="s">
        <v>1</v>
      </c>
      <c r="AR425" s="36" t="s">
        <v>1</v>
      </c>
      <c r="AS425" s="47" t="s">
        <v>1</v>
      </c>
      <c r="AT425" s="36" t="s">
        <v>1</v>
      </c>
      <c r="AU425" s="47" t="s">
        <v>1</v>
      </c>
      <c r="AV425" s="36" t="s">
        <v>1</v>
      </c>
      <c r="AW425" s="47" t="s">
        <v>1</v>
      </c>
      <c r="AX425" s="36" t="s">
        <v>2065</v>
      </c>
      <c r="AY425" s="47" t="s">
        <v>2193</v>
      </c>
      <c r="AZ425" s="36" t="s">
        <v>1299</v>
      </c>
      <c r="BA425" s="47" t="s">
        <v>2193</v>
      </c>
      <c r="BB425" s="36" t="s">
        <v>2188</v>
      </c>
      <c r="BC425" s="47" t="s">
        <v>819</v>
      </c>
      <c r="BD425" s="36" t="s">
        <v>2189</v>
      </c>
      <c r="BE425" s="47" t="str">
        <f t="shared" si="14"/>
        <v>"Bairro"</v>
      </c>
    </row>
    <row r="426" spans="1:57" ht="6.65" customHeight="1" x14ac:dyDescent="0.4">
      <c r="A426" s="93">
        <v>426</v>
      </c>
      <c r="B426" s="74" t="s">
        <v>1222</v>
      </c>
      <c r="C426" s="44" t="s">
        <v>664</v>
      </c>
      <c r="D426" s="18" t="s">
        <v>744</v>
      </c>
      <c r="E426" s="48" t="s">
        <v>859</v>
      </c>
      <c r="F426" s="18" t="s">
        <v>820</v>
      </c>
      <c r="G426" s="48" t="s">
        <v>1049</v>
      </c>
      <c r="H426" s="18" t="s">
        <v>1062</v>
      </c>
      <c r="I426" s="48" t="s">
        <v>859</v>
      </c>
      <c r="J426" s="18" t="s">
        <v>744</v>
      </c>
      <c r="K426" s="48" t="s">
        <v>1063</v>
      </c>
      <c r="L426" s="18" t="s">
        <v>1</v>
      </c>
      <c r="M426" s="20" t="s">
        <v>1</v>
      </c>
      <c r="N426" s="46" t="s">
        <v>82</v>
      </c>
      <c r="O426" s="25" t="str">
        <f t="shared" si="15"/>
        <v>"Bairro N° B.084 RA.15 Vaz.Lobo"</v>
      </c>
      <c r="P426" s="46" t="s">
        <v>1</v>
      </c>
      <c r="Q426" s="25" t="s">
        <v>1</v>
      </c>
      <c r="R426" s="46" t="s">
        <v>1</v>
      </c>
      <c r="S426" s="52" t="s">
        <v>1</v>
      </c>
      <c r="T426" s="46" t="s">
        <v>1</v>
      </c>
      <c r="U426" s="31" t="s">
        <v>1</v>
      </c>
      <c r="V426" s="46" t="s">
        <v>1</v>
      </c>
      <c r="W426" s="31" t="s">
        <v>1</v>
      </c>
      <c r="X426" s="46" t="s">
        <v>1</v>
      </c>
      <c r="Y426" s="31" t="s">
        <v>1</v>
      </c>
      <c r="Z426" s="46" t="s">
        <v>1</v>
      </c>
      <c r="AA426" s="31" t="s">
        <v>1</v>
      </c>
      <c r="AB426" s="46" t="s">
        <v>1</v>
      </c>
      <c r="AC426" s="47" t="s">
        <v>1</v>
      </c>
      <c r="AD426" s="36" t="s">
        <v>1</v>
      </c>
      <c r="AE426" s="51" t="s">
        <v>1</v>
      </c>
      <c r="AF426" s="36" t="s">
        <v>1</v>
      </c>
      <c r="AG426" s="51" t="s">
        <v>1</v>
      </c>
      <c r="AH426" s="36" t="s">
        <v>1</v>
      </c>
      <c r="AI426" s="51" t="s">
        <v>1</v>
      </c>
      <c r="AJ426" s="36" t="s">
        <v>1</v>
      </c>
      <c r="AK426" s="51" t="s">
        <v>1</v>
      </c>
      <c r="AL426" s="36" t="s">
        <v>1</v>
      </c>
      <c r="AM426" s="31" t="s">
        <v>1</v>
      </c>
      <c r="AN426" s="36" t="s">
        <v>1</v>
      </c>
      <c r="AO426" s="31" t="s">
        <v>1</v>
      </c>
      <c r="AP426" s="36" t="s">
        <v>1</v>
      </c>
      <c r="AQ426" s="51" t="s">
        <v>1</v>
      </c>
      <c r="AR426" s="36" t="s">
        <v>1</v>
      </c>
      <c r="AS426" s="47" t="s">
        <v>1</v>
      </c>
      <c r="AT426" s="36" t="s">
        <v>1</v>
      </c>
      <c r="AU426" s="47" t="s">
        <v>1</v>
      </c>
      <c r="AV426" s="36" t="s">
        <v>1</v>
      </c>
      <c r="AW426" s="47" t="s">
        <v>1</v>
      </c>
      <c r="AX426" s="36" t="s">
        <v>2065</v>
      </c>
      <c r="AY426" s="47" t="s">
        <v>2193</v>
      </c>
      <c r="AZ426" s="36" t="s">
        <v>1299</v>
      </c>
      <c r="BA426" s="47" t="s">
        <v>2193</v>
      </c>
      <c r="BB426" s="36" t="s">
        <v>2188</v>
      </c>
      <c r="BC426" s="47" t="s">
        <v>819</v>
      </c>
      <c r="BD426" s="36" t="s">
        <v>2189</v>
      </c>
      <c r="BE426" s="47" t="str">
        <f t="shared" si="14"/>
        <v>"Bairro"</v>
      </c>
    </row>
    <row r="427" spans="1:57" ht="6.65" customHeight="1" x14ac:dyDescent="0.4">
      <c r="A427" s="93">
        <v>427</v>
      </c>
      <c r="B427" s="74" t="s">
        <v>1223</v>
      </c>
      <c r="C427" s="44" t="s">
        <v>664</v>
      </c>
      <c r="D427" s="18" t="s">
        <v>744</v>
      </c>
      <c r="E427" s="48" t="s">
        <v>857</v>
      </c>
      <c r="F427" s="18" t="s">
        <v>820</v>
      </c>
      <c r="G427" s="48" t="s">
        <v>1050</v>
      </c>
      <c r="H427" s="18" t="s">
        <v>1062</v>
      </c>
      <c r="I427" s="48" t="s">
        <v>857</v>
      </c>
      <c r="J427" s="18" t="s">
        <v>744</v>
      </c>
      <c r="K427" s="48" t="s">
        <v>1063</v>
      </c>
      <c r="L427" s="18" t="s">
        <v>1</v>
      </c>
      <c r="M427" s="20" t="s">
        <v>1</v>
      </c>
      <c r="N427" s="46" t="s">
        <v>82</v>
      </c>
      <c r="O427" s="25" t="str">
        <f t="shared" si="15"/>
        <v>"Bairro N° B.073 RA.14 Vicente.de.Carvalho"</v>
      </c>
      <c r="P427" s="46" t="s">
        <v>1</v>
      </c>
      <c r="Q427" s="25" t="s">
        <v>1</v>
      </c>
      <c r="R427" s="46" t="s">
        <v>1</v>
      </c>
      <c r="S427" s="52" t="s">
        <v>1</v>
      </c>
      <c r="T427" s="46" t="s">
        <v>1</v>
      </c>
      <c r="U427" s="31" t="s">
        <v>1</v>
      </c>
      <c r="V427" s="46" t="s">
        <v>1</v>
      </c>
      <c r="W427" s="31" t="s">
        <v>1</v>
      </c>
      <c r="X427" s="46" t="s">
        <v>1</v>
      </c>
      <c r="Y427" s="31" t="s">
        <v>1</v>
      </c>
      <c r="Z427" s="46" t="s">
        <v>1</v>
      </c>
      <c r="AA427" s="31" t="s">
        <v>1</v>
      </c>
      <c r="AB427" s="46" t="s">
        <v>1</v>
      </c>
      <c r="AC427" s="47" t="s">
        <v>1</v>
      </c>
      <c r="AD427" s="36" t="s">
        <v>1</v>
      </c>
      <c r="AE427" s="51" t="s">
        <v>1</v>
      </c>
      <c r="AF427" s="36" t="s">
        <v>1</v>
      </c>
      <c r="AG427" s="51" t="s">
        <v>1</v>
      </c>
      <c r="AH427" s="36" t="s">
        <v>1</v>
      </c>
      <c r="AI427" s="51" t="s">
        <v>1</v>
      </c>
      <c r="AJ427" s="36" t="s">
        <v>1</v>
      </c>
      <c r="AK427" s="51" t="s">
        <v>1</v>
      </c>
      <c r="AL427" s="36" t="s">
        <v>1</v>
      </c>
      <c r="AM427" s="31" t="s">
        <v>1</v>
      </c>
      <c r="AN427" s="36" t="s">
        <v>1</v>
      </c>
      <c r="AO427" s="31" t="s">
        <v>1</v>
      </c>
      <c r="AP427" s="36" t="s">
        <v>1</v>
      </c>
      <c r="AQ427" s="51" t="s">
        <v>1</v>
      </c>
      <c r="AR427" s="36" t="s">
        <v>1</v>
      </c>
      <c r="AS427" s="47" t="s">
        <v>1</v>
      </c>
      <c r="AT427" s="36" t="s">
        <v>1</v>
      </c>
      <c r="AU427" s="47" t="s">
        <v>1</v>
      </c>
      <c r="AV427" s="36" t="s">
        <v>1</v>
      </c>
      <c r="AW427" s="47" t="s">
        <v>1</v>
      </c>
      <c r="AX427" s="36" t="s">
        <v>2065</v>
      </c>
      <c r="AY427" s="47" t="s">
        <v>2193</v>
      </c>
      <c r="AZ427" s="36" t="s">
        <v>1299</v>
      </c>
      <c r="BA427" s="47" t="s">
        <v>2193</v>
      </c>
      <c r="BB427" s="36" t="s">
        <v>2188</v>
      </c>
      <c r="BC427" s="47" t="s">
        <v>819</v>
      </c>
      <c r="BD427" s="36" t="s">
        <v>2189</v>
      </c>
      <c r="BE427" s="47" t="str">
        <f t="shared" si="14"/>
        <v>"Bairro"</v>
      </c>
    </row>
    <row r="428" spans="1:57" ht="6.65" customHeight="1" x14ac:dyDescent="0.4">
      <c r="A428" s="93">
        <v>428</v>
      </c>
      <c r="B428" s="74" t="s">
        <v>1224</v>
      </c>
      <c r="C428" s="44" t="s">
        <v>664</v>
      </c>
      <c r="D428" s="18" t="s">
        <v>744</v>
      </c>
      <c r="E428" s="48" t="s">
        <v>841</v>
      </c>
      <c r="F428" s="18" t="s">
        <v>820</v>
      </c>
      <c r="G428" s="48" t="s">
        <v>1051</v>
      </c>
      <c r="H428" s="18" t="s">
        <v>1062</v>
      </c>
      <c r="I428" s="48" t="s">
        <v>841</v>
      </c>
      <c r="J428" s="18" t="s">
        <v>744</v>
      </c>
      <c r="K428" s="48" t="s">
        <v>1086</v>
      </c>
      <c r="L428" s="18" t="s">
        <v>1</v>
      </c>
      <c r="M428" s="20" t="s">
        <v>1</v>
      </c>
      <c r="N428" s="46" t="s">
        <v>82</v>
      </c>
      <c r="O428" s="25" t="str">
        <f t="shared" si="15"/>
        <v>"Bairro N° B.030 RA.06 Vidigal"</v>
      </c>
      <c r="P428" s="46" t="s">
        <v>1</v>
      </c>
      <c r="Q428" s="25" t="s">
        <v>1</v>
      </c>
      <c r="R428" s="46" t="s">
        <v>1</v>
      </c>
      <c r="S428" s="52" t="s">
        <v>1</v>
      </c>
      <c r="T428" s="46" t="s">
        <v>1</v>
      </c>
      <c r="U428" s="31" t="s">
        <v>1</v>
      </c>
      <c r="V428" s="46" t="s">
        <v>1</v>
      </c>
      <c r="W428" s="31" t="s">
        <v>1</v>
      </c>
      <c r="X428" s="46" t="s">
        <v>1</v>
      </c>
      <c r="Y428" s="31" t="s">
        <v>1</v>
      </c>
      <c r="Z428" s="46" t="s">
        <v>1</v>
      </c>
      <c r="AA428" s="31" t="s">
        <v>1</v>
      </c>
      <c r="AB428" s="46" t="s">
        <v>1</v>
      </c>
      <c r="AC428" s="47" t="s">
        <v>1</v>
      </c>
      <c r="AD428" s="36" t="s">
        <v>1</v>
      </c>
      <c r="AE428" s="51" t="s">
        <v>1</v>
      </c>
      <c r="AF428" s="36" t="s">
        <v>1</v>
      </c>
      <c r="AG428" s="51" t="s">
        <v>1</v>
      </c>
      <c r="AH428" s="36" t="s">
        <v>1</v>
      </c>
      <c r="AI428" s="51" t="s">
        <v>1</v>
      </c>
      <c r="AJ428" s="36" t="s">
        <v>1</v>
      </c>
      <c r="AK428" s="51" t="s">
        <v>1</v>
      </c>
      <c r="AL428" s="36" t="s">
        <v>1</v>
      </c>
      <c r="AM428" s="31" t="s">
        <v>1</v>
      </c>
      <c r="AN428" s="36" t="s">
        <v>1</v>
      </c>
      <c r="AO428" s="31" t="s">
        <v>1</v>
      </c>
      <c r="AP428" s="36" t="s">
        <v>1</v>
      </c>
      <c r="AQ428" s="51" t="s">
        <v>1</v>
      </c>
      <c r="AR428" s="36" t="s">
        <v>1</v>
      </c>
      <c r="AS428" s="47" t="s">
        <v>1</v>
      </c>
      <c r="AT428" s="36" t="s">
        <v>1</v>
      </c>
      <c r="AU428" s="47" t="s">
        <v>1</v>
      </c>
      <c r="AV428" s="36" t="s">
        <v>1</v>
      </c>
      <c r="AW428" s="47" t="s">
        <v>1</v>
      </c>
      <c r="AX428" s="36" t="s">
        <v>2065</v>
      </c>
      <c r="AY428" s="47" t="s">
        <v>2193</v>
      </c>
      <c r="AZ428" s="36" t="s">
        <v>1299</v>
      </c>
      <c r="BA428" s="47" t="s">
        <v>2193</v>
      </c>
      <c r="BB428" s="36" t="s">
        <v>2188</v>
      </c>
      <c r="BC428" s="47" t="s">
        <v>819</v>
      </c>
      <c r="BD428" s="36" t="s">
        <v>2189</v>
      </c>
      <c r="BE428" s="47" t="str">
        <f t="shared" si="14"/>
        <v>"Bairro"</v>
      </c>
    </row>
    <row r="429" spans="1:57" ht="6.65" customHeight="1" x14ac:dyDescent="0.4">
      <c r="A429" s="93">
        <v>429</v>
      </c>
      <c r="B429" s="74" t="s">
        <v>1225</v>
      </c>
      <c r="C429" s="44" t="s">
        <v>664</v>
      </c>
      <c r="D429" s="18" t="s">
        <v>744</v>
      </c>
      <c r="E429" s="48" t="s">
        <v>891</v>
      </c>
      <c r="F429" s="18" t="s">
        <v>820</v>
      </c>
      <c r="G429" s="48" t="s">
        <v>1052</v>
      </c>
      <c r="H429" s="18" t="s">
        <v>1062</v>
      </c>
      <c r="I429" s="48" t="s">
        <v>891</v>
      </c>
      <c r="J429" s="18" t="s">
        <v>744</v>
      </c>
      <c r="K429" s="48" t="s">
        <v>1063</v>
      </c>
      <c r="L429" s="18" t="s">
        <v>1</v>
      </c>
      <c r="M429" s="20" t="s">
        <v>1</v>
      </c>
      <c r="N429" s="46" t="s">
        <v>82</v>
      </c>
      <c r="O429" s="25" t="str">
        <f t="shared" si="15"/>
        <v>"Bairro N° B.048 RA.31 Vigário.Geral"</v>
      </c>
      <c r="P429" s="46" t="s">
        <v>1</v>
      </c>
      <c r="Q429" s="25" t="s">
        <v>1</v>
      </c>
      <c r="R429" s="46" t="s">
        <v>1</v>
      </c>
      <c r="S429" s="52" t="s">
        <v>1</v>
      </c>
      <c r="T429" s="46" t="s">
        <v>1</v>
      </c>
      <c r="U429" s="31" t="s">
        <v>1</v>
      </c>
      <c r="V429" s="46" t="s">
        <v>1</v>
      </c>
      <c r="W429" s="31" t="s">
        <v>1</v>
      </c>
      <c r="X429" s="46" t="s">
        <v>1</v>
      </c>
      <c r="Y429" s="31" t="s">
        <v>1</v>
      </c>
      <c r="Z429" s="46" t="s">
        <v>1</v>
      </c>
      <c r="AA429" s="31" t="s">
        <v>1</v>
      </c>
      <c r="AB429" s="46" t="s">
        <v>1</v>
      </c>
      <c r="AC429" s="47" t="s">
        <v>1</v>
      </c>
      <c r="AD429" s="36" t="s">
        <v>1</v>
      </c>
      <c r="AE429" s="51" t="s">
        <v>1</v>
      </c>
      <c r="AF429" s="36" t="s">
        <v>1</v>
      </c>
      <c r="AG429" s="51" t="s">
        <v>1</v>
      </c>
      <c r="AH429" s="36" t="s">
        <v>1</v>
      </c>
      <c r="AI429" s="51" t="s">
        <v>1</v>
      </c>
      <c r="AJ429" s="36" t="s">
        <v>1</v>
      </c>
      <c r="AK429" s="51" t="s">
        <v>1</v>
      </c>
      <c r="AL429" s="36" t="s">
        <v>1</v>
      </c>
      <c r="AM429" s="31" t="s">
        <v>1</v>
      </c>
      <c r="AN429" s="36" t="s">
        <v>1</v>
      </c>
      <c r="AO429" s="31" t="s">
        <v>1</v>
      </c>
      <c r="AP429" s="36" t="s">
        <v>1</v>
      </c>
      <c r="AQ429" s="51" t="s">
        <v>1</v>
      </c>
      <c r="AR429" s="36" t="s">
        <v>1</v>
      </c>
      <c r="AS429" s="47" t="s">
        <v>1</v>
      </c>
      <c r="AT429" s="36" t="s">
        <v>1</v>
      </c>
      <c r="AU429" s="47" t="s">
        <v>1</v>
      </c>
      <c r="AV429" s="36" t="s">
        <v>1</v>
      </c>
      <c r="AW429" s="47" t="s">
        <v>1</v>
      </c>
      <c r="AX429" s="36" t="s">
        <v>2065</v>
      </c>
      <c r="AY429" s="47" t="s">
        <v>2193</v>
      </c>
      <c r="AZ429" s="36" t="s">
        <v>1299</v>
      </c>
      <c r="BA429" s="47" t="s">
        <v>2193</v>
      </c>
      <c r="BB429" s="36" t="s">
        <v>2188</v>
      </c>
      <c r="BC429" s="47" t="s">
        <v>819</v>
      </c>
      <c r="BD429" s="36" t="s">
        <v>2189</v>
      </c>
      <c r="BE429" s="47" t="str">
        <f t="shared" si="14"/>
        <v>"Bairro"</v>
      </c>
    </row>
    <row r="430" spans="1:57" ht="6.65" customHeight="1" x14ac:dyDescent="0.4">
      <c r="A430" s="93">
        <v>430</v>
      </c>
      <c r="B430" s="74" t="s">
        <v>1226</v>
      </c>
      <c r="C430" s="44" t="s">
        <v>664</v>
      </c>
      <c r="D430" s="18" t="s">
        <v>744</v>
      </c>
      <c r="E430" s="48" t="s">
        <v>857</v>
      </c>
      <c r="F430" s="18" t="s">
        <v>820</v>
      </c>
      <c r="G430" s="48" t="s">
        <v>1053</v>
      </c>
      <c r="H430" s="18" t="s">
        <v>1062</v>
      </c>
      <c r="I430" s="48" t="s">
        <v>857</v>
      </c>
      <c r="J430" s="18" t="s">
        <v>744</v>
      </c>
      <c r="K430" s="48" t="s">
        <v>1063</v>
      </c>
      <c r="L430" s="18" t="s">
        <v>1</v>
      </c>
      <c r="M430" s="20" t="s">
        <v>1</v>
      </c>
      <c r="N430" s="46" t="s">
        <v>82</v>
      </c>
      <c r="O430" s="25" t="str">
        <f t="shared" si="15"/>
        <v>"Bairro N° B.074 RA.14 Vila.da.Penha"</v>
      </c>
      <c r="P430" s="46" t="s">
        <v>1</v>
      </c>
      <c r="Q430" s="25" t="s">
        <v>1</v>
      </c>
      <c r="R430" s="46" t="s">
        <v>1</v>
      </c>
      <c r="S430" s="52" t="s">
        <v>1</v>
      </c>
      <c r="T430" s="46" t="s">
        <v>1</v>
      </c>
      <c r="U430" s="31" t="s">
        <v>1</v>
      </c>
      <c r="V430" s="46" t="s">
        <v>1</v>
      </c>
      <c r="W430" s="31" t="s">
        <v>1</v>
      </c>
      <c r="X430" s="46" t="s">
        <v>1</v>
      </c>
      <c r="Y430" s="31" t="s">
        <v>1</v>
      </c>
      <c r="Z430" s="46" t="s">
        <v>1</v>
      </c>
      <c r="AA430" s="31" t="s">
        <v>1</v>
      </c>
      <c r="AB430" s="46" t="s">
        <v>1</v>
      </c>
      <c r="AC430" s="47" t="s">
        <v>1</v>
      </c>
      <c r="AD430" s="36" t="s">
        <v>1</v>
      </c>
      <c r="AE430" s="51" t="s">
        <v>1</v>
      </c>
      <c r="AF430" s="36" t="s">
        <v>1</v>
      </c>
      <c r="AG430" s="51" t="s">
        <v>1</v>
      </c>
      <c r="AH430" s="36" t="s">
        <v>1</v>
      </c>
      <c r="AI430" s="51" t="s">
        <v>1</v>
      </c>
      <c r="AJ430" s="36" t="s">
        <v>1</v>
      </c>
      <c r="AK430" s="51" t="s">
        <v>1</v>
      </c>
      <c r="AL430" s="36" t="s">
        <v>1</v>
      </c>
      <c r="AM430" s="31" t="s">
        <v>1</v>
      </c>
      <c r="AN430" s="36" t="s">
        <v>1</v>
      </c>
      <c r="AO430" s="31" t="s">
        <v>1</v>
      </c>
      <c r="AP430" s="36" t="s">
        <v>1</v>
      </c>
      <c r="AQ430" s="51" t="s">
        <v>1</v>
      </c>
      <c r="AR430" s="36" t="s">
        <v>1</v>
      </c>
      <c r="AS430" s="47" t="s">
        <v>1</v>
      </c>
      <c r="AT430" s="36" t="s">
        <v>1</v>
      </c>
      <c r="AU430" s="47" t="s">
        <v>1</v>
      </c>
      <c r="AV430" s="36" t="s">
        <v>1</v>
      </c>
      <c r="AW430" s="47" t="s">
        <v>1</v>
      </c>
      <c r="AX430" s="36" t="s">
        <v>2065</v>
      </c>
      <c r="AY430" s="47" t="s">
        <v>2193</v>
      </c>
      <c r="AZ430" s="36" t="s">
        <v>1299</v>
      </c>
      <c r="BA430" s="47" t="s">
        <v>2193</v>
      </c>
      <c r="BB430" s="36" t="s">
        <v>2188</v>
      </c>
      <c r="BC430" s="47" t="s">
        <v>819</v>
      </c>
      <c r="BD430" s="36" t="s">
        <v>2189</v>
      </c>
      <c r="BE430" s="47" t="str">
        <f t="shared" si="14"/>
        <v>"Bairro"</v>
      </c>
    </row>
    <row r="431" spans="1:57" ht="6.65" customHeight="1" x14ac:dyDescent="0.4">
      <c r="A431" s="93">
        <v>431</v>
      </c>
      <c r="B431" s="74" t="s">
        <v>1227</v>
      </c>
      <c r="C431" s="44" t="s">
        <v>664</v>
      </c>
      <c r="D431" s="18" t="s">
        <v>744</v>
      </c>
      <c r="E431" s="48" t="s">
        <v>847</v>
      </c>
      <c r="F431" s="18" t="s">
        <v>820</v>
      </c>
      <c r="G431" s="48" t="s">
        <v>1054</v>
      </c>
      <c r="H431" s="18" t="s">
        <v>1062</v>
      </c>
      <c r="I431" s="48" t="s">
        <v>847</v>
      </c>
      <c r="J431" s="18" t="s">
        <v>744</v>
      </c>
      <c r="K431" s="48" t="s">
        <v>1067</v>
      </c>
      <c r="L431" s="18" t="s">
        <v>1</v>
      </c>
      <c r="M431" s="20" t="s">
        <v>1</v>
      </c>
      <c r="N431" s="46" t="s">
        <v>82</v>
      </c>
      <c r="O431" s="25" t="str">
        <f t="shared" si="15"/>
        <v>"Bairro N° B.036 RA.09 Vila.Isabel"</v>
      </c>
      <c r="P431" s="46" t="s">
        <v>1</v>
      </c>
      <c r="Q431" s="25" t="s">
        <v>1</v>
      </c>
      <c r="R431" s="46" t="s">
        <v>1</v>
      </c>
      <c r="S431" s="52" t="s">
        <v>1</v>
      </c>
      <c r="T431" s="46" t="s">
        <v>1</v>
      </c>
      <c r="U431" s="31" t="s">
        <v>1</v>
      </c>
      <c r="V431" s="46" t="s">
        <v>1</v>
      </c>
      <c r="W431" s="31" t="s">
        <v>1</v>
      </c>
      <c r="X431" s="46" t="s">
        <v>1</v>
      </c>
      <c r="Y431" s="31" t="s">
        <v>1</v>
      </c>
      <c r="Z431" s="46" t="s">
        <v>1</v>
      </c>
      <c r="AA431" s="31" t="s">
        <v>1</v>
      </c>
      <c r="AB431" s="46" t="s">
        <v>1</v>
      </c>
      <c r="AC431" s="47" t="s">
        <v>1</v>
      </c>
      <c r="AD431" s="36" t="s">
        <v>1</v>
      </c>
      <c r="AE431" s="51" t="s">
        <v>1</v>
      </c>
      <c r="AF431" s="36" t="s">
        <v>1</v>
      </c>
      <c r="AG431" s="51" t="s">
        <v>1</v>
      </c>
      <c r="AH431" s="36" t="s">
        <v>1</v>
      </c>
      <c r="AI431" s="51" t="s">
        <v>1</v>
      </c>
      <c r="AJ431" s="36" t="s">
        <v>1</v>
      </c>
      <c r="AK431" s="51" t="s">
        <v>1</v>
      </c>
      <c r="AL431" s="36" t="s">
        <v>1</v>
      </c>
      <c r="AM431" s="31" t="s">
        <v>1</v>
      </c>
      <c r="AN431" s="36" t="s">
        <v>1</v>
      </c>
      <c r="AO431" s="31" t="s">
        <v>1</v>
      </c>
      <c r="AP431" s="36" t="s">
        <v>1</v>
      </c>
      <c r="AQ431" s="51" t="s">
        <v>1</v>
      </c>
      <c r="AR431" s="36" t="s">
        <v>1</v>
      </c>
      <c r="AS431" s="47" t="s">
        <v>1</v>
      </c>
      <c r="AT431" s="36" t="s">
        <v>1</v>
      </c>
      <c r="AU431" s="47" t="s">
        <v>1</v>
      </c>
      <c r="AV431" s="36" t="s">
        <v>1</v>
      </c>
      <c r="AW431" s="47" t="s">
        <v>1</v>
      </c>
      <c r="AX431" s="36" t="s">
        <v>2065</v>
      </c>
      <c r="AY431" s="47" t="s">
        <v>2193</v>
      </c>
      <c r="AZ431" s="36" t="s">
        <v>1299</v>
      </c>
      <c r="BA431" s="47" t="s">
        <v>2193</v>
      </c>
      <c r="BB431" s="36" t="s">
        <v>2188</v>
      </c>
      <c r="BC431" s="47" t="s">
        <v>819</v>
      </c>
      <c r="BD431" s="36" t="s">
        <v>2189</v>
      </c>
      <c r="BE431" s="47" t="str">
        <f t="shared" si="14"/>
        <v>"Bairro"</v>
      </c>
    </row>
    <row r="432" spans="1:57" ht="6.65" customHeight="1" x14ac:dyDescent="0.4">
      <c r="A432" s="93">
        <v>432</v>
      </c>
      <c r="B432" s="74" t="s">
        <v>1228</v>
      </c>
      <c r="C432" s="44" t="s">
        <v>664</v>
      </c>
      <c r="D432" s="18" t="s">
        <v>744</v>
      </c>
      <c r="E432" s="48" t="s">
        <v>863</v>
      </c>
      <c r="F432" s="18" t="s">
        <v>820</v>
      </c>
      <c r="G432" s="48" t="s">
        <v>1055</v>
      </c>
      <c r="H432" s="18" t="s">
        <v>1062</v>
      </c>
      <c r="I432" s="48" t="s">
        <v>863</v>
      </c>
      <c r="J432" s="18" t="s">
        <v>744</v>
      </c>
      <c r="K432" s="48" t="s">
        <v>1075</v>
      </c>
      <c r="L432" s="18" t="s">
        <v>1</v>
      </c>
      <c r="M432" s="20" t="s">
        <v>1</v>
      </c>
      <c r="N432" s="46" t="s">
        <v>82</v>
      </c>
      <c r="O432" s="25" t="str">
        <f t="shared" si="15"/>
        <v>"Bairro N° B.162 RA.17 Vila.Kennedy"</v>
      </c>
      <c r="P432" s="46" t="s">
        <v>1</v>
      </c>
      <c r="Q432" s="25" t="s">
        <v>1</v>
      </c>
      <c r="R432" s="46" t="s">
        <v>1</v>
      </c>
      <c r="S432" s="52" t="s">
        <v>1</v>
      </c>
      <c r="T432" s="46" t="s">
        <v>1</v>
      </c>
      <c r="U432" s="31" t="s">
        <v>1</v>
      </c>
      <c r="V432" s="46" t="s">
        <v>1</v>
      </c>
      <c r="W432" s="31" t="s">
        <v>1</v>
      </c>
      <c r="X432" s="46" t="s">
        <v>1</v>
      </c>
      <c r="Y432" s="31" t="s">
        <v>1</v>
      </c>
      <c r="Z432" s="46" t="s">
        <v>1</v>
      </c>
      <c r="AA432" s="31" t="s">
        <v>1</v>
      </c>
      <c r="AB432" s="46" t="s">
        <v>1</v>
      </c>
      <c r="AC432" s="47" t="s">
        <v>1</v>
      </c>
      <c r="AD432" s="36" t="s">
        <v>1</v>
      </c>
      <c r="AE432" s="51" t="s">
        <v>1</v>
      </c>
      <c r="AF432" s="36" t="s">
        <v>1</v>
      </c>
      <c r="AG432" s="51" t="s">
        <v>1</v>
      </c>
      <c r="AH432" s="36" t="s">
        <v>1</v>
      </c>
      <c r="AI432" s="51" t="s">
        <v>1</v>
      </c>
      <c r="AJ432" s="36" t="s">
        <v>1</v>
      </c>
      <c r="AK432" s="51" t="s">
        <v>1</v>
      </c>
      <c r="AL432" s="36" t="s">
        <v>1</v>
      </c>
      <c r="AM432" s="31" t="s">
        <v>1</v>
      </c>
      <c r="AN432" s="36" t="s">
        <v>1</v>
      </c>
      <c r="AO432" s="31" t="s">
        <v>1</v>
      </c>
      <c r="AP432" s="36" t="s">
        <v>1</v>
      </c>
      <c r="AQ432" s="51" t="s">
        <v>1</v>
      </c>
      <c r="AR432" s="36" t="s">
        <v>1</v>
      </c>
      <c r="AS432" s="47" t="s">
        <v>1</v>
      </c>
      <c r="AT432" s="36" t="s">
        <v>1</v>
      </c>
      <c r="AU432" s="47" t="s">
        <v>1</v>
      </c>
      <c r="AV432" s="36" t="s">
        <v>1</v>
      </c>
      <c r="AW432" s="47" t="s">
        <v>1</v>
      </c>
      <c r="AX432" s="36" t="s">
        <v>2065</v>
      </c>
      <c r="AY432" s="47" t="s">
        <v>2193</v>
      </c>
      <c r="AZ432" s="36" t="s">
        <v>1299</v>
      </c>
      <c r="BA432" s="47" t="s">
        <v>2193</v>
      </c>
      <c r="BB432" s="36" t="s">
        <v>2188</v>
      </c>
      <c r="BC432" s="47" t="s">
        <v>819</v>
      </c>
      <c r="BD432" s="36" t="s">
        <v>2189</v>
      </c>
      <c r="BE432" s="47" t="str">
        <f t="shared" si="14"/>
        <v>"Bairro"</v>
      </c>
    </row>
    <row r="433" spans="1:57" ht="6.65" customHeight="1" x14ac:dyDescent="0.4">
      <c r="A433" s="93">
        <v>433</v>
      </c>
      <c r="B433" s="74" t="s">
        <v>1229</v>
      </c>
      <c r="C433" s="44" t="s">
        <v>664</v>
      </c>
      <c r="D433" s="18" t="s">
        <v>744</v>
      </c>
      <c r="E433" s="48" t="s">
        <v>857</v>
      </c>
      <c r="F433" s="18" t="s">
        <v>820</v>
      </c>
      <c r="G433" s="48" t="s">
        <v>1056</v>
      </c>
      <c r="H433" s="18" t="s">
        <v>1062</v>
      </c>
      <c r="I433" s="48" t="s">
        <v>857</v>
      </c>
      <c r="J433" s="18" t="s">
        <v>744</v>
      </c>
      <c r="K433" s="48" t="s">
        <v>1063</v>
      </c>
      <c r="L433" s="18" t="s">
        <v>1</v>
      </c>
      <c r="M433" s="20" t="s">
        <v>1</v>
      </c>
      <c r="N433" s="46" t="s">
        <v>82</v>
      </c>
      <c r="O433" s="25" t="str">
        <f t="shared" si="15"/>
        <v>"Bairro N° B.072 RA.14 Vila.Kosmos"</v>
      </c>
      <c r="P433" s="46" t="s">
        <v>1</v>
      </c>
      <c r="Q433" s="25" t="s">
        <v>1</v>
      </c>
      <c r="R433" s="46" t="s">
        <v>1</v>
      </c>
      <c r="S433" s="52" t="s">
        <v>1</v>
      </c>
      <c r="T433" s="46" t="s">
        <v>1</v>
      </c>
      <c r="U433" s="31" t="s">
        <v>1</v>
      </c>
      <c r="V433" s="46" t="s">
        <v>1</v>
      </c>
      <c r="W433" s="31" t="s">
        <v>1</v>
      </c>
      <c r="X433" s="46" t="s">
        <v>1</v>
      </c>
      <c r="Y433" s="31" t="s">
        <v>1</v>
      </c>
      <c r="Z433" s="46" t="s">
        <v>1</v>
      </c>
      <c r="AA433" s="31" t="s">
        <v>1</v>
      </c>
      <c r="AB433" s="46" t="s">
        <v>1</v>
      </c>
      <c r="AC433" s="47" t="s">
        <v>1</v>
      </c>
      <c r="AD433" s="36" t="s">
        <v>1</v>
      </c>
      <c r="AE433" s="51" t="s">
        <v>1</v>
      </c>
      <c r="AF433" s="36" t="s">
        <v>1</v>
      </c>
      <c r="AG433" s="51" t="s">
        <v>1</v>
      </c>
      <c r="AH433" s="36" t="s">
        <v>1</v>
      </c>
      <c r="AI433" s="51" t="s">
        <v>1</v>
      </c>
      <c r="AJ433" s="36" t="s">
        <v>1</v>
      </c>
      <c r="AK433" s="51" t="s">
        <v>1</v>
      </c>
      <c r="AL433" s="36" t="s">
        <v>1</v>
      </c>
      <c r="AM433" s="31" t="s">
        <v>1</v>
      </c>
      <c r="AN433" s="36" t="s">
        <v>1</v>
      </c>
      <c r="AO433" s="31" t="s">
        <v>1</v>
      </c>
      <c r="AP433" s="36" t="s">
        <v>1</v>
      </c>
      <c r="AQ433" s="51" t="s">
        <v>1</v>
      </c>
      <c r="AR433" s="36" t="s">
        <v>1</v>
      </c>
      <c r="AS433" s="47" t="s">
        <v>1</v>
      </c>
      <c r="AT433" s="36" t="s">
        <v>1</v>
      </c>
      <c r="AU433" s="47" t="s">
        <v>1</v>
      </c>
      <c r="AV433" s="36" t="s">
        <v>1</v>
      </c>
      <c r="AW433" s="47" t="s">
        <v>1</v>
      </c>
      <c r="AX433" s="36" t="s">
        <v>2065</v>
      </c>
      <c r="AY433" s="47" t="s">
        <v>2193</v>
      </c>
      <c r="AZ433" s="36" t="s">
        <v>1299</v>
      </c>
      <c r="BA433" s="47" t="s">
        <v>2193</v>
      </c>
      <c r="BB433" s="36" t="s">
        <v>2188</v>
      </c>
      <c r="BC433" s="47" t="s">
        <v>819</v>
      </c>
      <c r="BD433" s="36" t="s">
        <v>2189</v>
      </c>
      <c r="BE433" s="47" t="str">
        <f t="shared" si="14"/>
        <v>"Bairro"</v>
      </c>
    </row>
    <row r="434" spans="1:57" ht="6.65" customHeight="1" x14ac:dyDescent="0.4">
      <c r="A434" s="93">
        <v>434</v>
      </c>
      <c r="B434" s="74" t="s">
        <v>1230</v>
      </c>
      <c r="C434" s="44" t="s">
        <v>664</v>
      </c>
      <c r="D434" s="18" t="s">
        <v>744</v>
      </c>
      <c r="E434" s="48" t="s">
        <v>893</v>
      </c>
      <c r="F434" s="18" t="s">
        <v>820</v>
      </c>
      <c r="G434" s="48" t="s">
        <v>1057</v>
      </c>
      <c r="H434" s="18" t="s">
        <v>1062</v>
      </c>
      <c r="I434" s="48" t="s">
        <v>893</v>
      </c>
      <c r="J434" s="18" t="s">
        <v>744</v>
      </c>
      <c r="K434" s="48" t="s">
        <v>1075</v>
      </c>
      <c r="L434" s="18" t="s">
        <v>1</v>
      </c>
      <c r="M434" s="20" t="s">
        <v>1</v>
      </c>
      <c r="N434" s="46" t="s">
        <v>82</v>
      </c>
      <c r="O434" s="25" t="str">
        <f t="shared" si="15"/>
        <v>"Bairro N° B.135 RA.32 Vila.Militar"</v>
      </c>
      <c r="P434" s="46" t="s">
        <v>1</v>
      </c>
      <c r="Q434" s="25" t="s">
        <v>1</v>
      </c>
      <c r="R434" s="46" t="s">
        <v>1</v>
      </c>
      <c r="S434" s="52" t="s">
        <v>1</v>
      </c>
      <c r="T434" s="46" t="s">
        <v>1</v>
      </c>
      <c r="U434" s="31" t="s">
        <v>1</v>
      </c>
      <c r="V434" s="46" t="s">
        <v>1</v>
      </c>
      <c r="W434" s="31" t="s">
        <v>1</v>
      </c>
      <c r="X434" s="46" t="s">
        <v>1</v>
      </c>
      <c r="Y434" s="31" t="s">
        <v>1</v>
      </c>
      <c r="Z434" s="46" t="s">
        <v>1</v>
      </c>
      <c r="AA434" s="31" t="s">
        <v>1</v>
      </c>
      <c r="AB434" s="46" t="s">
        <v>1</v>
      </c>
      <c r="AC434" s="47" t="s">
        <v>1</v>
      </c>
      <c r="AD434" s="36" t="s">
        <v>1</v>
      </c>
      <c r="AE434" s="51" t="s">
        <v>1</v>
      </c>
      <c r="AF434" s="36" t="s">
        <v>1</v>
      </c>
      <c r="AG434" s="51" t="s">
        <v>1</v>
      </c>
      <c r="AH434" s="36" t="s">
        <v>1</v>
      </c>
      <c r="AI434" s="51" t="s">
        <v>1</v>
      </c>
      <c r="AJ434" s="36" t="s">
        <v>1</v>
      </c>
      <c r="AK434" s="51" t="s">
        <v>1</v>
      </c>
      <c r="AL434" s="36" t="s">
        <v>1</v>
      </c>
      <c r="AM434" s="31" t="s">
        <v>1</v>
      </c>
      <c r="AN434" s="36" t="s">
        <v>1</v>
      </c>
      <c r="AO434" s="31" t="s">
        <v>1</v>
      </c>
      <c r="AP434" s="36" t="s">
        <v>1</v>
      </c>
      <c r="AQ434" s="51" t="s">
        <v>1</v>
      </c>
      <c r="AR434" s="36" t="s">
        <v>1</v>
      </c>
      <c r="AS434" s="47" t="s">
        <v>1</v>
      </c>
      <c r="AT434" s="36" t="s">
        <v>1</v>
      </c>
      <c r="AU434" s="47" t="s">
        <v>1</v>
      </c>
      <c r="AV434" s="36" t="s">
        <v>1</v>
      </c>
      <c r="AW434" s="47" t="s">
        <v>1</v>
      </c>
      <c r="AX434" s="36" t="s">
        <v>2065</v>
      </c>
      <c r="AY434" s="47" t="s">
        <v>2193</v>
      </c>
      <c r="AZ434" s="36" t="s">
        <v>1299</v>
      </c>
      <c r="BA434" s="47" t="s">
        <v>2193</v>
      </c>
      <c r="BB434" s="36" t="s">
        <v>2188</v>
      </c>
      <c r="BC434" s="47" t="s">
        <v>819</v>
      </c>
      <c r="BD434" s="36" t="s">
        <v>2189</v>
      </c>
      <c r="BE434" s="47" t="str">
        <f t="shared" si="14"/>
        <v>"Bairro"</v>
      </c>
    </row>
    <row r="435" spans="1:57" ht="6.65" customHeight="1" x14ac:dyDescent="0.4">
      <c r="A435" s="93">
        <v>435</v>
      </c>
      <c r="B435" s="74" t="s">
        <v>1231</v>
      </c>
      <c r="C435" s="44" t="s">
        <v>664</v>
      </c>
      <c r="D435" s="18" t="s">
        <v>744</v>
      </c>
      <c r="E435" s="48" t="s">
        <v>861</v>
      </c>
      <c r="F435" s="18" t="s">
        <v>820</v>
      </c>
      <c r="G435" s="48" t="s">
        <v>1058</v>
      </c>
      <c r="H435" s="18" t="s">
        <v>1062</v>
      </c>
      <c r="I435" s="48" t="s">
        <v>861</v>
      </c>
      <c r="J435" s="18" t="s">
        <v>744</v>
      </c>
      <c r="K435" s="48" t="s">
        <v>1071</v>
      </c>
      <c r="L435" s="18" t="s">
        <v>1</v>
      </c>
      <c r="M435" s="20" t="s">
        <v>1</v>
      </c>
      <c r="N435" s="46" t="s">
        <v>82</v>
      </c>
      <c r="O435" s="25" t="str">
        <f t="shared" si="15"/>
        <v>"Bairro N° B.125 RA.16 Vila.Valqueire"</v>
      </c>
      <c r="P435" s="46" t="s">
        <v>1</v>
      </c>
      <c r="Q435" s="25" t="s">
        <v>1</v>
      </c>
      <c r="R435" s="46" t="s">
        <v>1</v>
      </c>
      <c r="S435" s="52" t="s">
        <v>1</v>
      </c>
      <c r="T435" s="46" t="s">
        <v>1</v>
      </c>
      <c r="U435" s="31" t="s">
        <v>1</v>
      </c>
      <c r="V435" s="46" t="s">
        <v>1</v>
      </c>
      <c r="W435" s="31" t="s">
        <v>1</v>
      </c>
      <c r="X435" s="46" t="s">
        <v>1</v>
      </c>
      <c r="Y435" s="31" t="s">
        <v>1</v>
      </c>
      <c r="Z435" s="46" t="s">
        <v>1</v>
      </c>
      <c r="AA435" s="31" t="s">
        <v>1</v>
      </c>
      <c r="AB435" s="46" t="s">
        <v>1</v>
      </c>
      <c r="AC435" s="47" t="s">
        <v>1</v>
      </c>
      <c r="AD435" s="36" t="s">
        <v>1</v>
      </c>
      <c r="AE435" s="51" t="s">
        <v>1</v>
      </c>
      <c r="AF435" s="36" t="s">
        <v>1</v>
      </c>
      <c r="AG435" s="51" t="s">
        <v>1</v>
      </c>
      <c r="AH435" s="36" t="s">
        <v>1</v>
      </c>
      <c r="AI435" s="51" t="s">
        <v>1</v>
      </c>
      <c r="AJ435" s="36" t="s">
        <v>1</v>
      </c>
      <c r="AK435" s="51" t="s">
        <v>1</v>
      </c>
      <c r="AL435" s="36" t="s">
        <v>1</v>
      </c>
      <c r="AM435" s="31" t="s">
        <v>1</v>
      </c>
      <c r="AN435" s="36" t="s">
        <v>1</v>
      </c>
      <c r="AO435" s="31" t="s">
        <v>1</v>
      </c>
      <c r="AP435" s="36" t="s">
        <v>1</v>
      </c>
      <c r="AQ435" s="51" t="s">
        <v>1</v>
      </c>
      <c r="AR435" s="36" t="s">
        <v>1</v>
      </c>
      <c r="AS435" s="47" t="s">
        <v>1</v>
      </c>
      <c r="AT435" s="36" t="s">
        <v>1</v>
      </c>
      <c r="AU435" s="47" t="s">
        <v>1</v>
      </c>
      <c r="AV435" s="36" t="s">
        <v>1</v>
      </c>
      <c r="AW435" s="47" t="s">
        <v>1</v>
      </c>
      <c r="AX435" s="36" t="s">
        <v>2065</v>
      </c>
      <c r="AY435" s="47" t="s">
        <v>2193</v>
      </c>
      <c r="AZ435" s="36" t="s">
        <v>1299</v>
      </c>
      <c r="BA435" s="47" t="s">
        <v>2193</v>
      </c>
      <c r="BB435" s="36" t="s">
        <v>2188</v>
      </c>
      <c r="BC435" s="47" t="s">
        <v>819</v>
      </c>
      <c r="BD435" s="36" t="s">
        <v>2189</v>
      </c>
      <c r="BE435" s="47" t="str">
        <f t="shared" si="14"/>
        <v>"Bairro"</v>
      </c>
    </row>
    <row r="436" spans="1:57" ht="6.65" customHeight="1" x14ac:dyDescent="0.4">
      <c r="A436" s="93">
        <v>436</v>
      </c>
      <c r="B436" s="74" t="s">
        <v>1232</v>
      </c>
      <c r="C436" s="44" t="s">
        <v>664</v>
      </c>
      <c r="D436" s="18" t="s">
        <v>744</v>
      </c>
      <c r="E436" s="48" t="s">
        <v>857</v>
      </c>
      <c r="F436" s="18" t="s">
        <v>820</v>
      </c>
      <c r="G436" s="48" t="s">
        <v>1059</v>
      </c>
      <c r="H436" s="18" t="s">
        <v>1062</v>
      </c>
      <c r="I436" s="48" t="s">
        <v>857</v>
      </c>
      <c r="J436" s="18" t="s">
        <v>744</v>
      </c>
      <c r="K436" s="48" t="s">
        <v>1063</v>
      </c>
      <c r="L436" s="18" t="s">
        <v>1</v>
      </c>
      <c r="M436" s="20" t="s">
        <v>1</v>
      </c>
      <c r="N436" s="46" t="s">
        <v>82</v>
      </c>
      <c r="O436" s="25" t="str">
        <f t="shared" si="15"/>
        <v>"Bairro N° B.075 RA.14 Vista.Alegre"</v>
      </c>
      <c r="P436" s="46" t="s">
        <v>1</v>
      </c>
      <c r="Q436" s="25" t="s">
        <v>1</v>
      </c>
      <c r="R436" s="46" t="s">
        <v>1</v>
      </c>
      <c r="S436" s="52" t="s">
        <v>1</v>
      </c>
      <c r="T436" s="46" t="s">
        <v>1</v>
      </c>
      <c r="U436" s="31" t="s">
        <v>1</v>
      </c>
      <c r="V436" s="46" t="s">
        <v>1</v>
      </c>
      <c r="W436" s="31" t="s">
        <v>1</v>
      </c>
      <c r="X436" s="46" t="s">
        <v>1</v>
      </c>
      <c r="Y436" s="31" t="s">
        <v>1</v>
      </c>
      <c r="Z436" s="46" t="s">
        <v>1</v>
      </c>
      <c r="AA436" s="31" t="s">
        <v>1</v>
      </c>
      <c r="AB436" s="46" t="s">
        <v>1</v>
      </c>
      <c r="AC436" s="47" t="s">
        <v>1</v>
      </c>
      <c r="AD436" s="36" t="s">
        <v>1</v>
      </c>
      <c r="AE436" s="51" t="s">
        <v>1</v>
      </c>
      <c r="AF436" s="36" t="s">
        <v>1</v>
      </c>
      <c r="AG436" s="51" t="s">
        <v>1</v>
      </c>
      <c r="AH436" s="36" t="s">
        <v>1</v>
      </c>
      <c r="AI436" s="51" t="s">
        <v>1</v>
      </c>
      <c r="AJ436" s="36" t="s">
        <v>1</v>
      </c>
      <c r="AK436" s="51" t="s">
        <v>1</v>
      </c>
      <c r="AL436" s="36" t="s">
        <v>1</v>
      </c>
      <c r="AM436" s="31" t="s">
        <v>1</v>
      </c>
      <c r="AN436" s="36" t="s">
        <v>1</v>
      </c>
      <c r="AO436" s="31" t="s">
        <v>1</v>
      </c>
      <c r="AP436" s="36" t="s">
        <v>1</v>
      </c>
      <c r="AQ436" s="51" t="s">
        <v>1</v>
      </c>
      <c r="AR436" s="36" t="s">
        <v>1</v>
      </c>
      <c r="AS436" s="47" t="s">
        <v>1</v>
      </c>
      <c r="AT436" s="36" t="s">
        <v>1</v>
      </c>
      <c r="AU436" s="47" t="s">
        <v>1</v>
      </c>
      <c r="AV436" s="36" t="s">
        <v>1</v>
      </c>
      <c r="AW436" s="47" t="s">
        <v>1</v>
      </c>
      <c r="AX436" s="36" t="s">
        <v>2065</v>
      </c>
      <c r="AY436" s="47" t="s">
        <v>2193</v>
      </c>
      <c r="AZ436" s="36" t="s">
        <v>1299</v>
      </c>
      <c r="BA436" s="47" t="s">
        <v>2193</v>
      </c>
      <c r="BB436" s="36" t="s">
        <v>2188</v>
      </c>
      <c r="BC436" s="47" t="s">
        <v>819</v>
      </c>
      <c r="BD436" s="36" t="s">
        <v>2189</v>
      </c>
      <c r="BE436" s="47" t="str">
        <f t="shared" si="14"/>
        <v>"Bairro"</v>
      </c>
    </row>
    <row r="437" spans="1:57" ht="6.65" customHeight="1" x14ac:dyDescent="0.4">
      <c r="A437" s="93">
        <v>437</v>
      </c>
      <c r="B437" s="74" t="s">
        <v>1233</v>
      </c>
      <c r="C437" s="44" t="s">
        <v>664</v>
      </c>
      <c r="D437" s="18" t="s">
        <v>744</v>
      </c>
      <c r="E437" s="48" t="s">
        <v>869</v>
      </c>
      <c r="F437" s="18" t="s">
        <v>820</v>
      </c>
      <c r="G437" s="48" t="s">
        <v>1060</v>
      </c>
      <c r="H437" s="18" t="s">
        <v>1062</v>
      </c>
      <c r="I437" s="48" t="s">
        <v>869</v>
      </c>
      <c r="J437" s="18" t="s">
        <v>744</v>
      </c>
      <c r="K437" s="48" t="s">
        <v>1073</v>
      </c>
      <c r="L437" s="18" t="s">
        <v>1</v>
      </c>
      <c r="M437" s="20" t="s">
        <v>1</v>
      </c>
      <c r="N437" s="46" t="s">
        <v>82</v>
      </c>
      <c r="O437" s="25" t="str">
        <f t="shared" si="15"/>
        <v>"Bairro N° B.092 RA.20 Zumbi"</v>
      </c>
      <c r="P437" s="46" t="s">
        <v>1</v>
      </c>
      <c r="Q437" s="25" t="s">
        <v>1</v>
      </c>
      <c r="R437" s="46" t="s">
        <v>1</v>
      </c>
      <c r="S437" s="52" t="s">
        <v>1</v>
      </c>
      <c r="T437" s="46" t="s">
        <v>1</v>
      </c>
      <c r="U437" s="31" t="s">
        <v>1</v>
      </c>
      <c r="V437" s="46" t="s">
        <v>1</v>
      </c>
      <c r="W437" s="31" t="s">
        <v>1</v>
      </c>
      <c r="X437" s="46" t="s">
        <v>1</v>
      </c>
      <c r="Y437" s="31" t="s">
        <v>1</v>
      </c>
      <c r="Z437" s="46" t="s">
        <v>1</v>
      </c>
      <c r="AA437" s="31" t="s">
        <v>1</v>
      </c>
      <c r="AB437" s="46" t="s">
        <v>1</v>
      </c>
      <c r="AC437" s="47" t="s">
        <v>1</v>
      </c>
      <c r="AD437" s="36" t="s">
        <v>1</v>
      </c>
      <c r="AE437" s="51" t="s">
        <v>1</v>
      </c>
      <c r="AF437" s="36" t="s">
        <v>1</v>
      </c>
      <c r="AG437" s="51" t="s">
        <v>1</v>
      </c>
      <c r="AH437" s="36" t="s">
        <v>1</v>
      </c>
      <c r="AI437" s="51" t="s">
        <v>1</v>
      </c>
      <c r="AJ437" s="36" t="s">
        <v>1</v>
      </c>
      <c r="AK437" s="51" t="s">
        <v>1</v>
      </c>
      <c r="AL437" s="36" t="s">
        <v>1</v>
      </c>
      <c r="AM437" s="31" t="s">
        <v>1</v>
      </c>
      <c r="AN437" s="36" t="s">
        <v>1</v>
      </c>
      <c r="AO437" s="31" t="s">
        <v>1</v>
      </c>
      <c r="AP437" s="36" t="s">
        <v>1</v>
      </c>
      <c r="AQ437" s="51" t="s">
        <v>1</v>
      </c>
      <c r="AR437" s="36" t="s">
        <v>1</v>
      </c>
      <c r="AS437" s="47" t="s">
        <v>1</v>
      </c>
      <c r="AT437" s="36" t="s">
        <v>1</v>
      </c>
      <c r="AU437" s="47" t="s">
        <v>1</v>
      </c>
      <c r="AV437" s="36" t="s">
        <v>1</v>
      </c>
      <c r="AW437" s="47" t="s">
        <v>1</v>
      </c>
      <c r="AX437" s="36" t="s">
        <v>2065</v>
      </c>
      <c r="AY437" s="47" t="s">
        <v>2193</v>
      </c>
      <c r="AZ437" s="36" t="s">
        <v>1299</v>
      </c>
      <c r="BA437" s="47" t="s">
        <v>2193</v>
      </c>
      <c r="BB437" s="36" t="s">
        <v>2188</v>
      </c>
      <c r="BC437" s="47" t="s">
        <v>819</v>
      </c>
      <c r="BD437" s="36" t="s">
        <v>2189</v>
      </c>
      <c r="BE437" s="47" t="str">
        <f t="shared" si="14"/>
        <v>"Bairro"</v>
      </c>
    </row>
    <row r="438" spans="1:57" ht="6.65" customHeight="1" x14ac:dyDescent="0.4">
      <c r="A438" s="93">
        <v>438</v>
      </c>
      <c r="B438" s="76" t="s">
        <v>1234</v>
      </c>
      <c r="C438" s="44" t="s">
        <v>668</v>
      </c>
      <c r="D438" s="18" t="s">
        <v>744</v>
      </c>
      <c r="E438" s="48" t="s">
        <v>753</v>
      </c>
      <c r="F438" s="18" t="s">
        <v>1</v>
      </c>
      <c r="G438" s="20" t="s">
        <v>1</v>
      </c>
      <c r="H438" s="18" t="s">
        <v>1</v>
      </c>
      <c r="I438" s="20" t="s">
        <v>1</v>
      </c>
      <c r="J438" s="18" t="s">
        <v>1</v>
      </c>
      <c r="K438" s="20" t="s">
        <v>1</v>
      </c>
      <c r="L438" s="18" t="s">
        <v>1</v>
      </c>
      <c r="M438" s="20" t="s">
        <v>1</v>
      </c>
      <c r="N438" s="46" t="s">
        <v>82</v>
      </c>
      <c r="O438" s="25" t="s">
        <v>1235</v>
      </c>
      <c r="P438" s="46" t="s">
        <v>1</v>
      </c>
      <c r="Q438" s="25" t="s">
        <v>1</v>
      </c>
      <c r="R438" s="46" t="s">
        <v>1</v>
      </c>
      <c r="S438" s="52" t="s">
        <v>1</v>
      </c>
      <c r="T438" s="46" t="s">
        <v>1</v>
      </c>
      <c r="U438" s="31" t="s">
        <v>1</v>
      </c>
      <c r="V438" s="46" t="s">
        <v>1</v>
      </c>
      <c r="W438" s="31" t="s">
        <v>1</v>
      </c>
      <c r="X438" s="46" t="s">
        <v>1</v>
      </c>
      <c r="Y438" s="31" t="s">
        <v>1</v>
      </c>
      <c r="Z438" s="46" t="s">
        <v>1</v>
      </c>
      <c r="AA438" s="31" t="s">
        <v>1</v>
      </c>
      <c r="AB438" s="46" t="s">
        <v>1</v>
      </c>
      <c r="AC438" s="47" t="s">
        <v>1</v>
      </c>
      <c r="AD438" s="36" t="s">
        <v>1</v>
      </c>
      <c r="AE438" s="51" t="s">
        <v>1</v>
      </c>
      <c r="AF438" s="36" t="s">
        <v>1</v>
      </c>
      <c r="AG438" s="51" t="s">
        <v>1</v>
      </c>
      <c r="AH438" s="36" t="s">
        <v>1</v>
      </c>
      <c r="AI438" s="51" t="s">
        <v>1</v>
      </c>
      <c r="AJ438" s="36" t="s">
        <v>1</v>
      </c>
      <c r="AK438" s="51" t="s">
        <v>1</v>
      </c>
      <c r="AL438" s="36" t="s">
        <v>1</v>
      </c>
      <c r="AM438" s="31" t="s">
        <v>1</v>
      </c>
      <c r="AN438" s="36" t="s">
        <v>1</v>
      </c>
      <c r="AO438" s="31" t="s">
        <v>1</v>
      </c>
      <c r="AP438" s="36" t="s">
        <v>1</v>
      </c>
      <c r="AQ438" s="51" t="s">
        <v>1</v>
      </c>
      <c r="AR438" s="36" t="s">
        <v>1</v>
      </c>
      <c r="AS438" s="47" t="s">
        <v>1</v>
      </c>
      <c r="AT438" s="36" t="s">
        <v>1</v>
      </c>
      <c r="AU438" s="47" t="s">
        <v>1</v>
      </c>
      <c r="AV438" s="36" t="s">
        <v>1</v>
      </c>
      <c r="AW438" s="47" t="s">
        <v>1</v>
      </c>
      <c r="AX438" s="36" t="s">
        <v>2065</v>
      </c>
      <c r="AY438" s="47" t="s">
        <v>2193</v>
      </c>
      <c r="AZ438" s="36" t="s">
        <v>1299</v>
      </c>
      <c r="BA438" s="47" t="s">
        <v>2193</v>
      </c>
      <c r="BB438" s="36" t="s">
        <v>2188</v>
      </c>
      <c r="BC438" s="47" t="s">
        <v>819</v>
      </c>
      <c r="BD438" s="36" t="s">
        <v>2189</v>
      </c>
      <c r="BE438" s="47" t="str">
        <f t="shared" si="14"/>
        <v>"Macrozona"</v>
      </c>
    </row>
    <row r="439" spans="1:57" ht="6.65" customHeight="1" x14ac:dyDescent="0.4">
      <c r="A439" s="93">
        <v>439</v>
      </c>
      <c r="B439" s="76" t="s">
        <v>1236</v>
      </c>
      <c r="C439" s="44" t="s">
        <v>668</v>
      </c>
      <c r="D439" s="18" t="s">
        <v>744</v>
      </c>
      <c r="E439" s="48" t="s">
        <v>753</v>
      </c>
      <c r="F439" s="18" t="s">
        <v>1</v>
      </c>
      <c r="G439" s="20" t="s">
        <v>1</v>
      </c>
      <c r="H439" s="18" t="s">
        <v>1</v>
      </c>
      <c r="I439" s="20" t="s">
        <v>1</v>
      </c>
      <c r="J439" s="18" t="s">
        <v>1</v>
      </c>
      <c r="K439" s="20" t="s">
        <v>1</v>
      </c>
      <c r="L439" s="18" t="s">
        <v>1</v>
      </c>
      <c r="M439" s="20" t="s">
        <v>1</v>
      </c>
      <c r="N439" s="46" t="s">
        <v>82</v>
      </c>
      <c r="O439" s="25" t="s">
        <v>1237</v>
      </c>
      <c r="P439" s="46" t="s">
        <v>1</v>
      </c>
      <c r="Q439" s="25" t="s">
        <v>1</v>
      </c>
      <c r="R439" s="46" t="s">
        <v>1</v>
      </c>
      <c r="S439" s="52" t="s">
        <v>1</v>
      </c>
      <c r="T439" s="46" t="s">
        <v>1</v>
      </c>
      <c r="U439" s="31" t="s">
        <v>1</v>
      </c>
      <c r="V439" s="46" t="s">
        <v>1</v>
      </c>
      <c r="W439" s="31" t="s">
        <v>1</v>
      </c>
      <c r="X439" s="46" t="s">
        <v>1</v>
      </c>
      <c r="Y439" s="31" t="s">
        <v>1</v>
      </c>
      <c r="Z439" s="46" t="s">
        <v>1</v>
      </c>
      <c r="AA439" s="31" t="s">
        <v>1</v>
      </c>
      <c r="AB439" s="46" t="s">
        <v>1</v>
      </c>
      <c r="AC439" s="47" t="s">
        <v>1</v>
      </c>
      <c r="AD439" s="36" t="s">
        <v>1</v>
      </c>
      <c r="AE439" s="51" t="s">
        <v>1</v>
      </c>
      <c r="AF439" s="36" t="s">
        <v>1</v>
      </c>
      <c r="AG439" s="51" t="s">
        <v>1</v>
      </c>
      <c r="AH439" s="36" t="s">
        <v>1</v>
      </c>
      <c r="AI439" s="51" t="s">
        <v>1</v>
      </c>
      <c r="AJ439" s="36" t="s">
        <v>1</v>
      </c>
      <c r="AK439" s="51" t="s">
        <v>1</v>
      </c>
      <c r="AL439" s="36" t="s">
        <v>1</v>
      </c>
      <c r="AM439" s="31" t="s">
        <v>1</v>
      </c>
      <c r="AN439" s="36" t="s">
        <v>1</v>
      </c>
      <c r="AO439" s="31" t="s">
        <v>1</v>
      </c>
      <c r="AP439" s="36" t="s">
        <v>1</v>
      </c>
      <c r="AQ439" s="51" t="s">
        <v>1</v>
      </c>
      <c r="AR439" s="36" t="s">
        <v>1</v>
      </c>
      <c r="AS439" s="47" t="s">
        <v>1</v>
      </c>
      <c r="AT439" s="36" t="s">
        <v>1</v>
      </c>
      <c r="AU439" s="47" t="s">
        <v>1</v>
      </c>
      <c r="AV439" s="36" t="s">
        <v>1</v>
      </c>
      <c r="AW439" s="47" t="s">
        <v>1</v>
      </c>
      <c r="AX439" s="36" t="s">
        <v>2065</v>
      </c>
      <c r="AY439" s="47" t="s">
        <v>2193</v>
      </c>
      <c r="AZ439" s="36" t="s">
        <v>1299</v>
      </c>
      <c r="BA439" s="47" t="s">
        <v>2193</v>
      </c>
      <c r="BB439" s="36" t="s">
        <v>2188</v>
      </c>
      <c r="BC439" s="47" t="s">
        <v>819</v>
      </c>
      <c r="BD439" s="36" t="s">
        <v>2189</v>
      </c>
      <c r="BE439" s="47" t="str">
        <f t="shared" si="14"/>
        <v>"Macrozona"</v>
      </c>
    </row>
    <row r="440" spans="1:57" ht="6.65" customHeight="1" x14ac:dyDescent="0.4">
      <c r="A440" s="93">
        <v>440</v>
      </c>
      <c r="B440" s="76" t="s">
        <v>1238</v>
      </c>
      <c r="C440" s="44" t="s">
        <v>668</v>
      </c>
      <c r="D440" s="18" t="s">
        <v>744</v>
      </c>
      <c r="E440" s="48" t="s">
        <v>753</v>
      </c>
      <c r="F440" s="18" t="s">
        <v>1</v>
      </c>
      <c r="G440" s="20" t="s">
        <v>1</v>
      </c>
      <c r="H440" s="18" t="s">
        <v>1</v>
      </c>
      <c r="I440" s="20" t="s">
        <v>1</v>
      </c>
      <c r="J440" s="18" t="s">
        <v>1</v>
      </c>
      <c r="K440" s="20" t="s">
        <v>1</v>
      </c>
      <c r="L440" s="18" t="s">
        <v>1</v>
      </c>
      <c r="M440" s="20" t="s">
        <v>1</v>
      </c>
      <c r="N440" s="46" t="s">
        <v>82</v>
      </c>
      <c r="O440" s="25" t="s">
        <v>1239</v>
      </c>
      <c r="P440" s="46" t="s">
        <v>1</v>
      </c>
      <c r="Q440" s="25" t="s">
        <v>1</v>
      </c>
      <c r="R440" s="46" t="s">
        <v>1</v>
      </c>
      <c r="S440" s="52" t="s">
        <v>1</v>
      </c>
      <c r="T440" s="46" t="s">
        <v>1</v>
      </c>
      <c r="U440" s="31" t="s">
        <v>1</v>
      </c>
      <c r="V440" s="46" t="s">
        <v>1</v>
      </c>
      <c r="W440" s="31" t="s">
        <v>1</v>
      </c>
      <c r="X440" s="46" t="s">
        <v>1</v>
      </c>
      <c r="Y440" s="31" t="s">
        <v>1</v>
      </c>
      <c r="Z440" s="46" t="s">
        <v>1</v>
      </c>
      <c r="AA440" s="31" t="s">
        <v>1</v>
      </c>
      <c r="AB440" s="46" t="s">
        <v>1</v>
      </c>
      <c r="AC440" s="47" t="s">
        <v>1</v>
      </c>
      <c r="AD440" s="36" t="s">
        <v>1</v>
      </c>
      <c r="AE440" s="51" t="s">
        <v>1</v>
      </c>
      <c r="AF440" s="36" t="s">
        <v>1</v>
      </c>
      <c r="AG440" s="51" t="s">
        <v>1</v>
      </c>
      <c r="AH440" s="36" t="s">
        <v>1</v>
      </c>
      <c r="AI440" s="51" t="s">
        <v>1</v>
      </c>
      <c r="AJ440" s="36" t="s">
        <v>1</v>
      </c>
      <c r="AK440" s="51" t="s">
        <v>1</v>
      </c>
      <c r="AL440" s="36" t="s">
        <v>1</v>
      </c>
      <c r="AM440" s="31" t="s">
        <v>1</v>
      </c>
      <c r="AN440" s="36" t="s">
        <v>1</v>
      </c>
      <c r="AO440" s="31" t="s">
        <v>1</v>
      </c>
      <c r="AP440" s="36" t="s">
        <v>1</v>
      </c>
      <c r="AQ440" s="51" t="s">
        <v>1</v>
      </c>
      <c r="AR440" s="36" t="s">
        <v>1</v>
      </c>
      <c r="AS440" s="47" t="s">
        <v>1</v>
      </c>
      <c r="AT440" s="36" t="s">
        <v>1</v>
      </c>
      <c r="AU440" s="47" t="s">
        <v>1</v>
      </c>
      <c r="AV440" s="36" t="s">
        <v>1</v>
      </c>
      <c r="AW440" s="47" t="s">
        <v>1</v>
      </c>
      <c r="AX440" s="36" t="s">
        <v>2065</v>
      </c>
      <c r="AY440" s="47" t="s">
        <v>2193</v>
      </c>
      <c r="AZ440" s="36" t="s">
        <v>1299</v>
      </c>
      <c r="BA440" s="47" t="s">
        <v>2193</v>
      </c>
      <c r="BB440" s="36" t="s">
        <v>2188</v>
      </c>
      <c r="BC440" s="47" t="s">
        <v>819</v>
      </c>
      <c r="BD440" s="36" t="s">
        <v>2189</v>
      </c>
      <c r="BE440" s="47" t="str">
        <f t="shared" si="14"/>
        <v>"Macrozona"</v>
      </c>
    </row>
    <row r="441" spans="1:57" ht="6.65" customHeight="1" x14ac:dyDescent="0.4">
      <c r="A441" s="93">
        <v>441</v>
      </c>
      <c r="B441" s="76" t="s">
        <v>1240</v>
      </c>
      <c r="C441" s="44" t="s">
        <v>668</v>
      </c>
      <c r="D441" s="18" t="s">
        <v>744</v>
      </c>
      <c r="E441" s="48" t="s">
        <v>753</v>
      </c>
      <c r="F441" s="18" t="s">
        <v>1</v>
      </c>
      <c r="G441" s="20" t="s">
        <v>1</v>
      </c>
      <c r="H441" s="18" t="s">
        <v>1</v>
      </c>
      <c r="I441" s="20" t="s">
        <v>1</v>
      </c>
      <c r="J441" s="18" t="s">
        <v>1</v>
      </c>
      <c r="K441" s="20" t="s">
        <v>1</v>
      </c>
      <c r="L441" s="18" t="s">
        <v>1</v>
      </c>
      <c r="M441" s="20" t="s">
        <v>1</v>
      </c>
      <c r="N441" s="46" t="s">
        <v>82</v>
      </c>
      <c r="O441" s="25" t="s">
        <v>1241</v>
      </c>
      <c r="P441" s="46" t="s">
        <v>1</v>
      </c>
      <c r="Q441" s="25" t="s">
        <v>1</v>
      </c>
      <c r="R441" s="46" t="s">
        <v>1</v>
      </c>
      <c r="S441" s="52" t="s">
        <v>1</v>
      </c>
      <c r="T441" s="46" t="s">
        <v>1</v>
      </c>
      <c r="U441" s="31" t="s">
        <v>1</v>
      </c>
      <c r="V441" s="46" t="s">
        <v>1</v>
      </c>
      <c r="W441" s="31" t="s">
        <v>1</v>
      </c>
      <c r="X441" s="46" t="s">
        <v>1</v>
      </c>
      <c r="Y441" s="31" t="s">
        <v>1</v>
      </c>
      <c r="Z441" s="46" t="s">
        <v>1</v>
      </c>
      <c r="AA441" s="31" t="s">
        <v>1</v>
      </c>
      <c r="AB441" s="46" t="s">
        <v>1</v>
      </c>
      <c r="AC441" s="47" t="s">
        <v>1</v>
      </c>
      <c r="AD441" s="36" t="s">
        <v>1</v>
      </c>
      <c r="AE441" s="51" t="s">
        <v>1</v>
      </c>
      <c r="AF441" s="36" t="s">
        <v>1</v>
      </c>
      <c r="AG441" s="51" t="s">
        <v>1</v>
      </c>
      <c r="AH441" s="36" t="s">
        <v>1</v>
      </c>
      <c r="AI441" s="51" t="s">
        <v>1</v>
      </c>
      <c r="AJ441" s="36" t="s">
        <v>1</v>
      </c>
      <c r="AK441" s="51" t="s">
        <v>1</v>
      </c>
      <c r="AL441" s="36" t="s">
        <v>1</v>
      </c>
      <c r="AM441" s="31" t="s">
        <v>1</v>
      </c>
      <c r="AN441" s="36" t="s">
        <v>1</v>
      </c>
      <c r="AO441" s="31" t="s">
        <v>1</v>
      </c>
      <c r="AP441" s="36" t="s">
        <v>1</v>
      </c>
      <c r="AQ441" s="51" t="s">
        <v>1</v>
      </c>
      <c r="AR441" s="36" t="s">
        <v>1</v>
      </c>
      <c r="AS441" s="47" t="s">
        <v>1</v>
      </c>
      <c r="AT441" s="36" t="s">
        <v>1</v>
      </c>
      <c r="AU441" s="47" t="s">
        <v>1</v>
      </c>
      <c r="AV441" s="36" t="s">
        <v>1</v>
      </c>
      <c r="AW441" s="47" t="s">
        <v>1</v>
      </c>
      <c r="AX441" s="36" t="s">
        <v>2065</v>
      </c>
      <c r="AY441" s="47" t="s">
        <v>2193</v>
      </c>
      <c r="AZ441" s="36" t="s">
        <v>1299</v>
      </c>
      <c r="BA441" s="47" t="s">
        <v>2193</v>
      </c>
      <c r="BB441" s="36" t="s">
        <v>2188</v>
      </c>
      <c r="BC441" s="47" t="s">
        <v>819</v>
      </c>
      <c r="BD441" s="36" t="s">
        <v>2189</v>
      </c>
      <c r="BE441" s="47" t="str">
        <f t="shared" si="14"/>
        <v>"Macrozona"</v>
      </c>
    </row>
    <row r="442" spans="1:57" ht="6.65" customHeight="1" x14ac:dyDescent="0.4">
      <c r="A442" s="93">
        <v>442</v>
      </c>
      <c r="B442" s="76" t="s">
        <v>1242</v>
      </c>
      <c r="C442" s="44" t="s">
        <v>668</v>
      </c>
      <c r="D442" s="18" t="s">
        <v>744</v>
      </c>
      <c r="E442" s="48" t="s">
        <v>753</v>
      </c>
      <c r="F442" s="18" t="s">
        <v>1</v>
      </c>
      <c r="G442" s="20" t="s">
        <v>1</v>
      </c>
      <c r="H442" s="18" t="s">
        <v>1</v>
      </c>
      <c r="I442" s="20" t="s">
        <v>1</v>
      </c>
      <c r="J442" s="18" t="s">
        <v>1</v>
      </c>
      <c r="K442" s="20" t="s">
        <v>1</v>
      </c>
      <c r="L442" s="18" t="s">
        <v>1</v>
      </c>
      <c r="M442" s="20" t="s">
        <v>1</v>
      </c>
      <c r="N442" s="46" t="s">
        <v>82</v>
      </c>
      <c r="O442" s="25" t="s">
        <v>1243</v>
      </c>
      <c r="P442" s="46" t="s">
        <v>1</v>
      </c>
      <c r="Q442" s="25" t="s">
        <v>1</v>
      </c>
      <c r="R442" s="46" t="s">
        <v>1</v>
      </c>
      <c r="S442" s="52" t="s">
        <v>1</v>
      </c>
      <c r="T442" s="46" t="s">
        <v>1</v>
      </c>
      <c r="U442" s="31" t="s">
        <v>1</v>
      </c>
      <c r="V442" s="46" t="s">
        <v>1</v>
      </c>
      <c r="W442" s="31" t="s">
        <v>1</v>
      </c>
      <c r="X442" s="46" t="s">
        <v>1</v>
      </c>
      <c r="Y442" s="31" t="s">
        <v>1</v>
      </c>
      <c r="Z442" s="46" t="s">
        <v>1</v>
      </c>
      <c r="AA442" s="31" t="s">
        <v>1</v>
      </c>
      <c r="AB442" s="46" t="s">
        <v>1</v>
      </c>
      <c r="AC442" s="47" t="s">
        <v>1</v>
      </c>
      <c r="AD442" s="36" t="s">
        <v>1</v>
      </c>
      <c r="AE442" s="51" t="s">
        <v>1</v>
      </c>
      <c r="AF442" s="36" t="s">
        <v>1</v>
      </c>
      <c r="AG442" s="51" t="s">
        <v>1</v>
      </c>
      <c r="AH442" s="36" t="s">
        <v>1</v>
      </c>
      <c r="AI442" s="51" t="s">
        <v>1</v>
      </c>
      <c r="AJ442" s="36" t="s">
        <v>1</v>
      </c>
      <c r="AK442" s="51" t="s">
        <v>1</v>
      </c>
      <c r="AL442" s="36" t="s">
        <v>1</v>
      </c>
      <c r="AM442" s="31" t="s">
        <v>1</v>
      </c>
      <c r="AN442" s="36" t="s">
        <v>1</v>
      </c>
      <c r="AO442" s="31" t="s">
        <v>1</v>
      </c>
      <c r="AP442" s="36" t="s">
        <v>1</v>
      </c>
      <c r="AQ442" s="51" t="s">
        <v>1</v>
      </c>
      <c r="AR442" s="36" t="s">
        <v>1</v>
      </c>
      <c r="AS442" s="47" t="s">
        <v>1</v>
      </c>
      <c r="AT442" s="36" t="s">
        <v>1</v>
      </c>
      <c r="AU442" s="47" t="s">
        <v>1</v>
      </c>
      <c r="AV442" s="36" t="s">
        <v>1</v>
      </c>
      <c r="AW442" s="47" t="s">
        <v>1</v>
      </c>
      <c r="AX442" s="36" t="s">
        <v>2065</v>
      </c>
      <c r="AY442" s="47" t="s">
        <v>2193</v>
      </c>
      <c r="AZ442" s="36" t="s">
        <v>1299</v>
      </c>
      <c r="BA442" s="47" t="s">
        <v>2193</v>
      </c>
      <c r="BB442" s="36" t="s">
        <v>2188</v>
      </c>
      <c r="BC442" s="47" t="s">
        <v>819</v>
      </c>
      <c r="BD442" s="36" t="s">
        <v>2189</v>
      </c>
      <c r="BE442" s="47" t="str">
        <f t="shared" si="14"/>
        <v>"Macrozona"</v>
      </c>
    </row>
    <row r="443" spans="1:57" ht="6.65" customHeight="1" x14ac:dyDescent="0.4">
      <c r="A443" s="93">
        <v>443</v>
      </c>
      <c r="B443" s="76" t="s">
        <v>1244</v>
      </c>
      <c r="C443" s="44" t="s">
        <v>668</v>
      </c>
      <c r="D443" s="18" t="s">
        <v>744</v>
      </c>
      <c r="E443" s="48" t="s">
        <v>753</v>
      </c>
      <c r="F443" s="18" t="s">
        <v>1</v>
      </c>
      <c r="G443" s="20" t="s">
        <v>1</v>
      </c>
      <c r="H443" s="18" t="s">
        <v>1</v>
      </c>
      <c r="I443" s="20" t="s">
        <v>1</v>
      </c>
      <c r="J443" s="18" t="s">
        <v>1</v>
      </c>
      <c r="K443" s="20" t="s">
        <v>1</v>
      </c>
      <c r="L443" s="18" t="s">
        <v>1</v>
      </c>
      <c r="M443" s="20" t="s">
        <v>1</v>
      </c>
      <c r="N443" s="46" t="s">
        <v>82</v>
      </c>
      <c r="O443" s="25" t="s">
        <v>1245</v>
      </c>
      <c r="P443" s="46" t="s">
        <v>1</v>
      </c>
      <c r="Q443" s="25" t="s">
        <v>1</v>
      </c>
      <c r="R443" s="46" t="s">
        <v>1</v>
      </c>
      <c r="S443" s="52" t="s">
        <v>1</v>
      </c>
      <c r="T443" s="46" t="s">
        <v>1</v>
      </c>
      <c r="U443" s="31" t="s">
        <v>1</v>
      </c>
      <c r="V443" s="46" t="s">
        <v>1</v>
      </c>
      <c r="W443" s="31" t="s">
        <v>1</v>
      </c>
      <c r="X443" s="46" t="s">
        <v>1</v>
      </c>
      <c r="Y443" s="31" t="s">
        <v>1</v>
      </c>
      <c r="Z443" s="46" t="s">
        <v>1</v>
      </c>
      <c r="AA443" s="31" t="s">
        <v>1</v>
      </c>
      <c r="AB443" s="46" t="s">
        <v>1</v>
      </c>
      <c r="AC443" s="47" t="s">
        <v>1</v>
      </c>
      <c r="AD443" s="36" t="s">
        <v>1</v>
      </c>
      <c r="AE443" s="51" t="s">
        <v>1</v>
      </c>
      <c r="AF443" s="36" t="s">
        <v>1</v>
      </c>
      <c r="AG443" s="51" t="s">
        <v>1</v>
      </c>
      <c r="AH443" s="36" t="s">
        <v>1</v>
      </c>
      <c r="AI443" s="51" t="s">
        <v>1</v>
      </c>
      <c r="AJ443" s="36" t="s">
        <v>1</v>
      </c>
      <c r="AK443" s="51" t="s">
        <v>1</v>
      </c>
      <c r="AL443" s="36" t="s">
        <v>1</v>
      </c>
      <c r="AM443" s="31" t="s">
        <v>1</v>
      </c>
      <c r="AN443" s="36" t="s">
        <v>1</v>
      </c>
      <c r="AO443" s="31" t="s">
        <v>1</v>
      </c>
      <c r="AP443" s="36" t="s">
        <v>1</v>
      </c>
      <c r="AQ443" s="51" t="s">
        <v>1</v>
      </c>
      <c r="AR443" s="36" t="s">
        <v>1</v>
      </c>
      <c r="AS443" s="47" t="s">
        <v>1</v>
      </c>
      <c r="AT443" s="36" t="s">
        <v>1</v>
      </c>
      <c r="AU443" s="47" t="s">
        <v>1</v>
      </c>
      <c r="AV443" s="36" t="s">
        <v>1</v>
      </c>
      <c r="AW443" s="47" t="s">
        <v>1</v>
      </c>
      <c r="AX443" s="36" t="s">
        <v>2065</v>
      </c>
      <c r="AY443" s="47" t="s">
        <v>2193</v>
      </c>
      <c r="AZ443" s="36" t="s">
        <v>1299</v>
      </c>
      <c r="BA443" s="47" t="s">
        <v>2193</v>
      </c>
      <c r="BB443" s="36" t="s">
        <v>2188</v>
      </c>
      <c r="BC443" s="47" t="s">
        <v>819</v>
      </c>
      <c r="BD443" s="36" t="s">
        <v>2189</v>
      </c>
      <c r="BE443" s="47" t="str">
        <f t="shared" si="14"/>
        <v>"Macrozona"</v>
      </c>
    </row>
    <row r="444" spans="1:57" ht="6.65" customHeight="1" x14ac:dyDescent="0.4">
      <c r="A444" s="93">
        <v>444</v>
      </c>
      <c r="B444" s="76" t="s">
        <v>1246</v>
      </c>
      <c r="C444" s="44" t="s">
        <v>668</v>
      </c>
      <c r="D444" s="18" t="s">
        <v>744</v>
      </c>
      <c r="E444" s="48" t="s">
        <v>753</v>
      </c>
      <c r="F444" s="18" t="s">
        <v>1</v>
      </c>
      <c r="G444" s="20" t="s">
        <v>1</v>
      </c>
      <c r="H444" s="18" t="s">
        <v>1</v>
      </c>
      <c r="I444" s="20" t="s">
        <v>1</v>
      </c>
      <c r="J444" s="18" t="s">
        <v>1</v>
      </c>
      <c r="K444" s="20" t="s">
        <v>1</v>
      </c>
      <c r="L444" s="18" t="s">
        <v>1</v>
      </c>
      <c r="M444" s="20" t="s">
        <v>1</v>
      </c>
      <c r="N444" s="46" t="s">
        <v>82</v>
      </c>
      <c r="O444" s="25" t="s">
        <v>1247</v>
      </c>
      <c r="P444" s="46" t="s">
        <v>1</v>
      </c>
      <c r="Q444" s="25" t="s">
        <v>1</v>
      </c>
      <c r="R444" s="46" t="s">
        <v>1</v>
      </c>
      <c r="S444" s="52" t="s">
        <v>1</v>
      </c>
      <c r="T444" s="46" t="s">
        <v>1</v>
      </c>
      <c r="U444" s="31" t="s">
        <v>1</v>
      </c>
      <c r="V444" s="46" t="s">
        <v>1</v>
      </c>
      <c r="W444" s="31" t="s">
        <v>1</v>
      </c>
      <c r="X444" s="46" t="s">
        <v>1</v>
      </c>
      <c r="Y444" s="31" t="s">
        <v>1</v>
      </c>
      <c r="Z444" s="46" t="s">
        <v>1</v>
      </c>
      <c r="AA444" s="31" t="s">
        <v>1</v>
      </c>
      <c r="AB444" s="46" t="s">
        <v>1</v>
      </c>
      <c r="AC444" s="47" t="s">
        <v>1</v>
      </c>
      <c r="AD444" s="36" t="s">
        <v>1</v>
      </c>
      <c r="AE444" s="51" t="s">
        <v>1</v>
      </c>
      <c r="AF444" s="36" t="s">
        <v>1</v>
      </c>
      <c r="AG444" s="51" t="s">
        <v>1</v>
      </c>
      <c r="AH444" s="36" t="s">
        <v>1</v>
      </c>
      <c r="AI444" s="51" t="s">
        <v>1</v>
      </c>
      <c r="AJ444" s="36" t="s">
        <v>1</v>
      </c>
      <c r="AK444" s="51" t="s">
        <v>1</v>
      </c>
      <c r="AL444" s="36" t="s">
        <v>1</v>
      </c>
      <c r="AM444" s="31" t="s">
        <v>1</v>
      </c>
      <c r="AN444" s="36" t="s">
        <v>1</v>
      </c>
      <c r="AO444" s="31" t="s">
        <v>1</v>
      </c>
      <c r="AP444" s="36" t="s">
        <v>1</v>
      </c>
      <c r="AQ444" s="51" t="s">
        <v>1</v>
      </c>
      <c r="AR444" s="36" t="s">
        <v>1</v>
      </c>
      <c r="AS444" s="47" t="s">
        <v>1</v>
      </c>
      <c r="AT444" s="36" t="s">
        <v>1</v>
      </c>
      <c r="AU444" s="47" t="s">
        <v>1</v>
      </c>
      <c r="AV444" s="36" t="s">
        <v>1</v>
      </c>
      <c r="AW444" s="47" t="s">
        <v>1</v>
      </c>
      <c r="AX444" s="36" t="s">
        <v>2065</v>
      </c>
      <c r="AY444" s="47" t="s">
        <v>2193</v>
      </c>
      <c r="AZ444" s="36" t="s">
        <v>1299</v>
      </c>
      <c r="BA444" s="47" t="s">
        <v>2193</v>
      </c>
      <c r="BB444" s="36" t="s">
        <v>2188</v>
      </c>
      <c r="BC444" s="47" t="s">
        <v>819</v>
      </c>
      <c r="BD444" s="36" t="s">
        <v>2189</v>
      </c>
      <c r="BE444" s="47" t="str">
        <f t="shared" si="14"/>
        <v>"Macrozona"</v>
      </c>
    </row>
    <row r="445" spans="1:57" ht="6.65" customHeight="1" x14ac:dyDescent="0.4">
      <c r="A445" s="93">
        <v>445</v>
      </c>
      <c r="B445" s="76" t="s">
        <v>1248</v>
      </c>
      <c r="C445" s="44" t="s">
        <v>1618</v>
      </c>
      <c r="D445" s="18" t="s">
        <v>744</v>
      </c>
      <c r="E445" s="48" t="s">
        <v>753</v>
      </c>
      <c r="F445" s="18" t="s">
        <v>1</v>
      </c>
      <c r="G445" s="20" t="s">
        <v>1</v>
      </c>
      <c r="H445" s="18" t="s">
        <v>1</v>
      </c>
      <c r="I445" s="20" t="s">
        <v>1</v>
      </c>
      <c r="J445" s="18" t="s">
        <v>1</v>
      </c>
      <c r="K445" s="20" t="s">
        <v>1</v>
      </c>
      <c r="L445" s="18" t="s">
        <v>1</v>
      </c>
      <c r="M445" s="20" t="s">
        <v>1</v>
      </c>
      <c r="N445" s="46" t="s">
        <v>82</v>
      </c>
      <c r="O445" s="25" t="s">
        <v>1249</v>
      </c>
      <c r="P445" s="46" t="s">
        <v>1</v>
      </c>
      <c r="Q445" s="25" t="s">
        <v>1</v>
      </c>
      <c r="R445" s="46" t="s">
        <v>1</v>
      </c>
      <c r="S445" s="52" t="s">
        <v>1</v>
      </c>
      <c r="T445" s="46" t="s">
        <v>1</v>
      </c>
      <c r="U445" s="31" t="s">
        <v>1</v>
      </c>
      <c r="V445" s="46" t="s">
        <v>1</v>
      </c>
      <c r="W445" s="31" t="s">
        <v>1</v>
      </c>
      <c r="X445" s="46" t="s">
        <v>1</v>
      </c>
      <c r="Y445" s="31" t="s">
        <v>1</v>
      </c>
      <c r="Z445" s="46" t="s">
        <v>1</v>
      </c>
      <c r="AA445" s="31" t="s">
        <v>1</v>
      </c>
      <c r="AB445" s="46" t="s">
        <v>1</v>
      </c>
      <c r="AC445" s="47" t="s">
        <v>1</v>
      </c>
      <c r="AD445" s="36" t="s">
        <v>1</v>
      </c>
      <c r="AE445" s="51" t="s">
        <v>1</v>
      </c>
      <c r="AF445" s="36" t="s">
        <v>1</v>
      </c>
      <c r="AG445" s="51" t="s">
        <v>1</v>
      </c>
      <c r="AH445" s="36" t="s">
        <v>1</v>
      </c>
      <c r="AI445" s="51" t="s">
        <v>1</v>
      </c>
      <c r="AJ445" s="36" t="s">
        <v>1</v>
      </c>
      <c r="AK445" s="51" t="s">
        <v>1</v>
      </c>
      <c r="AL445" s="36" t="s">
        <v>1</v>
      </c>
      <c r="AM445" s="31" t="s">
        <v>1</v>
      </c>
      <c r="AN445" s="36" t="s">
        <v>1</v>
      </c>
      <c r="AO445" s="31" t="s">
        <v>1</v>
      </c>
      <c r="AP445" s="36" t="s">
        <v>1</v>
      </c>
      <c r="AQ445" s="51" t="s">
        <v>1</v>
      </c>
      <c r="AR445" s="36" t="s">
        <v>1</v>
      </c>
      <c r="AS445" s="47" t="s">
        <v>1</v>
      </c>
      <c r="AT445" s="36" t="s">
        <v>1</v>
      </c>
      <c r="AU445" s="47" t="s">
        <v>1</v>
      </c>
      <c r="AV445" s="36" t="s">
        <v>1</v>
      </c>
      <c r="AW445" s="47" t="s">
        <v>1</v>
      </c>
      <c r="AX445" s="36" t="s">
        <v>2065</v>
      </c>
      <c r="AY445" s="47" t="s">
        <v>2193</v>
      </c>
      <c r="AZ445" s="36" t="s">
        <v>1299</v>
      </c>
      <c r="BA445" s="47" t="s">
        <v>2193</v>
      </c>
      <c r="BB445" s="36" t="s">
        <v>2188</v>
      </c>
      <c r="BC445" s="47" t="s">
        <v>819</v>
      </c>
      <c r="BD445" s="36" t="s">
        <v>2189</v>
      </c>
      <c r="BE445" s="47" t="str">
        <f t="shared" si="14"/>
        <v>"Zona.de.Uso"</v>
      </c>
    </row>
    <row r="446" spans="1:57" ht="6.65" customHeight="1" x14ac:dyDescent="0.4">
      <c r="A446" s="93">
        <v>446</v>
      </c>
      <c r="B446" s="76" t="s">
        <v>1250</v>
      </c>
      <c r="C446" s="44" t="s">
        <v>1618</v>
      </c>
      <c r="D446" s="18" t="s">
        <v>744</v>
      </c>
      <c r="E446" s="48" t="s">
        <v>753</v>
      </c>
      <c r="F446" s="18" t="s">
        <v>1</v>
      </c>
      <c r="G446" s="20" t="s">
        <v>1</v>
      </c>
      <c r="H446" s="18" t="s">
        <v>1</v>
      </c>
      <c r="I446" s="20" t="s">
        <v>1</v>
      </c>
      <c r="J446" s="18" t="s">
        <v>1</v>
      </c>
      <c r="K446" s="20" t="s">
        <v>1</v>
      </c>
      <c r="L446" s="18" t="s">
        <v>1</v>
      </c>
      <c r="M446" s="20" t="s">
        <v>1</v>
      </c>
      <c r="N446" s="46" t="s">
        <v>82</v>
      </c>
      <c r="O446" s="25" t="s">
        <v>1251</v>
      </c>
      <c r="P446" s="46" t="s">
        <v>1</v>
      </c>
      <c r="Q446" s="25" t="s">
        <v>1</v>
      </c>
      <c r="R446" s="46" t="s">
        <v>1</v>
      </c>
      <c r="S446" s="52" t="s">
        <v>1</v>
      </c>
      <c r="T446" s="46" t="s">
        <v>1</v>
      </c>
      <c r="U446" s="31" t="s">
        <v>1</v>
      </c>
      <c r="V446" s="46" t="s">
        <v>1</v>
      </c>
      <c r="W446" s="31" t="s">
        <v>1</v>
      </c>
      <c r="X446" s="46" t="s">
        <v>1</v>
      </c>
      <c r="Y446" s="31" t="s">
        <v>1</v>
      </c>
      <c r="Z446" s="46" t="s">
        <v>1</v>
      </c>
      <c r="AA446" s="31" t="s">
        <v>1</v>
      </c>
      <c r="AB446" s="46" t="s">
        <v>1</v>
      </c>
      <c r="AC446" s="47" t="s">
        <v>1</v>
      </c>
      <c r="AD446" s="36" t="s">
        <v>1</v>
      </c>
      <c r="AE446" s="51" t="s">
        <v>1</v>
      </c>
      <c r="AF446" s="36" t="s">
        <v>1</v>
      </c>
      <c r="AG446" s="51" t="s">
        <v>1</v>
      </c>
      <c r="AH446" s="36" t="s">
        <v>1</v>
      </c>
      <c r="AI446" s="51" t="s">
        <v>1</v>
      </c>
      <c r="AJ446" s="36" t="s">
        <v>1</v>
      </c>
      <c r="AK446" s="51" t="s">
        <v>1</v>
      </c>
      <c r="AL446" s="36" t="s">
        <v>1</v>
      </c>
      <c r="AM446" s="31" t="s">
        <v>1</v>
      </c>
      <c r="AN446" s="36" t="s">
        <v>1</v>
      </c>
      <c r="AO446" s="31" t="s">
        <v>1</v>
      </c>
      <c r="AP446" s="36" t="s">
        <v>1</v>
      </c>
      <c r="AQ446" s="51" t="s">
        <v>1</v>
      </c>
      <c r="AR446" s="36" t="s">
        <v>1</v>
      </c>
      <c r="AS446" s="47" t="s">
        <v>1</v>
      </c>
      <c r="AT446" s="36" t="s">
        <v>1</v>
      </c>
      <c r="AU446" s="47" t="s">
        <v>1</v>
      </c>
      <c r="AV446" s="36" t="s">
        <v>1</v>
      </c>
      <c r="AW446" s="47" t="s">
        <v>1</v>
      </c>
      <c r="AX446" s="36" t="s">
        <v>2065</v>
      </c>
      <c r="AY446" s="47" t="s">
        <v>2193</v>
      </c>
      <c r="AZ446" s="36" t="s">
        <v>1299</v>
      </c>
      <c r="BA446" s="47" t="s">
        <v>2193</v>
      </c>
      <c r="BB446" s="36" t="s">
        <v>2188</v>
      </c>
      <c r="BC446" s="47" t="s">
        <v>819</v>
      </c>
      <c r="BD446" s="36" t="s">
        <v>2189</v>
      </c>
      <c r="BE446" s="47" t="str">
        <f t="shared" si="14"/>
        <v>"Zona.de.Uso"</v>
      </c>
    </row>
    <row r="447" spans="1:57" ht="6.65" customHeight="1" x14ac:dyDescent="0.4">
      <c r="A447" s="93">
        <v>447</v>
      </c>
      <c r="B447" s="76" t="s">
        <v>1252</v>
      </c>
      <c r="C447" s="44" t="s">
        <v>1618</v>
      </c>
      <c r="D447" s="18" t="s">
        <v>744</v>
      </c>
      <c r="E447" s="48" t="s">
        <v>753</v>
      </c>
      <c r="F447" s="18" t="s">
        <v>1</v>
      </c>
      <c r="G447" s="20" t="s">
        <v>1</v>
      </c>
      <c r="H447" s="18" t="s">
        <v>1</v>
      </c>
      <c r="I447" s="20" t="s">
        <v>1</v>
      </c>
      <c r="J447" s="18" t="s">
        <v>1</v>
      </c>
      <c r="K447" s="20" t="s">
        <v>1</v>
      </c>
      <c r="L447" s="18" t="s">
        <v>1</v>
      </c>
      <c r="M447" s="20" t="s">
        <v>1</v>
      </c>
      <c r="N447" s="46" t="s">
        <v>82</v>
      </c>
      <c r="O447" s="25" t="s">
        <v>1251</v>
      </c>
      <c r="P447" s="46" t="s">
        <v>1</v>
      </c>
      <c r="Q447" s="25" t="s">
        <v>1</v>
      </c>
      <c r="R447" s="46" t="s">
        <v>1</v>
      </c>
      <c r="S447" s="52" t="s">
        <v>1</v>
      </c>
      <c r="T447" s="46" t="s">
        <v>1</v>
      </c>
      <c r="U447" s="31" t="s">
        <v>1</v>
      </c>
      <c r="V447" s="46" t="s">
        <v>1</v>
      </c>
      <c r="W447" s="31" t="s">
        <v>1</v>
      </c>
      <c r="X447" s="46" t="s">
        <v>1</v>
      </c>
      <c r="Y447" s="31" t="s">
        <v>1</v>
      </c>
      <c r="Z447" s="46" t="s">
        <v>1</v>
      </c>
      <c r="AA447" s="31" t="s">
        <v>1</v>
      </c>
      <c r="AB447" s="46" t="s">
        <v>1</v>
      </c>
      <c r="AC447" s="47" t="s">
        <v>1</v>
      </c>
      <c r="AD447" s="36" t="s">
        <v>1</v>
      </c>
      <c r="AE447" s="51" t="s">
        <v>1</v>
      </c>
      <c r="AF447" s="36" t="s">
        <v>1</v>
      </c>
      <c r="AG447" s="51" t="s">
        <v>1</v>
      </c>
      <c r="AH447" s="36" t="s">
        <v>1</v>
      </c>
      <c r="AI447" s="51" t="s">
        <v>1</v>
      </c>
      <c r="AJ447" s="36" t="s">
        <v>1</v>
      </c>
      <c r="AK447" s="51" t="s">
        <v>1</v>
      </c>
      <c r="AL447" s="36" t="s">
        <v>1</v>
      </c>
      <c r="AM447" s="31" t="s">
        <v>1</v>
      </c>
      <c r="AN447" s="36" t="s">
        <v>1</v>
      </c>
      <c r="AO447" s="31" t="s">
        <v>1</v>
      </c>
      <c r="AP447" s="36" t="s">
        <v>1</v>
      </c>
      <c r="AQ447" s="51" t="s">
        <v>1</v>
      </c>
      <c r="AR447" s="36" t="s">
        <v>1</v>
      </c>
      <c r="AS447" s="47" t="s">
        <v>1</v>
      </c>
      <c r="AT447" s="36" t="s">
        <v>1</v>
      </c>
      <c r="AU447" s="47" t="s">
        <v>1</v>
      </c>
      <c r="AV447" s="36" t="s">
        <v>1</v>
      </c>
      <c r="AW447" s="47" t="s">
        <v>1</v>
      </c>
      <c r="AX447" s="36" t="s">
        <v>2065</v>
      </c>
      <c r="AY447" s="47" t="s">
        <v>2193</v>
      </c>
      <c r="AZ447" s="36" t="s">
        <v>1299</v>
      </c>
      <c r="BA447" s="47" t="s">
        <v>2193</v>
      </c>
      <c r="BB447" s="36" t="s">
        <v>2188</v>
      </c>
      <c r="BC447" s="47" t="s">
        <v>819</v>
      </c>
      <c r="BD447" s="36" t="s">
        <v>2189</v>
      </c>
      <c r="BE447" s="47" t="str">
        <f t="shared" si="14"/>
        <v>"Zona.de.Uso"</v>
      </c>
    </row>
    <row r="448" spans="1:57" ht="6.65" customHeight="1" x14ac:dyDescent="0.4">
      <c r="A448" s="93">
        <v>448</v>
      </c>
      <c r="B448" s="76" t="s">
        <v>1253</v>
      </c>
      <c r="C448" s="44" t="s">
        <v>1618</v>
      </c>
      <c r="D448" s="18" t="s">
        <v>744</v>
      </c>
      <c r="E448" s="48" t="s">
        <v>753</v>
      </c>
      <c r="F448" s="18" t="s">
        <v>1</v>
      </c>
      <c r="G448" s="20" t="s">
        <v>1</v>
      </c>
      <c r="H448" s="18" t="s">
        <v>1</v>
      </c>
      <c r="I448" s="20" t="s">
        <v>1</v>
      </c>
      <c r="J448" s="18" t="s">
        <v>1</v>
      </c>
      <c r="K448" s="20" t="s">
        <v>1</v>
      </c>
      <c r="L448" s="18" t="s">
        <v>1</v>
      </c>
      <c r="M448" s="20" t="s">
        <v>1</v>
      </c>
      <c r="N448" s="46" t="s">
        <v>82</v>
      </c>
      <c r="O448" s="25" t="s">
        <v>1254</v>
      </c>
      <c r="P448" s="46" t="s">
        <v>1</v>
      </c>
      <c r="Q448" s="25" t="s">
        <v>1</v>
      </c>
      <c r="R448" s="46" t="s">
        <v>1</v>
      </c>
      <c r="S448" s="52" t="s">
        <v>1</v>
      </c>
      <c r="T448" s="46" t="s">
        <v>1</v>
      </c>
      <c r="U448" s="31" t="s">
        <v>1</v>
      </c>
      <c r="V448" s="46" t="s">
        <v>1</v>
      </c>
      <c r="W448" s="31" t="s">
        <v>1</v>
      </c>
      <c r="X448" s="46" t="s">
        <v>1</v>
      </c>
      <c r="Y448" s="31" t="s">
        <v>1</v>
      </c>
      <c r="Z448" s="46" t="s">
        <v>1</v>
      </c>
      <c r="AA448" s="31" t="s">
        <v>1</v>
      </c>
      <c r="AB448" s="46" t="s">
        <v>1</v>
      </c>
      <c r="AC448" s="47" t="s">
        <v>1</v>
      </c>
      <c r="AD448" s="36" t="s">
        <v>1</v>
      </c>
      <c r="AE448" s="51" t="s">
        <v>1</v>
      </c>
      <c r="AF448" s="36" t="s">
        <v>1</v>
      </c>
      <c r="AG448" s="51" t="s">
        <v>1</v>
      </c>
      <c r="AH448" s="36" t="s">
        <v>1</v>
      </c>
      <c r="AI448" s="51" t="s">
        <v>1</v>
      </c>
      <c r="AJ448" s="36" t="s">
        <v>1</v>
      </c>
      <c r="AK448" s="51" t="s">
        <v>1</v>
      </c>
      <c r="AL448" s="36" t="s">
        <v>1</v>
      </c>
      <c r="AM448" s="31" t="s">
        <v>1</v>
      </c>
      <c r="AN448" s="36" t="s">
        <v>1</v>
      </c>
      <c r="AO448" s="31" t="s">
        <v>1</v>
      </c>
      <c r="AP448" s="36" t="s">
        <v>1</v>
      </c>
      <c r="AQ448" s="51" t="s">
        <v>1</v>
      </c>
      <c r="AR448" s="36" t="s">
        <v>1</v>
      </c>
      <c r="AS448" s="47" t="s">
        <v>1</v>
      </c>
      <c r="AT448" s="36" t="s">
        <v>1</v>
      </c>
      <c r="AU448" s="47" t="s">
        <v>1</v>
      </c>
      <c r="AV448" s="36" t="s">
        <v>1</v>
      </c>
      <c r="AW448" s="47" t="s">
        <v>1</v>
      </c>
      <c r="AX448" s="36" t="s">
        <v>2065</v>
      </c>
      <c r="AY448" s="47" t="s">
        <v>2193</v>
      </c>
      <c r="AZ448" s="36" t="s">
        <v>1299</v>
      </c>
      <c r="BA448" s="47" t="s">
        <v>2193</v>
      </c>
      <c r="BB448" s="36" t="s">
        <v>2188</v>
      </c>
      <c r="BC448" s="47" t="s">
        <v>819</v>
      </c>
      <c r="BD448" s="36" t="s">
        <v>2189</v>
      </c>
      <c r="BE448" s="47" t="str">
        <f t="shared" si="14"/>
        <v>"Zona.de.Uso"</v>
      </c>
    </row>
    <row r="449" spans="1:57" ht="6.65" customHeight="1" x14ac:dyDescent="0.4">
      <c r="A449" s="93">
        <v>449</v>
      </c>
      <c r="B449" s="76" t="s">
        <v>1255</v>
      </c>
      <c r="C449" s="44" t="s">
        <v>1618</v>
      </c>
      <c r="D449" s="18" t="s">
        <v>744</v>
      </c>
      <c r="E449" s="48" t="s">
        <v>753</v>
      </c>
      <c r="F449" s="18" t="s">
        <v>1</v>
      </c>
      <c r="G449" s="20" t="s">
        <v>1</v>
      </c>
      <c r="H449" s="18" t="s">
        <v>1</v>
      </c>
      <c r="I449" s="20" t="s">
        <v>1</v>
      </c>
      <c r="J449" s="18" t="s">
        <v>1</v>
      </c>
      <c r="K449" s="20" t="s">
        <v>1</v>
      </c>
      <c r="L449" s="18" t="s">
        <v>1</v>
      </c>
      <c r="M449" s="20" t="s">
        <v>1</v>
      </c>
      <c r="N449" s="46" t="s">
        <v>82</v>
      </c>
      <c r="O449" s="25" t="s">
        <v>1256</v>
      </c>
      <c r="P449" s="46" t="s">
        <v>1</v>
      </c>
      <c r="Q449" s="25" t="s">
        <v>1</v>
      </c>
      <c r="R449" s="46" t="s">
        <v>1</v>
      </c>
      <c r="S449" s="52" t="s">
        <v>1</v>
      </c>
      <c r="T449" s="46" t="s">
        <v>1</v>
      </c>
      <c r="U449" s="31" t="s">
        <v>1</v>
      </c>
      <c r="V449" s="46" t="s">
        <v>1</v>
      </c>
      <c r="W449" s="31" t="s">
        <v>1</v>
      </c>
      <c r="X449" s="46" t="s">
        <v>1</v>
      </c>
      <c r="Y449" s="31" t="s">
        <v>1</v>
      </c>
      <c r="Z449" s="46" t="s">
        <v>1</v>
      </c>
      <c r="AA449" s="31" t="s">
        <v>1</v>
      </c>
      <c r="AB449" s="46" t="s">
        <v>1</v>
      </c>
      <c r="AC449" s="47" t="s">
        <v>1</v>
      </c>
      <c r="AD449" s="36" t="s">
        <v>1</v>
      </c>
      <c r="AE449" s="51" t="s">
        <v>1</v>
      </c>
      <c r="AF449" s="36" t="s">
        <v>1</v>
      </c>
      <c r="AG449" s="51" t="s">
        <v>1</v>
      </c>
      <c r="AH449" s="36" t="s">
        <v>1</v>
      </c>
      <c r="AI449" s="51" t="s">
        <v>1</v>
      </c>
      <c r="AJ449" s="36" t="s">
        <v>1</v>
      </c>
      <c r="AK449" s="51" t="s">
        <v>1</v>
      </c>
      <c r="AL449" s="36" t="s">
        <v>1</v>
      </c>
      <c r="AM449" s="31" t="s">
        <v>1</v>
      </c>
      <c r="AN449" s="36" t="s">
        <v>1</v>
      </c>
      <c r="AO449" s="31" t="s">
        <v>1</v>
      </c>
      <c r="AP449" s="36" t="s">
        <v>1</v>
      </c>
      <c r="AQ449" s="51" t="s">
        <v>1</v>
      </c>
      <c r="AR449" s="36" t="s">
        <v>1</v>
      </c>
      <c r="AS449" s="47" t="s">
        <v>1</v>
      </c>
      <c r="AT449" s="36" t="s">
        <v>1</v>
      </c>
      <c r="AU449" s="47" t="s">
        <v>1</v>
      </c>
      <c r="AV449" s="36" t="s">
        <v>1</v>
      </c>
      <c r="AW449" s="47" t="s">
        <v>1</v>
      </c>
      <c r="AX449" s="36" t="s">
        <v>2065</v>
      </c>
      <c r="AY449" s="47" t="s">
        <v>2193</v>
      </c>
      <c r="AZ449" s="36" t="s">
        <v>1299</v>
      </c>
      <c r="BA449" s="47" t="s">
        <v>2193</v>
      </c>
      <c r="BB449" s="36" t="s">
        <v>2188</v>
      </c>
      <c r="BC449" s="47" t="s">
        <v>819</v>
      </c>
      <c r="BD449" s="36" t="s">
        <v>2189</v>
      </c>
      <c r="BE449" s="47" t="str">
        <f t="shared" si="14"/>
        <v>"Zona.de.Uso"</v>
      </c>
    </row>
    <row r="450" spans="1:57" ht="6.65" customHeight="1" x14ac:dyDescent="0.4">
      <c r="A450" s="93">
        <v>450</v>
      </c>
      <c r="B450" s="76" t="s">
        <v>1257</v>
      </c>
      <c r="C450" s="44" t="s">
        <v>1618</v>
      </c>
      <c r="D450" s="18" t="s">
        <v>744</v>
      </c>
      <c r="E450" s="48" t="s">
        <v>753</v>
      </c>
      <c r="F450" s="18" t="s">
        <v>1</v>
      </c>
      <c r="G450" s="20" t="s">
        <v>1</v>
      </c>
      <c r="H450" s="18" t="s">
        <v>1</v>
      </c>
      <c r="I450" s="20" t="s">
        <v>1</v>
      </c>
      <c r="J450" s="18" t="s">
        <v>1</v>
      </c>
      <c r="K450" s="20" t="s">
        <v>1</v>
      </c>
      <c r="L450" s="18" t="s">
        <v>1</v>
      </c>
      <c r="M450" s="20" t="s">
        <v>1</v>
      </c>
      <c r="N450" s="46" t="s">
        <v>82</v>
      </c>
      <c r="O450" s="25" t="s">
        <v>1258</v>
      </c>
      <c r="P450" s="46" t="s">
        <v>1</v>
      </c>
      <c r="Q450" s="25" t="s">
        <v>1</v>
      </c>
      <c r="R450" s="46" t="s">
        <v>1</v>
      </c>
      <c r="S450" s="52" t="s">
        <v>1</v>
      </c>
      <c r="T450" s="46" t="s">
        <v>1</v>
      </c>
      <c r="U450" s="31" t="s">
        <v>1</v>
      </c>
      <c r="V450" s="46" t="s">
        <v>1</v>
      </c>
      <c r="W450" s="31" t="s">
        <v>1</v>
      </c>
      <c r="X450" s="46" t="s">
        <v>1</v>
      </c>
      <c r="Y450" s="31" t="s">
        <v>1</v>
      </c>
      <c r="Z450" s="46" t="s">
        <v>1</v>
      </c>
      <c r="AA450" s="31" t="s">
        <v>1</v>
      </c>
      <c r="AB450" s="46" t="s">
        <v>1</v>
      </c>
      <c r="AC450" s="47" t="s">
        <v>1</v>
      </c>
      <c r="AD450" s="36" t="s">
        <v>1</v>
      </c>
      <c r="AE450" s="51" t="s">
        <v>1</v>
      </c>
      <c r="AF450" s="36" t="s">
        <v>1</v>
      </c>
      <c r="AG450" s="51" t="s">
        <v>1</v>
      </c>
      <c r="AH450" s="36" t="s">
        <v>1</v>
      </c>
      <c r="AI450" s="51" t="s">
        <v>1</v>
      </c>
      <c r="AJ450" s="36" t="s">
        <v>1</v>
      </c>
      <c r="AK450" s="51" t="s">
        <v>1</v>
      </c>
      <c r="AL450" s="36" t="s">
        <v>1</v>
      </c>
      <c r="AM450" s="31" t="s">
        <v>1</v>
      </c>
      <c r="AN450" s="36" t="s">
        <v>1</v>
      </c>
      <c r="AO450" s="31" t="s">
        <v>1</v>
      </c>
      <c r="AP450" s="36" t="s">
        <v>1</v>
      </c>
      <c r="AQ450" s="51" t="s">
        <v>1</v>
      </c>
      <c r="AR450" s="36" t="s">
        <v>1</v>
      </c>
      <c r="AS450" s="47" t="s">
        <v>1</v>
      </c>
      <c r="AT450" s="36" t="s">
        <v>1</v>
      </c>
      <c r="AU450" s="47" t="s">
        <v>1</v>
      </c>
      <c r="AV450" s="36" t="s">
        <v>1</v>
      </c>
      <c r="AW450" s="47" t="s">
        <v>1</v>
      </c>
      <c r="AX450" s="36" t="s">
        <v>2065</v>
      </c>
      <c r="AY450" s="47" t="s">
        <v>2193</v>
      </c>
      <c r="AZ450" s="36" t="s">
        <v>1299</v>
      </c>
      <c r="BA450" s="47" t="s">
        <v>2193</v>
      </c>
      <c r="BB450" s="36" t="s">
        <v>2188</v>
      </c>
      <c r="BC450" s="47" t="s">
        <v>819</v>
      </c>
      <c r="BD450" s="36" t="s">
        <v>2189</v>
      </c>
      <c r="BE450" s="47" t="str">
        <f t="shared" si="14"/>
        <v>"Zona.de.Uso"</v>
      </c>
    </row>
    <row r="451" spans="1:57" ht="6.65" customHeight="1" x14ac:dyDescent="0.4">
      <c r="A451" s="93">
        <v>451</v>
      </c>
      <c r="B451" s="76" t="s">
        <v>1259</v>
      </c>
      <c r="C451" s="44" t="s">
        <v>1618</v>
      </c>
      <c r="D451" s="18" t="s">
        <v>744</v>
      </c>
      <c r="E451" s="48" t="s">
        <v>753</v>
      </c>
      <c r="F451" s="18" t="s">
        <v>1</v>
      </c>
      <c r="G451" s="20" t="s">
        <v>1</v>
      </c>
      <c r="H451" s="18" t="s">
        <v>1</v>
      </c>
      <c r="I451" s="20" t="s">
        <v>1</v>
      </c>
      <c r="J451" s="18" t="s">
        <v>1</v>
      </c>
      <c r="K451" s="20" t="s">
        <v>1</v>
      </c>
      <c r="L451" s="18" t="s">
        <v>1</v>
      </c>
      <c r="M451" s="20" t="s">
        <v>1</v>
      </c>
      <c r="N451" s="46" t="s">
        <v>82</v>
      </c>
      <c r="O451" s="25" t="s">
        <v>1260</v>
      </c>
      <c r="P451" s="46" t="s">
        <v>1</v>
      </c>
      <c r="Q451" s="25" t="s">
        <v>1</v>
      </c>
      <c r="R451" s="46" t="s">
        <v>1</v>
      </c>
      <c r="S451" s="52" t="s">
        <v>1</v>
      </c>
      <c r="T451" s="46" t="s">
        <v>1</v>
      </c>
      <c r="U451" s="31" t="s">
        <v>1</v>
      </c>
      <c r="V451" s="46" t="s">
        <v>1</v>
      </c>
      <c r="W451" s="31" t="s">
        <v>1</v>
      </c>
      <c r="X451" s="46" t="s">
        <v>1</v>
      </c>
      <c r="Y451" s="31" t="s">
        <v>1</v>
      </c>
      <c r="Z451" s="46" t="s">
        <v>1</v>
      </c>
      <c r="AA451" s="31" t="s">
        <v>1</v>
      </c>
      <c r="AB451" s="46" t="s">
        <v>1</v>
      </c>
      <c r="AC451" s="47" t="s">
        <v>1</v>
      </c>
      <c r="AD451" s="36" t="s">
        <v>1</v>
      </c>
      <c r="AE451" s="51" t="s">
        <v>1</v>
      </c>
      <c r="AF451" s="36" t="s">
        <v>1</v>
      </c>
      <c r="AG451" s="51" t="s">
        <v>1</v>
      </c>
      <c r="AH451" s="36" t="s">
        <v>1</v>
      </c>
      <c r="AI451" s="51" t="s">
        <v>1</v>
      </c>
      <c r="AJ451" s="36" t="s">
        <v>1</v>
      </c>
      <c r="AK451" s="51" t="s">
        <v>1</v>
      </c>
      <c r="AL451" s="36" t="s">
        <v>1</v>
      </c>
      <c r="AM451" s="31" t="s">
        <v>1</v>
      </c>
      <c r="AN451" s="36" t="s">
        <v>1</v>
      </c>
      <c r="AO451" s="31" t="s">
        <v>1</v>
      </c>
      <c r="AP451" s="36" t="s">
        <v>1</v>
      </c>
      <c r="AQ451" s="51" t="s">
        <v>1</v>
      </c>
      <c r="AR451" s="36" t="s">
        <v>1</v>
      </c>
      <c r="AS451" s="47" t="s">
        <v>1</v>
      </c>
      <c r="AT451" s="36" t="s">
        <v>1</v>
      </c>
      <c r="AU451" s="47" t="s">
        <v>1</v>
      </c>
      <c r="AV451" s="36" t="s">
        <v>1</v>
      </c>
      <c r="AW451" s="47" t="s">
        <v>1</v>
      </c>
      <c r="AX451" s="36" t="s">
        <v>2065</v>
      </c>
      <c r="AY451" s="47" t="s">
        <v>2193</v>
      </c>
      <c r="AZ451" s="36" t="s">
        <v>1299</v>
      </c>
      <c r="BA451" s="47" t="s">
        <v>2193</v>
      </c>
      <c r="BB451" s="36" t="s">
        <v>2188</v>
      </c>
      <c r="BC451" s="47" t="s">
        <v>819</v>
      </c>
      <c r="BD451" s="36" t="s">
        <v>2189</v>
      </c>
      <c r="BE451" s="47" t="str">
        <f t="shared" si="14"/>
        <v>"Zona.de.Uso"</v>
      </c>
    </row>
    <row r="452" spans="1:57" ht="6.65" customHeight="1" x14ac:dyDescent="0.4">
      <c r="A452" s="93">
        <v>452</v>
      </c>
      <c r="B452" s="76" t="s">
        <v>1261</v>
      </c>
      <c r="C452" s="44" t="s">
        <v>1618</v>
      </c>
      <c r="D452" s="18" t="s">
        <v>744</v>
      </c>
      <c r="E452" s="48" t="s">
        <v>753</v>
      </c>
      <c r="F452" s="18" t="s">
        <v>1</v>
      </c>
      <c r="G452" s="20" t="s">
        <v>1</v>
      </c>
      <c r="H452" s="18" t="s">
        <v>1</v>
      </c>
      <c r="I452" s="20" t="s">
        <v>1</v>
      </c>
      <c r="J452" s="18" t="s">
        <v>1</v>
      </c>
      <c r="K452" s="20" t="s">
        <v>1</v>
      </c>
      <c r="L452" s="18" t="s">
        <v>1</v>
      </c>
      <c r="M452" s="20" t="s">
        <v>1</v>
      </c>
      <c r="N452" s="46" t="s">
        <v>82</v>
      </c>
      <c r="O452" s="25" t="s">
        <v>1262</v>
      </c>
      <c r="P452" s="46" t="s">
        <v>1</v>
      </c>
      <c r="Q452" s="25" t="s">
        <v>1</v>
      </c>
      <c r="R452" s="46" t="s">
        <v>1</v>
      </c>
      <c r="S452" s="52" t="s">
        <v>1</v>
      </c>
      <c r="T452" s="46" t="s">
        <v>1</v>
      </c>
      <c r="U452" s="31" t="s">
        <v>1</v>
      </c>
      <c r="V452" s="46" t="s">
        <v>1</v>
      </c>
      <c r="W452" s="31" t="s">
        <v>1</v>
      </c>
      <c r="X452" s="46" t="s">
        <v>1</v>
      </c>
      <c r="Y452" s="31" t="s">
        <v>1</v>
      </c>
      <c r="Z452" s="46" t="s">
        <v>1</v>
      </c>
      <c r="AA452" s="31" t="s">
        <v>1</v>
      </c>
      <c r="AB452" s="46" t="s">
        <v>1</v>
      </c>
      <c r="AC452" s="47" t="s">
        <v>1</v>
      </c>
      <c r="AD452" s="36" t="s">
        <v>1</v>
      </c>
      <c r="AE452" s="51" t="s">
        <v>1</v>
      </c>
      <c r="AF452" s="36" t="s">
        <v>1</v>
      </c>
      <c r="AG452" s="51" t="s">
        <v>1</v>
      </c>
      <c r="AH452" s="36" t="s">
        <v>1</v>
      </c>
      <c r="AI452" s="51" t="s">
        <v>1</v>
      </c>
      <c r="AJ452" s="36" t="s">
        <v>1</v>
      </c>
      <c r="AK452" s="51" t="s">
        <v>1</v>
      </c>
      <c r="AL452" s="36" t="s">
        <v>1</v>
      </c>
      <c r="AM452" s="31" t="s">
        <v>1</v>
      </c>
      <c r="AN452" s="36" t="s">
        <v>1</v>
      </c>
      <c r="AO452" s="31" t="s">
        <v>1</v>
      </c>
      <c r="AP452" s="36" t="s">
        <v>1</v>
      </c>
      <c r="AQ452" s="51" t="s">
        <v>1</v>
      </c>
      <c r="AR452" s="36" t="s">
        <v>1</v>
      </c>
      <c r="AS452" s="47" t="s">
        <v>1</v>
      </c>
      <c r="AT452" s="36" t="s">
        <v>1</v>
      </c>
      <c r="AU452" s="47" t="s">
        <v>1</v>
      </c>
      <c r="AV452" s="36" t="s">
        <v>1</v>
      </c>
      <c r="AW452" s="47" t="s">
        <v>1</v>
      </c>
      <c r="AX452" s="36" t="s">
        <v>2065</v>
      </c>
      <c r="AY452" s="47" t="s">
        <v>2193</v>
      </c>
      <c r="AZ452" s="36" t="s">
        <v>1299</v>
      </c>
      <c r="BA452" s="47" t="s">
        <v>2193</v>
      </c>
      <c r="BB452" s="36" t="s">
        <v>2188</v>
      </c>
      <c r="BC452" s="47" t="s">
        <v>819</v>
      </c>
      <c r="BD452" s="36" t="s">
        <v>2189</v>
      </c>
      <c r="BE452" s="47" t="str">
        <f t="shared" si="14"/>
        <v>"Zona.de.Uso"</v>
      </c>
    </row>
    <row r="453" spans="1:57" ht="6.65" customHeight="1" x14ac:dyDescent="0.4">
      <c r="A453" s="93">
        <v>453</v>
      </c>
      <c r="B453" s="76" t="s">
        <v>1263</v>
      </c>
      <c r="C453" s="44" t="s">
        <v>1618</v>
      </c>
      <c r="D453" s="18" t="s">
        <v>744</v>
      </c>
      <c r="E453" s="48" t="s">
        <v>753</v>
      </c>
      <c r="F453" s="18" t="s">
        <v>1</v>
      </c>
      <c r="G453" s="20" t="s">
        <v>1</v>
      </c>
      <c r="H453" s="18" t="s">
        <v>1</v>
      </c>
      <c r="I453" s="20" t="s">
        <v>1</v>
      </c>
      <c r="J453" s="18" t="s">
        <v>1</v>
      </c>
      <c r="K453" s="20" t="s">
        <v>1</v>
      </c>
      <c r="L453" s="18" t="s">
        <v>1</v>
      </c>
      <c r="M453" s="20" t="s">
        <v>1</v>
      </c>
      <c r="N453" s="46" t="s">
        <v>82</v>
      </c>
      <c r="O453" s="25" t="s">
        <v>1262</v>
      </c>
      <c r="P453" s="46" t="s">
        <v>1</v>
      </c>
      <c r="Q453" s="25" t="s">
        <v>1</v>
      </c>
      <c r="R453" s="46" t="s">
        <v>1</v>
      </c>
      <c r="S453" s="52" t="s">
        <v>1</v>
      </c>
      <c r="T453" s="46" t="s">
        <v>1</v>
      </c>
      <c r="U453" s="31" t="s">
        <v>1</v>
      </c>
      <c r="V453" s="46" t="s">
        <v>1</v>
      </c>
      <c r="W453" s="31" t="s">
        <v>1</v>
      </c>
      <c r="X453" s="46" t="s">
        <v>1</v>
      </c>
      <c r="Y453" s="31" t="s">
        <v>1</v>
      </c>
      <c r="Z453" s="46" t="s">
        <v>1</v>
      </c>
      <c r="AA453" s="31" t="s">
        <v>1</v>
      </c>
      <c r="AB453" s="46" t="s">
        <v>1</v>
      </c>
      <c r="AC453" s="47" t="s">
        <v>1</v>
      </c>
      <c r="AD453" s="36" t="s">
        <v>1</v>
      </c>
      <c r="AE453" s="51" t="s">
        <v>1</v>
      </c>
      <c r="AF453" s="36" t="s">
        <v>1</v>
      </c>
      <c r="AG453" s="51" t="s">
        <v>1</v>
      </c>
      <c r="AH453" s="36" t="s">
        <v>1</v>
      </c>
      <c r="AI453" s="51" t="s">
        <v>1</v>
      </c>
      <c r="AJ453" s="36" t="s">
        <v>1</v>
      </c>
      <c r="AK453" s="51" t="s">
        <v>1</v>
      </c>
      <c r="AL453" s="36" t="s">
        <v>1</v>
      </c>
      <c r="AM453" s="31" t="s">
        <v>1</v>
      </c>
      <c r="AN453" s="36" t="s">
        <v>1</v>
      </c>
      <c r="AO453" s="31" t="s">
        <v>1</v>
      </c>
      <c r="AP453" s="36" t="s">
        <v>1</v>
      </c>
      <c r="AQ453" s="51" t="s">
        <v>1</v>
      </c>
      <c r="AR453" s="36" t="s">
        <v>1</v>
      </c>
      <c r="AS453" s="47" t="s">
        <v>1</v>
      </c>
      <c r="AT453" s="36" t="s">
        <v>1</v>
      </c>
      <c r="AU453" s="47" t="s">
        <v>1</v>
      </c>
      <c r="AV453" s="36" t="s">
        <v>1</v>
      </c>
      <c r="AW453" s="47" t="s">
        <v>1</v>
      </c>
      <c r="AX453" s="36" t="s">
        <v>2065</v>
      </c>
      <c r="AY453" s="47" t="s">
        <v>2193</v>
      </c>
      <c r="AZ453" s="36" t="s">
        <v>1299</v>
      </c>
      <c r="BA453" s="47" t="s">
        <v>2193</v>
      </c>
      <c r="BB453" s="36" t="s">
        <v>2188</v>
      </c>
      <c r="BC453" s="47" t="s">
        <v>819</v>
      </c>
      <c r="BD453" s="36" t="s">
        <v>2189</v>
      </c>
      <c r="BE453" s="47" t="str">
        <f t="shared" ref="BE453:BE516" si="16">_xlfn.CONCAT("""",C453,"""")</f>
        <v>"Zona.de.Uso"</v>
      </c>
    </row>
    <row r="454" spans="1:57" ht="6.65" customHeight="1" x14ac:dyDescent="0.4">
      <c r="A454" s="93">
        <v>454</v>
      </c>
      <c r="B454" s="76" t="s">
        <v>1264</v>
      </c>
      <c r="C454" s="44" t="s">
        <v>1618</v>
      </c>
      <c r="D454" s="18" t="s">
        <v>744</v>
      </c>
      <c r="E454" s="48" t="s">
        <v>753</v>
      </c>
      <c r="F454" s="18" t="s">
        <v>1</v>
      </c>
      <c r="G454" s="20" t="s">
        <v>1</v>
      </c>
      <c r="H454" s="18" t="s">
        <v>1</v>
      </c>
      <c r="I454" s="20" t="s">
        <v>1</v>
      </c>
      <c r="J454" s="18" t="s">
        <v>1</v>
      </c>
      <c r="K454" s="20" t="s">
        <v>1</v>
      </c>
      <c r="L454" s="18" t="s">
        <v>1</v>
      </c>
      <c r="M454" s="20" t="s">
        <v>1</v>
      </c>
      <c r="N454" s="46" t="s">
        <v>82</v>
      </c>
      <c r="O454" s="25" t="s">
        <v>1265</v>
      </c>
      <c r="P454" s="46" t="s">
        <v>1</v>
      </c>
      <c r="Q454" s="25" t="s">
        <v>1</v>
      </c>
      <c r="R454" s="46" t="s">
        <v>1</v>
      </c>
      <c r="S454" s="52" t="s">
        <v>1</v>
      </c>
      <c r="T454" s="46" t="s">
        <v>1</v>
      </c>
      <c r="U454" s="31" t="s">
        <v>1</v>
      </c>
      <c r="V454" s="46" t="s">
        <v>1</v>
      </c>
      <c r="W454" s="31" t="s">
        <v>1</v>
      </c>
      <c r="X454" s="46" t="s">
        <v>1</v>
      </c>
      <c r="Y454" s="31" t="s">
        <v>1</v>
      </c>
      <c r="Z454" s="46" t="s">
        <v>1</v>
      </c>
      <c r="AA454" s="31" t="s">
        <v>1</v>
      </c>
      <c r="AB454" s="46" t="s">
        <v>1</v>
      </c>
      <c r="AC454" s="47" t="s">
        <v>1</v>
      </c>
      <c r="AD454" s="36" t="s">
        <v>1</v>
      </c>
      <c r="AE454" s="51" t="s">
        <v>1</v>
      </c>
      <c r="AF454" s="36" t="s">
        <v>1</v>
      </c>
      <c r="AG454" s="51" t="s">
        <v>1</v>
      </c>
      <c r="AH454" s="36" t="s">
        <v>1</v>
      </c>
      <c r="AI454" s="51" t="s">
        <v>1</v>
      </c>
      <c r="AJ454" s="36" t="s">
        <v>1</v>
      </c>
      <c r="AK454" s="51" t="s">
        <v>1</v>
      </c>
      <c r="AL454" s="36" t="s">
        <v>1</v>
      </c>
      <c r="AM454" s="31" t="s">
        <v>1</v>
      </c>
      <c r="AN454" s="36" t="s">
        <v>1</v>
      </c>
      <c r="AO454" s="31" t="s">
        <v>1</v>
      </c>
      <c r="AP454" s="36" t="s">
        <v>1</v>
      </c>
      <c r="AQ454" s="51" t="s">
        <v>1</v>
      </c>
      <c r="AR454" s="36" t="s">
        <v>1</v>
      </c>
      <c r="AS454" s="47" t="s">
        <v>1</v>
      </c>
      <c r="AT454" s="36" t="s">
        <v>1</v>
      </c>
      <c r="AU454" s="47" t="s">
        <v>1</v>
      </c>
      <c r="AV454" s="36" t="s">
        <v>1</v>
      </c>
      <c r="AW454" s="47" t="s">
        <v>1</v>
      </c>
      <c r="AX454" s="36" t="s">
        <v>2065</v>
      </c>
      <c r="AY454" s="47" t="s">
        <v>2193</v>
      </c>
      <c r="AZ454" s="36" t="s">
        <v>1299</v>
      </c>
      <c r="BA454" s="47" t="s">
        <v>2193</v>
      </c>
      <c r="BB454" s="36" t="s">
        <v>2188</v>
      </c>
      <c r="BC454" s="47" t="s">
        <v>819</v>
      </c>
      <c r="BD454" s="36" t="s">
        <v>2189</v>
      </c>
      <c r="BE454" s="47" t="str">
        <f t="shared" si="16"/>
        <v>"Zona.de.Uso"</v>
      </c>
    </row>
    <row r="455" spans="1:57" ht="6.65" customHeight="1" x14ac:dyDescent="0.4">
      <c r="A455" s="93">
        <v>455</v>
      </c>
      <c r="B455" s="76" t="s">
        <v>1266</v>
      </c>
      <c r="C455" s="44" t="s">
        <v>1618</v>
      </c>
      <c r="D455" s="18" t="s">
        <v>744</v>
      </c>
      <c r="E455" s="48" t="s">
        <v>753</v>
      </c>
      <c r="F455" s="18" t="s">
        <v>1</v>
      </c>
      <c r="G455" s="20" t="s">
        <v>1</v>
      </c>
      <c r="H455" s="18" t="s">
        <v>1</v>
      </c>
      <c r="I455" s="20" t="s">
        <v>1</v>
      </c>
      <c r="J455" s="18" t="s">
        <v>1</v>
      </c>
      <c r="K455" s="20" t="s">
        <v>1</v>
      </c>
      <c r="L455" s="18" t="s">
        <v>1</v>
      </c>
      <c r="M455" s="20" t="s">
        <v>1</v>
      </c>
      <c r="N455" s="46" t="s">
        <v>82</v>
      </c>
      <c r="O455" s="25" t="s">
        <v>1267</v>
      </c>
      <c r="P455" s="46" t="s">
        <v>1</v>
      </c>
      <c r="Q455" s="25" t="s">
        <v>1</v>
      </c>
      <c r="R455" s="46" t="s">
        <v>1</v>
      </c>
      <c r="S455" s="52" t="s">
        <v>1</v>
      </c>
      <c r="T455" s="46" t="s">
        <v>1</v>
      </c>
      <c r="U455" s="31" t="s">
        <v>1</v>
      </c>
      <c r="V455" s="46" t="s">
        <v>1</v>
      </c>
      <c r="W455" s="31" t="s">
        <v>1</v>
      </c>
      <c r="X455" s="46" t="s">
        <v>1</v>
      </c>
      <c r="Y455" s="31" t="s">
        <v>1</v>
      </c>
      <c r="Z455" s="46" t="s">
        <v>1</v>
      </c>
      <c r="AA455" s="31" t="s">
        <v>1</v>
      </c>
      <c r="AB455" s="46" t="s">
        <v>1</v>
      </c>
      <c r="AC455" s="47" t="s">
        <v>1</v>
      </c>
      <c r="AD455" s="36" t="s">
        <v>1</v>
      </c>
      <c r="AE455" s="51" t="s">
        <v>1</v>
      </c>
      <c r="AF455" s="36" t="s">
        <v>1</v>
      </c>
      <c r="AG455" s="51" t="s">
        <v>1</v>
      </c>
      <c r="AH455" s="36" t="s">
        <v>1</v>
      </c>
      <c r="AI455" s="51" t="s">
        <v>1</v>
      </c>
      <c r="AJ455" s="36" t="s">
        <v>1</v>
      </c>
      <c r="AK455" s="51" t="s">
        <v>1</v>
      </c>
      <c r="AL455" s="36" t="s">
        <v>1</v>
      </c>
      <c r="AM455" s="31" t="s">
        <v>1</v>
      </c>
      <c r="AN455" s="36" t="s">
        <v>1</v>
      </c>
      <c r="AO455" s="31" t="s">
        <v>1</v>
      </c>
      <c r="AP455" s="36" t="s">
        <v>1</v>
      </c>
      <c r="AQ455" s="51" t="s">
        <v>1</v>
      </c>
      <c r="AR455" s="36" t="s">
        <v>1</v>
      </c>
      <c r="AS455" s="47" t="s">
        <v>1</v>
      </c>
      <c r="AT455" s="36" t="s">
        <v>1</v>
      </c>
      <c r="AU455" s="47" t="s">
        <v>1</v>
      </c>
      <c r="AV455" s="36" t="s">
        <v>1</v>
      </c>
      <c r="AW455" s="47" t="s">
        <v>1</v>
      </c>
      <c r="AX455" s="36" t="s">
        <v>2065</v>
      </c>
      <c r="AY455" s="47" t="s">
        <v>2193</v>
      </c>
      <c r="AZ455" s="36" t="s">
        <v>1299</v>
      </c>
      <c r="BA455" s="47" t="s">
        <v>2193</v>
      </c>
      <c r="BB455" s="36" t="s">
        <v>2188</v>
      </c>
      <c r="BC455" s="47" t="s">
        <v>819</v>
      </c>
      <c r="BD455" s="36" t="s">
        <v>2189</v>
      </c>
      <c r="BE455" s="47" t="str">
        <f t="shared" si="16"/>
        <v>"Zona.de.Uso"</v>
      </c>
    </row>
    <row r="456" spans="1:57" ht="6.65" customHeight="1" x14ac:dyDescent="0.4">
      <c r="A456" s="93">
        <v>456</v>
      </c>
      <c r="B456" s="76" t="s">
        <v>1268</v>
      </c>
      <c r="C456" s="44" t="s">
        <v>1618</v>
      </c>
      <c r="D456" s="18" t="s">
        <v>744</v>
      </c>
      <c r="E456" s="48" t="s">
        <v>753</v>
      </c>
      <c r="F456" s="18" t="s">
        <v>1</v>
      </c>
      <c r="G456" s="20" t="s">
        <v>1</v>
      </c>
      <c r="H456" s="18" t="s">
        <v>1</v>
      </c>
      <c r="I456" s="20" t="s">
        <v>1</v>
      </c>
      <c r="J456" s="18" t="s">
        <v>1</v>
      </c>
      <c r="K456" s="20" t="s">
        <v>1</v>
      </c>
      <c r="L456" s="18" t="s">
        <v>1</v>
      </c>
      <c r="M456" s="20" t="s">
        <v>1</v>
      </c>
      <c r="N456" s="46" t="s">
        <v>82</v>
      </c>
      <c r="O456" s="25" t="s">
        <v>1269</v>
      </c>
      <c r="P456" s="46" t="s">
        <v>1</v>
      </c>
      <c r="Q456" s="25" t="s">
        <v>1</v>
      </c>
      <c r="R456" s="46" t="s">
        <v>1</v>
      </c>
      <c r="S456" s="52" t="s">
        <v>1</v>
      </c>
      <c r="T456" s="46" t="s">
        <v>1</v>
      </c>
      <c r="U456" s="31" t="s">
        <v>1</v>
      </c>
      <c r="V456" s="46" t="s">
        <v>1</v>
      </c>
      <c r="W456" s="31" t="s">
        <v>1</v>
      </c>
      <c r="X456" s="46" t="s">
        <v>1</v>
      </c>
      <c r="Y456" s="31" t="s">
        <v>1</v>
      </c>
      <c r="Z456" s="46" t="s">
        <v>1</v>
      </c>
      <c r="AA456" s="31" t="s">
        <v>1</v>
      </c>
      <c r="AB456" s="46" t="s">
        <v>1</v>
      </c>
      <c r="AC456" s="47" t="s">
        <v>1</v>
      </c>
      <c r="AD456" s="36" t="s">
        <v>1</v>
      </c>
      <c r="AE456" s="51" t="s">
        <v>1</v>
      </c>
      <c r="AF456" s="36" t="s">
        <v>1</v>
      </c>
      <c r="AG456" s="51" t="s">
        <v>1</v>
      </c>
      <c r="AH456" s="36" t="s">
        <v>1</v>
      </c>
      <c r="AI456" s="51" t="s">
        <v>1</v>
      </c>
      <c r="AJ456" s="36" t="s">
        <v>1</v>
      </c>
      <c r="AK456" s="51" t="s">
        <v>1</v>
      </c>
      <c r="AL456" s="36" t="s">
        <v>1</v>
      </c>
      <c r="AM456" s="31" t="s">
        <v>1</v>
      </c>
      <c r="AN456" s="36" t="s">
        <v>1</v>
      </c>
      <c r="AO456" s="31" t="s">
        <v>1</v>
      </c>
      <c r="AP456" s="36" t="s">
        <v>1</v>
      </c>
      <c r="AQ456" s="51" t="s">
        <v>1</v>
      </c>
      <c r="AR456" s="36" t="s">
        <v>1</v>
      </c>
      <c r="AS456" s="47" t="s">
        <v>1</v>
      </c>
      <c r="AT456" s="36" t="s">
        <v>1</v>
      </c>
      <c r="AU456" s="47" t="s">
        <v>1</v>
      </c>
      <c r="AV456" s="36" t="s">
        <v>1</v>
      </c>
      <c r="AW456" s="47" t="s">
        <v>1</v>
      </c>
      <c r="AX456" s="36" t="s">
        <v>2065</v>
      </c>
      <c r="AY456" s="47" t="s">
        <v>2193</v>
      </c>
      <c r="AZ456" s="36" t="s">
        <v>1299</v>
      </c>
      <c r="BA456" s="47" t="s">
        <v>2193</v>
      </c>
      <c r="BB456" s="36" t="s">
        <v>2188</v>
      </c>
      <c r="BC456" s="47" t="s">
        <v>819</v>
      </c>
      <c r="BD456" s="36" t="s">
        <v>2189</v>
      </c>
      <c r="BE456" s="47" t="str">
        <f t="shared" si="16"/>
        <v>"Zona.de.Uso"</v>
      </c>
    </row>
    <row r="457" spans="1:57" ht="6.65" customHeight="1" x14ac:dyDescent="0.4">
      <c r="A457" s="93">
        <v>457</v>
      </c>
      <c r="B457" s="76" t="s">
        <v>1270</v>
      </c>
      <c r="C457" s="44" t="s">
        <v>1618</v>
      </c>
      <c r="D457" s="18" t="s">
        <v>744</v>
      </c>
      <c r="E457" s="48" t="s">
        <v>753</v>
      </c>
      <c r="F457" s="18" t="s">
        <v>1</v>
      </c>
      <c r="G457" s="20" t="s">
        <v>1</v>
      </c>
      <c r="H457" s="18" t="s">
        <v>1</v>
      </c>
      <c r="I457" s="20" t="s">
        <v>1</v>
      </c>
      <c r="J457" s="18" t="s">
        <v>1</v>
      </c>
      <c r="K457" s="20" t="s">
        <v>1</v>
      </c>
      <c r="L457" s="18" t="s">
        <v>1</v>
      </c>
      <c r="M457" s="20" t="s">
        <v>1</v>
      </c>
      <c r="N457" s="46" t="s">
        <v>82</v>
      </c>
      <c r="O457" s="25" t="s">
        <v>1271</v>
      </c>
      <c r="P457" s="46" t="s">
        <v>1</v>
      </c>
      <c r="Q457" s="25" t="s">
        <v>1</v>
      </c>
      <c r="R457" s="46" t="s">
        <v>1</v>
      </c>
      <c r="S457" s="52" t="s">
        <v>1</v>
      </c>
      <c r="T457" s="46" t="s">
        <v>1</v>
      </c>
      <c r="U457" s="31" t="s">
        <v>1</v>
      </c>
      <c r="V457" s="46" t="s">
        <v>1</v>
      </c>
      <c r="W457" s="31" t="s">
        <v>1</v>
      </c>
      <c r="X457" s="46" t="s">
        <v>1</v>
      </c>
      <c r="Y457" s="31" t="s">
        <v>1</v>
      </c>
      <c r="Z457" s="46" t="s">
        <v>1</v>
      </c>
      <c r="AA457" s="31" t="s">
        <v>1</v>
      </c>
      <c r="AB457" s="46" t="s">
        <v>1</v>
      </c>
      <c r="AC457" s="47" t="s">
        <v>1</v>
      </c>
      <c r="AD457" s="36" t="s">
        <v>1</v>
      </c>
      <c r="AE457" s="51" t="s">
        <v>1</v>
      </c>
      <c r="AF457" s="36" t="s">
        <v>1</v>
      </c>
      <c r="AG457" s="51" t="s">
        <v>1</v>
      </c>
      <c r="AH457" s="36" t="s">
        <v>1</v>
      </c>
      <c r="AI457" s="51" t="s">
        <v>1</v>
      </c>
      <c r="AJ457" s="36" t="s">
        <v>1</v>
      </c>
      <c r="AK457" s="51" t="s">
        <v>1</v>
      </c>
      <c r="AL457" s="36" t="s">
        <v>1</v>
      </c>
      <c r="AM457" s="31" t="s">
        <v>1</v>
      </c>
      <c r="AN457" s="36" t="s">
        <v>1</v>
      </c>
      <c r="AO457" s="31" t="s">
        <v>1</v>
      </c>
      <c r="AP457" s="36" t="s">
        <v>1</v>
      </c>
      <c r="AQ457" s="51" t="s">
        <v>1</v>
      </c>
      <c r="AR457" s="36" t="s">
        <v>1</v>
      </c>
      <c r="AS457" s="47" t="s">
        <v>1</v>
      </c>
      <c r="AT457" s="36" t="s">
        <v>1</v>
      </c>
      <c r="AU457" s="47" t="s">
        <v>1</v>
      </c>
      <c r="AV457" s="36" t="s">
        <v>1</v>
      </c>
      <c r="AW457" s="47" t="s">
        <v>1</v>
      </c>
      <c r="AX457" s="36" t="s">
        <v>2065</v>
      </c>
      <c r="AY457" s="47" t="s">
        <v>2193</v>
      </c>
      <c r="AZ457" s="36" t="s">
        <v>1299</v>
      </c>
      <c r="BA457" s="47" t="s">
        <v>2193</v>
      </c>
      <c r="BB457" s="36" t="s">
        <v>2188</v>
      </c>
      <c r="BC457" s="47" t="s">
        <v>819</v>
      </c>
      <c r="BD457" s="36" t="s">
        <v>2189</v>
      </c>
      <c r="BE457" s="47" t="str">
        <f t="shared" si="16"/>
        <v>"Zona.de.Uso"</v>
      </c>
    </row>
    <row r="458" spans="1:57" ht="6.65" customHeight="1" x14ac:dyDescent="0.4">
      <c r="A458" s="93">
        <v>458</v>
      </c>
      <c r="B458" s="76" t="s">
        <v>1272</v>
      </c>
      <c r="C458" s="44" t="s">
        <v>1618</v>
      </c>
      <c r="D458" s="18" t="s">
        <v>744</v>
      </c>
      <c r="E458" s="48" t="s">
        <v>753</v>
      </c>
      <c r="F458" s="18" t="s">
        <v>1</v>
      </c>
      <c r="G458" s="20" t="s">
        <v>1</v>
      </c>
      <c r="H458" s="18" t="s">
        <v>1</v>
      </c>
      <c r="I458" s="20" t="s">
        <v>1</v>
      </c>
      <c r="J458" s="18" t="s">
        <v>1</v>
      </c>
      <c r="K458" s="20" t="s">
        <v>1</v>
      </c>
      <c r="L458" s="18" t="s">
        <v>1</v>
      </c>
      <c r="M458" s="20" t="s">
        <v>1</v>
      </c>
      <c r="N458" s="46" t="s">
        <v>82</v>
      </c>
      <c r="O458" s="25" t="s">
        <v>1273</v>
      </c>
      <c r="P458" s="46" t="s">
        <v>1</v>
      </c>
      <c r="Q458" s="25" t="s">
        <v>1</v>
      </c>
      <c r="R458" s="46" t="s">
        <v>1</v>
      </c>
      <c r="S458" s="52" t="s">
        <v>1</v>
      </c>
      <c r="T458" s="46" t="s">
        <v>1</v>
      </c>
      <c r="U458" s="31" t="s">
        <v>1</v>
      </c>
      <c r="V458" s="46" t="s">
        <v>1</v>
      </c>
      <c r="W458" s="31" t="s">
        <v>1</v>
      </c>
      <c r="X458" s="46" t="s">
        <v>1</v>
      </c>
      <c r="Y458" s="31" t="s">
        <v>1</v>
      </c>
      <c r="Z458" s="46" t="s">
        <v>1</v>
      </c>
      <c r="AA458" s="31" t="s">
        <v>1</v>
      </c>
      <c r="AB458" s="46" t="s">
        <v>1</v>
      </c>
      <c r="AC458" s="47" t="s">
        <v>1</v>
      </c>
      <c r="AD458" s="36" t="s">
        <v>1</v>
      </c>
      <c r="AE458" s="51" t="s">
        <v>1</v>
      </c>
      <c r="AF458" s="36" t="s">
        <v>1</v>
      </c>
      <c r="AG458" s="51" t="s">
        <v>1</v>
      </c>
      <c r="AH458" s="36" t="s">
        <v>1</v>
      </c>
      <c r="AI458" s="51" t="s">
        <v>1</v>
      </c>
      <c r="AJ458" s="36" t="s">
        <v>1</v>
      </c>
      <c r="AK458" s="51" t="s">
        <v>1</v>
      </c>
      <c r="AL458" s="36" t="s">
        <v>1</v>
      </c>
      <c r="AM458" s="31" t="s">
        <v>1</v>
      </c>
      <c r="AN458" s="36" t="s">
        <v>1</v>
      </c>
      <c r="AO458" s="31" t="s">
        <v>1</v>
      </c>
      <c r="AP458" s="36" t="s">
        <v>1</v>
      </c>
      <c r="AQ458" s="51" t="s">
        <v>1</v>
      </c>
      <c r="AR458" s="36" t="s">
        <v>1</v>
      </c>
      <c r="AS458" s="47" t="s">
        <v>1</v>
      </c>
      <c r="AT458" s="36" t="s">
        <v>1</v>
      </c>
      <c r="AU458" s="47" t="s">
        <v>1</v>
      </c>
      <c r="AV458" s="36" t="s">
        <v>1</v>
      </c>
      <c r="AW458" s="47" t="s">
        <v>1</v>
      </c>
      <c r="AX458" s="36" t="s">
        <v>2065</v>
      </c>
      <c r="AY458" s="47" t="s">
        <v>2193</v>
      </c>
      <c r="AZ458" s="36" t="s">
        <v>1299</v>
      </c>
      <c r="BA458" s="47" t="s">
        <v>2193</v>
      </c>
      <c r="BB458" s="36" t="s">
        <v>2188</v>
      </c>
      <c r="BC458" s="47" t="s">
        <v>819</v>
      </c>
      <c r="BD458" s="36" t="s">
        <v>2189</v>
      </c>
      <c r="BE458" s="47" t="str">
        <f t="shared" si="16"/>
        <v>"Zona.de.Uso"</v>
      </c>
    </row>
    <row r="459" spans="1:57" ht="6.65" customHeight="1" x14ac:dyDescent="0.4">
      <c r="A459" s="93">
        <v>459</v>
      </c>
      <c r="B459" s="76" t="s">
        <v>1274</v>
      </c>
      <c r="C459" s="44" t="s">
        <v>1618</v>
      </c>
      <c r="D459" s="18" t="s">
        <v>744</v>
      </c>
      <c r="E459" s="48" t="s">
        <v>753</v>
      </c>
      <c r="F459" s="18" t="s">
        <v>1</v>
      </c>
      <c r="G459" s="20" t="s">
        <v>1</v>
      </c>
      <c r="H459" s="18" t="s">
        <v>1</v>
      </c>
      <c r="I459" s="20" t="s">
        <v>1</v>
      </c>
      <c r="J459" s="18" t="s">
        <v>1</v>
      </c>
      <c r="K459" s="20" t="s">
        <v>1</v>
      </c>
      <c r="L459" s="18" t="s">
        <v>1</v>
      </c>
      <c r="M459" s="20" t="s">
        <v>1</v>
      </c>
      <c r="N459" s="46" t="s">
        <v>82</v>
      </c>
      <c r="O459" s="25" t="s">
        <v>1273</v>
      </c>
      <c r="P459" s="46" t="s">
        <v>1</v>
      </c>
      <c r="Q459" s="25" t="s">
        <v>1</v>
      </c>
      <c r="R459" s="46" t="s">
        <v>1</v>
      </c>
      <c r="S459" s="52" t="s">
        <v>1</v>
      </c>
      <c r="T459" s="46" t="s">
        <v>1</v>
      </c>
      <c r="U459" s="31" t="s">
        <v>1</v>
      </c>
      <c r="V459" s="46" t="s">
        <v>1</v>
      </c>
      <c r="W459" s="31" t="s">
        <v>1</v>
      </c>
      <c r="X459" s="46" t="s">
        <v>1</v>
      </c>
      <c r="Y459" s="31" t="s">
        <v>1</v>
      </c>
      <c r="Z459" s="46" t="s">
        <v>1</v>
      </c>
      <c r="AA459" s="31" t="s">
        <v>1</v>
      </c>
      <c r="AB459" s="46" t="s">
        <v>1</v>
      </c>
      <c r="AC459" s="47" t="s">
        <v>1</v>
      </c>
      <c r="AD459" s="36" t="s">
        <v>1</v>
      </c>
      <c r="AE459" s="51" t="s">
        <v>1</v>
      </c>
      <c r="AF459" s="36" t="s">
        <v>1</v>
      </c>
      <c r="AG459" s="51" t="s">
        <v>1</v>
      </c>
      <c r="AH459" s="36" t="s">
        <v>1</v>
      </c>
      <c r="AI459" s="51" t="s">
        <v>1</v>
      </c>
      <c r="AJ459" s="36" t="s">
        <v>1</v>
      </c>
      <c r="AK459" s="51" t="s">
        <v>1</v>
      </c>
      <c r="AL459" s="36" t="s">
        <v>1</v>
      </c>
      <c r="AM459" s="31" t="s">
        <v>1</v>
      </c>
      <c r="AN459" s="36" t="s">
        <v>1</v>
      </c>
      <c r="AO459" s="31" t="s">
        <v>1</v>
      </c>
      <c r="AP459" s="36" t="s">
        <v>1</v>
      </c>
      <c r="AQ459" s="51" t="s">
        <v>1</v>
      </c>
      <c r="AR459" s="36" t="s">
        <v>1</v>
      </c>
      <c r="AS459" s="47" t="s">
        <v>1</v>
      </c>
      <c r="AT459" s="36" t="s">
        <v>1</v>
      </c>
      <c r="AU459" s="47" t="s">
        <v>1</v>
      </c>
      <c r="AV459" s="36" t="s">
        <v>1</v>
      </c>
      <c r="AW459" s="47" t="s">
        <v>1</v>
      </c>
      <c r="AX459" s="36" t="s">
        <v>2065</v>
      </c>
      <c r="AY459" s="47" t="s">
        <v>2193</v>
      </c>
      <c r="AZ459" s="36" t="s">
        <v>1299</v>
      </c>
      <c r="BA459" s="47" t="s">
        <v>2193</v>
      </c>
      <c r="BB459" s="36" t="s">
        <v>2188</v>
      </c>
      <c r="BC459" s="47" t="s">
        <v>819</v>
      </c>
      <c r="BD459" s="36" t="s">
        <v>2189</v>
      </c>
      <c r="BE459" s="47" t="str">
        <f t="shared" si="16"/>
        <v>"Zona.de.Uso"</v>
      </c>
    </row>
    <row r="460" spans="1:57" ht="6.65" customHeight="1" x14ac:dyDescent="0.4">
      <c r="A460" s="93">
        <v>460</v>
      </c>
      <c r="B460" s="76" t="s">
        <v>1275</v>
      </c>
      <c r="C460" s="44" t="s">
        <v>1618</v>
      </c>
      <c r="D460" s="18" t="s">
        <v>744</v>
      </c>
      <c r="E460" s="48" t="s">
        <v>753</v>
      </c>
      <c r="F460" s="18" t="s">
        <v>1</v>
      </c>
      <c r="G460" s="20" t="s">
        <v>1</v>
      </c>
      <c r="H460" s="18" t="s">
        <v>1</v>
      </c>
      <c r="I460" s="20" t="s">
        <v>1</v>
      </c>
      <c r="J460" s="18" t="s">
        <v>1</v>
      </c>
      <c r="K460" s="20" t="s">
        <v>1</v>
      </c>
      <c r="L460" s="18" t="s">
        <v>1</v>
      </c>
      <c r="M460" s="20" t="s">
        <v>1</v>
      </c>
      <c r="N460" s="46" t="s">
        <v>82</v>
      </c>
      <c r="O460" s="25" t="s">
        <v>1273</v>
      </c>
      <c r="P460" s="46" t="s">
        <v>1</v>
      </c>
      <c r="Q460" s="25" t="s">
        <v>1</v>
      </c>
      <c r="R460" s="46" t="s">
        <v>1</v>
      </c>
      <c r="S460" s="52" t="s">
        <v>1</v>
      </c>
      <c r="T460" s="46" t="s">
        <v>1</v>
      </c>
      <c r="U460" s="31" t="s">
        <v>1</v>
      </c>
      <c r="V460" s="46" t="s">
        <v>1</v>
      </c>
      <c r="W460" s="31" t="s">
        <v>1</v>
      </c>
      <c r="X460" s="46" t="s">
        <v>1</v>
      </c>
      <c r="Y460" s="31" t="s">
        <v>1</v>
      </c>
      <c r="Z460" s="46" t="s">
        <v>1</v>
      </c>
      <c r="AA460" s="31" t="s">
        <v>1</v>
      </c>
      <c r="AB460" s="46" t="s">
        <v>1</v>
      </c>
      <c r="AC460" s="47" t="s">
        <v>1</v>
      </c>
      <c r="AD460" s="36" t="s">
        <v>1</v>
      </c>
      <c r="AE460" s="51" t="s">
        <v>1</v>
      </c>
      <c r="AF460" s="36" t="s">
        <v>1</v>
      </c>
      <c r="AG460" s="51" t="s">
        <v>1</v>
      </c>
      <c r="AH460" s="36" t="s">
        <v>1</v>
      </c>
      <c r="AI460" s="51" t="s">
        <v>1</v>
      </c>
      <c r="AJ460" s="36" t="s">
        <v>1</v>
      </c>
      <c r="AK460" s="51" t="s">
        <v>1</v>
      </c>
      <c r="AL460" s="36" t="s">
        <v>1</v>
      </c>
      <c r="AM460" s="31" t="s">
        <v>1</v>
      </c>
      <c r="AN460" s="36" t="s">
        <v>1</v>
      </c>
      <c r="AO460" s="31" t="s">
        <v>1</v>
      </c>
      <c r="AP460" s="36" t="s">
        <v>1</v>
      </c>
      <c r="AQ460" s="51" t="s">
        <v>1</v>
      </c>
      <c r="AR460" s="36" t="s">
        <v>1</v>
      </c>
      <c r="AS460" s="47" t="s">
        <v>1</v>
      </c>
      <c r="AT460" s="36" t="s">
        <v>1</v>
      </c>
      <c r="AU460" s="47" t="s">
        <v>1</v>
      </c>
      <c r="AV460" s="36" t="s">
        <v>1</v>
      </c>
      <c r="AW460" s="47" t="s">
        <v>1</v>
      </c>
      <c r="AX460" s="36" t="s">
        <v>2065</v>
      </c>
      <c r="AY460" s="47" t="s">
        <v>2193</v>
      </c>
      <c r="AZ460" s="36" t="s">
        <v>1299</v>
      </c>
      <c r="BA460" s="47" t="s">
        <v>2193</v>
      </c>
      <c r="BB460" s="36" t="s">
        <v>2188</v>
      </c>
      <c r="BC460" s="47" t="s">
        <v>819</v>
      </c>
      <c r="BD460" s="36" t="s">
        <v>2189</v>
      </c>
      <c r="BE460" s="47" t="str">
        <f t="shared" si="16"/>
        <v>"Zona.de.Uso"</v>
      </c>
    </row>
    <row r="461" spans="1:57" ht="6.65" customHeight="1" x14ac:dyDescent="0.4">
      <c r="A461" s="93">
        <v>461</v>
      </c>
      <c r="B461" s="76" t="s">
        <v>1276</v>
      </c>
      <c r="C461" s="44" t="s">
        <v>1618</v>
      </c>
      <c r="D461" s="18" t="s">
        <v>744</v>
      </c>
      <c r="E461" s="48" t="s">
        <v>753</v>
      </c>
      <c r="F461" s="18" t="s">
        <v>1</v>
      </c>
      <c r="G461" s="20" t="s">
        <v>1</v>
      </c>
      <c r="H461" s="18" t="s">
        <v>1</v>
      </c>
      <c r="I461" s="20" t="s">
        <v>1</v>
      </c>
      <c r="J461" s="18" t="s">
        <v>1</v>
      </c>
      <c r="K461" s="20" t="s">
        <v>1</v>
      </c>
      <c r="L461" s="18" t="s">
        <v>1</v>
      </c>
      <c r="M461" s="20" t="s">
        <v>1</v>
      </c>
      <c r="N461" s="46" t="s">
        <v>82</v>
      </c>
      <c r="O461" s="25" t="s">
        <v>1277</v>
      </c>
      <c r="P461" s="46" t="s">
        <v>1</v>
      </c>
      <c r="Q461" s="25" t="s">
        <v>1</v>
      </c>
      <c r="R461" s="46" t="s">
        <v>1</v>
      </c>
      <c r="S461" s="52" t="s">
        <v>1</v>
      </c>
      <c r="T461" s="46" t="s">
        <v>1</v>
      </c>
      <c r="U461" s="31" t="s">
        <v>1</v>
      </c>
      <c r="V461" s="46" t="s">
        <v>1</v>
      </c>
      <c r="W461" s="31" t="s">
        <v>1</v>
      </c>
      <c r="X461" s="46" t="s">
        <v>1</v>
      </c>
      <c r="Y461" s="31" t="s">
        <v>1</v>
      </c>
      <c r="Z461" s="46" t="s">
        <v>1</v>
      </c>
      <c r="AA461" s="31" t="s">
        <v>1</v>
      </c>
      <c r="AB461" s="46" t="s">
        <v>1</v>
      </c>
      <c r="AC461" s="47" t="s">
        <v>1</v>
      </c>
      <c r="AD461" s="36" t="s">
        <v>1</v>
      </c>
      <c r="AE461" s="51" t="s">
        <v>1</v>
      </c>
      <c r="AF461" s="36" t="s">
        <v>1</v>
      </c>
      <c r="AG461" s="51" t="s">
        <v>1</v>
      </c>
      <c r="AH461" s="36" t="s">
        <v>1</v>
      </c>
      <c r="AI461" s="51" t="s">
        <v>1</v>
      </c>
      <c r="AJ461" s="36" t="s">
        <v>1</v>
      </c>
      <c r="AK461" s="51" t="s">
        <v>1</v>
      </c>
      <c r="AL461" s="36" t="s">
        <v>1</v>
      </c>
      <c r="AM461" s="31" t="s">
        <v>1</v>
      </c>
      <c r="AN461" s="36" t="s">
        <v>1</v>
      </c>
      <c r="AO461" s="31" t="s">
        <v>1</v>
      </c>
      <c r="AP461" s="36" t="s">
        <v>1</v>
      </c>
      <c r="AQ461" s="51" t="s">
        <v>1</v>
      </c>
      <c r="AR461" s="36" t="s">
        <v>1</v>
      </c>
      <c r="AS461" s="47" t="s">
        <v>1</v>
      </c>
      <c r="AT461" s="36" t="s">
        <v>1</v>
      </c>
      <c r="AU461" s="47" t="s">
        <v>1</v>
      </c>
      <c r="AV461" s="36" t="s">
        <v>1</v>
      </c>
      <c r="AW461" s="47" t="s">
        <v>1</v>
      </c>
      <c r="AX461" s="36" t="s">
        <v>2065</v>
      </c>
      <c r="AY461" s="47" t="s">
        <v>2193</v>
      </c>
      <c r="AZ461" s="36" t="s">
        <v>1299</v>
      </c>
      <c r="BA461" s="47" t="s">
        <v>2193</v>
      </c>
      <c r="BB461" s="36" t="s">
        <v>2188</v>
      </c>
      <c r="BC461" s="47" t="s">
        <v>819</v>
      </c>
      <c r="BD461" s="36" t="s">
        <v>2189</v>
      </c>
      <c r="BE461" s="47" t="str">
        <f t="shared" si="16"/>
        <v>"Zona.de.Uso"</v>
      </c>
    </row>
    <row r="462" spans="1:57" ht="6.65" customHeight="1" x14ac:dyDescent="0.4">
      <c r="A462" s="93">
        <v>462</v>
      </c>
      <c r="B462" s="76" t="s">
        <v>1278</v>
      </c>
      <c r="C462" s="44" t="s">
        <v>1618</v>
      </c>
      <c r="D462" s="18" t="s">
        <v>744</v>
      </c>
      <c r="E462" s="48" t="s">
        <v>753</v>
      </c>
      <c r="F462" s="18" t="s">
        <v>1</v>
      </c>
      <c r="G462" s="20" t="s">
        <v>1</v>
      </c>
      <c r="H462" s="18" t="s">
        <v>1</v>
      </c>
      <c r="I462" s="20" t="s">
        <v>1</v>
      </c>
      <c r="J462" s="18" t="s">
        <v>1</v>
      </c>
      <c r="K462" s="20" t="s">
        <v>1</v>
      </c>
      <c r="L462" s="18" t="s">
        <v>1</v>
      </c>
      <c r="M462" s="20" t="s">
        <v>1</v>
      </c>
      <c r="N462" s="46" t="s">
        <v>82</v>
      </c>
      <c r="O462" s="25" t="s">
        <v>1277</v>
      </c>
      <c r="P462" s="46" t="s">
        <v>1</v>
      </c>
      <c r="Q462" s="25" t="s">
        <v>1</v>
      </c>
      <c r="R462" s="46" t="s">
        <v>1</v>
      </c>
      <c r="S462" s="52" t="s">
        <v>1</v>
      </c>
      <c r="T462" s="46" t="s">
        <v>1</v>
      </c>
      <c r="U462" s="31" t="s">
        <v>1</v>
      </c>
      <c r="V462" s="46" t="s">
        <v>1</v>
      </c>
      <c r="W462" s="31" t="s">
        <v>1</v>
      </c>
      <c r="X462" s="46" t="s">
        <v>1</v>
      </c>
      <c r="Y462" s="31" t="s">
        <v>1</v>
      </c>
      <c r="Z462" s="46" t="s">
        <v>1</v>
      </c>
      <c r="AA462" s="31" t="s">
        <v>1</v>
      </c>
      <c r="AB462" s="46" t="s">
        <v>1</v>
      </c>
      <c r="AC462" s="47" t="s">
        <v>1</v>
      </c>
      <c r="AD462" s="36" t="s">
        <v>1</v>
      </c>
      <c r="AE462" s="51" t="s">
        <v>1</v>
      </c>
      <c r="AF462" s="36" t="s">
        <v>1</v>
      </c>
      <c r="AG462" s="51" t="s">
        <v>1</v>
      </c>
      <c r="AH462" s="36" t="s">
        <v>1</v>
      </c>
      <c r="AI462" s="51" t="s">
        <v>1</v>
      </c>
      <c r="AJ462" s="36" t="s">
        <v>1</v>
      </c>
      <c r="AK462" s="51" t="s">
        <v>1</v>
      </c>
      <c r="AL462" s="36" t="s">
        <v>1</v>
      </c>
      <c r="AM462" s="31" t="s">
        <v>1</v>
      </c>
      <c r="AN462" s="36" t="s">
        <v>1</v>
      </c>
      <c r="AO462" s="31" t="s">
        <v>1</v>
      </c>
      <c r="AP462" s="36" t="s">
        <v>1</v>
      </c>
      <c r="AQ462" s="51" t="s">
        <v>1</v>
      </c>
      <c r="AR462" s="36" t="s">
        <v>1</v>
      </c>
      <c r="AS462" s="47" t="s">
        <v>1</v>
      </c>
      <c r="AT462" s="36" t="s">
        <v>1</v>
      </c>
      <c r="AU462" s="47" t="s">
        <v>1</v>
      </c>
      <c r="AV462" s="36" t="s">
        <v>1</v>
      </c>
      <c r="AW462" s="47" t="s">
        <v>1</v>
      </c>
      <c r="AX462" s="36" t="s">
        <v>2065</v>
      </c>
      <c r="AY462" s="47" t="s">
        <v>2193</v>
      </c>
      <c r="AZ462" s="36" t="s">
        <v>1299</v>
      </c>
      <c r="BA462" s="47" t="s">
        <v>2193</v>
      </c>
      <c r="BB462" s="36" t="s">
        <v>2188</v>
      </c>
      <c r="BC462" s="47" t="s">
        <v>819</v>
      </c>
      <c r="BD462" s="36" t="s">
        <v>2189</v>
      </c>
      <c r="BE462" s="47" t="str">
        <f t="shared" si="16"/>
        <v>"Zona.de.Uso"</v>
      </c>
    </row>
    <row r="463" spans="1:57" ht="6.65" customHeight="1" x14ac:dyDescent="0.4">
      <c r="A463" s="93">
        <v>463</v>
      </c>
      <c r="B463" s="76" t="s">
        <v>1279</v>
      </c>
      <c r="C463" s="44" t="s">
        <v>1618</v>
      </c>
      <c r="D463" s="18" t="s">
        <v>744</v>
      </c>
      <c r="E463" s="48" t="s">
        <v>753</v>
      </c>
      <c r="F463" s="18" t="s">
        <v>1</v>
      </c>
      <c r="G463" s="20" t="s">
        <v>1</v>
      </c>
      <c r="H463" s="18" t="s">
        <v>1</v>
      </c>
      <c r="I463" s="20" t="s">
        <v>1</v>
      </c>
      <c r="J463" s="18" t="s">
        <v>1</v>
      </c>
      <c r="K463" s="20" t="s">
        <v>1</v>
      </c>
      <c r="L463" s="18" t="s">
        <v>1</v>
      </c>
      <c r="M463" s="20" t="s">
        <v>1</v>
      </c>
      <c r="N463" s="46" t="s">
        <v>82</v>
      </c>
      <c r="O463" s="25" t="s">
        <v>1280</v>
      </c>
      <c r="P463" s="46" t="s">
        <v>1</v>
      </c>
      <c r="Q463" s="25" t="s">
        <v>1</v>
      </c>
      <c r="R463" s="46" t="s">
        <v>1</v>
      </c>
      <c r="S463" s="52" t="s">
        <v>1</v>
      </c>
      <c r="T463" s="46" t="s">
        <v>1</v>
      </c>
      <c r="U463" s="31" t="s">
        <v>1</v>
      </c>
      <c r="V463" s="46" t="s">
        <v>1</v>
      </c>
      <c r="W463" s="31" t="s">
        <v>1</v>
      </c>
      <c r="X463" s="46" t="s">
        <v>1</v>
      </c>
      <c r="Y463" s="31" t="s">
        <v>1</v>
      </c>
      <c r="Z463" s="46" t="s">
        <v>1</v>
      </c>
      <c r="AA463" s="31" t="s">
        <v>1</v>
      </c>
      <c r="AB463" s="46" t="s">
        <v>1</v>
      </c>
      <c r="AC463" s="47" t="s">
        <v>1</v>
      </c>
      <c r="AD463" s="36" t="s">
        <v>1</v>
      </c>
      <c r="AE463" s="51" t="s">
        <v>1</v>
      </c>
      <c r="AF463" s="36" t="s">
        <v>1</v>
      </c>
      <c r="AG463" s="51" t="s">
        <v>1</v>
      </c>
      <c r="AH463" s="36" t="s">
        <v>1</v>
      </c>
      <c r="AI463" s="51" t="s">
        <v>1</v>
      </c>
      <c r="AJ463" s="36" t="s">
        <v>1</v>
      </c>
      <c r="AK463" s="51" t="s">
        <v>1</v>
      </c>
      <c r="AL463" s="36" t="s">
        <v>1</v>
      </c>
      <c r="AM463" s="31" t="s">
        <v>1</v>
      </c>
      <c r="AN463" s="36" t="s">
        <v>1</v>
      </c>
      <c r="AO463" s="31" t="s">
        <v>1</v>
      </c>
      <c r="AP463" s="36" t="s">
        <v>1</v>
      </c>
      <c r="AQ463" s="51" t="s">
        <v>1</v>
      </c>
      <c r="AR463" s="36" t="s">
        <v>1</v>
      </c>
      <c r="AS463" s="47" t="s">
        <v>1</v>
      </c>
      <c r="AT463" s="36" t="s">
        <v>1</v>
      </c>
      <c r="AU463" s="47" t="s">
        <v>1</v>
      </c>
      <c r="AV463" s="36" t="s">
        <v>1</v>
      </c>
      <c r="AW463" s="47" t="s">
        <v>1</v>
      </c>
      <c r="AX463" s="36" t="s">
        <v>2065</v>
      </c>
      <c r="AY463" s="47" t="s">
        <v>2193</v>
      </c>
      <c r="AZ463" s="36" t="s">
        <v>1299</v>
      </c>
      <c r="BA463" s="47" t="s">
        <v>2193</v>
      </c>
      <c r="BB463" s="36" t="s">
        <v>2188</v>
      </c>
      <c r="BC463" s="47" t="s">
        <v>819</v>
      </c>
      <c r="BD463" s="36" t="s">
        <v>2189</v>
      </c>
      <c r="BE463" s="47" t="str">
        <f t="shared" si="16"/>
        <v>"Zona.de.Uso"</v>
      </c>
    </row>
    <row r="464" spans="1:57" ht="6.65" customHeight="1" x14ac:dyDescent="0.4">
      <c r="A464" s="93">
        <v>464</v>
      </c>
      <c r="B464" s="76" t="s">
        <v>1281</v>
      </c>
      <c r="C464" s="44" t="s">
        <v>1618</v>
      </c>
      <c r="D464" s="18" t="s">
        <v>744</v>
      </c>
      <c r="E464" s="48" t="s">
        <v>753</v>
      </c>
      <c r="F464" s="18" t="s">
        <v>1</v>
      </c>
      <c r="G464" s="20" t="s">
        <v>1</v>
      </c>
      <c r="H464" s="18" t="s">
        <v>1</v>
      </c>
      <c r="I464" s="20" t="s">
        <v>1</v>
      </c>
      <c r="J464" s="18" t="s">
        <v>1</v>
      </c>
      <c r="K464" s="20" t="s">
        <v>1</v>
      </c>
      <c r="L464" s="18" t="s">
        <v>1</v>
      </c>
      <c r="M464" s="20" t="s">
        <v>1</v>
      </c>
      <c r="N464" s="46" t="s">
        <v>82</v>
      </c>
      <c r="O464" s="25" t="s">
        <v>1282</v>
      </c>
      <c r="P464" s="46" t="s">
        <v>1</v>
      </c>
      <c r="Q464" s="25" t="s">
        <v>1</v>
      </c>
      <c r="R464" s="46" t="s">
        <v>1</v>
      </c>
      <c r="S464" s="52" t="s">
        <v>1</v>
      </c>
      <c r="T464" s="46" t="s">
        <v>1</v>
      </c>
      <c r="U464" s="31" t="s">
        <v>1</v>
      </c>
      <c r="V464" s="46" t="s">
        <v>1</v>
      </c>
      <c r="W464" s="31" t="s">
        <v>1</v>
      </c>
      <c r="X464" s="46" t="s">
        <v>1</v>
      </c>
      <c r="Y464" s="31" t="s">
        <v>1</v>
      </c>
      <c r="Z464" s="46" t="s">
        <v>1</v>
      </c>
      <c r="AA464" s="31" t="s">
        <v>1</v>
      </c>
      <c r="AB464" s="46" t="s">
        <v>1</v>
      </c>
      <c r="AC464" s="47" t="s">
        <v>1</v>
      </c>
      <c r="AD464" s="36" t="s">
        <v>1</v>
      </c>
      <c r="AE464" s="51" t="s">
        <v>1</v>
      </c>
      <c r="AF464" s="36" t="s">
        <v>1</v>
      </c>
      <c r="AG464" s="51" t="s">
        <v>1</v>
      </c>
      <c r="AH464" s="36" t="s">
        <v>1</v>
      </c>
      <c r="AI464" s="51" t="s">
        <v>1</v>
      </c>
      <c r="AJ464" s="36" t="s">
        <v>1</v>
      </c>
      <c r="AK464" s="51" t="s">
        <v>1</v>
      </c>
      <c r="AL464" s="36" t="s">
        <v>1</v>
      </c>
      <c r="AM464" s="31" t="s">
        <v>1</v>
      </c>
      <c r="AN464" s="36" t="s">
        <v>1</v>
      </c>
      <c r="AO464" s="31" t="s">
        <v>1</v>
      </c>
      <c r="AP464" s="36" t="s">
        <v>1</v>
      </c>
      <c r="AQ464" s="51" t="s">
        <v>1</v>
      </c>
      <c r="AR464" s="36" t="s">
        <v>1</v>
      </c>
      <c r="AS464" s="47" t="s">
        <v>1</v>
      </c>
      <c r="AT464" s="36" t="s">
        <v>1</v>
      </c>
      <c r="AU464" s="47" t="s">
        <v>1</v>
      </c>
      <c r="AV464" s="36" t="s">
        <v>1</v>
      </c>
      <c r="AW464" s="47" t="s">
        <v>1</v>
      </c>
      <c r="AX464" s="36" t="s">
        <v>2065</v>
      </c>
      <c r="AY464" s="47" t="s">
        <v>2193</v>
      </c>
      <c r="AZ464" s="36" t="s">
        <v>1299</v>
      </c>
      <c r="BA464" s="47" t="s">
        <v>2193</v>
      </c>
      <c r="BB464" s="36" t="s">
        <v>2188</v>
      </c>
      <c r="BC464" s="47" t="s">
        <v>819</v>
      </c>
      <c r="BD464" s="36" t="s">
        <v>2189</v>
      </c>
      <c r="BE464" s="47" t="str">
        <f t="shared" si="16"/>
        <v>"Zona.de.Uso"</v>
      </c>
    </row>
    <row r="465" spans="1:57" ht="6.65" customHeight="1" x14ac:dyDescent="0.4">
      <c r="A465" s="93">
        <v>465</v>
      </c>
      <c r="B465" s="74" t="s">
        <v>1063</v>
      </c>
      <c r="C465" s="44" t="s">
        <v>661</v>
      </c>
      <c r="D465" s="18" t="s">
        <v>744</v>
      </c>
      <c r="E465" s="48" t="s">
        <v>753</v>
      </c>
      <c r="F465" s="18" t="s">
        <v>1</v>
      </c>
      <c r="G465" s="20" t="s">
        <v>1</v>
      </c>
      <c r="H465" s="18" t="s">
        <v>1</v>
      </c>
      <c r="I465" s="20" t="s">
        <v>1</v>
      </c>
      <c r="J465" s="18" t="s">
        <v>1</v>
      </c>
      <c r="K465" s="20" t="s">
        <v>1</v>
      </c>
      <c r="L465" s="18" t="s">
        <v>1</v>
      </c>
      <c r="M465" s="20" t="s">
        <v>1</v>
      </c>
      <c r="N465" s="46" t="s">
        <v>82</v>
      </c>
      <c r="O465" s="25" t="s">
        <v>1283</v>
      </c>
      <c r="P465" s="46" t="s">
        <v>1</v>
      </c>
      <c r="Q465" s="25" t="s">
        <v>1</v>
      </c>
      <c r="R465" s="46" t="s">
        <v>1</v>
      </c>
      <c r="S465" s="52" t="s">
        <v>1</v>
      </c>
      <c r="T465" s="46" t="s">
        <v>1</v>
      </c>
      <c r="U465" s="31" t="s">
        <v>1</v>
      </c>
      <c r="V465" s="46" t="s">
        <v>1</v>
      </c>
      <c r="W465" s="31" t="s">
        <v>1</v>
      </c>
      <c r="X465" s="46" t="s">
        <v>1</v>
      </c>
      <c r="Y465" s="31" t="s">
        <v>1</v>
      </c>
      <c r="Z465" s="46" t="s">
        <v>1</v>
      </c>
      <c r="AA465" s="31" t="s">
        <v>1</v>
      </c>
      <c r="AB465" s="46" t="s">
        <v>1</v>
      </c>
      <c r="AC465" s="47" t="s">
        <v>1</v>
      </c>
      <c r="AD465" s="36" t="s">
        <v>1</v>
      </c>
      <c r="AE465" s="51" t="s">
        <v>1</v>
      </c>
      <c r="AF465" s="36" t="s">
        <v>1</v>
      </c>
      <c r="AG465" s="51" t="s">
        <v>1</v>
      </c>
      <c r="AH465" s="36" t="s">
        <v>1</v>
      </c>
      <c r="AI465" s="51" t="s">
        <v>1</v>
      </c>
      <c r="AJ465" s="36" t="s">
        <v>1</v>
      </c>
      <c r="AK465" s="51" t="s">
        <v>1</v>
      </c>
      <c r="AL465" s="36" t="s">
        <v>1</v>
      </c>
      <c r="AM465" s="31" t="s">
        <v>1</v>
      </c>
      <c r="AN465" s="36" t="s">
        <v>1</v>
      </c>
      <c r="AO465" s="31" t="s">
        <v>1</v>
      </c>
      <c r="AP465" s="36" t="s">
        <v>1</v>
      </c>
      <c r="AQ465" s="51" t="s">
        <v>1</v>
      </c>
      <c r="AR465" s="36" t="s">
        <v>1</v>
      </c>
      <c r="AS465" s="47" t="s">
        <v>1</v>
      </c>
      <c r="AT465" s="36" t="s">
        <v>1</v>
      </c>
      <c r="AU465" s="47" t="s">
        <v>1</v>
      </c>
      <c r="AV465" s="36" t="s">
        <v>1</v>
      </c>
      <c r="AW465" s="47" t="s">
        <v>1</v>
      </c>
      <c r="AX465" s="36" t="s">
        <v>2065</v>
      </c>
      <c r="AY465" s="47" t="s">
        <v>2193</v>
      </c>
      <c r="AZ465" s="36" t="s">
        <v>1299</v>
      </c>
      <c r="BA465" s="47" t="s">
        <v>2193</v>
      </c>
      <c r="BB465" s="36" t="s">
        <v>2188</v>
      </c>
      <c r="BC465" s="47" t="s">
        <v>819</v>
      </c>
      <c r="BD465" s="36" t="s">
        <v>2189</v>
      </c>
      <c r="BE465" s="47" t="str">
        <f t="shared" si="16"/>
        <v>"Zona"</v>
      </c>
    </row>
    <row r="466" spans="1:57" ht="6.65" customHeight="1" x14ac:dyDescent="0.4">
      <c r="A466" s="93">
        <v>466</v>
      </c>
      <c r="B466" s="74" t="s">
        <v>1067</v>
      </c>
      <c r="C466" s="44" t="s">
        <v>661</v>
      </c>
      <c r="D466" s="18" t="s">
        <v>744</v>
      </c>
      <c r="E466" s="48" t="s">
        <v>753</v>
      </c>
      <c r="F466" s="18" t="s">
        <v>1</v>
      </c>
      <c r="G466" s="20" t="s">
        <v>1</v>
      </c>
      <c r="H466" s="18" t="s">
        <v>1</v>
      </c>
      <c r="I466" s="20" t="s">
        <v>1</v>
      </c>
      <c r="J466" s="18" t="s">
        <v>1</v>
      </c>
      <c r="K466" s="20" t="s">
        <v>1</v>
      </c>
      <c r="L466" s="18" t="s">
        <v>1</v>
      </c>
      <c r="M466" s="20" t="s">
        <v>1</v>
      </c>
      <c r="N466" s="46" t="s">
        <v>82</v>
      </c>
      <c r="O466" s="25" t="s">
        <v>1284</v>
      </c>
      <c r="P466" s="46" t="s">
        <v>1</v>
      </c>
      <c r="Q466" s="25" t="s">
        <v>1</v>
      </c>
      <c r="R466" s="46" t="s">
        <v>1</v>
      </c>
      <c r="S466" s="52" t="s">
        <v>1</v>
      </c>
      <c r="T466" s="46" t="s">
        <v>1</v>
      </c>
      <c r="U466" s="31" t="s">
        <v>1</v>
      </c>
      <c r="V466" s="46" t="s">
        <v>1</v>
      </c>
      <c r="W466" s="31" t="s">
        <v>1</v>
      </c>
      <c r="X466" s="46" t="s">
        <v>1</v>
      </c>
      <c r="Y466" s="31" t="s">
        <v>1</v>
      </c>
      <c r="Z466" s="46" t="s">
        <v>1</v>
      </c>
      <c r="AA466" s="31" t="s">
        <v>1</v>
      </c>
      <c r="AB466" s="46" t="s">
        <v>1</v>
      </c>
      <c r="AC466" s="47" t="s">
        <v>1</v>
      </c>
      <c r="AD466" s="36" t="s">
        <v>1</v>
      </c>
      <c r="AE466" s="51" t="s">
        <v>1</v>
      </c>
      <c r="AF466" s="36" t="s">
        <v>1</v>
      </c>
      <c r="AG466" s="51" t="s">
        <v>1</v>
      </c>
      <c r="AH466" s="36" t="s">
        <v>1</v>
      </c>
      <c r="AI466" s="51" t="s">
        <v>1</v>
      </c>
      <c r="AJ466" s="36" t="s">
        <v>1</v>
      </c>
      <c r="AK466" s="51" t="s">
        <v>1</v>
      </c>
      <c r="AL466" s="36" t="s">
        <v>1</v>
      </c>
      <c r="AM466" s="31" t="s">
        <v>1</v>
      </c>
      <c r="AN466" s="36" t="s">
        <v>1</v>
      </c>
      <c r="AO466" s="31" t="s">
        <v>1</v>
      </c>
      <c r="AP466" s="36" t="s">
        <v>1</v>
      </c>
      <c r="AQ466" s="51" t="s">
        <v>1</v>
      </c>
      <c r="AR466" s="36" t="s">
        <v>1</v>
      </c>
      <c r="AS466" s="47" t="s">
        <v>1</v>
      </c>
      <c r="AT466" s="36" t="s">
        <v>1</v>
      </c>
      <c r="AU466" s="47" t="s">
        <v>1</v>
      </c>
      <c r="AV466" s="36" t="s">
        <v>1</v>
      </c>
      <c r="AW466" s="47" t="s">
        <v>1</v>
      </c>
      <c r="AX466" s="36" t="s">
        <v>2065</v>
      </c>
      <c r="AY466" s="47" t="s">
        <v>2193</v>
      </c>
      <c r="AZ466" s="36" t="s">
        <v>1299</v>
      </c>
      <c r="BA466" s="47" t="s">
        <v>2193</v>
      </c>
      <c r="BB466" s="36" t="s">
        <v>2188</v>
      </c>
      <c r="BC466" s="47" t="s">
        <v>819</v>
      </c>
      <c r="BD466" s="36" t="s">
        <v>2189</v>
      </c>
      <c r="BE466" s="47" t="str">
        <f t="shared" si="16"/>
        <v>"Zona"</v>
      </c>
    </row>
    <row r="467" spans="1:57" ht="6.65" customHeight="1" x14ac:dyDescent="0.4">
      <c r="A467" s="93">
        <v>467</v>
      </c>
      <c r="B467" s="74" t="s">
        <v>1071</v>
      </c>
      <c r="C467" s="44" t="s">
        <v>661</v>
      </c>
      <c r="D467" s="18" t="s">
        <v>744</v>
      </c>
      <c r="E467" s="48" t="s">
        <v>753</v>
      </c>
      <c r="F467" s="18" t="s">
        <v>1</v>
      </c>
      <c r="G467" s="20" t="s">
        <v>1</v>
      </c>
      <c r="H467" s="18" t="s">
        <v>1</v>
      </c>
      <c r="I467" s="20" t="s">
        <v>1</v>
      </c>
      <c r="J467" s="18" t="s">
        <v>1</v>
      </c>
      <c r="K467" s="20" t="s">
        <v>1</v>
      </c>
      <c r="L467" s="18" t="s">
        <v>1</v>
      </c>
      <c r="M467" s="20" t="s">
        <v>1</v>
      </c>
      <c r="N467" s="46" t="s">
        <v>82</v>
      </c>
      <c r="O467" s="25" t="s">
        <v>1285</v>
      </c>
      <c r="P467" s="46" t="s">
        <v>1</v>
      </c>
      <c r="Q467" s="25" t="s">
        <v>1</v>
      </c>
      <c r="R467" s="46" t="s">
        <v>1</v>
      </c>
      <c r="S467" s="52" t="s">
        <v>1</v>
      </c>
      <c r="T467" s="46" t="s">
        <v>1</v>
      </c>
      <c r="U467" s="31" t="s">
        <v>1</v>
      </c>
      <c r="V467" s="46" t="s">
        <v>1</v>
      </c>
      <c r="W467" s="31" t="s">
        <v>1</v>
      </c>
      <c r="X467" s="46" t="s">
        <v>1</v>
      </c>
      <c r="Y467" s="31" t="s">
        <v>1</v>
      </c>
      <c r="Z467" s="46" t="s">
        <v>1</v>
      </c>
      <c r="AA467" s="31" t="s">
        <v>1</v>
      </c>
      <c r="AB467" s="46" t="s">
        <v>1</v>
      </c>
      <c r="AC467" s="47" t="s">
        <v>1</v>
      </c>
      <c r="AD467" s="36" t="s">
        <v>1</v>
      </c>
      <c r="AE467" s="51" t="s">
        <v>1</v>
      </c>
      <c r="AF467" s="36" t="s">
        <v>1</v>
      </c>
      <c r="AG467" s="51" t="s">
        <v>1</v>
      </c>
      <c r="AH467" s="36" t="s">
        <v>1</v>
      </c>
      <c r="AI467" s="51" t="s">
        <v>1</v>
      </c>
      <c r="AJ467" s="36" t="s">
        <v>1</v>
      </c>
      <c r="AK467" s="51" t="s">
        <v>1</v>
      </c>
      <c r="AL467" s="36" t="s">
        <v>1</v>
      </c>
      <c r="AM467" s="31" t="s">
        <v>1</v>
      </c>
      <c r="AN467" s="36" t="s">
        <v>1</v>
      </c>
      <c r="AO467" s="31" t="s">
        <v>1</v>
      </c>
      <c r="AP467" s="36" t="s">
        <v>1</v>
      </c>
      <c r="AQ467" s="51" t="s">
        <v>1</v>
      </c>
      <c r="AR467" s="36" t="s">
        <v>1</v>
      </c>
      <c r="AS467" s="47" t="s">
        <v>1</v>
      </c>
      <c r="AT467" s="36" t="s">
        <v>1</v>
      </c>
      <c r="AU467" s="47" t="s">
        <v>1</v>
      </c>
      <c r="AV467" s="36" t="s">
        <v>1</v>
      </c>
      <c r="AW467" s="47" t="s">
        <v>1</v>
      </c>
      <c r="AX467" s="36" t="s">
        <v>2065</v>
      </c>
      <c r="AY467" s="47" t="s">
        <v>2193</v>
      </c>
      <c r="AZ467" s="36" t="s">
        <v>1299</v>
      </c>
      <c r="BA467" s="47" t="s">
        <v>2193</v>
      </c>
      <c r="BB467" s="36" t="s">
        <v>2188</v>
      </c>
      <c r="BC467" s="47" t="s">
        <v>819</v>
      </c>
      <c r="BD467" s="36" t="s">
        <v>2189</v>
      </c>
      <c r="BE467" s="47" t="str">
        <f t="shared" si="16"/>
        <v>"Zona"</v>
      </c>
    </row>
    <row r="468" spans="1:57" ht="6.65" customHeight="1" x14ac:dyDescent="0.4">
      <c r="A468" s="93">
        <v>468</v>
      </c>
      <c r="B468" s="74" t="s">
        <v>1073</v>
      </c>
      <c r="C468" s="44" t="s">
        <v>661</v>
      </c>
      <c r="D468" s="18" t="s">
        <v>744</v>
      </c>
      <c r="E468" s="48" t="s">
        <v>753</v>
      </c>
      <c r="F468" s="18" t="s">
        <v>1</v>
      </c>
      <c r="G468" s="20" t="s">
        <v>1</v>
      </c>
      <c r="H468" s="18" t="s">
        <v>1</v>
      </c>
      <c r="I468" s="20" t="s">
        <v>1</v>
      </c>
      <c r="J468" s="18" t="s">
        <v>1</v>
      </c>
      <c r="K468" s="20" t="s">
        <v>1</v>
      </c>
      <c r="L468" s="18" t="s">
        <v>1</v>
      </c>
      <c r="M468" s="20" t="s">
        <v>1</v>
      </c>
      <c r="N468" s="46" t="s">
        <v>82</v>
      </c>
      <c r="O468" s="25" t="s">
        <v>1286</v>
      </c>
      <c r="P468" s="46" t="s">
        <v>1</v>
      </c>
      <c r="Q468" s="25" t="s">
        <v>1</v>
      </c>
      <c r="R468" s="46" t="s">
        <v>1</v>
      </c>
      <c r="S468" s="52" t="s">
        <v>1</v>
      </c>
      <c r="T468" s="46" t="s">
        <v>1</v>
      </c>
      <c r="U468" s="31" t="s">
        <v>1</v>
      </c>
      <c r="V468" s="46" t="s">
        <v>1</v>
      </c>
      <c r="W468" s="31" t="s">
        <v>1</v>
      </c>
      <c r="X468" s="46" t="s">
        <v>1</v>
      </c>
      <c r="Y468" s="31" t="s">
        <v>1</v>
      </c>
      <c r="Z468" s="46" t="s">
        <v>1</v>
      </c>
      <c r="AA468" s="31" t="s">
        <v>1</v>
      </c>
      <c r="AB468" s="46" t="s">
        <v>1</v>
      </c>
      <c r="AC468" s="47" t="s">
        <v>1</v>
      </c>
      <c r="AD468" s="36" t="s">
        <v>1</v>
      </c>
      <c r="AE468" s="51" t="s">
        <v>1</v>
      </c>
      <c r="AF468" s="36" t="s">
        <v>1</v>
      </c>
      <c r="AG468" s="51" t="s">
        <v>1</v>
      </c>
      <c r="AH468" s="36" t="s">
        <v>1</v>
      </c>
      <c r="AI468" s="51" t="s">
        <v>1</v>
      </c>
      <c r="AJ468" s="36" t="s">
        <v>1</v>
      </c>
      <c r="AK468" s="51" t="s">
        <v>1</v>
      </c>
      <c r="AL468" s="36" t="s">
        <v>1</v>
      </c>
      <c r="AM468" s="31" t="s">
        <v>1</v>
      </c>
      <c r="AN468" s="36" t="s">
        <v>1</v>
      </c>
      <c r="AO468" s="31" t="s">
        <v>1</v>
      </c>
      <c r="AP468" s="36" t="s">
        <v>1</v>
      </c>
      <c r="AQ468" s="51" t="s">
        <v>1</v>
      </c>
      <c r="AR468" s="36" t="s">
        <v>1</v>
      </c>
      <c r="AS468" s="47" t="s">
        <v>1</v>
      </c>
      <c r="AT468" s="36" t="s">
        <v>1</v>
      </c>
      <c r="AU468" s="47" t="s">
        <v>1</v>
      </c>
      <c r="AV468" s="36" t="s">
        <v>1</v>
      </c>
      <c r="AW468" s="47" t="s">
        <v>1</v>
      </c>
      <c r="AX468" s="36" t="s">
        <v>2065</v>
      </c>
      <c r="AY468" s="47" t="s">
        <v>2193</v>
      </c>
      <c r="AZ468" s="36" t="s">
        <v>1299</v>
      </c>
      <c r="BA468" s="47" t="s">
        <v>2193</v>
      </c>
      <c r="BB468" s="36" t="s">
        <v>2188</v>
      </c>
      <c r="BC468" s="47" t="s">
        <v>819</v>
      </c>
      <c r="BD468" s="36" t="s">
        <v>2189</v>
      </c>
      <c r="BE468" s="47" t="str">
        <f t="shared" si="16"/>
        <v>"Zona"</v>
      </c>
    </row>
    <row r="469" spans="1:57" ht="6.65" customHeight="1" x14ac:dyDescent="0.4">
      <c r="A469" s="93">
        <v>469</v>
      </c>
      <c r="B469" s="74" t="s">
        <v>1075</v>
      </c>
      <c r="C469" s="44" t="s">
        <v>661</v>
      </c>
      <c r="D469" s="18" t="s">
        <v>744</v>
      </c>
      <c r="E469" s="48" t="s">
        <v>753</v>
      </c>
      <c r="F469" s="18" t="s">
        <v>1</v>
      </c>
      <c r="G469" s="20" t="s">
        <v>1</v>
      </c>
      <c r="H469" s="18" t="s">
        <v>1</v>
      </c>
      <c r="I469" s="20" t="s">
        <v>1</v>
      </c>
      <c r="J469" s="18" t="s">
        <v>1</v>
      </c>
      <c r="K469" s="20" t="s">
        <v>1</v>
      </c>
      <c r="L469" s="18" t="s">
        <v>1</v>
      </c>
      <c r="M469" s="20" t="s">
        <v>1</v>
      </c>
      <c r="N469" s="46" t="s">
        <v>82</v>
      </c>
      <c r="O469" s="25" t="s">
        <v>1287</v>
      </c>
      <c r="P469" s="46" t="s">
        <v>1</v>
      </c>
      <c r="Q469" s="25" t="s">
        <v>1</v>
      </c>
      <c r="R469" s="46" t="s">
        <v>1</v>
      </c>
      <c r="S469" s="52" t="s">
        <v>1</v>
      </c>
      <c r="T469" s="46" t="s">
        <v>1</v>
      </c>
      <c r="U469" s="31" t="s">
        <v>1</v>
      </c>
      <c r="V469" s="46" t="s">
        <v>1</v>
      </c>
      <c r="W469" s="31" t="s">
        <v>1</v>
      </c>
      <c r="X469" s="46" t="s">
        <v>1</v>
      </c>
      <c r="Y469" s="31" t="s">
        <v>1</v>
      </c>
      <c r="Z469" s="46" t="s">
        <v>1</v>
      </c>
      <c r="AA469" s="31" t="s">
        <v>1</v>
      </c>
      <c r="AB469" s="46" t="s">
        <v>1</v>
      </c>
      <c r="AC469" s="47" t="s">
        <v>1</v>
      </c>
      <c r="AD469" s="36" t="s">
        <v>1</v>
      </c>
      <c r="AE469" s="51" t="s">
        <v>1</v>
      </c>
      <c r="AF469" s="36" t="s">
        <v>1</v>
      </c>
      <c r="AG469" s="51" t="s">
        <v>1</v>
      </c>
      <c r="AH469" s="36" t="s">
        <v>1</v>
      </c>
      <c r="AI469" s="51" t="s">
        <v>1</v>
      </c>
      <c r="AJ469" s="36" t="s">
        <v>1</v>
      </c>
      <c r="AK469" s="51" t="s">
        <v>1</v>
      </c>
      <c r="AL469" s="36" t="s">
        <v>1</v>
      </c>
      <c r="AM469" s="31" t="s">
        <v>1</v>
      </c>
      <c r="AN469" s="36" t="s">
        <v>1</v>
      </c>
      <c r="AO469" s="31" t="s">
        <v>1</v>
      </c>
      <c r="AP469" s="36" t="s">
        <v>1</v>
      </c>
      <c r="AQ469" s="51" t="s">
        <v>1</v>
      </c>
      <c r="AR469" s="36" t="s">
        <v>1</v>
      </c>
      <c r="AS469" s="47" t="s">
        <v>1</v>
      </c>
      <c r="AT469" s="36" t="s">
        <v>1</v>
      </c>
      <c r="AU469" s="47" t="s">
        <v>1</v>
      </c>
      <c r="AV469" s="36" t="s">
        <v>1</v>
      </c>
      <c r="AW469" s="47" t="s">
        <v>1</v>
      </c>
      <c r="AX469" s="36" t="s">
        <v>2065</v>
      </c>
      <c r="AY469" s="47" t="s">
        <v>2193</v>
      </c>
      <c r="AZ469" s="36" t="s">
        <v>1299</v>
      </c>
      <c r="BA469" s="47" t="s">
        <v>2193</v>
      </c>
      <c r="BB469" s="36" t="s">
        <v>2188</v>
      </c>
      <c r="BC469" s="47" t="s">
        <v>819</v>
      </c>
      <c r="BD469" s="36" t="s">
        <v>2189</v>
      </c>
      <c r="BE469" s="47" t="str">
        <f t="shared" si="16"/>
        <v>"Zona"</v>
      </c>
    </row>
    <row r="470" spans="1:57" ht="6.65" customHeight="1" x14ac:dyDescent="0.4">
      <c r="A470" s="93">
        <v>470</v>
      </c>
      <c r="B470" s="74" t="s">
        <v>1077</v>
      </c>
      <c r="C470" s="44" t="s">
        <v>661</v>
      </c>
      <c r="D470" s="18" t="s">
        <v>744</v>
      </c>
      <c r="E470" s="48" t="s">
        <v>753</v>
      </c>
      <c r="F470" s="18" t="s">
        <v>1</v>
      </c>
      <c r="G470" s="20" t="s">
        <v>1</v>
      </c>
      <c r="H470" s="18" t="s">
        <v>1</v>
      </c>
      <c r="I470" s="20" t="s">
        <v>1</v>
      </c>
      <c r="J470" s="18" t="s">
        <v>1</v>
      </c>
      <c r="K470" s="20" t="s">
        <v>1</v>
      </c>
      <c r="L470" s="18" t="s">
        <v>1</v>
      </c>
      <c r="M470" s="20" t="s">
        <v>1</v>
      </c>
      <c r="N470" s="46" t="s">
        <v>82</v>
      </c>
      <c r="O470" s="25" t="s">
        <v>1288</v>
      </c>
      <c r="P470" s="46" t="s">
        <v>1</v>
      </c>
      <c r="Q470" s="25" t="s">
        <v>1</v>
      </c>
      <c r="R470" s="46" t="s">
        <v>1</v>
      </c>
      <c r="S470" s="52" t="s">
        <v>1</v>
      </c>
      <c r="T470" s="46" t="s">
        <v>1</v>
      </c>
      <c r="U470" s="31" t="s">
        <v>1</v>
      </c>
      <c r="V470" s="46" t="s">
        <v>1</v>
      </c>
      <c r="W470" s="31" t="s">
        <v>1</v>
      </c>
      <c r="X470" s="46" t="s">
        <v>1</v>
      </c>
      <c r="Y470" s="31" t="s">
        <v>1</v>
      </c>
      <c r="Z470" s="46" t="s">
        <v>1</v>
      </c>
      <c r="AA470" s="31" t="s">
        <v>1</v>
      </c>
      <c r="AB470" s="46" t="s">
        <v>1</v>
      </c>
      <c r="AC470" s="47" t="s">
        <v>1</v>
      </c>
      <c r="AD470" s="36" t="s">
        <v>1</v>
      </c>
      <c r="AE470" s="51" t="s">
        <v>1</v>
      </c>
      <c r="AF470" s="36" t="s">
        <v>1</v>
      </c>
      <c r="AG470" s="51" t="s">
        <v>1</v>
      </c>
      <c r="AH470" s="36" t="s">
        <v>1</v>
      </c>
      <c r="AI470" s="51" t="s">
        <v>1</v>
      </c>
      <c r="AJ470" s="36" t="s">
        <v>1</v>
      </c>
      <c r="AK470" s="51" t="s">
        <v>1</v>
      </c>
      <c r="AL470" s="36" t="s">
        <v>1</v>
      </c>
      <c r="AM470" s="31" t="s">
        <v>1</v>
      </c>
      <c r="AN470" s="36" t="s">
        <v>1</v>
      </c>
      <c r="AO470" s="31" t="s">
        <v>1</v>
      </c>
      <c r="AP470" s="36" t="s">
        <v>1</v>
      </c>
      <c r="AQ470" s="51" t="s">
        <v>1</v>
      </c>
      <c r="AR470" s="36" t="s">
        <v>1</v>
      </c>
      <c r="AS470" s="47" t="s">
        <v>1</v>
      </c>
      <c r="AT470" s="36" t="s">
        <v>1</v>
      </c>
      <c r="AU470" s="47" t="s">
        <v>1</v>
      </c>
      <c r="AV470" s="36" t="s">
        <v>1</v>
      </c>
      <c r="AW470" s="47" t="s">
        <v>1</v>
      </c>
      <c r="AX470" s="36" t="s">
        <v>2065</v>
      </c>
      <c r="AY470" s="47" t="s">
        <v>2193</v>
      </c>
      <c r="AZ470" s="36" t="s">
        <v>1299</v>
      </c>
      <c r="BA470" s="47" t="s">
        <v>2193</v>
      </c>
      <c r="BB470" s="36" t="s">
        <v>2188</v>
      </c>
      <c r="BC470" s="47" t="s">
        <v>819</v>
      </c>
      <c r="BD470" s="36" t="s">
        <v>2189</v>
      </c>
      <c r="BE470" s="47" t="str">
        <f t="shared" si="16"/>
        <v>"Zona"</v>
      </c>
    </row>
    <row r="471" spans="1:57" ht="6.65" customHeight="1" x14ac:dyDescent="0.4">
      <c r="A471" s="93">
        <v>471</v>
      </c>
      <c r="B471" s="74" t="s">
        <v>1079</v>
      </c>
      <c r="C471" s="44" t="s">
        <v>661</v>
      </c>
      <c r="D471" s="18" t="s">
        <v>744</v>
      </c>
      <c r="E471" s="48" t="s">
        <v>753</v>
      </c>
      <c r="F471" s="18" t="s">
        <v>1</v>
      </c>
      <c r="G471" s="20" t="s">
        <v>1</v>
      </c>
      <c r="H471" s="18" t="s">
        <v>1</v>
      </c>
      <c r="I471" s="20" t="s">
        <v>1</v>
      </c>
      <c r="J471" s="18" t="s">
        <v>1</v>
      </c>
      <c r="K471" s="20" t="s">
        <v>1</v>
      </c>
      <c r="L471" s="18" t="s">
        <v>1</v>
      </c>
      <c r="M471" s="20" t="s">
        <v>1</v>
      </c>
      <c r="N471" s="46" t="s">
        <v>82</v>
      </c>
      <c r="O471" s="25" t="s">
        <v>1289</v>
      </c>
      <c r="P471" s="46" t="s">
        <v>1</v>
      </c>
      <c r="Q471" s="25" t="s">
        <v>1</v>
      </c>
      <c r="R471" s="46" t="s">
        <v>1</v>
      </c>
      <c r="S471" s="52" t="s">
        <v>1</v>
      </c>
      <c r="T471" s="46" t="s">
        <v>1</v>
      </c>
      <c r="U471" s="31" t="s">
        <v>1</v>
      </c>
      <c r="V471" s="46" t="s">
        <v>1</v>
      </c>
      <c r="W471" s="31" t="s">
        <v>1</v>
      </c>
      <c r="X471" s="46" t="s">
        <v>1</v>
      </c>
      <c r="Y471" s="31" t="s">
        <v>1</v>
      </c>
      <c r="Z471" s="46" t="s">
        <v>1</v>
      </c>
      <c r="AA471" s="31" t="s">
        <v>1</v>
      </c>
      <c r="AB471" s="46" t="s">
        <v>1</v>
      </c>
      <c r="AC471" s="47" t="s">
        <v>1</v>
      </c>
      <c r="AD471" s="36" t="s">
        <v>1</v>
      </c>
      <c r="AE471" s="51" t="s">
        <v>1</v>
      </c>
      <c r="AF471" s="36" t="s">
        <v>1</v>
      </c>
      <c r="AG471" s="51" t="s">
        <v>1</v>
      </c>
      <c r="AH471" s="36" t="s">
        <v>1</v>
      </c>
      <c r="AI471" s="51" t="s">
        <v>1</v>
      </c>
      <c r="AJ471" s="36" t="s">
        <v>1</v>
      </c>
      <c r="AK471" s="51" t="s">
        <v>1</v>
      </c>
      <c r="AL471" s="36" t="s">
        <v>1</v>
      </c>
      <c r="AM471" s="31" t="s">
        <v>1</v>
      </c>
      <c r="AN471" s="36" t="s">
        <v>1</v>
      </c>
      <c r="AO471" s="31" t="s">
        <v>1</v>
      </c>
      <c r="AP471" s="36" t="s">
        <v>1</v>
      </c>
      <c r="AQ471" s="51" t="s">
        <v>1</v>
      </c>
      <c r="AR471" s="36" t="s">
        <v>1</v>
      </c>
      <c r="AS471" s="47" t="s">
        <v>1</v>
      </c>
      <c r="AT471" s="36" t="s">
        <v>1</v>
      </c>
      <c r="AU471" s="47" t="s">
        <v>1</v>
      </c>
      <c r="AV471" s="36" t="s">
        <v>1</v>
      </c>
      <c r="AW471" s="47" t="s">
        <v>1</v>
      </c>
      <c r="AX471" s="36" t="s">
        <v>2065</v>
      </c>
      <c r="AY471" s="47" t="s">
        <v>2193</v>
      </c>
      <c r="AZ471" s="36" t="s">
        <v>1299</v>
      </c>
      <c r="BA471" s="47" t="s">
        <v>2193</v>
      </c>
      <c r="BB471" s="36" t="s">
        <v>2188</v>
      </c>
      <c r="BC471" s="47" t="s">
        <v>819</v>
      </c>
      <c r="BD471" s="36" t="s">
        <v>2189</v>
      </c>
      <c r="BE471" s="47" t="str">
        <f t="shared" si="16"/>
        <v>"Zona"</v>
      </c>
    </row>
    <row r="472" spans="1:57" ht="6.65" customHeight="1" x14ac:dyDescent="0.4">
      <c r="A472" s="93">
        <v>472</v>
      </c>
      <c r="B472" s="74" t="s">
        <v>1082</v>
      </c>
      <c r="C472" s="44" t="s">
        <v>661</v>
      </c>
      <c r="D472" s="18" t="s">
        <v>744</v>
      </c>
      <c r="E472" s="48" t="s">
        <v>753</v>
      </c>
      <c r="F472" s="18" t="s">
        <v>1</v>
      </c>
      <c r="G472" s="20" t="s">
        <v>1</v>
      </c>
      <c r="H472" s="18" t="s">
        <v>1</v>
      </c>
      <c r="I472" s="20" t="s">
        <v>1</v>
      </c>
      <c r="J472" s="18" t="s">
        <v>1</v>
      </c>
      <c r="K472" s="20" t="s">
        <v>1</v>
      </c>
      <c r="L472" s="18" t="s">
        <v>1</v>
      </c>
      <c r="M472" s="20" t="s">
        <v>1</v>
      </c>
      <c r="N472" s="46" t="s">
        <v>82</v>
      </c>
      <c r="O472" s="25" t="s">
        <v>1290</v>
      </c>
      <c r="P472" s="46" t="s">
        <v>1</v>
      </c>
      <c r="Q472" s="25" t="s">
        <v>1</v>
      </c>
      <c r="R472" s="46" t="s">
        <v>1</v>
      </c>
      <c r="S472" s="52" t="s">
        <v>1</v>
      </c>
      <c r="T472" s="46" t="s">
        <v>1</v>
      </c>
      <c r="U472" s="31" t="s">
        <v>1</v>
      </c>
      <c r="V472" s="46" t="s">
        <v>1</v>
      </c>
      <c r="W472" s="31" t="s">
        <v>1</v>
      </c>
      <c r="X472" s="46" t="s">
        <v>1</v>
      </c>
      <c r="Y472" s="31" t="s">
        <v>1</v>
      </c>
      <c r="Z472" s="46" t="s">
        <v>1</v>
      </c>
      <c r="AA472" s="31" t="s">
        <v>1</v>
      </c>
      <c r="AB472" s="46" t="s">
        <v>1</v>
      </c>
      <c r="AC472" s="47" t="s">
        <v>1</v>
      </c>
      <c r="AD472" s="36" t="s">
        <v>1</v>
      </c>
      <c r="AE472" s="51" t="s">
        <v>1</v>
      </c>
      <c r="AF472" s="36" t="s">
        <v>1</v>
      </c>
      <c r="AG472" s="51" t="s">
        <v>1</v>
      </c>
      <c r="AH472" s="36" t="s">
        <v>1</v>
      </c>
      <c r="AI472" s="51" t="s">
        <v>1</v>
      </c>
      <c r="AJ472" s="36" t="s">
        <v>1</v>
      </c>
      <c r="AK472" s="51" t="s">
        <v>1</v>
      </c>
      <c r="AL472" s="36" t="s">
        <v>1</v>
      </c>
      <c r="AM472" s="31" t="s">
        <v>1</v>
      </c>
      <c r="AN472" s="36" t="s">
        <v>1</v>
      </c>
      <c r="AO472" s="31" t="s">
        <v>1</v>
      </c>
      <c r="AP472" s="36" t="s">
        <v>1</v>
      </c>
      <c r="AQ472" s="51" t="s">
        <v>1</v>
      </c>
      <c r="AR472" s="36" t="s">
        <v>1</v>
      </c>
      <c r="AS472" s="47" t="s">
        <v>1</v>
      </c>
      <c r="AT472" s="36" t="s">
        <v>1</v>
      </c>
      <c r="AU472" s="47" t="s">
        <v>1</v>
      </c>
      <c r="AV472" s="36" t="s">
        <v>1</v>
      </c>
      <c r="AW472" s="47" t="s">
        <v>1</v>
      </c>
      <c r="AX472" s="36" t="s">
        <v>2065</v>
      </c>
      <c r="AY472" s="47" t="s">
        <v>2193</v>
      </c>
      <c r="AZ472" s="36" t="s">
        <v>1299</v>
      </c>
      <c r="BA472" s="47" t="s">
        <v>2193</v>
      </c>
      <c r="BB472" s="36" t="s">
        <v>2188</v>
      </c>
      <c r="BC472" s="47" t="s">
        <v>819</v>
      </c>
      <c r="BD472" s="36" t="s">
        <v>2189</v>
      </c>
      <c r="BE472" s="47" t="str">
        <f t="shared" si="16"/>
        <v>"Zona"</v>
      </c>
    </row>
    <row r="473" spans="1:57" ht="6.65" customHeight="1" x14ac:dyDescent="0.4">
      <c r="A473" s="93">
        <v>473</v>
      </c>
      <c r="B473" s="74" t="s">
        <v>1086</v>
      </c>
      <c r="C473" s="44" t="s">
        <v>661</v>
      </c>
      <c r="D473" s="18" t="s">
        <v>744</v>
      </c>
      <c r="E473" s="48" t="s">
        <v>753</v>
      </c>
      <c r="F473" s="18" t="s">
        <v>1</v>
      </c>
      <c r="G473" s="20" t="s">
        <v>1</v>
      </c>
      <c r="H473" s="18" t="s">
        <v>1</v>
      </c>
      <c r="I473" s="20" t="s">
        <v>1</v>
      </c>
      <c r="J473" s="18" t="s">
        <v>1</v>
      </c>
      <c r="K473" s="20" t="s">
        <v>1</v>
      </c>
      <c r="L473" s="18" t="s">
        <v>1</v>
      </c>
      <c r="M473" s="20" t="s">
        <v>1</v>
      </c>
      <c r="N473" s="46" t="s">
        <v>82</v>
      </c>
      <c r="O473" s="25" t="s">
        <v>1291</v>
      </c>
      <c r="P473" s="46" t="s">
        <v>1</v>
      </c>
      <c r="Q473" s="25" t="s">
        <v>1</v>
      </c>
      <c r="R473" s="46" t="s">
        <v>1</v>
      </c>
      <c r="S473" s="52" t="s">
        <v>1</v>
      </c>
      <c r="T473" s="46" t="s">
        <v>1</v>
      </c>
      <c r="U473" s="31" t="s">
        <v>1</v>
      </c>
      <c r="V473" s="46" t="s">
        <v>1</v>
      </c>
      <c r="W473" s="31" t="s">
        <v>1</v>
      </c>
      <c r="X473" s="46" t="s">
        <v>1</v>
      </c>
      <c r="Y473" s="31" t="s">
        <v>1</v>
      </c>
      <c r="Z473" s="46" t="s">
        <v>1</v>
      </c>
      <c r="AA473" s="31" t="s">
        <v>1</v>
      </c>
      <c r="AB473" s="46" t="s">
        <v>1</v>
      </c>
      <c r="AC473" s="47" t="s">
        <v>1</v>
      </c>
      <c r="AD473" s="36" t="s">
        <v>1</v>
      </c>
      <c r="AE473" s="51" t="s">
        <v>1</v>
      </c>
      <c r="AF473" s="36" t="s">
        <v>1</v>
      </c>
      <c r="AG473" s="51" t="s">
        <v>1</v>
      </c>
      <c r="AH473" s="36" t="s">
        <v>1</v>
      </c>
      <c r="AI473" s="51" t="s">
        <v>1</v>
      </c>
      <c r="AJ473" s="36" t="s">
        <v>1</v>
      </c>
      <c r="AK473" s="51" t="s">
        <v>1</v>
      </c>
      <c r="AL473" s="36" t="s">
        <v>1</v>
      </c>
      <c r="AM473" s="31" t="s">
        <v>1</v>
      </c>
      <c r="AN473" s="36" t="s">
        <v>1</v>
      </c>
      <c r="AO473" s="31" t="s">
        <v>1</v>
      </c>
      <c r="AP473" s="36" t="s">
        <v>1</v>
      </c>
      <c r="AQ473" s="51" t="s">
        <v>1</v>
      </c>
      <c r="AR473" s="36" t="s">
        <v>1</v>
      </c>
      <c r="AS473" s="47" t="s">
        <v>1</v>
      </c>
      <c r="AT473" s="36" t="s">
        <v>1</v>
      </c>
      <c r="AU473" s="47" t="s">
        <v>1</v>
      </c>
      <c r="AV473" s="36" t="s">
        <v>1</v>
      </c>
      <c r="AW473" s="47" t="s">
        <v>1</v>
      </c>
      <c r="AX473" s="36" t="s">
        <v>2065</v>
      </c>
      <c r="AY473" s="47" t="s">
        <v>2193</v>
      </c>
      <c r="AZ473" s="36" t="s">
        <v>1299</v>
      </c>
      <c r="BA473" s="47" t="s">
        <v>2193</v>
      </c>
      <c r="BB473" s="36" t="s">
        <v>2188</v>
      </c>
      <c r="BC473" s="47" t="s">
        <v>819</v>
      </c>
      <c r="BD473" s="36" t="s">
        <v>2189</v>
      </c>
      <c r="BE473" s="47" t="str">
        <f t="shared" si="16"/>
        <v>"Zona"</v>
      </c>
    </row>
    <row r="474" spans="1:57" ht="6.65" customHeight="1" x14ac:dyDescent="0.4">
      <c r="A474" s="93">
        <v>474</v>
      </c>
      <c r="B474" s="71" t="s">
        <v>1296</v>
      </c>
      <c r="C474" s="72" t="s">
        <v>432</v>
      </c>
      <c r="D474" s="18" t="s">
        <v>1</v>
      </c>
      <c r="E474" s="20" t="s">
        <v>1</v>
      </c>
      <c r="F474" s="18" t="s">
        <v>1</v>
      </c>
      <c r="G474" s="20" t="s">
        <v>1</v>
      </c>
      <c r="H474" s="18" t="s">
        <v>1</v>
      </c>
      <c r="I474" s="20" t="s">
        <v>1</v>
      </c>
      <c r="J474" s="18" t="s">
        <v>1</v>
      </c>
      <c r="K474" s="20" t="s">
        <v>1</v>
      </c>
      <c r="L474" s="18" t="s">
        <v>1</v>
      </c>
      <c r="M474" s="20" t="s">
        <v>1</v>
      </c>
      <c r="N474" s="36" t="s">
        <v>82</v>
      </c>
      <c r="O474" s="25" t="s">
        <v>1297</v>
      </c>
      <c r="P474" s="36" t="s">
        <v>1292</v>
      </c>
      <c r="Q474" s="25" t="s">
        <v>1298</v>
      </c>
      <c r="R474" s="36" t="s">
        <v>1</v>
      </c>
      <c r="S474" s="25" t="s">
        <v>1</v>
      </c>
      <c r="T474" s="36" t="s">
        <v>2217</v>
      </c>
      <c r="U474" s="31" t="s">
        <v>1300</v>
      </c>
      <c r="V474" s="36" t="s">
        <v>2216</v>
      </c>
      <c r="W474" s="25" t="s">
        <v>1301</v>
      </c>
      <c r="X474" s="36" t="s">
        <v>1</v>
      </c>
      <c r="Y474" s="47" t="s">
        <v>1</v>
      </c>
      <c r="Z474" s="36" t="s">
        <v>1</v>
      </c>
      <c r="AA474" s="47" t="s">
        <v>1</v>
      </c>
      <c r="AB474" s="36" t="s">
        <v>1</v>
      </c>
      <c r="AC474" s="47" t="s">
        <v>1</v>
      </c>
      <c r="AD474" s="36" t="s">
        <v>1</v>
      </c>
      <c r="AE474" s="51" t="s">
        <v>1</v>
      </c>
      <c r="AF474" s="36" t="s">
        <v>1</v>
      </c>
      <c r="AG474" s="51" t="s">
        <v>1</v>
      </c>
      <c r="AH474" s="36" t="s">
        <v>1</v>
      </c>
      <c r="AI474" s="51" t="s">
        <v>1</v>
      </c>
      <c r="AJ474" s="36" t="s">
        <v>1</v>
      </c>
      <c r="AK474" s="51" t="s">
        <v>1</v>
      </c>
      <c r="AL474" s="36" t="s">
        <v>1</v>
      </c>
      <c r="AM474" s="31" t="s">
        <v>1</v>
      </c>
      <c r="AN474" s="36" t="s">
        <v>1</v>
      </c>
      <c r="AO474" s="31" t="s">
        <v>1</v>
      </c>
      <c r="AP474" s="36" t="s">
        <v>1</v>
      </c>
      <c r="AQ474" s="51" t="s">
        <v>1</v>
      </c>
      <c r="AR474" s="36" t="s">
        <v>1</v>
      </c>
      <c r="AS474" s="47" t="s">
        <v>1</v>
      </c>
      <c r="AT474" s="36" t="s">
        <v>1</v>
      </c>
      <c r="AU474" s="47" t="s">
        <v>1</v>
      </c>
      <c r="AV474" s="36" t="s">
        <v>1</v>
      </c>
      <c r="AW474" s="47" t="s">
        <v>1</v>
      </c>
      <c r="AX474" s="36" t="s">
        <v>2065</v>
      </c>
      <c r="AY474" s="47" t="s">
        <v>2194</v>
      </c>
      <c r="AZ474" s="36" t="s">
        <v>1299</v>
      </c>
      <c r="BA474" s="25" t="s">
        <v>2195</v>
      </c>
      <c r="BB474" s="36" t="s">
        <v>2188</v>
      </c>
      <c r="BC474" s="47" t="s">
        <v>2192</v>
      </c>
      <c r="BD474" s="36" t="s">
        <v>2189</v>
      </c>
      <c r="BE474" s="47" t="str">
        <f t="shared" si="16"/>
        <v>"Rebocador"</v>
      </c>
    </row>
    <row r="475" spans="1:57" ht="6.65" customHeight="1" x14ac:dyDescent="0.4">
      <c r="A475" s="93">
        <v>475</v>
      </c>
      <c r="B475" s="71" t="s">
        <v>1687</v>
      </c>
      <c r="C475" s="72" t="s">
        <v>381</v>
      </c>
      <c r="D475" s="18" t="s">
        <v>1</v>
      </c>
      <c r="E475" s="20" t="s">
        <v>1</v>
      </c>
      <c r="F475" s="18" t="s">
        <v>1</v>
      </c>
      <c r="G475" s="20" t="s">
        <v>1</v>
      </c>
      <c r="H475" s="18" t="s">
        <v>1</v>
      </c>
      <c r="I475" s="20" t="s">
        <v>1</v>
      </c>
      <c r="J475" s="18" t="s">
        <v>1</v>
      </c>
      <c r="K475" s="20" t="s">
        <v>1</v>
      </c>
      <c r="L475" s="18" t="s">
        <v>1</v>
      </c>
      <c r="M475" s="20" t="s">
        <v>1</v>
      </c>
      <c r="N475" s="36" t="s">
        <v>82</v>
      </c>
      <c r="O475" s="25" t="s">
        <v>1302</v>
      </c>
      <c r="P475" s="36" t="s">
        <v>1292</v>
      </c>
      <c r="Q475" s="25" t="s">
        <v>1303</v>
      </c>
      <c r="R475" s="36" t="s">
        <v>1</v>
      </c>
      <c r="S475" s="25" t="s">
        <v>1</v>
      </c>
      <c r="T475" s="36" t="s">
        <v>2217</v>
      </c>
      <c r="U475" s="31" t="s">
        <v>1304</v>
      </c>
      <c r="V475" s="36" t="s">
        <v>2216</v>
      </c>
      <c r="W475" s="25" t="s">
        <v>1305</v>
      </c>
      <c r="X475" s="36" t="s">
        <v>1306</v>
      </c>
      <c r="Y475" s="56">
        <v>180</v>
      </c>
      <c r="Z475" s="36" t="s">
        <v>1307</v>
      </c>
      <c r="AA475" s="47">
        <v>10</v>
      </c>
      <c r="AB475" s="36" t="s">
        <v>1308</v>
      </c>
      <c r="AC475" s="47">
        <v>15</v>
      </c>
      <c r="AD475" s="36" t="s">
        <v>1309</v>
      </c>
      <c r="AE475" s="57">
        <v>20</v>
      </c>
      <c r="AF475" s="36" t="s">
        <v>1310</v>
      </c>
      <c r="AG475" s="57">
        <v>25000</v>
      </c>
      <c r="AH475" s="36" t="s">
        <v>1311</v>
      </c>
      <c r="AI475" s="57">
        <v>45000</v>
      </c>
      <c r="AJ475" s="36" t="s">
        <v>1</v>
      </c>
      <c r="AK475" s="51" t="s">
        <v>1</v>
      </c>
      <c r="AL475" s="36" t="s">
        <v>1</v>
      </c>
      <c r="AM475" s="31" t="s">
        <v>1</v>
      </c>
      <c r="AN475" s="36" t="s">
        <v>1</v>
      </c>
      <c r="AO475" s="31" t="s">
        <v>1</v>
      </c>
      <c r="AP475" s="36" t="s">
        <v>1</v>
      </c>
      <c r="AQ475" s="51" t="s">
        <v>1</v>
      </c>
      <c r="AR475" s="36" t="s">
        <v>1</v>
      </c>
      <c r="AS475" s="47" t="s">
        <v>1</v>
      </c>
      <c r="AT475" s="36" t="s">
        <v>1</v>
      </c>
      <c r="AU475" s="47" t="s">
        <v>1</v>
      </c>
      <c r="AV475" s="36" t="s">
        <v>1</v>
      </c>
      <c r="AW475" s="47" t="s">
        <v>1</v>
      </c>
      <c r="AX475" s="36" t="s">
        <v>2065</v>
      </c>
      <c r="AY475" s="47" t="s">
        <v>2194</v>
      </c>
      <c r="AZ475" s="36" t="s">
        <v>1299</v>
      </c>
      <c r="BA475" s="25" t="s">
        <v>2195</v>
      </c>
      <c r="BB475" s="36" t="s">
        <v>2188</v>
      </c>
      <c r="BC475" s="47" t="s">
        <v>2192</v>
      </c>
      <c r="BD475" s="36" t="s">
        <v>2189</v>
      </c>
      <c r="BE475" s="47" t="str">
        <f t="shared" si="16"/>
        <v>"Petroleiro"</v>
      </c>
    </row>
    <row r="476" spans="1:57" ht="6.65" customHeight="1" x14ac:dyDescent="0.4">
      <c r="A476" s="93">
        <v>476</v>
      </c>
      <c r="B476" s="71" t="s">
        <v>1688</v>
      </c>
      <c r="C476" s="72" t="s">
        <v>384</v>
      </c>
      <c r="D476" s="18" t="s">
        <v>1312</v>
      </c>
      <c r="E476" s="49" t="s">
        <v>1313</v>
      </c>
      <c r="F476" s="18" t="s">
        <v>1</v>
      </c>
      <c r="G476" s="20" t="s">
        <v>1</v>
      </c>
      <c r="H476" s="18" t="s">
        <v>1</v>
      </c>
      <c r="I476" s="20" t="s">
        <v>1</v>
      </c>
      <c r="J476" s="18" t="s">
        <v>1</v>
      </c>
      <c r="K476" s="20" t="s">
        <v>1</v>
      </c>
      <c r="L476" s="18" t="s">
        <v>1</v>
      </c>
      <c r="M476" s="20" t="s">
        <v>1</v>
      </c>
      <c r="N476" s="36" t="s">
        <v>82</v>
      </c>
      <c r="O476" s="25" t="s">
        <v>1314</v>
      </c>
      <c r="P476" s="36" t="s">
        <v>1292</v>
      </c>
      <c r="Q476" s="25" t="s">
        <v>1315</v>
      </c>
      <c r="R476" s="36" t="s">
        <v>1</v>
      </c>
      <c r="S476" s="25" t="s">
        <v>1</v>
      </c>
      <c r="T476" s="36" t="s">
        <v>2217</v>
      </c>
      <c r="U476" s="31" t="s">
        <v>1316</v>
      </c>
      <c r="V476" s="36" t="s">
        <v>2216</v>
      </c>
      <c r="W476" s="25" t="s">
        <v>1317</v>
      </c>
      <c r="X476" s="36" t="s">
        <v>1306</v>
      </c>
      <c r="Y476" s="56">
        <v>100</v>
      </c>
      <c r="Z476" s="36" t="s">
        <v>1307</v>
      </c>
      <c r="AA476" s="47">
        <v>7</v>
      </c>
      <c r="AB476" s="36" t="s">
        <v>1308</v>
      </c>
      <c r="AC476" s="47">
        <v>15</v>
      </c>
      <c r="AD476" s="36" t="s">
        <v>1309</v>
      </c>
      <c r="AE476" s="51">
        <v>20</v>
      </c>
      <c r="AF476" s="36" t="s">
        <v>1310</v>
      </c>
      <c r="AG476" s="57">
        <v>5000</v>
      </c>
      <c r="AH476" s="36" t="s">
        <v>1311</v>
      </c>
      <c r="AI476" s="57">
        <v>10000</v>
      </c>
      <c r="AJ476" s="36" t="s">
        <v>1</v>
      </c>
      <c r="AK476" s="51" t="s">
        <v>1</v>
      </c>
      <c r="AL476" s="36" t="s">
        <v>1</v>
      </c>
      <c r="AM476" s="31" t="s">
        <v>1</v>
      </c>
      <c r="AN476" s="36" t="s">
        <v>1</v>
      </c>
      <c r="AO476" s="31" t="s">
        <v>1</v>
      </c>
      <c r="AP476" s="36" t="s">
        <v>1</v>
      </c>
      <c r="AQ476" s="51" t="s">
        <v>1</v>
      </c>
      <c r="AR476" s="36" t="s">
        <v>1</v>
      </c>
      <c r="AS476" s="47" t="s">
        <v>1</v>
      </c>
      <c r="AT476" s="36" t="s">
        <v>1</v>
      </c>
      <c r="AU476" s="47" t="s">
        <v>1</v>
      </c>
      <c r="AV476" s="36" t="s">
        <v>1</v>
      </c>
      <c r="AW476" s="47" t="s">
        <v>1</v>
      </c>
      <c r="AX476" s="36" t="s">
        <v>2065</v>
      </c>
      <c r="AY476" s="47" t="s">
        <v>2194</v>
      </c>
      <c r="AZ476" s="36" t="s">
        <v>1299</v>
      </c>
      <c r="BA476" s="25" t="s">
        <v>2195</v>
      </c>
      <c r="BB476" s="36" t="s">
        <v>2188</v>
      </c>
      <c r="BC476" s="47" t="s">
        <v>2192</v>
      </c>
      <c r="BD476" s="36" t="s">
        <v>2189</v>
      </c>
      <c r="BE476" s="47" t="str">
        <f t="shared" si="16"/>
        <v>"Cargueiro"</v>
      </c>
    </row>
    <row r="477" spans="1:57" ht="6.65" customHeight="1" x14ac:dyDescent="0.4">
      <c r="A477" s="93">
        <v>477</v>
      </c>
      <c r="B477" s="71" t="s">
        <v>1689</v>
      </c>
      <c r="C477" s="72" t="s">
        <v>387</v>
      </c>
      <c r="D477" s="18" t="s">
        <v>1</v>
      </c>
      <c r="E477" s="20" t="s">
        <v>1</v>
      </c>
      <c r="F477" s="18" t="s">
        <v>1</v>
      </c>
      <c r="G477" s="20" t="s">
        <v>1</v>
      </c>
      <c r="H477" s="18" t="s">
        <v>1</v>
      </c>
      <c r="I477" s="20" t="s">
        <v>1</v>
      </c>
      <c r="J477" s="18" t="s">
        <v>1</v>
      </c>
      <c r="K477" s="20" t="s">
        <v>1</v>
      </c>
      <c r="L477" s="18" t="s">
        <v>1</v>
      </c>
      <c r="M477" s="20" t="s">
        <v>1</v>
      </c>
      <c r="N477" s="36" t="s">
        <v>82</v>
      </c>
      <c r="O477" s="25" t="s">
        <v>1318</v>
      </c>
      <c r="P477" s="36" t="s">
        <v>1292</v>
      </c>
      <c r="Q477" s="25" t="s">
        <v>1319</v>
      </c>
      <c r="R477" s="36" t="s">
        <v>1</v>
      </c>
      <c r="S477" s="25" t="s">
        <v>1</v>
      </c>
      <c r="T477" s="36" t="s">
        <v>2217</v>
      </c>
      <c r="U477" s="31" t="s">
        <v>1320</v>
      </c>
      <c r="V477" s="36" t="s">
        <v>2216</v>
      </c>
      <c r="W477" s="25" t="s">
        <v>1321</v>
      </c>
      <c r="X477" s="36" t="s">
        <v>1306</v>
      </c>
      <c r="Y477" s="56">
        <v>200</v>
      </c>
      <c r="Z477" s="36" t="s">
        <v>1307</v>
      </c>
      <c r="AA477" s="47">
        <v>10</v>
      </c>
      <c r="AB477" s="36" t="s">
        <v>1</v>
      </c>
      <c r="AC477" s="47" t="s">
        <v>1</v>
      </c>
      <c r="AD477" s="36" t="s">
        <v>1309</v>
      </c>
      <c r="AE477" s="57">
        <v>20</v>
      </c>
      <c r="AF477" s="36" t="s">
        <v>1310</v>
      </c>
      <c r="AG477" s="57">
        <v>40000</v>
      </c>
      <c r="AH477" s="36" t="s">
        <v>1311</v>
      </c>
      <c r="AI477" s="57">
        <v>40000</v>
      </c>
      <c r="AJ477" s="36" t="s">
        <v>1</v>
      </c>
      <c r="AK477" s="51" t="s">
        <v>1</v>
      </c>
      <c r="AL477" s="36" t="s">
        <v>1</v>
      </c>
      <c r="AM477" s="31" t="s">
        <v>1</v>
      </c>
      <c r="AN477" s="36" t="s">
        <v>1</v>
      </c>
      <c r="AO477" s="31" t="s">
        <v>1</v>
      </c>
      <c r="AP477" s="36" t="s">
        <v>1</v>
      </c>
      <c r="AQ477" s="51" t="s">
        <v>1</v>
      </c>
      <c r="AR477" s="36" t="s">
        <v>1</v>
      </c>
      <c r="AS477" s="47" t="s">
        <v>1</v>
      </c>
      <c r="AT477" s="36" t="s">
        <v>1</v>
      </c>
      <c r="AU477" s="47" t="s">
        <v>1</v>
      </c>
      <c r="AV477" s="36" t="s">
        <v>1</v>
      </c>
      <c r="AW477" s="47" t="s">
        <v>1</v>
      </c>
      <c r="AX477" s="36" t="s">
        <v>2065</v>
      </c>
      <c r="AY477" s="47" t="s">
        <v>2194</v>
      </c>
      <c r="AZ477" s="36" t="s">
        <v>1299</v>
      </c>
      <c r="BA477" s="25" t="s">
        <v>2195</v>
      </c>
      <c r="BB477" s="36" t="s">
        <v>2188</v>
      </c>
      <c r="BC477" s="47" t="s">
        <v>2192</v>
      </c>
      <c r="BD477" s="36" t="s">
        <v>2189</v>
      </c>
      <c r="BE477" s="47" t="str">
        <f t="shared" si="16"/>
        <v>"Handysize"</v>
      </c>
    </row>
    <row r="478" spans="1:57" ht="6.65" customHeight="1" x14ac:dyDescent="0.4">
      <c r="A478" s="93">
        <v>478</v>
      </c>
      <c r="B478" s="71" t="s">
        <v>1690</v>
      </c>
      <c r="C478" s="72" t="s">
        <v>390</v>
      </c>
      <c r="D478" s="18" t="s">
        <v>1</v>
      </c>
      <c r="E478" s="20" t="s">
        <v>1</v>
      </c>
      <c r="F478" s="18" t="s">
        <v>1</v>
      </c>
      <c r="G478" s="20" t="s">
        <v>1</v>
      </c>
      <c r="H478" s="18" t="s">
        <v>1</v>
      </c>
      <c r="I478" s="20" t="s">
        <v>1</v>
      </c>
      <c r="J478" s="18" t="s">
        <v>1</v>
      </c>
      <c r="K478" s="20" t="s">
        <v>1</v>
      </c>
      <c r="L478" s="18" t="s">
        <v>1</v>
      </c>
      <c r="M478" s="20" t="s">
        <v>1</v>
      </c>
      <c r="N478" s="36" t="s">
        <v>82</v>
      </c>
      <c r="O478" s="25" t="s">
        <v>1322</v>
      </c>
      <c r="P478" s="36" t="s">
        <v>1292</v>
      </c>
      <c r="Q478" s="25" t="s">
        <v>1323</v>
      </c>
      <c r="R478" s="36" t="s">
        <v>1</v>
      </c>
      <c r="S478" s="25" t="s">
        <v>1</v>
      </c>
      <c r="T478" s="36" t="s">
        <v>2217</v>
      </c>
      <c r="U478" s="31" t="s">
        <v>1324</v>
      </c>
      <c r="V478" s="36" t="s">
        <v>2216</v>
      </c>
      <c r="W478" s="25" t="s">
        <v>1325</v>
      </c>
      <c r="X478" s="36" t="s">
        <v>1306</v>
      </c>
      <c r="Y478" s="56">
        <v>200</v>
      </c>
      <c r="Z478" s="36" t="s">
        <v>1</v>
      </c>
      <c r="AA478" s="47" t="s">
        <v>1</v>
      </c>
      <c r="AB478" s="36" t="s">
        <v>1</v>
      </c>
      <c r="AC478" s="47" t="s">
        <v>1</v>
      </c>
      <c r="AD478" s="36" t="s">
        <v>1309</v>
      </c>
      <c r="AE478" s="57">
        <v>20</v>
      </c>
      <c r="AF478" s="36" t="s">
        <v>1310</v>
      </c>
      <c r="AG478" s="57">
        <v>40000</v>
      </c>
      <c r="AH478" s="36" t="s">
        <v>1311</v>
      </c>
      <c r="AI478" s="57">
        <v>50000</v>
      </c>
      <c r="AJ478" s="36" t="s">
        <v>1</v>
      </c>
      <c r="AK478" s="51" t="s">
        <v>1</v>
      </c>
      <c r="AL478" s="36" t="s">
        <v>1</v>
      </c>
      <c r="AM478" s="31" t="s">
        <v>1</v>
      </c>
      <c r="AN478" s="36" t="s">
        <v>1</v>
      </c>
      <c r="AO478" s="31" t="s">
        <v>1</v>
      </c>
      <c r="AP478" s="36" t="s">
        <v>1</v>
      </c>
      <c r="AQ478" s="51" t="s">
        <v>1</v>
      </c>
      <c r="AR478" s="36" t="s">
        <v>1</v>
      </c>
      <c r="AS478" s="47" t="s">
        <v>1</v>
      </c>
      <c r="AT478" s="36" t="s">
        <v>1</v>
      </c>
      <c r="AU478" s="47" t="s">
        <v>1</v>
      </c>
      <c r="AV478" s="36" t="s">
        <v>1</v>
      </c>
      <c r="AW478" s="47" t="s">
        <v>1</v>
      </c>
      <c r="AX478" s="36" t="s">
        <v>2065</v>
      </c>
      <c r="AY478" s="47" t="s">
        <v>2194</v>
      </c>
      <c r="AZ478" s="36" t="s">
        <v>1299</v>
      </c>
      <c r="BA478" s="25" t="s">
        <v>2195</v>
      </c>
      <c r="BB478" s="36" t="s">
        <v>2188</v>
      </c>
      <c r="BC478" s="47" t="s">
        <v>2192</v>
      </c>
      <c r="BD478" s="36" t="s">
        <v>2189</v>
      </c>
      <c r="BE478" s="47" t="str">
        <f t="shared" si="16"/>
        <v>"Handymax"</v>
      </c>
    </row>
    <row r="479" spans="1:57" ht="6.65" customHeight="1" x14ac:dyDescent="0.4">
      <c r="A479" s="93">
        <v>479</v>
      </c>
      <c r="B479" s="71" t="s">
        <v>1691</v>
      </c>
      <c r="C479" s="72" t="s">
        <v>393</v>
      </c>
      <c r="D479" s="18" t="s">
        <v>1</v>
      </c>
      <c r="E479" s="20" t="s">
        <v>1</v>
      </c>
      <c r="F479" s="18" t="s">
        <v>1</v>
      </c>
      <c r="G479" s="20" t="s">
        <v>1</v>
      </c>
      <c r="H479" s="18" t="s">
        <v>1</v>
      </c>
      <c r="I479" s="20" t="s">
        <v>1</v>
      </c>
      <c r="J479" s="18" t="s">
        <v>1</v>
      </c>
      <c r="K479" s="20" t="s">
        <v>1</v>
      </c>
      <c r="L479" s="18" t="s">
        <v>1</v>
      </c>
      <c r="M479" s="20" t="s">
        <v>1</v>
      </c>
      <c r="N479" s="36" t="s">
        <v>82</v>
      </c>
      <c r="O479" s="25" t="s">
        <v>1326</v>
      </c>
      <c r="P479" s="36" t="s">
        <v>1292</v>
      </c>
      <c r="Q479" s="25" t="s">
        <v>1327</v>
      </c>
      <c r="R479" s="36" t="s">
        <v>1</v>
      </c>
      <c r="S479" s="25" t="s">
        <v>1</v>
      </c>
      <c r="T479" s="36" t="s">
        <v>2217</v>
      </c>
      <c r="U479" s="31" t="s">
        <v>1328</v>
      </c>
      <c r="V479" s="36" t="s">
        <v>2216</v>
      </c>
      <c r="W479" s="25" t="s">
        <v>1329</v>
      </c>
      <c r="X479" s="36" t="s">
        <v>1306</v>
      </c>
      <c r="Y479" s="56">
        <v>200</v>
      </c>
      <c r="Z479" s="36" t="s">
        <v>1</v>
      </c>
      <c r="AA479" s="47" t="s">
        <v>1</v>
      </c>
      <c r="AB479" s="36" t="s">
        <v>1</v>
      </c>
      <c r="AC479" s="47" t="s">
        <v>1</v>
      </c>
      <c r="AD479" s="36" t="s">
        <v>1309</v>
      </c>
      <c r="AE479" s="57">
        <v>20</v>
      </c>
      <c r="AF479" s="36" t="s">
        <v>1310</v>
      </c>
      <c r="AG479" s="57">
        <v>50000</v>
      </c>
      <c r="AH479" s="36" t="s">
        <v>1311</v>
      </c>
      <c r="AI479" s="57">
        <v>50000</v>
      </c>
      <c r="AJ479" s="36" t="s">
        <v>1</v>
      </c>
      <c r="AK479" s="51" t="s">
        <v>1</v>
      </c>
      <c r="AL479" s="36" t="s">
        <v>1</v>
      </c>
      <c r="AM479" s="31" t="s">
        <v>1</v>
      </c>
      <c r="AN479" s="36" t="s">
        <v>1</v>
      </c>
      <c r="AO479" s="31" t="s">
        <v>1</v>
      </c>
      <c r="AP479" s="36" t="s">
        <v>1</v>
      </c>
      <c r="AQ479" s="51" t="s">
        <v>1</v>
      </c>
      <c r="AR479" s="36" t="s">
        <v>1</v>
      </c>
      <c r="AS479" s="47" t="s">
        <v>1</v>
      </c>
      <c r="AT479" s="36" t="s">
        <v>1</v>
      </c>
      <c r="AU479" s="47" t="s">
        <v>1</v>
      </c>
      <c r="AV479" s="36" t="s">
        <v>1</v>
      </c>
      <c r="AW479" s="47" t="s">
        <v>1</v>
      </c>
      <c r="AX479" s="36" t="s">
        <v>2065</v>
      </c>
      <c r="AY479" s="47" t="s">
        <v>2194</v>
      </c>
      <c r="AZ479" s="36" t="s">
        <v>1299</v>
      </c>
      <c r="BA479" s="25" t="s">
        <v>2195</v>
      </c>
      <c r="BB479" s="36" t="s">
        <v>2188</v>
      </c>
      <c r="BC479" s="47" t="s">
        <v>2192</v>
      </c>
      <c r="BD479" s="36" t="s">
        <v>2189</v>
      </c>
      <c r="BE479" s="47" t="str">
        <f t="shared" si="16"/>
        <v>"Supramax"</v>
      </c>
    </row>
    <row r="480" spans="1:57" ht="6.65" customHeight="1" x14ac:dyDescent="0.4">
      <c r="A480" s="93">
        <v>480</v>
      </c>
      <c r="B480" s="71" t="s">
        <v>1692</v>
      </c>
      <c r="C480" s="72" t="s">
        <v>396</v>
      </c>
      <c r="D480" s="18" t="s">
        <v>1</v>
      </c>
      <c r="E480" s="20" t="s">
        <v>1</v>
      </c>
      <c r="F480" s="18" t="s">
        <v>1</v>
      </c>
      <c r="G480" s="20" t="s">
        <v>1</v>
      </c>
      <c r="H480" s="18" t="s">
        <v>1</v>
      </c>
      <c r="I480" s="20" t="s">
        <v>1</v>
      </c>
      <c r="J480" s="18" t="s">
        <v>1</v>
      </c>
      <c r="K480" s="20" t="s">
        <v>1</v>
      </c>
      <c r="L480" s="18" t="s">
        <v>1</v>
      </c>
      <c r="M480" s="20" t="s">
        <v>1</v>
      </c>
      <c r="N480" s="36" t="s">
        <v>82</v>
      </c>
      <c r="O480" s="25" t="s">
        <v>1330</v>
      </c>
      <c r="P480" s="36" t="s">
        <v>1292</v>
      </c>
      <c r="Q480" s="25" t="s">
        <v>1331</v>
      </c>
      <c r="R480" s="36" t="s">
        <v>1</v>
      </c>
      <c r="S480" s="25" t="s">
        <v>1</v>
      </c>
      <c r="T480" s="36" t="s">
        <v>2217</v>
      </c>
      <c r="U480" s="31" t="s">
        <v>1332</v>
      </c>
      <c r="V480" s="36" t="s">
        <v>2216</v>
      </c>
      <c r="W480" s="25" t="s">
        <v>1333</v>
      </c>
      <c r="X480" s="36" t="s">
        <v>1306</v>
      </c>
      <c r="Y480" s="47">
        <v>294</v>
      </c>
      <c r="Z480" s="36" t="s">
        <v>1307</v>
      </c>
      <c r="AA480" s="47">
        <v>12</v>
      </c>
      <c r="AB480" s="36" t="s">
        <v>1308</v>
      </c>
      <c r="AC480" s="47">
        <v>32.299999999999997</v>
      </c>
      <c r="AD480" s="36" t="s">
        <v>1309</v>
      </c>
      <c r="AE480" s="51">
        <v>25</v>
      </c>
      <c r="AF480" s="36" t="s">
        <v>1310</v>
      </c>
      <c r="AG480" s="57">
        <v>50000</v>
      </c>
      <c r="AH480" s="36" t="s">
        <v>1311</v>
      </c>
      <c r="AI480" s="57">
        <v>80000</v>
      </c>
      <c r="AJ480" s="36" t="s">
        <v>1</v>
      </c>
      <c r="AK480" s="51" t="s">
        <v>1</v>
      </c>
      <c r="AL480" s="36" t="s">
        <v>1</v>
      </c>
      <c r="AM480" s="31" t="s">
        <v>1</v>
      </c>
      <c r="AN480" s="36" t="s">
        <v>1</v>
      </c>
      <c r="AO480" s="31" t="s">
        <v>1</v>
      </c>
      <c r="AP480" s="36" t="s">
        <v>1</v>
      </c>
      <c r="AQ480" s="51" t="s">
        <v>1</v>
      </c>
      <c r="AR480" s="36" t="s">
        <v>1</v>
      </c>
      <c r="AS480" s="47" t="s">
        <v>1</v>
      </c>
      <c r="AT480" s="36" t="s">
        <v>1</v>
      </c>
      <c r="AU480" s="47" t="s">
        <v>1</v>
      </c>
      <c r="AV480" s="36" t="s">
        <v>1</v>
      </c>
      <c r="AW480" s="47" t="s">
        <v>1</v>
      </c>
      <c r="AX480" s="36" t="s">
        <v>2065</v>
      </c>
      <c r="AY480" s="47" t="s">
        <v>2194</v>
      </c>
      <c r="AZ480" s="36" t="s">
        <v>1299</v>
      </c>
      <c r="BA480" s="25" t="s">
        <v>2195</v>
      </c>
      <c r="BB480" s="36" t="s">
        <v>2188</v>
      </c>
      <c r="BC480" s="47" t="s">
        <v>2192</v>
      </c>
      <c r="BD480" s="36" t="s">
        <v>2189</v>
      </c>
      <c r="BE480" s="47" t="str">
        <f t="shared" si="16"/>
        <v>"Panamax"</v>
      </c>
    </row>
    <row r="481" spans="1:57" ht="6.65" customHeight="1" x14ac:dyDescent="0.4">
      <c r="A481" s="93">
        <v>481</v>
      </c>
      <c r="B481" s="71" t="s">
        <v>1693</v>
      </c>
      <c r="C481" s="72" t="s">
        <v>399</v>
      </c>
      <c r="D481" s="18" t="s">
        <v>1</v>
      </c>
      <c r="E481" s="20" t="s">
        <v>1</v>
      </c>
      <c r="F481" s="18" t="s">
        <v>1</v>
      </c>
      <c r="G481" s="20" t="s">
        <v>1</v>
      </c>
      <c r="H481" s="18" t="s">
        <v>1</v>
      </c>
      <c r="I481" s="20" t="s">
        <v>1</v>
      </c>
      <c r="J481" s="18" t="s">
        <v>1</v>
      </c>
      <c r="K481" s="20" t="s">
        <v>1</v>
      </c>
      <c r="L481" s="18" t="s">
        <v>1</v>
      </c>
      <c r="M481" s="20" t="s">
        <v>1</v>
      </c>
      <c r="N481" s="36" t="s">
        <v>82</v>
      </c>
      <c r="O481" s="25" t="s">
        <v>1334</v>
      </c>
      <c r="P481" s="36" t="s">
        <v>1292</v>
      </c>
      <c r="Q481" s="25" t="s">
        <v>1335</v>
      </c>
      <c r="R481" s="36" t="s">
        <v>1</v>
      </c>
      <c r="S481" s="25" t="s">
        <v>1</v>
      </c>
      <c r="T481" s="36" t="s">
        <v>2217</v>
      </c>
      <c r="U481" s="31" t="s">
        <v>1336</v>
      </c>
      <c r="V481" s="36" t="s">
        <v>2216</v>
      </c>
      <c r="W481" s="25" t="s">
        <v>1337</v>
      </c>
      <c r="X481" s="36" t="s">
        <v>1306</v>
      </c>
      <c r="Y481" s="47">
        <v>366</v>
      </c>
      <c r="Z481" s="36" t="s">
        <v>1307</v>
      </c>
      <c r="AA481" s="47">
        <v>15.2</v>
      </c>
      <c r="AB481" s="36" t="s">
        <v>1308</v>
      </c>
      <c r="AC481" s="47">
        <v>49</v>
      </c>
      <c r="AD481" s="36" t="s">
        <v>1309</v>
      </c>
      <c r="AE481" s="51">
        <v>25</v>
      </c>
      <c r="AF481" s="36" t="s">
        <v>1</v>
      </c>
      <c r="AG481" s="51" t="s">
        <v>1</v>
      </c>
      <c r="AH481" s="36" t="s">
        <v>1311</v>
      </c>
      <c r="AI481" s="57">
        <v>120000</v>
      </c>
      <c r="AJ481" s="36" t="s">
        <v>1</v>
      </c>
      <c r="AK481" s="51" t="s">
        <v>1</v>
      </c>
      <c r="AL481" s="36" t="s">
        <v>1</v>
      </c>
      <c r="AM481" s="31" t="s">
        <v>1</v>
      </c>
      <c r="AN481" s="36" t="s">
        <v>1</v>
      </c>
      <c r="AO481" s="31" t="s">
        <v>1</v>
      </c>
      <c r="AP481" s="36" t="s">
        <v>1</v>
      </c>
      <c r="AQ481" s="51" t="s">
        <v>1</v>
      </c>
      <c r="AR481" s="36" t="s">
        <v>1</v>
      </c>
      <c r="AS481" s="47" t="s">
        <v>1</v>
      </c>
      <c r="AT481" s="36" t="s">
        <v>1</v>
      </c>
      <c r="AU481" s="47" t="s">
        <v>1</v>
      </c>
      <c r="AV481" s="36" t="s">
        <v>1</v>
      </c>
      <c r="AW481" s="47" t="s">
        <v>1</v>
      </c>
      <c r="AX481" s="36" t="s">
        <v>2065</v>
      </c>
      <c r="AY481" s="47" t="s">
        <v>2194</v>
      </c>
      <c r="AZ481" s="36" t="s">
        <v>1299</v>
      </c>
      <c r="BA481" s="25" t="s">
        <v>2195</v>
      </c>
      <c r="BB481" s="36" t="s">
        <v>2188</v>
      </c>
      <c r="BC481" s="47" t="s">
        <v>2192</v>
      </c>
      <c r="BD481" s="36" t="s">
        <v>2189</v>
      </c>
      <c r="BE481" s="47" t="str">
        <f t="shared" si="16"/>
        <v>"Neopanamax"</v>
      </c>
    </row>
    <row r="482" spans="1:57" ht="6.65" customHeight="1" x14ac:dyDescent="0.4">
      <c r="A482" s="93">
        <v>482</v>
      </c>
      <c r="B482" s="71" t="s">
        <v>1694</v>
      </c>
      <c r="C482" s="72" t="s">
        <v>402</v>
      </c>
      <c r="D482" s="18" t="s">
        <v>1</v>
      </c>
      <c r="E482" s="20" t="s">
        <v>1</v>
      </c>
      <c r="F482" s="18" t="s">
        <v>1</v>
      </c>
      <c r="G482" s="20" t="s">
        <v>1</v>
      </c>
      <c r="H482" s="18" t="s">
        <v>1</v>
      </c>
      <c r="I482" s="20" t="s">
        <v>1</v>
      </c>
      <c r="J482" s="18" t="s">
        <v>1</v>
      </c>
      <c r="K482" s="20" t="s">
        <v>1</v>
      </c>
      <c r="L482" s="18" t="s">
        <v>1</v>
      </c>
      <c r="M482" s="20" t="s">
        <v>1</v>
      </c>
      <c r="N482" s="36" t="s">
        <v>82</v>
      </c>
      <c r="O482" s="25" t="s">
        <v>1338</v>
      </c>
      <c r="P482" s="36" t="s">
        <v>1292</v>
      </c>
      <c r="Q482" s="25" t="s">
        <v>1339</v>
      </c>
      <c r="R482" s="36" t="s">
        <v>1</v>
      </c>
      <c r="S482" s="25" t="s">
        <v>1</v>
      </c>
      <c r="T482" s="36" t="s">
        <v>2217</v>
      </c>
      <c r="U482" s="31" t="s">
        <v>1340</v>
      </c>
      <c r="V482" s="36" t="s">
        <v>2216</v>
      </c>
      <c r="W482" s="25" t="s">
        <v>1341</v>
      </c>
      <c r="X482" s="36" t="s">
        <v>1306</v>
      </c>
      <c r="Y482" s="47">
        <v>250</v>
      </c>
      <c r="Z482" s="36" t="s">
        <v>1307</v>
      </c>
      <c r="AA482" s="47">
        <v>16</v>
      </c>
      <c r="AB482" s="36" t="s">
        <v>1308</v>
      </c>
      <c r="AC482" s="47">
        <v>44</v>
      </c>
      <c r="AD482" s="36" t="s">
        <v>1309</v>
      </c>
      <c r="AE482" s="51">
        <v>30</v>
      </c>
      <c r="AF482" s="36" t="s">
        <v>1310</v>
      </c>
      <c r="AG482" s="57">
        <v>80000</v>
      </c>
      <c r="AH482" s="36" t="s">
        <v>1311</v>
      </c>
      <c r="AI482" s="57">
        <v>120000</v>
      </c>
      <c r="AJ482" s="36" t="s">
        <v>1</v>
      </c>
      <c r="AK482" s="51" t="s">
        <v>1</v>
      </c>
      <c r="AL482" s="36" t="s">
        <v>1</v>
      </c>
      <c r="AM482" s="31" t="s">
        <v>1</v>
      </c>
      <c r="AN482" s="36" t="s">
        <v>1</v>
      </c>
      <c r="AO482" s="31" t="s">
        <v>1</v>
      </c>
      <c r="AP482" s="36" t="s">
        <v>1</v>
      </c>
      <c r="AQ482" s="51" t="s">
        <v>1</v>
      </c>
      <c r="AR482" s="36" t="s">
        <v>1</v>
      </c>
      <c r="AS482" s="47" t="s">
        <v>1</v>
      </c>
      <c r="AT482" s="36" t="s">
        <v>1</v>
      </c>
      <c r="AU482" s="47" t="s">
        <v>1</v>
      </c>
      <c r="AV482" s="36" t="s">
        <v>1</v>
      </c>
      <c r="AW482" s="47" t="s">
        <v>1</v>
      </c>
      <c r="AX482" s="36" t="s">
        <v>2065</v>
      </c>
      <c r="AY482" s="47" t="s">
        <v>2194</v>
      </c>
      <c r="AZ482" s="36" t="s">
        <v>1299</v>
      </c>
      <c r="BA482" s="25" t="s">
        <v>2195</v>
      </c>
      <c r="BB482" s="36" t="s">
        <v>2188</v>
      </c>
      <c r="BC482" s="47" t="s">
        <v>2192</v>
      </c>
      <c r="BD482" s="36" t="s">
        <v>2189</v>
      </c>
      <c r="BE482" s="47" t="str">
        <f t="shared" si="16"/>
        <v>"Aframax"</v>
      </c>
    </row>
    <row r="483" spans="1:57" ht="6.65" customHeight="1" x14ac:dyDescent="0.4">
      <c r="A483" s="93">
        <v>483</v>
      </c>
      <c r="B483" s="71" t="s">
        <v>1695</v>
      </c>
      <c r="C483" s="72" t="s">
        <v>405</v>
      </c>
      <c r="D483" s="18" t="s">
        <v>1</v>
      </c>
      <c r="E483" s="20" t="s">
        <v>1</v>
      </c>
      <c r="F483" s="18" t="s">
        <v>1</v>
      </c>
      <c r="G483" s="20" t="s">
        <v>1</v>
      </c>
      <c r="H483" s="18" t="s">
        <v>1</v>
      </c>
      <c r="I483" s="20" t="s">
        <v>1</v>
      </c>
      <c r="J483" s="18" t="s">
        <v>1</v>
      </c>
      <c r="K483" s="20" t="s">
        <v>1</v>
      </c>
      <c r="L483" s="18" t="s">
        <v>1</v>
      </c>
      <c r="M483" s="20" t="s">
        <v>1</v>
      </c>
      <c r="N483" s="36" t="s">
        <v>82</v>
      </c>
      <c r="O483" s="25" t="s">
        <v>1342</v>
      </c>
      <c r="P483" s="36" t="s">
        <v>1292</v>
      </c>
      <c r="Q483" s="25" t="s">
        <v>1343</v>
      </c>
      <c r="R483" s="36" t="s">
        <v>1</v>
      </c>
      <c r="S483" s="25" t="s">
        <v>1</v>
      </c>
      <c r="T483" s="36" t="s">
        <v>2217</v>
      </c>
      <c r="U483" s="31" t="s">
        <v>1344</v>
      </c>
      <c r="V483" s="36" t="s">
        <v>2216</v>
      </c>
      <c r="W483" s="25" t="s">
        <v>1345</v>
      </c>
      <c r="X483" s="36" t="s">
        <v>1306</v>
      </c>
      <c r="Y483" s="47">
        <v>275</v>
      </c>
      <c r="Z483" s="36" t="s">
        <v>1307</v>
      </c>
      <c r="AA483" s="47">
        <v>68</v>
      </c>
      <c r="AB483" s="36" t="s">
        <v>1308</v>
      </c>
      <c r="AC483" s="47">
        <v>50</v>
      </c>
      <c r="AD483" s="36" t="s">
        <v>1309</v>
      </c>
      <c r="AE483" s="51">
        <v>30</v>
      </c>
      <c r="AF483" s="36" t="s">
        <v>1310</v>
      </c>
      <c r="AG483" s="57">
        <v>120000</v>
      </c>
      <c r="AH483" s="36" t="s">
        <v>1311</v>
      </c>
      <c r="AI483" s="57">
        <v>200000</v>
      </c>
      <c r="AJ483" s="36" t="s">
        <v>1</v>
      </c>
      <c r="AK483" s="51" t="s">
        <v>1</v>
      </c>
      <c r="AL483" s="36" t="s">
        <v>1</v>
      </c>
      <c r="AM483" s="31" t="s">
        <v>1</v>
      </c>
      <c r="AN483" s="36" t="s">
        <v>1</v>
      </c>
      <c r="AO483" s="31" t="s">
        <v>1</v>
      </c>
      <c r="AP483" s="36" t="s">
        <v>1</v>
      </c>
      <c r="AQ483" s="51" t="s">
        <v>1</v>
      </c>
      <c r="AR483" s="36" t="s">
        <v>1</v>
      </c>
      <c r="AS483" s="47" t="s">
        <v>1</v>
      </c>
      <c r="AT483" s="36" t="s">
        <v>1</v>
      </c>
      <c r="AU483" s="47" t="s">
        <v>1</v>
      </c>
      <c r="AV483" s="36" t="s">
        <v>1</v>
      </c>
      <c r="AW483" s="47" t="s">
        <v>1</v>
      </c>
      <c r="AX483" s="36" t="s">
        <v>2065</v>
      </c>
      <c r="AY483" s="47" t="s">
        <v>2194</v>
      </c>
      <c r="AZ483" s="36" t="s">
        <v>1299</v>
      </c>
      <c r="BA483" s="25" t="s">
        <v>2195</v>
      </c>
      <c r="BB483" s="36" t="s">
        <v>2188</v>
      </c>
      <c r="BC483" s="47" t="s">
        <v>2192</v>
      </c>
      <c r="BD483" s="36" t="s">
        <v>2189</v>
      </c>
      <c r="BE483" s="47" t="str">
        <f t="shared" si="16"/>
        <v>"Suezmax"</v>
      </c>
    </row>
    <row r="484" spans="1:57" ht="6.65" customHeight="1" x14ac:dyDescent="0.4">
      <c r="A484" s="93">
        <v>484</v>
      </c>
      <c r="B484" s="71" t="s">
        <v>1697</v>
      </c>
      <c r="C484" s="72" t="s">
        <v>408</v>
      </c>
      <c r="D484" s="18" t="s">
        <v>1</v>
      </c>
      <c r="E484" s="20" t="s">
        <v>1</v>
      </c>
      <c r="F484" s="18" t="s">
        <v>1</v>
      </c>
      <c r="G484" s="20" t="s">
        <v>1</v>
      </c>
      <c r="H484" s="18" t="s">
        <v>1</v>
      </c>
      <c r="I484" s="20" t="s">
        <v>1</v>
      </c>
      <c r="J484" s="18" t="s">
        <v>1</v>
      </c>
      <c r="K484" s="20" t="s">
        <v>1</v>
      </c>
      <c r="L484" s="18" t="s">
        <v>1</v>
      </c>
      <c r="M484" s="20" t="s">
        <v>1</v>
      </c>
      <c r="N484" s="36" t="s">
        <v>82</v>
      </c>
      <c r="O484" s="25" t="s">
        <v>1346</v>
      </c>
      <c r="P484" s="36" t="s">
        <v>1292</v>
      </c>
      <c r="Q484" s="25" t="s">
        <v>1347</v>
      </c>
      <c r="R484" s="36" t="s">
        <v>1</v>
      </c>
      <c r="S484" s="25" t="s">
        <v>1</v>
      </c>
      <c r="T484" s="36" t="s">
        <v>2217</v>
      </c>
      <c r="U484" s="31" t="s">
        <v>1348</v>
      </c>
      <c r="V484" s="36" t="s">
        <v>2216</v>
      </c>
      <c r="W484" s="25" t="s">
        <v>1349</v>
      </c>
      <c r="X484" s="36" t="s">
        <v>1306</v>
      </c>
      <c r="Y484" s="47">
        <v>290</v>
      </c>
      <c r="Z484" s="36" t="s">
        <v>1307</v>
      </c>
      <c r="AA484" s="47">
        <v>18</v>
      </c>
      <c r="AB484" s="36" t="s">
        <v>1308</v>
      </c>
      <c r="AC484" s="47">
        <v>45</v>
      </c>
      <c r="AD484" s="36" t="s">
        <v>1309</v>
      </c>
      <c r="AE484" s="51">
        <v>35</v>
      </c>
      <c r="AF484" s="36" t="s">
        <v>1310</v>
      </c>
      <c r="AG484" s="57">
        <v>150000</v>
      </c>
      <c r="AH484" s="36" t="s">
        <v>1311</v>
      </c>
      <c r="AI484" s="57">
        <v>220000</v>
      </c>
      <c r="AJ484" s="36" t="s">
        <v>1</v>
      </c>
      <c r="AK484" s="51" t="s">
        <v>1</v>
      </c>
      <c r="AL484" s="36" t="s">
        <v>1</v>
      </c>
      <c r="AM484" s="31" t="s">
        <v>1</v>
      </c>
      <c r="AN484" s="36" t="s">
        <v>1</v>
      </c>
      <c r="AO484" s="31" t="s">
        <v>1</v>
      </c>
      <c r="AP484" s="36" t="s">
        <v>1</v>
      </c>
      <c r="AQ484" s="51" t="s">
        <v>1</v>
      </c>
      <c r="AR484" s="36" t="s">
        <v>1</v>
      </c>
      <c r="AS484" s="47" t="s">
        <v>1</v>
      </c>
      <c r="AT484" s="36" t="s">
        <v>1</v>
      </c>
      <c r="AU484" s="47" t="s">
        <v>1</v>
      </c>
      <c r="AV484" s="36" t="s">
        <v>1</v>
      </c>
      <c r="AW484" s="47" t="s">
        <v>1</v>
      </c>
      <c r="AX484" s="36" t="s">
        <v>2065</v>
      </c>
      <c r="AY484" s="47" t="s">
        <v>2194</v>
      </c>
      <c r="AZ484" s="36" t="s">
        <v>1299</v>
      </c>
      <c r="BA484" s="25" t="s">
        <v>2195</v>
      </c>
      <c r="BB484" s="36" t="s">
        <v>2188</v>
      </c>
      <c r="BC484" s="47" t="s">
        <v>2192</v>
      </c>
      <c r="BD484" s="36" t="s">
        <v>2189</v>
      </c>
      <c r="BE484" s="47" t="str">
        <f t="shared" si="16"/>
        <v>"Capesize"</v>
      </c>
    </row>
    <row r="485" spans="1:57" ht="6.65" customHeight="1" x14ac:dyDescent="0.4">
      <c r="A485" s="93">
        <v>485</v>
      </c>
      <c r="B485" s="71" t="s">
        <v>1696</v>
      </c>
      <c r="C485" s="72" t="s">
        <v>411</v>
      </c>
      <c r="D485" s="18" t="s">
        <v>1</v>
      </c>
      <c r="E485" s="20" t="s">
        <v>1</v>
      </c>
      <c r="F485" s="18" t="s">
        <v>1</v>
      </c>
      <c r="G485" s="20" t="s">
        <v>1</v>
      </c>
      <c r="H485" s="18" t="s">
        <v>1</v>
      </c>
      <c r="I485" s="20" t="s">
        <v>1</v>
      </c>
      <c r="J485" s="18" t="s">
        <v>1</v>
      </c>
      <c r="K485" s="20" t="s">
        <v>1</v>
      </c>
      <c r="L485" s="18" t="s">
        <v>1</v>
      </c>
      <c r="M485" s="20" t="s">
        <v>1</v>
      </c>
      <c r="N485" s="36" t="s">
        <v>82</v>
      </c>
      <c r="O485" s="25" t="s">
        <v>2213</v>
      </c>
      <c r="P485" s="36" t="s">
        <v>1292</v>
      </c>
      <c r="Q485" s="25" t="s">
        <v>1350</v>
      </c>
      <c r="R485" s="36" t="s">
        <v>1</v>
      </c>
      <c r="S485" s="25" t="s">
        <v>1</v>
      </c>
      <c r="T485" s="36" t="s">
        <v>2217</v>
      </c>
      <c r="U485" s="31" t="s">
        <v>1351</v>
      </c>
      <c r="V485" s="36" t="s">
        <v>2216</v>
      </c>
      <c r="W485" s="25" t="s">
        <v>1352</v>
      </c>
      <c r="X485" s="36" t="s">
        <v>1306</v>
      </c>
      <c r="Y485" s="47">
        <v>330</v>
      </c>
      <c r="Z485" s="36" t="s">
        <v>1</v>
      </c>
      <c r="AA485" s="47" t="s">
        <v>1</v>
      </c>
      <c r="AB485" s="36" t="s">
        <v>1</v>
      </c>
      <c r="AC485" s="47" t="s">
        <v>1</v>
      </c>
      <c r="AD485" s="36" t="s">
        <v>1309</v>
      </c>
      <c r="AE485" s="51">
        <v>40</v>
      </c>
      <c r="AF485" s="36" t="s">
        <v>1310</v>
      </c>
      <c r="AG485" s="57">
        <v>200000</v>
      </c>
      <c r="AH485" s="36" t="s">
        <v>1311</v>
      </c>
      <c r="AI485" s="57">
        <v>320000</v>
      </c>
      <c r="AJ485" s="36" t="s">
        <v>1</v>
      </c>
      <c r="AK485" s="51" t="s">
        <v>1</v>
      </c>
      <c r="AL485" s="36" t="s">
        <v>1</v>
      </c>
      <c r="AM485" s="31" t="s">
        <v>1</v>
      </c>
      <c r="AN485" s="36" t="s">
        <v>1</v>
      </c>
      <c r="AO485" s="31" t="s">
        <v>1</v>
      </c>
      <c r="AP485" s="36" t="s">
        <v>1</v>
      </c>
      <c r="AQ485" s="51" t="s">
        <v>1</v>
      </c>
      <c r="AR485" s="36" t="s">
        <v>1</v>
      </c>
      <c r="AS485" s="47" t="s">
        <v>1</v>
      </c>
      <c r="AT485" s="36" t="s">
        <v>1</v>
      </c>
      <c r="AU485" s="47" t="s">
        <v>1</v>
      </c>
      <c r="AV485" s="36" t="s">
        <v>1</v>
      </c>
      <c r="AW485" s="47" t="s">
        <v>1</v>
      </c>
      <c r="AX485" s="36" t="s">
        <v>2065</v>
      </c>
      <c r="AY485" s="47" t="s">
        <v>2194</v>
      </c>
      <c r="AZ485" s="36" t="s">
        <v>1299</v>
      </c>
      <c r="BA485" s="25" t="s">
        <v>2195</v>
      </c>
      <c r="BB485" s="36" t="s">
        <v>2188</v>
      </c>
      <c r="BC485" s="47" t="s">
        <v>2192</v>
      </c>
      <c r="BD485" s="36" t="s">
        <v>2189</v>
      </c>
      <c r="BE485" s="47" t="str">
        <f t="shared" si="16"/>
        <v>"Superpetroleiro"</v>
      </c>
    </row>
    <row r="486" spans="1:57" ht="6.65" customHeight="1" x14ac:dyDescent="0.4">
      <c r="A486" s="93">
        <v>486</v>
      </c>
      <c r="B486" s="71" t="s">
        <v>1698</v>
      </c>
      <c r="C486" s="72" t="s">
        <v>414</v>
      </c>
      <c r="D486" s="18" t="s">
        <v>1</v>
      </c>
      <c r="E486" s="20" t="s">
        <v>1</v>
      </c>
      <c r="F486" s="18" t="s">
        <v>1</v>
      </c>
      <c r="G486" s="20" t="s">
        <v>1</v>
      </c>
      <c r="H486" s="18" t="s">
        <v>1</v>
      </c>
      <c r="I486" s="20" t="s">
        <v>1</v>
      </c>
      <c r="J486" s="18" t="s">
        <v>1</v>
      </c>
      <c r="K486" s="20" t="s">
        <v>1</v>
      </c>
      <c r="L486" s="18" t="s">
        <v>1</v>
      </c>
      <c r="M486" s="20" t="s">
        <v>1</v>
      </c>
      <c r="N486" s="36" t="s">
        <v>82</v>
      </c>
      <c r="O486" s="25" t="s">
        <v>2212</v>
      </c>
      <c r="P486" s="36" t="s">
        <v>1292</v>
      </c>
      <c r="Q486" s="25" t="s">
        <v>1353</v>
      </c>
      <c r="R486" s="36" t="s">
        <v>1</v>
      </c>
      <c r="S486" s="25" t="s">
        <v>1</v>
      </c>
      <c r="T486" s="36" t="s">
        <v>2217</v>
      </c>
      <c r="U486" s="31" t="s">
        <v>1354</v>
      </c>
      <c r="V486" s="36" t="s">
        <v>2216</v>
      </c>
      <c r="W486" s="25" t="s">
        <v>1355</v>
      </c>
      <c r="X486" s="36" t="s">
        <v>1306</v>
      </c>
      <c r="Y486" s="47">
        <v>400</v>
      </c>
      <c r="Z486" s="36" t="s">
        <v>1</v>
      </c>
      <c r="AA486" s="47" t="s">
        <v>1</v>
      </c>
      <c r="AB486" s="36" t="s">
        <v>1</v>
      </c>
      <c r="AC486" s="47" t="s">
        <v>1</v>
      </c>
      <c r="AD486" s="36" t="s">
        <v>1309</v>
      </c>
      <c r="AE486" s="51">
        <v>40</v>
      </c>
      <c r="AF486" s="36" t="s">
        <v>1310</v>
      </c>
      <c r="AG486" s="57">
        <v>320000</v>
      </c>
      <c r="AH486" s="36" t="s">
        <v>1311</v>
      </c>
      <c r="AI486" s="57">
        <v>550000</v>
      </c>
      <c r="AJ486" s="36" t="s">
        <v>1</v>
      </c>
      <c r="AK486" s="51" t="s">
        <v>1</v>
      </c>
      <c r="AL486" s="36" t="s">
        <v>1</v>
      </c>
      <c r="AM486" s="31" t="s">
        <v>1</v>
      </c>
      <c r="AN486" s="36" t="s">
        <v>1</v>
      </c>
      <c r="AO486" s="31" t="s">
        <v>1</v>
      </c>
      <c r="AP486" s="36" t="s">
        <v>1</v>
      </c>
      <c r="AQ486" s="51" t="s">
        <v>1</v>
      </c>
      <c r="AR486" s="36" t="s">
        <v>1</v>
      </c>
      <c r="AS486" s="47" t="s">
        <v>1</v>
      </c>
      <c r="AT486" s="36" t="s">
        <v>1</v>
      </c>
      <c r="AU486" s="47" t="s">
        <v>1</v>
      </c>
      <c r="AV486" s="36" t="s">
        <v>1</v>
      </c>
      <c r="AW486" s="47" t="s">
        <v>1</v>
      </c>
      <c r="AX486" s="36" t="s">
        <v>2065</v>
      </c>
      <c r="AY486" s="47" t="s">
        <v>2194</v>
      </c>
      <c r="AZ486" s="36" t="s">
        <v>1299</v>
      </c>
      <c r="BA486" s="25" t="s">
        <v>2195</v>
      </c>
      <c r="BB486" s="36" t="s">
        <v>2188</v>
      </c>
      <c r="BC486" s="47" t="s">
        <v>2192</v>
      </c>
      <c r="BD486" s="36" t="s">
        <v>2189</v>
      </c>
      <c r="BE486" s="47" t="str">
        <f t="shared" si="16"/>
        <v>"Ultrapetroleiro"</v>
      </c>
    </row>
    <row r="487" spans="1:57" ht="6.65" customHeight="1" x14ac:dyDescent="0.4">
      <c r="A487" s="93">
        <v>487</v>
      </c>
      <c r="B487" s="71" t="s">
        <v>1699</v>
      </c>
      <c r="C487" s="72" t="s">
        <v>417</v>
      </c>
      <c r="D487" s="18" t="s">
        <v>1</v>
      </c>
      <c r="E487" s="20" t="s">
        <v>1</v>
      </c>
      <c r="F487" s="18" t="s">
        <v>1</v>
      </c>
      <c r="G487" s="20" t="s">
        <v>1</v>
      </c>
      <c r="H487" s="18" t="s">
        <v>1</v>
      </c>
      <c r="I487" s="20" t="s">
        <v>1</v>
      </c>
      <c r="J487" s="18" t="s">
        <v>1</v>
      </c>
      <c r="K487" s="20" t="s">
        <v>1</v>
      </c>
      <c r="L487" s="18" t="s">
        <v>1</v>
      </c>
      <c r="M487" s="20" t="s">
        <v>1</v>
      </c>
      <c r="N487" s="36" t="s">
        <v>82</v>
      </c>
      <c r="O487" s="25" t="s">
        <v>2211</v>
      </c>
      <c r="P487" s="36" t="s">
        <v>1292</v>
      </c>
      <c r="Q487" s="25" t="s">
        <v>1356</v>
      </c>
      <c r="R487" s="36" t="s">
        <v>1</v>
      </c>
      <c r="S487" s="25" t="s">
        <v>1</v>
      </c>
      <c r="T487" s="36" t="s">
        <v>2217</v>
      </c>
      <c r="U487" s="31" t="s">
        <v>1357</v>
      </c>
      <c r="V487" s="36" t="s">
        <v>2216</v>
      </c>
      <c r="W487" s="25" t="s">
        <v>1358</v>
      </c>
      <c r="X487" s="36" t="s">
        <v>1306</v>
      </c>
      <c r="Y487" s="47">
        <v>360</v>
      </c>
      <c r="Z487" s="36" t="s">
        <v>1</v>
      </c>
      <c r="AA487" s="47" t="s">
        <v>1</v>
      </c>
      <c r="AB487" s="36" t="s">
        <v>1308</v>
      </c>
      <c r="AC487" s="47">
        <v>65</v>
      </c>
      <c r="AD487" s="36" t="s">
        <v>1309</v>
      </c>
      <c r="AE487" s="51">
        <v>30</v>
      </c>
      <c r="AF487" s="36" t="s">
        <v>1</v>
      </c>
      <c r="AG487" s="51" t="s">
        <v>1</v>
      </c>
      <c r="AH487" s="36" t="s">
        <v>1311</v>
      </c>
      <c r="AI487" s="57">
        <v>400000</v>
      </c>
      <c r="AJ487" s="36" t="s">
        <v>1</v>
      </c>
      <c r="AK487" s="51" t="s">
        <v>1</v>
      </c>
      <c r="AL487" s="36" t="s">
        <v>1</v>
      </c>
      <c r="AM487" s="31" t="s">
        <v>1</v>
      </c>
      <c r="AN487" s="36" t="s">
        <v>1</v>
      </c>
      <c r="AO487" s="31" t="s">
        <v>1</v>
      </c>
      <c r="AP487" s="36" t="s">
        <v>1</v>
      </c>
      <c r="AQ487" s="51" t="s">
        <v>1</v>
      </c>
      <c r="AR487" s="36" t="s">
        <v>1</v>
      </c>
      <c r="AS487" s="47" t="s">
        <v>1</v>
      </c>
      <c r="AT487" s="36" t="s">
        <v>1</v>
      </c>
      <c r="AU487" s="47" t="s">
        <v>1</v>
      </c>
      <c r="AV487" s="36" t="s">
        <v>1</v>
      </c>
      <c r="AW487" s="47" t="s">
        <v>1</v>
      </c>
      <c r="AX487" s="36" t="s">
        <v>2065</v>
      </c>
      <c r="AY487" s="47" t="s">
        <v>2194</v>
      </c>
      <c r="AZ487" s="36" t="s">
        <v>1299</v>
      </c>
      <c r="BA487" s="25" t="s">
        <v>2195</v>
      </c>
      <c r="BB487" s="36" t="s">
        <v>2188</v>
      </c>
      <c r="BC487" s="47" t="s">
        <v>2192</v>
      </c>
      <c r="BD487" s="36" t="s">
        <v>2189</v>
      </c>
      <c r="BE487" s="47" t="str">
        <f t="shared" si="16"/>
        <v>"Chinamax"</v>
      </c>
    </row>
    <row r="488" spans="1:57" ht="6.65" customHeight="1" x14ac:dyDescent="0.4">
      <c r="A488" s="93">
        <v>488</v>
      </c>
      <c r="B488" s="71" t="s">
        <v>1700</v>
      </c>
      <c r="C488" s="72" t="s">
        <v>420</v>
      </c>
      <c r="D488" s="18" t="s">
        <v>1</v>
      </c>
      <c r="E488" s="20" t="s">
        <v>1</v>
      </c>
      <c r="F488" s="18" t="s">
        <v>1</v>
      </c>
      <c r="G488" s="20" t="s">
        <v>1</v>
      </c>
      <c r="H488" s="18" t="s">
        <v>1</v>
      </c>
      <c r="I488" s="20" t="s">
        <v>1</v>
      </c>
      <c r="J488" s="18" t="s">
        <v>1</v>
      </c>
      <c r="K488" s="20" t="s">
        <v>1</v>
      </c>
      <c r="L488" s="18" t="s">
        <v>1</v>
      </c>
      <c r="M488" s="20" t="s">
        <v>1</v>
      </c>
      <c r="N488" s="36" t="s">
        <v>82</v>
      </c>
      <c r="O488" s="25" t="s">
        <v>1359</v>
      </c>
      <c r="P488" s="36" t="s">
        <v>1292</v>
      </c>
      <c r="Q488" s="58" t="s">
        <v>1360</v>
      </c>
      <c r="R488" s="36" t="s">
        <v>1</v>
      </c>
      <c r="S488" s="25" t="s">
        <v>1</v>
      </c>
      <c r="T488" s="36" t="s">
        <v>2217</v>
      </c>
      <c r="U488" s="31" t="s">
        <v>1361</v>
      </c>
      <c r="V488" s="36" t="s">
        <v>2216</v>
      </c>
      <c r="W488" s="25" t="s">
        <v>1362</v>
      </c>
      <c r="X488" s="36" t="s">
        <v>1306</v>
      </c>
      <c r="Y488" s="56">
        <v>350</v>
      </c>
      <c r="Z488" s="36" t="s">
        <v>1307</v>
      </c>
      <c r="AA488" s="47">
        <v>10</v>
      </c>
      <c r="AB488" s="36" t="s">
        <v>1308</v>
      </c>
      <c r="AC488" s="47">
        <v>55</v>
      </c>
      <c r="AD488" s="36" t="s">
        <v>1363</v>
      </c>
      <c r="AE488" s="51">
        <v>2000</v>
      </c>
      <c r="AF488" s="36" t="s">
        <v>1</v>
      </c>
      <c r="AG488" s="51" t="s">
        <v>1</v>
      </c>
      <c r="AH488" s="36" t="s">
        <v>1</v>
      </c>
      <c r="AI488" s="51" t="s">
        <v>1</v>
      </c>
      <c r="AJ488" s="36" t="s">
        <v>2204</v>
      </c>
      <c r="AK488" s="51">
        <v>6000</v>
      </c>
      <c r="AL488" s="36" t="s">
        <v>1364</v>
      </c>
      <c r="AM488" s="31" t="s">
        <v>1365</v>
      </c>
      <c r="AN488" s="36" t="s">
        <v>2223</v>
      </c>
      <c r="AO488" s="31" t="s">
        <v>1366</v>
      </c>
      <c r="AP488" s="36" t="s">
        <v>1</v>
      </c>
      <c r="AQ488" s="51" t="s">
        <v>1</v>
      </c>
      <c r="AR488" s="36" t="s">
        <v>1</v>
      </c>
      <c r="AS488" s="47" t="s">
        <v>1</v>
      </c>
      <c r="AT488" s="36" t="s">
        <v>1</v>
      </c>
      <c r="AU488" s="47" t="s">
        <v>1</v>
      </c>
      <c r="AV488" s="36" t="s">
        <v>1</v>
      </c>
      <c r="AW488" s="47" t="s">
        <v>1</v>
      </c>
      <c r="AX488" s="36" t="s">
        <v>2065</v>
      </c>
      <c r="AY488" s="47" t="s">
        <v>2194</v>
      </c>
      <c r="AZ488" s="36" t="s">
        <v>1299</v>
      </c>
      <c r="BA488" s="25" t="s">
        <v>2195</v>
      </c>
      <c r="BB488" s="36" t="s">
        <v>2188</v>
      </c>
      <c r="BC488" s="47" t="s">
        <v>2192</v>
      </c>
      <c r="BD488" s="36" t="s">
        <v>2189</v>
      </c>
      <c r="BE488" s="47" t="str">
        <f t="shared" si="16"/>
        <v>"Cruzeiro"</v>
      </c>
    </row>
    <row r="489" spans="1:57" ht="6.65" customHeight="1" x14ac:dyDescent="0.4">
      <c r="A489" s="93">
        <v>489</v>
      </c>
      <c r="B489" s="71" t="s">
        <v>1701</v>
      </c>
      <c r="C489" s="72" t="s">
        <v>420</v>
      </c>
      <c r="D489" s="18" t="s">
        <v>1</v>
      </c>
      <c r="E489" s="20" t="s">
        <v>1</v>
      </c>
      <c r="F489" s="18" t="s">
        <v>1</v>
      </c>
      <c r="G489" s="20" t="s">
        <v>1</v>
      </c>
      <c r="H489" s="18" t="s">
        <v>1</v>
      </c>
      <c r="I489" s="20" t="s">
        <v>1</v>
      </c>
      <c r="J489" s="18" t="s">
        <v>1</v>
      </c>
      <c r="K489" s="20" t="s">
        <v>1</v>
      </c>
      <c r="L489" s="18" t="s">
        <v>1</v>
      </c>
      <c r="M489" s="20" t="s">
        <v>1</v>
      </c>
      <c r="N489" s="36" t="s">
        <v>82</v>
      </c>
      <c r="O489" s="25" t="s">
        <v>1367</v>
      </c>
      <c r="P489" s="36" t="s">
        <v>1292</v>
      </c>
      <c r="Q489" s="58" t="s">
        <v>1368</v>
      </c>
      <c r="R489" s="36" t="s">
        <v>1</v>
      </c>
      <c r="S489" s="25" t="s">
        <v>1</v>
      </c>
      <c r="T489" s="36" t="s">
        <v>2217</v>
      </c>
      <c r="U489" s="31" t="s">
        <v>1369</v>
      </c>
      <c r="V489" s="36" t="s">
        <v>1</v>
      </c>
      <c r="W489" s="25" t="s">
        <v>1</v>
      </c>
      <c r="X489" s="36" t="s">
        <v>1306</v>
      </c>
      <c r="Y489" s="56">
        <v>365</v>
      </c>
      <c r="Z489" s="36" t="s">
        <v>1307</v>
      </c>
      <c r="AA489" s="47">
        <v>9.3000000000000007</v>
      </c>
      <c r="AB489" s="36" t="s">
        <v>1308</v>
      </c>
      <c r="AC489" s="47">
        <v>50</v>
      </c>
      <c r="AD489" s="36" t="s">
        <v>1363</v>
      </c>
      <c r="AE489" s="51">
        <v>2350</v>
      </c>
      <c r="AF489" s="36" t="s">
        <v>1</v>
      </c>
      <c r="AG489" s="51" t="s">
        <v>1</v>
      </c>
      <c r="AH489" s="36" t="s">
        <v>1</v>
      </c>
      <c r="AI489" s="51" t="s">
        <v>1</v>
      </c>
      <c r="AJ489" s="36" t="s">
        <v>2204</v>
      </c>
      <c r="AK489" s="51">
        <v>7600</v>
      </c>
      <c r="AL489" s="36" t="s">
        <v>1364</v>
      </c>
      <c r="AM489" s="31" t="s">
        <v>1370</v>
      </c>
      <c r="AN489" s="36" t="s">
        <v>2223</v>
      </c>
      <c r="AO489" s="31" t="s">
        <v>1366</v>
      </c>
      <c r="AP489" s="36" t="s">
        <v>1371</v>
      </c>
      <c r="AQ489" s="51">
        <v>250800</v>
      </c>
      <c r="AR489" s="36" t="s">
        <v>1</v>
      </c>
      <c r="AS489" s="47" t="s">
        <v>1</v>
      </c>
      <c r="AT489" s="36" t="s">
        <v>1</v>
      </c>
      <c r="AU489" s="47" t="s">
        <v>1</v>
      </c>
      <c r="AV489" s="36" t="s">
        <v>1</v>
      </c>
      <c r="AW489" s="47" t="s">
        <v>1</v>
      </c>
      <c r="AX489" s="36" t="s">
        <v>2065</v>
      </c>
      <c r="AY489" s="47" t="s">
        <v>2194</v>
      </c>
      <c r="AZ489" s="36" t="s">
        <v>1299</v>
      </c>
      <c r="BA489" s="25" t="s">
        <v>2195</v>
      </c>
      <c r="BB489" s="36" t="s">
        <v>2188</v>
      </c>
      <c r="BC489" s="47" t="s">
        <v>2192</v>
      </c>
      <c r="BD489" s="36" t="s">
        <v>2189</v>
      </c>
      <c r="BE489" s="47" t="str">
        <f t="shared" si="16"/>
        <v>"Cruzeiro"</v>
      </c>
    </row>
    <row r="490" spans="1:57" ht="6.65" customHeight="1" x14ac:dyDescent="0.4">
      <c r="A490" s="93">
        <v>490</v>
      </c>
      <c r="B490" s="71" t="s">
        <v>1702</v>
      </c>
      <c r="C490" s="72" t="s">
        <v>420</v>
      </c>
      <c r="D490" s="18" t="s">
        <v>1</v>
      </c>
      <c r="E490" s="20" t="s">
        <v>1</v>
      </c>
      <c r="F490" s="18" t="s">
        <v>1</v>
      </c>
      <c r="G490" s="20" t="s">
        <v>1</v>
      </c>
      <c r="H490" s="18" t="s">
        <v>1</v>
      </c>
      <c r="I490" s="20" t="s">
        <v>1</v>
      </c>
      <c r="J490" s="18" t="s">
        <v>1</v>
      </c>
      <c r="K490" s="20" t="s">
        <v>1</v>
      </c>
      <c r="L490" s="18" t="s">
        <v>1</v>
      </c>
      <c r="M490" s="20" t="s">
        <v>1</v>
      </c>
      <c r="N490" s="36" t="s">
        <v>82</v>
      </c>
      <c r="O490" s="25" t="s">
        <v>1367</v>
      </c>
      <c r="P490" s="36" t="s">
        <v>1292</v>
      </c>
      <c r="Q490" s="58" t="s">
        <v>1372</v>
      </c>
      <c r="R490" s="36" t="s">
        <v>1</v>
      </c>
      <c r="S490" s="25" t="s">
        <v>1</v>
      </c>
      <c r="T490" s="36" t="s">
        <v>2217</v>
      </c>
      <c r="U490" s="31" t="s">
        <v>1373</v>
      </c>
      <c r="V490" s="36" t="s">
        <v>2216</v>
      </c>
      <c r="W490" s="25" t="s">
        <v>1374</v>
      </c>
      <c r="X490" s="36" t="s">
        <v>1306</v>
      </c>
      <c r="Y490" s="56">
        <v>362</v>
      </c>
      <c r="Z490" s="36" t="s">
        <v>1307</v>
      </c>
      <c r="AA490" s="47">
        <v>9.1</v>
      </c>
      <c r="AB490" s="36" t="s">
        <v>1308</v>
      </c>
      <c r="AC490" s="47">
        <v>64</v>
      </c>
      <c r="AD490" s="36" t="s">
        <v>1363</v>
      </c>
      <c r="AE490" s="51">
        <v>2204</v>
      </c>
      <c r="AF490" s="36" t="s">
        <v>1</v>
      </c>
      <c r="AG490" s="51" t="s">
        <v>1</v>
      </c>
      <c r="AH490" s="36" t="s">
        <v>1</v>
      </c>
      <c r="AI490" s="51" t="s">
        <v>1</v>
      </c>
      <c r="AJ490" s="36" t="s">
        <v>2204</v>
      </c>
      <c r="AK490" s="51">
        <v>7000</v>
      </c>
      <c r="AL490" s="36" t="s">
        <v>1364</v>
      </c>
      <c r="AM490" s="31" t="s">
        <v>1370</v>
      </c>
      <c r="AN490" s="36" t="s">
        <v>2223</v>
      </c>
      <c r="AO490" s="31" t="s">
        <v>1375</v>
      </c>
      <c r="AP490" s="36" t="s">
        <v>1371</v>
      </c>
      <c r="AQ490" s="51">
        <v>236857</v>
      </c>
      <c r="AR490" s="36" t="s">
        <v>1</v>
      </c>
      <c r="AS490" s="47" t="s">
        <v>1</v>
      </c>
      <c r="AT490" s="36" t="s">
        <v>1</v>
      </c>
      <c r="AU490" s="47" t="s">
        <v>1</v>
      </c>
      <c r="AV490" s="36" t="s">
        <v>1</v>
      </c>
      <c r="AW490" s="47" t="s">
        <v>1</v>
      </c>
      <c r="AX490" s="36" t="s">
        <v>2065</v>
      </c>
      <c r="AY490" s="47" t="s">
        <v>2194</v>
      </c>
      <c r="AZ490" s="36" t="s">
        <v>1299</v>
      </c>
      <c r="BA490" s="25" t="s">
        <v>2195</v>
      </c>
      <c r="BB490" s="36" t="s">
        <v>2188</v>
      </c>
      <c r="BC490" s="47" t="s">
        <v>2192</v>
      </c>
      <c r="BD490" s="36" t="s">
        <v>2189</v>
      </c>
      <c r="BE490" s="47" t="str">
        <f t="shared" si="16"/>
        <v>"Cruzeiro"</v>
      </c>
    </row>
    <row r="491" spans="1:57" ht="6.65" customHeight="1" x14ac:dyDescent="0.4">
      <c r="A491" s="93">
        <v>491</v>
      </c>
      <c r="B491" s="71" t="s">
        <v>1703</v>
      </c>
      <c r="C491" s="72" t="s">
        <v>420</v>
      </c>
      <c r="D491" s="18" t="s">
        <v>1</v>
      </c>
      <c r="E491" s="20" t="s">
        <v>1</v>
      </c>
      <c r="F491" s="18" t="s">
        <v>1</v>
      </c>
      <c r="G491" s="20" t="s">
        <v>1</v>
      </c>
      <c r="H491" s="18" t="s">
        <v>1</v>
      </c>
      <c r="I491" s="20" t="s">
        <v>1</v>
      </c>
      <c r="J491" s="18" t="s">
        <v>1</v>
      </c>
      <c r="K491" s="20" t="s">
        <v>1</v>
      </c>
      <c r="L491" s="18" t="s">
        <v>1</v>
      </c>
      <c r="M491" s="20" t="s">
        <v>1</v>
      </c>
      <c r="N491" s="36" t="s">
        <v>82</v>
      </c>
      <c r="O491" s="25" t="s">
        <v>1367</v>
      </c>
      <c r="P491" s="36" t="s">
        <v>1292</v>
      </c>
      <c r="Q491" s="58" t="s">
        <v>1376</v>
      </c>
      <c r="R491" s="36" t="s">
        <v>1</v>
      </c>
      <c r="S491" s="25" t="s">
        <v>1</v>
      </c>
      <c r="T491" s="36" t="s">
        <v>2217</v>
      </c>
      <c r="U491" s="31" t="s">
        <v>1377</v>
      </c>
      <c r="V491" s="36" t="s">
        <v>1</v>
      </c>
      <c r="W491" s="25" t="s">
        <v>1</v>
      </c>
      <c r="X491" s="36" t="s">
        <v>1306</v>
      </c>
      <c r="Y491" s="56">
        <v>330</v>
      </c>
      <c r="Z491" s="36" t="s">
        <v>1307</v>
      </c>
      <c r="AA491" s="47">
        <v>9</v>
      </c>
      <c r="AB491" s="36" t="s">
        <v>1308</v>
      </c>
      <c r="AC491" s="47">
        <v>47</v>
      </c>
      <c r="AD491" s="36" t="s">
        <v>1363</v>
      </c>
      <c r="AE491" s="51">
        <v>2100</v>
      </c>
      <c r="AF491" s="36" t="s">
        <v>1</v>
      </c>
      <c r="AG491" s="51" t="s">
        <v>1</v>
      </c>
      <c r="AH491" s="36" t="s">
        <v>1</v>
      </c>
      <c r="AI491" s="51" t="s">
        <v>1</v>
      </c>
      <c r="AJ491" s="36" t="s">
        <v>2204</v>
      </c>
      <c r="AK491" s="51">
        <v>6762</v>
      </c>
      <c r="AL491" s="36" t="s">
        <v>1364</v>
      </c>
      <c r="AM491" s="31" t="s">
        <v>1378</v>
      </c>
      <c r="AN491" s="36" t="s">
        <v>2223</v>
      </c>
      <c r="AO491" s="31" t="s">
        <v>1379</v>
      </c>
      <c r="AP491" s="36" t="s">
        <v>1371</v>
      </c>
      <c r="AQ491" s="51">
        <v>215863</v>
      </c>
      <c r="AR491" s="36" t="s">
        <v>1</v>
      </c>
      <c r="AS491" s="47" t="s">
        <v>1</v>
      </c>
      <c r="AT491" s="36" t="s">
        <v>1</v>
      </c>
      <c r="AU491" s="47" t="s">
        <v>1</v>
      </c>
      <c r="AV491" s="36" t="s">
        <v>1</v>
      </c>
      <c r="AW491" s="47" t="s">
        <v>1</v>
      </c>
      <c r="AX491" s="36" t="s">
        <v>2065</v>
      </c>
      <c r="AY491" s="47" t="s">
        <v>2194</v>
      </c>
      <c r="AZ491" s="36" t="s">
        <v>1299</v>
      </c>
      <c r="BA491" s="25" t="s">
        <v>2195</v>
      </c>
      <c r="BB491" s="36" t="s">
        <v>2188</v>
      </c>
      <c r="BC491" s="47" t="s">
        <v>2192</v>
      </c>
      <c r="BD491" s="36" t="s">
        <v>2189</v>
      </c>
      <c r="BE491" s="47" t="str">
        <f t="shared" si="16"/>
        <v>"Cruzeiro"</v>
      </c>
    </row>
    <row r="492" spans="1:57" ht="6.65" customHeight="1" x14ac:dyDescent="0.4">
      <c r="A492" s="93">
        <v>492</v>
      </c>
      <c r="B492" s="71" t="s">
        <v>1704</v>
      </c>
      <c r="C492" s="72" t="s">
        <v>420</v>
      </c>
      <c r="D492" s="18" t="s">
        <v>1</v>
      </c>
      <c r="E492" s="20" t="s">
        <v>1</v>
      </c>
      <c r="F492" s="18" t="s">
        <v>1</v>
      </c>
      <c r="G492" s="20" t="s">
        <v>1</v>
      </c>
      <c r="H492" s="18" t="s">
        <v>1</v>
      </c>
      <c r="I492" s="20" t="s">
        <v>1</v>
      </c>
      <c r="J492" s="18" t="s">
        <v>1</v>
      </c>
      <c r="K492" s="20" t="s">
        <v>1</v>
      </c>
      <c r="L492" s="18" t="s">
        <v>1</v>
      </c>
      <c r="M492" s="20" t="s">
        <v>1</v>
      </c>
      <c r="N492" s="36" t="s">
        <v>82</v>
      </c>
      <c r="O492" s="25" t="s">
        <v>1367</v>
      </c>
      <c r="P492" s="36" t="s">
        <v>1292</v>
      </c>
      <c r="Q492" s="58" t="s">
        <v>1380</v>
      </c>
      <c r="R492" s="36" t="s">
        <v>1</v>
      </c>
      <c r="S492" s="25" t="s">
        <v>1</v>
      </c>
      <c r="T492" s="36" t="s">
        <v>2217</v>
      </c>
      <c r="U492" s="31" t="s">
        <v>1381</v>
      </c>
      <c r="V492" s="36" t="s">
        <v>2216</v>
      </c>
      <c r="W492" s="25" t="s">
        <v>1382</v>
      </c>
      <c r="X492" s="36" t="s">
        <v>1306</v>
      </c>
      <c r="Y492" s="56">
        <v>360</v>
      </c>
      <c r="Z492" s="36" t="s">
        <v>1307</v>
      </c>
      <c r="AA492" s="47">
        <v>9.3000000000000007</v>
      </c>
      <c r="AB492" s="36" t="s">
        <v>1308</v>
      </c>
      <c r="AC492" s="47">
        <v>65</v>
      </c>
      <c r="AD492" s="36" t="s">
        <v>1363</v>
      </c>
      <c r="AE492" s="51">
        <v>2138</v>
      </c>
      <c r="AF492" s="36" t="s">
        <v>1</v>
      </c>
      <c r="AG492" s="51" t="s">
        <v>1</v>
      </c>
      <c r="AH492" s="36" t="s">
        <v>1</v>
      </c>
      <c r="AI492" s="51" t="s">
        <v>1</v>
      </c>
      <c r="AJ492" s="36" t="s">
        <v>2204</v>
      </c>
      <c r="AK492" s="51">
        <v>6800</v>
      </c>
      <c r="AL492" s="36" t="s">
        <v>1364</v>
      </c>
      <c r="AM492" s="31" t="s">
        <v>1370</v>
      </c>
      <c r="AN492" s="36" t="s">
        <v>2223</v>
      </c>
      <c r="AO492" s="31" t="s">
        <v>1383</v>
      </c>
      <c r="AP492" s="36" t="s">
        <v>1371</v>
      </c>
      <c r="AQ492" s="51">
        <v>226838</v>
      </c>
      <c r="AR492" s="36" t="s">
        <v>1</v>
      </c>
      <c r="AS492" s="47" t="s">
        <v>1</v>
      </c>
      <c r="AT492" s="36" t="s">
        <v>1</v>
      </c>
      <c r="AU492" s="47" t="s">
        <v>1</v>
      </c>
      <c r="AV492" s="36" t="s">
        <v>1</v>
      </c>
      <c r="AW492" s="47" t="s">
        <v>1</v>
      </c>
      <c r="AX492" s="36" t="s">
        <v>2065</v>
      </c>
      <c r="AY492" s="47" t="s">
        <v>2194</v>
      </c>
      <c r="AZ492" s="36" t="s">
        <v>1299</v>
      </c>
      <c r="BA492" s="25" t="s">
        <v>2195</v>
      </c>
      <c r="BB492" s="36" t="s">
        <v>2188</v>
      </c>
      <c r="BC492" s="47" t="s">
        <v>2192</v>
      </c>
      <c r="BD492" s="36" t="s">
        <v>2189</v>
      </c>
      <c r="BE492" s="47" t="str">
        <f t="shared" si="16"/>
        <v>"Cruzeiro"</v>
      </c>
    </row>
    <row r="493" spans="1:57" ht="6.65" customHeight="1" x14ac:dyDescent="0.4">
      <c r="A493" s="93">
        <v>493</v>
      </c>
      <c r="B493" s="71" t="s">
        <v>1705</v>
      </c>
      <c r="C493" s="72" t="s">
        <v>420</v>
      </c>
      <c r="D493" s="18" t="s">
        <v>1</v>
      </c>
      <c r="E493" s="20" t="s">
        <v>1</v>
      </c>
      <c r="F493" s="18" t="s">
        <v>1</v>
      </c>
      <c r="G493" s="20" t="s">
        <v>1</v>
      </c>
      <c r="H493" s="18" t="s">
        <v>1</v>
      </c>
      <c r="I493" s="20" t="s">
        <v>1</v>
      </c>
      <c r="J493" s="18" t="s">
        <v>1</v>
      </c>
      <c r="K493" s="20" t="s">
        <v>1</v>
      </c>
      <c r="L493" s="18" t="s">
        <v>1</v>
      </c>
      <c r="M493" s="20" t="s">
        <v>1</v>
      </c>
      <c r="N493" s="36" t="s">
        <v>82</v>
      </c>
      <c r="O493" s="25" t="s">
        <v>1367</v>
      </c>
      <c r="P493" s="36" t="s">
        <v>1292</v>
      </c>
      <c r="Q493" s="58" t="s">
        <v>1384</v>
      </c>
      <c r="R493" s="36" t="s">
        <v>1</v>
      </c>
      <c r="S493" s="25" t="s">
        <v>1</v>
      </c>
      <c r="T493" s="36" t="s">
        <v>2217</v>
      </c>
      <c r="U493" s="31" t="s">
        <v>1385</v>
      </c>
      <c r="V493" s="36" t="s">
        <v>2216</v>
      </c>
      <c r="W493" s="25" t="s">
        <v>1386</v>
      </c>
      <c r="X493" s="36" t="s">
        <v>1306</v>
      </c>
      <c r="Y493" s="56">
        <v>345</v>
      </c>
      <c r="Z493" s="36" t="s">
        <v>1307</v>
      </c>
      <c r="AA493" s="47">
        <v>10.3</v>
      </c>
      <c r="AB493" s="36" t="s">
        <v>1308</v>
      </c>
      <c r="AC493" s="47">
        <v>41</v>
      </c>
      <c r="AD493" s="36" t="s">
        <v>1363</v>
      </c>
      <c r="AE493" s="51">
        <v>1173</v>
      </c>
      <c r="AF493" s="36" t="s">
        <v>1</v>
      </c>
      <c r="AG493" s="51" t="s">
        <v>1</v>
      </c>
      <c r="AH493" s="36" t="s">
        <v>1</v>
      </c>
      <c r="AI493" s="51" t="s">
        <v>1</v>
      </c>
      <c r="AJ493" s="36" t="s">
        <v>2204</v>
      </c>
      <c r="AK493" s="51">
        <v>2691</v>
      </c>
      <c r="AL493" s="36" t="s">
        <v>1364</v>
      </c>
      <c r="AM493" s="31" t="s">
        <v>1387</v>
      </c>
      <c r="AN493" s="36" t="s">
        <v>2223</v>
      </c>
      <c r="AO493" s="31" t="s">
        <v>1388</v>
      </c>
      <c r="AP493" s="36" t="s">
        <v>1371</v>
      </c>
      <c r="AQ493" s="51">
        <v>149215</v>
      </c>
      <c r="AR493" s="36" t="s">
        <v>1</v>
      </c>
      <c r="AS493" s="47" t="s">
        <v>1</v>
      </c>
      <c r="AT493" s="36" t="s">
        <v>1</v>
      </c>
      <c r="AU493" s="47" t="s">
        <v>1</v>
      </c>
      <c r="AV493" s="36" t="s">
        <v>1</v>
      </c>
      <c r="AW493" s="47" t="s">
        <v>1</v>
      </c>
      <c r="AX493" s="36" t="s">
        <v>2065</v>
      </c>
      <c r="AY493" s="47" t="s">
        <v>2194</v>
      </c>
      <c r="AZ493" s="36" t="s">
        <v>1299</v>
      </c>
      <c r="BA493" s="25" t="s">
        <v>2195</v>
      </c>
      <c r="BB493" s="36" t="s">
        <v>2188</v>
      </c>
      <c r="BC493" s="47" t="s">
        <v>2192</v>
      </c>
      <c r="BD493" s="36" t="s">
        <v>2189</v>
      </c>
      <c r="BE493" s="47" t="str">
        <f t="shared" si="16"/>
        <v>"Cruzeiro"</v>
      </c>
    </row>
    <row r="494" spans="1:57" ht="6.65" customHeight="1" x14ac:dyDescent="0.4">
      <c r="A494" s="93">
        <v>494</v>
      </c>
      <c r="B494" s="71" t="s">
        <v>1706</v>
      </c>
      <c r="C494" s="72" t="s">
        <v>420</v>
      </c>
      <c r="D494" s="18" t="s">
        <v>1</v>
      </c>
      <c r="E494" s="20" t="s">
        <v>1</v>
      </c>
      <c r="F494" s="18" t="s">
        <v>1</v>
      </c>
      <c r="G494" s="20" t="s">
        <v>1</v>
      </c>
      <c r="H494" s="18" t="s">
        <v>1</v>
      </c>
      <c r="I494" s="20" t="s">
        <v>1</v>
      </c>
      <c r="J494" s="18" t="s">
        <v>1</v>
      </c>
      <c r="K494" s="20" t="s">
        <v>1</v>
      </c>
      <c r="L494" s="18" t="s">
        <v>1</v>
      </c>
      <c r="M494" s="20" t="s">
        <v>1</v>
      </c>
      <c r="N494" s="36" t="s">
        <v>82</v>
      </c>
      <c r="O494" s="25" t="s">
        <v>1367</v>
      </c>
      <c r="P494" s="36" t="s">
        <v>1292</v>
      </c>
      <c r="Q494" s="58" t="s">
        <v>1389</v>
      </c>
      <c r="R494" s="36" t="s">
        <v>1</v>
      </c>
      <c r="S494" s="25" t="s">
        <v>1</v>
      </c>
      <c r="T494" s="36" t="s">
        <v>2217</v>
      </c>
      <c r="U494" s="31" t="s">
        <v>1390</v>
      </c>
      <c r="V494" s="36" t="s">
        <v>2216</v>
      </c>
      <c r="W494" s="25" t="s">
        <v>1391</v>
      </c>
      <c r="X494" s="36" t="s">
        <v>1306</v>
      </c>
      <c r="Y494" s="56">
        <v>329</v>
      </c>
      <c r="Z494" s="36" t="s">
        <v>1307</v>
      </c>
      <c r="AA494" s="47">
        <v>8.6999999999999993</v>
      </c>
      <c r="AB494" s="36" t="s">
        <v>1308</v>
      </c>
      <c r="AC494" s="47">
        <v>41</v>
      </c>
      <c r="AD494" s="36" t="s">
        <v>1363</v>
      </c>
      <c r="AE494" s="51">
        <v>1724</v>
      </c>
      <c r="AF494" s="36" t="s">
        <v>1</v>
      </c>
      <c r="AG494" s="51" t="s">
        <v>1</v>
      </c>
      <c r="AH494" s="36" t="s">
        <v>1</v>
      </c>
      <c r="AI494" s="51" t="s">
        <v>1</v>
      </c>
      <c r="AJ494" s="36" t="s">
        <v>2204</v>
      </c>
      <c r="AK494" s="51">
        <v>4100</v>
      </c>
      <c r="AL494" s="36" t="s">
        <v>1364</v>
      </c>
      <c r="AM494" s="31" t="s">
        <v>1392</v>
      </c>
      <c r="AN494" s="36" t="s">
        <v>2223</v>
      </c>
      <c r="AO494" s="31" t="s">
        <v>1383</v>
      </c>
      <c r="AP494" s="36" t="s">
        <v>1371</v>
      </c>
      <c r="AQ494" s="51">
        <v>155873</v>
      </c>
      <c r="AR494" s="36" t="s">
        <v>1</v>
      </c>
      <c r="AS494" s="47" t="s">
        <v>1</v>
      </c>
      <c r="AT494" s="36" t="s">
        <v>1</v>
      </c>
      <c r="AU494" s="47" t="s">
        <v>1</v>
      </c>
      <c r="AV494" s="36" t="s">
        <v>1</v>
      </c>
      <c r="AW494" s="47" t="s">
        <v>1</v>
      </c>
      <c r="AX494" s="36" t="s">
        <v>2065</v>
      </c>
      <c r="AY494" s="47" t="s">
        <v>2194</v>
      </c>
      <c r="AZ494" s="36" t="s">
        <v>1299</v>
      </c>
      <c r="BA494" s="25" t="s">
        <v>2195</v>
      </c>
      <c r="BB494" s="36" t="s">
        <v>2188</v>
      </c>
      <c r="BC494" s="47" t="s">
        <v>2192</v>
      </c>
      <c r="BD494" s="36" t="s">
        <v>2189</v>
      </c>
      <c r="BE494" s="47" t="str">
        <f t="shared" si="16"/>
        <v>"Cruzeiro"</v>
      </c>
    </row>
    <row r="495" spans="1:57" ht="6.65" customHeight="1" x14ac:dyDescent="0.4">
      <c r="A495" s="93">
        <v>495</v>
      </c>
      <c r="B495" s="71" t="s">
        <v>1707</v>
      </c>
      <c r="C495" s="72" t="s">
        <v>420</v>
      </c>
      <c r="D495" s="18" t="s">
        <v>1</v>
      </c>
      <c r="E495" s="20" t="s">
        <v>1</v>
      </c>
      <c r="F495" s="18" t="s">
        <v>1</v>
      </c>
      <c r="G495" s="20" t="s">
        <v>1</v>
      </c>
      <c r="H495" s="18" t="s">
        <v>1</v>
      </c>
      <c r="I495" s="20" t="s">
        <v>1</v>
      </c>
      <c r="J495" s="18" t="s">
        <v>1</v>
      </c>
      <c r="K495" s="20" t="s">
        <v>1</v>
      </c>
      <c r="L495" s="18" t="s">
        <v>1</v>
      </c>
      <c r="M495" s="20" t="s">
        <v>1</v>
      </c>
      <c r="N495" s="36" t="s">
        <v>82</v>
      </c>
      <c r="O495" s="25" t="s">
        <v>1367</v>
      </c>
      <c r="P495" s="36" t="s">
        <v>1292</v>
      </c>
      <c r="Q495" s="58" t="s">
        <v>1393</v>
      </c>
      <c r="R495" s="36" t="s">
        <v>1</v>
      </c>
      <c r="S495" s="25" t="s">
        <v>1</v>
      </c>
      <c r="T495" s="36" t="s">
        <v>2217</v>
      </c>
      <c r="U495" s="31" t="s">
        <v>1394</v>
      </c>
      <c r="V495" s="36" t="s">
        <v>2216</v>
      </c>
      <c r="W495" s="25" t="s">
        <v>1395</v>
      </c>
      <c r="X495" s="36" t="s">
        <v>1306</v>
      </c>
      <c r="Y495" s="56">
        <v>227</v>
      </c>
      <c r="Z495" s="36" t="s">
        <v>1</v>
      </c>
      <c r="AA495" s="56" t="str">
        <f t="shared" ref="AA495:AA505" si="17">IF(OR(Z495="rgb",Z495="cmy",Z495="rgba",Z495="cmyb"),  SUBSTITUTE(_xlfn.CONCAT("""",O495,".",S495,".",U495,".",Y495,""""), ".null",""), Z495)</f>
        <v>null</v>
      </c>
      <c r="AB495" s="36" t="s">
        <v>1308</v>
      </c>
      <c r="AC495" s="47">
        <v>28</v>
      </c>
      <c r="AD495" s="36" t="s">
        <v>1363</v>
      </c>
      <c r="AE495" s="51">
        <v>465</v>
      </c>
      <c r="AF495" s="36" t="s">
        <v>1</v>
      </c>
      <c r="AG495" s="51" t="s">
        <v>1</v>
      </c>
      <c r="AH495" s="36" t="s">
        <v>1</v>
      </c>
      <c r="AI495" s="51" t="s">
        <v>1</v>
      </c>
      <c r="AJ495" s="36" t="s">
        <v>2204</v>
      </c>
      <c r="AK495" s="51">
        <v>925</v>
      </c>
      <c r="AL495" s="36" t="s">
        <v>1364</v>
      </c>
      <c r="AM495" s="31" t="s">
        <v>1396</v>
      </c>
      <c r="AN495" s="36" t="s">
        <v>2223</v>
      </c>
      <c r="AO495" s="31" t="s">
        <v>1397</v>
      </c>
      <c r="AP495" s="36" t="s">
        <v>1371</v>
      </c>
      <c r="AQ495" s="51">
        <v>47800</v>
      </c>
      <c r="AR495" s="36" t="s">
        <v>1</v>
      </c>
      <c r="AS495" s="47" t="s">
        <v>1</v>
      </c>
      <c r="AT495" s="36" t="s">
        <v>1</v>
      </c>
      <c r="AU495" s="47" t="s">
        <v>1</v>
      </c>
      <c r="AV495" s="36" t="s">
        <v>1</v>
      </c>
      <c r="AW495" s="47" t="s">
        <v>1</v>
      </c>
      <c r="AX495" s="36" t="s">
        <v>2065</v>
      </c>
      <c r="AY495" s="47" t="s">
        <v>2194</v>
      </c>
      <c r="AZ495" s="36" t="s">
        <v>1299</v>
      </c>
      <c r="BA495" s="25" t="s">
        <v>2195</v>
      </c>
      <c r="BB495" s="36" t="s">
        <v>2188</v>
      </c>
      <c r="BC495" s="47" t="s">
        <v>2192</v>
      </c>
      <c r="BD495" s="36" t="s">
        <v>2189</v>
      </c>
      <c r="BE495" s="47" t="str">
        <f t="shared" si="16"/>
        <v>"Cruzeiro"</v>
      </c>
    </row>
    <row r="496" spans="1:57" ht="6.65" customHeight="1" x14ac:dyDescent="0.4">
      <c r="A496" s="93">
        <v>496</v>
      </c>
      <c r="B496" s="71" t="s">
        <v>1313</v>
      </c>
      <c r="C496" s="72" t="s">
        <v>1826</v>
      </c>
      <c r="D496" s="18" t="s">
        <v>1</v>
      </c>
      <c r="E496" s="20" t="s">
        <v>1</v>
      </c>
      <c r="F496" s="18" t="s">
        <v>1</v>
      </c>
      <c r="G496" s="20" t="s">
        <v>1</v>
      </c>
      <c r="H496" s="18" t="s">
        <v>1</v>
      </c>
      <c r="I496" s="20" t="s">
        <v>1</v>
      </c>
      <c r="J496" s="18" t="s">
        <v>1</v>
      </c>
      <c r="K496" s="20" t="s">
        <v>1</v>
      </c>
      <c r="L496" s="18" t="s">
        <v>1</v>
      </c>
      <c r="M496" s="20" t="s">
        <v>1</v>
      </c>
      <c r="N496" s="36" t="s">
        <v>82</v>
      </c>
      <c r="O496" s="25" t="s">
        <v>1398</v>
      </c>
      <c r="P496" s="36" t="s">
        <v>2214</v>
      </c>
      <c r="Q496" s="25" t="s">
        <v>1399</v>
      </c>
      <c r="R496" s="36" t="s">
        <v>1</v>
      </c>
      <c r="S496" s="25" t="s">
        <v>1</v>
      </c>
      <c r="T496" s="36" t="s">
        <v>1</v>
      </c>
      <c r="U496" s="25" t="s">
        <v>1</v>
      </c>
      <c r="V496" s="36" t="s">
        <v>1</v>
      </c>
      <c r="W496" s="25" t="s">
        <v>1</v>
      </c>
      <c r="X496" s="36" t="s">
        <v>1</v>
      </c>
      <c r="Y496" s="56" t="s">
        <v>1</v>
      </c>
      <c r="Z496" s="36" t="s">
        <v>1</v>
      </c>
      <c r="AA496" s="56" t="str">
        <f t="shared" si="17"/>
        <v>null</v>
      </c>
      <c r="AB496" s="36" t="s">
        <v>1</v>
      </c>
      <c r="AC496" s="47" t="s">
        <v>1</v>
      </c>
      <c r="AD496" s="36" t="s">
        <v>1</v>
      </c>
      <c r="AE496" s="51" t="s">
        <v>1</v>
      </c>
      <c r="AF496" s="36" t="s">
        <v>1</v>
      </c>
      <c r="AG496" s="51" t="s">
        <v>1</v>
      </c>
      <c r="AH496" s="36" t="s">
        <v>1</v>
      </c>
      <c r="AI496" s="51" t="s">
        <v>1</v>
      </c>
      <c r="AJ496" s="36" t="s">
        <v>1</v>
      </c>
      <c r="AK496" s="51" t="s">
        <v>1</v>
      </c>
      <c r="AL496" s="36" t="s">
        <v>1</v>
      </c>
      <c r="AM496" s="31" t="s">
        <v>1</v>
      </c>
      <c r="AN496" s="36" t="s">
        <v>1</v>
      </c>
      <c r="AO496" s="31" t="s">
        <v>1</v>
      </c>
      <c r="AP496" s="36" t="s">
        <v>1</v>
      </c>
      <c r="AQ496" s="51" t="s">
        <v>1</v>
      </c>
      <c r="AR496" s="36" t="s">
        <v>1400</v>
      </c>
      <c r="AS496" s="47">
        <v>6.06</v>
      </c>
      <c r="AT496" s="36" t="s">
        <v>1401</v>
      </c>
      <c r="AU496" s="47">
        <v>2.44</v>
      </c>
      <c r="AV496" s="36" t="s">
        <v>1402</v>
      </c>
      <c r="AW496" s="47">
        <v>2.59</v>
      </c>
      <c r="AX496" s="36" t="s">
        <v>2065</v>
      </c>
      <c r="AY496" s="47" t="s">
        <v>2193</v>
      </c>
      <c r="AZ496" s="36" t="s">
        <v>1299</v>
      </c>
      <c r="BA496" s="25" t="s">
        <v>2193</v>
      </c>
      <c r="BB496" s="36" t="s">
        <v>2188</v>
      </c>
      <c r="BC496" s="47" t="s">
        <v>2192</v>
      </c>
      <c r="BD496" s="36" t="s">
        <v>2189</v>
      </c>
      <c r="BE496" s="47" t="str">
        <f t="shared" si="16"/>
        <v>"Contenedor.de.Carga"</v>
      </c>
    </row>
    <row r="497" spans="1:57" ht="6.65" customHeight="1" x14ac:dyDescent="0.4">
      <c r="A497" s="93">
        <v>497</v>
      </c>
      <c r="B497" s="71" t="s">
        <v>1403</v>
      </c>
      <c r="C497" s="72" t="s">
        <v>1826</v>
      </c>
      <c r="D497" s="18" t="s">
        <v>1</v>
      </c>
      <c r="E497" s="20" t="s">
        <v>1</v>
      </c>
      <c r="F497" s="18" t="s">
        <v>1</v>
      </c>
      <c r="G497" s="20" t="s">
        <v>1</v>
      </c>
      <c r="H497" s="18" t="s">
        <v>1</v>
      </c>
      <c r="I497" s="20" t="s">
        <v>1</v>
      </c>
      <c r="J497" s="18" t="s">
        <v>1</v>
      </c>
      <c r="K497" s="20" t="s">
        <v>1</v>
      </c>
      <c r="L497" s="18" t="s">
        <v>1</v>
      </c>
      <c r="M497" s="20" t="s">
        <v>1</v>
      </c>
      <c r="N497" s="36" t="s">
        <v>82</v>
      </c>
      <c r="O497" s="25" t="s">
        <v>1404</v>
      </c>
      <c r="P497" s="36" t="s">
        <v>2214</v>
      </c>
      <c r="Q497" s="25" t="s">
        <v>1399</v>
      </c>
      <c r="R497" s="36" t="s">
        <v>1</v>
      </c>
      <c r="S497" s="25" t="s">
        <v>1</v>
      </c>
      <c r="T497" s="36" t="s">
        <v>1</v>
      </c>
      <c r="U497" s="25" t="s">
        <v>1</v>
      </c>
      <c r="V497" s="36" t="s">
        <v>1</v>
      </c>
      <c r="W497" s="25" t="s">
        <v>1</v>
      </c>
      <c r="X497" s="36" t="s">
        <v>1</v>
      </c>
      <c r="Y497" s="56" t="s">
        <v>1</v>
      </c>
      <c r="Z497" s="36" t="s">
        <v>1</v>
      </c>
      <c r="AA497" s="56" t="str">
        <f t="shared" si="17"/>
        <v>null</v>
      </c>
      <c r="AB497" s="36" t="s">
        <v>1</v>
      </c>
      <c r="AC497" s="47" t="s">
        <v>1</v>
      </c>
      <c r="AD497" s="36" t="s">
        <v>1</v>
      </c>
      <c r="AE497" s="51" t="s">
        <v>1</v>
      </c>
      <c r="AF497" s="36" t="s">
        <v>1</v>
      </c>
      <c r="AG497" s="51" t="s">
        <v>1</v>
      </c>
      <c r="AH497" s="36" t="s">
        <v>1</v>
      </c>
      <c r="AI497" s="51" t="s">
        <v>1</v>
      </c>
      <c r="AJ497" s="36" t="s">
        <v>1</v>
      </c>
      <c r="AK497" s="51" t="s">
        <v>1</v>
      </c>
      <c r="AL497" s="36" t="s">
        <v>1</v>
      </c>
      <c r="AM497" s="31" t="s">
        <v>1</v>
      </c>
      <c r="AN497" s="36" t="s">
        <v>1</v>
      </c>
      <c r="AO497" s="31" t="s">
        <v>1</v>
      </c>
      <c r="AP497" s="36" t="s">
        <v>1</v>
      </c>
      <c r="AQ497" s="51" t="s">
        <v>1</v>
      </c>
      <c r="AR497" s="36" t="s">
        <v>1400</v>
      </c>
      <c r="AS497" s="47">
        <v>12.19</v>
      </c>
      <c r="AT497" s="36" t="s">
        <v>1401</v>
      </c>
      <c r="AU497" s="47">
        <v>2.44</v>
      </c>
      <c r="AV497" s="36" t="s">
        <v>1402</v>
      </c>
      <c r="AW497" s="47">
        <v>2.59</v>
      </c>
      <c r="AX497" s="36" t="s">
        <v>2065</v>
      </c>
      <c r="AY497" s="47" t="s">
        <v>2193</v>
      </c>
      <c r="AZ497" s="36" t="s">
        <v>1299</v>
      </c>
      <c r="BA497" s="25" t="s">
        <v>2193</v>
      </c>
      <c r="BB497" s="36" t="s">
        <v>2188</v>
      </c>
      <c r="BC497" s="47" t="s">
        <v>2192</v>
      </c>
      <c r="BD497" s="36" t="s">
        <v>2189</v>
      </c>
      <c r="BE497" s="47" t="str">
        <f t="shared" si="16"/>
        <v>"Contenedor.de.Carga"</v>
      </c>
    </row>
    <row r="498" spans="1:57" ht="6.65" customHeight="1" x14ac:dyDescent="0.4">
      <c r="A498" s="93">
        <v>498</v>
      </c>
      <c r="B498" s="71" t="s">
        <v>1405</v>
      </c>
      <c r="C498" s="72" t="s">
        <v>1826</v>
      </c>
      <c r="D498" s="18" t="s">
        <v>1</v>
      </c>
      <c r="E498" s="20" t="s">
        <v>1</v>
      </c>
      <c r="F498" s="18" t="s">
        <v>1</v>
      </c>
      <c r="G498" s="20" t="s">
        <v>1</v>
      </c>
      <c r="H498" s="18" t="s">
        <v>1</v>
      </c>
      <c r="I498" s="20" t="s">
        <v>1</v>
      </c>
      <c r="J498" s="18" t="s">
        <v>1</v>
      </c>
      <c r="K498" s="20" t="s">
        <v>1</v>
      </c>
      <c r="L498" s="18" t="s">
        <v>1</v>
      </c>
      <c r="M498" s="20" t="s">
        <v>1</v>
      </c>
      <c r="N498" s="36" t="s">
        <v>82</v>
      </c>
      <c r="O498" s="25" t="s">
        <v>1406</v>
      </c>
      <c r="P498" s="36" t="s">
        <v>2214</v>
      </c>
      <c r="Q498" s="25" t="s">
        <v>1399</v>
      </c>
      <c r="R498" s="36" t="s">
        <v>1</v>
      </c>
      <c r="S498" s="25" t="s">
        <v>1</v>
      </c>
      <c r="T498" s="36" t="s">
        <v>1</v>
      </c>
      <c r="U498" s="25" t="s">
        <v>1</v>
      </c>
      <c r="V498" s="36" t="s">
        <v>1</v>
      </c>
      <c r="W498" s="25" t="s">
        <v>1</v>
      </c>
      <c r="X498" s="36" t="s">
        <v>1</v>
      </c>
      <c r="Y498" s="56" t="s">
        <v>1</v>
      </c>
      <c r="Z498" s="36" t="s">
        <v>1</v>
      </c>
      <c r="AA498" s="56" t="str">
        <f t="shared" si="17"/>
        <v>null</v>
      </c>
      <c r="AB498" s="36" t="s">
        <v>1</v>
      </c>
      <c r="AC498" s="47" t="s">
        <v>1</v>
      </c>
      <c r="AD498" s="36" t="s">
        <v>1</v>
      </c>
      <c r="AE498" s="51" t="s">
        <v>1</v>
      </c>
      <c r="AF498" s="36" t="s">
        <v>1</v>
      </c>
      <c r="AG498" s="51" t="s">
        <v>1</v>
      </c>
      <c r="AH498" s="36" t="s">
        <v>1</v>
      </c>
      <c r="AI498" s="51" t="s">
        <v>1</v>
      </c>
      <c r="AJ498" s="36" t="s">
        <v>1</v>
      </c>
      <c r="AK498" s="51" t="s">
        <v>1</v>
      </c>
      <c r="AL498" s="36" t="s">
        <v>1</v>
      </c>
      <c r="AM498" s="31" t="s">
        <v>1</v>
      </c>
      <c r="AN498" s="36" t="s">
        <v>1</v>
      </c>
      <c r="AO498" s="31" t="s">
        <v>1</v>
      </c>
      <c r="AP498" s="36" t="s">
        <v>1</v>
      </c>
      <c r="AQ498" s="51" t="s">
        <v>1</v>
      </c>
      <c r="AR498" s="36" t="s">
        <v>1400</v>
      </c>
      <c r="AS498" s="47">
        <v>12.19</v>
      </c>
      <c r="AT498" s="36" t="s">
        <v>1401</v>
      </c>
      <c r="AU498" s="47">
        <v>2.44</v>
      </c>
      <c r="AV498" s="36" t="s">
        <v>1402</v>
      </c>
      <c r="AW498" s="47">
        <v>2.89</v>
      </c>
      <c r="AX498" s="36" t="s">
        <v>2065</v>
      </c>
      <c r="AY498" s="47" t="s">
        <v>2193</v>
      </c>
      <c r="AZ498" s="36" t="s">
        <v>1299</v>
      </c>
      <c r="BA498" s="25" t="s">
        <v>2193</v>
      </c>
      <c r="BB498" s="36" t="s">
        <v>2188</v>
      </c>
      <c r="BC498" s="47" t="s">
        <v>2192</v>
      </c>
      <c r="BD498" s="36" t="s">
        <v>2189</v>
      </c>
      <c r="BE498" s="47" t="str">
        <f t="shared" si="16"/>
        <v>"Contenedor.de.Carga"</v>
      </c>
    </row>
    <row r="499" spans="1:57" ht="6.65" customHeight="1" x14ac:dyDescent="0.4">
      <c r="A499" s="93">
        <v>499</v>
      </c>
      <c r="B499" s="71" t="s">
        <v>1407</v>
      </c>
      <c r="C499" s="72" t="s">
        <v>1826</v>
      </c>
      <c r="D499" s="18" t="s">
        <v>1</v>
      </c>
      <c r="E499" s="20" t="s">
        <v>1</v>
      </c>
      <c r="F499" s="18" t="s">
        <v>1</v>
      </c>
      <c r="G499" s="20" t="s">
        <v>1</v>
      </c>
      <c r="H499" s="18" t="s">
        <v>1</v>
      </c>
      <c r="I499" s="20" t="s">
        <v>1</v>
      </c>
      <c r="J499" s="18" t="s">
        <v>1</v>
      </c>
      <c r="K499" s="20" t="s">
        <v>1</v>
      </c>
      <c r="L499" s="18" t="s">
        <v>1</v>
      </c>
      <c r="M499" s="20" t="s">
        <v>1</v>
      </c>
      <c r="N499" s="36" t="s">
        <v>82</v>
      </c>
      <c r="O499" s="25" t="s">
        <v>1408</v>
      </c>
      <c r="P499" s="36" t="s">
        <v>2214</v>
      </c>
      <c r="Q499" s="25" t="s">
        <v>1399</v>
      </c>
      <c r="R499" s="36" t="s">
        <v>1</v>
      </c>
      <c r="S499" s="25" t="s">
        <v>1</v>
      </c>
      <c r="T499" s="36" t="s">
        <v>1</v>
      </c>
      <c r="U499" s="25" t="s">
        <v>1</v>
      </c>
      <c r="V499" s="36" t="s">
        <v>1</v>
      </c>
      <c r="W499" s="25" t="s">
        <v>1</v>
      </c>
      <c r="X499" s="36" t="s">
        <v>1</v>
      </c>
      <c r="Y499" s="56" t="s">
        <v>1</v>
      </c>
      <c r="Z499" s="36" t="s">
        <v>1</v>
      </c>
      <c r="AA499" s="56" t="str">
        <f t="shared" si="17"/>
        <v>null</v>
      </c>
      <c r="AB499" s="36" t="s">
        <v>1</v>
      </c>
      <c r="AC499" s="47" t="s">
        <v>1</v>
      </c>
      <c r="AD499" s="36" t="s">
        <v>1</v>
      </c>
      <c r="AE499" s="51" t="s">
        <v>1</v>
      </c>
      <c r="AF499" s="36" t="s">
        <v>1</v>
      </c>
      <c r="AG499" s="51" t="s">
        <v>1</v>
      </c>
      <c r="AH499" s="36" t="s">
        <v>1</v>
      </c>
      <c r="AI499" s="51" t="s">
        <v>1</v>
      </c>
      <c r="AJ499" s="36" t="s">
        <v>1</v>
      </c>
      <c r="AK499" s="51" t="s">
        <v>1</v>
      </c>
      <c r="AL499" s="36" t="s">
        <v>1</v>
      </c>
      <c r="AM499" s="31" t="s">
        <v>1</v>
      </c>
      <c r="AN499" s="36" t="s">
        <v>1</v>
      </c>
      <c r="AO499" s="31" t="s">
        <v>1</v>
      </c>
      <c r="AP499" s="36" t="s">
        <v>1</v>
      </c>
      <c r="AQ499" s="51" t="s">
        <v>1</v>
      </c>
      <c r="AR499" s="36" t="s">
        <v>1400</v>
      </c>
      <c r="AS499" s="47">
        <v>13.72</v>
      </c>
      <c r="AT499" s="36" t="s">
        <v>1401</v>
      </c>
      <c r="AU499" s="47">
        <v>2.44</v>
      </c>
      <c r="AV499" s="36" t="s">
        <v>1402</v>
      </c>
      <c r="AW499" s="47">
        <v>2.89</v>
      </c>
      <c r="AX499" s="36" t="s">
        <v>2065</v>
      </c>
      <c r="AY499" s="47" t="s">
        <v>2193</v>
      </c>
      <c r="AZ499" s="36" t="s">
        <v>1299</v>
      </c>
      <c r="BA499" s="25" t="s">
        <v>2193</v>
      </c>
      <c r="BB499" s="36" t="s">
        <v>2188</v>
      </c>
      <c r="BC499" s="47" t="s">
        <v>2192</v>
      </c>
      <c r="BD499" s="36" t="s">
        <v>2189</v>
      </c>
      <c r="BE499" s="47" t="str">
        <f t="shared" si="16"/>
        <v>"Contenedor.de.Carga"</v>
      </c>
    </row>
    <row r="500" spans="1:57" ht="6.65" customHeight="1" x14ac:dyDescent="0.4">
      <c r="A500" s="93">
        <v>500</v>
      </c>
      <c r="B500" s="71" t="s">
        <v>1409</v>
      </c>
      <c r="C500" s="72" t="s">
        <v>1826</v>
      </c>
      <c r="D500" s="18" t="s">
        <v>1</v>
      </c>
      <c r="E500" s="20" t="s">
        <v>1</v>
      </c>
      <c r="F500" s="18" t="s">
        <v>1</v>
      </c>
      <c r="G500" s="20" t="s">
        <v>1</v>
      </c>
      <c r="H500" s="18" t="s">
        <v>1</v>
      </c>
      <c r="I500" s="20" t="s">
        <v>1</v>
      </c>
      <c r="J500" s="18" t="s">
        <v>1</v>
      </c>
      <c r="K500" s="20" t="s">
        <v>1</v>
      </c>
      <c r="L500" s="18" t="s">
        <v>1</v>
      </c>
      <c r="M500" s="20" t="s">
        <v>1</v>
      </c>
      <c r="N500" s="36" t="s">
        <v>82</v>
      </c>
      <c r="O500" s="25" t="s">
        <v>1410</v>
      </c>
      <c r="P500" s="36" t="s">
        <v>2214</v>
      </c>
      <c r="Q500" s="25" t="s">
        <v>1399</v>
      </c>
      <c r="R500" s="36" t="s">
        <v>1</v>
      </c>
      <c r="S500" s="25" t="s">
        <v>1</v>
      </c>
      <c r="T500" s="36" t="s">
        <v>1</v>
      </c>
      <c r="U500" s="25" t="s">
        <v>1</v>
      </c>
      <c r="V500" s="36" t="s">
        <v>1</v>
      </c>
      <c r="W500" s="25" t="s">
        <v>1</v>
      </c>
      <c r="X500" s="36" t="s">
        <v>1</v>
      </c>
      <c r="Y500" s="56" t="s">
        <v>1</v>
      </c>
      <c r="Z500" s="36" t="s">
        <v>1</v>
      </c>
      <c r="AA500" s="56" t="str">
        <f t="shared" si="17"/>
        <v>null</v>
      </c>
      <c r="AB500" s="36" t="s">
        <v>1</v>
      </c>
      <c r="AC500" s="47" t="s">
        <v>1</v>
      </c>
      <c r="AD500" s="36" t="s">
        <v>1</v>
      </c>
      <c r="AE500" s="51" t="s">
        <v>1</v>
      </c>
      <c r="AF500" s="36" t="s">
        <v>1</v>
      </c>
      <c r="AG500" s="51" t="s">
        <v>1</v>
      </c>
      <c r="AH500" s="36" t="s">
        <v>1</v>
      </c>
      <c r="AI500" s="51" t="s">
        <v>1</v>
      </c>
      <c r="AJ500" s="36" t="s">
        <v>1</v>
      </c>
      <c r="AK500" s="51" t="s">
        <v>1</v>
      </c>
      <c r="AL500" s="36" t="s">
        <v>1</v>
      </c>
      <c r="AM500" s="31" t="s">
        <v>1</v>
      </c>
      <c r="AN500" s="36" t="s">
        <v>1</v>
      </c>
      <c r="AO500" s="31" t="s">
        <v>1</v>
      </c>
      <c r="AP500" s="36" t="s">
        <v>1</v>
      </c>
      <c r="AQ500" s="51" t="s">
        <v>1</v>
      </c>
      <c r="AR500" s="36" t="s">
        <v>1411</v>
      </c>
      <c r="AS500" s="47">
        <v>5.45</v>
      </c>
      <c r="AT500" s="36" t="s">
        <v>1412</v>
      </c>
      <c r="AU500" s="47">
        <v>2.29</v>
      </c>
      <c r="AV500" s="36" t="s">
        <v>1413</v>
      </c>
      <c r="AW500" s="47">
        <v>2.2599999999999998</v>
      </c>
      <c r="AX500" s="36" t="s">
        <v>2065</v>
      </c>
      <c r="AY500" s="47" t="s">
        <v>2193</v>
      </c>
      <c r="AZ500" s="36" t="s">
        <v>1299</v>
      </c>
      <c r="BA500" s="25" t="s">
        <v>2193</v>
      </c>
      <c r="BB500" s="36" t="s">
        <v>2188</v>
      </c>
      <c r="BC500" s="47" t="s">
        <v>2192</v>
      </c>
      <c r="BD500" s="36" t="s">
        <v>2189</v>
      </c>
      <c r="BE500" s="47" t="str">
        <f t="shared" si="16"/>
        <v>"Contenedor.de.Carga"</v>
      </c>
    </row>
    <row r="501" spans="1:57" ht="6.65" customHeight="1" x14ac:dyDescent="0.4">
      <c r="A501" s="93">
        <v>501</v>
      </c>
      <c r="B501" s="71" t="s">
        <v>1414</v>
      </c>
      <c r="C501" s="72" t="s">
        <v>1826</v>
      </c>
      <c r="D501" s="18" t="s">
        <v>1</v>
      </c>
      <c r="E501" s="20" t="s">
        <v>1</v>
      </c>
      <c r="F501" s="18" t="s">
        <v>1</v>
      </c>
      <c r="G501" s="20" t="s">
        <v>1</v>
      </c>
      <c r="H501" s="18" t="s">
        <v>1</v>
      </c>
      <c r="I501" s="20" t="s">
        <v>1</v>
      </c>
      <c r="J501" s="18" t="s">
        <v>1</v>
      </c>
      <c r="K501" s="20" t="s">
        <v>1</v>
      </c>
      <c r="L501" s="18" t="s">
        <v>1</v>
      </c>
      <c r="M501" s="20" t="s">
        <v>1</v>
      </c>
      <c r="N501" s="36" t="s">
        <v>82</v>
      </c>
      <c r="O501" s="25" t="s">
        <v>1415</v>
      </c>
      <c r="P501" s="36" t="s">
        <v>2214</v>
      </c>
      <c r="Q501" s="25" t="s">
        <v>1399</v>
      </c>
      <c r="R501" s="36" t="s">
        <v>1</v>
      </c>
      <c r="S501" s="25" t="s">
        <v>1</v>
      </c>
      <c r="T501" s="36" t="s">
        <v>1</v>
      </c>
      <c r="U501" s="25" t="s">
        <v>1</v>
      </c>
      <c r="V501" s="36" t="s">
        <v>1</v>
      </c>
      <c r="W501" s="25" t="s">
        <v>1</v>
      </c>
      <c r="X501" s="36" t="s">
        <v>1</v>
      </c>
      <c r="Y501" s="56" t="s">
        <v>1</v>
      </c>
      <c r="Z501" s="36" t="s">
        <v>1</v>
      </c>
      <c r="AA501" s="56" t="str">
        <f t="shared" si="17"/>
        <v>null</v>
      </c>
      <c r="AB501" s="36" t="s">
        <v>1</v>
      </c>
      <c r="AC501" s="47" t="s">
        <v>1</v>
      </c>
      <c r="AD501" s="36" t="s">
        <v>1</v>
      </c>
      <c r="AE501" s="51" t="s">
        <v>1</v>
      </c>
      <c r="AF501" s="36" t="s">
        <v>1</v>
      </c>
      <c r="AG501" s="51" t="s">
        <v>1</v>
      </c>
      <c r="AH501" s="36" t="s">
        <v>1</v>
      </c>
      <c r="AI501" s="51" t="s">
        <v>1</v>
      </c>
      <c r="AJ501" s="36" t="s">
        <v>1</v>
      </c>
      <c r="AK501" s="51" t="s">
        <v>1</v>
      </c>
      <c r="AL501" s="36" t="s">
        <v>1</v>
      </c>
      <c r="AM501" s="31" t="s">
        <v>1</v>
      </c>
      <c r="AN501" s="36" t="s">
        <v>1</v>
      </c>
      <c r="AO501" s="31" t="s">
        <v>1</v>
      </c>
      <c r="AP501" s="36" t="s">
        <v>1</v>
      </c>
      <c r="AQ501" s="51" t="s">
        <v>1</v>
      </c>
      <c r="AR501" s="36" t="s">
        <v>1411</v>
      </c>
      <c r="AS501" s="47">
        <v>11.58</v>
      </c>
      <c r="AT501" s="36" t="s">
        <v>1412</v>
      </c>
      <c r="AU501" s="47">
        <v>2.29</v>
      </c>
      <c r="AV501" s="36" t="s">
        <v>1413</v>
      </c>
      <c r="AW501" s="47">
        <v>2.2599999999999998</v>
      </c>
      <c r="AX501" s="36" t="s">
        <v>2065</v>
      </c>
      <c r="AY501" s="47" t="s">
        <v>2193</v>
      </c>
      <c r="AZ501" s="36" t="s">
        <v>1299</v>
      </c>
      <c r="BA501" s="25" t="s">
        <v>2193</v>
      </c>
      <c r="BB501" s="36" t="s">
        <v>2188</v>
      </c>
      <c r="BC501" s="47" t="s">
        <v>2192</v>
      </c>
      <c r="BD501" s="36" t="s">
        <v>2189</v>
      </c>
      <c r="BE501" s="47" t="str">
        <f t="shared" si="16"/>
        <v>"Contenedor.de.Carga"</v>
      </c>
    </row>
    <row r="502" spans="1:57" ht="6.65" customHeight="1" x14ac:dyDescent="0.4">
      <c r="A502" s="93">
        <v>502</v>
      </c>
      <c r="B502" s="71" t="s">
        <v>1416</v>
      </c>
      <c r="C502" s="72" t="s">
        <v>559</v>
      </c>
      <c r="D502" s="18" t="s">
        <v>2224</v>
      </c>
      <c r="E502" s="20" t="s">
        <v>1698</v>
      </c>
      <c r="F502" s="18" t="s">
        <v>1</v>
      </c>
      <c r="G502" s="20" t="s">
        <v>1</v>
      </c>
      <c r="H502" s="18" t="s">
        <v>1</v>
      </c>
      <c r="I502" s="20" t="s">
        <v>1</v>
      </c>
      <c r="J502" s="18" t="s">
        <v>1</v>
      </c>
      <c r="K502" s="20" t="s">
        <v>1</v>
      </c>
      <c r="L502" s="18" t="s">
        <v>1</v>
      </c>
      <c r="M502" s="20" t="s">
        <v>1</v>
      </c>
      <c r="N502" s="36" t="s">
        <v>82</v>
      </c>
      <c r="O502" s="25" t="s">
        <v>1417</v>
      </c>
      <c r="P502" s="36" t="s">
        <v>1292</v>
      </c>
      <c r="Q502" s="25" t="s">
        <v>1418</v>
      </c>
      <c r="R502" s="36" t="s">
        <v>1</v>
      </c>
      <c r="S502" s="25" t="s">
        <v>1</v>
      </c>
      <c r="T502" s="36" t="s">
        <v>1293</v>
      </c>
      <c r="U502" s="25">
        <v>-22.891933999999999</v>
      </c>
      <c r="V502" s="36" t="s">
        <v>1294</v>
      </c>
      <c r="W502" s="25">
        <v>-43.195279999999997</v>
      </c>
      <c r="X502" s="36" t="s">
        <v>1419</v>
      </c>
      <c r="Y502" s="56">
        <v>29</v>
      </c>
      <c r="Z502" s="36" t="s">
        <v>1420</v>
      </c>
      <c r="AA502" s="56">
        <v>15</v>
      </c>
      <c r="AB502" s="36" t="s">
        <v>1421</v>
      </c>
      <c r="AC502" s="47">
        <v>6800</v>
      </c>
      <c r="AD502" s="36" t="s">
        <v>1</v>
      </c>
      <c r="AE502" s="51" t="s">
        <v>1</v>
      </c>
      <c r="AF502" s="36" t="s">
        <v>1</v>
      </c>
      <c r="AG502" s="51" t="s">
        <v>1</v>
      </c>
      <c r="AH502" s="36" t="s">
        <v>1</v>
      </c>
      <c r="AI502" s="51" t="s">
        <v>1</v>
      </c>
      <c r="AJ502" s="36" t="s">
        <v>1</v>
      </c>
      <c r="AK502" s="51" t="s">
        <v>1</v>
      </c>
      <c r="AL502" s="36" t="s">
        <v>1</v>
      </c>
      <c r="AM502" s="31" t="s">
        <v>1</v>
      </c>
      <c r="AN502" s="36" t="s">
        <v>1</v>
      </c>
      <c r="AO502" s="31" t="s">
        <v>1</v>
      </c>
      <c r="AP502" s="36" t="s">
        <v>1</v>
      </c>
      <c r="AQ502" s="51" t="s">
        <v>1</v>
      </c>
      <c r="AR502" s="36" t="s">
        <v>1</v>
      </c>
      <c r="AS502" s="47" t="s">
        <v>1</v>
      </c>
      <c r="AT502" s="36" t="s">
        <v>1</v>
      </c>
      <c r="AU502" s="47" t="s">
        <v>1</v>
      </c>
      <c r="AV502" s="36" t="s">
        <v>1</v>
      </c>
      <c r="AW502" s="47" t="s">
        <v>1</v>
      </c>
      <c r="AX502" s="36" t="s">
        <v>2065</v>
      </c>
      <c r="AY502" s="47" t="s">
        <v>2196</v>
      </c>
      <c r="AZ502" s="36" t="s">
        <v>1299</v>
      </c>
      <c r="BA502" s="25" t="s">
        <v>2198</v>
      </c>
      <c r="BB502" s="36" t="s">
        <v>2188</v>
      </c>
      <c r="BC502" s="47" t="s">
        <v>2192</v>
      </c>
      <c r="BD502" s="36" t="s">
        <v>2189</v>
      </c>
      <c r="BE502" s="47" t="str">
        <f t="shared" si="16"/>
        <v>"Porto.Marítimo"</v>
      </c>
    </row>
    <row r="503" spans="1:57" ht="6.65" customHeight="1" x14ac:dyDescent="0.4">
      <c r="A503" s="93">
        <v>503</v>
      </c>
      <c r="B503" s="71" t="s">
        <v>1422</v>
      </c>
      <c r="C503" s="72" t="s">
        <v>570</v>
      </c>
      <c r="D503" s="18" t="s">
        <v>1423</v>
      </c>
      <c r="E503" s="20" t="s">
        <v>1416</v>
      </c>
      <c r="F503" s="18" t="s">
        <v>1</v>
      </c>
      <c r="G503" s="20" t="s">
        <v>1</v>
      </c>
      <c r="H503" s="18" t="s">
        <v>1</v>
      </c>
      <c r="I503" s="20" t="s">
        <v>1</v>
      </c>
      <c r="J503" s="18" t="s">
        <v>1</v>
      </c>
      <c r="K503" s="20" t="s">
        <v>1</v>
      </c>
      <c r="L503" s="18" t="s">
        <v>1</v>
      </c>
      <c r="M503" s="20" t="s">
        <v>1</v>
      </c>
      <c r="N503" s="36" t="s">
        <v>82</v>
      </c>
      <c r="O503" s="25" t="s">
        <v>1424</v>
      </c>
      <c r="P503" s="36" t="s">
        <v>1292</v>
      </c>
      <c r="Q503" s="25" t="s">
        <v>1425</v>
      </c>
      <c r="R503" s="36" t="s">
        <v>1</v>
      </c>
      <c r="S503" s="25" t="s">
        <v>1</v>
      </c>
      <c r="T503" s="36" t="s">
        <v>1</v>
      </c>
      <c r="U503" s="25" t="s">
        <v>1</v>
      </c>
      <c r="V503" s="36" t="s">
        <v>1</v>
      </c>
      <c r="W503" s="25" t="s">
        <v>1</v>
      </c>
      <c r="X503" s="36" t="s">
        <v>1</v>
      </c>
      <c r="Y503" s="56" t="s">
        <v>1</v>
      </c>
      <c r="Z503" s="36" t="s">
        <v>1</v>
      </c>
      <c r="AA503" s="56" t="str">
        <f t="shared" si="17"/>
        <v>null</v>
      </c>
      <c r="AB503" s="36" t="s">
        <v>1</v>
      </c>
      <c r="AC503" s="47" t="s">
        <v>1</v>
      </c>
      <c r="AD503" s="36" t="s">
        <v>1</v>
      </c>
      <c r="AE503" s="51" t="s">
        <v>1</v>
      </c>
      <c r="AF503" s="36" t="s">
        <v>1</v>
      </c>
      <c r="AG503" s="51" t="s">
        <v>1</v>
      </c>
      <c r="AH503" s="36" t="s">
        <v>1</v>
      </c>
      <c r="AI503" s="51" t="s">
        <v>1</v>
      </c>
      <c r="AJ503" s="36" t="s">
        <v>1</v>
      </c>
      <c r="AK503" s="51" t="s">
        <v>1</v>
      </c>
      <c r="AL503" s="36" t="s">
        <v>1</v>
      </c>
      <c r="AM503" s="31" t="s">
        <v>1</v>
      </c>
      <c r="AN503" s="36" t="s">
        <v>1</v>
      </c>
      <c r="AO503" s="31" t="s">
        <v>1</v>
      </c>
      <c r="AP503" s="36" t="s">
        <v>1</v>
      </c>
      <c r="AQ503" s="51" t="s">
        <v>1</v>
      </c>
      <c r="AR503" s="36" t="s">
        <v>1</v>
      </c>
      <c r="AS503" s="47" t="s">
        <v>1</v>
      </c>
      <c r="AT503" s="36" t="s">
        <v>1</v>
      </c>
      <c r="AU503" s="47" t="s">
        <v>1</v>
      </c>
      <c r="AV503" s="36" t="s">
        <v>1</v>
      </c>
      <c r="AW503" s="47" t="s">
        <v>1</v>
      </c>
      <c r="AX503" s="36" t="s">
        <v>2065</v>
      </c>
      <c r="AY503" s="47" t="s">
        <v>2196</v>
      </c>
      <c r="AZ503" s="36" t="s">
        <v>1299</v>
      </c>
      <c r="BA503" s="25" t="s">
        <v>2200</v>
      </c>
      <c r="BB503" s="36" t="s">
        <v>2188</v>
      </c>
      <c r="BC503" s="47" t="s">
        <v>2192</v>
      </c>
      <c r="BD503" s="36" t="s">
        <v>2189</v>
      </c>
      <c r="BE503" s="47" t="str">
        <f t="shared" si="16"/>
        <v>"Cais"</v>
      </c>
    </row>
    <row r="504" spans="1:57" ht="6.65" customHeight="1" x14ac:dyDescent="0.4">
      <c r="A504" s="93">
        <v>504</v>
      </c>
      <c r="B504" s="71" t="s">
        <v>1426</v>
      </c>
      <c r="C504" s="72" t="s">
        <v>567</v>
      </c>
      <c r="D504" s="18" t="s">
        <v>1423</v>
      </c>
      <c r="E504" s="20" t="s">
        <v>1416</v>
      </c>
      <c r="F504" s="18" t="s">
        <v>1</v>
      </c>
      <c r="G504" s="20" t="s">
        <v>1</v>
      </c>
      <c r="H504" s="18" t="s">
        <v>1</v>
      </c>
      <c r="I504" s="20" t="s">
        <v>1</v>
      </c>
      <c r="J504" s="18" t="s">
        <v>1</v>
      </c>
      <c r="K504" s="20" t="s">
        <v>1</v>
      </c>
      <c r="L504" s="18" t="s">
        <v>1</v>
      </c>
      <c r="M504" s="20" t="s">
        <v>1</v>
      </c>
      <c r="N504" s="36" t="s">
        <v>82</v>
      </c>
      <c r="O504" s="25" t="s">
        <v>1427</v>
      </c>
      <c r="P504" s="36" t="s">
        <v>1292</v>
      </c>
      <c r="Q504" s="25" t="s">
        <v>1428</v>
      </c>
      <c r="R504" s="36" t="s">
        <v>1</v>
      </c>
      <c r="S504" s="25" t="s">
        <v>1</v>
      </c>
      <c r="T504" s="36" t="s">
        <v>1</v>
      </c>
      <c r="U504" s="25" t="s">
        <v>1</v>
      </c>
      <c r="V504" s="36" t="s">
        <v>1</v>
      </c>
      <c r="W504" s="25" t="s">
        <v>1</v>
      </c>
      <c r="X504" s="36" t="s">
        <v>1</v>
      </c>
      <c r="Y504" s="56" t="s">
        <v>1</v>
      </c>
      <c r="Z504" s="36" t="s">
        <v>1</v>
      </c>
      <c r="AA504" s="56" t="str">
        <f t="shared" si="17"/>
        <v>null</v>
      </c>
      <c r="AB504" s="36" t="s">
        <v>1</v>
      </c>
      <c r="AC504" s="47" t="s">
        <v>1</v>
      </c>
      <c r="AD504" s="36" t="s">
        <v>1</v>
      </c>
      <c r="AE504" s="51" t="s">
        <v>1</v>
      </c>
      <c r="AF504" s="36" t="s">
        <v>1</v>
      </c>
      <c r="AG504" s="51" t="s">
        <v>1</v>
      </c>
      <c r="AH504" s="36" t="s">
        <v>1</v>
      </c>
      <c r="AI504" s="51" t="s">
        <v>1</v>
      </c>
      <c r="AJ504" s="36" t="s">
        <v>1</v>
      </c>
      <c r="AK504" s="51" t="s">
        <v>1</v>
      </c>
      <c r="AL504" s="36" t="s">
        <v>1</v>
      </c>
      <c r="AM504" s="31" t="s">
        <v>1</v>
      </c>
      <c r="AN504" s="36" t="s">
        <v>1</v>
      </c>
      <c r="AO504" s="31" t="s">
        <v>1</v>
      </c>
      <c r="AP504" s="36" t="s">
        <v>1</v>
      </c>
      <c r="AQ504" s="51" t="s">
        <v>1</v>
      </c>
      <c r="AR504" s="36" t="s">
        <v>1</v>
      </c>
      <c r="AS504" s="47" t="s">
        <v>1</v>
      </c>
      <c r="AT504" s="36" t="s">
        <v>1</v>
      </c>
      <c r="AU504" s="47" t="s">
        <v>1</v>
      </c>
      <c r="AV504" s="36" t="s">
        <v>1</v>
      </c>
      <c r="AW504" s="47" t="s">
        <v>1</v>
      </c>
      <c r="AX504" s="36" t="s">
        <v>2065</v>
      </c>
      <c r="AY504" s="47" t="s">
        <v>2196</v>
      </c>
      <c r="AZ504" s="36" t="s">
        <v>1299</v>
      </c>
      <c r="BA504" s="25" t="s">
        <v>2199</v>
      </c>
      <c r="BB504" s="36" t="s">
        <v>2188</v>
      </c>
      <c r="BC504" s="47" t="s">
        <v>2192</v>
      </c>
      <c r="BD504" s="36" t="s">
        <v>2189</v>
      </c>
      <c r="BE504" s="47" t="str">
        <f t="shared" si="16"/>
        <v>"Pier"</v>
      </c>
    </row>
    <row r="505" spans="1:57" ht="6.65" customHeight="1" x14ac:dyDescent="0.4">
      <c r="A505" s="93">
        <v>505</v>
      </c>
      <c r="B505" s="71" t="s">
        <v>1429</v>
      </c>
      <c r="C505" s="72" t="s">
        <v>486</v>
      </c>
      <c r="D505" s="18" t="s">
        <v>1423</v>
      </c>
      <c r="E505" s="20" t="s">
        <v>1416</v>
      </c>
      <c r="F505" s="18" t="s">
        <v>1</v>
      </c>
      <c r="G505" s="20" t="s">
        <v>1</v>
      </c>
      <c r="H505" s="18" t="s">
        <v>1</v>
      </c>
      <c r="I505" s="20" t="s">
        <v>1</v>
      </c>
      <c r="J505" s="18" t="s">
        <v>1</v>
      </c>
      <c r="K505" s="20" t="s">
        <v>1</v>
      </c>
      <c r="L505" s="18" t="s">
        <v>1</v>
      </c>
      <c r="M505" s="20" t="s">
        <v>1</v>
      </c>
      <c r="N505" s="36" t="s">
        <v>82</v>
      </c>
      <c r="O505" s="25" t="s">
        <v>1430</v>
      </c>
      <c r="P505" s="36" t="s">
        <v>1292</v>
      </c>
      <c r="Q505" s="25" t="s">
        <v>1431</v>
      </c>
      <c r="R505" s="36" t="s">
        <v>1</v>
      </c>
      <c r="S505" s="25" t="s">
        <v>1</v>
      </c>
      <c r="T505" s="36" t="s">
        <v>1293</v>
      </c>
      <c r="U505" s="25">
        <v>-23.063932999999999</v>
      </c>
      <c r="V505" s="36" t="s">
        <v>1294</v>
      </c>
      <c r="W505" s="25">
        <v>-43.145843999999997</v>
      </c>
      <c r="X505" s="36" t="s">
        <v>1</v>
      </c>
      <c r="Y505" s="56" t="s">
        <v>1</v>
      </c>
      <c r="Z505" s="36" t="s">
        <v>1</v>
      </c>
      <c r="AA505" s="56" t="str">
        <f t="shared" si="17"/>
        <v>null</v>
      </c>
      <c r="AB505" s="36" t="s">
        <v>1</v>
      </c>
      <c r="AC505" s="47" t="s">
        <v>1</v>
      </c>
      <c r="AD505" s="36" t="s">
        <v>1</v>
      </c>
      <c r="AE505" s="51" t="s">
        <v>1</v>
      </c>
      <c r="AF505" s="36" t="s">
        <v>1</v>
      </c>
      <c r="AG505" s="51" t="s">
        <v>1</v>
      </c>
      <c r="AH505" s="36" t="s">
        <v>1</v>
      </c>
      <c r="AI505" s="51" t="s">
        <v>1</v>
      </c>
      <c r="AJ505" s="36" t="s">
        <v>1</v>
      </c>
      <c r="AK505" s="51" t="s">
        <v>1</v>
      </c>
      <c r="AL505" s="36" t="s">
        <v>1</v>
      </c>
      <c r="AM505" s="31" t="s">
        <v>1</v>
      </c>
      <c r="AN505" s="36" t="s">
        <v>1</v>
      </c>
      <c r="AO505" s="31" t="s">
        <v>1</v>
      </c>
      <c r="AP505" s="36" t="s">
        <v>1</v>
      </c>
      <c r="AQ505" s="51" t="s">
        <v>1</v>
      </c>
      <c r="AR505" s="36" t="s">
        <v>1</v>
      </c>
      <c r="AS505" s="47" t="s">
        <v>1</v>
      </c>
      <c r="AT505" s="36" t="s">
        <v>1</v>
      </c>
      <c r="AU505" s="47" t="s">
        <v>1</v>
      </c>
      <c r="AV505" s="36" t="s">
        <v>1</v>
      </c>
      <c r="AW505" s="47" t="s">
        <v>1</v>
      </c>
      <c r="AX505" s="36" t="s">
        <v>2065</v>
      </c>
      <c r="AY505" s="47" t="s">
        <v>2196</v>
      </c>
      <c r="AZ505" s="36" t="s">
        <v>1299</v>
      </c>
      <c r="BA505" s="25" t="s">
        <v>2201</v>
      </c>
      <c r="BB505" s="36" t="s">
        <v>2188</v>
      </c>
      <c r="BC505" s="47" t="s">
        <v>2192</v>
      </c>
      <c r="BD505" s="36" t="s">
        <v>2189</v>
      </c>
      <c r="BE505" s="47" t="str">
        <f t="shared" si="16"/>
        <v>"Farol"</v>
      </c>
    </row>
    <row r="506" spans="1:57" ht="6.65" customHeight="1" x14ac:dyDescent="0.4">
      <c r="A506" s="93">
        <v>506</v>
      </c>
      <c r="B506" s="71" t="s">
        <v>1432</v>
      </c>
      <c r="C506" s="72" t="s">
        <v>1686</v>
      </c>
      <c r="D506" s="18" t="s">
        <v>1423</v>
      </c>
      <c r="E506" s="20" t="s">
        <v>1416</v>
      </c>
      <c r="F506" s="18" t="s">
        <v>1</v>
      </c>
      <c r="G506" s="20" t="s">
        <v>1</v>
      </c>
      <c r="H506" s="18" t="s">
        <v>1</v>
      </c>
      <c r="I506" s="20" t="s">
        <v>1</v>
      </c>
      <c r="J506" s="18" t="s">
        <v>1</v>
      </c>
      <c r="K506" s="20" t="s">
        <v>1</v>
      </c>
      <c r="L506" s="18" t="s">
        <v>1</v>
      </c>
      <c r="M506" s="20" t="s">
        <v>1</v>
      </c>
      <c r="N506" s="36" t="s">
        <v>82</v>
      </c>
      <c r="O506" s="50" t="s">
        <v>1433</v>
      </c>
      <c r="P506" s="36" t="s">
        <v>1292</v>
      </c>
      <c r="Q506" s="25" t="s">
        <v>1434</v>
      </c>
      <c r="R506" s="36" t="s">
        <v>1</v>
      </c>
      <c r="S506" s="25" t="s">
        <v>1</v>
      </c>
      <c r="T506" s="36" t="s">
        <v>1435</v>
      </c>
      <c r="U506" s="25" t="s">
        <v>1436</v>
      </c>
      <c r="V506" s="36" t="s">
        <v>2215</v>
      </c>
      <c r="W506" s="25" t="s">
        <v>1437</v>
      </c>
      <c r="X506" s="36" t="s">
        <v>1</v>
      </c>
      <c r="Y506" s="56" t="s">
        <v>1</v>
      </c>
      <c r="Z506" s="36" t="s">
        <v>1</v>
      </c>
      <c r="AA506" s="56" t="s">
        <v>1</v>
      </c>
      <c r="AB506" s="36" t="s">
        <v>1</v>
      </c>
      <c r="AC506" s="47" t="s">
        <v>1</v>
      </c>
      <c r="AD506" s="36" t="s">
        <v>1</v>
      </c>
      <c r="AE506" s="51" t="s">
        <v>1</v>
      </c>
      <c r="AF506" s="36" t="s">
        <v>1</v>
      </c>
      <c r="AG506" s="51" t="s">
        <v>1</v>
      </c>
      <c r="AH506" s="36" t="s">
        <v>1</v>
      </c>
      <c r="AI506" s="51" t="s">
        <v>1</v>
      </c>
      <c r="AJ506" s="36" t="s">
        <v>1</v>
      </c>
      <c r="AK506" s="51" t="s">
        <v>1</v>
      </c>
      <c r="AL506" s="36" t="s">
        <v>1</v>
      </c>
      <c r="AM506" s="31" t="s">
        <v>1</v>
      </c>
      <c r="AN506" s="36" t="s">
        <v>1</v>
      </c>
      <c r="AO506" s="31" t="s">
        <v>1</v>
      </c>
      <c r="AP506" s="36" t="s">
        <v>1</v>
      </c>
      <c r="AQ506" s="51" t="s">
        <v>1</v>
      </c>
      <c r="AR506" s="36" t="s">
        <v>1</v>
      </c>
      <c r="AS506" s="47" t="s">
        <v>1</v>
      </c>
      <c r="AT506" s="36" t="s">
        <v>1</v>
      </c>
      <c r="AU506" s="47" t="s">
        <v>1</v>
      </c>
      <c r="AV506" s="36" t="s">
        <v>1</v>
      </c>
      <c r="AW506" s="47" t="s">
        <v>1</v>
      </c>
      <c r="AX506" s="36" t="s">
        <v>2065</v>
      </c>
      <c r="AY506" s="47" t="s">
        <v>2196</v>
      </c>
      <c r="AZ506" s="36" t="s">
        <v>1299</v>
      </c>
      <c r="BA506" s="25" t="s">
        <v>2202</v>
      </c>
      <c r="BB506" s="36" t="s">
        <v>2188</v>
      </c>
      <c r="BC506" s="47" t="s">
        <v>2192</v>
      </c>
      <c r="BD506" s="36" t="s">
        <v>2189</v>
      </c>
      <c r="BE506" s="47" t="str">
        <f t="shared" si="16"/>
        <v>"Zona.de.Estocagem"</v>
      </c>
    </row>
    <row r="507" spans="1:57" ht="6.65" customHeight="1" x14ac:dyDescent="0.4">
      <c r="A507" s="93">
        <v>507</v>
      </c>
      <c r="B507" s="71" t="s">
        <v>1438</v>
      </c>
      <c r="C507" s="72" t="s">
        <v>1686</v>
      </c>
      <c r="D507" s="18" t="s">
        <v>1423</v>
      </c>
      <c r="E507" s="20" t="s">
        <v>1416</v>
      </c>
      <c r="F507" s="18" t="s">
        <v>1</v>
      </c>
      <c r="G507" s="20" t="s">
        <v>1</v>
      </c>
      <c r="H507" s="18" t="s">
        <v>1</v>
      </c>
      <c r="I507" s="20" t="s">
        <v>1</v>
      </c>
      <c r="J507" s="18" t="s">
        <v>1</v>
      </c>
      <c r="K507" s="20" t="s">
        <v>1</v>
      </c>
      <c r="L507" s="18" t="s">
        <v>1</v>
      </c>
      <c r="M507" s="20" t="s">
        <v>1</v>
      </c>
      <c r="N507" s="36" t="s">
        <v>82</v>
      </c>
      <c r="O507" s="50" t="s">
        <v>1439</v>
      </c>
      <c r="P507" s="36" t="s">
        <v>1292</v>
      </c>
      <c r="Q507" s="25" t="s">
        <v>1440</v>
      </c>
      <c r="R507" s="36" t="s">
        <v>1</v>
      </c>
      <c r="S507" s="25" t="s">
        <v>1</v>
      </c>
      <c r="T507" s="36" t="s">
        <v>1435</v>
      </c>
      <c r="U507" s="25" t="s">
        <v>1436</v>
      </c>
      <c r="V507" s="36" t="s">
        <v>2215</v>
      </c>
      <c r="W507" s="25" t="s">
        <v>1437</v>
      </c>
      <c r="X507" s="36" t="s">
        <v>1</v>
      </c>
      <c r="Y507" s="56" t="s">
        <v>1</v>
      </c>
      <c r="Z507" s="36" t="s">
        <v>1</v>
      </c>
      <c r="AA507" s="56" t="s">
        <v>1</v>
      </c>
      <c r="AB507" s="36" t="s">
        <v>1</v>
      </c>
      <c r="AC507" s="47" t="s">
        <v>1</v>
      </c>
      <c r="AD507" s="36" t="s">
        <v>1</v>
      </c>
      <c r="AE507" s="51" t="s">
        <v>1</v>
      </c>
      <c r="AF507" s="36" t="s">
        <v>1</v>
      </c>
      <c r="AG507" s="51" t="s">
        <v>1</v>
      </c>
      <c r="AH507" s="36" t="s">
        <v>1</v>
      </c>
      <c r="AI507" s="51" t="s">
        <v>1</v>
      </c>
      <c r="AJ507" s="36" t="s">
        <v>1</v>
      </c>
      <c r="AK507" s="51" t="s">
        <v>1</v>
      </c>
      <c r="AL507" s="36" t="s">
        <v>1</v>
      </c>
      <c r="AM507" s="31" t="s">
        <v>1</v>
      </c>
      <c r="AN507" s="36" t="s">
        <v>1</v>
      </c>
      <c r="AO507" s="31" t="s">
        <v>1</v>
      </c>
      <c r="AP507" s="36" t="s">
        <v>1</v>
      </c>
      <c r="AQ507" s="51" t="s">
        <v>1</v>
      </c>
      <c r="AR507" s="36" t="s">
        <v>1</v>
      </c>
      <c r="AS507" s="47" t="s">
        <v>1</v>
      </c>
      <c r="AT507" s="36" t="s">
        <v>1</v>
      </c>
      <c r="AU507" s="47" t="s">
        <v>1</v>
      </c>
      <c r="AV507" s="36" t="s">
        <v>1</v>
      </c>
      <c r="AW507" s="47" t="s">
        <v>1</v>
      </c>
      <c r="AX507" s="36" t="s">
        <v>2065</v>
      </c>
      <c r="AY507" s="47" t="s">
        <v>2196</v>
      </c>
      <c r="AZ507" s="36" t="s">
        <v>1299</v>
      </c>
      <c r="BA507" s="25" t="s">
        <v>2202</v>
      </c>
      <c r="BB507" s="36" t="s">
        <v>2188</v>
      </c>
      <c r="BC507" s="47" t="s">
        <v>2192</v>
      </c>
      <c r="BD507" s="36" t="s">
        <v>2189</v>
      </c>
      <c r="BE507" s="47" t="str">
        <f t="shared" si="16"/>
        <v>"Zona.de.Estocagem"</v>
      </c>
    </row>
    <row r="508" spans="1:57" ht="6.65" customHeight="1" x14ac:dyDescent="0.4">
      <c r="A508" s="93">
        <v>508</v>
      </c>
      <c r="B508" s="71" t="s">
        <v>1441</v>
      </c>
      <c r="C508" s="72" t="s">
        <v>1686</v>
      </c>
      <c r="D508" s="18" t="s">
        <v>1423</v>
      </c>
      <c r="E508" s="20" t="s">
        <v>1416</v>
      </c>
      <c r="F508" s="18" t="s">
        <v>1</v>
      </c>
      <c r="G508" s="20" t="s">
        <v>1</v>
      </c>
      <c r="H508" s="18" t="s">
        <v>1</v>
      </c>
      <c r="I508" s="20" t="s">
        <v>1</v>
      </c>
      <c r="J508" s="18" t="s">
        <v>1</v>
      </c>
      <c r="K508" s="20" t="s">
        <v>1</v>
      </c>
      <c r="L508" s="18" t="s">
        <v>1</v>
      </c>
      <c r="M508" s="20" t="s">
        <v>1</v>
      </c>
      <c r="N508" s="36" t="s">
        <v>82</v>
      </c>
      <c r="O508" s="50" t="s">
        <v>1442</v>
      </c>
      <c r="P508" s="36" t="s">
        <v>1292</v>
      </c>
      <c r="Q508" s="25" t="s">
        <v>1443</v>
      </c>
      <c r="R508" s="36" t="s">
        <v>1</v>
      </c>
      <c r="S508" s="25" t="s">
        <v>1</v>
      </c>
      <c r="T508" s="36" t="s">
        <v>1435</v>
      </c>
      <c r="U508" s="25" t="s">
        <v>1436</v>
      </c>
      <c r="V508" s="36" t="s">
        <v>2215</v>
      </c>
      <c r="W508" s="25" t="s">
        <v>1437</v>
      </c>
      <c r="X508" s="36" t="s">
        <v>1</v>
      </c>
      <c r="Y508" s="56" t="s">
        <v>1</v>
      </c>
      <c r="Z508" s="36" t="s">
        <v>1</v>
      </c>
      <c r="AA508" s="56" t="s">
        <v>1</v>
      </c>
      <c r="AB508" s="36" t="s">
        <v>1</v>
      </c>
      <c r="AC508" s="47" t="s">
        <v>1</v>
      </c>
      <c r="AD508" s="36" t="s">
        <v>1</v>
      </c>
      <c r="AE508" s="51" t="s">
        <v>1</v>
      </c>
      <c r="AF508" s="36" t="s">
        <v>1</v>
      </c>
      <c r="AG508" s="51" t="s">
        <v>1</v>
      </c>
      <c r="AH508" s="36" t="s">
        <v>1</v>
      </c>
      <c r="AI508" s="51" t="s">
        <v>1</v>
      </c>
      <c r="AJ508" s="36" t="s">
        <v>1</v>
      </c>
      <c r="AK508" s="51" t="s">
        <v>1</v>
      </c>
      <c r="AL508" s="36" t="s">
        <v>1</v>
      </c>
      <c r="AM508" s="31" t="s">
        <v>1</v>
      </c>
      <c r="AN508" s="36" t="s">
        <v>1</v>
      </c>
      <c r="AO508" s="31" t="s">
        <v>1</v>
      </c>
      <c r="AP508" s="36" t="s">
        <v>1</v>
      </c>
      <c r="AQ508" s="51" t="s">
        <v>1</v>
      </c>
      <c r="AR508" s="36" t="s">
        <v>1</v>
      </c>
      <c r="AS508" s="47" t="s">
        <v>1</v>
      </c>
      <c r="AT508" s="36" t="s">
        <v>1</v>
      </c>
      <c r="AU508" s="47" t="s">
        <v>1</v>
      </c>
      <c r="AV508" s="36" t="s">
        <v>1</v>
      </c>
      <c r="AW508" s="47" t="s">
        <v>1</v>
      </c>
      <c r="AX508" s="36" t="s">
        <v>2065</v>
      </c>
      <c r="AY508" s="47" t="s">
        <v>2196</v>
      </c>
      <c r="AZ508" s="36" t="s">
        <v>1299</v>
      </c>
      <c r="BA508" s="25" t="s">
        <v>2202</v>
      </c>
      <c r="BB508" s="36" t="s">
        <v>2188</v>
      </c>
      <c r="BC508" s="47" t="s">
        <v>2192</v>
      </c>
      <c r="BD508" s="36" t="s">
        <v>2189</v>
      </c>
      <c r="BE508" s="47" t="str">
        <f t="shared" si="16"/>
        <v>"Zona.de.Estocagem"</v>
      </c>
    </row>
    <row r="509" spans="1:57" ht="6.65" customHeight="1" x14ac:dyDescent="0.4">
      <c r="A509" s="93">
        <v>509</v>
      </c>
      <c r="B509" s="71" t="s">
        <v>1444</v>
      </c>
      <c r="C509" s="72" t="s">
        <v>1686</v>
      </c>
      <c r="D509" s="18" t="s">
        <v>1423</v>
      </c>
      <c r="E509" s="20" t="s">
        <v>1416</v>
      </c>
      <c r="F509" s="18" t="s">
        <v>1</v>
      </c>
      <c r="G509" s="20" t="s">
        <v>1</v>
      </c>
      <c r="H509" s="18" t="s">
        <v>1</v>
      </c>
      <c r="I509" s="20" t="s">
        <v>1</v>
      </c>
      <c r="J509" s="18" t="s">
        <v>1</v>
      </c>
      <c r="K509" s="20" t="s">
        <v>1</v>
      </c>
      <c r="L509" s="18" t="s">
        <v>1</v>
      </c>
      <c r="M509" s="20" t="s">
        <v>1</v>
      </c>
      <c r="N509" s="36" t="s">
        <v>82</v>
      </c>
      <c r="O509" s="50" t="s">
        <v>1445</v>
      </c>
      <c r="P509" s="36" t="s">
        <v>1292</v>
      </c>
      <c r="Q509" s="25" t="s">
        <v>1446</v>
      </c>
      <c r="R509" s="36" t="s">
        <v>1</v>
      </c>
      <c r="S509" s="25" t="s">
        <v>1</v>
      </c>
      <c r="T509" s="36" t="s">
        <v>1435</v>
      </c>
      <c r="U509" s="25" t="s">
        <v>1436</v>
      </c>
      <c r="V509" s="36" t="s">
        <v>2215</v>
      </c>
      <c r="W509" s="25" t="s">
        <v>1437</v>
      </c>
      <c r="X509" s="36" t="s">
        <v>1</v>
      </c>
      <c r="Y509" s="56" t="s">
        <v>1</v>
      </c>
      <c r="Z509" s="36" t="s">
        <v>1</v>
      </c>
      <c r="AA509" s="56" t="s">
        <v>1</v>
      </c>
      <c r="AB509" s="36" t="s">
        <v>1</v>
      </c>
      <c r="AC509" s="47" t="s">
        <v>1</v>
      </c>
      <c r="AD509" s="36" t="s">
        <v>1</v>
      </c>
      <c r="AE509" s="51" t="s">
        <v>1</v>
      </c>
      <c r="AF509" s="36" t="s">
        <v>1</v>
      </c>
      <c r="AG509" s="51" t="s">
        <v>1</v>
      </c>
      <c r="AH509" s="36" t="s">
        <v>1</v>
      </c>
      <c r="AI509" s="51" t="s">
        <v>1</v>
      </c>
      <c r="AJ509" s="36" t="s">
        <v>1</v>
      </c>
      <c r="AK509" s="51" t="s">
        <v>1</v>
      </c>
      <c r="AL509" s="36" t="s">
        <v>1</v>
      </c>
      <c r="AM509" s="31" t="s">
        <v>1</v>
      </c>
      <c r="AN509" s="36" t="s">
        <v>1</v>
      </c>
      <c r="AO509" s="31" t="s">
        <v>1</v>
      </c>
      <c r="AP509" s="36" t="s">
        <v>1</v>
      </c>
      <c r="AQ509" s="51" t="s">
        <v>1</v>
      </c>
      <c r="AR509" s="36" t="s">
        <v>1</v>
      </c>
      <c r="AS509" s="47" t="s">
        <v>1</v>
      </c>
      <c r="AT509" s="36" t="s">
        <v>1</v>
      </c>
      <c r="AU509" s="47" t="s">
        <v>1</v>
      </c>
      <c r="AV509" s="36" t="s">
        <v>1</v>
      </c>
      <c r="AW509" s="47" t="s">
        <v>1</v>
      </c>
      <c r="AX509" s="36" t="s">
        <v>2065</v>
      </c>
      <c r="AY509" s="47" t="s">
        <v>2196</v>
      </c>
      <c r="AZ509" s="36" t="s">
        <v>1299</v>
      </c>
      <c r="BA509" s="25" t="s">
        <v>2202</v>
      </c>
      <c r="BB509" s="36" t="s">
        <v>2188</v>
      </c>
      <c r="BC509" s="47" t="s">
        <v>2192</v>
      </c>
      <c r="BD509" s="36" t="s">
        <v>2189</v>
      </c>
      <c r="BE509" s="47" t="str">
        <f t="shared" si="16"/>
        <v>"Zona.de.Estocagem"</v>
      </c>
    </row>
    <row r="510" spans="1:57" ht="6.65" customHeight="1" x14ac:dyDescent="0.4">
      <c r="A510" s="93">
        <v>510</v>
      </c>
      <c r="B510" s="71" t="s">
        <v>1447</v>
      </c>
      <c r="C510" s="72" t="s">
        <v>1686</v>
      </c>
      <c r="D510" s="18" t="s">
        <v>1423</v>
      </c>
      <c r="E510" s="20" t="s">
        <v>1416</v>
      </c>
      <c r="F510" s="18" t="s">
        <v>1</v>
      </c>
      <c r="G510" s="20" t="s">
        <v>1</v>
      </c>
      <c r="H510" s="18" t="s">
        <v>1</v>
      </c>
      <c r="I510" s="20" t="s">
        <v>1</v>
      </c>
      <c r="J510" s="18" t="s">
        <v>1</v>
      </c>
      <c r="K510" s="20" t="s">
        <v>1</v>
      </c>
      <c r="L510" s="18" t="s">
        <v>1</v>
      </c>
      <c r="M510" s="20" t="s">
        <v>1</v>
      </c>
      <c r="N510" s="36" t="s">
        <v>82</v>
      </c>
      <c r="O510" s="50" t="s">
        <v>1448</v>
      </c>
      <c r="P510" s="36" t="s">
        <v>1292</v>
      </c>
      <c r="Q510" s="25" t="s">
        <v>1449</v>
      </c>
      <c r="R510" s="36" t="s">
        <v>1</v>
      </c>
      <c r="S510" s="25" t="s">
        <v>1</v>
      </c>
      <c r="T510" s="36" t="s">
        <v>1435</v>
      </c>
      <c r="U510" s="25" t="s">
        <v>1450</v>
      </c>
      <c r="V510" s="36" t="s">
        <v>2215</v>
      </c>
      <c r="W510" s="25" t="s">
        <v>1437</v>
      </c>
      <c r="X510" s="36" t="s">
        <v>1</v>
      </c>
      <c r="Y510" s="56" t="s">
        <v>1</v>
      </c>
      <c r="Z510" s="36" t="s">
        <v>1</v>
      </c>
      <c r="AA510" s="56" t="s">
        <v>1</v>
      </c>
      <c r="AB510" s="36" t="s">
        <v>1</v>
      </c>
      <c r="AC510" s="47" t="s">
        <v>1</v>
      </c>
      <c r="AD510" s="36" t="s">
        <v>1</v>
      </c>
      <c r="AE510" s="51" t="s">
        <v>1</v>
      </c>
      <c r="AF510" s="36" t="s">
        <v>1</v>
      </c>
      <c r="AG510" s="51" t="s">
        <v>1</v>
      </c>
      <c r="AH510" s="36" t="s">
        <v>1</v>
      </c>
      <c r="AI510" s="51" t="s">
        <v>1</v>
      </c>
      <c r="AJ510" s="36" t="s">
        <v>1</v>
      </c>
      <c r="AK510" s="51" t="s">
        <v>1</v>
      </c>
      <c r="AL510" s="36" t="s">
        <v>1</v>
      </c>
      <c r="AM510" s="31" t="s">
        <v>1</v>
      </c>
      <c r="AN510" s="36" t="s">
        <v>1</v>
      </c>
      <c r="AO510" s="31" t="s">
        <v>1</v>
      </c>
      <c r="AP510" s="36" t="s">
        <v>1</v>
      </c>
      <c r="AQ510" s="51" t="s">
        <v>1</v>
      </c>
      <c r="AR510" s="36" t="s">
        <v>1</v>
      </c>
      <c r="AS510" s="47" t="s">
        <v>1</v>
      </c>
      <c r="AT510" s="36" t="s">
        <v>1</v>
      </c>
      <c r="AU510" s="47" t="s">
        <v>1</v>
      </c>
      <c r="AV510" s="36" t="s">
        <v>1</v>
      </c>
      <c r="AW510" s="47" t="s">
        <v>1</v>
      </c>
      <c r="AX510" s="36" t="s">
        <v>2065</v>
      </c>
      <c r="AY510" s="47" t="s">
        <v>2196</v>
      </c>
      <c r="AZ510" s="36" t="s">
        <v>1299</v>
      </c>
      <c r="BA510" s="25" t="s">
        <v>2202</v>
      </c>
      <c r="BB510" s="36" t="s">
        <v>2188</v>
      </c>
      <c r="BC510" s="47" t="s">
        <v>2192</v>
      </c>
      <c r="BD510" s="36" t="s">
        <v>2189</v>
      </c>
      <c r="BE510" s="47" t="str">
        <f t="shared" si="16"/>
        <v>"Zona.de.Estocagem"</v>
      </c>
    </row>
    <row r="511" spans="1:57" ht="6.65" customHeight="1" x14ac:dyDescent="0.4">
      <c r="A511" s="93">
        <v>511</v>
      </c>
      <c r="B511" s="71" t="s">
        <v>1451</v>
      </c>
      <c r="C511" s="72" t="s">
        <v>1686</v>
      </c>
      <c r="D511" s="18" t="s">
        <v>1423</v>
      </c>
      <c r="E511" s="20" t="s">
        <v>1416</v>
      </c>
      <c r="F511" s="18" t="s">
        <v>1</v>
      </c>
      <c r="G511" s="20" t="s">
        <v>1</v>
      </c>
      <c r="H511" s="18" t="s">
        <v>1</v>
      </c>
      <c r="I511" s="20" t="s">
        <v>1</v>
      </c>
      <c r="J511" s="18" t="s">
        <v>1</v>
      </c>
      <c r="K511" s="20" t="s">
        <v>1</v>
      </c>
      <c r="L511" s="18" t="s">
        <v>1</v>
      </c>
      <c r="M511" s="20" t="s">
        <v>1</v>
      </c>
      <c r="N511" s="36" t="s">
        <v>82</v>
      </c>
      <c r="O511" s="50" t="s">
        <v>1452</v>
      </c>
      <c r="P511" s="36" t="s">
        <v>1292</v>
      </c>
      <c r="Q511" s="25" t="s">
        <v>1453</v>
      </c>
      <c r="R511" s="36" t="s">
        <v>1</v>
      </c>
      <c r="S511" s="25" t="s">
        <v>1</v>
      </c>
      <c r="T511" s="36" t="s">
        <v>1435</v>
      </c>
      <c r="U511" s="25" t="s">
        <v>1454</v>
      </c>
      <c r="V511" s="36" t="s">
        <v>2215</v>
      </c>
      <c r="W511" s="25" t="s">
        <v>1455</v>
      </c>
      <c r="X511" s="36" t="s">
        <v>1</v>
      </c>
      <c r="Y511" s="56" t="s">
        <v>1</v>
      </c>
      <c r="Z511" s="36" t="s">
        <v>1</v>
      </c>
      <c r="AA511" s="56" t="s">
        <v>1</v>
      </c>
      <c r="AB511" s="36" t="s">
        <v>1</v>
      </c>
      <c r="AC511" s="47" t="s">
        <v>1</v>
      </c>
      <c r="AD511" s="36" t="s">
        <v>1</v>
      </c>
      <c r="AE511" s="51" t="s">
        <v>1</v>
      </c>
      <c r="AF511" s="36" t="s">
        <v>1</v>
      </c>
      <c r="AG511" s="51" t="s">
        <v>1</v>
      </c>
      <c r="AH511" s="36" t="s">
        <v>1</v>
      </c>
      <c r="AI511" s="51" t="s">
        <v>1</v>
      </c>
      <c r="AJ511" s="36" t="s">
        <v>1</v>
      </c>
      <c r="AK511" s="51" t="s">
        <v>1</v>
      </c>
      <c r="AL511" s="36" t="s">
        <v>1</v>
      </c>
      <c r="AM511" s="31" t="s">
        <v>1</v>
      </c>
      <c r="AN511" s="36" t="s">
        <v>1</v>
      </c>
      <c r="AO511" s="31" t="s">
        <v>1</v>
      </c>
      <c r="AP511" s="36" t="s">
        <v>1</v>
      </c>
      <c r="AQ511" s="51" t="s">
        <v>1</v>
      </c>
      <c r="AR511" s="36" t="s">
        <v>1</v>
      </c>
      <c r="AS511" s="47" t="s">
        <v>1</v>
      </c>
      <c r="AT511" s="36" t="s">
        <v>1</v>
      </c>
      <c r="AU511" s="47" t="s">
        <v>1</v>
      </c>
      <c r="AV511" s="36" t="s">
        <v>1</v>
      </c>
      <c r="AW511" s="47" t="s">
        <v>1</v>
      </c>
      <c r="AX511" s="36" t="s">
        <v>2065</v>
      </c>
      <c r="AY511" s="47" t="s">
        <v>2196</v>
      </c>
      <c r="AZ511" s="36" t="s">
        <v>1299</v>
      </c>
      <c r="BA511" s="25" t="s">
        <v>2202</v>
      </c>
      <c r="BB511" s="36" t="s">
        <v>2188</v>
      </c>
      <c r="BC511" s="47" t="s">
        <v>2192</v>
      </c>
      <c r="BD511" s="36" t="s">
        <v>2189</v>
      </c>
      <c r="BE511" s="47" t="str">
        <f t="shared" si="16"/>
        <v>"Zona.de.Estocagem"</v>
      </c>
    </row>
    <row r="512" spans="1:57" ht="6.65" customHeight="1" x14ac:dyDescent="0.4">
      <c r="A512" s="93">
        <v>512</v>
      </c>
      <c r="B512" s="71" t="s">
        <v>1456</v>
      </c>
      <c r="C512" s="72" t="s">
        <v>1686</v>
      </c>
      <c r="D512" s="18" t="s">
        <v>1423</v>
      </c>
      <c r="E512" s="20" t="s">
        <v>1416</v>
      </c>
      <c r="F512" s="18" t="s">
        <v>1</v>
      </c>
      <c r="G512" s="20" t="s">
        <v>1</v>
      </c>
      <c r="H512" s="18" t="s">
        <v>1</v>
      </c>
      <c r="I512" s="20" t="s">
        <v>1</v>
      </c>
      <c r="J512" s="18" t="s">
        <v>1</v>
      </c>
      <c r="K512" s="20" t="s">
        <v>1</v>
      </c>
      <c r="L512" s="18" t="s">
        <v>1</v>
      </c>
      <c r="M512" s="20" t="s">
        <v>1</v>
      </c>
      <c r="N512" s="36" t="s">
        <v>82</v>
      </c>
      <c r="O512" s="50" t="s">
        <v>1457</v>
      </c>
      <c r="P512" s="36" t="s">
        <v>1292</v>
      </c>
      <c r="Q512" s="25" t="s">
        <v>1458</v>
      </c>
      <c r="R512" s="36" t="s">
        <v>1</v>
      </c>
      <c r="S512" s="25" t="s">
        <v>1</v>
      </c>
      <c r="T512" s="36" t="s">
        <v>1435</v>
      </c>
      <c r="U512" s="25" t="s">
        <v>1459</v>
      </c>
      <c r="V512" s="36" t="s">
        <v>2215</v>
      </c>
      <c r="W512" s="25" t="s">
        <v>1460</v>
      </c>
      <c r="X512" s="36" t="s">
        <v>1</v>
      </c>
      <c r="Y512" s="56" t="s">
        <v>1</v>
      </c>
      <c r="Z512" s="36" t="s">
        <v>1</v>
      </c>
      <c r="AA512" s="56" t="s">
        <v>1</v>
      </c>
      <c r="AB512" s="36" t="s">
        <v>1</v>
      </c>
      <c r="AC512" s="47" t="s">
        <v>1</v>
      </c>
      <c r="AD512" s="36" t="s">
        <v>1</v>
      </c>
      <c r="AE512" s="51" t="s">
        <v>1</v>
      </c>
      <c r="AF512" s="36" t="s">
        <v>1</v>
      </c>
      <c r="AG512" s="51" t="s">
        <v>1</v>
      </c>
      <c r="AH512" s="36" t="s">
        <v>1</v>
      </c>
      <c r="AI512" s="51" t="s">
        <v>1</v>
      </c>
      <c r="AJ512" s="36" t="s">
        <v>1</v>
      </c>
      <c r="AK512" s="51" t="s">
        <v>1</v>
      </c>
      <c r="AL512" s="36" t="s">
        <v>1</v>
      </c>
      <c r="AM512" s="31" t="s">
        <v>1</v>
      </c>
      <c r="AN512" s="36" t="s">
        <v>1</v>
      </c>
      <c r="AO512" s="31" t="s">
        <v>1</v>
      </c>
      <c r="AP512" s="36" t="s">
        <v>1</v>
      </c>
      <c r="AQ512" s="51" t="s">
        <v>1</v>
      </c>
      <c r="AR512" s="36" t="s">
        <v>1</v>
      </c>
      <c r="AS512" s="47" t="s">
        <v>1</v>
      </c>
      <c r="AT512" s="36" t="s">
        <v>1</v>
      </c>
      <c r="AU512" s="47" t="s">
        <v>1</v>
      </c>
      <c r="AV512" s="36" t="s">
        <v>1</v>
      </c>
      <c r="AW512" s="47" t="s">
        <v>1</v>
      </c>
      <c r="AX512" s="36" t="s">
        <v>2065</v>
      </c>
      <c r="AY512" s="47" t="s">
        <v>2196</v>
      </c>
      <c r="AZ512" s="36" t="s">
        <v>1299</v>
      </c>
      <c r="BA512" s="25" t="s">
        <v>2202</v>
      </c>
      <c r="BB512" s="36" t="s">
        <v>2188</v>
      </c>
      <c r="BC512" s="47" t="s">
        <v>2192</v>
      </c>
      <c r="BD512" s="36" t="s">
        <v>2189</v>
      </c>
      <c r="BE512" s="47" t="str">
        <f t="shared" si="16"/>
        <v>"Zona.de.Estocagem"</v>
      </c>
    </row>
    <row r="513" spans="1:57" ht="6.65" customHeight="1" x14ac:dyDescent="0.4">
      <c r="A513" s="93">
        <v>513</v>
      </c>
      <c r="B513" s="71" t="s">
        <v>1461</v>
      </c>
      <c r="C513" s="72" t="s">
        <v>1682</v>
      </c>
      <c r="D513" s="18" t="s">
        <v>1423</v>
      </c>
      <c r="E513" s="20" t="s">
        <v>1416</v>
      </c>
      <c r="F513" s="18" t="s">
        <v>1</v>
      </c>
      <c r="G513" s="20" t="s">
        <v>1</v>
      </c>
      <c r="H513" s="18" t="s">
        <v>1</v>
      </c>
      <c r="I513" s="20" t="s">
        <v>1</v>
      </c>
      <c r="J513" s="18" t="s">
        <v>1</v>
      </c>
      <c r="K513" s="20" t="s">
        <v>1</v>
      </c>
      <c r="L513" s="18" t="s">
        <v>1</v>
      </c>
      <c r="M513" s="20" t="s">
        <v>1</v>
      </c>
      <c r="N513" s="36" t="s">
        <v>82</v>
      </c>
      <c r="O513" s="50" t="s">
        <v>1462</v>
      </c>
      <c r="P513" s="36" t="s">
        <v>1292</v>
      </c>
      <c r="Q513" s="25" t="s">
        <v>1463</v>
      </c>
      <c r="R513" s="36" t="s">
        <v>1</v>
      </c>
      <c r="S513" s="25" t="s">
        <v>1</v>
      </c>
      <c r="T513" s="36" t="s">
        <v>1435</v>
      </c>
      <c r="U513" s="25" t="s">
        <v>1459</v>
      </c>
      <c r="V513" s="36" t="s">
        <v>2215</v>
      </c>
      <c r="W513" s="25" t="s">
        <v>1460</v>
      </c>
      <c r="X513" s="36" t="s">
        <v>1</v>
      </c>
      <c r="Y513" s="56" t="s">
        <v>1</v>
      </c>
      <c r="Z513" s="36" t="s">
        <v>1</v>
      </c>
      <c r="AA513" s="56" t="s">
        <v>1</v>
      </c>
      <c r="AB513" s="36" t="s">
        <v>1</v>
      </c>
      <c r="AC513" s="47" t="s">
        <v>1</v>
      </c>
      <c r="AD513" s="36" t="s">
        <v>1</v>
      </c>
      <c r="AE513" s="51" t="s">
        <v>1</v>
      </c>
      <c r="AF513" s="36" t="s">
        <v>1</v>
      </c>
      <c r="AG513" s="51" t="s">
        <v>1</v>
      </c>
      <c r="AH513" s="36" t="s">
        <v>1</v>
      </c>
      <c r="AI513" s="51" t="s">
        <v>1</v>
      </c>
      <c r="AJ513" s="36" t="s">
        <v>1</v>
      </c>
      <c r="AK513" s="51" t="s">
        <v>1</v>
      </c>
      <c r="AL513" s="36" t="s">
        <v>1</v>
      </c>
      <c r="AM513" s="31" t="s">
        <v>1</v>
      </c>
      <c r="AN513" s="36" t="s">
        <v>1</v>
      </c>
      <c r="AO513" s="31" t="s">
        <v>1</v>
      </c>
      <c r="AP513" s="36" t="s">
        <v>1</v>
      </c>
      <c r="AQ513" s="51" t="s">
        <v>1</v>
      </c>
      <c r="AR513" s="36" t="s">
        <v>1</v>
      </c>
      <c r="AS513" s="47" t="s">
        <v>1</v>
      </c>
      <c r="AT513" s="36" t="s">
        <v>1</v>
      </c>
      <c r="AU513" s="47" t="s">
        <v>1</v>
      </c>
      <c r="AV513" s="36" t="s">
        <v>1</v>
      </c>
      <c r="AW513" s="47" t="s">
        <v>1</v>
      </c>
      <c r="AX513" s="36" t="s">
        <v>2065</v>
      </c>
      <c r="AY513" s="47" t="s">
        <v>2196</v>
      </c>
      <c r="AZ513" s="36" t="s">
        <v>1299</v>
      </c>
      <c r="BA513" s="25" t="s">
        <v>2202</v>
      </c>
      <c r="BB513" s="36" t="s">
        <v>2188</v>
      </c>
      <c r="BC513" s="47" t="s">
        <v>2192</v>
      </c>
      <c r="BD513" s="36" t="s">
        <v>2189</v>
      </c>
      <c r="BE513" s="47" t="str">
        <f t="shared" si="16"/>
        <v>"Zona.de.Pátio"</v>
      </c>
    </row>
    <row r="514" spans="1:57" ht="6.65" customHeight="1" x14ac:dyDescent="0.4">
      <c r="A514" s="93">
        <v>514</v>
      </c>
      <c r="B514" s="71" t="s">
        <v>1464</v>
      </c>
      <c r="C514" s="72" t="s">
        <v>1682</v>
      </c>
      <c r="D514" s="18" t="s">
        <v>1423</v>
      </c>
      <c r="E514" s="20" t="s">
        <v>1416</v>
      </c>
      <c r="F514" s="18" t="s">
        <v>1</v>
      </c>
      <c r="G514" s="20" t="s">
        <v>1</v>
      </c>
      <c r="H514" s="18" t="s">
        <v>1</v>
      </c>
      <c r="I514" s="20" t="s">
        <v>1</v>
      </c>
      <c r="J514" s="18" t="s">
        <v>1</v>
      </c>
      <c r="K514" s="20" t="s">
        <v>1</v>
      </c>
      <c r="L514" s="18" t="s">
        <v>1</v>
      </c>
      <c r="M514" s="20" t="s">
        <v>1</v>
      </c>
      <c r="N514" s="36" t="s">
        <v>82</v>
      </c>
      <c r="O514" s="50" t="s">
        <v>1465</v>
      </c>
      <c r="P514" s="36" t="s">
        <v>1292</v>
      </c>
      <c r="Q514" s="25" t="s">
        <v>1466</v>
      </c>
      <c r="R514" s="36" t="s">
        <v>1</v>
      </c>
      <c r="S514" s="25" t="s">
        <v>1</v>
      </c>
      <c r="T514" s="36" t="s">
        <v>1435</v>
      </c>
      <c r="U514" s="25" t="s">
        <v>1459</v>
      </c>
      <c r="V514" s="36" t="s">
        <v>2215</v>
      </c>
      <c r="W514" s="25" t="s">
        <v>1460</v>
      </c>
      <c r="X514" s="36" t="s">
        <v>1</v>
      </c>
      <c r="Y514" s="56" t="s">
        <v>1</v>
      </c>
      <c r="Z514" s="36" t="s">
        <v>1</v>
      </c>
      <c r="AA514" s="56" t="s">
        <v>1</v>
      </c>
      <c r="AB514" s="36" t="s">
        <v>1</v>
      </c>
      <c r="AC514" s="47" t="s">
        <v>1</v>
      </c>
      <c r="AD514" s="36" t="s">
        <v>1</v>
      </c>
      <c r="AE514" s="51" t="s">
        <v>1</v>
      </c>
      <c r="AF514" s="36" t="s">
        <v>1</v>
      </c>
      <c r="AG514" s="51" t="s">
        <v>1</v>
      </c>
      <c r="AH514" s="36" t="s">
        <v>1</v>
      </c>
      <c r="AI514" s="51" t="s">
        <v>1</v>
      </c>
      <c r="AJ514" s="36" t="s">
        <v>1</v>
      </c>
      <c r="AK514" s="51" t="s">
        <v>1</v>
      </c>
      <c r="AL514" s="36" t="s">
        <v>1</v>
      </c>
      <c r="AM514" s="31" t="s">
        <v>1</v>
      </c>
      <c r="AN514" s="36" t="s">
        <v>1</v>
      </c>
      <c r="AO514" s="31" t="s">
        <v>1</v>
      </c>
      <c r="AP514" s="36" t="s">
        <v>1</v>
      </c>
      <c r="AQ514" s="51" t="s">
        <v>1</v>
      </c>
      <c r="AR514" s="36" t="s">
        <v>1</v>
      </c>
      <c r="AS514" s="47" t="s">
        <v>1</v>
      </c>
      <c r="AT514" s="36" t="s">
        <v>1</v>
      </c>
      <c r="AU514" s="47" t="s">
        <v>1</v>
      </c>
      <c r="AV514" s="36" t="s">
        <v>1</v>
      </c>
      <c r="AW514" s="47" t="s">
        <v>1</v>
      </c>
      <c r="AX514" s="36" t="s">
        <v>2065</v>
      </c>
      <c r="AY514" s="47" t="s">
        <v>2196</v>
      </c>
      <c r="AZ514" s="36" t="s">
        <v>1299</v>
      </c>
      <c r="BA514" s="25" t="s">
        <v>2202</v>
      </c>
      <c r="BB514" s="36" t="s">
        <v>2188</v>
      </c>
      <c r="BC514" s="47" t="s">
        <v>2192</v>
      </c>
      <c r="BD514" s="36" t="s">
        <v>2189</v>
      </c>
      <c r="BE514" s="47" t="str">
        <f t="shared" si="16"/>
        <v>"Zona.de.Pátio"</v>
      </c>
    </row>
    <row r="515" spans="1:57" ht="6.65" customHeight="1" x14ac:dyDescent="0.4">
      <c r="A515" s="93">
        <v>515</v>
      </c>
      <c r="B515" s="71" t="s">
        <v>1467</v>
      </c>
      <c r="C515" s="72" t="s">
        <v>492</v>
      </c>
      <c r="D515" s="18" t="s">
        <v>1423</v>
      </c>
      <c r="E515" s="20" t="s">
        <v>1416</v>
      </c>
      <c r="F515" s="18" t="s">
        <v>1</v>
      </c>
      <c r="G515" s="20" t="s">
        <v>1</v>
      </c>
      <c r="H515" s="18" t="s">
        <v>1</v>
      </c>
      <c r="I515" s="20" t="s">
        <v>1</v>
      </c>
      <c r="J515" s="18" t="s">
        <v>1</v>
      </c>
      <c r="K515" s="20" t="s">
        <v>1</v>
      </c>
      <c r="L515" s="18" t="s">
        <v>1</v>
      </c>
      <c r="M515" s="20" t="s">
        <v>1</v>
      </c>
      <c r="N515" s="36" t="s">
        <v>82</v>
      </c>
      <c r="O515" s="50" t="s">
        <v>1468</v>
      </c>
      <c r="P515" s="36" t="s">
        <v>1292</v>
      </c>
      <c r="Q515" s="25" t="s">
        <v>1469</v>
      </c>
      <c r="R515" s="36" t="s">
        <v>1</v>
      </c>
      <c r="S515" s="25" t="s">
        <v>1</v>
      </c>
      <c r="T515" s="36" t="s">
        <v>1</v>
      </c>
      <c r="U515" s="25" t="s">
        <v>1</v>
      </c>
      <c r="V515" s="36" t="s">
        <v>1</v>
      </c>
      <c r="W515" s="25" t="s">
        <v>1</v>
      </c>
      <c r="X515" s="36" t="s">
        <v>1</v>
      </c>
      <c r="Y515" s="56" t="s">
        <v>1</v>
      </c>
      <c r="Z515" s="36" t="s">
        <v>1</v>
      </c>
      <c r="AA515" s="56" t="s">
        <v>1</v>
      </c>
      <c r="AB515" s="36" t="s">
        <v>1</v>
      </c>
      <c r="AC515" s="47" t="s">
        <v>1</v>
      </c>
      <c r="AD515" s="36" t="s">
        <v>1</v>
      </c>
      <c r="AE515" s="51" t="s">
        <v>1</v>
      </c>
      <c r="AF515" s="36" t="s">
        <v>1</v>
      </c>
      <c r="AG515" s="51" t="s">
        <v>1</v>
      </c>
      <c r="AH515" s="36" t="s">
        <v>1</v>
      </c>
      <c r="AI515" s="51" t="s">
        <v>1</v>
      </c>
      <c r="AJ515" s="36" t="s">
        <v>1</v>
      </c>
      <c r="AK515" s="51" t="s">
        <v>1</v>
      </c>
      <c r="AL515" s="36" t="s">
        <v>1</v>
      </c>
      <c r="AM515" s="31" t="s">
        <v>1</v>
      </c>
      <c r="AN515" s="36" t="s">
        <v>1</v>
      </c>
      <c r="AO515" s="31" t="s">
        <v>1</v>
      </c>
      <c r="AP515" s="36" t="s">
        <v>1</v>
      </c>
      <c r="AQ515" s="51" t="s">
        <v>1</v>
      </c>
      <c r="AR515" s="36" t="s">
        <v>1</v>
      </c>
      <c r="AS515" s="47" t="s">
        <v>1</v>
      </c>
      <c r="AT515" s="36" t="s">
        <v>1</v>
      </c>
      <c r="AU515" s="47" t="s">
        <v>1</v>
      </c>
      <c r="AV515" s="36" t="s">
        <v>1</v>
      </c>
      <c r="AW515" s="47" t="s">
        <v>1</v>
      </c>
      <c r="AX515" s="36" t="s">
        <v>2065</v>
      </c>
      <c r="AY515" s="47" t="s">
        <v>2196</v>
      </c>
      <c r="AZ515" s="36" t="s">
        <v>1299</v>
      </c>
      <c r="BA515" s="25" t="s">
        <v>2203</v>
      </c>
      <c r="BB515" s="36" t="s">
        <v>2188</v>
      </c>
      <c r="BC515" s="47" t="s">
        <v>2192</v>
      </c>
      <c r="BD515" s="36" t="s">
        <v>2189</v>
      </c>
      <c r="BE515" s="47" t="str">
        <f t="shared" si="16"/>
        <v>"Bóia.de.Navegação"</v>
      </c>
    </row>
    <row r="516" spans="1:57" ht="6.65" customHeight="1" x14ac:dyDescent="0.4">
      <c r="A516" s="93">
        <v>516</v>
      </c>
      <c r="B516" s="71" t="s">
        <v>1470</v>
      </c>
      <c r="C516" s="72" t="s">
        <v>492</v>
      </c>
      <c r="D516" s="18" t="s">
        <v>1423</v>
      </c>
      <c r="E516" s="20" t="s">
        <v>1416</v>
      </c>
      <c r="F516" s="18" t="s">
        <v>1</v>
      </c>
      <c r="G516" s="20" t="s">
        <v>1</v>
      </c>
      <c r="H516" s="18" t="s">
        <v>1</v>
      </c>
      <c r="I516" s="20" t="s">
        <v>1</v>
      </c>
      <c r="J516" s="18" t="s">
        <v>1</v>
      </c>
      <c r="K516" s="20" t="s">
        <v>1</v>
      </c>
      <c r="L516" s="18" t="s">
        <v>1</v>
      </c>
      <c r="M516" s="20" t="s">
        <v>1</v>
      </c>
      <c r="N516" s="36" t="s">
        <v>82</v>
      </c>
      <c r="O516" s="50" t="s">
        <v>1468</v>
      </c>
      <c r="P516" s="36" t="s">
        <v>1292</v>
      </c>
      <c r="Q516" s="58" t="s">
        <v>1471</v>
      </c>
      <c r="R516" s="36" t="s">
        <v>1</v>
      </c>
      <c r="S516" s="25" t="s">
        <v>1</v>
      </c>
      <c r="T516" s="36" t="s">
        <v>1</v>
      </c>
      <c r="U516" s="25" t="s">
        <v>1</v>
      </c>
      <c r="V516" s="36" t="s">
        <v>1</v>
      </c>
      <c r="W516" s="25" t="s">
        <v>1</v>
      </c>
      <c r="X516" s="36" t="s">
        <v>1</v>
      </c>
      <c r="Y516" s="56" t="s">
        <v>1</v>
      </c>
      <c r="Z516" s="36" t="s">
        <v>1</v>
      </c>
      <c r="AA516" s="56" t="s">
        <v>1</v>
      </c>
      <c r="AB516" s="36" t="s">
        <v>1</v>
      </c>
      <c r="AC516" s="47" t="s">
        <v>1</v>
      </c>
      <c r="AD516" s="36" t="s">
        <v>1</v>
      </c>
      <c r="AE516" s="51" t="s">
        <v>1</v>
      </c>
      <c r="AF516" s="36" t="s">
        <v>1</v>
      </c>
      <c r="AG516" s="51" t="s">
        <v>1</v>
      </c>
      <c r="AH516" s="36" t="s">
        <v>1</v>
      </c>
      <c r="AI516" s="51" t="s">
        <v>1</v>
      </c>
      <c r="AJ516" s="36" t="s">
        <v>1</v>
      </c>
      <c r="AK516" s="51" t="s">
        <v>1</v>
      </c>
      <c r="AL516" s="36" t="s">
        <v>1</v>
      </c>
      <c r="AM516" s="31" t="s">
        <v>1</v>
      </c>
      <c r="AN516" s="36" t="s">
        <v>1</v>
      </c>
      <c r="AO516" s="31" t="s">
        <v>1</v>
      </c>
      <c r="AP516" s="36" t="s">
        <v>1</v>
      </c>
      <c r="AQ516" s="51" t="s">
        <v>1</v>
      </c>
      <c r="AR516" s="36" t="s">
        <v>1</v>
      </c>
      <c r="AS516" s="47" t="s">
        <v>1</v>
      </c>
      <c r="AT516" s="36" t="s">
        <v>1</v>
      </c>
      <c r="AU516" s="47" t="s">
        <v>1</v>
      </c>
      <c r="AV516" s="36" t="s">
        <v>1</v>
      </c>
      <c r="AW516" s="47" t="s">
        <v>1</v>
      </c>
      <c r="AX516" s="36" t="s">
        <v>2065</v>
      </c>
      <c r="AY516" s="47" t="s">
        <v>2196</v>
      </c>
      <c r="AZ516" s="36" t="s">
        <v>1299</v>
      </c>
      <c r="BA516" s="25" t="s">
        <v>2203</v>
      </c>
      <c r="BB516" s="36" t="s">
        <v>2188</v>
      </c>
      <c r="BC516" s="47" t="s">
        <v>2192</v>
      </c>
      <c r="BD516" s="36" t="s">
        <v>2189</v>
      </c>
      <c r="BE516" s="47" t="str">
        <f t="shared" si="16"/>
        <v>"Bóia.de.Navegação"</v>
      </c>
    </row>
    <row r="517" spans="1:57" ht="6.65" customHeight="1" x14ac:dyDescent="0.4">
      <c r="A517" s="93">
        <v>517</v>
      </c>
      <c r="B517" s="71" t="s">
        <v>1472</v>
      </c>
      <c r="C517" s="72" t="s">
        <v>492</v>
      </c>
      <c r="D517" s="18" t="s">
        <v>1423</v>
      </c>
      <c r="E517" s="20" t="s">
        <v>1416</v>
      </c>
      <c r="F517" s="18" t="s">
        <v>1</v>
      </c>
      <c r="G517" s="20" t="s">
        <v>1</v>
      </c>
      <c r="H517" s="18" t="s">
        <v>1</v>
      </c>
      <c r="I517" s="20" t="s">
        <v>1</v>
      </c>
      <c r="J517" s="18" t="s">
        <v>1</v>
      </c>
      <c r="K517" s="20" t="s">
        <v>1</v>
      </c>
      <c r="L517" s="18" t="s">
        <v>1</v>
      </c>
      <c r="M517" s="20" t="s">
        <v>1</v>
      </c>
      <c r="N517" s="36" t="s">
        <v>82</v>
      </c>
      <c r="O517" s="50" t="s">
        <v>1473</v>
      </c>
      <c r="P517" s="36" t="s">
        <v>1292</v>
      </c>
      <c r="Q517" s="58" t="s">
        <v>1474</v>
      </c>
      <c r="R517" s="36" t="s">
        <v>1</v>
      </c>
      <c r="S517" s="25" t="s">
        <v>1</v>
      </c>
      <c r="T517" s="36" t="s">
        <v>1</v>
      </c>
      <c r="U517" s="25" t="s">
        <v>1</v>
      </c>
      <c r="V517" s="36" t="s">
        <v>1</v>
      </c>
      <c r="W517" s="25" t="s">
        <v>1</v>
      </c>
      <c r="X517" s="36" t="s">
        <v>1</v>
      </c>
      <c r="Y517" s="56" t="s">
        <v>1</v>
      </c>
      <c r="Z517" s="36" t="s">
        <v>1</v>
      </c>
      <c r="AA517" s="56" t="s">
        <v>1</v>
      </c>
      <c r="AB517" s="36" t="s">
        <v>1</v>
      </c>
      <c r="AC517" s="47" t="s">
        <v>1</v>
      </c>
      <c r="AD517" s="36" t="s">
        <v>1</v>
      </c>
      <c r="AE517" s="51" t="s">
        <v>1</v>
      </c>
      <c r="AF517" s="36" t="s">
        <v>1</v>
      </c>
      <c r="AG517" s="51" t="s">
        <v>1</v>
      </c>
      <c r="AH517" s="36" t="s">
        <v>1</v>
      </c>
      <c r="AI517" s="51" t="s">
        <v>1</v>
      </c>
      <c r="AJ517" s="36" t="s">
        <v>1</v>
      </c>
      <c r="AK517" s="51" t="s">
        <v>1</v>
      </c>
      <c r="AL517" s="36" t="s">
        <v>1</v>
      </c>
      <c r="AM517" s="31" t="s">
        <v>1</v>
      </c>
      <c r="AN517" s="36" t="s">
        <v>1</v>
      </c>
      <c r="AO517" s="31" t="s">
        <v>1</v>
      </c>
      <c r="AP517" s="36" t="s">
        <v>1</v>
      </c>
      <c r="AQ517" s="51" t="s">
        <v>1</v>
      </c>
      <c r="AR517" s="36" t="s">
        <v>1</v>
      </c>
      <c r="AS517" s="47" t="s">
        <v>1</v>
      </c>
      <c r="AT517" s="36" t="s">
        <v>1</v>
      </c>
      <c r="AU517" s="47" t="s">
        <v>1</v>
      </c>
      <c r="AV517" s="36" t="s">
        <v>1</v>
      </c>
      <c r="AW517" s="47" t="s">
        <v>1</v>
      </c>
      <c r="AX517" s="36" t="s">
        <v>2065</v>
      </c>
      <c r="AY517" s="47" t="s">
        <v>2196</v>
      </c>
      <c r="AZ517" s="36" t="s">
        <v>1299</v>
      </c>
      <c r="BA517" s="25" t="s">
        <v>2203</v>
      </c>
      <c r="BB517" s="36" t="s">
        <v>2188</v>
      </c>
      <c r="BC517" s="47" t="s">
        <v>2192</v>
      </c>
      <c r="BD517" s="36" t="s">
        <v>2189</v>
      </c>
      <c r="BE517" s="47" t="str">
        <f t="shared" ref="BE517:BE518" si="18">_xlfn.CONCAT("""",C517,"""")</f>
        <v>"Bóia.de.Navegação"</v>
      </c>
    </row>
    <row r="518" spans="1:57" ht="6.65" customHeight="1" x14ac:dyDescent="0.4">
      <c r="A518" s="93">
        <v>518</v>
      </c>
      <c r="B518" s="71" t="s">
        <v>105</v>
      </c>
      <c r="C518" s="72" t="s">
        <v>90</v>
      </c>
      <c r="D518" s="18" t="s">
        <v>1</v>
      </c>
      <c r="E518" s="20" t="s">
        <v>1</v>
      </c>
      <c r="F518" s="18" t="s">
        <v>1</v>
      </c>
      <c r="G518" s="20" t="s">
        <v>1</v>
      </c>
      <c r="H518" s="18" t="s">
        <v>1</v>
      </c>
      <c r="I518" s="20" t="s">
        <v>1</v>
      </c>
      <c r="J518" s="18" t="s">
        <v>1</v>
      </c>
      <c r="K518" s="20" t="s">
        <v>1</v>
      </c>
      <c r="L518" s="18" t="s">
        <v>1</v>
      </c>
      <c r="M518" s="20" t="s">
        <v>1</v>
      </c>
      <c r="N518" s="36" t="s">
        <v>82</v>
      </c>
      <c r="O518" s="25" t="s">
        <v>106</v>
      </c>
      <c r="P518" s="36" t="s">
        <v>1</v>
      </c>
      <c r="Q518" s="25" t="s">
        <v>1</v>
      </c>
      <c r="R518" s="36" t="s">
        <v>1</v>
      </c>
      <c r="S518" s="25" t="s">
        <v>1</v>
      </c>
      <c r="T518" s="36" t="s">
        <v>1</v>
      </c>
      <c r="U518" s="31" t="s">
        <v>1</v>
      </c>
      <c r="V518" s="36" t="s">
        <v>1</v>
      </c>
      <c r="W518" s="31" t="s">
        <v>1</v>
      </c>
      <c r="X518" s="36" t="s">
        <v>1</v>
      </c>
      <c r="Y518" s="47" t="s">
        <v>1</v>
      </c>
      <c r="Z518" s="36" t="s">
        <v>1</v>
      </c>
      <c r="AA518" s="47" t="s">
        <v>1</v>
      </c>
      <c r="AB518" s="36" t="s">
        <v>1</v>
      </c>
      <c r="AC518" s="47" t="s">
        <v>1</v>
      </c>
      <c r="AD518" s="36" t="s">
        <v>1</v>
      </c>
      <c r="AE518" s="51" t="s">
        <v>1</v>
      </c>
      <c r="AF518" s="36" t="s">
        <v>1</v>
      </c>
      <c r="AG518" s="51" t="s">
        <v>1</v>
      </c>
      <c r="AH518" s="36" t="s">
        <v>1</v>
      </c>
      <c r="AI518" s="51" t="s">
        <v>1</v>
      </c>
      <c r="AJ518" s="36" t="s">
        <v>1</v>
      </c>
      <c r="AK518" s="51" t="s">
        <v>1</v>
      </c>
      <c r="AL518" s="36" t="s">
        <v>1</v>
      </c>
      <c r="AM518" s="31" t="s">
        <v>1</v>
      </c>
      <c r="AN518" s="36" t="s">
        <v>1</v>
      </c>
      <c r="AO518" s="31" t="s">
        <v>1</v>
      </c>
      <c r="AP518" s="36" t="s">
        <v>1</v>
      </c>
      <c r="AQ518" s="51" t="s">
        <v>1</v>
      </c>
      <c r="AR518" s="36" t="s">
        <v>1</v>
      </c>
      <c r="AS518" s="47" t="s">
        <v>1</v>
      </c>
      <c r="AT518" s="36" t="s">
        <v>1</v>
      </c>
      <c r="AU518" s="47" t="s">
        <v>1</v>
      </c>
      <c r="AV518" s="36" t="s">
        <v>1</v>
      </c>
      <c r="AW518" s="47" t="s">
        <v>1</v>
      </c>
      <c r="AX518" s="36" t="s">
        <v>2065</v>
      </c>
      <c r="AY518" s="47" t="s">
        <v>2194</v>
      </c>
      <c r="AZ518" s="36" t="s">
        <v>1299</v>
      </c>
      <c r="BA518" s="31" t="s">
        <v>2197</v>
      </c>
      <c r="BB518" s="36" t="s">
        <v>2188</v>
      </c>
      <c r="BC518" s="47" t="s">
        <v>2192</v>
      </c>
      <c r="BD518" s="36" t="s">
        <v>2189</v>
      </c>
      <c r="BE518" s="47" t="str">
        <f t="shared" si="18"/>
        <v>"Automóvel"</v>
      </c>
    </row>
  </sheetData>
  <conditionalFormatting sqref="B1:B518">
    <cfRule type="duplicateValues" dxfId="1" priority="1664"/>
  </conditionalFormatting>
  <conditionalFormatting sqref="D1:F4 H1:BE7 A1:B518 G2:G4 D5:G5 G6 D6:F7 D8:BE8 D9:F518 H9:BE518 G10 F44:H76">
    <cfRule type="cellIs" dxfId="0" priority="2"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2026-07-26T13:27:13Z</dcterms:modified>
</cp:coreProperties>
</file>