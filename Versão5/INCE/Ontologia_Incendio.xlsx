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INCE\"/>
    </mc:Choice>
  </mc:AlternateContent>
  <xr:revisionPtr revIDLastSave="0" documentId="13_ncr:1_{A94FEEA4-231C-4912-BD2B-8884F937D289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17" r:id="rId2"/>
    <sheet name="Disjunt" sheetId="3" r:id="rId3"/>
    <sheet name="Interop" sheetId="16" r:id="rId4"/>
    <sheet name="FatosIn" sheetId="25" r:id="rId5"/>
  </sheets>
  <definedNames>
    <definedName name="_xlnm._FilterDatabase" localSheetId="1" hidden="1">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7" l="1"/>
  <c r="U40" i="17"/>
  <c r="T40" i="17"/>
  <c r="S40" i="17"/>
  <c r="M40" i="17"/>
  <c r="L40" i="17"/>
  <c r="W39" i="17"/>
  <c r="U39" i="17"/>
  <c r="T39" i="17"/>
  <c r="S39" i="17"/>
  <c r="M39" i="17"/>
  <c r="L39" i="17"/>
  <c r="W38" i="17"/>
  <c r="U38" i="17"/>
  <c r="T38" i="17"/>
  <c r="S38" i="17"/>
  <c r="M38" i="17"/>
  <c r="L38" i="17"/>
  <c r="W37" i="17"/>
  <c r="U37" i="17"/>
  <c r="T37" i="17"/>
  <c r="S37" i="17"/>
  <c r="M37" i="17"/>
  <c r="L37" i="17"/>
  <c r="W36" i="17"/>
  <c r="U36" i="17"/>
  <c r="T36" i="17"/>
  <c r="S36" i="17"/>
  <c r="M36" i="17"/>
  <c r="L36" i="17"/>
  <c r="AA3" i="17"/>
  <c r="AA11" i="17"/>
  <c r="AA19" i="17"/>
  <c r="AA27" i="17"/>
  <c r="AA35" i="17"/>
  <c r="AA4" i="17"/>
  <c r="AA12" i="17"/>
  <c r="AA20" i="17"/>
  <c r="AA28" i="17"/>
  <c r="AA36" i="17"/>
  <c r="AA5" i="17"/>
  <c r="AA13" i="17"/>
  <c r="AA21" i="17"/>
  <c r="AA29" i="17"/>
  <c r="AA37" i="17"/>
  <c r="AA33" i="17"/>
  <c r="AA6" i="17"/>
  <c r="AA14" i="17"/>
  <c r="AA22" i="17"/>
  <c r="AA30" i="17"/>
  <c r="AA38" i="17"/>
  <c r="AA7" i="17"/>
  <c r="AA15" i="17"/>
  <c r="AA23" i="17"/>
  <c r="AA31" i="17"/>
  <c r="AA39" i="17"/>
  <c r="AA25" i="17"/>
  <c r="AA8" i="17"/>
  <c r="AA16" i="17"/>
  <c r="AA24" i="17"/>
  <c r="AA32" i="17"/>
  <c r="AA40" i="17"/>
  <c r="AA17" i="17"/>
  <c r="AA9" i="17"/>
  <c r="AA10" i="17"/>
  <c r="AA18" i="17"/>
  <c r="AA26" i="17"/>
  <c r="AA34" i="17"/>
  <c r="Q40" i="17"/>
  <c r="Q39" i="17"/>
  <c r="Q38" i="17"/>
  <c r="Q37" i="17"/>
  <c r="Q36" i="17"/>
  <c r="W33" i="17" l="1"/>
  <c r="U33" i="17"/>
  <c r="T33" i="17"/>
  <c r="S33" i="17"/>
  <c r="M33" i="17"/>
  <c r="L33" i="17"/>
  <c r="W34" i="17"/>
  <c r="U34" i="17"/>
  <c r="T34" i="17"/>
  <c r="S34" i="17"/>
  <c r="M34" i="17"/>
  <c r="L34" i="17"/>
  <c r="W35" i="17"/>
  <c r="U35" i="17"/>
  <c r="T35" i="17"/>
  <c r="S35" i="17"/>
  <c r="M35" i="17"/>
  <c r="L35" i="17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U32" i="17"/>
  <c r="T32" i="17"/>
  <c r="S32" i="17"/>
  <c r="M32" i="17"/>
  <c r="L32" i="17"/>
  <c r="U31" i="17"/>
  <c r="T31" i="17"/>
  <c r="S31" i="17"/>
  <c r="M31" i="17"/>
  <c r="L31" i="17"/>
  <c r="U30" i="17"/>
  <c r="T30" i="17"/>
  <c r="S30" i="17"/>
  <c r="M30" i="17"/>
  <c r="L30" i="17"/>
  <c r="U20" i="17"/>
  <c r="T20" i="17"/>
  <c r="S20" i="17"/>
  <c r="O20" i="17"/>
  <c r="M20" i="17"/>
  <c r="L20" i="17"/>
  <c r="W2" i="17"/>
  <c r="U6" i="17"/>
  <c r="T6" i="17"/>
  <c r="S6" i="17"/>
  <c r="O6" i="17"/>
  <c r="N6" i="17"/>
  <c r="M6" i="17"/>
  <c r="L6" i="17"/>
  <c r="U5" i="17"/>
  <c r="T5" i="17"/>
  <c r="S5" i="17"/>
  <c r="O5" i="17"/>
  <c r="N5" i="17"/>
  <c r="M5" i="17"/>
  <c r="L5" i="17"/>
  <c r="U4" i="17"/>
  <c r="T4" i="17"/>
  <c r="S4" i="17"/>
  <c r="O4" i="17"/>
  <c r="N4" i="17"/>
  <c r="M4" i="17"/>
  <c r="L4" i="17"/>
  <c r="U3" i="17"/>
  <c r="T3" i="17"/>
  <c r="S3" i="17"/>
  <c r="O3" i="17"/>
  <c r="N3" i="17"/>
  <c r="M3" i="17"/>
  <c r="L3" i="17"/>
  <c r="U2" i="17"/>
  <c r="T2" i="17"/>
  <c r="S2" i="17"/>
  <c r="O2" i="17"/>
  <c r="N2" i="17"/>
  <c r="M2" i="17"/>
  <c r="L2" i="17"/>
  <c r="Q33" i="17"/>
  <c r="Q34" i="17"/>
  <c r="Q35" i="17"/>
  <c r="Q29" i="17"/>
  <c r="Q30" i="17"/>
  <c r="Q31" i="17"/>
  <c r="Q32" i="17"/>
  <c r="AA2" i="17"/>
  <c r="U7" i="17" l="1"/>
  <c r="U8" i="17"/>
  <c r="U9" i="17"/>
  <c r="U10" i="17"/>
  <c r="U11" i="17"/>
  <c r="U12" i="17"/>
  <c r="U13" i="17"/>
  <c r="U14" i="17"/>
  <c r="U15" i="17"/>
  <c r="U16" i="17"/>
  <c r="U17" i="17"/>
  <c r="U18" i="17"/>
  <c r="U19" i="17"/>
  <c r="U21" i="17"/>
  <c r="U22" i="17"/>
  <c r="U23" i="17"/>
  <c r="U24" i="17"/>
  <c r="U25" i="17"/>
  <c r="U26" i="17"/>
  <c r="U27" i="17"/>
  <c r="U28" i="17"/>
  <c r="U29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1" i="17"/>
  <c r="T22" i="17"/>
  <c r="T23" i="17"/>
  <c r="T24" i="17"/>
  <c r="T25" i="17"/>
  <c r="T26" i="17"/>
  <c r="T27" i="17"/>
  <c r="T28" i="17"/>
  <c r="T29" i="17"/>
  <c r="S29" i="17" l="1"/>
  <c r="M29" i="17"/>
  <c r="L29" i="17"/>
  <c r="S7" i="17"/>
  <c r="S24" i="17"/>
  <c r="S25" i="17"/>
  <c r="S26" i="17"/>
  <c r="S27" i="17"/>
  <c r="S28" i="17"/>
  <c r="M28" i="17"/>
  <c r="L28" i="17"/>
  <c r="M27" i="17"/>
  <c r="L27" i="17"/>
  <c r="M26" i="17"/>
  <c r="L26" i="17"/>
  <c r="M25" i="17"/>
  <c r="L25" i="17"/>
  <c r="M24" i="17"/>
  <c r="L24" i="17"/>
  <c r="M7" i="17"/>
  <c r="L7" i="17"/>
  <c r="S23" i="17"/>
  <c r="M23" i="17"/>
  <c r="L23" i="17"/>
  <c r="S22" i="17"/>
  <c r="O22" i="17"/>
  <c r="M22" i="17"/>
  <c r="L22" i="17"/>
  <c r="S21" i="17"/>
  <c r="O21" i="17"/>
  <c r="M21" i="17"/>
  <c r="L21" i="17"/>
  <c r="S19" i="17"/>
  <c r="O19" i="17"/>
  <c r="M19" i="17"/>
  <c r="L19" i="17"/>
  <c r="S18" i="17"/>
  <c r="O18" i="17"/>
  <c r="M18" i="17"/>
  <c r="L18" i="17"/>
  <c r="S17" i="17"/>
  <c r="O17" i="17"/>
  <c r="M17" i="17"/>
  <c r="L17" i="17"/>
  <c r="S16" i="17"/>
  <c r="O16" i="17"/>
  <c r="M16" i="17"/>
  <c r="L16" i="17"/>
  <c r="S15" i="17"/>
  <c r="O15" i="17"/>
  <c r="M15" i="17"/>
  <c r="L15" i="17"/>
  <c r="S14" i="17"/>
  <c r="O14" i="17"/>
  <c r="M14" i="17"/>
  <c r="L14" i="17"/>
  <c r="S13" i="17"/>
  <c r="O13" i="17"/>
  <c r="M13" i="17"/>
  <c r="L13" i="17"/>
  <c r="S12" i="17"/>
  <c r="O12" i="17"/>
  <c r="M12" i="17"/>
  <c r="L12" i="17"/>
  <c r="S11" i="17"/>
  <c r="O11" i="17"/>
  <c r="M11" i="17"/>
  <c r="L11" i="17"/>
  <c r="S10" i="17"/>
  <c r="O10" i="17"/>
  <c r="M10" i="17"/>
  <c r="L10" i="17"/>
  <c r="S9" i="17"/>
  <c r="O9" i="17"/>
  <c r="M9" i="17"/>
  <c r="L9" i="17"/>
  <c r="S8" i="17"/>
  <c r="O8" i="17"/>
  <c r="M8" i="17"/>
  <c r="L8" i="17"/>
  <c r="Q26" i="17"/>
  <c r="Q27" i="17"/>
  <c r="Q24" i="17"/>
  <c r="Q25" i="17"/>
  <c r="Q28" i="17"/>
  <c r="B24" i="13" l="1"/>
  <c r="B18" i="13" l="1"/>
  <c r="B6" i="13"/>
  <c r="B5" i="13"/>
</calcChain>
</file>

<file path=xl/sharedStrings.xml><?xml version="1.0" encoding="utf-8"?>
<sst xmlns="http://schemas.openxmlformats.org/spreadsheetml/2006/main" count="1264" uniqueCount="318">
  <si>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</si>
  <si>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</si>
  <si>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</si>
  <si>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</si>
  <si>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</si>
  <si>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</si>
  <si>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</si>
  <si>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</si>
  <si>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</si>
  <si>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</si>
  <si>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</si>
  <si>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</si>
  <si>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</si>
  <si>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</si>
  <si>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</si>
  <si>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</si>
  <si>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</si>
  <si>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</si>
  <si>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</si>
  <si>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</si>
  <si>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</si>
  <si>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</si>
  <si>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</si>
  <si>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</si>
  <si>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</si>
  <si>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</si>
  <si>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</si>
  <si>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</si>
  <si>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</si>
  <si>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</si>
  <si>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</si>
  <si>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</si>
  <si>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</si>
  <si>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</si>
  <si>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</si>
  <si>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</si>
  <si>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</si>
  <si>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</si>
  <si>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</si>
  <si>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00Super
Class
4</t>
  </si>
  <si>
    <t>00Super
Class
2</t>
  </si>
  <si>
    <t>00Super
Class
3</t>
  </si>
  <si>
    <t>00Raiz</t>
  </si>
  <si>
    <t>000 Traducción Classe 5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</si>
  <si>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</si>
  <si>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</si>
  <si>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</si>
  <si>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</si>
  <si>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</si>
  <si>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</si>
  <si>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</si>
  <si>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</si>
  <si>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</si>
  <si>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</si>
  <si>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</si>
  <si>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</si>
  <si>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</si>
  <si>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</si>
  <si>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</si>
  <si>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</si>
  <si>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</si>
  <si>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</si>
  <si>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</si>
  <si>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</si>
  <si>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</si>
  <si>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</si>
  <si>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</si>
  <si>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</si>
  <si>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</si>
  <si>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</si>
  <si>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</si>
  <si>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</si>
  <si>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</si>
  <si>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Indivíduo</t>
  </si>
  <si>
    <t>Classe</t>
  </si>
  <si>
    <t>Fato</t>
  </si>
  <si>
    <t>Fato
(14)</t>
  </si>
  <si>
    <t>descrição</t>
  </si>
  <si>
    <t>Val</t>
  </si>
  <si>
    <t>0-Classe Ifc</t>
  </si>
  <si>
    <t>0-Categoria Equivalente</t>
  </si>
  <si>
    <t>0-CategoriaEquivalente</t>
  </si>
  <si>
    <t>é.dentro.de</t>
  </si>
  <si>
    <t>Contêiner</t>
  </si>
  <si>
    <t>Informação</t>
  </si>
  <si>
    <t>Define un contenedor de información de acuerdo con la norma NBR 19650-1.</t>
  </si>
  <si>
    <t>CategoriaRvt</t>
  </si>
  <si>
    <t>ClasseIfc</t>
  </si>
  <si>
    <t>ABNT</t>
  </si>
  <si>
    <t>000 Translate Classe 5</t>
  </si>
  <si>
    <t>Prof. José Luis Menegotto DEG/POLI/UFRJ</t>
  </si>
  <si>
    <t>Explanation</t>
  </si>
  <si>
    <t>Idioma</t>
  </si>
  <si>
    <t>pt</t>
  </si>
  <si>
    <t>es</t>
  </si>
  <si>
    <t>en</t>
  </si>
  <si>
    <t>0</t>
  </si>
  <si>
    <t>Anotações 
de ajuda
Classe 1</t>
  </si>
  <si>
    <t>Interop</t>
  </si>
  <si>
    <t>CTI_Projeto_01</t>
  </si>
  <si>
    <t>código.abnt</t>
  </si>
  <si>
    <t>"Nome da empresa vendedora do produto."</t>
  </si>
  <si>
    <t>classe.ifc</t>
  </si>
  <si>
    <t>categoria.revit</t>
  </si>
  <si>
    <t>é.pertencente.a</t>
  </si>
  <si>
    <t>"Indivíduo Conteiner Superior que representa Informações contidas no Projeto Específico 01"</t>
  </si>
  <si>
    <t>Cisterna Superior</t>
  </si>
  <si>
    <t>Cisterna Inferior</t>
  </si>
  <si>
    <t>Tubulação de Água Fria</t>
  </si>
  <si>
    <t>Cisterna Intermediária</t>
  </si>
  <si>
    <t>[ IfcTank ]</t>
  </si>
  <si>
    <t>[ OST_PipingSystem ]</t>
  </si>
  <si>
    <t>Acessório do sistema de agua como suportes, ganchos, pedestais, etc.</t>
  </si>
  <si>
    <t>[ IfcDistributionSystemDRAINAGE ]</t>
  </si>
  <si>
    <t>"[ OST_PipingSystem ]"</t>
  </si>
  <si>
    <t>Objetos_de_Combate_Incêndio</t>
  </si>
  <si>
    <t>Objetos de Sistemas de Combate de Incêndio</t>
  </si>
  <si>
    <t>Formalizar elementos do projeto BIM. Objetos específicos de Combate de Incêndio</t>
  </si>
  <si>
    <t>Formalizar elementos de proyecto BIM. Objetos específicos de Combate de Incendio</t>
  </si>
  <si>
    <t>Sistema.Incêndio</t>
  </si>
  <si>
    <t>Sistema.Combate</t>
  </si>
  <si>
    <t>Reserva.Superior</t>
  </si>
  <si>
    <t>Reserva.Inferior</t>
  </si>
  <si>
    <t>Tubulação.Sprinklers</t>
  </si>
  <si>
    <t>Sprinkler</t>
  </si>
  <si>
    <t>Alarme</t>
  </si>
  <si>
    <t>Dispositivo que sinaliza a existência de uma condição ou situação de perigo.</t>
  </si>
  <si>
    <t>Dispositivo que señala la existencia de una condición o situación de peligro.</t>
  </si>
  <si>
    <t>Alarme.Campainha</t>
  </si>
  <si>
    <t>Alarme sonoro.</t>
  </si>
  <si>
    <t>Alarma sonora.</t>
  </si>
  <si>
    <t>Alarme.Campainha.Caixa</t>
  </si>
  <si>
    <t>Mecanismo de ativação de alarme no qual um vidro de proteção precisa ser quebrado para permitir que o botão seja apertado.</t>
  </si>
  <si>
    <t>Mecanismo de activación de alarma en el que es necesario romper un cristal protector para permitir la pulsación del botón.</t>
  </si>
  <si>
    <t>Alarme.Lumínico</t>
  </si>
  <si>
    <t>Alarme visual luminoso.</t>
  </si>
  <si>
    <t>Alarma visual luminosa.</t>
  </si>
  <si>
    <t>Alarme.Caixa.Manual</t>
  </si>
  <si>
    <t>Mecanismo de ativação de alarme no qual a ativação se dá por uma ação de puxamento.</t>
  </si>
  <si>
    <t>Mecanismo de activación de alarma en el que la activación se produce mediante una acción de tracción.</t>
  </si>
  <si>
    <t>Alarme.Detonador</t>
  </si>
  <si>
    <t>Dispositivo do tamanho de uma moeda que é usado como um sinal de alerta alto para treinar maquinistas.</t>
  </si>
  <si>
    <t>Un dispositivo del tamaño de una moneda que se utiliza como señal de advertencia alta para entrenar a los conductores de trenes.</t>
  </si>
  <si>
    <t>Alarme.Sirene</t>
  </si>
  <si>
    <t>Alarme sonoro produzido por uma sirene.</t>
  </si>
  <si>
    <t>Alarma sonora producida por una sirena.</t>
  </si>
  <si>
    <t>Alarme.Apito</t>
  </si>
  <si>
    <t>Alarme sonoro produzido por um apito.</t>
  </si>
  <si>
    <t>Alarma sonora producida por un silbato.</t>
  </si>
  <si>
    <t>Terminal.Combate.Fogo</t>
  </si>
  <si>
    <t>Terminal de supressão de incêndio tem a finalidade de fornecer um fluido (gás ou líquido) que irá suprimir.</t>
  </si>
  <si>
    <t>El terminal de extinción de incendios tiene el propósito de proporcionar un fluido (gas o líquido) que suprimirá.</t>
  </si>
  <si>
    <t>Mangueira.Entrada</t>
  </si>
  <si>
    <t>Conexão de tubulação simétrico que une duas ou mais entradas num único tubo.</t>
  </si>
  <si>
    <t>Conexión de tubería simétrica que une dos o más entradas en una sola tubería.</t>
  </si>
  <si>
    <t>Mangueira.Carretel</t>
  </si>
  <si>
    <t>Estrutura de suporte na qual uma mangueira pode ser enrolada.</t>
  </si>
  <si>
    <t>Estructura de soporte en la que se puede enrollar una manguera.</t>
  </si>
  <si>
    <t>Mangueira.Canhão</t>
  </si>
  <si>
    <t>Monitor de incêndio.</t>
  </si>
  <si>
    <t>Monitor de incendios.</t>
  </si>
  <si>
    <t>Hidrante</t>
  </si>
  <si>
    <t>Dispositivo, instalado num tubo, através do qual um suprimento temporário de água pode ser fornecido.</t>
  </si>
  <si>
    <t>Un dispositivo, instalado en una tubería, a través del cual se puede suministrar un suministro temporal de agua.</t>
  </si>
  <si>
    <t>Dispositivo para aspergir água de um cano sob pressão sobre uma área.</t>
  </si>
  <si>
    <t>Un dispositivo para rociar agua de una tubería bajo presión sobre un área.</t>
  </si>
  <si>
    <t>Sprinkler.Defletor</t>
  </si>
  <si>
    <t>Dispositivo conectado a um aspersor para desviar o fluxo de água num padrão de propagação para cobrir o necessário.</t>
  </si>
  <si>
    <t>Dispositivo conectado a un aspersor para desviar el flujo de agua en un patrón de propagación para cubrir lo que se necesita.</t>
  </si>
  <si>
    <t>Acessório.Incêndio</t>
  </si>
  <si>
    <t>[ OST_FireAlarmDevices ]</t>
  </si>
  <si>
    <t>[ OST_FireProtection ]</t>
  </si>
  <si>
    <t>[ OST_SecurityDevices ]</t>
  </si>
  <si>
    <t>[ OST_Sprinklers ]</t>
  </si>
  <si>
    <t>[ IfcFireSuppressionTerminal ]</t>
  </si>
  <si>
    <t>Tubulação.Mangueira</t>
  </si>
  <si>
    <t>[ IfcAlarm ]</t>
  </si>
  <si>
    <t>[ IfcAlarmBELL ]</t>
  </si>
  <si>
    <t>[ IfcAlarmBREAKGLASSBUTTON ]</t>
  </si>
  <si>
    <t>[ IfcAlarmLIGHT ]</t>
  </si>
  <si>
    <t>[ IfcAlarmMANUALPULLBOX ]</t>
  </si>
  <si>
    <t>[ IfcAlarmRAILWAYDETONATOR ]</t>
  </si>
  <si>
    <t>[ IfcAlarmSIREN ]</t>
  </si>
  <si>
    <t>[ IfcAlarmWHISTLE ]</t>
  </si>
  <si>
    <t>[ IfcFireSuppressionTerminalBREECHINGINLET ]</t>
  </si>
  <si>
    <t>[ IfcFireSuppressionTerminalHOSEREEL ]</t>
  </si>
  <si>
    <t>[ IfcFireSuppressionTerminalFIREMONITOR ]</t>
  </si>
  <si>
    <t>[ IfcFireSuppressionTerminalFIREHYDRANT ]</t>
  </si>
  <si>
    <t>[ IfcFireSuppressionTerminalSPRINKLER ]</t>
  </si>
  <si>
    <t>[ IfcFireSuppressionTerminalSPRINKLERDEFLECTOR ]</t>
  </si>
  <si>
    <t>Sis_INC_01</t>
  </si>
  <si>
    <t>"Indivíduo Conteiner que representa um sistema de Combate a Incêndio do projeto"</t>
  </si>
  <si>
    <t>SPK_ID_453908</t>
  </si>
  <si>
    <t>SPK_ID_453909</t>
  </si>
  <si>
    <t>Sis_INC_02</t>
  </si>
  <si>
    <t>"Nome da empresa fabricante do produto."</t>
  </si>
  <si>
    <t>"Sistema de Incêndio 1 do Predio"</t>
  </si>
  <si>
    <t>"Sistema de Incêndio 2 do Predio"</t>
  </si>
  <si>
    <t>"[ OST_Sprinklers ]"</t>
  </si>
  <si>
    <t>"[ IfcFireSuppressionTerminalSPRINKLER ]"</t>
  </si>
  <si>
    <t>Acessório de Instalação de Incêndio</t>
  </si>
  <si>
    <t>Reserva Superior de Incêndio</t>
  </si>
  <si>
    <t>Reserva intermediária  de Incêndio</t>
  </si>
  <si>
    <t>Reserva Inferior de Incêndio</t>
  </si>
  <si>
    <t>Tubulação de Sprinklers</t>
  </si>
  <si>
    <t>Tubulação de Mangueiras</t>
  </si>
  <si>
    <t>Sprinkler com Defletor</t>
  </si>
  <si>
    <t>Sistema de Incêndio</t>
  </si>
  <si>
    <t>Sistema Combate</t>
  </si>
  <si>
    <t>Alarmes de Incêndio</t>
  </si>
  <si>
    <t>Peças de Incêndio</t>
  </si>
  <si>
    <t>Tubulação de Incêndio</t>
  </si>
  <si>
    <t>[ 3E.62 ]</t>
  </si>
  <si>
    <t>Sistema de Combate a Incêndio Predial</t>
  </si>
  <si>
    <t>Sistema de Combate a Incendio Predial</t>
  </si>
  <si>
    <t>Alarmes.de.Incêndio</t>
  </si>
  <si>
    <t>Peças.de.Incêndio</t>
  </si>
  <si>
    <t>Tubulação.de.Incêndio</t>
  </si>
  <si>
    <t>Reserva.Intermediária</t>
  </si>
  <si>
    <t>Define um contêiner de informação de acordo à norma NBR 19650-1. Definição do Projeto.</t>
  </si>
  <si>
    <t>Gestão</t>
  </si>
  <si>
    <t>Requisito.Espacial</t>
  </si>
  <si>
    <t>Define um contêiner de informação de acordo à norma NBR 19650-1. Requerimentos Espaciais para o Projeto.</t>
  </si>
  <si>
    <t>Requisito.Mobiliário</t>
  </si>
  <si>
    <t>Define um contêiner de informação de acordo à norma NBR 19650-1. Requerimentos Mobiliários para o Projeto.</t>
  </si>
  <si>
    <t>Requisito.Equipamento</t>
  </si>
  <si>
    <t>Define um contêiner de informação de acordo à norma NBR 19650-1. Requerimentos Equipamentos para o Projeto.</t>
  </si>
  <si>
    <t>Requisito.Sistemas</t>
  </si>
  <si>
    <t>Define um contêiner de informação de acordo à norma NBR 19650-1. Requerimentos de Sistemas Prediais para o Projeto.</t>
  </si>
  <si>
    <t>quem.fabricou</t>
  </si>
  <si>
    <t>quem.forneceu</t>
  </si>
  <si>
    <t>Contêineres</t>
  </si>
  <si>
    <t>[ 5I ]</t>
  </si>
  <si>
    <t>Detetor.de.Fumaça</t>
  </si>
  <si>
    <t>Detetor de fumação.</t>
  </si>
  <si>
    <t>Detector de humo.</t>
  </si>
  <si>
    <t>Projeto</t>
  </si>
  <si>
    <t>De.Incêndio</t>
  </si>
  <si>
    <t>Porta corta-fogo que fechada impede a passagem de fogo e fumaça.</t>
  </si>
  <si>
    <t>[ OST_Doors ]</t>
  </si>
  <si>
    <t>[ IfcDoor ]</t>
  </si>
  <si>
    <t>Incêndio</t>
  </si>
  <si>
    <t>Vedação corta-fogo</t>
  </si>
  <si>
    <t>Porta corta-fogo</t>
  </si>
  <si>
    <t>Vedação.CF</t>
  </si>
  <si>
    <t>Porta.CF</t>
  </si>
  <si>
    <t>Shaft.CF</t>
  </si>
  <si>
    <t>Selagem ao Fogo</t>
  </si>
  <si>
    <t>Shaft corta-fogo</t>
  </si>
  <si>
    <t>Paredes e divisórias que limitam a propagação das chamas graças às suas propriedades de resistência ao fogo, projetadas especificamente para essa função.</t>
  </si>
  <si>
    <t>Shafts e passagens verticais projetados com selagem intumescente, dumpers antifumaça e barreiras corta-fogo em cada pavimento.</t>
  </si>
  <si>
    <t>Sistemas.Passivos</t>
  </si>
  <si>
    <t>De.Selagem</t>
  </si>
  <si>
    <t>Sistemas.Ativos</t>
  </si>
  <si>
    <t>De.Combate</t>
  </si>
  <si>
    <t>Sprinkler.Pendente</t>
  </si>
  <si>
    <t xml:space="preserve">Sprinkler.Upright </t>
  </si>
  <si>
    <t>Sprinkler.Lateral</t>
  </si>
  <si>
    <t>Sprinkler Pendente</t>
  </si>
  <si>
    <t xml:space="preserve">Sprinkler Upright </t>
  </si>
  <si>
    <t>Sprinkler Lateral</t>
  </si>
  <si>
    <t>De Combate ao Fogo</t>
  </si>
  <si>
    <t>Sprinkler Pendente é um chuveiro automático instalado no teto com o jato de água para baixo.</t>
  </si>
  <si>
    <t>Sprinkler Upright é um chuveiro automático instalado em tubulação exposta abaixo do teto com o jato de água para cima.</t>
  </si>
  <si>
    <t>Sprinkler Lateral é um chuveiro automático instalado em paredes, ideal para corredores.</t>
  </si>
  <si>
    <t>[ OST_Walls ]</t>
  </si>
  <si>
    <t>[ null ]</t>
  </si>
  <si>
    <t>[ IfcPipeSegment : IfcPipeFitting ]</t>
  </si>
  <si>
    <t>[ IfcFireSuppressionTerminalSPRINKLER : IfcPipeSegment : IfcPipeFitting]</t>
  </si>
  <si>
    <t>[ OST_PipingSystem : OST_PipeSegments : OST_PipeFitting : OST_PipeCurves : OST_PipeConnections : OST_PipeFittingInsulation ]</t>
  </si>
  <si>
    <t>[ OST_Sprinklers : OST_PipingSystem : OST_PipeSegments : OST_PipeFitting : OST_PipeCurves : OST_PipeConnections : OST_PipeFittingInsulation ]]</t>
  </si>
  <si>
    <t>SPK_ID_678250</t>
  </si>
  <si>
    <t>SPK_ID_678251</t>
  </si>
  <si>
    <t>SPK_ID_678252</t>
  </si>
  <si>
    <t>SPK_ID_678253</t>
  </si>
  <si>
    <t>SPK_ID_678256</t>
  </si>
  <si>
    <t>SPK_ID_678254</t>
  </si>
  <si>
    <t>SPK_ID_678255</t>
  </si>
  <si>
    <t>SPK_ID_678257</t>
  </si>
  <si>
    <t>SPK_ID_678258</t>
  </si>
  <si>
    <t>SPK_ID_678259</t>
  </si>
  <si>
    <t>SPK_ID_678260</t>
  </si>
  <si>
    <t>SPK_ID_678261</t>
  </si>
  <si>
    <t>Sis_Ativo_01</t>
  </si>
  <si>
    <t>Sis_Ativo_02</t>
  </si>
  <si>
    <t>"[ IfcFireSuppressionTerminalSPRINKLER : IfcPipeSegment : IfcPipeFitting ]"</t>
  </si>
  <si>
    <t>"[ OST_Sprinklers : OST_PipeSegments : OST_PipeFitting ]"</t>
  </si>
  <si>
    <t>"[ 3E.62.04 ]"</t>
  </si>
  <si>
    <t>DET_ID_678342</t>
  </si>
  <si>
    <t>DET_ID_678221</t>
  </si>
  <si>
    <t>De Deteção de Fumaça</t>
  </si>
  <si>
    <t>De.Detecção</t>
  </si>
  <si>
    <t>Detector.Iônico</t>
  </si>
  <si>
    <t>Detector.Óptico</t>
  </si>
  <si>
    <t>Detector.Aspiração</t>
  </si>
  <si>
    <t>Detector.Lineal</t>
  </si>
  <si>
    <t>Detector.Combinado</t>
  </si>
  <si>
    <t>Detector de fumaça iônico</t>
  </si>
  <si>
    <t>Detector de fumaça óptico</t>
  </si>
  <si>
    <t>Detector de fumaça por aspiração</t>
  </si>
  <si>
    <t>Detector de fumaça lineal</t>
  </si>
  <si>
    <t>Detector de fumaça combinado</t>
  </si>
  <si>
    <t>Detector que integra detecção de fumaça e calor no mesmo dispositivo. Aumenta a confiabilidade, sendo indicado para ambientes industriais ou com variações de temperatura.</t>
  </si>
  <si>
    <t>Detecta graças a um feixe de luz (laser ou infravermelho) entre emissor e receptor.</t>
  </si>
  <si>
    <t>Detecta usando uma rede de tubos que aspira continuamente o ar do ambiente. Detecta partículas muito pequenas, permitindo detecção precoce. Ideal para data centers, museus, bibliotecas e ambientes críticos.</t>
  </si>
  <si>
    <t>Detecta fumaça por meio da dispersão da luz em uma câmara interna. Mais eficaz em incêndios de combustão lenta (fumaça densa). É o tipo mais comum em edifícios residenciais e comerciais.</t>
  </si>
  <si>
    <t>Detecta partículas muito pequenas de fumaça em incêndios de combustão rápida.</t>
  </si>
  <si>
    <t>"Sistema Ativo para detecção de fumaça"</t>
  </si>
  <si>
    <t>"[ 3E.62.20 ]"</t>
  </si>
  <si>
    <t>"[ IfcSensorSMOKESENSOR ]"</t>
  </si>
  <si>
    <t>"[ OST_FireProtection ]"</t>
  </si>
  <si>
    <t>"Instância de Detector de fumaça do sistema INC02 pode ser individualizado pelo ID de Revit ou pelo indentificador IfcGlobalId de IFC"</t>
  </si>
  <si>
    <t>"Instância de Sprinkler do sistema INC02 pode ser individualizado pelo ID de Revit ou pelo indentificador IfcGlobalId de IFC"</t>
  </si>
  <si>
    <t>"Instância de Sprinkler do sistema INC01 pode ser individualizado pelo ID de Revit ou pelo indentificador IfcGlobalId de IFC"</t>
  </si>
  <si>
    <t>"Betta Sistemas Eletrônicos"</t>
  </si>
  <si>
    <t>"Sistema Ativo de Extinção de Incêndio"</t>
  </si>
  <si>
    <t>Conceitos</t>
  </si>
  <si>
    <t>Sistemas.Prediais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</si>
</sst>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"/>
      <family val="2"/>
    </font>
    <font>
      <sz val="8"/>
      <color theme="1"/>
      <name val="Arial Nova Cond Light"/>
      <family val="2"/>
    </font>
    <font>
      <sz val="6"/>
      <color rgb="FF000000"/>
      <name val="Aptos Narrow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9" tint="0.79998168889431442"/>
        <bgColor rgb="FF00000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5" borderId="4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vertical="center"/>
    </xf>
    <xf numFmtId="0" fontId="4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vertical="center"/>
    </xf>
    <xf numFmtId="0" fontId="6" fillId="12" borderId="4" xfId="0" applyFont="1" applyFill="1" applyBorder="1" applyAlignment="1">
      <alignment horizontal="left" vertical="center"/>
    </xf>
    <xf numFmtId="0" fontId="4" fillId="12" borderId="4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14" borderId="4" xfId="0" applyFont="1" applyFill="1" applyBorder="1" applyAlignment="1">
      <alignment horizontal="left" vertical="center" wrapText="1"/>
    </xf>
    <xf numFmtId="0" fontId="3" fillId="15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 wrapText="1"/>
    </xf>
    <xf numFmtId="0" fontId="2" fillId="16" borderId="4" xfId="0" applyFont="1" applyFill="1" applyBorder="1" applyAlignment="1">
      <alignment horizontal="left" vertical="center"/>
    </xf>
    <xf numFmtId="0" fontId="3" fillId="14" borderId="4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2" fillId="19" borderId="4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8" fillId="2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2" fillId="5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vertical="center" wrapText="1"/>
    </xf>
    <xf numFmtId="0" fontId="8" fillId="8" borderId="4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/>
    </xf>
    <xf numFmtId="0" fontId="4" fillId="21" borderId="4" xfId="0" applyFont="1" applyFill="1" applyBorder="1" applyAlignment="1">
      <alignment vertical="center"/>
    </xf>
    <xf numFmtId="0" fontId="4" fillId="20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5" borderId="4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2" fillId="23" borderId="4" xfId="0" applyFont="1" applyFill="1" applyBorder="1" applyAlignment="1">
      <alignment horizontal="left" vertical="center"/>
    </xf>
    <xf numFmtId="0" fontId="2" fillId="17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16" borderId="4" xfId="0" applyFont="1" applyFill="1" applyBorder="1" applyAlignment="1">
      <alignment vertical="center"/>
    </xf>
    <xf numFmtId="0" fontId="4" fillId="24" borderId="4" xfId="0" applyFont="1" applyFill="1" applyBorder="1" applyAlignment="1">
      <alignment horizontal="left" vertical="center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  <color rgb="FFFDF2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4" displayName="Tabla4" ref="A1:U3" totalsRowShown="0">
  <tableColumns count="21">
    <tableColumn id="1" xr3:uid="{00000000-0010-0000-0000-000001000000}" name="1"/>
    <tableColumn id="2" xr3:uid="{00000000-0010-0000-0000-000002000000}" name="Disjunta 1"/>
    <tableColumn id="3" xr3:uid="{00000000-0010-0000-0000-000003000000}" name="Disjunta 2"/>
    <tableColumn id="4" xr3:uid="{00000000-0010-0000-0000-000004000000}" name="Disjunta 3"/>
    <tableColumn id="5" xr3:uid="{00000000-0010-0000-0000-000005000000}" name="Disjunta 4"/>
    <tableColumn id="6" xr3:uid="{00000000-0010-0000-0000-000006000000}" name="Disjunta 5"/>
    <tableColumn id="7" xr3:uid="{00000000-0010-0000-0000-000007000000}" name="Disjunta 6"/>
    <tableColumn id="8" xr3:uid="{00000000-0010-0000-0000-000008000000}" name="Disjunta 7"/>
    <tableColumn id="9" xr3:uid="{00000000-0010-0000-0000-000009000000}" name="Disjunta 8"/>
    <tableColumn id="10" xr3:uid="{00000000-0010-0000-0000-00000A000000}" name="Disjunta 9"/>
    <tableColumn id="11" xr3:uid="{00000000-0010-0000-0000-00000B000000}" name="Disjunta 10"/>
    <tableColumn id="12" xr3:uid="{00000000-0010-0000-0000-00000C000000}" name="Disjunta 11"/>
    <tableColumn id="13" xr3:uid="{00000000-0010-0000-0000-00000D000000}" name="Disjunta 12"/>
    <tableColumn id="14" xr3:uid="{00000000-0010-0000-0000-00000E000000}" name="Disjunta 13"/>
    <tableColumn id="15" xr3:uid="{00000000-0010-0000-0000-00000F000000}" name="Disjunta 14"/>
    <tableColumn id="16" xr3:uid="{00000000-0010-0000-0000-000010000000}" name="Disjunta 15"/>
    <tableColumn id="17" xr3:uid="{00000000-0010-0000-0000-000011000000}" name="Disjunta 16"/>
    <tableColumn id="18" xr3:uid="{00000000-0010-0000-0000-000012000000}" name="Disjunta 17"/>
    <tableColumn id="19" xr3:uid="{00000000-0010-0000-0000-000013000000}" name="Disjunta 18"/>
    <tableColumn id="20" xr3:uid="{00000000-0010-0000-0000-000014000000}" name="Disjunta 19"/>
    <tableColumn id="21" xr3:uid="{00000000-0010-0000-0000-000015000000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4"/>
  <sheetViews>
    <sheetView zoomScale="175" zoomScaleNormal="175" workbookViewId="0">
      <pane ySplit="1" topLeftCell="A2" activePane="bottomLeft" state="frozen"/>
      <selection pane="bottomLeft" activeCell="B24" sqref="B24"/>
    </sheetView>
  </sheetViews>
  <sheetFormatPr defaultColWidth="9.15234375" defaultRowHeight="9.75" customHeight="1" x14ac:dyDescent="0.4"/>
  <cols>
    <col min="1" max="1" width="8.69140625" style="56" customWidth="1"/>
    <col min="2" max="2" width="40.15234375" style="56" customWidth="1"/>
    <col min="3" max="3" width="3.3828125" style="41" bestFit="1" customWidth="1"/>
    <col min="4" max="16384" width="9.15234375" style="56"/>
  </cols>
  <sheetData>
    <row r="1" spans="1:3" ht="20.25" customHeight="1" x14ac:dyDescent="0.4">
      <c r="A1" s="12" t="s">
        <v>44</v>
      </c>
      <c r="B1" s="12" t="s">
        <v>45</v>
      </c>
      <c r="C1" s="39" t="s">
        <v>92</v>
      </c>
    </row>
    <row r="2" spans="1:3" ht="9" customHeight="1" x14ac:dyDescent="0.4">
      <c r="A2" s="13" t="s">
        <v>46</v>
      </c>
      <c r="B2" s="13" t="s">
        <v>47</v>
      </c>
      <c r="C2" s="40" t="s">
        <v>93</v>
      </c>
    </row>
    <row r="3" spans="1:3" ht="9" customHeight="1" x14ac:dyDescent="0.4">
      <c r="A3" s="13" t="s">
        <v>48</v>
      </c>
      <c r="B3" s="13" t="s">
        <v>115</v>
      </c>
      <c r="C3" s="40" t="s">
        <v>93</v>
      </c>
    </row>
    <row r="4" spans="1:3" ht="9" customHeight="1" x14ac:dyDescent="0.4">
      <c r="A4" s="14" t="s">
        <v>49</v>
      </c>
      <c r="B4" s="14" t="s">
        <v>32</v>
      </c>
      <c r="C4" s="40" t="s">
        <v>93</v>
      </c>
    </row>
    <row r="5" spans="1:3" ht="9" customHeight="1" x14ac:dyDescent="0.4">
      <c r="A5" s="14" t="s">
        <v>50</v>
      </c>
      <c r="B5" s="14" t="str">
        <f>_xlfn.CONCAT(B4,"Prop")</f>
        <v>BIMProp</v>
      </c>
      <c r="C5" s="40" t="s">
        <v>93</v>
      </c>
    </row>
    <row r="6" spans="1:3" ht="9" customHeight="1" x14ac:dyDescent="0.4">
      <c r="A6" s="14" t="s">
        <v>51</v>
      </c>
      <c r="B6" s="14" t="str">
        <f>_xlfn.CONCAT(B4,"Data")</f>
        <v>BIMData</v>
      </c>
      <c r="C6" s="40" t="s">
        <v>93</v>
      </c>
    </row>
    <row r="7" spans="1:3" ht="9" customHeight="1" x14ac:dyDescent="0.4">
      <c r="A7" s="14" t="s">
        <v>52</v>
      </c>
      <c r="B7" s="14" t="s">
        <v>53</v>
      </c>
      <c r="C7" s="40" t="s">
        <v>93</v>
      </c>
    </row>
    <row r="8" spans="1:3" s="38" customFormat="1" ht="9" customHeight="1" x14ac:dyDescent="0.4">
      <c r="A8" s="37" t="s">
        <v>54</v>
      </c>
      <c r="B8" s="37" t="s">
        <v>90</v>
      </c>
      <c r="C8" s="40" t="s">
        <v>93</v>
      </c>
    </row>
    <row r="9" spans="1:3" ht="9" customHeight="1" x14ac:dyDescent="0.4">
      <c r="A9" s="14" t="s">
        <v>55</v>
      </c>
      <c r="B9" s="14" t="s">
        <v>56</v>
      </c>
      <c r="C9" s="40" t="s">
        <v>93</v>
      </c>
    </row>
    <row r="10" spans="1:3" ht="9" customHeight="1" x14ac:dyDescent="0.4">
      <c r="A10" s="14" t="s">
        <v>57</v>
      </c>
      <c r="B10" s="14" t="s">
        <v>58</v>
      </c>
      <c r="C10" s="40" t="s">
        <v>93</v>
      </c>
    </row>
    <row r="11" spans="1:3" ht="9" customHeight="1" x14ac:dyDescent="0.4">
      <c r="A11" s="14" t="s">
        <v>59</v>
      </c>
      <c r="B11" s="14" t="s">
        <v>58</v>
      </c>
      <c r="C11" s="40" t="s">
        <v>93</v>
      </c>
    </row>
    <row r="12" spans="1:3" ht="9" customHeight="1" x14ac:dyDescent="0.4">
      <c r="A12" s="14" t="s">
        <v>60</v>
      </c>
      <c r="B12" s="14" t="s">
        <v>58</v>
      </c>
      <c r="C12" s="40" t="s">
        <v>93</v>
      </c>
    </row>
    <row r="13" spans="1:3" ht="9" customHeight="1" x14ac:dyDescent="0.4">
      <c r="A13" s="14" t="s">
        <v>61</v>
      </c>
      <c r="B13" s="14" t="s">
        <v>58</v>
      </c>
      <c r="C13" s="40" t="s">
        <v>93</v>
      </c>
    </row>
    <row r="14" spans="1:3" ht="9" customHeight="1" x14ac:dyDescent="0.4">
      <c r="A14" s="14" t="s">
        <v>62</v>
      </c>
      <c r="B14" s="14" t="s">
        <v>58</v>
      </c>
      <c r="C14" s="40" t="s">
        <v>93</v>
      </c>
    </row>
    <row r="15" spans="1:3" ht="9" customHeight="1" x14ac:dyDescent="0.4">
      <c r="A15" s="14" t="s">
        <v>63</v>
      </c>
      <c r="B15" s="14" t="s">
        <v>58</v>
      </c>
      <c r="C15" s="40" t="s">
        <v>93</v>
      </c>
    </row>
    <row r="16" spans="1:3" ht="9" customHeight="1" x14ac:dyDescent="0.4">
      <c r="A16" s="14" t="s">
        <v>64</v>
      </c>
      <c r="B16" s="14" t="s">
        <v>58</v>
      </c>
      <c r="C16" s="40" t="s">
        <v>93</v>
      </c>
    </row>
    <row r="17" spans="1:3" ht="9" customHeight="1" x14ac:dyDescent="0.4">
      <c r="A17" s="14" t="s">
        <v>65</v>
      </c>
      <c r="B17" s="14" t="s">
        <v>116</v>
      </c>
      <c r="C17" s="40" t="s">
        <v>93</v>
      </c>
    </row>
    <row r="18" spans="1:3" ht="9" customHeight="1" x14ac:dyDescent="0.4">
      <c r="A18" s="14" t="s">
        <v>66</v>
      </c>
      <c r="B18" s="15">
        <f ca="1">NOW()</f>
        <v>46243.524946064812</v>
      </c>
      <c r="C18" s="40" t="s">
        <v>93</v>
      </c>
    </row>
    <row r="19" spans="1:3" ht="9" customHeight="1" x14ac:dyDescent="0.4">
      <c r="A19" s="14" t="s">
        <v>67</v>
      </c>
      <c r="B19" s="15" t="s">
        <v>68</v>
      </c>
      <c r="C19" s="40" t="s">
        <v>93</v>
      </c>
    </row>
    <row r="20" spans="1:3" ht="9" customHeight="1" x14ac:dyDescent="0.4">
      <c r="A20" s="14" t="s">
        <v>69</v>
      </c>
      <c r="B20" s="14" t="s">
        <v>58</v>
      </c>
      <c r="C20" s="40" t="s">
        <v>93</v>
      </c>
    </row>
    <row r="21" spans="1:3" ht="9" customHeight="1" x14ac:dyDescent="0.4">
      <c r="A21" s="14" t="s">
        <v>70</v>
      </c>
      <c r="B21" s="14" t="s">
        <v>58</v>
      </c>
      <c r="C21" s="40" t="s">
        <v>93</v>
      </c>
    </row>
    <row r="22" spans="1:3" ht="9" customHeight="1" x14ac:dyDescent="0.4">
      <c r="A22" s="14" t="s">
        <v>71</v>
      </c>
      <c r="B22" s="16" t="s">
        <v>117</v>
      </c>
      <c r="C22" s="40" t="s">
        <v>93</v>
      </c>
    </row>
    <row r="23" spans="1:3" ht="9" customHeight="1" x14ac:dyDescent="0.4">
      <c r="A23" s="14" t="s">
        <v>72</v>
      </c>
      <c r="B23" s="16" t="s">
        <v>118</v>
      </c>
      <c r="C23" s="40" t="s">
        <v>94</v>
      </c>
    </row>
    <row r="24" spans="1:3" s="38" customFormat="1" ht="9" customHeight="1" x14ac:dyDescent="0.4">
      <c r="A24" s="14" t="s">
        <v>91</v>
      </c>
      <c r="B24" s="16" t="str">
        <f>_xlfn.TRANSLATE(B22,"pt","en")</f>
        <v>Formalize elements of the BIM project. Specific Fire Fighting Objects</v>
      </c>
      <c r="C24" s="40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2D63-9637-42D9-866B-0BB924A50D8C}">
  <sheetPr codeName="Planilha2"/>
  <dimension ref="A1:AA40"/>
  <sheetViews>
    <sheetView tabSelected="1" zoomScale="205" zoomScaleNormal="205" workbookViewId="0">
      <pane ySplit="1" topLeftCell="A2" activePane="bottomLeft" state="frozen"/>
      <selection activeCell="A179" sqref="A179:XFD190"/>
      <selection pane="bottomLeft" activeCell="C30" sqref="C30"/>
    </sheetView>
  </sheetViews>
  <sheetFormatPr defaultColWidth="9.15234375" defaultRowHeight="6.65" customHeight="1" x14ac:dyDescent="0.4"/>
  <cols>
    <col min="1" max="1" width="2.3828125" bestFit="1" customWidth="1"/>
    <col min="2" max="2" width="5.84375" style="54" bestFit="1" customWidth="1"/>
    <col min="3" max="3" width="8.84375" style="54" bestFit="1" customWidth="1"/>
    <col min="4" max="4" width="8.69140625" style="54" customWidth="1"/>
    <col min="5" max="5" width="10" style="54" customWidth="1"/>
    <col min="6" max="6" width="10.15234375" style="62" customWidth="1"/>
    <col min="7" max="11" width="6.69140625" style="54" customWidth="1"/>
    <col min="12" max="12" width="8.84375" style="54" bestFit="1" customWidth="1"/>
    <col min="13" max="13" width="8" style="54" bestFit="1" customWidth="1"/>
    <col min="14" max="14" width="12.3828125" style="54" bestFit="1" customWidth="1"/>
    <col min="15" max="15" width="15.69140625" style="54" customWidth="1"/>
    <col min="16" max="16" width="83.84375" style="54" customWidth="1"/>
    <col min="17" max="17" width="88.69140625" style="54" customWidth="1"/>
    <col min="18" max="18" width="3.69140625" style="54" bestFit="1" customWidth="1"/>
    <col min="19" max="19" width="8.84375" style="54" bestFit="1" customWidth="1"/>
    <col min="20" max="20" width="7.15234375" style="54" bestFit="1" customWidth="1"/>
    <col min="21" max="21" width="10.3828125" style="54" customWidth="1"/>
    <col min="22" max="22" width="4.69140625" style="54" customWidth="1"/>
    <col min="23" max="23" width="7.15234375" style="54" bestFit="1" customWidth="1"/>
    <col min="24" max="24" width="65.84375" style="54" customWidth="1"/>
    <col min="25" max="25" width="35.53515625" style="55" customWidth="1"/>
    <col min="26" max="26" width="5.53515625" style="54" customWidth="1"/>
    <col min="27" max="27" width="82.15234375" style="54" customWidth="1"/>
    <col min="28" max="16384" width="9.15234375" style="54"/>
  </cols>
  <sheetData>
    <row r="1" spans="1:27" ht="55.5" customHeight="1" x14ac:dyDescent="0.4">
      <c r="A1" s="43" t="s">
        <v>96</v>
      </c>
      <c r="B1" s="44" t="s">
        <v>42</v>
      </c>
      <c r="C1" s="44" t="s">
        <v>40</v>
      </c>
      <c r="D1" s="44" t="s">
        <v>41</v>
      </c>
      <c r="E1" s="44" t="s">
        <v>39</v>
      </c>
      <c r="F1" s="44" t="s">
        <v>36</v>
      </c>
      <c r="G1" s="45" t="s">
        <v>0</v>
      </c>
      <c r="H1" s="45" t="s">
        <v>1</v>
      </c>
      <c r="I1" s="45" t="s">
        <v>2</v>
      </c>
      <c r="J1" s="45" t="s">
        <v>3</v>
      </c>
      <c r="K1" s="45" t="s">
        <v>4</v>
      </c>
      <c r="L1" s="35" t="s">
        <v>97</v>
      </c>
      <c r="M1" s="35" t="s">
        <v>5</v>
      </c>
      <c r="N1" s="35" t="s">
        <v>6</v>
      </c>
      <c r="O1" s="35" t="s">
        <v>7</v>
      </c>
      <c r="P1" s="35" t="s">
        <v>37</v>
      </c>
      <c r="Q1" s="35" t="s">
        <v>43</v>
      </c>
      <c r="R1" s="35" t="s">
        <v>98</v>
      </c>
      <c r="S1" s="35" t="s">
        <v>33</v>
      </c>
      <c r="T1" s="35" t="s">
        <v>38</v>
      </c>
      <c r="U1" s="46" t="s">
        <v>35</v>
      </c>
      <c r="V1" s="35" t="s">
        <v>34</v>
      </c>
      <c r="W1" s="58" t="s">
        <v>8</v>
      </c>
      <c r="X1" s="35" t="s">
        <v>86</v>
      </c>
      <c r="Y1" s="35" t="s">
        <v>87</v>
      </c>
      <c r="Z1" s="35" t="s">
        <v>88</v>
      </c>
      <c r="AA1" s="36" t="s">
        <v>89</v>
      </c>
    </row>
    <row r="2" spans="1:27" ht="6" customHeight="1" x14ac:dyDescent="0.4">
      <c r="A2" s="60">
        <v>2</v>
      </c>
      <c r="B2" s="1" t="s">
        <v>316</v>
      </c>
      <c r="C2" s="1" t="s">
        <v>220</v>
      </c>
      <c r="D2" s="1" t="s">
        <v>84</v>
      </c>
      <c r="E2" s="57" t="s">
        <v>231</v>
      </c>
      <c r="F2" s="57" t="s">
        <v>83</v>
      </c>
      <c r="G2" s="61" t="s">
        <v>9</v>
      </c>
      <c r="H2" s="61" t="s">
        <v>9</v>
      </c>
      <c r="I2" s="61" t="s">
        <v>9</v>
      </c>
      <c r="J2" s="61" t="s">
        <v>9</v>
      </c>
      <c r="K2" s="61" t="s">
        <v>9</v>
      </c>
      <c r="L2" s="33" t="str">
        <f t="shared" ref="L2:M6" si="0">CONCATENATE("", C2)</f>
        <v>Gestão</v>
      </c>
      <c r="M2" s="33" t="str">
        <f t="shared" si="0"/>
        <v>Informação</v>
      </c>
      <c r="N2" s="33" t="str">
        <f t="shared" ref="N2:O6" si="1">(SUBSTITUTE(SUBSTITUTE(CONCATENATE("",E2),"."," ")," De "," de "))</f>
        <v>Contêineres</v>
      </c>
      <c r="O2" s="33" t="str">
        <f t="shared" si="1"/>
        <v>Contêiner</v>
      </c>
      <c r="P2" s="30" t="s">
        <v>219</v>
      </c>
      <c r="Q2" s="30" t="s">
        <v>85</v>
      </c>
      <c r="R2" s="30" t="s">
        <v>9</v>
      </c>
      <c r="S2" s="30" t="str">
        <f t="shared" ref="S2:U6" si="2">SUBSTITUTE(C2, ".", " ")</f>
        <v>Gestão</v>
      </c>
      <c r="T2" s="30" t="str">
        <f t="shared" si="2"/>
        <v>Informação</v>
      </c>
      <c r="U2" s="30" t="str">
        <f t="shared" si="2"/>
        <v>Contêineres</v>
      </c>
      <c r="V2" s="30" t="s">
        <v>241</v>
      </c>
      <c r="W2" s="59" t="str">
        <f t="shared" ref="W2:W32" si="3">CONCATENATE("Key-INC-",A2)</f>
        <v>Key-INC-2</v>
      </c>
      <c r="X2" s="30" t="s">
        <v>9</v>
      </c>
      <c r="Y2" s="30" t="s">
        <v>9</v>
      </c>
      <c r="Z2" s="30" t="s">
        <v>232</v>
      </c>
      <c r="AA2" s="30" t="str">
        <f t="shared" ref="AA2:AA40" si="4">_xlfn.TRANSLATE(P2,"pt","en")</f>
        <v>Defines an information container in accordance with the NBR 19650-1 standard. Project Definition.</v>
      </c>
    </row>
    <row r="3" spans="1:27" ht="6" customHeight="1" x14ac:dyDescent="0.4">
      <c r="A3" s="60">
        <v>3</v>
      </c>
      <c r="B3" s="1" t="s">
        <v>316</v>
      </c>
      <c r="C3" s="1" t="s">
        <v>220</v>
      </c>
      <c r="D3" s="1" t="s">
        <v>84</v>
      </c>
      <c r="E3" s="57" t="s">
        <v>231</v>
      </c>
      <c r="F3" s="57" t="s">
        <v>221</v>
      </c>
      <c r="G3" s="61" t="s">
        <v>9</v>
      </c>
      <c r="H3" s="61" t="s">
        <v>9</v>
      </c>
      <c r="I3" s="61" t="s">
        <v>9</v>
      </c>
      <c r="J3" s="61" t="s">
        <v>9</v>
      </c>
      <c r="K3" s="61" t="s">
        <v>9</v>
      </c>
      <c r="L3" s="33" t="str">
        <f t="shared" si="0"/>
        <v>Gestão</v>
      </c>
      <c r="M3" s="33" t="str">
        <f t="shared" si="0"/>
        <v>Informação</v>
      </c>
      <c r="N3" s="33" t="str">
        <f t="shared" si="1"/>
        <v>Contêineres</v>
      </c>
      <c r="O3" s="33" t="str">
        <f t="shared" si="1"/>
        <v>Requisito Espacial</v>
      </c>
      <c r="P3" s="30" t="s">
        <v>222</v>
      </c>
      <c r="Q3" s="30" t="s">
        <v>85</v>
      </c>
      <c r="R3" s="30" t="s">
        <v>9</v>
      </c>
      <c r="S3" s="30" t="str">
        <f t="shared" si="2"/>
        <v>Gestão</v>
      </c>
      <c r="T3" s="30" t="str">
        <f t="shared" si="2"/>
        <v>Informação</v>
      </c>
      <c r="U3" s="30" t="str">
        <f t="shared" si="2"/>
        <v>Contêineres</v>
      </c>
      <c r="V3" s="30" t="s">
        <v>241</v>
      </c>
      <c r="W3" s="59" t="str">
        <f t="shared" si="3"/>
        <v>Key-INC-3</v>
      </c>
      <c r="X3" s="30" t="s">
        <v>9</v>
      </c>
      <c r="Y3" s="30" t="s">
        <v>9</v>
      </c>
      <c r="Z3" s="30" t="s">
        <v>9</v>
      </c>
      <c r="AA3" s="30" t="str">
        <f t="shared" si="4"/>
        <v>Defines an information container in accordance with the NBR 19650-1 standard. Spatial Requirements for the Project.</v>
      </c>
    </row>
    <row r="4" spans="1:27" ht="6" customHeight="1" x14ac:dyDescent="0.4">
      <c r="A4" s="60">
        <v>4</v>
      </c>
      <c r="B4" s="1" t="s">
        <v>316</v>
      </c>
      <c r="C4" s="1" t="s">
        <v>220</v>
      </c>
      <c r="D4" s="1" t="s">
        <v>84</v>
      </c>
      <c r="E4" s="57" t="s">
        <v>231</v>
      </c>
      <c r="F4" s="57" t="s">
        <v>223</v>
      </c>
      <c r="G4" s="61" t="s">
        <v>9</v>
      </c>
      <c r="H4" s="61" t="s">
        <v>9</v>
      </c>
      <c r="I4" s="61" t="s">
        <v>9</v>
      </c>
      <c r="J4" s="61" t="s">
        <v>9</v>
      </c>
      <c r="K4" s="61" t="s">
        <v>9</v>
      </c>
      <c r="L4" s="33" t="str">
        <f t="shared" si="0"/>
        <v>Gestão</v>
      </c>
      <c r="M4" s="33" t="str">
        <f t="shared" si="0"/>
        <v>Informação</v>
      </c>
      <c r="N4" s="33" t="str">
        <f t="shared" si="1"/>
        <v>Contêineres</v>
      </c>
      <c r="O4" s="33" t="str">
        <f t="shared" si="1"/>
        <v>Requisito Mobiliário</v>
      </c>
      <c r="P4" s="30" t="s">
        <v>224</v>
      </c>
      <c r="Q4" s="30" t="s">
        <v>85</v>
      </c>
      <c r="R4" s="30" t="s">
        <v>9</v>
      </c>
      <c r="S4" s="30" t="str">
        <f t="shared" si="2"/>
        <v>Gestão</v>
      </c>
      <c r="T4" s="30" t="str">
        <f t="shared" si="2"/>
        <v>Informação</v>
      </c>
      <c r="U4" s="30" t="str">
        <f t="shared" si="2"/>
        <v>Contêineres</v>
      </c>
      <c r="V4" s="30" t="s">
        <v>241</v>
      </c>
      <c r="W4" s="59" t="str">
        <f t="shared" si="3"/>
        <v>Key-INC-4</v>
      </c>
      <c r="X4" s="30" t="s">
        <v>9</v>
      </c>
      <c r="Y4" s="30" t="s">
        <v>9</v>
      </c>
      <c r="Z4" s="30" t="s">
        <v>9</v>
      </c>
      <c r="AA4" s="30" t="str">
        <f t="shared" si="4"/>
        <v>Defines an information container in accordance with the NBR 19650-1 standard. Furniture Requirements for the Project.</v>
      </c>
    </row>
    <row r="5" spans="1:27" ht="6" customHeight="1" x14ac:dyDescent="0.4">
      <c r="A5" s="60">
        <v>5</v>
      </c>
      <c r="B5" s="1" t="s">
        <v>316</v>
      </c>
      <c r="C5" s="1" t="s">
        <v>220</v>
      </c>
      <c r="D5" s="1" t="s">
        <v>84</v>
      </c>
      <c r="E5" s="57" t="s">
        <v>231</v>
      </c>
      <c r="F5" s="57" t="s">
        <v>225</v>
      </c>
      <c r="G5" s="61" t="s">
        <v>9</v>
      </c>
      <c r="H5" s="61" t="s">
        <v>9</v>
      </c>
      <c r="I5" s="61" t="s">
        <v>9</v>
      </c>
      <c r="J5" s="61" t="s">
        <v>9</v>
      </c>
      <c r="K5" s="61" t="s">
        <v>9</v>
      </c>
      <c r="L5" s="33" t="str">
        <f t="shared" si="0"/>
        <v>Gestão</v>
      </c>
      <c r="M5" s="33" t="str">
        <f t="shared" si="0"/>
        <v>Informação</v>
      </c>
      <c r="N5" s="33" t="str">
        <f t="shared" si="1"/>
        <v>Contêineres</v>
      </c>
      <c r="O5" s="33" t="str">
        <f t="shared" si="1"/>
        <v>Requisito Equipamento</v>
      </c>
      <c r="P5" s="30" t="s">
        <v>226</v>
      </c>
      <c r="Q5" s="30" t="s">
        <v>85</v>
      </c>
      <c r="R5" s="30" t="s">
        <v>9</v>
      </c>
      <c r="S5" s="30" t="str">
        <f t="shared" si="2"/>
        <v>Gestão</v>
      </c>
      <c r="T5" s="30" t="str">
        <f t="shared" si="2"/>
        <v>Informação</v>
      </c>
      <c r="U5" s="30" t="str">
        <f t="shared" si="2"/>
        <v>Contêineres</v>
      </c>
      <c r="V5" s="30" t="s">
        <v>241</v>
      </c>
      <c r="W5" s="59" t="str">
        <f t="shared" si="3"/>
        <v>Key-INC-5</v>
      </c>
      <c r="X5" s="30" t="s">
        <v>9</v>
      </c>
      <c r="Y5" s="30" t="s">
        <v>9</v>
      </c>
      <c r="Z5" s="30" t="s">
        <v>9</v>
      </c>
      <c r="AA5" s="30" t="str">
        <f t="shared" si="4"/>
        <v>Defines an information container in accordance with the NBR 19650-1 standard. Equipment Requirements for the Project.</v>
      </c>
    </row>
    <row r="6" spans="1:27" ht="6" customHeight="1" x14ac:dyDescent="0.4">
      <c r="A6" s="60">
        <v>6</v>
      </c>
      <c r="B6" s="1" t="s">
        <v>316</v>
      </c>
      <c r="C6" s="1" t="s">
        <v>220</v>
      </c>
      <c r="D6" s="1" t="s">
        <v>84</v>
      </c>
      <c r="E6" s="57" t="s">
        <v>231</v>
      </c>
      <c r="F6" s="57" t="s">
        <v>227</v>
      </c>
      <c r="G6" s="61" t="s">
        <v>9</v>
      </c>
      <c r="H6" s="61" t="s">
        <v>9</v>
      </c>
      <c r="I6" s="61" t="s">
        <v>9</v>
      </c>
      <c r="J6" s="61" t="s">
        <v>9</v>
      </c>
      <c r="K6" s="61" t="s">
        <v>9</v>
      </c>
      <c r="L6" s="33" t="str">
        <f t="shared" si="0"/>
        <v>Gestão</v>
      </c>
      <c r="M6" s="33" t="str">
        <f t="shared" si="0"/>
        <v>Informação</v>
      </c>
      <c r="N6" s="33" t="str">
        <f t="shared" si="1"/>
        <v>Contêineres</v>
      </c>
      <c r="O6" s="33" t="str">
        <f t="shared" si="1"/>
        <v>Requisito Sistemas</v>
      </c>
      <c r="P6" s="30" t="s">
        <v>228</v>
      </c>
      <c r="Q6" s="30" t="s">
        <v>85</v>
      </c>
      <c r="R6" s="30" t="s">
        <v>9</v>
      </c>
      <c r="S6" s="30" t="str">
        <f t="shared" si="2"/>
        <v>Gestão</v>
      </c>
      <c r="T6" s="30" t="str">
        <f t="shared" si="2"/>
        <v>Informação</v>
      </c>
      <c r="U6" s="30" t="str">
        <f t="shared" si="2"/>
        <v>Contêineres</v>
      </c>
      <c r="V6" s="30" t="s">
        <v>241</v>
      </c>
      <c r="W6" s="59" t="str">
        <f t="shared" si="3"/>
        <v>Key-INC-6</v>
      </c>
      <c r="X6" s="30" t="s">
        <v>9</v>
      </c>
      <c r="Y6" s="30" t="s">
        <v>9</v>
      </c>
      <c r="Z6" s="30" t="s">
        <v>9</v>
      </c>
      <c r="AA6" s="30" t="str">
        <f t="shared" si="4"/>
        <v>Defines an information container in accordance with the NBR 19650-1 standard. Building Systems Requirements for the Project.</v>
      </c>
    </row>
    <row r="7" spans="1:27" ht="6.65" customHeight="1" x14ac:dyDescent="0.4">
      <c r="A7" s="60">
        <v>7</v>
      </c>
      <c r="B7" s="1" t="s">
        <v>316</v>
      </c>
      <c r="C7" s="42" t="s">
        <v>317</v>
      </c>
      <c r="D7" s="1" t="s">
        <v>119</v>
      </c>
      <c r="E7" s="42" t="s">
        <v>120</v>
      </c>
      <c r="F7" s="42" t="s">
        <v>119</v>
      </c>
      <c r="G7" s="61" t="s">
        <v>9</v>
      </c>
      <c r="H7" s="61" t="s">
        <v>9</v>
      </c>
      <c r="I7" s="61" t="s">
        <v>9</v>
      </c>
      <c r="J7" s="61" t="s">
        <v>9</v>
      </c>
      <c r="K7" s="61" t="s">
        <v>9</v>
      </c>
      <c r="L7" s="33" t="str">
        <f t="shared" ref="L7" si="5">CONCATENATE("", C7)</f>
        <v>Sistemas.Prediais</v>
      </c>
      <c r="M7" s="33" t="str">
        <f t="shared" ref="M7" si="6">CONCATENATE("", D7)</f>
        <v>Sistema.Incêndio</v>
      </c>
      <c r="N7" s="33" t="s">
        <v>208</v>
      </c>
      <c r="O7" s="30" t="s">
        <v>207</v>
      </c>
      <c r="P7" s="52" t="s">
        <v>213</v>
      </c>
      <c r="Q7" s="52" t="s">
        <v>214</v>
      </c>
      <c r="R7" s="30" t="s">
        <v>9</v>
      </c>
      <c r="S7" s="30" t="str">
        <f t="shared" ref="S7:U23" si="7">SUBSTITUTE(C7, ".", " ")</f>
        <v>Sistemas Prediais</v>
      </c>
      <c r="T7" s="30" t="str">
        <f t="shared" ref="T7:U21" si="8">SUBSTITUTE(D7, ".", " ")</f>
        <v>Sistema Incêndio</v>
      </c>
      <c r="U7" s="30" t="str">
        <f t="shared" si="8"/>
        <v>Sistema Combate</v>
      </c>
      <c r="V7" s="30" t="s">
        <v>241</v>
      </c>
      <c r="W7" s="59" t="str">
        <f t="shared" si="3"/>
        <v>Key-INC-7</v>
      </c>
      <c r="X7" s="29" t="s">
        <v>111</v>
      </c>
      <c r="Y7" s="29" t="s">
        <v>113</v>
      </c>
      <c r="Z7" s="30" t="s">
        <v>212</v>
      </c>
      <c r="AA7" s="30" t="str">
        <f t="shared" si="4"/>
        <v>Building Fire Fighting System</v>
      </c>
    </row>
    <row r="8" spans="1:27" ht="6" customHeight="1" x14ac:dyDescent="0.4">
      <c r="A8" s="60">
        <v>8</v>
      </c>
      <c r="B8" s="1" t="s">
        <v>316</v>
      </c>
      <c r="C8" s="42" t="s">
        <v>317</v>
      </c>
      <c r="D8" s="1" t="s">
        <v>119</v>
      </c>
      <c r="E8" s="1" t="s">
        <v>215</v>
      </c>
      <c r="F8" s="57" t="s">
        <v>125</v>
      </c>
      <c r="G8" s="61" t="s">
        <v>9</v>
      </c>
      <c r="H8" s="61" t="s">
        <v>9</v>
      </c>
      <c r="I8" s="61" t="s">
        <v>9</v>
      </c>
      <c r="J8" s="61" t="s">
        <v>9</v>
      </c>
      <c r="K8" s="61" t="s">
        <v>9</v>
      </c>
      <c r="L8" s="33" t="str">
        <f t="shared" ref="L8:M24" si="9">CONCATENATE("", C8)</f>
        <v>Sistemas.Prediais</v>
      </c>
      <c r="M8" s="33" t="str">
        <f t="shared" si="9"/>
        <v>Sistema.Incêndio</v>
      </c>
      <c r="N8" s="33" t="s">
        <v>209</v>
      </c>
      <c r="O8" s="33" t="str">
        <f t="shared" ref="O8:O22" si="10">(SUBSTITUTE(SUBSTITUTE(CONCATENATE("",F8),"."," ")," De "," de "))</f>
        <v>Alarme</v>
      </c>
      <c r="P8" s="30" t="s">
        <v>126</v>
      </c>
      <c r="Q8" s="30" t="s">
        <v>127</v>
      </c>
      <c r="R8" s="30" t="s">
        <v>9</v>
      </c>
      <c r="S8" s="30" t="str">
        <f t="shared" si="7"/>
        <v>Sistemas Prediais</v>
      </c>
      <c r="T8" s="30" t="str">
        <f t="shared" si="8"/>
        <v>Sistema Incêndio</v>
      </c>
      <c r="U8" s="30" t="str">
        <f t="shared" si="8"/>
        <v>Alarmes de Incêndio</v>
      </c>
      <c r="V8" s="30" t="s">
        <v>241</v>
      </c>
      <c r="W8" s="59" t="str">
        <f t="shared" si="3"/>
        <v>Key-INC-8</v>
      </c>
      <c r="X8" s="30" t="s">
        <v>170</v>
      </c>
      <c r="Y8" s="29" t="s">
        <v>176</v>
      </c>
      <c r="Z8" s="30" t="s">
        <v>212</v>
      </c>
      <c r="AA8" s="30" t="str">
        <f t="shared" si="4"/>
        <v>Device that signals the existence of a condition or situation of danger.</v>
      </c>
    </row>
    <row r="9" spans="1:27" ht="6" customHeight="1" x14ac:dyDescent="0.4">
      <c r="A9" s="60">
        <v>9</v>
      </c>
      <c r="B9" s="1" t="s">
        <v>316</v>
      </c>
      <c r="C9" s="42" t="s">
        <v>317</v>
      </c>
      <c r="D9" s="1" t="s">
        <v>119</v>
      </c>
      <c r="E9" s="1" t="s">
        <v>215</v>
      </c>
      <c r="F9" s="57" t="s">
        <v>128</v>
      </c>
      <c r="G9" s="61" t="s">
        <v>9</v>
      </c>
      <c r="H9" s="61" t="s">
        <v>9</v>
      </c>
      <c r="I9" s="61" t="s">
        <v>9</v>
      </c>
      <c r="J9" s="61" t="s">
        <v>9</v>
      </c>
      <c r="K9" s="61" t="s">
        <v>9</v>
      </c>
      <c r="L9" s="33" t="str">
        <f t="shared" si="9"/>
        <v>Sistemas.Prediais</v>
      </c>
      <c r="M9" s="33" t="str">
        <f t="shared" si="9"/>
        <v>Sistema.Incêndio</v>
      </c>
      <c r="N9" s="33" t="s">
        <v>209</v>
      </c>
      <c r="O9" s="33" t="str">
        <f t="shared" si="10"/>
        <v>Alarme Campainha</v>
      </c>
      <c r="P9" s="30" t="s">
        <v>129</v>
      </c>
      <c r="Q9" s="30" t="s">
        <v>130</v>
      </c>
      <c r="R9" s="30" t="s">
        <v>9</v>
      </c>
      <c r="S9" s="30" t="str">
        <f t="shared" si="7"/>
        <v>Sistemas Prediais</v>
      </c>
      <c r="T9" s="30" t="str">
        <f t="shared" si="8"/>
        <v>Sistema Incêndio</v>
      </c>
      <c r="U9" s="30" t="str">
        <f t="shared" si="8"/>
        <v>Alarmes de Incêndio</v>
      </c>
      <c r="V9" s="30" t="s">
        <v>241</v>
      </c>
      <c r="W9" s="59" t="str">
        <f t="shared" si="3"/>
        <v>Key-INC-9</v>
      </c>
      <c r="X9" s="30" t="s">
        <v>170</v>
      </c>
      <c r="Y9" s="29" t="s">
        <v>177</v>
      </c>
      <c r="Z9" s="30" t="s">
        <v>212</v>
      </c>
      <c r="AA9" s="30" t="str">
        <f t="shared" si="4"/>
        <v>Audible alarm.</v>
      </c>
    </row>
    <row r="10" spans="1:27" ht="6" customHeight="1" x14ac:dyDescent="0.4">
      <c r="A10" s="60">
        <v>10</v>
      </c>
      <c r="B10" s="1" t="s">
        <v>316</v>
      </c>
      <c r="C10" s="42" t="s">
        <v>317</v>
      </c>
      <c r="D10" s="1" t="s">
        <v>119</v>
      </c>
      <c r="E10" s="1" t="s">
        <v>215</v>
      </c>
      <c r="F10" s="57" t="s">
        <v>131</v>
      </c>
      <c r="G10" s="61" t="s">
        <v>9</v>
      </c>
      <c r="H10" s="61" t="s">
        <v>9</v>
      </c>
      <c r="I10" s="61" t="s">
        <v>9</v>
      </c>
      <c r="J10" s="61" t="s">
        <v>9</v>
      </c>
      <c r="K10" s="61" t="s">
        <v>9</v>
      </c>
      <c r="L10" s="33" t="str">
        <f t="shared" si="9"/>
        <v>Sistemas.Prediais</v>
      </c>
      <c r="M10" s="33" t="str">
        <f t="shared" si="9"/>
        <v>Sistema.Incêndio</v>
      </c>
      <c r="N10" s="33" t="s">
        <v>209</v>
      </c>
      <c r="O10" s="33" t="str">
        <f t="shared" si="10"/>
        <v>Alarme Campainha Caixa</v>
      </c>
      <c r="P10" s="30" t="s">
        <v>132</v>
      </c>
      <c r="Q10" s="30" t="s">
        <v>133</v>
      </c>
      <c r="R10" s="30" t="s">
        <v>9</v>
      </c>
      <c r="S10" s="30" t="str">
        <f t="shared" si="7"/>
        <v>Sistemas Prediais</v>
      </c>
      <c r="T10" s="30" t="str">
        <f t="shared" si="8"/>
        <v>Sistema Incêndio</v>
      </c>
      <c r="U10" s="30" t="str">
        <f t="shared" si="8"/>
        <v>Alarmes de Incêndio</v>
      </c>
      <c r="V10" s="30" t="s">
        <v>241</v>
      </c>
      <c r="W10" s="59" t="str">
        <f t="shared" si="3"/>
        <v>Key-INC-10</v>
      </c>
      <c r="X10" s="30" t="s">
        <v>170</v>
      </c>
      <c r="Y10" s="29" t="s">
        <v>178</v>
      </c>
      <c r="Z10" s="30" t="s">
        <v>212</v>
      </c>
      <c r="AA10" s="30" t="str">
        <f t="shared" si="4"/>
        <v>Alarm activation mechanism in which a protective glass needs to be broken to allow the button to be pressed.</v>
      </c>
    </row>
    <row r="11" spans="1:27" ht="6" customHeight="1" x14ac:dyDescent="0.4">
      <c r="A11" s="60">
        <v>11</v>
      </c>
      <c r="B11" s="1" t="s">
        <v>316</v>
      </c>
      <c r="C11" s="42" t="s">
        <v>317</v>
      </c>
      <c r="D11" s="1" t="s">
        <v>119</v>
      </c>
      <c r="E11" s="1" t="s">
        <v>215</v>
      </c>
      <c r="F11" s="57" t="s">
        <v>134</v>
      </c>
      <c r="G11" s="61" t="s">
        <v>9</v>
      </c>
      <c r="H11" s="61" t="s">
        <v>9</v>
      </c>
      <c r="I11" s="61" t="s">
        <v>9</v>
      </c>
      <c r="J11" s="61" t="s">
        <v>9</v>
      </c>
      <c r="K11" s="61" t="s">
        <v>9</v>
      </c>
      <c r="L11" s="33" t="str">
        <f t="shared" si="9"/>
        <v>Sistemas.Prediais</v>
      </c>
      <c r="M11" s="33" t="str">
        <f t="shared" si="9"/>
        <v>Sistema.Incêndio</v>
      </c>
      <c r="N11" s="33" t="s">
        <v>209</v>
      </c>
      <c r="O11" s="33" t="str">
        <f t="shared" si="10"/>
        <v>Alarme Lumínico</v>
      </c>
      <c r="P11" s="30" t="s">
        <v>135</v>
      </c>
      <c r="Q11" s="30" t="s">
        <v>136</v>
      </c>
      <c r="R11" s="30" t="s">
        <v>9</v>
      </c>
      <c r="S11" s="30" t="str">
        <f t="shared" si="7"/>
        <v>Sistemas Prediais</v>
      </c>
      <c r="T11" s="30" t="str">
        <f t="shared" si="8"/>
        <v>Sistema Incêndio</v>
      </c>
      <c r="U11" s="30" t="str">
        <f t="shared" si="8"/>
        <v>Alarmes de Incêndio</v>
      </c>
      <c r="V11" s="30" t="s">
        <v>241</v>
      </c>
      <c r="W11" s="59" t="str">
        <f t="shared" si="3"/>
        <v>Key-INC-11</v>
      </c>
      <c r="X11" s="30" t="s">
        <v>170</v>
      </c>
      <c r="Y11" s="29" t="s">
        <v>179</v>
      </c>
      <c r="Z11" s="30" t="s">
        <v>212</v>
      </c>
      <c r="AA11" s="30" t="str">
        <f t="shared" si="4"/>
        <v>Visual light alarm.</v>
      </c>
    </row>
    <row r="12" spans="1:27" ht="6" customHeight="1" x14ac:dyDescent="0.4">
      <c r="A12" s="60">
        <v>12</v>
      </c>
      <c r="B12" s="1" t="s">
        <v>316</v>
      </c>
      <c r="C12" s="42" t="s">
        <v>317</v>
      </c>
      <c r="D12" s="1" t="s">
        <v>119</v>
      </c>
      <c r="E12" s="1" t="s">
        <v>215</v>
      </c>
      <c r="F12" s="57" t="s">
        <v>137</v>
      </c>
      <c r="G12" s="61" t="s">
        <v>9</v>
      </c>
      <c r="H12" s="61" t="s">
        <v>9</v>
      </c>
      <c r="I12" s="61" t="s">
        <v>9</v>
      </c>
      <c r="J12" s="61" t="s">
        <v>9</v>
      </c>
      <c r="K12" s="61" t="s">
        <v>9</v>
      </c>
      <c r="L12" s="33" t="str">
        <f t="shared" si="9"/>
        <v>Sistemas.Prediais</v>
      </c>
      <c r="M12" s="33" t="str">
        <f t="shared" si="9"/>
        <v>Sistema.Incêndio</v>
      </c>
      <c r="N12" s="33" t="s">
        <v>209</v>
      </c>
      <c r="O12" s="33" t="str">
        <f t="shared" si="10"/>
        <v>Alarme Caixa Manual</v>
      </c>
      <c r="P12" s="30" t="s">
        <v>138</v>
      </c>
      <c r="Q12" s="30" t="s">
        <v>139</v>
      </c>
      <c r="R12" s="30" t="s">
        <v>9</v>
      </c>
      <c r="S12" s="30" t="str">
        <f t="shared" si="7"/>
        <v>Sistemas Prediais</v>
      </c>
      <c r="T12" s="30" t="str">
        <f t="shared" si="8"/>
        <v>Sistema Incêndio</v>
      </c>
      <c r="U12" s="30" t="str">
        <f t="shared" si="8"/>
        <v>Alarmes de Incêndio</v>
      </c>
      <c r="V12" s="30" t="s">
        <v>241</v>
      </c>
      <c r="W12" s="59" t="str">
        <f t="shared" si="3"/>
        <v>Key-INC-12</v>
      </c>
      <c r="X12" s="30" t="s">
        <v>170</v>
      </c>
      <c r="Y12" s="29" t="s">
        <v>180</v>
      </c>
      <c r="Z12" s="30" t="s">
        <v>212</v>
      </c>
      <c r="AA12" s="30" t="str">
        <f t="shared" si="4"/>
        <v>Alarm activation mechanism in which activation occurs by a pulling action.</v>
      </c>
    </row>
    <row r="13" spans="1:27" ht="6" customHeight="1" x14ac:dyDescent="0.4">
      <c r="A13" s="60">
        <v>13</v>
      </c>
      <c r="B13" s="1" t="s">
        <v>316</v>
      </c>
      <c r="C13" s="42" t="s">
        <v>317</v>
      </c>
      <c r="D13" s="1" t="s">
        <v>119</v>
      </c>
      <c r="E13" s="1" t="s">
        <v>215</v>
      </c>
      <c r="F13" s="57" t="s">
        <v>140</v>
      </c>
      <c r="G13" s="61" t="s">
        <v>9</v>
      </c>
      <c r="H13" s="61" t="s">
        <v>9</v>
      </c>
      <c r="I13" s="61" t="s">
        <v>9</v>
      </c>
      <c r="J13" s="61" t="s">
        <v>9</v>
      </c>
      <c r="K13" s="61" t="s">
        <v>9</v>
      </c>
      <c r="L13" s="33" t="str">
        <f t="shared" si="9"/>
        <v>Sistemas.Prediais</v>
      </c>
      <c r="M13" s="33" t="str">
        <f t="shared" si="9"/>
        <v>Sistema.Incêndio</v>
      </c>
      <c r="N13" s="33" t="s">
        <v>209</v>
      </c>
      <c r="O13" s="33" t="str">
        <f t="shared" si="10"/>
        <v>Alarme Detonador</v>
      </c>
      <c r="P13" s="30" t="s">
        <v>141</v>
      </c>
      <c r="Q13" s="30" t="s">
        <v>142</v>
      </c>
      <c r="R13" s="30" t="s">
        <v>9</v>
      </c>
      <c r="S13" s="30" t="str">
        <f t="shared" si="7"/>
        <v>Sistemas Prediais</v>
      </c>
      <c r="T13" s="30" t="str">
        <f t="shared" si="8"/>
        <v>Sistema Incêndio</v>
      </c>
      <c r="U13" s="30" t="str">
        <f t="shared" si="8"/>
        <v>Alarmes de Incêndio</v>
      </c>
      <c r="V13" s="30" t="s">
        <v>241</v>
      </c>
      <c r="W13" s="59" t="str">
        <f t="shared" si="3"/>
        <v>Key-INC-13</v>
      </c>
      <c r="X13" s="30" t="s">
        <v>170</v>
      </c>
      <c r="Y13" s="29" t="s">
        <v>181</v>
      </c>
      <c r="Z13" s="30" t="s">
        <v>212</v>
      </c>
      <c r="AA13" s="30" t="str">
        <f t="shared" si="4"/>
        <v>A coin-sized device that is used as a high warning signal to train train drivers.</v>
      </c>
    </row>
    <row r="14" spans="1:27" ht="6" customHeight="1" x14ac:dyDescent="0.4">
      <c r="A14" s="60">
        <v>14</v>
      </c>
      <c r="B14" s="1" t="s">
        <v>316</v>
      </c>
      <c r="C14" s="42" t="s">
        <v>317</v>
      </c>
      <c r="D14" s="1" t="s">
        <v>119</v>
      </c>
      <c r="E14" s="1" t="s">
        <v>215</v>
      </c>
      <c r="F14" s="57" t="s">
        <v>143</v>
      </c>
      <c r="G14" s="61" t="s">
        <v>9</v>
      </c>
      <c r="H14" s="61" t="s">
        <v>9</v>
      </c>
      <c r="I14" s="61" t="s">
        <v>9</v>
      </c>
      <c r="J14" s="61" t="s">
        <v>9</v>
      </c>
      <c r="K14" s="61" t="s">
        <v>9</v>
      </c>
      <c r="L14" s="33" t="str">
        <f t="shared" si="9"/>
        <v>Sistemas.Prediais</v>
      </c>
      <c r="M14" s="33" t="str">
        <f t="shared" si="9"/>
        <v>Sistema.Incêndio</v>
      </c>
      <c r="N14" s="33" t="s">
        <v>209</v>
      </c>
      <c r="O14" s="33" t="str">
        <f t="shared" si="10"/>
        <v>Alarme Sirene</v>
      </c>
      <c r="P14" s="30" t="s">
        <v>144</v>
      </c>
      <c r="Q14" s="30" t="s">
        <v>145</v>
      </c>
      <c r="R14" s="30" t="s">
        <v>9</v>
      </c>
      <c r="S14" s="30" t="str">
        <f t="shared" si="7"/>
        <v>Sistemas Prediais</v>
      </c>
      <c r="T14" s="30" t="str">
        <f t="shared" si="8"/>
        <v>Sistema Incêndio</v>
      </c>
      <c r="U14" s="30" t="str">
        <f t="shared" si="8"/>
        <v>Alarmes de Incêndio</v>
      </c>
      <c r="V14" s="30" t="s">
        <v>241</v>
      </c>
      <c r="W14" s="59" t="str">
        <f t="shared" si="3"/>
        <v>Key-INC-14</v>
      </c>
      <c r="X14" s="30" t="s">
        <v>170</v>
      </c>
      <c r="Y14" s="29" t="s">
        <v>182</v>
      </c>
      <c r="Z14" s="30" t="s">
        <v>212</v>
      </c>
      <c r="AA14" s="30" t="str">
        <f t="shared" si="4"/>
        <v>Audible alarm produced by a siren.</v>
      </c>
    </row>
    <row r="15" spans="1:27" ht="6" customHeight="1" x14ac:dyDescent="0.4">
      <c r="A15" s="60">
        <v>15</v>
      </c>
      <c r="B15" s="1" t="s">
        <v>316</v>
      </c>
      <c r="C15" s="42" t="s">
        <v>317</v>
      </c>
      <c r="D15" s="1" t="s">
        <v>119</v>
      </c>
      <c r="E15" s="1" t="s">
        <v>215</v>
      </c>
      <c r="F15" s="57" t="s">
        <v>146</v>
      </c>
      <c r="G15" s="61" t="s">
        <v>9</v>
      </c>
      <c r="H15" s="61" t="s">
        <v>9</v>
      </c>
      <c r="I15" s="61" t="s">
        <v>9</v>
      </c>
      <c r="J15" s="61" t="s">
        <v>9</v>
      </c>
      <c r="K15" s="61" t="s">
        <v>9</v>
      </c>
      <c r="L15" s="33" t="str">
        <f t="shared" si="9"/>
        <v>Sistemas.Prediais</v>
      </c>
      <c r="M15" s="33" t="str">
        <f t="shared" si="9"/>
        <v>Sistema.Incêndio</v>
      </c>
      <c r="N15" s="33" t="s">
        <v>209</v>
      </c>
      <c r="O15" s="33" t="str">
        <f t="shared" si="10"/>
        <v>Alarme Apito</v>
      </c>
      <c r="P15" s="30" t="s">
        <v>147</v>
      </c>
      <c r="Q15" s="30" t="s">
        <v>148</v>
      </c>
      <c r="R15" s="30" t="s">
        <v>9</v>
      </c>
      <c r="S15" s="30" t="str">
        <f t="shared" si="7"/>
        <v>Sistemas Prediais</v>
      </c>
      <c r="T15" s="30" t="str">
        <f t="shared" si="8"/>
        <v>Sistema Incêndio</v>
      </c>
      <c r="U15" s="30" t="str">
        <f t="shared" si="8"/>
        <v>Alarmes de Incêndio</v>
      </c>
      <c r="V15" s="30" t="s">
        <v>241</v>
      </c>
      <c r="W15" s="59" t="str">
        <f t="shared" si="3"/>
        <v>Key-INC-15</v>
      </c>
      <c r="X15" s="30" t="s">
        <v>170</v>
      </c>
      <c r="Y15" s="29" t="s">
        <v>183</v>
      </c>
      <c r="Z15" s="30" t="s">
        <v>212</v>
      </c>
      <c r="AA15" s="30" t="str">
        <f t="shared" si="4"/>
        <v>Audible alarm produced by a whistle.</v>
      </c>
    </row>
    <row r="16" spans="1:27" ht="6" customHeight="1" x14ac:dyDescent="0.4">
      <c r="A16" s="60">
        <v>16</v>
      </c>
      <c r="B16" s="1" t="s">
        <v>316</v>
      </c>
      <c r="C16" s="42" t="s">
        <v>317</v>
      </c>
      <c r="D16" s="1" t="s">
        <v>119</v>
      </c>
      <c r="E16" s="1" t="s">
        <v>216</v>
      </c>
      <c r="F16" s="57" t="s">
        <v>149</v>
      </c>
      <c r="G16" s="61" t="s">
        <v>9</v>
      </c>
      <c r="H16" s="61" t="s">
        <v>9</v>
      </c>
      <c r="I16" s="61" t="s">
        <v>9</v>
      </c>
      <c r="J16" s="61" t="s">
        <v>9</v>
      </c>
      <c r="K16" s="61" t="s">
        <v>9</v>
      </c>
      <c r="L16" s="33" t="str">
        <f t="shared" si="9"/>
        <v>Sistemas.Prediais</v>
      </c>
      <c r="M16" s="33" t="str">
        <f t="shared" si="9"/>
        <v>Sistema.Incêndio</v>
      </c>
      <c r="N16" s="33" t="s">
        <v>210</v>
      </c>
      <c r="O16" s="33" t="str">
        <f t="shared" si="10"/>
        <v>Terminal Combate Fogo</v>
      </c>
      <c r="P16" s="30" t="s">
        <v>150</v>
      </c>
      <c r="Q16" s="30" t="s">
        <v>151</v>
      </c>
      <c r="R16" s="30" t="s">
        <v>9</v>
      </c>
      <c r="S16" s="30" t="str">
        <f t="shared" si="7"/>
        <v>Sistemas Prediais</v>
      </c>
      <c r="T16" s="30" t="str">
        <f t="shared" si="8"/>
        <v>Sistema Incêndio</v>
      </c>
      <c r="U16" s="30" t="str">
        <f t="shared" si="8"/>
        <v>Peças de Incêndio</v>
      </c>
      <c r="V16" s="30" t="s">
        <v>241</v>
      </c>
      <c r="W16" s="59" t="str">
        <f t="shared" si="3"/>
        <v>Key-INC-16</v>
      </c>
      <c r="X16" s="30" t="s">
        <v>171</v>
      </c>
      <c r="Y16" s="29" t="s">
        <v>174</v>
      </c>
      <c r="Z16" s="30" t="s">
        <v>212</v>
      </c>
      <c r="AA16" s="30" t="str">
        <f t="shared" si="4"/>
        <v>Fire suppression terminal has the purpose of providing a fluid (gas or liquid) that will suppress.</v>
      </c>
    </row>
    <row r="17" spans="1:27" ht="6" customHeight="1" x14ac:dyDescent="0.4">
      <c r="A17" s="60">
        <v>17</v>
      </c>
      <c r="B17" s="1" t="s">
        <v>316</v>
      </c>
      <c r="C17" s="42" t="s">
        <v>317</v>
      </c>
      <c r="D17" s="1" t="s">
        <v>119</v>
      </c>
      <c r="E17" s="1" t="s">
        <v>216</v>
      </c>
      <c r="F17" s="57" t="s">
        <v>152</v>
      </c>
      <c r="G17" s="61" t="s">
        <v>9</v>
      </c>
      <c r="H17" s="61" t="s">
        <v>9</v>
      </c>
      <c r="I17" s="61" t="s">
        <v>9</v>
      </c>
      <c r="J17" s="61" t="s">
        <v>9</v>
      </c>
      <c r="K17" s="61" t="s">
        <v>9</v>
      </c>
      <c r="L17" s="33" t="str">
        <f t="shared" si="9"/>
        <v>Sistemas.Prediais</v>
      </c>
      <c r="M17" s="33" t="str">
        <f t="shared" si="9"/>
        <v>Sistema.Incêndio</v>
      </c>
      <c r="N17" s="33" t="s">
        <v>210</v>
      </c>
      <c r="O17" s="33" t="str">
        <f t="shared" si="10"/>
        <v>Mangueira Entrada</v>
      </c>
      <c r="P17" s="30" t="s">
        <v>153</v>
      </c>
      <c r="Q17" s="30" t="s">
        <v>154</v>
      </c>
      <c r="R17" s="30" t="s">
        <v>9</v>
      </c>
      <c r="S17" s="30" t="str">
        <f t="shared" si="7"/>
        <v>Sistemas Prediais</v>
      </c>
      <c r="T17" s="30" t="str">
        <f t="shared" si="8"/>
        <v>Sistema Incêndio</v>
      </c>
      <c r="U17" s="30" t="str">
        <f t="shared" si="8"/>
        <v>Peças de Incêndio</v>
      </c>
      <c r="V17" s="30" t="s">
        <v>241</v>
      </c>
      <c r="W17" s="59" t="str">
        <f t="shared" si="3"/>
        <v>Key-INC-17</v>
      </c>
      <c r="X17" s="30" t="s">
        <v>171</v>
      </c>
      <c r="Y17" s="29" t="s">
        <v>184</v>
      </c>
      <c r="Z17" s="30" t="s">
        <v>212</v>
      </c>
      <c r="AA17" s="30" t="str">
        <f t="shared" si="4"/>
        <v>Symmetrical pipe connection that joins two or more inlets into a single pipe.</v>
      </c>
    </row>
    <row r="18" spans="1:27" ht="6" customHeight="1" x14ac:dyDescent="0.4">
      <c r="A18" s="60">
        <v>18</v>
      </c>
      <c r="B18" s="1" t="s">
        <v>316</v>
      </c>
      <c r="C18" s="42" t="s">
        <v>317</v>
      </c>
      <c r="D18" s="1" t="s">
        <v>119</v>
      </c>
      <c r="E18" s="1" t="s">
        <v>216</v>
      </c>
      <c r="F18" s="57" t="s">
        <v>155</v>
      </c>
      <c r="G18" s="61" t="s">
        <v>9</v>
      </c>
      <c r="H18" s="61" t="s">
        <v>9</v>
      </c>
      <c r="I18" s="61" t="s">
        <v>9</v>
      </c>
      <c r="J18" s="61" t="s">
        <v>9</v>
      </c>
      <c r="K18" s="61" t="s">
        <v>9</v>
      </c>
      <c r="L18" s="33" t="str">
        <f t="shared" si="9"/>
        <v>Sistemas.Prediais</v>
      </c>
      <c r="M18" s="33" t="str">
        <f t="shared" si="9"/>
        <v>Sistema.Incêndio</v>
      </c>
      <c r="N18" s="33" t="s">
        <v>210</v>
      </c>
      <c r="O18" s="33" t="str">
        <f t="shared" si="10"/>
        <v>Mangueira Carretel</v>
      </c>
      <c r="P18" s="30" t="s">
        <v>156</v>
      </c>
      <c r="Q18" s="30" t="s">
        <v>157</v>
      </c>
      <c r="R18" s="30" t="s">
        <v>9</v>
      </c>
      <c r="S18" s="30" t="str">
        <f t="shared" si="7"/>
        <v>Sistemas Prediais</v>
      </c>
      <c r="T18" s="30" t="str">
        <f t="shared" si="8"/>
        <v>Sistema Incêndio</v>
      </c>
      <c r="U18" s="30" t="str">
        <f t="shared" si="8"/>
        <v>Peças de Incêndio</v>
      </c>
      <c r="V18" s="30" t="s">
        <v>241</v>
      </c>
      <c r="W18" s="59" t="str">
        <f t="shared" si="3"/>
        <v>Key-INC-18</v>
      </c>
      <c r="X18" s="30" t="s">
        <v>171</v>
      </c>
      <c r="Y18" s="29" t="s">
        <v>185</v>
      </c>
      <c r="Z18" s="30" t="s">
        <v>212</v>
      </c>
      <c r="AA18" s="30" t="str">
        <f t="shared" si="4"/>
        <v>Support structure on which a hose can be wound.</v>
      </c>
    </row>
    <row r="19" spans="1:27" ht="6" customHeight="1" x14ac:dyDescent="0.4">
      <c r="A19" s="60">
        <v>19</v>
      </c>
      <c r="B19" s="1" t="s">
        <v>316</v>
      </c>
      <c r="C19" s="42" t="s">
        <v>317</v>
      </c>
      <c r="D19" s="1" t="s">
        <v>119</v>
      </c>
      <c r="E19" s="1" t="s">
        <v>216</v>
      </c>
      <c r="F19" s="57" t="s">
        <v>158</v>
      </c>
      <c r="G19" s="61" t="s">
        <v>9</v>
      </c>
      <c r="H19" s="61" t="s">
        <v>9</v>
      </c>
      <c r="I19" s="61" t="s">
        <v>9</v>
      </c>
      <c r="J19" s="61" t="s">
        <v>9</v>
      </c>
      <c r="K19" s="61" t="s">
        <v>9</v>
      </c>
      <c r="L19" s="33" t="str">
        <f t="shared" si="9"/>
        <v>Sistemas.Prediais</v>
      </c>
      <c r="M19" s="33" t="str">
        <f t="shared" si="9"/>
        <v>Sistema.Incêndio</v>
      </c>
      <c r="N19" s="33" t="s">
        <v>210</v>
      </c>
      <c r="O19" s="33" t="str">
        <f t="shared" si="10"/>
        <v>Mangueira Canhão</v>
      </c>
      <c r="P19" s="30" t="s">
        <v>159</v>
      </c>
      <c r="Q19" s="30" t="s">
        <v>160</v>
      </c>
      <c r="R19" s="30" t="s">
        <v>9</v>
      </c>
      <c r="S19" s="30" t="str">
        <f t="shared" si="7"/>
        <v>Sistemas Prediais</v>
      </c>
      <c r="T19" s="30" t="str">
        <f t="shared" si="8"/>
        <v>Sistema Incêndio</v>
      </c>
      <c r="U19" s="30" t="str">
        <f t="shared" si="8"/>
        <v>Peças de Incêndio</v>
      </c>
      <c r="V19" s="30" t="s">
        <v>241</v>
      </c>
      <c r="W19" s="59" t="str">
        <f t="shared" si="3"/>
        <v>Key-INC-19</v>
      </c>
      <c r="X19" s="30" t="s">
        <v>172</v>
      </c>
      <c r="Y19" s="29" t="s">
        <v>186</v>
      </c>
      <c r="Z19" s="30" t="s">
        <v>212</v>
      </c>
      <c r="AA19" s="30" t="str">
        <f t="shared" si="4"/>
        <v>Fire monitor.</v>
      </c>
    </row>
    <row r="20" spans="1:27" ht="6" customHeight="1" x14ac:dyDescent="0.4">
      <c r="A20" s="60">
        <v>20</v>
      </c>
      <c r="B20" s="1" t="s">
        <v>316</v>
      </c>
      <c r="C20" s="42" t="s">
        <v>317</v>
      </c>
      <c r="D20" s="1" t="s">
        <v>119</v>
      </c>
      <c r="E20" s="1" t="s">
        <v>216</v>
      </c>
      <c r="F20" s="57" t="s">
        <v>233</v>
      </c>
      <c r="G20" s="61" t="s">
        <v>9</v>
      </c>
      <c r="H20" s="61" t="s">
        <v>9</v>
      </c>
      <c r="I20" s="61" t="s">
        <v>9</v>
      </c>
      <c r="J20" s="61" t="s">
        <v>9</v>
      </c>
      <c r="K20" s="61" t="s">
        <v>9</v>
      </c>
      <c r="L20" s="33" t="str">
        <f t="shared" ref="L20" si="11">CONCATENATE("", C20)</f>
        <v>Sistemas.Prediais</v>
      </c>
      <c r="M20" s="33" t="str">
        <f t="shared" ref="M20" si="12">CONCATENATE("", D20)</f>
        <v>Sistema.Incêndio</v>
      </c>
      <c r="N20" s="33" t="s">
        <v>210</v>
      </c>
      <c r="O20" s="33" t="str">
        <f t="shared" ref="O20" si="13">(SUBSTITUTE(SUBSTITUTE(CONCATENATE("",F20),"."," ")," De "," de "))</f>
        <v>Detetor de Fumaça</v>
      </c>
      <c r="P20" s="30" t="s">
        <v>234</v>
      </c>
      <c r="Q20" s="30" t="s">
        <v>235</v>
      </c>
      <c r="R20" s="30" t="s">
        <v>9</v>
      </c>
      <c r="S20" s="30" t="str">
        <f t="shared" ref="S20" si="14">SUBSTITUTE(C20, ".", " ")</f>
        <v>Sistemas Prediais</v>
      </c>
      <c r="T20" s="30" t="str">
        <f t="shared" ref="T20" si="15">SUBSTITUTE(D20, ".", " ")</f>
        <v>Sistema Incêndio</v>
      </c>
      <c r="U20" s="30" t="str">
        <f t="shared" ref="U20" si="16">SUBSTITUTE(E20, ".", " ")</f>
        <v>Peças de Incêndio</v>
      </c>
      <c r="V20" s="30" t="s">
        <v>241</v>
      </c>
      <c r="W20" s="59" t="str">
        <f t="shared" si="3"/>
        <v>Key-INC-20</v>
      </c>
      <c r="X20" s="30" t="s">
        <v>171</v>
      </c>
      <c r="Y20" s="29" t="s">
        <v>187</v>
      </c>
      <c r="Z20" s="30" t="s">
        <v>212</v>
      </c>
      <c r="AA20" s="30" t="str">
        <f t="shared" si="4"/>
        <v>Smoke detector.</v>
      </c>
    </row>
    <row r="21" spans="1:27" ht="6" customHeight="1" x14ac:dyDescent="0.4">
      <c r="A21" s="60">
        <v>21</v>
      </c>
      <c r="B21" s="1" t="s">
        <v>316</v>
      </c>
      <c r="C21" s="42" t="s">
        <v>317</v>
      </c>
      <c r="D21" s="1" t="s">
        <v>119</v>
      </c>
      <c r="E21" s="1" t="s">
        <v>216</v>
      </c>
      <c r="F21" s="57" t="s">
        <v>161</v>
      </c>
      <c r="G21" s="61" t="s">
        <v>9</v>
      </c>
      <c r="H21" s="61" t="s">
        <v>9</v>
      </c>
      <c r="I21" s="61" t="s">
        <v>9</v>
      </c>
      <c r="J21" s="61" t="s">
        <v>9</v>
      </c>
      <c r="K21" s="61" t="s">
        <v>9</v>
      </c>
      <c r="L21" s="33" t="str">
        <f t="shared" si="9"/>
        <v>Sistemas.Prediais</v>
      </c>
      <c r="M21" s="33" t="str">
        <f t="shared" si="9"/>
        <v>Sistema.Incêndio</v>
      </c>
      <c r="N21" s="33" t="s">
        <v>210</v>
      </c>
      <c r="O21" s="33" t="str">
        <f t="shared" si="10"/>
        <v>Hidrante</v>
      </c>
      <c r="P21" s="30" t="s">
        <v>162</v>
      </c>
      <c r="Q21" s="30" t="s">
        <v>163</v>
      </c>
      <c r="R21" s="30" t="s">
        <v>9</v>
      </c>
      <c r="S21" s="30" t="str">
        <f t="shared" si="7"/>
        <v>Sistemas Prediais</v>
      </c>
      <c r="T21" s="30" t="str">
        <f t="shared" si="8"/>
        <v>Sistema Incêndio</v>
      </c>
      <c r="U21" s="30" t="str">
        <f t="shared" si="8"/>
        <v>Peças de Incêndio</v>
      </c>
      <c r="V21" s="30" t="s">
        <v>241</v>
      </c>
      <c r="W21" s="59" t="str">
        <f t="shared" si="3"/>
        <v>Key-INC-21</v>
      </c>
      <c r="X21" s="30" t="s">
        <v>171</v>
      </c>
      <c r="Y21" s="29" t="s">
        <v>187</v>
      </c>
      <c r="Z21" s="30" t="s">
        <v>212</v>
      </c>
      <c r="AA21" s="30" t="str">
        <f t="shared" si="4"/>
        <v>A device, installed in a pipe, through which a temporary supply of water can be supplied.</v>
      </c>
    </row>
    <row r="22" spans="1:27" ht="6" customHeight="1" x14ac:dyDescent="0.4">
      <c r="A22" s="60">
        <v>22</v>
      </c>
      <c r="B22" s="1" t="s">
        <v>316</v>
      </c>
      <c r="C22" s="42" t="s">
        <v>317</v>
      </c>
      <c r="D22" s="1" t="s">
        <v>119</v>
      </c>
      <c r="E22" s="1" t="s">
        <v>216</v>
      </c>
      <c r="F22" s="57" t="s">
        <v>124</v>
      </c>
      <c r="G22" s="61" t="s">
        <v>9</v>
      </c>
      <c r="H22" s="61" t="s">
        <v>9</v>
      </c>
      <c r="I22" s="61" t="s">
        <v>9</v>
      </c>
      <c r="J22" s="61" t="s">
        <v>9</v>
      </c>
      <c r="K22" s="61" t="s">
        <v>9</v>
      </c>
      <c r="L22" s="33" t="str">
        <f t="shared" si="9"/>
        <v>Sistemas.Prediais</v>
      </c>
      <c r="M22" s="33" t="str">
        <f t="shared" si="9"/>
        <v>Sistema.Incêndio</v>
      </c>
      <c r="N22" s="33" t="s">
        <v>210</v>
      </c>
      <c r="O22" s="33" t="str">
        <f t="shared" si="10"/>
        <v>Sprinkler</v>
      </c>
      <c r="P22" s="30" t="s">
        <v>164</v>
      </c>
      <c r="Q22" s="30" t="s">
        <v>165</v>
      </c>
      <c r="R22" s="30" t="s">
        <v>9</v>
      </c>
      <c r="S22" s="30" t="str">
        <f t="shared" si="7"/>
        <v>Sistemas Prediais</v>
      </c>
      <c r="T22" s="30" t="str">
        <f t="shared" si="7"/>
        <v>Sistema Incêndio</v>
      </c>
      <c r="U22" s="30" t="str">
        <f t="shared" si="7"/>
        <v>Peças de Incêndio</v>
      </c>
      <c r="V22" s="30" t="s">
        <v>241</v>
      </c>
      <c r="W22" s="59" t="str">
        <f t="shared" si="3"/>
        <v>Key-INC-22</v>
      </c>
      <c r="X22" s="30" t="s">
        <v>173</v>
      </c>
      <c r="Y22" s="29" t="s">
        <v>188</v>
      </c>
      <c r="Z22" s="30" t="s">
        <v>212</v>
      </c>
      <c r="AA22" s="30" t="str">
        <f t="shared" si="4"/>
        <v>A device for spraying water from a pipe under pressure over an area.</v>
      </c>
    </row>
    <row r="23" spans="1:27" ht="6" customHeight="1" x14ac:dyDescent="0.4">
      <c r="A23" s="60">
        <v>23</v>
      </c>
      <c r="B23" s="1" t="s">
        <v>316</v>
      </c>
      <c r="C23" s="42" t="s">
        <v>317</v>
      </c>
      <c r="D23" s="1" t="s">
        <v>119</v>
      </c>
      <c r="E23" s="1" t="s">
        <v>216</v>
      </c>
      <c r="F23" s="57" t="s">
        <v>166</v>
      </c>
      <c r="G23" s="61" t="s">
        <v>9</v>
      </c>
      <c r="H23" s="61" t="s">
        <v>9</v>
      </c>
      <c r="I23" s="61" t="s">
        <v>9</v>
      </c>
      <c r="J23" s="61" t="s">
        <v>9</v>
      </c>
      <c r="K23" s="61" t="s">
        <v>9</v>
      </c>
      <c r="L23" s="33" t="str">
        <f t="shared" si="9"/>
        <v>Sistemas.Prediais</v>
      </c>
      <c r="M23" s="33" t="str">
        <f t="shared" si="9"/>
        <v>Sistema.Incêndio</v>
      </c>
      <c r="N23" s="33" t="s">
        <v>210</v>
      </c>
      <c r="O23" s="29" t="s">
        <v>206</v>
      </c>
      <c r="P23" s="30" t="s">
        <v>167</v>
      </c>
      <c r="Q23" s="30" t="s">
        <v>168</v>
      </c>
      <c r="R23" s="30" t="s">
        <v>9</v>
      </c>
      <c r="S23" s="30" t="str">
        <f t="shared" si="7"/>
        <v>Sistemas Prediais</v>
      </c>
      <c r="T23" s="30" t="str">
        <f t="shared" si="7"/>
        <v>Sistema Incêndio</v>
      </c>
      <c r="U23" s="30" t="str">
        <f t="shared" si="7"/>
        <v>Peças de Incêndio</v>
      </c>
      <c r="V23" s="30" t="s">
        <v>241</v>
      </c>
      <c r="W23" s="59" t="str">
        <f t="shared" si="3"/>
        <v>Key-INC-23</v>
      </c>
      <c r="X23" s="30" t="s">
        <v>173</v>
      </c>
      <c r="Y23" s="29" t="s">
        <v>189</v>
      </c>
      <c r="Z23" s="30" t="s">
        <v>212</v>
      </c>
      <c r="AA23" s="30" t="str">
        <f t="shared" si="4"/>
        <v>Device connected to a sprinkler to divert the flow of water in a propagation pattern to cover what is needed.</v>
      </c>
    </row>
    <row r="24" spans="1:27" ht="6.65" customHeight="1" x14ac:dyDescent="0.4">
      <c r="A24" s="60">
        <v>24</v>
      </c>
      <c r="B24" s="1" t="s">
        <v>316</v>
      </c>
      <c r="C24" s="42" t="s">
        <v>317</v>
      </c>
      <c r="D24" s="1" t="s">
        <v>119</v>
      </c>
      <c r="E24" s="1" t="s">
        <v>216</v>
      </c>
      <c r="F24" s="42" t="s">
        <v>169</v>
      </c>
      <c r="G24" s="61" t="s">
        <v>9</v>
      </c>
      <c r="H24" s="61" t="s">
        <v>9</v>
      </c>
      <c r="I24" s="61" t="s">
        <v>9</v>
      </c>
      <c r="J24" s="61" t="s">
        <v>9</v>
      </c>
      <c r="K24" s="61" t="s">
        <v>9</v>
      </c>
      <c r="L24" s="33" t="str">
        <f t="shared" si="9"/>
        <v>Sistemas.Prediais</v>
      </c>
      <c r="M24" s="33" t="str">
        <f t="shared" si="9"/>
        <v>Sistema.Incêndio</v>
      </c>
      <c r="N24" s="33" t="s">
        <v>210</v>
      </c>
      <c r="O24" s="52" t="s">
        <v>200</v>
      </c>
      <c r="P24" s="52" t="s">
        <v>112</v>
      </c>
      <c r="Q24" s="30" t="str">
        <f t="shared" ref="Q24" si="17">_xlfn.TRANSLATE(P24,"pt","es")</f>
        <v>Accesorios para sistemas de agua como soportes, ganchos, pedestales, etc.</v>
      </c>
      <c r="R24" s="30" t="s">
        <v>9</v>
      </c>
      <c r="S24" s="30" t="str">
        <f t="shared" ref="S24:U29" si="18">SUBSTITUTE(C24, ".", " ")</f>
        <v>Sistemas Prediais</v>
      </c>
      <c r="T24" s="30" t="str">
        <f t="shared" si="18"/>
        <v>Sistema Incêndio</v>
      </c>
      <c r="U24" s="30" t="str">
        <f t="shared" si="18"/>
        <v>Peças de Incêndio</v>
      </c>
      <c r="V24" s="30" t="s">
        <v>241</v>
      </c>
      <c r="W24" s="59" t="str">
        <f t="shared" si="3"/>
        <v>Key-INC-24</v>
      </c>
      <c r="X24" s="30" t="s">
        <v>172</v>
      </c>
      <c r="Y24" s="29" t="s">
        <v>174</v>
      </c>
      <c r="Z24" s="30" t="s">
        <v>212</v>
      </c>
      <c r="AA24" s="30" t="str">
        <f t="shared" si="4"/>
        <v>Water system accessory like brackets, hooks, pedestals, etc.</v>
      </c>
    </row>
    <row r="25" spans="1:27" ht="6.65" customHeight="1" x14ac:dyDescent="0.4">
      <c r="A25" s="60">
        <v>25</v>
      </c>
      <c r="B25" s="1" t="s">
        <v>316</v>
      </c>
      <c r="C25" s="42" t="s">
        <v>317</v>
      </c>
      <c r="D25" s="1" t="s">
        <v>119</v>
      </c>
      <c r="E25" s="42" t="s">
        <v>217</v>
      </c>
      <c r="F25" s="42" t="s">
        <v>121</v>
      </c>
      <c r="G25" s="61" t="s">
        <v>9</v>
      </c>
      <c r="H25" s="61" t="s">
        <v>9</v>
      </c>
      <c r="I25" s="61" t="s">
        <v>9</v>
      </c>
      <c r="J25" s="61" t="s">
        <v>9</v>
      </c>
      <c r="K25" s="61" t="s">
        <v>9</v>
      </c>
      <c r="L25" s="33" t="str">
        <f t="shared" ref="L25:L28" si="19">CONCATENATE("", C25)</f>
        <v>Sistemas.Prediais</v>
      </c>
      <c r="M25" s="33" t="str">
        <f t="shared" ref="M25:M28" si="20">CONCATENATE("", D25)</f>
        <v>Sistema.Incêndio</v>
      </c>
      <c r="N25" s="33" t="s">
        <v>211</v>
      </c>
      <c r="O25" s="52" t="s">
        <v>201</v>
      </c>
      <c r="P25" s="52" t="s">
        <v>106</v>
      </c>
      <c r="Q25" s="30" t="str">
        <f>_xlfn.TRANSLATE(P25,"pt","es")</f>
        <v>Cisterna Superior</v>
      </c>
      <c r="R25" s="30" t="s">
        <v>9</v>
      </c>
      <c r="S25" s="30" t="str">
        <f t="shared" si="18"/>
        <v>Sistemas Prediais</v>
      </c>
      <c r="T25" s="30" t="str">
        <f t="shared" si="18"/>
        <v>Sistema Incêndio</v>
      </c>
      <c r="U25" s="30" t="str">
        <f t="shared" si="18"/>
        <v>Tubulação de Incêndio</v>
      </c>
      <c r="V25" s="30" t="s">
        <v>241</v>
      </c>
      <c r="W25" s="59" t="str">
        <f t="shared" si="3"/>
        <v>Key-INC-25</v>
      </c>
      <c r="X25" s="29" t="s">
        <v>269</v>
      </c>
      <c r="Y25" s="29" t="s">
        <v>110</v>
      </c>
      <c r="Z25" s="30" t="s">
        <v>212</v>
      </c>
      <c r="AA25" s="30" t="str">
        <f t="shared" si="4"/>
        <v>Upper Cistern</v>
      </c>
    </row>
    <row r="26" spans="1:27" ht="6.65" customHeight="1" x14ac:dyDescent="0.4">
      <c r="A26" s="60">
        <v>26</v>
      </c>
      <c r="B26" s="1" t="s">
        <v>316</v>
      </c>
      <c r="C26" s="42" t="s">
        <v>317</v>
      </c>
      <c r="D26" s="1" t="s">
        <v>119</v>
      </c>
      <c r="E26" s="42" t="s">
        <v>217</v>
      </c>
      <c r="F26" s="42" t="s">
        <v>218</v>
      </c>
      <c r="G26" s="61" t="s">
        <v>9</v>
      </c>
      <c r="H26" s="61" t="s">
        <v>9</v>
      </c>
      <c r="I26" s="61" t="s">
        <v>9</v>
      </c>
      <c r="J26" s="61" t="s">
        <v>9</v>
      </c>
      <c r="K26" s="61" t="s">
        <v>9</v>
      </c>
      <c r="L26" s="33" t="str">
        <f t="shared" si="19"/>
        <v>Sistemas.Prediais</v>
      </c>
      <c r="M26" s="33" t="str">
        <f t="shared" si="20"/>
        <v>Sistema.Incêndio</v>
      </c>
      <c r="N26" s="33" t="s">
        <v>211</v>
      </c>
      <c r="O26" s="52" t="s">
        <v>202</v>
      </c>
      <c r="P26" s="52" t="s">
        <v>109</v>
      </c>
      <c r="Q26" s="30" t="str">
        <f t="shared" ref="Q26:Q32" si="21">_xlfn.TRANSLATE(P26,"pt","es")</f>
        <v>Cisterna intermedia</v>
      </c>
      <c r="R26" s="30" t="s">
        <v>9</v>
      </c>
      <c r="S26" s="30" t="str">
        <f t="shared" si="18"/>
        <v>Sistemas Prediais</v>
      </c>
      <c r="T26" s="30" t="str">
        <f t="shared" si="18"/>
        <v>Sistema Incêndio</v>
      </c>
      <c r="U26" s="30" t="str">
        <f t="shared" si="18"/>
        <v>Tubulação de Incêndio</v>
      </c>
      <c r="V26" s="30" t="s">
        <v>241</v>
      </c>
      <c r="W26" s="59" t="str">
        <f t="shared" si="3"/>
        <v>Key-INC-26</v>
      </c>
      <c r="X26" s="29" t="s">
        <v>269</v>
      </c>
      <c r="Y26" s="29" t="s">
        <v>110</v>
      </c>
      <c r="Z26" s="30" t="s">
        <v>212</v>
      </c>
      <c r="AA26" s="30" t="str">
        <f t="shared" si="4"/>
        <v>Intermediate Cistern</v>
      </c>
    </row>
    <row r="27" spans="1:27" ht="6.65" customHeight="1" x14ac:dyDescent="0.4">
      <c r="A27" s="60">
        <v>27</v>
      </c>
      <c r="B27" s="1" t="s">
        <v>316</v>
      </c>
      <c r="C27" s="42" t="s">
        <v>317</v>
      </c>
      <c r="D27" s="1" t="s">
        <v>119</v>
      </c>
      <c r="E27" s="42" t="s">
        <v>217</v>
      </c>
      <c r="F27" s="42" t="s">
        <v>122</v>
      </c>
      <c r="G27" s="61" t="s">
        <v>9</v>
      </c>
      <c r="H27" s="61" t="s">
        <v>9</v>
      </c>
      <c r="I27" s="61" t="s">
        <v>9</v>
      </c>
      <c r="J27" s="61" t="s">
        <v>9</v>
      </c>
      <c r="K27" s="61" t="s">
        <v>9</v>
      </c>
      <c r="L27" s="33" t="str">
        <f t="shared" si="19"/>
        <v>Sistemas.Prediais</v>
      </c>
      <c r="M27" s="33" t="str">
        <f t="shared" si="20"/>
        <v>Sistema.Incêndio</v>
      </c>
      <c r="N27" s="33" t="s">
        <v>211</v>
      </c>
      <c r="O27" s="52" t="s">
        <v>203</v>
      </c>
      <c r="P27" s="52" t="s">
        <v>107</v>
      </c>
      <c r="Q27" s="30" t="str">
        <f t="shared" si="21"/>
        <v>Cisterna Inferior</v>
      </c>
      <c r="R27" s="30" t="s">
        <v>9</v>
      </c>
      <c r="S27" s="30" t="str">
        <f t="shared" si="18"/>
        <v>Sistemas Prediais</v>
      </c>
      <c r="T27" s="30" t="str">
        <f t="shared" si="18"/>
        <v>Sistema Incêndio</v>
      </c>
      <c r="U27" s="30" t="str">
        <f t="shared" si="18"/>
        <v>Tubulação de Incêndio</v>
      </c>
      <c r="V27" s="30" t="s">
        <v>241</v>
      </c>
      <c r="W27" s="59" t="str">
        <f t="shared" si="3"/>
        <v>Key-INC-27</v>
      </c>
      <c r="X27" s="29" t="s">
        <v>269</v>
      </c>
      <c r="Y27" s="29" t="s">
        <v>110</v>
      </c>
      <c r="Z27" s="30" t="s">
        <v>212</v>
      </c>
      <c r="AA27" s="30" t="str">
        <f t="shared" si="4"/>
        <v>Lower Cistern</v>
      </c>
    </row>
    <row r="28" spans="1:27" ht="6.65" customHeight="1" x14ac:dyDescent="0.4">
      <c r="A28" s="60">
        <v>28</v>
      </c>
      <c r="B28" s="1" t="s">
        <v>316</v>
      </c>
      <c r="C28" s="42" t="s">
        <v>317</v>
      </c>
      <c r="D28" s="1" t="s">
        <v>119</v>
      </c>
      <c r="E28" s="42" t="s">
        <v>217</v>
      </c>
      <c r="F28" s="42" t="s">
        <v>123</v>
      </c>
      <c r="G28" s="61" t="s">
        <v>9</v>
      </c>
      <c r="H28" s="61" t="s">
        <v>9</v>
      </c>
      <c r="I28" s="61" t="s">
        <v>9</v>
      </c>
      <c r="J28" s="61" t="s">
        <v>9</v>
      </c>
      <c r="K28" s="61" t="s">
        <v>9</v>
      </c>
      <c r="L28" s="33" t="str">
        <f t="shared" si="19"/>
        <v>Sistemas.Prediais</v>
      </c>
      <c r="M28" s="33" t="str">
        <f t="shared" si="20"/>
        <v>Sistema.Incêndio</v>
      </c>
      <c r="N28" s="33" t="s">
        <v>211</v>
      </c>
      <c r="O28" s="52" t="s">
        <v>204</v>
      </c>
      <c r="P28" s="52" t="s">
        <v>108</v>
      </c>
      <c r="Q28" s="30" t="str">
        <f t="shared" si="21"/>
        <v>Tubería de agua fría</v>
      </c>
      <c r="R28" s="30" t="s">
        <v>9</v>
      </c>
      <c r="S28" s="30" t="str">
        <f t="shared" si="18"/>
        <v>Sistemas Prediais</v>
      </c>
      <c r="T28" s="30" t="str">
        <f t="shared" si="18"/>
        <v>Sistema Incêndio</v>
      </c>
      <c r="U28" s="30" t="str">
        <f t="shared" si="18"/>
        <v>Tubulação de Incêndio</v>
      </c>
      <c r="V28" s="30" t="s">
        <v>241</v>
      </c>
      <c r="W28" s="59" t="str">
        <f t="shared" si="3"/>
        <v>Key-INC-28</v>
      </c>
      <c r="X28" s="29" t="s">
        <v>269</v>
      </c>
      <c r="Y28" s="29" t="s">
        <v>267</v>
      </c>
      <c r="Z28" s="30" t="s">
        <v>212</v>
      </c>
      <c r="AA28" s="30" t="str">
        <f t="shared" si="4"/>
        <v>Cold Water Pipe</v>
      </c>
    </row>
    <row r="29" spans="1:27" ht="6.65" customHeight="1" x14ac:dyDescent="0.4">
      <c r="A29" s="60">
        <v>29</v>
      </c>
      <c r="B29" s="1" t="s">
        <v>316</v>
      </c>
      <c r="C29" s="42" t="s">
        <v>317</v>
      </c>
      <c r="D29" s="1" t="s">
        <v>119</v>
      </c>
      <c r="E29" s="42" t="s">
        <v>217</v>
      </c>
      <c r="F29" s="42" t="s">
        <v>175</v>
      </c>
      <c r="G29" s="61" t="s">
        <v>9</v>
      </c>
      <c r="H29" s="61" t="s">
        <v>9</v>
      </c>
      <c r="I29" s="61" t="s">
        <v>9</v>
      </c>
      <c r="J29" s="61" t="s">
        <v>9</v>
      </c>
      <c r="K29" s="61" t="s">
        <v>9</v>
      </c>
      <c r="L29" s="33" t="str">
        <f t="shared" ref="L29:L31" si="22">CONCATENATE("", C29)</f>
        <v>Sistemas.Prediais</v>
      </c>
      <c r="M29" s="33" t="str">
        <f t="shared" ref="M29:M31" si="23">CONCATENATE("", D29)</f>
        <v>Sistema.Incêndio</v>
      </c>
      <c r="N29" s="33" t="s">
        <v>211</v>
      </c>
      <c r="O29" s="52" t="s">
        <v>205</v>
      </c>
      <c r="P29" s="52" t="s">
        <v>108</v>
      </c>
      <c r="Q29" s="30" t="str">
        <f t="shared" si="21"/>
        <v>Tubería de agua fría</v>
      </c>
      <c r="R29" s="30" t="s">
        <v>9</v>
      </c>
      <c r="S29" s="30" t="str">
        <f t="shared" ref="S29:S31" si="24">SUBSTITUTE(C29, ".", " ")</f>
        <v>Sistemas Prediais</v>
      </c>
      <c r="T29" s="30" t="str">
        <f t="shared" si="18"/>
        <v>Sistema Incêndio</v>
      </c>
      <c r="U29" s="30" t="str">
        <f t="shared" si="18"/>
        <v>Tubulação de Incêndio</v>
      </c>
      <c r="V29" s="30" t="s">
        <v>241</v>
      </c>
      <c r="W29" s="59" t="str">
        <f t="shared" si="3"/>
        <v>Key-INC-29</v>
      </c>
      <c r="X29" s="29" t="s">
        <v>269</v>
      </c>
      <c r="Y29" s="29" t="s">
        <v>267</v>
      </c>
      <c r="Z29" s="30" t="s">
        <v>212</v>
      </c>
      <c r="AA29" s="30" t="str">
        <f t="shared" si="4"/>
        <v>Cold Water Pipe</v>
      </c>
    </row>
    <row r="30" spans="1:27" ht="6.65" customHeight="1" x14ac:dyDescent="0.4">
      <c r="A30" s="60">
        <v>30</v>
      </c>
      <c r="B30" s="1" t="s">
        <v>236</v>
      </c>
      <c r="C30" s="42" t="s">
        <v>237</v>
      </c>
      <c r="D30" s="1" t="s">
        <v>251</v>
      </c>
      <c r="E30" s="42" t="s">
        <v>252</v>
      </c>
      <c r="F30" s="42" t="s">
        <v>245</v>
      </c>
      <c r="G30" s="61" t="s">
        <v>9</v>
      </c>
      <c r="H30" s="61" t="s">
        <v>9</v>
      </c>
      <c r="I30" s="61" t="s">
        <v>9</v>
      </c>
      <c r="J30" s="61" t="s">
        <v>9</v>
      </c>
      <c r="K30" s="61" t="s">
        <v>9</v>
      </c>
      <c r="L30" s="33" t="str">
        <f t="shared" si="22"/>
        <v>De.Incêndio</v>
      </c>
      <c r="M30" s="33" t="str">
        <f t="shared" si="23"/>
        <v>Sistemas.Passivos</v>
      </c>
      <c r="N30" s="33" t="s">
        <v>247</v>
      </c>
      <c r="O30" s="52" t="s">
        <v>243</v>
      </c>
      <c r="P30" s="52" t="s">
        <v>238</v>
      </c>
      <c r="Q30" s="30" t="str">
        <f t="shared" si="21"/>
        <v>La puerta cortafuegos que se cierra impide el paso del fuego y el humo.</v>
      </c>
      <c r="R30" s="30" t="s">
        <v>9</v>
      </c>
      <c r="S30" s="30" t="str">
        <f t="shared" si="24"/>
        <v>De Incêndio</v>
      </c>
      <c r="T30" s="30" t="str">
        <f t="shared" ref="T30:T32" si="25">SUBSTITUTE(D30, ".", " ")</f>
        <v>Sistemas Passivos</v>
      </c>
      <c r="U30" s="30" t="str">
        <f t="shared" ref="U30:U32" si="26">SUBSTITUTE(E30, ".", " ")</f>
        <v>De Selagem</v>
      </c>
      <c r="V30" s="30" t="s">
        <v>241</v>
      </c>
      <c r="W30" s="59" t="str">
        <f t="shared" si="3"/>
        <v>Key-INC-30</v>
      </c>
      <c r="X30" s="29" t="s">
        <v>239</v>
      </c>
      <c r="Y30" s="29" t="s">
        <v>240</v>
      </c>
      <c r="Z30" s="30" t="s">
        <v>212</v>
      </c>
      <c r="AA30" s="30" t="str">
        <f t="shared" si="4"/>
        <v>Fire door that closed prevents the passage of fire and smoke.</v>
      </c>
    </row>
    <row r="31" spans="1:27" ht="6.65" customHeight="1" x14ac:dyDescent="0.4">
      <c r="A31" s="60">
        <v>31</v>
      </c>
      <c r="B31" s="1" t="s">
        <v>236</v>
      </c>
      <c r="C31" s="42" t="s">
        <v>237</v>
      </c>
      <c r="D31" s="1" t="s">
        <v>251</v>
      </c>
      <c r="E31" s="42" t="s">
        <v>252</v>
      </c>
      <c r="F31" s="42" t="s">
        <v>244</v>
      </c>
      <c r="G31" s="61" t="s">
        <v>9</v>
      </c>
      <c r="H31" s="61" t="s">
        <v>9</v>
      </c>
      <c r="I31" s="61" t="s">
        <v>9</v>
      </c>
      <c r="J31" s="61" t="s">
        <v>9</v>
      </c>
      <c r="K31" s="61" t="s">
        <v>9</v>
      </c>
      <c r="L31" s="33" t="str">
        <f t="shared" si="22"/>
        <v>De.Incêndio</v>
      </c>
      <c r="M31" s="33" t="str">
        <f t="shared" si="23"/>
        <v>Sistemas.Passivos</v>
      </c>
      <c r="N31" s="33" t="s">
        <v>247</v>
      </c>
      <c r="O31" s="52" t="s">
        <v>242</v>
      </c>
      <c r="P31" s="52" t="s">
        <v>249</v>
      </c>
      <c r="Q31" s="30" t="str">
        <f t="shared" si="21"/>
        <v>Muros y tabiques que limitan la propagación de las llamas gracias a sus propiedades de resistencia al fuego, diseñados específicamente para esta función.</v>
      </c>
      <c r="R31" s="30" t="s">
        <v>9</v>
      </c>
      <c r="S31" s="30" t="str">
        <f t="shared" si="24"/>
        <v>De Incêndio</v>
      </c>
      <c r="T31" s="30" t="str">
        <f t="shared" si="25"/>
        <v>Sistemas Passivos</v>
      </c>
      <c r="U31" s="30" t="str">
        <f t="shared" si="26"/>
        <v>De Selagem</v>
      </c>
      <c r="V31" s="30" t="s">
        <v>241</v>
      </c>
      <c r="W31" s="59" t="str">
        <f t="shared" si="3"/>
        <v>Key-INC-31</v>
      </c>
      <c r="X31" s="29" t="s">
        <v>265</v>
      </c>
      <c r="Y31" s="29" t="s">
        <v>9</v>
      </c>
      <c r="Z31" s="30" t="s">
        <v>212</v>
      </c>
      <c r="AA31" s="30" t="str">
        <f t="shared" si="4"/>
        <v>Walls and partitions that limit the spread of flames thanks to their fire resistance properties, designed specifically for this function.</v>
      </c>
    </row>
    <row r="32" spans="1:27" ht="6" customHeight="1" x14ac:dyDescent="0.4">
      <c r="A32" s="60">
        <v>32</v>
      </c>
      <c r="B32" s="1" t="s">
        <v>236</v>
      </c>
      <c r="C32" s="42" t="s">
        <v>237</v>
      </c>
      <c r="D32" s="1" t="s">
        <v>251</v>
      </c>
      <c r="E32" s="42" t="s">
        <v>252</v>
      </c>
      <c r="F32" s="42" t="s">
        <v>246</v>
      </c>
      <c r="G32" s="61" t="s">
        <v>9</v>
      </c>
      <c r="H32" s="61" t="s">
        <v>9</v>
      </c>
      <c r="I32" s="61" t="s">
        <v>9</v>
      </c>
      <c r="J32" s="61" t="s">
        <v>9</v>
      </c>
      <c r="K32" s="61" t="s">
        <v>9</v>
      </c>
      <c r="L32" s="33" t="str">
        <f t="shared" ref="L32:L34" si="27">CONCATENATE("", C32)</f>
        <v>De.Incêndio</v>
      </c>
      <c r="M32" s="33" t="str">
        <f t="shared" ref="M32:M34" si="28">CONCATENATE("", D32)</f>
        <v>Sistemas.Passivos</v>
      </c>
      <c r="N32" s="33" t="s">
        <v>247</v>
      </c>
      <c r="O32" s="52" t="s">
        <v>248</v>
      </c>
      <c r="P32" s="52" t="s">
        <v>250</v>
      </c>
      <c r="Q32" s="30" t="str">
        <f t="shared" si="21"/>
        <v>Pozos y pasadizos verticales diseñados con sellado intumescente, volcadores sin humo y barreras cortafuego en cada planta.</v>
      </c>
      <c r="R32" s="30" t="s">
        <v>9</v>
      </c>
      <c r="S32" s="30" t="str">
        <f t="shared" ref="S32:S34" si="29">SUBSTITUTE(C32, ".", " ")</f>
        <v>De Incêndio</v>
      </c>
      <c r="T32" s="30" t="str">
        <f t="shared" si="25"/>
        <v>Sistemas Passivos</v>
      </c>
      <c r="U32" s="30" t="str">
        <f t="shared" si="26"/>
        <v>De Selagem</v>
      </c>
      <c r="V32" s="30" t="s">
        <v>241</v>
      </c>
      <c r="W32" s="59" t="str">
        <f t="shared" si="3"/>
        <v>Key-INC-32</v>
      </c>
      <c r="X32" s="29" t="s">
        <v>266</v>
      </c>
      <c r="Y32" s="29" t="s">
        <v>9</v>
      </c>
      <c r="Z32" s="30" t="s">
        <v>212</v>
      </c>
      <c r="AA32" s="30" t="str">
        <f t="shared" si="4"/>
        <v>Shafts and vertical passages designed with intumescent sealing, smoke-free dumpers and fire barriers on each floor.</v>
      </c>
    </row>
    <row r="33" spans="1:27" ht="6.65" customHeight="1" x14ac:dyDescent="0.4">
      <c r="A33" s="60">
        <v>33</v>
      </c>
      <c r="B33" s="1" t="s">
        <v>236</v>
      </c>
      <c r="C33" s="42" t="s">
        <v>237</v>
      </c>
      <c r="D33" s="1" t="s">
        <v>253</v>
      </c>
      <c r="E33" s="42" t="s">
        <v>254</v>
      </c>
      <c r="F33" s="42" t="s">
        <v>255</v>
      </c>
      <c r="G33" s="61" t="s">
        <v>9</v>
      </c>
      <c r="H33" s="61" t="s">
        <v>9</v>
      </c>
      <c r="I33" s="61" t="s">
        <v>9</v>
      </c>
      <c r="J33" s="61" t="s">
        <v>9</v>
      </c>
      <c r="K33" s="61" t="s">
        <v>9</v>
      </c>
      <c r="L33" s="33" t="str">
        <f t="shared" ref="L33" si="30">CONCATENATE("", C33)</f>
        <v>De.Incêndio</v>
      </c>
      <c r="M33" s="33" t="str">
        <f t="shared" ref="M33" si="31">CONCATENATE("", D33)</f>
        <v>Sistemas.Ativos</v>
      </c>
      <c r="N33" s="52" t="s">
        <v>261</v>
      </c>
      <c r="O33" s="52" t="s">
        <v>258</v>
      </c>
      <c r="P33" s="63" t="s">
        <v>262</v>
      </c>
      <c r="Q33" s="30" t="str">
        <f t="shared" ref="Q33:Q35" si="32">_xlfn.TRANSLATE(P33,"pt","es")</f>
        <v>El colgante de aspersores es una ducha automática instalada en el techo con el chorro de agua hacia abajo.</v>
      </c>
      <c r="R33" s="30" t="s">
        <v>9</v>
      </c>
      <c r="S33" s="30" t="str">
        <f t="shared" ref="S33" si="33">SUBSTITUTE(C33, ".", " ")</f>
        <v>De Incêndio</v>
      </c>
      <c r="T33" s="30" t="str">
        <f t="shared" ref="T33:T35" si="34">SUBSTITUTE(D33, ".", " ")</f>
        <v>Sistemas Ativos</v>
      </c>
      <c r="U33" s="30" t="str">
        <f t="shared" ref="U33:U35" si="35">SUBSTITUTE(E33, ".", " ")</f>
        <v>De Combate</v>
      </c>
      <c r="V33" s="30" t="s">
        <v>241</v>
      </c>
      <c r="W33" s="59" t="str">
        <f t="shared" ref="W33:W35" si="36">CONCATENATE("Key-INC-",A33)</f>
        <v>Key-INC-33</v>
      </c>
      <c r="X33" s="30" t="s">
        <v>270</v>
      </c>
      <c r="Y33" s="29" t="s">
        <v>268</v>
      </c>
      <c r="Z33" s="30" t="s">
        <v>212</v>
      </c>
      <c r="AA33" s="30" t="str">
        <f t="shared" si="4"/>
        <v>Sprinkler Pendant is an automatic shower installed on the ceiling with the water jet down.</v>
      </c>
    </row>
    <row r="34" spans="1:27" ht="6.65" customHeight="1" x14ac:dyDescent="0.4">
      <c r="A34" s="60">
        <v>34</v>
      </c>
      <c r="B34" s="1" t="s">
        <v>236</v>
      </c>
      <c r="C34" s="42" t="s">
        <v>237</v>
      </c>
      <c r="D34" s="1" t="s">
        <v>253</v>
      </c>
      <c r="E34" s="42" t="s">
        <v>254</v>
      </c>
      <c r="F34" s="42" t="s">
        <v>256</v>
      </c>
      <c r="G34" s="61" t="s">
        <v>9</v>
      </c>
      <c r="H34" s="61" t="s">
        <v>9</v>
      </c>
      <c r="I34" s="61" t="s">
        <v>9</v>
      </c>
      <c r="J34" s="61" t="s">
        <v>9</v>
      </c>
      <c r="K34" s="61" t="s">
        <v>9</v>
      </c>
      <c r="L34" s="33" t="str">
        <f t="shared" si="27"/>
        <v>De.Incêndio</v>
      </c>
      <c r="M34" s="33" t="str">
        <f t="shared" si="28"/>
        <v>Sistemas.Ativos</v>
      </c>
      <c r="N34" s="52" t="s">
        <v>261</v>
      </c>
      <c r="O34" s="52" t="s">
        <v>259</v>
      </c>
      <c r="P34" s="63" t="s">
        <v>263</v>
      </c>
      <c r="Q34" s="30" t="str">
        <f t="shared" ref="Q34" si="37">_xlfn.TRANSLATE(P34,"pt","es")</f>
        <v>El rociador vertical es una ducha automática instalada en tuberías expuestas bajo el techo con el chorro de agua hacia arriba.</v>
      </c>
      <c r="R34" s="30" t="s">
        <v>9</v>
      </c>
      <c r="S34" s="30" t="str">
        <f t="shared" si="29"/>
        <v>De Incêndio</v>
      </c>
      <c r="T34" s="30" t="str">
        <f t="shared" ref="T34" si="38">SUBSTITUTE(D34, ".", " ")</f>
        <v>Sistemas Ativos</v>
      </c>
      <c r="U34" s="30" t="str">
        <f t="shared" ref="U34" si="39">SUBSTITUTE(E34, ".", " ")</f>
        <v>De Combate</v>
      </c>
      <c r="V34" s="30" t="s">
        <v>241</v>
      </c>
      <c r="W34" s="59" t="str">
        <f t="shared" ref="W34" si="40">CONCATENATE("Key-INC-",A34)</f>
        <v>Key-INC-34</v>
      </c>
      <c r="X34" s="30" t="s">
        <v>270</v>
      </c>
      <c r="Y34" s="29" t="s">
        <v>268</v>
      </c>
      <c r="Z34" s="30" t="s">
        <v>212</v>
      </c>
      <c r="AA34" s="30" t="str">
        <f t="shared" si="4"/>
        <v>Upright Sprinkler is an automatic shower installed in exposed piping below the ceiling with the water jet up.</v>
      </c>
    </row>
    <row r="35" spans="1:27" ht="6.65" customHeight="1" x14ac:dyDescent="0.4">
      <c r="A35" s="60">
        <v>35</v>
      </c>
      <c r="B35" s="1" t="s">
        <v>236</v>
      </c>
      <c r="C35" s="42" t="s">
        <v>237</v>
      </c>
      <c r="D35" s="1" t="s">
        <v>253</v>
      </c>
      <c r="E35" s="42" t="s">
        <v>254</v>
      </c>
      <c r="F35" s="42" t="s">
        <v>257</v>
      </c>
      <c r="G35" s="61" t="s">
        <v>9</v>
      </c>
      <c r="H35" s="61" t="s">
        <v>9</v>
      </c>
      <c r="I35" s="61" t="s">
        <v>9</v>
      </c>
      <c r="J35" s="61" t="s">
        <v>9</v>
      </c>
      <c r="K35" s="61" t="s">
        <v>9</v>
      </c>
      <c r="L35" s="33" t="str">
        <f t="shared" ref="L35" si="41">CONCATENATE("", C35)</f>
        <v>De.Incêndio</v>
      </c>
      <c r="M35" s="33" t="str">
        <f t="shared" ref="M35" si="42">CONCATENATE("", D35)</f>
        <v>Sistemas.Ativos</v>
      </c>
      <c r="N35" s="52" t="s">
        <v>261</v>
      </c>
      <c r="O35" s="52" t="s">
        <v>260</v>
      </c>
      <c r="P35" s="63" t="s">
        <v>264</v>
      </c>
      <c r="Q35" s="30" t="str">
        <f t="shared" si="32"/>
        <v>El rociador lateral es una ducha automática instalada en las paredes, ideal para pasillos.</v>
      </c>
      <c r="R35" s="30" t="s">
        <v>9</v>
      </c>
      <c r="S35" s="30" t="str">
        <f t="shared" ref="S35" si="43">SUBSTITUTE(C35, ".", " ")</f>
        <v>De Incêndio</v>
      </c>
      <c r="T35" s="30" t="str">
        <f t="shared" si="34"/>
        <v>Sistemas Ativos</v>
      </c>
      <c r="U35" s="30" t="str">
        <f t="shared" si="35"/>
        <v>De Combate</v>
      </c>
      <c r="V35" s="30" t="s">
        <v>241</v>
      </c>
      <c r="W35" s="59" t="str">
        <f t="shared" si="36"/>
        <v>Key-INC-35</v>
      </c>
      <c r="X35" s="30" t="s">
        <v>270</v>
      </c>
      <c r="Y35" s="29" t="s">
        <v>268</v>
      </c>
      <c r="Z35" s="30" t="s">
        <v>212</v>
      </c>
      <c r="AA35" s="30" t="str">
        <f t="shared" si="4"/>
        <v>Side Sprinkler is an automatic shower installed on walls, ideal for corridors.</v>
      </c>
    </row>
    <row r="36" spans="1:27" ht="6.65" customHeight="1" x14ac:dyDescent="0.4">
      <c r="A36" s="60">
        <v>36</v>
      </c>
      <c r="B36" s="1" t="s">
        <v>236</v>
      </c>
      <c r="C36" s="42" t="s">
        <v>237</v>
      </c>
      <c r="D36" s="1" t="s">
        <v>253</v>
      </c>
      <c r="E36" s="42" t="s">
        <v>291</v>
      </c>
      <c r="F36" s="42" t="s">
        <v>292</v>
      </c>
      <c r="G36" s="61" t="s">
        <v>9</v>
      </c>
      <c r="H36" s="61" t="s">
        <v>9</v>
      </c>
      <c r="I36" s="61" t="s">
        <v>9</v>
      </c>
      <c r="J36" s="61" t="s">
        <v>9</v>
      </c>
      <c r="K36" s="61" t="s">
        <v>9</v>
      </c>
      <c r="L36" s="33" t="str">
        <f t="shared" ref="L36" si="44">CONCATENATE("", C36)</f>
        <v>De.Incêndio</v>
      </c>
      <c r="M36" s="33" t="str">
        <f t="shared" ref="M36" si="45">CONCATENATE("", D36)</f>
        <v>Sistemas.Ativos</v>
      </c>
      <c r="N36" s="52" t="s">
        <v>290</v>
      </c>
      <c r="O36" s="52" t="s">
        <v>297</v>
      </c>
      <c r="P36" s="63" t="s">
        <v>306</v>
      </c>
      <c r="Q36" s="30" t="str">
        <f t="shared" ref="Q36" si="46">_xlfn.TRANSLATE(P36,"pt","es")</f>
        <v>Detecta partículas muy pequeñas de humo en incendios de combustión rápida.</v>
      </c>
      <c r="R36" s="30" t="s">
        <v>9</v>
      </c>
      <c r="S36" s="30" t="str">
        <f t="shared" ref="S36" si="47">SUBSTITUTE(C36, ".", " ")</f>
        <v>De Incêndio</v>
      </c>
      <c r="T36" s="30" t="str">
        <f t="shared" ref="T36" si="48">SUBSTITUTE(D36, ".", " ")</f>
        <v>Sistemas Ativos</v>
      </c>
      <c r="U36" s="30" t="str">
        <f t="shared" ref="U36" si="49">SUBSTITUTE(E36, ".", " ")</f>
        <v>De Detecção</v>
      </c>
      <c r="V36" s="30" t="s">
        <v>241</v>
      </c>
      <c r="W36" s="59" t="str">
        <f t="shared" ref="W36" si="50">CONCATENATE("Key-INC-",A36)</f>
        <v>Key-INC-36</v>
      </c>
      <c r="X36" s="30" t="s">
        <v>270</v>
      </c>
      <c r="Y36" s="29" t="s">
        <v>268</v>
      </c>
      <c r="Z36" s="30" t="s">
        <v>212</v>
      </c>
      <c r="AA36" s="30" t="str">
        <f t="shared" si="4"/>
        <v>Detects very small particles of smoke in fast-burning fires.</v>
      </c>
    </row>
    <row r="37" spans="1:27" ht="6.65" customHeight="1" x14ac:dyDescent="0.4">
      <c r="A37" s="60">
        <v>37</v>
      </c>
      <c r="B37" s="1" t="s">
        <v>236</v>
      </c>
      <c r="C37" s="42" t="s">
        <v>237</v>
      </c>
      <c r="D37" s="1" t="s">
        <v>253</v>
      </c>
      <c r="E37" s="42" t="s">
        <v>291</v>
      </c>
      <c r="F37" s="42" t="s">
        <v>293</v>
      </c>
      <c r="G37" s="61" t="s">
        <v>9</v>
      </c>
      <c r="H37" s="61" t="s">
        <v>9</v>
      </c>
      <c r="I37" s="61" t="s">
        <v>9</v>
      </c>
      <c r="J37" s="61" t="s">
        <v>9</v>
      </c>
      <c r="K37" s="61" t="s">
        <v>9</v>
      </c>
      <c r="L37" s="33" t="str">
        <f t="shared" ref="L37:L38" si="51">CONCATENATE("", C37)</f>
        <v>De.Incêndio</v>
      </c>
      <c r="M37" s="33" t="str">
        <f t="shared" ref="M37:M38" si="52">CONCATENATE("", D37)</f>
        <v>Sistemas.Ativos</v>
      </c>
      <c r="N37" s="52" t="s">
        <v>290</v>
      </c>
      <c r="O37" s="52" t="s">
        <v>298</v>
      </c>
      <c r="P37" s="63" t="s">
        <v>305</v>
      </c>
      <c r="Q37" s="30" t="str">
        <f t="shared" ref="Q37:Q38" si="53">_xlfn.TRANSLATE(P37,"pt","es")</f>
        <v>Detecta el humo dispersando la luz en una cámara interna. Más efectivo en incendios latentes (humo denso). Es el tipo más común en edificios residenciales y comerciales.</v>
      </c>
      <c r="R37" s="30" t="s">
        <v>9</v>
      </c>
      <c r="S37" s="30" t="str">
        <f t="shared" ref="S37:S38" si="54">SUBSTITUTE(C37, ".", " ")</f>
        <v>De Incêndio</v>
      </c>
      <c r="T37" s="30" t="str">
        <f t="shared" ref="T37:T38" si="55">SUBSTITUTE(D37, ".", " ")</f>
        <v>Sistemas Ativos</v>
      </c>
      <c r="U37" s="30" t="str">
        <f t="shared" ref="U37:U38" si="56">SUBSTITUTE(E37, ".", " ")</f>
        <v>De Detecção</v>
      </c>
      <c r="V37" s="30" t="s">
        <v>241</v>
      </c>
      <c r="W37" s="59" t="str">
        <f t="shared" ref="W37:W38" si="57">CONCATENATE("Key-INC-",A37)</f>
        <v>Key-INC-37</v>
      </c>
      <c r="X37" s="30" t="s">
        <v>270</v>
      </c>
      <c r="Y37" s="29" t="s">
        <v>268</v>
      </c>
      <c r="Z37" s="30" t="s">
        <v>212</v>
      </c>
      <c r="AA37" s="30" t="str">
        <f t="shared" si="4"/>
        <v>It detects smoke by scattering light in an internal chamber. Most effective on smoldering fires (dense smoke). It is the most common type in residential and commercial buildings.</v>
      </c>
    </row>
    <row r="38" spans="1:27" ht="6.65" customHeight="1" x14ac:dyDescent="0.4">
      <c r="A38" s="60">
        <v>38</v>
      </c>
      <c r="B38" s="1" t="s">
        <v>236</v>
      </c>
      <c r="C38" s="42" t="s">
        <v>237</v>
      </c>
      <c r="D38" s="1" t="s">
        <v>253</v>
      </c>
      <c r="E38" s="42" t="s">
        <v>291</v>
      </c>
      <c r="F38" s="42" t="s">
        <v>294</v>
      </c>
      <c r="G38" s="61" t="s">
        <v>9</v>
      </c>
      <c r="H38" s="61" t="s">
        <v>9</v>
      </c>
      <c r="I38" s="61" t="s">
        <v>9</v>
      </c>
      <c r="J38" s="61" t="s">
        <v>9</v>
      </c>
      <c r="K38" s="61" t="s">
        <v>9</v>
      </c>
      <c r="L38" s="33" t="str">
        <f t="shared" si="51"/>
        <v>De.Incêndio</v>
      </c>
      <c r="M38" s="33" t="str">
        <f t="shared" si="52"/>
        <v>Sistemas.Ativos</v>
      </c>
      <c r="N38" s="52" t="s">
        <v>290</v>
      </c>
      <c r="O38" s="52" t="s">
        <v>299</v>
      </c>
      <c r="P38" s="63" t="s">
        <v>304</v>
      </c>
      <c r="Q38" s="30" t="str">
        <f t="shared" si="53"/>
        <v>Detecta el uso de una red de tuberías que succiona continuamente aire del entorno. Detecta partículas muy pequeñas, permitiendo una detección temprana. Ideal para centros de datos, museos, bibliotecas y entornos críticos.</v>
      </c>
      <c r="R38" s="30" t="s">
        <v>9</v>
      </c>
      <c r="S38" s="30" t="str">
        <f t="shared" si="54"/>
        <v>De Incêndio</v>
      </c>
      <c r="T38" s="30" t="str">
        <f t="shared" si="55"/>
        <v>Sistemas Ativos</v>
      </c>
      <c r="U38" s="30" t="str">
        <f t="shared" si="56"/>
        <v>De Detecção</v>
      </c>
      <c r="V38" s="30" t="s">
        <v>241</v>
      </c>
      <c r="W38" s="59" t="str">
        <f t="shared" si="57"/>
        <v>Key-INC-38</v>
      </c>
      <c r="X38" s="30" t="s">
        <v>270</v>
      </c>
      <c r="Y38" s="29" t="s">
        <v>268</v>
      </c>
      <c r="Z38" s="30" t="s">
        <v>212</v>
      </c>
      <c r="AA38" s="30" t="str">
        <f t="shared" si="4"/>
        <v>It detects using a network of pipes that continuously sucks in air from the environment. Detects very small particles, allowing early detection. Ideal for data centers, museums, libraries, and critical environments.</v>
      </c>
    </row>
    <row r="39" spans="1:27" ht="6.65" customHeight="1" x14ac:dyDescent="0.4">
      <c r="A39" s="60">
        <v>39</v>
      </c>
      <c r="B39" s="1" t="s">
        <v>236</v>
      </c>
      <c r="C39" s="42" t="s">
        <v>237</v>
      </c>
      <c r="D39" s="1" t="s">
        <v>253</v>
      </c>
      <c r="E39" s="42" t="s">
        <v>291</v>
      </c>
      <c r="F39" s="42" t="s">
        <v>295</v>
      </c>
      <c r="G39" s="61" t="s">
        <v>9</v>
      </c>
      <c r="H39" s="61" t="s">
        <v>9</v>
      </c>
      <c r="I39" s="61" t="s">
        <v>9</v>
      </c>
      <c r="J39" s="61" t="s">
        <v>9</v>
      </c>
      <c r="K39" s="61" t="s">
        <v>9</v>
      </c>
      <c r="L39" s="33" t="str">
        <f t="shared" ref="L39" si="58">CONCATENATE("", C39)</f>
        <v>De.Incêndio</v>
      </c>
      <c r="M39" s="33" t="str">
        <f t="shared" ref="M39" si="59">CONCATENATE("", D39)</f>
        <v>Sistemas.Ativos</v>
      </c>
      <c r="N39" s="52" t="s">
        <v>290</v>
      </c>
      <c r="O39" s="52" t="s">
        <v>300</v>
      </c>
      <c r="P39" s="63" t="s">
        <v>303</v>
      </c>
      <c r="Q39" s="30" t="str">
        <f t="shared" ref="Q39" si="60">_xlfn.TRANSLATE(P39,"pt","es")</f>
        <v>Detecta gracias a un haz de luz (láser o infrarrojo) entre el emisor y el receptor.</v>
      </c>
      <c r="R39" s="30" t="s">
        <v>9</v>
      </c>
      <c r="S39" s="30" t="str">
        <f t="shared" ref="S39" si="61">SUBSTITUTE(C39, ".", " ")</f>
        <v>De Incêndio</v>
      </c>
      <c r="T39" s="30" t="str">
        <f t="shared" ref="T39" si="62">SUBSTITUTE(D39, ".", " ")</f>
        <v>Sistemas Ativos</v>
      </c>
      <c r="U39" s="30" t="str">
        <f t="shared" ref="U39" si="63">SUBSTITUTE(E39, ".", " ")</f>
        <v>De Detecção</v>
      </c>
      <c r="V39" s="30" t="s">
        <v>241</v>
      </c>
      <c r="W39" s="59" t="str">
        <f t="shared" ref="W39" si="64">CONCATENATE("Key-INC-",A39)</f>
        <v>Key-INC-39</v>
      </c>
      <c r="X39" s="30" t="s">
        <v>270</v>
      </c>
      <c r="Y39" s="29" t="s">
        <v>268</v>
      </c>
      <c r="Z39" s="30" t="s">
        <v>212</v>
      </c>
      <c r="AA39" s="30" t="str">
        <f t="shared" si="4"/>
        <v>It detects thanks to a beam of light (laser or infrared) between emitter and receiver.</v>
      </c>
    </row>
    <row r="40" spans="1:27" ht="6.65" customHeight="1" x14ac:dyDescent="0.4">
      <c r="A40" s="60">
        <v>40</v>
      </c>
      <c r="B40" s="1" t="s">
        <v>236</v>
      </c>
      <c r="C40" s="42" t="s">
        <v>237</v>
      </c>
      <c r="D40" s="1" t="s">
        <v>253</v>
      </c>
      <c r="E40" s="42" t="s">
        <v>291</v>
      </c>
      <c r="F40" s="42" t="s">
        <v>296</v>
      </c>
      <c r="G40" s="61" t="s">
        <v>9</v>
      </c>
      <c r="H40" s="61" t="s">
        <v>9</v>
      </c>
      <c r="I40" s="61" t="s">
        <v>9</v>
      </c>
      <c r="J40" s="61" t="s">
        <v>9</v>
      </c>
      <c r="K40" s="61" t="s">
        <v>9</v>
      </c>
      <c r="L40" s="33" t="str">
        <f t="shared" ref="L40" si="65">CONCATENATE("", C40)</f>
        <v>De.Incêndio</v>
      </c>
      <c r="M40" s="33" t="str">
        <f t="shared" ref="M40" si="66">CONCATENATE("", D40)</f>
        <v>Sistemas.Ativos</v>
      </c>
      <c r="N40" s="52" t="s">
        <v>290</v>
      </c>
      <c r="O40" s="52" t="s">
        <v>301</v>
      </c>
      <c r="P40" s="63" t="s">
        <v>302</v>
      </c>
      <c r="Q40" s="30" t="str">
        <f t="shared" ref="Q40" si="67">_xlfn.TRANSLATE(P40,"pt","es")</f>
        <v>Detector que integra detección de humo y calor en el mismo dispositivo. Aumenta la fiabilidad, estando indicado para entornos industriales o con variaciones de temperatura.</v>
      </c>
      <c r="R40" s="30" t="s">
        <v>9</v>
      </c>
      <c r="S40" s="30" t="str">
        <f t="shared" ref="S40" si="68">SUBSTITUTE(C40, ".", " ")</f>
        <v>De Incêndio</v>
      </c>
      <c r="T40" s="30" t="str">
        <f t="shared" ref="T40" si="69">SUBSTITUTE(D40, ".", " ")</f>
        <v>Sistemas Ativos</v>
      </c>
      <c r="U40" s="30" t="str">
        <f t="shared" ref="U40" si="70">SUBSTITUTE(E40, ".", " ")</f>
        <v>De Detecção</v>
      </c>
      <c r="V40" s="30" t="s">
        <v>241</v>
      </c>
      <c r="W40" s="59" t="str">
        <f t="shared" ref="W40" si="71">CONCATENATE("Key-INC-",A40)</f>
        <v>Key-INC-40</v>
      </c>
      <c r="X40" s="30" t="s">
        <v>270</v>
      </c>
      <c r="Y40" s="29" t="s">
        <v>268</v>
      </c>
      <c r="Z40" s="30" t="s">
        <v>212</v>
      </c>
      <c r="AA40" s="30" t="str">
        <f t="shared" si="4"/>
        <v>Detector that integrates smoke and heat detection in the same device. Increases reliability, being indicated for industrial environments or with temperature variations.</v>
      </c>
    </row>
  </sheetData>
  <sortState xmlns:xlrd2="http://schemas.microsoft.com/office/spreadsheetml/2017/richdata2" ref="A7:AA888">
    <sortCondition ref="F7:F888"/>
  </sortState>
  <phoneticPr fontId="1" type="noConversion"/>
  <conditionalFormatting sqref="A2:B40">
    <cfRule type="cellIs" dxfId="28" priority="6" operator="equal">
      <formula>"null"</formula>
    </cfRule>
  </conditionalFormatting>
  <conditionalFormatting sqref="F1 F7 F24:F1048576">
    <cfRule type="duplicateValues" dxfId="27" priority="1536"/>
  </conditionalFormatting>
  <conditionalFormatting sqref="F1">
    <cfRule type="duplicateValues" dxfId="26" priority="1514"/>
  </conditionalFormatting>
  <conditionalFormatting sqref="F3:F6">
    <cfRule type="duplicateValues" dxfId="25" priority="7"/>
    <cfRule type="duplicateValues" dxfId="24" priority="8"/>
    <cfRule type="duplicateValues" dxfId="23" priority="9"/>
    <cfRule type="duplicateValues" dxfId="22" priority="10"/>
  </conditionalFormatting>
  <conditionalFormatting sqref="F8:F23">
    <cfRule type="duplicateValues" dxfId="21" priority="1558"/>
  </conditionalFormatting>
  <conditionalFormatting sqref="F41:F1048576">
    <cfRule type="duplicateValues" dxfId="20" priority="271"/>
    <cfRule type="duplicateValues" dxfId="19" priority="273"/>
    <cfRule type="duplicateValues" dxfId="18" priority="1486"/>
    <cfRule type="duplicateValues" dxfId="17" priority="1507"/>
  </conditionalFormatting>
  <conditionalFormatting sqref="O21:O23 A1:D1 F1:O1 Q1:X1 Z1:AA1 E8:F20 L8:O20 Q8:Q23 X8:Y23 AB8:XFD23 F21:F23 L21:M23 E21:E24 N21:N24">
    <cfRule type="cellIs" dxfId="16" priority="78" operator="equal">
      <formula>"null"</formula>
    </cfRule>
  </conditionalFormatting>
  <conditionalFormatting sqref="O23">
    <cfRule type="duplicateValues" dxfId="15" priority="26"/>
  </conditionalFormatting>
  <conditionalFormatting sqref="O24:O32">
    <cfRule type="duplicateValues" dxfId="14" priority="1565"/>
  </conditionalFormatting>
  <conditionalFormatting sqref="O33:O40">
    <cfRule type="duplicateValues" dxfId="13" priority="4"/>
  </conditionalFormatting>
  <conditionalFormatting sqref="Q7">
    <cfRule type="duplicateValues" dxfId="12" priority="37"/>
  </conditionalFormatting>
  <conditionalFormatting sqref="S7:S40">
    <cfRule type="cellIs" dxfId="11" priority="12" operator="equal">
      <formula>"null"</formula>
    </cfRule>
  </conditionalFormatting>
  <conditionalFormatting sqref="X24">
    <cfRule type="cellIs" dxfId="10" priority="30" operator="equal">
      <formula>"null"</formula>
    </cfRule>
  </conditionalFormatting>
  <conditionalFormatting sqref="X33:X40">
    <cfRule type="cellIs" dxfId="9" priority="3" operator="equal">
      <formula>"null"</formula>
    </cfRule>
  </conditionalFormatting>
  <conditionalFormatting sqref="AA2:AA40">
    <cfRule type="cellIs" dxfId="8" priority="1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B6" sqref="B6"/>
    </sheetView>
  </sheetViews>
  <sheetFormatPr defaultColWidth="11.15234375" defaultRowHeight="7.75" x14ac:dyDescent="0.2"/>
  <cols>
    <col min="1" max="1" width="2.84375" style="10" customWidth="1"/>
    <col min="2" max="10" width="6.53515625" style="11" customWidth="1"/>
    <col min="11" max="21" width="6.53515625" style="9" customWidth="1"/>
    <col min="22" max="16384" width="11.15234375" style="9"/>
  </cols>
  <sheetData>
    <row r="1" spans="1:21" s="4" customFormat="1" x14ac:dyDescent="0.2">
      <c r="A1" s="2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3" t="s">
        <v>28</v>
      </c>
      <c r="S1" s="3" t="s">
        <v>29</v>
      </c>
      <c r="T1" s="3" t="s">
        <v>30</v>
      </c>
      <c r="U1" s="5" t="s">
        <v>31</v>
      </c>
    </row>
    <row r="2" spans="1:21" s="4" customFormat="1" ht="10.5" customHeight="1" x14ac:dyDescent="0.2">
      <c r="A2" s="6">
        <v>2</v>
      </c>
      <c r="B2" s="7" t="s">
        <v>9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7" t="s">
        <v>9</v>
      </c>
      <c r="I2" s="7" t="s">
        <v>9</v>
      </c>
      <c r="J2" s="7" t="s">
        <v>9</v>
      </c>
      <c r="K2" s="7" t="s">
        <v>9</v>
      </c>
      <c r="L2" s="7" t="s">
        <v>9</v>
      </c>
      <c r="M2" s="7" t="s">
        <v>9</v>
      </c>
      <c r="N2" s="7" t="s">
        <v>9</v>
      </c>
      <c r="O2" s="7" t="s">
        <v>9</v>
      </c>
      <c r="P2" s="7" t="s">
        <v>9</v>
      </c>
      <c r="Q2" s="7" t="s">
        <v>9</v>
      </c>
      <c r="R2" s="7" t="s">
        <v>9</v>
      </c>
      <c r="S2" s="7" t="s">
        <v>9</v>
      </c>
      <c r="T2" s="7" t="s">
        <v>9</v>
      </c>
      <c r="U2" s="7" t="s">
        <v>9</v>
      </c>
    </row>
    <row r="3" spans="1:21" ht="10.5" customHeight="1" x14ac:dyDescent="0.2">
      <c r="A3" s="6">
        <v>3</v>
      </c>
      <c r="B3" s="7" t="s">
        <v>9</v>
      </c>
      <c r="C3" s="7" t="s">
        <v>9</v>
      </c>
      <c r="D3" s="7" t="s">
        <v>9</v>
      </c>
      <c r="E3" s="7" t="s">
        <v>9</v>
      </c>
      <c r="F3" s="7" t="s">
        <v>9</v>
      </c>
      <c r="G3" s="7" t="s">
        <v>9</v>
      </c>
      <c r="H3" s="7" t="s">
        <v>9</v>
      </c>
      <c r="I3" s="7" t="s">
        <v>9</v>
      </c>
      <c r="J3" s="7" t="s">
        <v>9</v>
      </c>
      <c r="K3" s="7" t="s">
        <v>9</v>
      </c>
      <c r="L3" s="7" t="s">
        <v>9</v>
      </c>
      <c r="M3" s="7" t="s">
        <v>9</v>
      </c>
      <c r="N3" s="7" t="s">
        <v>9</v>
      </c>
      <c r="O3" s="7" t="s">
        <v>9</v>
      </c>
      <c r="P3" s="7" t="s">
        <v>9</v>
      </c>
      <c r="Q3" s="7" t="s">
        <v>9</v>
      </c>
      <c r="R3" s="7" t="s">
        <v>9</v>
      </c>
      <c r="S3" s="7" t="s">
        <v>9</v>
      </c>
      <c r="T3" s="7" t="s">
        <v>9</v>
      </c>
      <c r="U3" s="8" t="s">
        <v>9</v>
      </c>
    </row>
  </sheetData>
  <conditionalFormatting sqref="A1:XFD1048576">
    <cfRule type="cellIs" dxfId="7" priority="2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5EC8-1387-4A67-960C-C64BD1326958}">
  <sheetPr codeName="Planilha5"/>
  <dimension ref="A1:G2"/>
  <sheetViews>
    <sheetView zoomScale="280" zoomScaleNormal="280" workbookViewId="0">
      <pane ySplit="1" topLeftCell="A2" activePane="bottomLeft" state="frozen"/>
      <selection activeCell="B1" sqref="B1"/>
      <selection pane="bottomLeft" activeCell="E7" sqref="E7"/>
    </sheetView>
  </sheetViews>
  <sheetFormatPr defaultColWidth="9.15234375" defaultRowHeight="8.25" customHeight="1" x14ac:dyDescent="0.4"/>
  <cols>
    <col min="1" max="1" width="2.15234375" style="26" customWidth="1"/>
    <col min="2" max="2" width="5.84375" style="25" bestFit="1" customWidth="1"/>
    <col min="3" max="3" width="11.3046875" style="25" bestFit="1" customWidth="1"/>
    <col min="4" max="7" width="10.84375" style="25" bestFit="1" customWidth="1"/>
  </cols>
  <sheetData>
    <row r="1" spans="1:7" ht="33" customHeight="1" x14ac:dyDescent="0.4">
      <c r="A1" s="31">
        <v>0</v>
      </c>
      <c r="B1" s="27" t="s">
        <v>79</v>
      </c>
      <c r="C1" s="28" t="s">
        <v>80</v>
      </c>
      <c r="D1" s="28" t="s">
        <v>81</v>
      </c>
      <c r="E1" s="28" t="s">
        <v>81</v>
      </c>
      <c r="F1" s="28" t="s">
        <v>81</v>
      </c>
      <c r="G1" s="28" t="s">
        <v>81</v>
      </c>
    </row>
    <row r="2" spans="1:7" ht="8.25" customHeight="1" x14ac:dyDescent="0.4">
      <c r="A2" s="32">
        <v>2</v>
      </c>
      <c r="B2" s="30" t="s">
        <v>9</v>
      </c>
      <c r="C2" s="30" t="s">
        <v>9</v>
      </c>
      <c r="D2" s="30" t="s">
        <v>9</v>
      </c>
      <c r="E2" s="30" t="s">
        <v>9</v>
      </c>
      <c r="F2" s="30" t="s">
        <v>9</v>
      </c>
      <c r="G2" s="30" t="s">
        <v>9</v>
      </c>
    </row>
  </sheetData>
  <sortState xmlns:xlrd2="http://schemas.microsoft.com/office/spreadsheetml/2017/richdata2" ref="A2:G2">
    <sortCondition ref="A1:A2"/>
  </sortState>
  <phoneticPr fontId="1" type="noConversion"/>
  <conditionalFormatting sqref="A1:G1 B3:G1048576">
    <cfRule type="containsText" dxfId="6" priority="5" operator="containsText" text="null">
      <formula>NOT(ISERROR(SEARCH("null",A1)))</formula>
    </cfRule>
  </conditionalFormatting>
  <conditionalFormatting sqref="B2">
    <cfRule type="duplicateValues" dxfId="5" priority="1449"/>
    <cfRule type="duplicateValues" dxfId="4" priority="1450"/>
  </conditionalFormatting>
  <conditionalFormatting sqref="B3:B1048576 A1:B1">
    <cfRule type="duplicateValues" dxfId="3" priority="6"/>
  </conditionalFormatting>
  <conditionalFormatting sqref="B3:B1048576 B1">
    <cfRule type="duplicateValues" dxfId="2" priority="4"/>
  </conditionalFormatting>
  <conditionalFormatting sqref="B2:G2">
    <cfRule type="containsText" dxfId="1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0525-EDFB-44CB-9009-6752AEDD7340}">
  <sheetPr codeName="Planilha4"/>
  <dimension ref="A1:S22"/>
  <sheetViews>
    <sheetView zoomScale="250" zoomScaleNormal="250" workbookViewId="0">
      <pane ySplit="1" topLeftCell="A2" activePane="bottomLeft" state="frozen"/>
      <selection pane="bottomLeft" activeCell="B5" sqref="B5:E6"/>
    </sheetView>
  </sheetViews>
  <sheetFormatPr defaultColWidth="11.53515625" defaultRowHeight="7.95" customHeight="1" x14ac:dyDescent="0.4"/>
  <cols>
    <col min="1" max="1" width="2.53515625" bestFit="1" customWidth="1"/>
    <col min="2" max="2" width="8.3828125" customWidth="1"/>
    <col min="3" max="3" width="10.3828125" customWidth="1"/>
    <col min="4" max="4" width="7.84375" customWidth="1"/>
    <col min="5" max="5" width="7.53515625" customWidth="1"/>
    <col min="6" max="6" width="5.15234375" customWidth="1"/>
    <col min="7" max="7" width="56.15234375" customWidth="1"/>
    <col min="8" max="8" width="5.15234375" customWidth="1"/>
    <col min="9" max="9" width="18" customWidth="1"/>
    <col min="10" max="10" width="6.84375" customWidth="1"/>
    <col min="11" max="11" width="18.69140625" customWidth="1"/>
    <col min="12" max="12" width="8.3828125" bestFit="1" customWidth="1"/>
    <col min="13" max="13" width="20.3828125" customWidth="1"/>
    <col min="14" max="14" width="6.69140625" customWidth="1"/>
    <col min="15" max="15" width="6.69140625" bestFit="1" customWidth="1"/>
    <col min="16" max="16" width="5.3828125" customWidth="1"/>
    <col min="17" max="17" width="31.84375" customWidth="1"/>
    <col min="18" max="18" width="8.3828125" bestFit="1" customWidth="1"/>
    <col min="19" max="19" width="26.3828125" customWidth="1"/>
  </cols>
  <sheetData>
    <row r="1" spans="1:19" ht="14.7" customHeight="1" x14ac:dyDescent="0.4">
      <c r="A1" s="17" t="s">
        <v>10</v>
      </c>
      <c r="B1" s="18" t="s">
        <v>73</v>
      </c>
      <c r="C1" s="18" t="s">
        <v>74</v>
      </c>
      <c r="D1" s="19" t="s">
        <v>75</v>
      </c>
      <c r="E1" s="19" t="s">
        <v>78</v>
      </c>
      <c r="F1" s="19" t="s">
        <v>75</v>
      </c>
      <c r="G1" s="19" t="s">
        <v>78</v>
      </c>
      <c r="H1" s="48" t="s">
        <v>76</v>
      </c>
      <c r="I1" s="19" t="s">
        <v>78</v>
      </c>
      <c r="J1" s="19" t="s">
        <v>75</v>
      </c>
      <c r="K1" s="19" t="s">
        <v>78</v>
      </c>
      <c r="L1" s="19" t="s">
        <v>75</v>
      </c>
      <c r="M1" s="19" t="s">
        <v>78</v>
      </c>
      <c r="N1" s="19" t="s">
        <v>75</v>
      </c>
      <c r="O1" s="19" t="s">
        <v>78</v>
      </c>
      <c r="P1" s="19" t="s">
        <v>75</v>
      </c>
      <c r="Q1" s="19" t="s">
        <v>78</v>
      </c>
      <c r="R1" s="19" t="s">
        <v>75</v>
      </c>
      <c r="S1" s="19" t="s">
        <v>78</v>
      </c>
    </row>
    <row r="2" spans="1:19" ht="7.95" customHeight="1" x14ac:dyDescent="0.4">
      <c r="A2" s="20">
        <v>2</v>
      </c>
      <c r="B2" s="21" t="s">
        <v>99</v>
      </c>
      <c r="C2" s="53" t="s">
        <v>83</v>
      </c>
      <c r="D2" s="50" t="s">
        <v>9</v>
      </c>
      <c r="E2" s="51" t="s">
        <v>9</v>
      </c>
      <c r="F2" s="22" t="s">
        <v>77</v>
      </c>
      <c r="G2" s="23" t="s">
        <v>105</v>
      </c>
      <c r="H2" s="49" t="s">
        <v>9</v>
      </c>
      <c r="I2" s="24" t="s">
        <v>9</v>
      </c>
      <c r="J2" s="49" t="s">
        <v>9</v>
      </c>
      <c r="K2" s="24" t="s">
        <v>9</v>
      </c>
      <c r="L2" s="49" t="s">
        <v>9</v>
      </c>
      <c r="M2" s="24" t="s">
        <v>9</v>
      </c>
      <c r="N2" s="49" t="s">
        <v>9</v>
      </c>
      <c r="O2" s="24" t="s">
        <v>9</v>
      </c>
      <c r="P2" s="49" t="s">
        <v>9</v>
      </c>
      <c r="Q2" s="24" t="s">
        <v>9</v>
      </c>
      <c r="R2" s="49" t="s">
        <v>9</v>
      </c>
      <c r="S2" s="24" t="s">
        <v>9</v>
      </c>
    </row>
    <row r="3" spans="1:19" ht="7.95" customHeight="1" x14ac:dyDescent="0.4">
      <c r="A3" s="20">
        <v>3</v>
      </c>
      <c r="B3" s="21" t="s">
        <v>190</v>
      </c>
      <c r="C3" s="42" t="s">
        <v>119</v>
      </c>
      <c r="D3" s="50" t="s">
        <v>82</v>
      </c>
      <c r="E3" s="34" t="s">
        <v>99</v>
      </c>
      <c r="F3" s="22" t="s">
        <v>77</v>
      </c>
      <c r="G3" s="23" t="s">
        <v>191</v>
      </c>
      <c r="H3" s="49" t="s">
        <v>77</v>
      </c>
      <c r="I3" s="24" t="s">
        <v>196</v>
      </c>
      <c r="J3" s="49" t="s">
        <v>9</v>
      </c>
      <c r="K3" s="24" t="s">
        <v>9</v>
      </c>
      <c r="L3" s="49" t="s">
        <v>9</v>
      </c>
      <c r="M3" s="24" t="s">
        <v>9</v>
      </c>
      <c r="N3" s="49" t="s">
        <v>9</v>
      </c>
      <c r="O3" s="24" t="s">
        <v>9</v>
      </c>
      <c r="P3" s="49" t="s">
        <v>9</v>
      </c>
      <c r="Q3" s="24" t="s">
        <v>9</v>
      </c>
      <c r="R3" s="49" t="s">
        <v>9</v>
      </c>
      <c r="S3" s="24" t="s">
        <v>114</v>
      </c>
    </row>
    <row r="4" spans="1:19" ht="7.95" customHeight="1" x14ac:dyDescent="0.4">
      <c r="A4" s="20">
        <v>4</v>
      </c>
      <c r="B4" s="21" t="s">
        <v>194</v>
      </c>
      <c r="C4" s="42" t="s">
        <v>119</v>
      </c>
      <c r="D4" s="50" t="s">
        <v>82</v>
      </c>
      <c r="E4" s="34" t="s">
        <v>99</v>
      </c>
      <c r="F4" s="22" t="s">
        <v>77</v>
      </c>
      <c r="G4" s="23" t="s">
        <v>191</v>
      </c>
      <c r="H4" s="49" t="s">
        <v>77</v>
      </c>
      <c r="I4" s="24" t="s">
        <v>197</v>
      </c>
      <c r="J4" s="49" t="s">
        <v>9</v>
      </c>
      <c r="K4" s="24" t="s">
        <v>9</v>
      </c>
      <c r="L4" s="49" t="s">
        <v>9</v>
      </c>
      <c r="M4" s="24" t="s">
        <v>9</v>
      </c>
      <c r="N4" s="49" t="s">
        <v>9</v>
      </c>
      <c r="O4" s="24" t="s">
        <v>9</v>
      </c>
      <c r="P4" s="49" t="s">
        <v>9</v>
      </c>
      <c r="Q4" s="24" t="s">
        <v>9</v>
      </c>
      <c r="R4" s="49" t="s">
        <v>9</v>
      </c>
      <c r="S4" s="24" t="s">
        <v>114</v>
      </c>
    </row>
    <row r="5" spans="1:19" ht="7.95" customHeight="1" x14ac:dyDescent="0.4">
      <c r="A5" s="20">
        <v>5</v>
      </c>
      <c r="B5" s="47" t="s">
        <v>283</v>
      </c>
      <c r="C5" s="42" t="s">
        <v>254</v>
      </c>
      <c r="D5" s="50" t="s">
        <v>104</v>
      </c>
      <c r="E5" s="34" t="s">
        <v>190</v>
      </c>
      <c r="F5" s="22" t="s">
        <v>77</v>
      </c>
      <c r="G5" s="23" t="s">
        <v>313</v>
      </c>
      <c r="H5" s="49" t="s">
        <v>77</v>
      </c>
      <c r="I5" s="24" t="s">
        <v>315</v>
      </c>
      <c r="J5" s="49" t="s">
        <v>229</v>
      </c>
      <c r="K5" s="24" t="s">
        <v>195</v>
      </c>
      <c r="L5" s="49" t="s">
        <v>230</v>
      </c>
      <c r="M5" s="24" t="s">
        <v>101</v>
      </c>
      <c r="N5" s="49" t="s">
        <v>100</v>
      </c>
      <c r="O5" s="24" t="s">
        <v>287</v>
      </c>
      <c r="P5" s="49" t="s">
        <v>102</v>
      </c>
      <c r="Q5" s="24" t="s">
        <v>285</v>
      </c>
      <c r="R5" s="49" t="s">
        <v>103</v>
      </c>
      <c r="S5" s="24" t="s">
        <v>286</v>
      </c>
    </row>
    <row r="6" spans="1:19" ht="7.95" customHeight="1" x14ac:dyDescent="0.4">
      <c r="A6" s="20">
        <v>6</v>
      </c>
      <c r="B6" s="47" t="s">
        <v>284</v>
      </c>
      <c r="C6" s="42" t="s">
        <v>254</v>
      </c>
      <c r="D6" s="50" t="s">
        <v>104</v>
      </c>
      <c r="E6" s="34" t="s">
        <v>194</v>
      </c>
      <c r="F6" s="22" t="s">
        <v>77</v>
      </c>
      <c r="G6" s="23" t="s">
        <v>313</v>
      </c>
      <c r="H6" s="49" t="s">
        <v>77</v>
      </c>
      <c r="I6" s="24" t="s">
        <v>315</v>
      </c>
      <c r="J6" s="49" t="s">
        <v>229</v>
      </c>
      <c r="K6" s="24" t="s">
        <v>195</v>
      </c>
      <c r="L6" s="49" t="s">
        <v>230</v>
      </c>
      <c r="M6" s="24" t="s">
        <v>101</v>
      </c>
      <c r="N6" s="49" t="s">
        <v>100</v>
      </c>
      <c r="O6" s="24" t="s">
        <v>287</v>
      </c>
      <c r="P6" s="49" t="s">
        <v>102</v>
      </c>
      <c r="Q6" s="24" t="s">
        <v>285</v>
      </c>
      <c r="R6" s="49" t="s">
        <v>103</v>
      </c>
      <c r="S6" s="24" t="s">
        <v>286</v>
      </c>
    </row>
    <row r="7" spans="1:19" ht="7.95" customHeight="1" x14ac:dyDescent="0.4">
      <c r="A7" s="20">
        <v>7</v>
      </c>
      <c r="B7" s="47" t="s">
        <v>192</v>
      </c>
      <c r="C7" s="42" t="s">
        <v>255</v>
      </c>
      <c r="D7" s="50" t="s">
        <v>104</v>
      </c>
      <c r="E7" s="34" t="s">
        <v>283</v>
      </c>
      <c r="F7" s="22" t="s">
        <v>77</v>
      </c>
      <c r="G7" s="23" t="s">
        <v>313</v>
      </c>
      <c r="H7" s="49" t="s">
        <v>77</v>
      </c>
      <c r="I7" s="24" t="s">
        <v>315</v>
      </c>
      <c r="J7" s="49" t="s">
        <v>229</v>
      </c>
      <c r="K7" s="24" t="s">
        <v>195</v>
      </c>
      <c r="L7" s="49" t="s">
        <v>230</v>
      </c>
      <c r="M7" s="24" t="s">
        <v>101</v>
      </c>
      <c r="N7" s="49" t="s">
        <v>100</v>
      </c>
      <c r="O7" s="24" t="s">
        <v>287</v>
      </c>
      <c r="P7" s="49" t="s">
        <v>102</v>
      </c>
      <c r="Q7" s="24" t="s">
        <v>199</v>
      </c>
      <c r="R7" s="49" t="s">
        <v>103</v>
      </c>
      <c r="S7" s="24" t="s">
        <v>198</v>
      </c>
    </row>
    <row r="8" spans="1:19" ht="7.95" customHeight="1" x14ac:dyDescent="0.4">
      <c r="A8" s="20">
        <v>8</v>
      </c>
      <c r="B8" s="47" t="s">
        <v>193</v>
      </c>
      <c r="C8" s="42" t="s">
        <v>255</v>
      </c>
      <c r="D8" s="50" t="s">
        <v>104</v>
      </c>
      <c r="E8" s="34" t="s">
        <v>283</v>
      </c>
      <c r="F8" s="22" t="s">
        <v>77</v>
      </c>
      <c r="G8" s="23" t="s">
        <v>313</v>
      </c>
      <c r="H8" s="49" t="s">
        <v>77</v>
      </c>
      <c r="I8" s="24" t="s">
        <v>315</v>
      </c>
      <c r="J8" s="49" t="s">
        <v>229</v>
      </c>
      <c r="K8" s="24" t="s">
        <v>195</v>
      </c>
      <c r="L8" s="49" t="s">
        <v>230</v>
      </c>
      <c r="M8" s="24" t="s">
        <v>101</v>
      </c>
      <c r="N8" s="49" t="s">
        <v>100</v>
      </c>
      <c r="O8" s="24" t="s">
        <v>287</v>
      </c>
      <c r="P8" s="49" t="s">
        <v>102</v>
      </c>
      <c r="Q8" s="24" t="s">
        <v>199</v>
      </c>
      <c r="R8" s="49" t="s">
        <v>103</v>
      </c>
      <c r="S8" s="24" t="s">
        <v>198</v>
      </c>
    </row>
    <row r="9" spans="1:19" ht="7.95" customHeight="1" x14ac:dyDescent="0.4">
      <c r="A9" s="20">
        <v>9</v>
      </c>
      <c r="B9" s="47" t="s">
        <v>271</v>
      </c>
      <c r="C9" s="42" t="s">
        <v>255</v>
      </c>
      <c r="D9" s="50" t="s">
        <v>104</v>
      </c>
      <c r="E9" s="34" t="s">
        <v>283</v>
      </c>
      <c r="F9" s="22" t="s">
        <v>77</v>
      </c>
      <c r="G9" s="23" t="s">
        <v>313</v>
      </c>
      <c r="H9" s="49" t="s">
        <v>77</v>
      </c>
      <c r="I9" s="24" t="s">
        <v>315</v>
      </c>
      <c r="J9" s="49" t="s">
        <v>229</v>
      </c>
      <c r="K9" s="24" t="s">
        <v>195</v>
      </c>
      <c r="L9" s="49" t="s">
        <v>230</v>
      </c>
      <c r="M9" s="24" t="s">
        <v>101</v>
      </c>
      <c r="N9" s="49" t="s">
        <v>100</v>
      </c>
      <c r="O9" s="24" t="s">
        <v>287</v>
      </c>
      <c r="P9" s="49" t="s">
        <v>102</v>
      </c>
      <c r="Q9" s="24" t="s">
        <v>199</v>
      </c>
      <c r="R9" s="49" t="s">
        <v>103</v>
      </c>
      <c r="S9" s="24" t="s">
        <v>198</v>
      </c>
    </row>
    <row r="10" spans="1:19" ht="7.95" customHeight="1" x14ac:dyDescent="0.4">
      <c r="A10" s="20">
        <v>10</v>
      </c>
      <c r="B10" s="47" t="s">
        <v>272</v>
      </c>
      <c r="C10" s="42" t="s">
        <v>255</v>
      </c>
      <c r="D10" s="50" t="s">
        <v>104</v>
      </c>
      <c r="E10" s="34" t="s">
        <v>283</v>
      </c>
      <c r="F10" s="22" t="s">
        <v>77</v>
      </c>
      <c r="G10" s="23" t="s">
        <v>313</v>
      </c>
      <c r="H10" s="49" t="s">
        <v>77</v>
      </c>
      <c r="I10" s="24" t="s">
        <v>315</v>
      </c>
      <c r="J10" s="49" t="s">
        <v>229</v>
      </c>
      <c r="K10" s="24" t="s">
        <v>195</v>
      </c>
      <c r="L10" s="49" t="s">
        <v>230</v>
      </c>
      <c r="M10" s="24" t="s">
        <v>101</v>
      </c>
      <c r="N10" s="49" t="s">
        <v>100</v>
      </c>
      <c r="O10" s="24" t="s">
        <v>287</v>
      </c>
      <c r="P10" s="49" t="s">
        <v>102</v>
      </c>
      <c r="Q10" s="24" t="s">
        <v>199</v>
      </c>
      <c r="R10" s="49" t="s">
        <v>103</v>
      </c>
      <c r="S10" s="24" t="s">
        <v>198</v>
      </c>
    </row>
    <row r="11" spans="1:19" ht="7.95" customHeight="1" x14ac:dyDescent="0.4">
      <c r="A11" s="20">
        <v>11</v>
      </c>
      <c r="B11" s="47" t="s">
        <v>273</v>
      </c>
      <c r="C11" s="42" t="s">
        <v>255</v>
      </c>
      <c r="D11" s="50" t="s">
        <v>104</v>
      </c>
      <c r="E11" s="34" t="s">
        <v>283</v>
      </c>
      <c r="F11" s="22" t="s">
        <v>77</v>
      </c>
      <c r="G11" s="23" t="s">
        <v>313</v>
      </c>
      <c r="H11" s="49" t="s">
        <v>77</v>
      </c>
      <c r="I11" s="24" t="s">
        <v>315</v>
      </c>
      <c r="J11" s="49" t="s">
        <v>229</v>
      </c>
      <c r="K11" s="24" t="s">
        <v>195</v>
      </c>
      <c r="L11" s="49" t="s">
        <v>230</v>
      </c>
      <c r="M11" s="24" t="s">
        <v>101</v>
      </c>
      <c r="N11" s="49" t="s">
        <v>100</v>
      </c>
      <c r="O11" s="24" t="s">
        <v>287</v>
      </c>
      <c r="P11" s="49" t="s">
        <v>102</v>
      </c>
      <c r="Q11" s="24" t="s">
        <v>199</v>
      </c>
      <c r="R11" s="49" t="s">
        <v>103</v>
      </c>
      <c r="S11" s="24" t="s">
        <v>198</v>
      </c>
    </row>
    <row r="12" spans="1:19" ht="7.95" customHeight="1" x14ac:dyDescent="0.4">
      <c r="A12" s="20">
        <v>12</v>
      </c>
      <c r="B12" s="47" t="s">
        <v>274</v>
      </c>
      <c r="C12" s="42" t="s">
        <v>255</v>
      </c>
      <c r="D12" s="50" t="s">
        <v>104</v>
      </c>
      <c r="E12" s="34" t="s">
        <v>283</v>
      </c>
      <c r="F12" s="22" t="s">
        <v>77</v>
      </c>
      <c r="G12" s="23" t="s">
        <v>313</v>
      </c>
      <c r="H12" s="49" t="s">
        <v>77</v>
      </c>
      <c r="I12" s="24" t="s">
        <v>315</v>
      </c>
      <c r="J12" s="49" t="s">
        <v>229</v>
      </c>
      <c r="K12" s="24" t="s">
        <v>195</v>
      </c>
      <c r="L12" s="49" t="s">
        <v>230</v>
      </c>
      <c r="M12" s="24" t="s">
        <v>101</v>
      </c>
      <c r="N12" s="49" t="s">
        <v>100</v>
      </c>
      <c r="O12" s="24" t="s">
        <v>287</v>
      </c>
      <c r="P12" s="49" t="s">
        <v>102</v>
      </c>
      <c r="Q12" s="24" t="s">
        <v>199</v>
      </c>
      <c r="R12" s="49" t="s">
        <v>103</v>
      </c>
      <c r="S12" s="24" t="s">
        <v>198</v>
      </c>
    </row>
    <row r="13" spans="1:19" ht="7.95" customHeight="1" x14ac:dyDescent="0.4">
      <c r="A13" s="20">
        <v>13</v>
      </c>
      <c r="B13" s="47" t="s">
        <v>276</v>
      </c>
      <c r="C13" s="42" t="s">
        <v>255</v>
      </c>
      <c r="D13" s="50" t="s">
        <v>104</v>
      </c>
      <c r="E13" s="34" t="s">
        <v>283</v>
      </c>
      <c r="F13" s="22" t="s">
        <v>77</v>
      </c>
      <c r="G13" s="23" t="s">
        <v>313</v>
      </c>
      <c r="H13" s="49" t="s">
        <v>77</v>
      </c>
      <c r="I13" s="24" t="s">
        <v>315</v>
      </c>
      <c r="J13" s="49" t="s">
        <v>229</v>
      </c>
      <c r="K13" s="24" t="s">
        <v>195</v>
      </c>
      <c r="L13" s="49" t="s">
        <v>230</v>
      </c>
      <c r="M13" s="24" t="s">
        <v>101</v>
      </c>
      <c r="N13" s="49" t="s">
        <v>100</v>
      </c>
      <c r="O13" s="24" t="s">
        <v>287</v>
      </c>
      <c r="P13" s="49" t="s">
        <v>102</v>
      </c>
      <c r="Q13" s="24" t="s">
        <v>199</v>
      </c>
      <c r="R13" s="49" t="s">
        <v>103</v>
      </c>
      <c r="S13" s="24" t="s">
        <v>198</v>
      </c>
    </row>
    <row r="14" spans="1:19" ht="7.95" customHeight="1" x14ac:dyDescent="0.4">
      <c r="A14" s="20">
        <v>14</v>
      </c>
      <c r="B14" s="47" t="s">
        <v>277</v>
      </c>
      <c r="C14" s="42" t="s">
        <v>255</v>
      </c>
      <c r="D14" s="50" t="s">
        <v>104</v>
      </c>
      <c r="E14" s="34" t="s">
        <v>284</v>
      </c>
      <c r="F14" s="22" t="s">
        <v>77</v>
      </c>
      <c r="G14" s="23" t="s">
        <v>312</v>
      </c>
      <c r="H14" s="49" t="s">
        <v>77</v>
      </c>
      <c r="I14" s="24" t="s">
        <v>315</v>
      </c>
      <c r="J14" s="49" t="s">
        <v>229</v>
      </c>
      <c r="K14" s="24" t="s">
        <v>195</v>
      </c>
      <c r="L14" s="49" t="s">
        <v>230</v>
      </c>
      <c r="M14" s="24" t="s">
        <v>101</v>
      </c>
      <c r="N14" s="49" t="s">
        <v>100</v>
      </c>
      <c r="O14" s="24" t="s">
        <v>287</v>
      </c>
      <c r="P14" s="49" t="s">
        <v>102</v>
      </c>
      <c r="Q14" s="24" t="s">
        <v>199</v>
      </c>
      <c r="R14" s="49" t="s">
        <v>103</v>
      </c>
      <c r="S14" s="24" t="s">
        <v>198</v>
      </c>
    </row>
    <row r="15" spans="1:19" ht="7.95" customHeight="1" x14ac:dyDescent="0.4">
      <c r="A15" s="20">
        <v>15</v>
      </c>
      <c r="B15" s="47" t="s">
        <v>275</v>
      </c>
      <c r="C15" s="42" t="s">
        <v>255</v>
      </c>
      <c r="D15" s="50" t="s">
        <v>104</v>
      </c>
      <c r="E15" s="34" t="s">
        <v>284</v>
      </c>
      <c r="F15" s="22" t="s">
        <v>77</v>
      </c>
      <c r="G15" s="23" t="s">
        <v>312</v>
      </c>
      <c r="H15" s="49" t="s">
        <v>77</v>
      </c>
      <c r="I15" s="24" t="s">
        <v>315</v>
      </c>
      <c r="J15" s="49" t="s">
        <v>229</v>
      </c>
      <c r="K15" s="24" t="s">
        <v>195</v>
      </c>
      <c r="L15" s="49" t="s">
        <v>230</v>
      </c>
      <c r="M15" s="24" t="s">
        <v>101</v>
      </c>
      <c r="N15" s="49" t="s">
        <v>100</v>
      </c>
      <c r="O15" s="24" t="s">
        <v>287</v>
      </c>
      <c r="P15" s="49" t="s">
        <v>102</v>
      </c>
      <c r="Q15" s="24" t="s">
        <v>199</v>
      </c>
      <c r="R15" s="49" t="s">
        <v>103</v>
      </c>
      <c r="S15" s="24" t="s">
        <v>198</v>
      </c>
    </row>
    <row r="16" spans="1:19" ht="7.95" customHeight="1" x14ac:dyDescent="0.4">
      <c r="A16" s="20">
        <v>16</v>
      </c>
      <c r="B16" s="47" t="s">
        <v>278</v>
      </c>
      <c r="C16" s="42" t="s">
        <v>255</v>
      </c>
      <c r="D16" s="50" t="s">
        <v>104</v>
      </c>
      <c r="E16" s="34" t="s">
        <v>284</v>
      </c>
      <c r="F16" s="22" t="s">
        <v>77</v>
      </c>
      <c r="G16" s="23" t="s">
        <v>312</v>
      </c>
      <c r="H16" s="49" t="s">
        <v>77</v>
      </c>
      <c r="I16" s="24" t="s">
        <v>315</v>
      </c>
      <c r="J16" s="49" t="s">
        <v>229</v>
      </c>
      <c r="K16" s="24" t="s">
        <v>195</v>
      </c>
      <c r="L16" s="49" t="s">
        <v>230</v>
      </c>
      <c r="M16" s="24" t="s">
        <v>101</v>
      </c>
      <c r="N16" s="49" t="s">
        <v>100</v>
      </c>
      <c r="O16" s="24" t="s">
        <v>287</v>
      </c>
      <c r="P16" s="49" t="s">
        <v>102</v>
      </c>
      <c r="Q16" s="24" t="s">
        <v>199</v>
      </c>
      <c r="R16" s="49" t="s">
        <v>103</v>
      </c>
      <c r="S16" s="24" t="s">
        <v>198</v>
      </c>
    </row>
    <row r="17" spans="1:19" ht="7.95" customHeight="1" x14ac:dyDescent="0.4">
      <c r="A17" s="20">
        <v>17</v>
      </c>
      <c r="B17" s="47" t="s">
        <v>279</v>
      </c>
      <c r="C17" s="42" t="s">
        <v>255</v>
      </c>
      <c r="D17" s="50" t="s">
        <v>104</v>
      </c>
      <c r="E17" s="34" t="s">
        <v>284</v>
      </c>
      <c r="F17" s="22" t="s">
        <v>77</v>
      </c>
      <c r="G17" s="23" t="s">
        <v>312</v>
      </c>
      <c r="H17" s="49" t="s">
        <v>77</v>
      </c>
      <c r="I17" s="24" t="s">
        <v>315</v>
      </c>
      <c r="J17" s="49" t="s">
        <v>229</v>
      </c>
      <c r="K17" s="24" t="s">
        <v>195</v>
      </c>
      <c r="L17" s="49" t="s">
        <v>230</v>
      </c>
      <c r="M17" s="24" t="s">
        <v>101</v>
      </c>
      <c r="N17" s="49" t="s">
        <v>100</v>
      </c>
      <c r="O17" s="24" t="s">
        <v>287</v>
      </c>
      <c r="P17" s="49" t="s">
        <v>102</v>
      </c>
      <c r="Q17" s="24" t="s">
        <v>199</v>
      </c>
      <c r="R17" s="49" t="s">
        <v>103</v>
      </c>
      <c r="S17" s="24" t="s">
        <v>198</v>
      </c>
    </row>
    <row r="18" spans="1:19" ht="7.95" customHeight="1" x14ac:dyDescent="0.4">
      <c r="A18" s="20">
        <v>18</v>
      </c>
      <c r="B18" s="47" t="s">
        <v>280</v>
      </c>
      <c r="C18" s="42" t="s">
        <v>255</v>
      </c>
      <c r="D18" s="50" t="s">
        <v>104</v>
      </c>
      <c r="E18" s="34" t="s">
        <v>284</v>
      </c>
      <c r="F18" s="22" t="s">
        <v>77</v>
      </c>
      <c r="G18" s="23" t="s">
        <v>312</v>
      </c>
      <c r="H18" s="49" t="s">
        <v>77</v>
      </c>
      <c r="I18" s="24" t="s">
        <v>315</v>
      </c>
      <c r="J18" s="49" t="s">
        <v>229</v>
      </c>
      <c r="K18" s="24" t="s">
        <v>195</v>
      </c>
      <c r="L18" s="49" t="s">
        <v>230</v>
      </c>
      <c r="M18" s="24" t="s">
        <v>101</v>
      </c>
      <c r="N18" s="49" t="s">
        <v>100</v>
      </c>
      <c r="O18" s="24" t="s">
        <v>287</v>
      </c>
      <c r="P18" s="49" t="s">
        <v>102</v>
      </c>
      <c r="Q18" s="24" t="s">
        <v>199</v>
      </c>
      <c r="R18" s="49" t="s">
        <v>103</v>
      </c>
      <c r="S18" s="24" t="s">
        <v>198</v>
      </c>
    </row>
    <row r="19" spans="1:19" ht="7.95" customHeight="1" x14ac:dyDescent="0.4">
      <c r="A19" s="20">
        <v>19</v>
      </c>
      <c r="B19" s="47" t="s">
        <v>281</v>
      </c>
      <c r="C19" s="42" t="s">
        <v>255</v>
      </c>
      <c r="D19" s="50" t="s">
        <v>104</v>
      </c>
      <c r="E19" s="34" t="s">
        <v>284</v>
      </c>
      <c r="F19" s="22" t="s">
        <v>77</v>
      </c>
      <c r="G19" s="23" t="s">
        <v>312</v>
      </c>
      <c r="H19" s="49" t="s">
        <v>77</v>
      </c>
      <c r="I19" s="24" t="s">
        <v>315</v>
      </c>
      <c r="J19" s="49" t="s">
        <v>229</v>
      </c>
      <c r="K19" s="24" t="s">
        <v>195</v>
      </c>
      <c r="L19" s="49" t="s">
        <v>230</v>
      </c>
      <c r="M19" s="24" t="s">
        <v>101</v>
      </c>
      <c r="N19" s="49" t="s">
        <v>100</v>
      </c>
      <c r="O19" s="24" t="s">
        <v>287</v>
      </c>
      <c r="P19" s="49" t="s">
        <v>102</v>
      </c>
      <c r="Q19" s="24" t="s">
        <v>199</v>
      </c>
      <c r="R19" s="49" t="s">
        <v>103</v>
      </c>
      <c r="S19" s="24" t="s">
        <v>198</v>
      </c>
    </row>
    <row r="20" spans="1:19" ht="7.95" customHeight="1" x14ac:dyDescent="0.4">
      <c r="A20" s="20">
        <v>20</v>
      </c>
      <c r="B20" s="47" t="s">
        <v>282</v>
      </c>
      <c r="C20" s="42" t="s">
        <v>255</v>
      </c>
      <c r="D20" s="50" t="s">
        <v>104</v>
      </c>
      <c r="E20" s="34" t="s">
        <v>284</v>
      </c>
      <c r="F20" s="22" t="s">
        <v>77</v>
      </c>
      <c r="G20" s="23" t="s">
        <v>312</v>
      </c>
      <c r="H20" s="49" t="s">
        <v>77</v>
      </c>
      <c r="I20" s="24" t="s">
        <v>315</v>
      </c>
      <c r="J20" s="49" t="s">
        <v>229</v>
      </c>
      <c r="K20" s="24" t="s">
        <v>195</v>
      </c>
      <c r="L20" s="49" t="s">
        <v>230</v>
      </c>
      <c r="M20" s="24" t="s">
        <v>101</v>
      </c>
      <c r="N20" s="49" t="s">
        <v>100</v>
      </c>
      <c r="O20" s="24" t="s">
        <v>287</v>
      </c>
      <c r="P20" s="49" t="s">
        <v>102</v>
      </c>
      <c r="Q20" s="24" t="s">
        <v>199</v>
      </c>
      <c r="R20" s="49" t="s">
        <v>103</v>
      </c>
      <c r="S20" s="24" t="s">
        <v>198</v>
      </c>
    </row>
    <row r="21" spans="1:19" ht="7.95" customHeight="1" x14ac:dyDescent="0.4">
      <c r="A21" s="20">
        <v>21</v>
      </c>
      <c r="B21" s="47" t="s">
        <v>289</v>
      </c>
      <c r="C21" s="42" t="s">
        <v>293</v>
      </c>
      <c r="D21" s="50" t="s">
        <v>104</v>
      </c>
      <c r="E21" s="34" t="s">
        <v>284</v>
      </c>
      <c r="F21" s="22" t="s">
        <v>77</v>
      </c>
      <c r="G21" s="23" t="s">
        <v>311</v>
      </c>
      <c r="H21" s="49" t="s">
        <v>77</v>
      </c>
      <c r="I21" s="24" t="s">
        <v>307</v>
      </c>
      <c r="J21" s="49" t="s">
        <v>229</v>
      </c>
      <c r="K21" s="24" t="s">
        <v>314</v>
      </c>
      <c r="L21" s="49" t="s">
        <v>230</v>
      </c>
      <c r="M21" s="24" t="s">
        <v>314</v>
      </c>
      <c r="N21" s="49" t="s">
        <v>100</v>
      </c>
      <c r="O21" s="24" t="s">
        <v>308</v>
      </c>
      <c r="P21" s="49" t="s">
        <v>102</v>
      </c>
      <c r="Q21" s="64" t="s">
        <v>309</v>
      </c>
      <c r="R21" s="49" t="s">
        <v>103</v>
      </c>
      <c r="S21" s="24" t="s">
        <v>310</v>
      </c>
    </row>
    <row r="22" spans="1:19" ht="7.95" customHeight="1" x14ac:dyDescent="0.4">
      <c r="A22" s="20">
        <v>22</v>
      </c>
      <c r="B22" s="47" t="s">
        <v>288</v>
      </c>
      <c r="C22" s="42" t="s">
        <v>293</v>
      </c>
      <c r="D22" s="50" t="s">
        <v>104</v>
      </c>
      <c r="E22" s="34" t="s">
        <v>284</v>
      </c>
      <c r="F22" s="22" t="s">
        <v>77</v>
      </c>
      <c r="G22" s="23" t="s">
        <v>311</v>
      </c>
      <c r="H22" s="49" t="s">
        <v>77</v>
      </c>
      <c r="I22" s="24" t="s">
        <v>307</v>
      </c>
      <c r="J22" s="49" t="s">
        <v>229</v>
      </c>
      <c r="K22" s="24" t="s">
        <v>314</v>
      </c>
      <c r="L22" s="49" t="s">
        <v>230</v>
      </c>
      <c r="M22" s="24" t="s">
        <v>314</v>
      </c>
      <c r="N22" s="49" t="s">
        <v>100</v>
      </c>
      <c r="O22" s="24" t="s">
        <v>308</v>
      </c>
      <c r="P22" s="49" t="s">
        <v>102</v>
      </c>
      <c r="Q22" s="64" t="s">
        <v>309</v>
      </c>
      <c r="R22" s="49" t="s">
        <v>103</v>
      </c>
      <c r="S22" s="24" t="s">
        <v>310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2026-08-09T15:36:24Z</dcterms:modified>
  <dc:language>pt-BR</dc:language>
</cp:coreProperties>
</file>