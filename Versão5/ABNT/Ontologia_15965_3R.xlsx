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3324249-5D2A-495B-91E4-634F6B12588B}" xr6:coauthVersionLast="47" xr6:coauthVersionMax="47" xr10:uidLastSave="{00000000-0000-0000-0000-000000000000}"/>
  <bookViews>
    <workbookView xWindow="-103" yWindow="-103" windowWidth="22149" windowHeight="1320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3" i="6" l="1"/>
  <c r="W4" i="6"/>
  <c r="W5" i="6"/>
  <c r="W6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4" i="6"/>
  <c r="AA3" i="6"/>
  <c r="AA2" i="6"/>
  <c r="AA6" i="6"/>
  <c r="AA5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<sst xmlns="http://schemas.openxmlformats.org/spreadsheetml/2006/main" count="8937" uniqueCount="1007">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</sst>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1CC4A1-5641-437E-9DC4-857BB9658EC6}"/>
  </cellStyles>
  <dxfs count="1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7" t="s">
        <v>703</v>
      </c>
    </row>
    <row r="2" spans="1:3" s="40" customFormat="1" ht="7.95" customHeight="1" x14ac:dyDescent="0.3">
      <c r="A2" s="3" t="s">
        <v>320</v>
      </c>
      <c r="B2" s="3" t="s">
        <v>696</v>
      </c>
      <c r="C2" s="38" t="s">
        <v>704</v>
      </c>
    </row>
    <row r="3" spans="1:3" s="40" customFormat="1" ht="7.95" customHeight="1" x14ac:dyDescent="0.3">
      <c r="A3" s="3" t="s">
        <v>321</v>
      </c>
      <c r="B3" s="2" t="s">
        <v>318</v>
      </c>
      <c r="C3" s="38" t="s">
        <v>704</v>
      </c>
    </row>
    <row r="4" spans="1:3" s="40" customFormat="1" ht="7.95" customHeight="1" x14ac:dyDescent="0.3">
      <c r="A4" s="3" t="s">
        <v>5</v>
      </c>
      <c r="B4" s="3" t="s">
        <v>648</v>
      </c>
      <c r="C4" s="38" t="s">
        <v>704</v>
      </c>
    </row>
    <row r="5" spans="1:3" s="40" customFormat="1" ht="7.95" customHeight="1" x14ac:dyDescent="0.3">
      <c r="A5" s="3" t="s">
        <v>6</v>
      </c>
      <c r="B5" s="3" t="str">
        <f>_xlfn.CONCAT(B4,"Prop")</f>
        <v>BIMProp</v>
      </c>
      <c r="C5" s="38" t="s">
        <v>704</v>
      </c>
    </row>
    <row r="6" spans="1:3" s="40" customFormat="1" ht="7.95" customHeight="1" x14ac:dyDescent="0.3">
      <c r="A6" s="3" t="s">
        <v>7</v>
      </c>
      <c r="B6" s="3" t="str">
        <f>_xlfn.CONCAT(B4,"Data")</f>
        <v>BIMData</v>
      </c>
      <c r="C6" s="38" t="s">
        <v>704</v>
      </c>
    </row>
    <row r="7" spans="1:3" s="40" customFormat="1" ht="7.95" customHeight="1" x14ac:dyDescent="0.3">
      <c r="A7" s="3" t="s">
        <v>8</v>
      </c>
      <c r="B7" s="3" t="s">
        <v>335</v>
      </c>
      <c r="C7" s="38" t="s">
        <v>704</v>
      </c>
    </row>
    <row r="8" spans="1:3" s="40" customFormat="1" ht="7.95" customHeight="1" x14ac:dyDescent="0.3">
      <c r="A8" s="35" t="s">
        <v>9</v>
      </c>
      <c r="B8" s="35" t="s">
        <v>702</v>
      </c>
      <c r="C8" s="38" t="s">
        <v>704</v>
      </c>
    </row>
    <row r="9" spans="1:3" s="40" customFormat="1" ht="7.95" customHeight="1" x14ac:dyDescent="0.3">
      <c r="A9" s="3" t="s">
        <v>322</v>
      </c>
      <c r="B9" s="3" t="s">
        <v>323</v>
      </c>
      <c r="C9" s="38" t="s">
        <v>704</v>
      </c>
    </row>
    <row r="10" spans="1:3" s="40" customFormat="1" ht="7.95" customHeight="1" x14ac:dyDescent="0.3">
      <c r="A10" s="3" t="s">
        <v>324</v>
      </c>
      <c r="B10" s="3" t="s">
        <v>315</v>
      </c>
      <c r="C10" s="38" t="s">
        <v>704</v>
      </c>
    </row>
    <row r="11" spans="1:3" s="40" customFormat="1" ht="7.95" customHeight="1" x14ac:dyDescent="0.3">
      <c r="A11" s="3" t="s">
        <v>325</v>
      </c>
      <c r="B11" s="3" t="s">
        <v>334</v>
      </c>
      <c r="C11" s="38" t="s">
        <v>704</v>
      </c>
    </row>
    <row r="12" spans="1:3" s="40" customFormat="1" ht="7.95" customHeight="1" x14ac:dyDescent="0.3">
      <c r="A12" s="3" t="s">
        <v>10</v>
      </c>
      <c r="B12" s="3" t="s">
        <v>316</v>
      </c>
      <c r="C12" s="38" t="s">
        <v>704</v>
      </c>
    </row>
    <row r="13" spans="1:3" s="40" customFormat="1" ht="7.95" customHeight="1" x14ac:dyDescent="0.3">
      <c r="A13" s="3" t="s">
        <v>326</v>
      </c>
      <c r="B13" s="3" t="s">
        <v>317</v>
      </c>
      <c r="C13" s="38" t="s">
        <v>704</v>
      </c>
    </row>
    <row r="14" spans="1:3" s="40" customFormat="1" ht="7.95" customHeight="1" x14ac:dyDescent="0.3">
      <c r="A14" s="3" t="s">
        <v>327</v>
      </c>
      <c r="B14" s="3" t="s">
        <v>11</v>
      </c>
      <c r="C14" s="38" t="s">
        <v>704</v>
      </c>
    </row>
    <row r="15" spans="1:3" s="40" customFormat="1" ht="7.95" customHeight="1" x14ac:dyDescent="0.3">
      <c r="A15" s="3" t="s">
        <v>328</v>
      </c>
      <c r="B15" s="3" t="s">
        <v>11</v>
      </c>
      <c r="C15" s="38" t="s">
        <v>704</v>
      </c>
    </row>
    <row r="16" spans="1:3" s="40" customFormat="1" ht="7.95" customHeight="1" x14ac:dyDescent="0.3">
      <c r="A16" s="3" t="s">
        <v>329</v>
      </c>
      <c r="B16" s="3" t="s">
        <v>11</v>
      </c>
      <c r="C16" s="38" t="s">
        <v>704</v>
      </c>
    </row>
    <row r="17" spans="1:3" s="40" customFormat="1" ht="7.95" customHeight="1" x14ac:dyDescent="0.3">
      <c r="A17" s="3" t="s">
        <v>12</v>
      </c>
      <c r="B17" s="3" t="s">
        <v>13</v>
      </c>
      <c r="C17" s="38" t="s">
        <v>704</v>
      </c>
    </row>
    <row r="18" spans="1:3" s="40" customFormat="1" ht="7.95" customHeight="1" x14ac:dyDescent="0.3">
      <c r="A18" s="3" t="s">
        <v>330</v>
      </c>
      <c r="B18" s="39">
        <f ca="1">NOW()</f>
        <v>46232.784326851855</v>
      </c>
      <c r="C18" s="38" t="s">
        <v>704</v>
      </c>
    </row>
    <row r="19" spans="1:3" s="40" customFormat="1" ht="7.95" customHeight="1" x14ac:dyDescent="0.3">
      <c r="A19" s="3" t="s">
        <v>713</v>
      </c>
      <c r="B19" s="39" t="s">
        <v>707</v>
      </c>
      <c r="C19" s="38" t="s">
        <v>704</v>
      </c>
    </row>
    <row r="20" spans="1:3" s="40" customFormat="1" ht="7.95" customHeight="1" x14ac:dyDescent="0.3">
      <c r="A20" s="35" t="s">
        <v>708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705</v>
      </c>
    </row>
    <row r="21" spans="1:3" s="40" customFormat="1" ht="7.95" customHeight="1" x14ac:dyDescent="0.3">
      <c r="A21" s="35" t="s">
        <v>714</v>
      </c>
      <c r="B21" s="39" t="str">
        <f>_xlfn.TRANSLATE(B20,"pt","en")</f>
        <v>The Standard was prepared by the Special Committee of Studies on Building Information Modeling (BIM) ABNT/CEE-134</v>
      </c>
      <c r="C21" s="38" t="s">
        <v>706</v>
      </c>
    </row>
    <row r="22" spans="1:3" s="40" customFormat="1" ht="7.95" customHeight="1" x14ac:dyDescent="0.3">
      <c r="A22" s="35" t="s">
        <v>319</v>
      </c>
      <c r="B22" s="35" t="s">
        <v>11</v>
      </c>
      <c r="C22" s="38" t="s">
        <v>704</v>
      </c>
    </row>
    <row r="23" spans="1:3" s="40" customFormat="1" ht="7.95" customHeight="1" x14ac:dyDescent="0.3">
      <c r="A23" s="35" t="s">
        <v>331</v>
      </c>
      <c r="B23" s="35" t="s">
        <v>11</v>
      </c>
      <c r="C23" s="38" t="s">
        <v>704</v>
      </c>
    </row>
    <row r="24" spans="1:3" s="40" customFormat="1" ht="7.95" customHeight="1" x14ac:dyDescent="0.3">
      <c r="A24" s="3" t="s">
        <v>336</v>
      </c>
      <c r="B24" s="3" t="s">
        <v>337</v>
      </c>
      <c r="C24" s="38" t="s">
        <v>704</v>
      </c>
    </row>
    <row r="25" spans="1:3" s="40" customFormat="1" ht="7.95" customHeight="1" x14ac:dyDescent="0.3">
      <c r="A25" s="3" t="s">
        <v>338</v>
      </c>
      <c r="B25" s="3" t="s">
        <v>339</v>
      </c>
      <c r="C25" s="38" t="s">
        <v>705</v>
      </c>
    </row>
    <row r="26" spans="1:3" s="40" customFormat="1" ht="7.95" customHeight="1" x14ac:dyDescent="0.3">
      <c r="A26" s="35" t="s">
        <v>700</v>
      </c>
      <c r="B26" s="36" t="s">
        <v>701</v>
      </c>
      <c r="C26" s="38" t="s">
        <v>706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tabSelected="1" zoomScale="265" zoomScaleNormal="265" workbookViewId="0">
      <pane ySplit="1" topLeftCell="A5" activePane="bottomLeft" state="frozen"/>
      <selection pane="bottomLeft" activeCell="A7" sqref="A7:XFD19"/>
    </sheetView>
  </sheetViews>
  <sheetFormatPr defaultRowHeight="6.75" customHeight="1" x14ac:dyDescent="0.3"/>
  <cols>
    <col min="1" max="1" width="2.296875" bestFit="1" customWidth="1"/>
    <col min="2" max="3" width="6.796875" style="30" customWidth="1"/>
    <col min="4" max="4" width="8.296875" style="30" customWidth="1"/>
    <col min="5" max="5" width="8.69921875" style="30" customWidth="1"/>
    <col min="6" max="6" width="15" style="30" customWidth="1"/>
    <col min="7" max="11" width="8.69921875" style="30" bestFit="1" customWidth="1"/>
    <col min="12" max="12" width="7" customWidth="1"/>
    <col min="13" max="13" width="8.69921875" customWidth="1"/>
    <col min="14" max="14" width="8.796875" customWidth="1"/>
    <col min="15" max="15" width="12.796875" bestFit="1" customWidth="1"/>
    <col min="16" max="16" width="62" bestFit="1" customWidth="1"/>
    <col min="17" max="17" width="68.19921875" bestFit="1" customWidth="1"/>
    <col min="18" max="18" width="5.796875" style="30" customWidth="1"/>
    <col min="19" max="19" width="7" customWidth="1"/>
    <col min="20" max="20" width="8.796875" customWidth="1"/>
    <col min="21" max="21" width="8.5" customWidth="1"/>
    <col min="22" max="22" width="8.19921875" customWidth="1"/>
    <col min="23" max="23" width="8.69921875" style="30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697</v>
      </c>
      <c r="Y1" s="20" t="s">
        <v>698</v>
      </c>
      <c r="Z1" s="20" t="s">
        <v>672</v>
      </c>
      <c r="AA1" s="33" t="s">
        <v>699</v>
      </c>
    </row>
    <row r="2" spans="1:27" s="30" customFormat="1" ht="6.75" customHeight="1" x14ac:dyDescent="0.3">
      <c r="A2" s="49">
        <v>2</v>
      </c>
      <c r="B2" s="50" t="s">
        <v>956</v>
      </c>
      <c r="C2" s="50" t="s">
        <v>716</v>
      </c>
      <c r="D2" s="50" t="s">
        <v>718</v>
      </c>
      <c r="E2" s="51" t="s">
        <v>957</v>
      </c>
      <c r="F2" s="51" t="s">
        <v>717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958</v>
      </c>
      <c r="Q2" s="34" t="s">
        <v>959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719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960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75" customHeight="1" x14ac:dyDescent="0.3">
      <c r="A3" s="49">
        <v>3</v>
      </c>
      <c r="B3" s="50" t="s">
        <v>956</v>
      </c>
      <c r="C3" s="50" t="s">
        <v>716</v>
      </c>
      <c r="D3" s="50" t="s">
        <v>718</v>
      </c>
      <c r="E3" s="51" t="s">
        <v>957</v>
      </c>
      <c r="F3" s="51" t="s">
        <v>720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961</v>
      </c>
      <c r="Q3" s="34" t="s">
        <v>959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719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75" customHeight="1" x14ac:dyDescent="0.3">
      <c r="A4" s="49">
        <v>4</v>
      </c>
      <c r="B4" s="50" t="s">
        <v>956</v>
      </c>
      <c r="C4" s="50" t="s">
        <v>716</v>
      </c>
      <c r="D4" s="50" t="s">
        <v>718</v>
      </c>
      <c r="E4" s="51" t="s">
        <v>957</v>
      </c>
      <c r="F4" s="51" t="s">
        <v>721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962</v>
      </c>
      <c r="Q4" s="34" t="s">
        <v>959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719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75" customHeight="1" x14ac:dyDescent="0.3">
      <c r="A5" s="49">
        <v>5</v>
      </c>
      <c r="B5" s="50" t="s">
        <v>956</v>
      </c>
      <c r="C5" s="50" t="s">
        <v>716</v>
      </c>
      <c r="D5" s="50" t="s">
        <v>718</v>
      </c>
      <c r="E5" s="51" t="s">
        <v>957</v>
      </c>
      <c r="F5" s="51" t="s">
        <v>722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963</v>
      </c>
      <c r="Q5" s="34" t="s">
        <v>959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719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75" customHeight="1" x14ac:dyDescent="0.3">
      <c r="A6" s="49">
        <v>6</v>
      </c>
      <c r="B6" s="50" t="s">
        <v>956</v>
      </c>
      <c r="C6" s="50" t="s">
        <v>716</v>
      </c>
      <c r="D6" s="50" t="s">
        <v>718</v>
      </c>
      <c r="E6" s="51" t="s">
        <v>957</v>
      </c>
      <c r="F6" s="51" t="s">
        <v>723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964</v>
      </c>
      <c r="Q6" s="34" t="s">
        <v>959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719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956</v>
      </c>
      <c r="C7" s="29" t="s">
        <v>965</v>
      </c>
      <c r="D7" s="29" t="s">
        <v>672</v>
      </c>
      <c r="E7" s="29" t="s">
        <v>774</v>
      </c>
      <c r="F7" s="22" t="s">
        <v>942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967</v>
      </c>
      <c r="Q7" s="52" t="s">
        <v>968</v>
      </c>
      <c r="R7" s="34" t="s">
        <v>332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4" t="s">
        <v>969</v>
      </c>
      <c r="W7" s="58" t="str">
        <f t="shared" si="4"/>
        <v>Key-ABNT-7</v>
      </c>
      <c r="X7" s="34" t="s">
        <v>332</v>
      </c>
      <c r="Y7" s="34" t="s">
        <v>332</v>
      </c>
      <c r="Z7" s="34" t="s">
        <v>724</v>
      </c>
      <c r="AA7" s="54" t="s">
        <v>970</v>
      </c>
    </row>
    <row r="8" spans="1:27" ht="6.75" customHeight="1" x14ac:dyDescent="0.3">
      <c r="A8" s="49">
        <v>8</v>
      </c>
      <c r="B8" s="50" t="s">
        <v>956</v>
      </c>
      <c r="C8" s="29" t="s">
        <v>965</v>
      </c>
      <c r="D8" s="29" t="s">
        <v>672</v>
      </c>
      <c r="E8" s="29" t="s">
        <v>774</v>
      </c>
      <c r="F8" s="22" t="s">
        <v>943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971</v>
      </c>
      <c r="Q8" s="52" t="s">
        <v>972</v>
      </c>
      <c r="R8" s="34" t="s">
        <v>332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4" t="s">
        <v>969</v>
      </c>
      <c r="W8" s="58" t="str">
        <f t="shared" si="4"/>
        <v>Key-ABNT-8</v>
      </c>
      <c r="X8" s="34" t="s">
        <v>332</v>
      </c>
      <c r="Y8" s="34" t="s">
        <v>332</v>
      </c>
      <c r="Z8" s="34" t="s">
        <v>725</v>
      </c>
      <c r="AA8" s="54" t="s">
        <v>973</v>
      </c>
    </row>
    <row r="9" spans="1:27" ht="6.75" customHeight="1" x14ac:dyDescent="0.3">
      <c r="A9" s="49">
        <v>9</v>
      </c>
      <c r="B9" s="50" t="s">
        <v>956</v>
      </c>
      <c r="C9" s="29" t="s">
        <v>965</v>
      </c>
      <c r="D9" s="29" t="s">
        <v>672</v>
      </c>
      <c r="E9" s="29" t="s">
        <v>774</v>
      </c>
      <c r="F9" s="22" t="s">
        <v>944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974</v>
      </c>
      <c r="Q9" s="52" t="s">
        <v>975</v>
      </c>
      <c r="R9" s="34" t="s">
        <v>332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4" t="s">
        <v>969</v>
      </c>
      <c r="W9" s="58" t="str">
        <f t="shared" si="4"/>
        <v>Key-ABNT-9</v>
      </c>
      <c r="X9" s="34" t="s">
        <v>332</v>
      </c>
      <c r="Y9" s="34" t="s">
        <v>332</v>
      </c>
      <c r="Z9" s="34" t="s">
        <v>726</v>
      </c>
      <c r="AA9" s="54" t="s">
        <v>976</v>
      </c>
    </row>
    <row r="10" spans="1:27" ht="6.75" customHeight="1" x14ac:dyDescent="0.3">
      <c r="A10" s="49">
        <v>10</v>
      </c>
      <c r="B10" s="50" t="s">
        <v>956</v>
      </c>
      <c r="C10" s="29" t="s">
        <v>965</v>
      </c>
      <c r="D10" s="29" t="s">
        <v>672</v>
      </c>
      <c r="E10" s="29" t="s">
        <v>774</v>
      </c>
      <c r="F10" s="22" t="s">
        <v>945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977</v>
      </c>
      <c r="Q10" s="52" t="s">
        <v>978</v>
      </c>
      <c r="R10" s="34" t="s">
        <v>332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4" t="s">
        <v>969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727</v>
      </c>
      <c r="AA10" s="54" t="s">
        <v>979</v>
      </c>
    </row>
    <row r="11" spans="1:27" ht="6.75" customHeight="1" x14ac:dyDescent="0.3">
      <c r="A11" s="49">
        <v>11</v>
      </c>
      <c r="B11" s="50" t="s">
        <v>956</v>
      </c>
      <c r="C11" s="29" t="s">
        <v>965</v>
      </c>
      <c r="D11" s="29" t="s">
        <v>672</v>
      </c>
      <c r="E11" s="29" t="s">
        <v>774</v>
      </c>
      <c r="F11" s="22" t="s">
        <v>946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980</v>
      </c>
      <c r="Q11" s="52" t="s">
        <v>981</v>
      </c>
      <c r="R11" s="34" t="s">
        <v>332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4" t="s">
        <v>969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728</v>
      </c>
      <c r="AA11" s="54" t="s">
        <v>982</v>
      </c>
    </row>
    <row r="12" spans="1:27" ht="6.75" customHeight="1" x14ac:dyDescent="0.3">
      <c r="A12" s="49">
        <v>12</v>
      </c>
      <c r="B12" s="50" t="s">
        <v>956</v>
      </c>
      <c r="C12" s="29" t="s">
        <v>965</v>
      </c>
      <c r="D12" s="29" t="s">
        <v>672</v>
      </c>
      <c r="E12" s="29" t="s">
        <v>774</v>
      </c>
      <c r="F12" s="22" t="s">
        <v>947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983</v>
      </c>
      <c r="Q12" s="52" t="s">
        <v>984</v>
      </c>
      <c r="R12" s="34" t="s">
        <v>332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4" t="s">
        <v>969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729</v>
      </c>
      <c r="AA12" s="54" t="s">
        <v>985</v>
      </c>
    </row>
    <row r="13" spans="1:27" ht="6.75" customHeight="1" x14ac:dyDescent="0.3">
      <c r="A13" s="49">
        <v>13</v>
      </c>
      <c r="B13" s="50" t="s">
        <v>956</v>
      </c>
      <c r="C13" s="29" t="s">
        <v>965</v>
      </c>
      <c r="D13" s="29" t="s">
        <v>672</v>
      </c>
      <c r="E13" s="29" t="s">
        <v>774</v>
      </c>
      <c r="F13" s="22" t="s">
        <v>948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986</v>
      </c>
      <c r="Q13" s="52" t="s">
        <v>987</v>
      </c>
      <c r="R13" s="34" t="s">
        <v>332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4" t="s">
        <v>969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730</v>
      </c>
      <c r="AA13" s="54" t="s">
        <v>988</v>
      </c>
    </row>
    <row r="14" spans="1:27" ht="6.75" customHeight="1" x14ac:dyDescent="0.3">
      <c r="A14" s="49">
        <v>14</v>
      </c>
      <c r="B14" s="50" t="s">
        <v>956</v>
      </c>
      <c r="C14" s="29" t="s">
        <v>965</v>
      </c>
      <c r="D14" s="29" t="s">
        <v>672</v>
      </c>
      <c r="E14" s="29" t="s">
        <v>774</v>
      </c>
      <c r="F14" s="22" t="s">
        <v>949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989</v>
      </c>
      <c r="Q14" s="52" t="s">
        <v>990</v>
      </c>
      <c r="R14" s="34" t="s">
        <v>332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4" t="s">
        <v>969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731</v>
      </c>
      <c r="AA14" s="54" t="s">
        <v>991</v>
      </c>
    </row>
    <row r="15" spans="1:27" ht="6.75" customHeight="1" x14ac:dyDescent="0.3">
      <c r="A15" s="49">
        <v>15</v>
      </c>
      <c r="B15" s="50" t="s">
        <v>956</v>
      </c>
      <c r="C15" s="29" t="s">
        <v>965</v>
      </c>
      <c r="D15" s="29" t="s">
        <v>672</v>
      </c>
      <c r="E15" s="29" t="s">
        <v>774</v>
      </c>
      <c r="F15" s="22" t="s">
        <v>950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992</v>
      </c>
      <c r="Q15" s="52" t="s">
        <v>993</v>
      </c>
      <c r="R15" s="34" t="s">
        <v>332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4" t="s">
        <v>969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732</v>
      </c>
      <c r="AA15" s="54" t="s">
        <v>994</v>
      </c>
    </row>
    <row r="16" spans="1:27" ht="6.75" customHeight="1" x14ac:dyDescent="0.3">
      <c r="A16" s="49">
        <v>16</v>
      </c>
      <c r="B16" s="50" t="s">
        <v>956</v>
      </c>
      <c r="C16" s="29" t="s">
        <v>965</v>
      </c>
      <c r="D16" s="29" t="s">
        <v>672</v>
      </c>
      <c r="E16" s="29" t="s">
        <v>774</v>
      </c>
      <c r="F16" s="22" t="s">
        <v>775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995</v>
      </c>
      <c r="Q16" s="52" t="s">
        <v>996</v>
      </c>
      <c r="R16" s="34" t="s">
        <v>332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4" t="s">
        <v>969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997</v>
      </c>
    </row>
    <row r="17" spans="1:27" ht="6.75" customHeight="1" x14ac:dyDescent="0.3">
      <c r="A17" s="49">
        <v>17</v>
      </c>
      <c r="B17" s="50" t="s">
        <v>956</v>
      </c>
      <c r="C17" s="29" t="s">
        <v>965</v>
      </c>
      <c r="D17" s="29" t="s">
        <v>672</v>
      </c>
      <c r="E17" s="29" t="s">
        <v>774</v>
      </c>
      <c r="F17" s="22" t="s">
        <v>951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998</v>
      </c>
      <c r="Q17" s="52" t="s">
        <v>999</v>
      </c>
      <c r="R17" s="34" t="s">
        <v>332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4" t="s">
        <v>969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733</v>
      </c>
      <c r="AA17" s="54" t="s">
        <v>1000</v>
      </c>
    </row>
    <row r="18" spans="1:27" ht="6.75" customHeight="1" x14ac:dyDescent="0.3">
      <c r="A18" s="49">
        <v>18</v>
      </c>
      <c r="B18" s="50" t="s">
        <v>956</v>
      </c>
      <c r="C18" s="29" t="s">
        <v>965</v>
      </c>
      <c r="D18" s="29" t="s">
        <v>672</v>
      </c>
      <c r="E18" s="29" t="s">
        <v>774</v>
      </c>
      <c r="F18" s="22" t="s">
        <v>952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1001</v>
      </c>
      <c r="Q18" s="52" t="s">
        <v>1002</v>
      </c>
      <c r="R18" s="34" t="s">
        <v>332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4" t="s">
        <v>969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734</v>
      </c>
      <c r="AA18" s="54" t="s">
        <v>1003</v>
      </c>
    </row>
    <row r="19" spans="1:27" ht="6.75" customHeight="1" x14ac:dyDescent="0.3">
      <c r="A19" s="49">
        <v>19</v>
      </c>
      <c r="B19" s="50" t="s">
        <v>956</v>
      </c>
      <c r="C19" s="29" t="s">
        <v>965</v>
      </c>
      <c r="D19" s="29" t="s">
        <v>672</v>
      </c>
      <c r="E19" s="29" t="s">
        <v>774</v>
      </c>
      <c r="F19" s="22" t="s">
        <v>953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1004</v>
      </c>
      <c r="Q19" s="52" t="s">
        <v>1005</v>
      </c>
      <c r="R19" s="34" t="s">
        <v>332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4" t="s">
        <v>969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735</v>
      </c>
      <c r="AA19" s="54" t="s">
        <v>1006</v>
      </c>
    </row>
    <row r="20" spans="1:27" ht="6.75" customHeight="1" x14ac:dyDescent="0.3">
      <c r="A20" s="49">
        <v>20</v>
      </c>
      <c r="B20" s="50" t="s">
        <v>956</v>
      </c>
      <c r="C20" s="29" t="s">
        <v>965</v>
      </c>
      <c r="D20" s="29" t="s">
        <v>966</v>
      </c>
      <c r="E20" s="29" t="s">
        <v>842</v>
      </c>
      <c r="F20" s="10" t="s">
        <v>776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8">CONCATENATE("", C20)</f>
        <v>Normativo</v>
      </c>
      <c r="M20" s="52" t="str">
        <f t="shared" ref="M20:M52" si="9">CONCATENATE("", D20)</f>
        <v>NBR.Temática</v>
      </c>
      <c r="N20" s="52" t="str">
        <f t="shared" ref="N20:N52" si="10">CONCATENATE("", E20)</f>
        <v>NBR.Recursos</v>
      </c>
      <c r="O20" s="52" t="str">
        <f t="shared" ref="O20:O52" si="11">F20</f>
        <v>NBR.R.Planejamento</v>
      </c>
      <c r="P20" s="54" t="s">
        <v>843</v>
      </c>
      <c r="Q20" s="54" t="s">
        <v>909</v>
      </c>
      <c r="R20" s="34" t="s">
        <v>332</v>
      </c>
      <c r="S20" s="53" t="str">
        <f t="shared" ref="S20:S52" si="12">SUBSTITUTE(C20, "_", " ")</f>
        <v>Normativo</v>
      </c>
      <c r="T20" s="53" t="str">
        <f t="shared" ref="T20:T52" si="13">SUBSTITUTE(D20, "_", " ")</f>
        <v>NBR.Temática</v>
      </c>
      <c r="U20" s="52" t="str">
        <f t="shared" ref="U20:U52" si="14">SUBSTITUTE(E20, "_", " ")</f>
        <v>NBR.Recursos</v>
      </c>
      <c r="V20" s="34" t="s">
        <v>719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809</v>
      </c>
      <c r="AA20" s="57" t="s">
        <v>876</v>
      </c>
    </row>
    <row r="21" spans="1:27" ht="6.75" customHeight="1" x14ac:dyDescent="0.3">
      <c r="A21" s="49">
        <v>21</v>
      </c>
      <c r="B21" s="50" t="s">
        <v>956</v>
      </c>
      <c r="C21" s="29" t="s">
        <v>965</v>
      </c>
      <c r="D21" s="29" t="s">
        <v>966</v>
      </c>
      <c r="E21" s="29" t="s">
        <v>842</v>
      </c>
      <c r="F21" s="10" t="s">
        <v>777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8"/>
        <v>Normativo</v>
      </c>
      <c r="M21" s="52" t="str">
        <f t="shared" si="9"/>
        <v>NBR.Temática</v>
      </c>
      <c r="N21" s="52" t="str">
        <f t="shared" si="10"/>
        <v>NBR.Recursos</v>
      </c>
      <c r="O21" s="52" t="str">
        <f t="shared" si="11"/>
        <v>NBR.R.Levantamento</v>
      </c>
      <c r="P21" s="54" t="s">
        <v>844</v>
      </c>
      <c r="Q21" s="54" t="s">
        <v>910</v>
      </c>
      <c r="R21" s="34" t="s">
        <v>332</v>
      </c>
      <c r="S21" s="53" t="str">
        <f t="shared" si="12"/>
        <v>Normativo</v>
      </c>
      <c r="T21" s="53" t="str">
        <f t="shared" si="13"/>
        <v>NBR.Temática</v>
      </c>
      <c r="U21" s="52" t="str">
        <f t="shared" si="14"/>
        <v>NBR.Recursos</v>
      </c>
      <c r="V21" s="34" t="s">
        <v>719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810</v>
      </c>
      <c r="AA21" s="57" t="s">
        <v>877</v>
      </c>
    </row>
    <row r="22" spans="1:27" ht="6.75" customHeight="1" x14ac:dyDescent="0.3">
      <c r="A22" s="49">
        <v>22</v>
      </c>
      <c r="B22" s="50" t="s">
        <v>956</v>
      </c>
      <c r="C22" s="29" t="s">
        <v>965</v>
      </c>
      <c r="D22" s="29" t="s">
        <v>966</v>
      </c>
      <c r="E22" s="29" t="s">
        <v>842</v>
      </c>
      <c r="F22" s="10" t="s">
        <v>778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8"/>
        <v>Normativo</v>
      </c>
      <c r="M22" s="52" t="str">
        <f t="shared" si="9"/>
        <v>NBR.Temática</v>
      </c>
      <c r="N22" s="52" t="str">
        <f t="shared" si="10"/>
        <v>NBR.Recursos</v>
      </c>
      <c r="O22" s="52" t="str">
        <f t="shared" si="11"/>
        <v>NBR.R.Análise</v>
      </c>
      <c r="P22" s="54" t="s">
        <v>845</v>
      </c>
      <c r="Q22" s="54" t="s">
        <v>911</v>
      </c>
      <c r="R22" s="34" t="s">
        <v>332</v>
      </c>
      <c r="S22" s="53" t="str">
        <f t="shared" si="12"/>
        <v>Normativo</v>
      </c>
      <c r="T22" s="53" t="str">
        <f t="shared" si="13"/>
        <v>NBR.Temática</v>
      </c>
      <c r="U22" s="52" t="str">
        <f t="shared" si="14"/>
        <v>NBR.Recursos</v>
      </c>
      <c r="V22" s="34" t="s">
        <v>719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811</v>
      </c>
      <c r="AA22" s="57" t="s">
        <v>878</v>
      </c>
    </row>
    <row r="23" spans="1:27" ht="6.75" customHeight="1" x14ac:dyDescent="0.3">
      <c r="A23" s="49">
        <v>23</v>
      </c>
      <c r="B23" s="50" t="s">
        <v>956</v>
      </c>
      <c r="C23" s="29" t="s">
        <v>965</v>
      </c>
      <c r="D23" s="29" t="s">
        <v>966</v>
      </c>
      <c r="E23" s="29" t="s">
        <v>842</v>
      </c>
      <c r="F23" s="10" t="s">
        <v>779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8"/>
        <v>Normativo</v>
      </c>
      <c r="M23" s="52" t="str">
        <f t="shared" si="9"/>
        <v>NBR.Temática</v>
      </c>
      <c r="N23" s="52" t="str">
        <f t="shared" si="10"/>
        <v>NBR.Recursos</v>
      </c>
      <c r="O23" s="52" t="str">
        <f t="shared" si="11"/>
        <v>NBR.R.Desenvolvimento</v>
      </c>
      <c r="P23" s="54" t="s">
        <v>846</v>
      </c>
      <c r="Q23" s="54" t="s">
        <v>912</v>
      </c>
      <c r="R23" s="34" t="s">
        <v>332</v>
      </c>
      <c r="S23" s="53" t="str">
        <f t="shared" si="12"/>
        <v>Normativo</v>
      </c>
      <c r="T23" s="53" t="str">
        <f t="shared" si="13"/>
        <v>NBR.Temática</v>
      </c>
      <c r="U23" s="52" t="str">
        <f t="shared" si="14"/>
        <v>NBR.Recursos</v>
      </c>
      <c r="V23" s="34" t="s">
        <v>719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812</v>
      </c>
      <c r="AA23" s="57" t="s">
        <v>879</v>
      </c>
    </row>
    <row r="24" spans="1:27" ht="6.75" customHeight="1" x14ac:dyDescent="0.3">
      <c r="A24" s="49">
        <v>24</v>
      </c>
      <c r="B24" s="50" t="s">
        <v>956</v>
      </c>
      <c r="C24" s="29" t="s">
        <v>965</v>
      </c>
      <c r="D24" s="29" t="s">
        <v>966</v>
      </c>
      <c r="E24" s="29" t="s">
        <v>842</v>
      </c>
      <c r="F24" s="10" t="s">
        <v>780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8"/>
        <v>Normativo</v>
      </c>
      <c r="M24" s="52" t="str">
        <f t="shared" si="9"/>
        <v>NBR.Temática</v>
      </c>
      <c r="N24" s="52" t="str">
        <f t="shared" si="10"/>
        <v>NBR.Recursos</v>
      </c>
      <c r="O24" s="52" t="str">
        <f t="shared" si="11"/>
        <v>NBR.R.Gestão</v>
      </c>
      <c r="P24" s="54" t="s">
        <v>847</v>
      </c>
      <c r="Q24" s="54" t="s">
        <v>913</v>
      </c>
      <c r="R24" s="34" t="s">
        <v>332</v>
      </c>
      <c r="S24" s="53" t="str">
        <f t="shared" si="12"/>
        <v>Normativo</v>
      </c>
      <c r="T24" s="53" t="str">
        <f t="shared" si="13"/>
        <v>NBR.Temática</v>
      </c>
      <c r="U24" s="52" t="str">
        <f t="shared" si="14"/>
        <v>NBR.Recursos</v>
      </c>
      <c r="V24" s="34" t="s">
        <v>719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813</v>
      </c>
      <c r="AA24" s="57" t="s">
        <v>880</v>
      </c>
    </row>
    <row r="25" spans="1:27" ht="6.75" customHeight="1" x14ac:dyDescent="0.3">
      <c r="A25" s="49">
        <v>25</v>
      </c>
      <c r="B25" s="50" t="s">
        <v>956</v>
      </c>
      <c r="C25" s="29" t="s">
        <v>965</v>
      </c>
      <c r="D25" s="29" t="s">
        <v>966</v>
      </c>
      <c r="E25" s="29" t="s">
        <v>842</v>
      </c>
      <c r="F25" s="10" t="s">
        <v>781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8"/>
        <v>Normativo</v>
      </c>
      <c r="M25" s="52" t="str">
        <f t="shared" si="9"/>
        <v>NBR.Temática</v>
      </c>
      <c r="N25" s="52" t="str">
        <f t="shared" si="10"/>
        <v>NBR.Recursos</v>
      </c>
      <c r="O25" s="52" t="str">
        <f t="shared" si="11"/>
        <v>NBR.R.Documentação</v>
      </c>
      <c r="P25" s="54" t="s">
        <v>848</v>
      </c>
      <c r="Q25" s="54" t="s">
        <v>914</v>
      </c>
      <c r="R25" s="34" t="s">
        <v>332</v>
      </c>
      <c r="S25" s="53" t="str">
        <f t="shared" si="12"/>
        <v>Normativo</v>
      </c>
      <c r="T25" s="53" t="str">
        <f t="shared" si="13"/>
        <v>NBR.Temática</v>
      </c>
      <c r="U25" s="52" t="str">
        <f t="shared" si="14"/>
        <v>NBR.Recursos</v>
      </c>
      <c r="V25" s="34" t="s">
        <v>719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814</v>
      </c>
      <c r="AA25" s="57" t="s">
        <v>881</v>
      </c>
    </row>
    <row r="26" spans="1:27" ht="6.75" customHeight="1" x14ac:dyDescent="0.3">
      <c r="A26" s="49">
        <v>26</v>
      </c>
      <c r="B26" s="50" t="s">
        <v>956</v>
      </c>
      <c r="C26" s="29" t="s">
        <v>965</v>
      </c>
      <c r="D26" s="29" t="s">
        <v>966</v>
      </c>
      <c r="E26" s="29" t="s">
        <v>842</v>
      </c>
      <c r="F26" s="10" t="s">
        <v>782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8"/>
        <v>Normativo</v>
      </c>
      <c r="M26" s="52" t="str">
        <f t="shared" si="9"/>
        <v>NBR.Temática</v>
      </c>
      <c r="N26" s="52" t="str">
        <f t="shared" si="10"/>
        <v>NBR.Recursos</v>
      </c>
      <c r="O26" s="52" t="str">
        <f t="shared" si="11"/>
        <v>NBR.R.Comunicação</v>
      </c>
      <c r="P26" s="54" t="s">
        <v>849</v>
      </c>
      <c r="Q26" s="54" t="s">
        <v>915</v>
      </c>
      <c r="R26" s="34" t="s">
        <v>332</v>
      </c>
      <c r="S26" s="53" t="str">
        <f t="shared" si="12"/>
        <v>Normativo</v>
      </c>
      <c r="T26" s="53" t="str">
        <f t="shared" si="13"/>
        <v>NBR.Temática</v>
      </c>
      <c r="U26" s="52" t="str">
        <f t="shared" si="14"/>
        <v>NBR.Recursos</v>
      </c>
      <c r="V26" s="34" t="s">
        <v>719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815</v>
      </c>
      <c r="AA26" s="57" t="s">
        <v>882</v>
      </c>
    </row>
    <row r="27" spans="1:27" ht="6.75" customHeight="1" x14ac:dyDescent="0.3">
      <c r="A27" s="49">
        <v>27</v>
      </c>
      <c r="B27" s="50" t="s">
        <v>956</v>
      </c>
      <c r="C27" s="29" t="s">
        <v>965</v>
      </c>
      <c r="D27" s="29" t="s">
        <v>966</v>
      </c>
      <c r="E27" s="29" t="s">
        <v>842</v>
      </c>
      <c r="F27" s="10" t="s">
        <v>783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8"/>
        <v>Normativo</v>
      </c>
      <c r="M27" s="52" t="str">
        <f t="shared" si="9"/>
        <v>NBR.Temática</v>
      </c>
      <c r="N27" s="52" t="str">
        <f t="shared" si="10"/>
        <v>NBR.Recursos</v>
      </c>
      <c r="O27" s="52" t="str">
        <f t="shared" si="11"/>
        <v>NBR.R.Classificação</v>
      </c>
      <c r="P27" s="54" t="s">
        <v>850</v>
      </c>
      <c r="Q27" s="54" t="s">
        <v>916</v>
      </c>
      <c r="R27" s="34" t="s">
        <v>332</v>
      </c>
      <c r="S27" s="53" t="str">
        <f t="shared" si="12"/>
        <v>Normativo</v>
      </c>
      <c r="T27" s="53" t="str">
        <f t="shared" si="13"/>
        <v>NBR.Temática</v>
      </c>
      <c r="U27" s="52" t="str">
        <f t="shared" si="14"/>
        <v>NBR.Recursos</v>
      </c>
      <c r="V27" s="34" t="s">
        <v>719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816</v>
      </c>
      <c r="AA27" s="57" t="s">
        <v>883</v>
      </c>
    </row>
    <row r="28" spans="1:27" ht="6.75" customHeight="1" x14ac:dyDescent="0.3">
      <c r="A28" s="49">
        <v>28</v>
      </c>
      <c r="B28" s="50" t="s">
        <v>956</v>
      </c>
      <c r="C28" s="29" t="s">
        <v>965</v>
      </c>
      <c r="D28" s="29" t="s">
        <v>966</v>
      </c>
      <c r="E28" s="29" t="s">
        <v>842</v>
      </c>
      <c r="F28" s="10" t="s">
        <v>784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8"/>
        <v>Normativo</v>
      </c>
      <c r="M28" s="52" t="str">
        <f t="shared" si="9"/>
        <v>NBR.Temática</v>
      </c>
      <c r="N28" s="52" t="str">
        <f t="shared" si="10"/>
        <v>NBR.Recursos</v>
      </c>
      <c r="O28" s="52" t="str">
        <f t="shared" si="11"/>
        <v>NBR.R.Quantificação</v>
      </c>
      <c r="P28" s="54" t="s">
        <v>851</v>
      </c>
      <c r="Q28" s="54" t="s">
        <v>917</v>
      </c>
      <c r="R28" s="34" t="s">
        <v>332</v>
      </c>
      <c r="S28" s="53" t="str">
        <f t="shared" si="12"/>
        <v>Normativo</v>
      </c>
      <c r="T28" s="53" t="str">
        <f t="shared" si="13"/>
        <v>NBR.Temática</v>
      </c>
      <c r="U28" s="52" t="str">
        <f t="shared" si="14"/>
        <v>NBR.Recursos</v>
      </c>
      <c r="V28" s="34" t="s">
        <v>719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817</v>
      </c>
      <c r="AA28" s="57" t="s">
        <v>884</v>
      </c>
    </row>
    <row r="29" spans="1:27" ht="6.75" customHeight="1" x14ac:dyDescent="0.3">
      <c r="A29" s="49">
        <v>29</v>
      </c>
      <c r="B29" s="50" t="s">
        <v>956</v>
      </c>
      <c r="C29" s="29" t="s">
        <v>965</v>
      </c>
      <c r="D29" s="29" t="s">
        <v>966</v>
      </c>
      <c r="E29" s="29" t="s">
        <v>842</v>
      </c>
      <c r="F29" s="10" t="s">
        <v>785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8"/>
        <v>Normativo</v>
      </c>
      <c r="M29" s="52" t="str">
        <f t="shared" si="9"/>
        <v>NBR.Temática</v>
      </c>
      <c r="N29" s="52" t="str">
        <f t="shared" si="10"/>
        <v>NBR.Recursos</v>
      </c>
      <c r="O29" s="52" t="str">
        <f t="shared" si="11"/>
        <v>NBR.R.Medição</v>
      </c>
      <c r="P29" s="54" t="s">
        <v>852</v>
      </c>
      <c r="Q29" s="54" t="s">
        <v>918</v>
      </c>
      <c r="R29" s="34" t="s">
        <v>332</v>
      </c>
      <c r="S29" s="53" t="str">
        <f t="shared" si="12"/>
        <v>Normativo</v>
      </c>
      <c r="T29" s="53" t="str">
        <f t="shared" si="13"/>
        <v>NBR.Temática</v>
      </c>
      <c r="U29" s="52" t="str">
        <f t="shared" si="14"/>
        <v>NBR.Recursos</v>
      </c>
      <c r="V29" s="34" t="s">
        <v>719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818</v>
      </c>
      <c r="AA29" s="57" t="s">
        <v>885</v>
      </c>
    </row>
    <row r="30" spans="1:27" ht="6.75" customHeight="1" x14ac:dyDescent="0.3">
      <c r="A30" s="49">
        <v>30</v>
      </c>
      <c r="B30" s="50" t="s">
        <v>956</v>
      </c>
      <c r="C30" s="29" t="s">
        <v>965</v>
      </c>
      <c r="D30" s="29" t="s">
        <v>966</v>
      </c>
      <c r="E30" s="29" t="s">
        <v>842</v>
      </c>
      <c r="F30" s="10" t="s">
        <v>786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8"/>
        <v>Normativo</v>
      </c>
      <c r="M30" s="52" t="str">
        <f t="shared" si="9"/>
        <v>NBR.Temática</v>
      </c>
      <c r="N30" s="52" t="str">
        <f t="shared" si="10"/>
        <v>NBR.Recursos</v>
      </c>
      <c r="O30" s="52" t="str">
        <f t="shared" si="11"/>
        <v>NBR.R.Logística</v>
      </c>
      <c r="P30" s="54" t="s">
        <v>853</v>
      </c>
      <c r="Q30" s="54" t="s">
        <v>919</v>
      </c>
      <c r="R30" s="34" t="s">
        <v>332</v>
      </c>
      <c r="S30" s="53" t="str">
        <f t="shared" si="12"/>
        <v>Normativo</v>
      </c>
      <c r="T30" s="53" t="str">
        <f t="shared" si="13"/>
        <v>NBR.Temática</v>
      </c>
      <c r="U30" s="52" t="str">
        <f t="shared" si="14"/>
        <v>NBR.Recursos</v>
      </c>
      <c r="V30" s="34" t="s">
        <v>719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819</v>
      </c>
      <c r="AA30" s="57" t="s">
        <v>886</v>
      </c>
    </row>
    <row r="31" spans="1:27" ht="6.75" customHeight="1" x14ac:dyDescent="0.3">
      <c r="A31" s="49">
        <v>31</v>
      </c>
      <c r="B31" s="50" t="s">
        <v>956</v>
      </c>
      <c r="C31" s="29" t="s">
        <v>965</v>
      </c>
      <c r="D31" s="29" t="s">
        <v>966</v>
      </c>
      <c r="E31" s="29" t="s">
        <v>842</v>
      </c>
      <c r="F31" s="10" t="s">
        <v>787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8"/>
        <v>Normativo</v>
      </c>
      <c r="M31" s="52" t="str">
        <f t="shared" si="9"/>
        <v>NBR.Temática</v>
      </c>
      <c r="N31" s="52" t="str">
        <f t="shared" si="10"/>
        <v>NBR.Recursos</v>
      </c>
      <c r="O31" s="52" t="str">
        <f t="shared" si="11"/>
        <v>NBR.R.Armazenamento</v>
      </c>
      <c r="P31" s="54" t="s">
        <v>854</v>
      </c>
      <c r="Q31" s="54" t="s">
        <v>920</v>
      </c>
      <c r="R31" s="34" t="s">
        <v>332</v>
      </c>
      <c r="S31" s="53" t="str">
        <f t="shared" si="12"/>
        <v>Normativo</v>
      </c>
      <c r="T31" s="53" t="str">
        <f t="shared" si="13"/>
        <v>NBR.Temática</v>
      </c>
      <c r="U31" s="52" t="str">
        <f t="shared" si="14"/>
        <v>NBR.Recursos</v>
      </c>
      <c r="V31" s="34" t="s">
        <v>719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820</v>
      </c>
      <c r="AA31" s="57" t="s">
        <v>887</v>
      </c>
    </row>
    <row r="32" spans="1:27" ht="6.75" customHeight="1" x14ac:dyDescent="0.3">
      <c r="A32" s="49">
        <v>32</v>
      </c>
      <c r="B32" s="50" t="s">
        <v>956</v>
      </c>
      <c r="C32" s="29" t="s">
        <v>965</v>
      </c>
      <c r="D32" s="29" t="s">
        <v>966</v>
      </c>
      <c r="E32" s="29" t="s">
        <v>842</v>
      </c>
      <c r="F32" s="10" t="s">
        <v>788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8"/>
        <v>Normativo</v>
      </c>
      <c r="M32" s="52" t="str">
        <f t="shared" si="9"/>
        <v>NBR.Temática</v>
      </c>
      <c r="N32" s="52" t="str">
        <f t="shared" si="10"/>
        <v>NBR.Recursos</v>
      </c>
      <c r="O32" s="52" t="str">
        <f t="shared" si="11"/>
        <v>NBR.R.Descarte</v>
      </c>
      <c r="P32" s="54" t="s">
        <v>855</v>
      </c>
      <c r="Q32" s="54" t="s">
        <v>921</v>
      </c>
      <c r="R32" s="34" t="s">
        <v>332</v>
      </c>
      <c r="S32" s="53" t="str">
        <f t="shared" si="12"/>
        <v>Normativo</v>
      </c>
      <c r="T32" s="53" t="str">
        <f t="shared" si="13"/>
        <v>NBR.Temática</v>
      </c>
      <c r="U32" s="52" t="str">
        <f t="shared" si="14"/>
        <v>NBR.Recursos</v>
      </c>
      <c r="V32" s="34" t="s">
        <v>719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821</v>
      </c>
      <c r="AA32" s="57" t="s">
        <v>888</v>
      </c>
    </row>
    <row r="33" spans="1:27" ht="6.75" customHeight="1" x14ac:dyDescent="0.3">
      <c r="A33" s="49">
        <v>33</v>
      </c>
      <c r="B33" s="50" t="s">
        <v>956</v>
      </c>
      <c r="C33" s="29" t="s">
        <v>965</v>
      </c>
      <c r="D33" s="29" t="s">
        <v>966</v>
      </c>
      <c r="E33" s="29" t="s">
        <v>842</v>
      </c>
      <c r="F33" s="10" t="s">
        <v>789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8"/>
        <v>Normativo</v>
      </c>
      <c r="M33" s="52" t="str">
        <f t="shared" si="9"/>
        <v>NBR.Temática</v>
      </c>
      <c r="N33" s="52" t="str">
        <f t="shared" si="10"/>
        <v>NBR.Recursos</v>
      </c>
      <c r="O33" s="52" t="str">
        <f t="shared" si="11"/>
        <v>NBR.R.Transformação</v>
      </c>
      <c r="P33" s="54" t="s">
        <v>856</v>
      </c>
      <c r="Q33" s="54" t="s">
        <v>922</v>
      </c>
      <c r="R33" s="34" t="s">
        <v>332</v>
      </c>
      <c r="S33" s="53" t="str">
        <f t="shared" si="12"/>
        <v>Normativo</v>
      </c>
      <c r="T33" s="53" t="str">
        <f t="shared" si="13"/>
        <v>NBR.Temática</v>
      </c>
      <c r="U33" s="52" t="str">
        <f t="shared" si="14"/>
        <v>NBR.Recursos</v>
      </c>
      <c r="V33" s="34" t="s">
        <v>719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822</v>
      </c>
      <c r="AA33" s="57" t="s">
        <v>889</v>
      </c>
    </row>
    <row r="34" spans="1:27" ht="6.75" customHeight="1" x14ac:dyDescent="0.3">
      <c r="A34" s="49">
        <v>34</v>
      </c>
      <c r="B34" s="50" t="s">
        <v>956</v>
      </c>
      <c r="C34" s="29" t="s">
        <v>965</v>
      </c>
      <c r="D34" s="29" t="s">
        <v>966</v>
      </c>
      <c r="E34" s="29" t="s">
        <v>842</v>
      </c>
      <c r="F34" s="10" t="s">
        <v>790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8"/>
        <v>Normativo</v>
      </c>
      <c r="M34" s="52" t="str">
        <f t="shared" si="9"/>
        <v>NBR.Temática</v>
      </c>
      <c r="N34" s="52" t="str">
        <f t="shared" si="10"/>
        <v>NBR.Recursos</v>
      </c>
      <c r="O34" s="52" t="str">
        <f t="shared" si="11"/>
        <v>NBR.R.Retirada</v>
      </c>
      <c r="P34" s="54" t="s">
        <v>857</v>
      </c>
      <c r="Q34" s="54" t="s">
        <v>923</v>
      </c>
      <c r="R34" s="34" t="s">
        <v>332</v>
      </c>
      <c r="S34" s="53" t="str">
        <f t="shared" si="12"/>
        <v>Normativo</v>
      </c>
      <c r="T34" s="53" t="str">
        <f t="shared" si="13"/>
        <v>NBR.Temática</v>
      </c>
      <c r="U34" s="52" t="str">
        <f t="shared" si="14"/>
        <v>NBR.Recursos</v>
      </c>
      <c r="V34" s="34" t="s">
        <v>719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823</v>
      </c>
      <c r="AA34" s="57" t="s">
        <v>890</v>
      </c>
    </row>
    <row r="35" spans="1:27" ht="6.75" customHeight="1" x14ac:dyDescent="0.3">
      <c r="A35" s="49">
        <v>35</v>
      </c>
      <c r="B35" s="50" t="s">
        <v>956</v>
      </c>
      <c r="C35" s="29" t="s">
        <v>965</v>
      </c>
      <c r="D35" s="29" t="s">
        <v>966</v>
      </c>
      <c r="E35" s="29" t="s">
        <v>842</v>
      </c>
      <c r="F35" s="10" t="s">
        <v>791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8"/>
        <v>Normativo</v>
      </c>
      <c r="M35" s="52" t="str">
        <f t="shared" si="9"/>
        <v>NBR.Temática</v>
      </c>
      <c r="N35" s="52" t="str">
        <f t="shared" si="10"/>
        <v>NBR.Recursos</v>
      </c>
      <c r="O35" s="52" t="str">
        <f t="shared" si="11"/>
        <v>NBR.R.Acréscimo</v>
      </c>
      <c r="P35" s="54" t="s">
        <v>858</v>
      </c>
      <c r="Q35" s="54" t="s">
        <v>924</v>
      </c>
      <c r="R35" s="34" t="s">
        <v>332</v>
      </c>
      <c r="S35" s="53" t="str">
        <f t="shared" si="12"/>
        <v>Normativo</v>
      </c>
      <c r="T35" s="53" t="str">
        <f t="shared" si="13"/>
        <v>NBR.Temática</v>
      </c>
      <c r="U35" s="52" t="str">
        <f t="shared" si="14"/>
        <v>NBR.Recursos</v>
      </c>
      <c r="V35" s="34" t="s">
        <v>719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824</v>
      </c>
      <c r="AA35" s="57" t="s">
        <v>891</v>
      </c>
    </row>
    <row r="36" spans="1:27" ht="6.75" customHeight="1" x14ac:dyDescent="0.3">
      <c r="A36" s="49">
        <v>36</v>
      </c>
      <c r="B36" s="50" t="s">
        <v>956</v>
      </c>
      <c r="C36" s="29" t="s">
        <v>965</v>
      </c>
      <c r="D36" s="29" t="s">
        <v>966</v>
      </c>
      <c r="E36" s="29" t="s">
        <v>842</v>
      </c>
      <c r="F36" s="10" t="s">
        <v>806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8"/>
        <v>Normativo</v>
      </c>
      <c r="M36" s="52" t="str">
        <f t="shared" si="9"/>
        <v>NBR.Temática</v>
      </c>
      <c r="N36" s="52" t="str">
        <f t="shared" si="10"/>
        <v>NBR.Recursos</v>
      </c>
      <c r="O36" s="52" t="str">
        <f t="shared" si="11"/>
        <v>NBR.R.Alteração.Formal</v>
      </c>
      <c r="P36" s="54" t="s">
        <v>859</v>
      </c>
      <c r="Q36" s="54" t="s">
        <v>925</v>
      </c>
      <c r="R36" s="34" t="s">
        <v>332</v>
      </c>
      <c r="S36" s="53" t="str">
        <f t="shared" si="12"/>
        <v>Normativo</v>
      </c>
      <c r="T36" s="53" t="str">
        <f t="shared" si="13"/>
        <v>NBR.Temática</v>
      </c>
      <c r="U36" s="52" t="str">
        <f t="shared" si="14"/>
        <v>NBR.Recursos</v>
      </c>
      <c r="V36" s="34" t="s">
        <v>719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825</v>
      </c>
      <c r="AA36" s="57" t="s">
        <v>892</v>
      </c>
    </row>
    <row r="37" spans="1:27" ht="6.75" customHeight="1" x14ac:dyDescent="0.3">
      <c r="A37" s="49">
        <v>37</v>
      </c>
      <c r="B37" s="50" t="s">
        <v>956</v>
      </c>
      <c r="C37" s="29" t="s">
        <v>965</v>
      </c>
      <c r="D37" s="29" t="s">
        <v>966</v>
      </c>
      <c r="E37" s="29" t="s">
        <v>842</v>
      </c>
      <c r="F37" s="10" t="s">
        <v>792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8"/>
        <v>Normativo</v>
      </c>
      <c r="M37" s="52" t="str">
        <f t="shared" si="9"/>
        <v>NBR.Temática</v>
      </c>
      <c r="N37" s="52" t="str">
        <f t="shared" si="10"/>
        <v>NBR.Recursos</v>
      </c>
      <c r="O37" s="52" t="str">
        <f t="shared" si="11"/>
        <v>NBR.R.Conexão</v>
      </c>
      <c r="P37" s="54" t="s">
        <v>860</v>
      </c>
      <c r="Q37" s="54" t="s">
        <v>926</v>
      </c>
      <c r="R37" s="34" t="s">
        <v>332</v>
      </c>
      <c r="S37" s="53" t="str">
        <f t="shared" si="12"/>
        <v>Normativo</v>
      </c>
      <c r="T37" s="53" t="str">
        <f t="shared" si="13"/>
        <v>NBR.Temática</v>
      </c>
      <c r="U37" s="52" t="str">
        <f t="shared" si="14"/>
        <v>NBR.Recursos</v>
      </c>
      <c r="V37" s="34" t="s">
        <v>719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826</v>
      </c>
      <c r="AA37" s="57" t="s">
        <v>893</v>
      </c>
    </row>
    <row r="38" spans="1:27" ht="6.75" customHeight="1" x14ac:dyDescent="0.3">
      <c r="A38" s="49">
        <v>38</v>
      </c>
      <c r="B38" s="50" t="s">
        <v>956</v>
      </c>
      <c r="C38" s="29" t="s">
        <v>965</v>
      </c>
      <c r="D38" s="29" t="s">
        <v>966</v>
      </c>
      <c r="E38" s="29" t="s">
        <v>842</v>
      </c>
      <c r="F38" s="10" t="s">
        <v>793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8"/>
        <v>Normativo</v>
      </c>
      <c r="M38" s="52" t="str">
        <f t="shared" si="9"/>
        <v>NBR.Temática</v>
      </c>
      <c r="N38" s="52" t="str">
        <f t="shared" si="10"/>
        <v>NBR.Recursos</v>
      </c>
      <c r="O38" s="52" t="str">
        <f t="shared" si="11"/>
        <v>NBR.R.União</v>
      </c>
      <c r="P38" s="54" t="s">
        <v>861</v>
      </c>
      <c r="Q38" s="54" t="s">
        <v>927</v>
      </c>
      <c r="R38" s="34" t="s">
        <v>332</v>
      </c>
      <c r="S38" s="53" t="str">
        <f t="shared" si="12"/>
        <v>Normativo</v>
      </c>
      <c r="T38" s="53" t="str">
        <f t="shared" si="13"/>
        <v>NBR.Temática</v>
      </c>
      <c r="U38" s="52" t="str">
        <f t="shared" si="14"/>
        <v>NBR.Recursos</v>
      </c>
      <c r="V38" s="34" t="s">
        <v>719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827</v>
      </c>
      <c r="AA38" s="57" t="s">
        <v>894</v>
      </c>
    </row>
    <row r="39" spans="1:27" ht="6.75" customHeight="1" x14ac:dyDescent="0.3">
      <c r="A39" s="49">
        <v>39</v>
      </c>
      <c r="B39" s="50" t="s">
        <v>956</v>
      </c>
      <c r="C39" s="29" t="s">
        <v>965</v>
      </c>
      <c r="D39" s="29" t="s">
        <v>966</v>
      </c>
      <c r="E39" s="29" t="s">
        <v>842</v>
      </c>
      <c r="F39" s="10" t="s">
        <v>794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8"/>
        <v>Normativo</v>
      </c>
      <c r="M39" s="52" t="str">
        <f t="shared" si="9"/>
        <v>NBR.Temática</v>
      </c>
      <c r="N39" s="52" t="str">
        <f t="shared" si="10"/>
        <v>NBR.Recursos</v>
      </c>
      <c r="O39" s="52" t="str">
        <f t="shared" si="11"/>
        <v>NBR.R.Mistura</v>
      </c>
      <c r="P39" s="54" t="s">
        <v>862</v>
      </c>
      <c r="Q39" s="54" t="s">
        <v>928</v>
      </c>
      <c r="R39" s="34" t="s">
        <v>332</v>
      </c>
      <c r="S39" s="53" t="str">
        <f t="shared" si="12"/>
        <v>Normativo</v>
      </c>
      <c r="T39" s="53" t="str">
        <f t="shared" si="13"/>
        <v>NBR.Temática</v>
      </c>
      <c r="U39" s="52" t="str">
        <f t="shared" si="14"/>
        <v>NBR.Recursos</v>
      </c>
      <c r="V39" s="34" t="s">
        <v>719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828</v>
      </c>
      <c r="AA39" s="57" t="s">
        <v>895</v>
      </c>
    </row>
    <row r="40" spans="1:27" ht="6.75" customHeight="1" x14ac:dyDescent="0.3">
      <c r="A40" s="49">
        <v>40</v>
      </c>
      <c r="B40" s="50" t="s">
        <v>956</v>
      </c>
      <c r="C40" s="29" t="s">
        <v>965</v>
      </c>
      <c r="D40" s="29" t="s">
        <v>966</v>
      </c>
      <c r="E40" s="29" t="s">
        <v>842</v>
      </c>
      <c r="F40" s="10" t="s">
        <v>795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8"/>
        <v>Normativo</v>
      </c>
      <c r="M40" s="52" t="str">
        <f t="shared" si="9"/>
        <v>NBR.Temática</v>
      </c>
      <c r="N40" s="52" t="str">
        <f t="shared" si="10"/>
        <v>NBR.Recursos</v>
      </c>
      <c r="O40" s="52" t="str">
        <f t="shared" si="11"/>
        <v>NBR.R.Revestimento</v>
      </c>
      <c r="P40" s="54" t="s">
        <v>863</v>
      </c>
      <c r="Q40" s="54" t="s">
        <v>929</v>
      </c>
      <c r="R40" s="34" t="s">
        <v>332</v>
      </c>
      <c r="S40" s="53" t="str">
        <f t="shared" si="12"/>
        <v>Normativo</v>
      </c>
      <c r="T40" s="53" t="str">
        <f t="shared" si="13"/>
        <v>NBR.Temática</v>
      </c>
      <c r="U40" s="52" t="str">
        <f t="shared" si="14"/>
        <v>NBR.Recursos</v>
      </c>
      <c r="V40" s="34" t="s">
        <v>719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829</v>
      </c>
      <c r="AA40" s="57" t="s">
        <v>896</v>
      </c>
    </row>
    <row r="41" spans="1:27" ht="6.75" customHeight="1" x14ac:dyDescent="0.3">
      <c r="A41" s="49">
        <v>41</v>
      </c>
      <c r="B41" s="50" t="s">
        <v>956</v>
      </c>
      <c r="C41" s="29" t="s">
        <v>965</v>
      </c>
      <c r="D41" s="29" t="s">
        <v>966</v>
      </c>
      <c r="E41" s="29" t="s">
        <v>842</v>
      </c>
      <c r="F41" s="10" t="s">
        <v>796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8"/>
        <v>Normativo</v>
      </c>
      <c r="M41" s="52" t="str">
        <f t="shared" si="9"/>
        <v>NBR.Temática</v>
      </c>
      <c r="N41" s="52" t="str">
        <f t="shared" si="10"/>
        <v>NBR.Recursos</v>
      </c>
      <c r="O41" s="52" t="str">
        <f t="shared" si="11"/>
        <v>NBR.R.Montagem</v>
      </c>
      <c r="P41" s="54" t="s">
        <v>864</v>
      </c>
      <c r="Q41" s="54" t="s">
        <v>930</v>
      </c>
      <c r="R41" s="34" t="s">
        <v>332</v>
      </c>
      <c r="S41" s="53" t="str">
        <f t="shared" si="12"/>
        <v>Normativo</v>
      </c>
      <c r="T41" s="53" t="str">
        <f t="shared" si="13"/>
        <v>NBR.Temática</v>
      </c>
      <c r="U41" s="52" t="str">
        <f t="shared" si="14"/>
        <v>NBR.Recursos</v>
      </c>
      <c r="V41" s="34" t="s">
        <v>719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830</v>
      </c>
      <c r="AA41" s="57" t="s">
        <v>897</v>
      </c>
    </row>
    <row r="42" spans="1:27" ht="6.75" customHeight="1" x14ac:dyDescent="0.3">
      <c r="A42" s="49">
        <v>42</v>
      </c>
      <c r="B42" s="50" t="s">
        <v>956</v>
      </c>
      <c r="C42" s="29" t="s">
        <v>965</v>
      </c>
      <c r="D42" s="29" t="s">
        <v>966</v>
      </c>
      <c r="E42" s="29" t="s">
        <v>842</v>
      </c>
      <c r="F42" s="10" t="s">
        <v>797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8"/>
        <v>Normativo</v>
      </c>
      <c r="M42" s="52" t="str">
        <f t="shared" si="9"/>
        <v>NBR.Temática</v>
      </c>
      <c r="N42" s="52" t="str">
        <f t="shared" si="10"/>
        <v>NBR.Recursos</v>
      </c>
      <c r="O42" s="52" t="str">
        <f t="shared" si="11"/>
        <v>NBR.R.Separação</v>
      </c>
      <c r="P42" s="54" t="s">
        <v>865</v>
      </c>
      <c r="Q42" s="54" t="s">
        <v>931</v>
      </c>
      <c r="R42" s="34" t="s">
        <v>332</v>
      </c>
      <c r="S42" s="53" t="str">
        <f t="shared" si="12"/>
        <v>Normativo</v>
      </c>
      <c r="T42" s="53" t="str">
        <f t="shared" si="13"/>
        <v>NBR.Temática</v>
      </c>
      <c r="U42" s="52" t="str">
        <f t="shared" si="14"/>
        <v>NBR.Recursos</v>
      </c>
      <c r="V42" s="34" t="s">
        <v>719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831</v>
      </c>
      <c r="AA42" s="57" t="s">
        <v>898</v>
      </c>
    </row>
    <row r="43" spans="1:27" ht="6.75" customHeight="1" x14ac:dyDescent="0.3">
      <c r="A43" s="49">
        <v>43</v>
      </c>
      <c r="B43" s="50" t="s">
        <v>956</v>
      </c>
      <c r="C43" s="29" t="s">
        <v>965</v>
      </c>
      <c r="D43" s="29" t="s">
        <v>966</v>
      </c>
      <c r="E43" s="29" t="s">
        <v>842</v>
      </c>
      <c r="F43" s="10" t="s">
        <v>798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8"/>
        <v>Normativo</v>
      </c>
      <c r="M43" s="52" t="str">
        <f t="shared" si="9"/>
        <v>NBR.Temática</v>
      </c>
      <c r="N43" s="52" t="str">
        <f t="shared" si="10"/>
        <v>NBR.Recursos</v>
      </c>
      <c r="O43" s="52" t="str">
        <f t="shared" si="11"/>
        <v>NBR.R.Desmontagem</v>
      </c>
      <c r="P43" s="54" t="s">
        <v>866</v>
      </c>
      <c r="Q43" s="54" t="s">
        <v>932</v>
      </c>
      <c r="R43" s="34" t="s">
        <v>332</v>
      </c>
      <c r="S43" s="53" t="str">
        <f t="shared" si="12"/>
        <v>Normativo</v>
      </c>
      <c r="T43" s="53" t="str">
        <f t="shared" si="13"/>
        <v>NBR.Temática</v>
      </c>
      <c r="U43" s="52" t="str">
        <f t="shared" si="14"/>
        <v>NBR.Recursos</v>
      </c>
      <c r="V43" s="34" t="s">
        <v>719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832</v>
      </c>
      <c r="AA43" s="57" t="s">
        <v>899</v>
      </c>
    </row>
    <row r="44" spans="1:27" ht="6.75" customHeight="1" x14ac:dyDescent="0.3">
      <c r="A44" s="49">
        <v>44</v>
      </c>
      <c r="B44" s="50" t="s">
        <v>956</v>
      </c>
      <c r="C44" s="29" t="s">
        <v>965</v>
      </c>
      <c r="D44" s="29" t="s">
        <v>966</v>
      </c>
      <c r="E44" s="29" t="s">
        <v>842</v>
      </c>
      <c r="F44" s="10" t="s">
        <v>799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8"/>
        <v>Normativo</v>
      </c>
      <c r="M44" s="52" t="str">
        <f t="shared" si="9"/>
        <v>NBR.Temática</v>
      </c>
      <c r="N44" s="52" t="str">
        <f t="shared" si="10"/>
        <v>NBR.Recursos</v>
      </c>
      <c r="O44" s="52" t="str">
        <f t="shared" si="11"/>
        <v>NBR.R.Descaracterização</v>
      </c>
      <c r="P44" s="54" t="s">
        <v>867</v>
      </c>
      <c r="Q44" s="54" t="s">
        <v>933</v>
      </c>
      <c r="R44" s="34" t="s">
        <v>332</v>
      </c>
      <c r="S44" s="53" t="str">
        <f t="shared" si="12"/>
        <v>Normativo</v>
      </c>
      <c r="T44" s="53" t="str">
        <f t="shared" si="13"/>
        <v>NBR.Temática</v>
      </c>
      <c r="U44" s="52" t="str">
        <f t="shared" si="14"/>
        <v>NBR.Recursos</v>
      </c>
      <c r="V44" s="34" t="s">
        <v>719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833</v>
      </c>
      <c r="AA44" s="57" t="s">
        <v>900</v>
      </c>
    </row>
    <row r="45" spans="1:27" ht="6.75" customHeight="1" x14ac:dyDescent="0.3">
      <c r="A45" s="49">
        <v>45</v>
      </c>
      <c r="B45" s="50" t="s">
        <v>956</v>
      </c>
      <c r="C45" s="29" t="s">
        <v>965</v>
      </c>
      <c r="D45" s="29" t="s">
        <v>966</v>
      </c>
      <c r="E45" s="29" t="s">
        <v>842</v>
      </c>
      <c r="F45" s="10" t="s">
        <v>800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8"/>
        <v>Normativo</v>
      </c>
      <c r="M45" s="52" t="str">
        <f t="shared" si="9"/>
        <v>NBR.Temática</v>
      </c>
      <c r="N45" s="52" t="str">
        <f t="shared" si="10"/>
        <v>NBR.Recursos</v>
      </c>
      <c r="O45" s="52" t="str">
        <f t="shared" si="11"/>
        <v>NBR.R.Reaproveitamento</v>
      </c>
      <c r="P45" s="54" t="s">
        <v>868</v>
      </c>
      <c r="Q45" s="54" t="s">
        <v>934</v>
      </c>
      <c r="R45" s="34" t="s">
        <v>332</v>
      </c>
      <c r="S45" s="53" t="str">
        <f t="shared" si="12"/>
        <v>Normativo</v>
      </c>
      <c r="T45" s="53" t="str">
        <f t="shared" si="13"/>
        <v>NBR.Temática</v>
      </c>
      <c r="U45" s="52" t="str">
        <f t="shared" si="14"/>
        <v>NBR.Recursos</v>
      </c>
      <c r="V45" s="34" t="s">
        <v>719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834</v>
      </c>
      <c r="AA45" s="57" t="s">
        <v>901</v>
      </c>
    </row>
    <row r="46" spans="1:27" ht="6.75" customHeight="1" x14ac:dyDescent="0.3">
      <c r="A46" s="49">
        <v>46</v>
      </c>
      <c r="B46" s="50" t="s">
        <v>956</v>
      </c>
      <c r="C46" s="29" t="s">
        <v>965</v>
      </c>
      <c r="D46" s="29" t="s">
        <v>966</v>
      </c>
      <c r="E46" s="29" t="s">
        <v>842</v>
      </c>
      <c r="F46" s="10" t="s">
        <v>801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8"/>
        <v>Normativo</v>
      </c>
      <c r="M46" s="52" t="str">
        <f t="shared" si="9"/>
        <v>NBR.Temática</v>
      </c>
      <c r="N46" s="52" t="str">
        <f t="shared" si="10"/>
        <v>NBR.Recursos</v>
      </c>
      <c r="O46" s="52" t="str">
        <f t="shared" si="11"/>
        <v>NBR.R.Operação</v>
      </c>
      <c r="P46" s="54" t="s">
        <v>869</v>
      </c>
      <c r="Q46" s="54" t="s">
        <v>935</v>
      </c>
      <c r="R46" s="34" t="s">
        <v>332</v>
      </c>
      <c r="S46" s="53" t="str">
        <f t="shared" si="12"/>
        <v>Normativo</v>
      </c>
      <c r="T46" s="53" t="str">
        <f t="shared" si="13"/>
        <v>NBR.Temática</v>
      </c>
      <c r="U46" s="52" t="str">
        <f t="shared" si="14"/>
        <v>NBR.Recursos</v>
      </c>
      <c r="V46" s="34" t="s">
        <v>719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835</v>
      </c>
      <c r="AA46" s="57" t="s">
        <v>902</v>
      </c>
    </row>
    <row r="47" spans="1:27" ht="6.75" customHeight="1" x14ac:dyDescent="0.3">
      <c r="A47" s="49">
        <v>47</v>
      </c>
      <c r="B47" s="50" t="s">
        <v>956</v>
      </c>
      <c r="C47" s="29" t="s">
        <v>965</v>
      </c>
      <c r="D47" s="29" t="s">
        <v>966</v>
      </c>
      <c r="E47" s="29" t="s">
        <v>842</v>
      </c>
      <c r="F47" s="10" t="s">
        <v>802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8"/>
        <v>Normativo</v>
      </c>
      <c r="M47" s="52" t="str">
        <f t="shared" si="9"/>
        <v>NBR.Temática</v>
      </c>
      <c r="N47" s="52" t="str">
        <f t="shared" si="10"/>
        <v>NBR.Recursos</v>
      </c>
      <c r="O47" s="52" t="str">
        <f t="shared" si="11"/>
        <v>NBR.R.Desligamento</v>
      </c>
      <c r="P47" s="54" t="s">
        <v>870</v>
      </c>
      <c r="Q47" s="54" t="s">
        <v>936</v>
      </c>
      <c r="R47" s="34" t="s">
        <v>332</v>
      </c>
      <c r="S47" s="53" t="str">
        <f t="shared" si="12"/>
        <v>Normativo</v>
      </c>
      <c r="T47" s="53" t="str">
        <f t="shared" si="13"/>
        <v>NBR.Temática</v>
      </c>
      <c r="U47" s="52" t="str">
        <f t="shared" si="14"/>
        <v>NBR.Recursos</v>
      </c>
      <c r="V47" s="34" t="s">
        <v>719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836</v>
      </c>
      <c r="AA47" s="57" t="s">
        <v>903</v>
      </c>
    </row>
    <row r="48" spans="1:27" ht="6.75" customHeight="1" x14ac:dyDescent="0.3">
      <c r="A48" s="49">
        <v>48</v>
      </c>
      <c r="B48" s="50" t="s">
        <v>956</v>
      </c>
      <c r="C48" s="29" t="s">
        <v>965</v>
      </c>
      <c r="D48" s="29" t="s">
        <v>966</v>
      </c>
      <c r="E48" s="29" t="s">
        <v>842</v>
      </c>
      <c r="F48" s="10" t="s">
        <v>803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8"/>
        <v>Normativo</v>
      </c>
      <c r="M48" s="52" t="str">
        <f t="shared" si="9"/>
        <v>NBR.Temática</v>
      </c>
      <c r="N48" s="52" t="str">
        <f t="shared" si="10"/>
        <v>NBR.Recursos</v>
      </c>
      <c r="O48" s="52" t="str">
        <f t="shared" si="11"/>
        <v>NBR.R.Manutenção</v>
      </c>
      <c r="P48" s="54" t="s">
        <v>871</v>
      </c>
      <c r="Q48" s="54" t="s">
        <v>937</v>
      </c>
      <c r="R48" s="34" t="s">
        <v>332</v>
      </c>
      <c r="S48" s="53" t="str">
        <f t="shared" si="12"/>
        <v>Normativo</v>
      </c>
      <c r="T48" s="53" t="str">
        <f t="shared" si="13"/>
        <v>NBR.Temática</v>
      </c>
      <c r="U48" s="52" t="str">
        <f t="shared" si="14"/>
        <v>NBR.Recursos</v>
      </c>
      <c r="V48" s="34" t="s">
        <v>719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837</v>
      </c>
      <c r="AA48" s="57" t="s">
        <v>904</v>
      </c>
    </row>
    <row r="49" spans="1:27" ht="6.75" customHeight="1" x14ac:dyDescent="0.3">
      <c r="A49" s="49">
        <v>49</v>
      </c>
      <c r="B49" s="50" t="s">
        <v>956</v>
      </c>
      <c r="C49" s="29" t="s">
        <v>965</v>
      </c>
      <c r="D49" s="29" t="s">
        <v>966</v>
      </c>
      <c r="E49" s="29" t="s">
        <v>842</v>
      </c>
      <c r="F49" s="10" t="s">
        <v>804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8"/>
        <v>Normativo</v>
      </c>
      <c r="M49" s="52" t="str">
        <f t="shared" si="9"/>
        <v>NBR.Temática</v>
      </c>
      <c r="N49" s="52" t="str">
        <f t="shared" si="10"/>
        <v>NBR.Recursos</v>
      </c>
      <c r="O49" s="52" t="str">
        <f t="shared" si="11"/>
        <v>NBR.R.Reparação</v>
      </c>
      <c r="P49" s="54" t="s">
        <v>872</v>
      </c>
      <c r="Q49" s="54" t="s">
        <v>938</v>
      </c>
      <c r="R49" s="34" t="s">
        <v>332</v>
      </c>
      <c r="S49" s="53" t="str">
        <f t="shared" si="12"/>
        <v>Normativo</v>
      </c>
      <c r="T49" s="53" t="str">
        <f t="shared" si="13"/>
        <v>NBR.Temática</v>
      </c>
      <c r="U49" s="52" t="str">
        <f t="shared" si="14"/>
        <v>NBR.Recursos</v>
      </c>
      <c r="V49" s="34" t="s">
        <v>719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838</v>
      </c>
      <c r="AA49" s="57" t="s">
        <v>905</v>
      </c>
    </row>
    <row r="50" spans="1:27" ht="6.75" customHeight="1" x14ac:dyDescent="0.3">
      <c r="A50" s="49">
        <v>50</v>
      </c>
      <c r="B50" s="50" t="s">
        <v>956</v>
      </c>
      <c r="C50" s="29" t="s">
        <v>965</v>
      </c>
      <c r="D50" s="29" t="s">
        <v>966</v>
      </c>
      <c r="E50" s="29" t="s">
        <v>842</v>
      </c>
      <c r="F50" s="10" t="s">
        <v>807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8"/>
        <v>Normativo</v>
      </c>
      <c r="M50" s="52" t="str">
        <f t="shared" si="9"/>
        <v>NBR.Temática</v>
      </c>
      <c r="N50" s="52" t="str">
        <f t="shared" si="10"/>
        <v>NBR.Recursos</v>
      </c>
      <c r="O50" s="52" t="str">
        <f t="shared" si="11"/>
        <v>NBR.R.Apoio.Limpeza</v>
      </c>
      <c r="P50" s="54" t="s">
        <v>873</v>
      </c>
      <c r="Q50" s="54" t="s">
        <v>939</v>
      </c>
      <c r="R50" s="34" t="s">
        <v>332</v>
      </c>
      <c r="S50" s="53" t="str">
        <f t="shared" si="12"/>
        <v>Normativo</v>
      </c>
      <c r="T50" s="53" t="str">
        <f t="shared" si="13"/>
        <v>NBR.Temática</v>
      </c>
      <c r="U50" s="52" t="str">
        <f t="shared" si="14"/>
        <v>NBR.Recursos</v>
      </c>
      <c r="V50" s="34" t="s">
        <v>719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839</v>
      </c>
      <c r="AA50" s="57" t="s">
        <v>906</v>
      </c>
    </row>
    <row r="51" spans="1:27" ht="6.75" customHeight="1" x14ac:dyDescent="0.3">
      <c r="A51" s="49">
        <v>51</v>
      </c>
      <c r="B51" s="50" t="s">
        <v>956</v>
      </c>
      <c r="C51" s="29" t="s">
        <v>965</v>
      </c>
      <c r="D51" s="29" t="s">
        <v>966</v>
      </c>
      <c r="E51" s="29" t="s">
        <v>842</v>
      </c>
      <c r="F51" s="10" t="s">
        <v>805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8"/>
        <v>Normativo</v>
      </c>
      <c r="M51" s="52" t="str">
        <f t="shared" si="9"/>
        <v>NBR.Temática</v>
      </c>
      <c r="N51" s="52" t="str">
        <f t="shared" si="10"/>
        <v>NBR.Recursos</v>
      </c>
      <c r="O51" s="52" t="str">
        <f t="shared" si="11"/>
        <v>NBR.R.Capacitação</v>
      </c>
      <c r="P51" s="54" t="s">
        <v>874</v>
      </c>
      <c r="Q51" s="54" t="s">
        <v>940</v>
      </c>
      <c r="R51" s="34" t="s">
        <v>332</v>
      </c>
      <c r="S51" s="53" t="str">
        <f t="shared" si="12"/>
        <v>Normativo</v>
      </c>
      <c r="T51" s="53" t="str">
        <f t="shared" si="13"/>
        <v>NBR.Temática</v>
      </c>
      <c r="U51" s="52" t="str">
        <f t="shared" si="14"/>
        <v>NBR.Recursos</v>
      </c>
      <c r="V51" s="34" t="s">
        <v>719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840</v>
      </c>
      <c r="AA51" s="57" t="s">
        <v>907</v>
      </c>
    </row>
    <row r="52" spans="1:27" ht="6.75" customHeight="1" x14ac:dyDescent="0.3">
      <c r="A52" s="49">
        <v>52</v>
      </c>
      <c r="B52" s="50" t="s">
        <v>956</v>
      </c>
      <c r="C52" s="29" t="s">
        <v>965</v>
      </c>
      <c r="D52" s="29" t="s">
        <v>966</v>
      </c>
      <c r="E52" s="29" t="s">
        <v>842</v>
      </c>
      <c r="F52" s="10" t="s">
        <v>808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8"/>
        <v>Normativo</v>
      </c>
      <c r="M52" s="52" t="str">
        <f t="shared" si="9"/>
        <v>NBR.Temática</v>
      </c>
      <c r="N52" s="52" t="str">
        <f t="shared" si="10"/>
        <v>NBR.Recursos</v>
      </c>
      <c r="O52" s="52" t="str">
        <f t="shared" si="11"/>
        <v>NBR.R.Segurança.Saúde</v>
      </c>
      <c r="P52" s="54" t="s">
        <v>875</v>
      </c>
      <c r="Q52" s="54" t="s">
        <v>941</v>
      </c>
      <c r="R52" s="34" t="s">
        <v>332</v>
      </c>
      <c r="S52" s="53" t="str">
        <f t="shared" si="12"/>
        <v>Normativo</v>
      </c>
      <c r="T52" s="53" t="str">
        <f t="shared" si="13"/>
        <v>NBR.Temática</v>
      </c>
      <c r="U52" s="52" t="str">
        <f t="shared" si="14"/>
        <v>NBR.Recursos</v>
      </c>
      <c r="V52" s="34" t="s">
        <v>719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841</v>
      </c>
      <c r="AA52" s="57" t="s">
        <v>908</v>
      </c>
    </row>
  </sheetData>
  <conditionalFormatting sqref="A2:B6 A20:B52">
    <cfRule type="cellIs" dxfId="16" priority="4" operator="equal">
      <formula>"null"</formula>
    </cfRule>
  </conditionalFormatting>
  <conditionalFormatting sqref="F3:F6">
    <cfRule type="duplicateValues" dxfId="15" priority="5"/>
    <cfRule type="duplicateValues" dxfId="14" priority="6"/>
    <cfRule type="duplicateValues" dxfId="13" priority="7"/>
    <cfRule type="duplicateValues" dxfId="12" priority="8"/>
  </conditionalFormatting>
  <conditionalFormatting sqref="Z20:AA52">
    <cfRule type="duplicateValues" dxfId="11" priority="19"/>
    <cfRule type="duplicateValues" dxfId="10" priority="20"/>
  </conditionalFormatting>
  <conditionalFormatting sqref="AA1:AA6">
    <cfRule type="cellIs" dxfId="9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zoomScale="160" zoomScaleNormal="160" workbookViewId="0">
      <pane ySplit="1" topLeftCell="A2" activePane="bottomLeft" state="frozen"/>
      <selection pane="bottomLeft" activeCell="C12" sqref="C12"/>
    </sheetView>
  </sheetViews>
  <sheetFormatPr defaultColWidth="9.19921875" defaultRowHeight="7" customHeight="1" x14ac:dyDescent="0.25"/>
  <cols>
    <col min="1" max="1" width="3.296875" style="1" bestFit="1" customWidth="1"/>
    <col min="2" max="2" width="11.296875" style="1" bestFit="1" customWidth="1"/>
    <col min="3" max="3" width="14.69921875" style="1" customWidth="1"/>
    <col min="4" max="4" width="10.19921875" style="48" bestFit="1" customWidth="1"/>
    <col min="5" max="5" width="7.69921875" style="48" bestFit="1" customWidth="1"/>
    <col min="6" max="6" width="5" style="48" bestFit="1" customWidth="1"/>
    <col min="7" max="7" width="9.296875" style="48" customWidth="1"/>
    <col min="8" max="8" width="5" style="48" bestFit="1" customWidth="1"/>
    <col min="9" max="9" width="6.69921875" style="48" bestFit="1" customWidth="1"/>
    <col min="10" max="10" width="5" style="48" bestFit="1" customWidth="1"/>
    <col min="11" max="11" width="9.19921875" style="48" customWidth="1"/>
    <col min="12" max="12" width="6.5" style="1" customWidth="1"/>
    <col min="13" max="13" width="25.296875" style="1" customWidth="1"/>
    <col min="14" max="14" width="7" style="48" bestFit="1" customWidth="1"/>
    <col min="15" max="15" width="82.7968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48" customWidth="1"/>
    <col min="27" max="27" width="4.296875" style="48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7" customHeight="1" x14ac:dyDescent="0.25">
      <c r="A2" s="6">
        <v>2</v>
      </c>
      <c r="B2" s="41" t="s">
        <v>340</v>
      </c>
      <c r="C2" s="8" t="s">
        <v>965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738</v>
      </c>
      <c r="L2" s="42" t="s">
        <v>710</v>
      </c>
      <c r="M2" s="43" t="s">
        <v>739</v>
      </c>
      <c r="N2" s="44" t="s">
        <v>1</v>
      </c>
      <c r="O2" s="45" t="s">
        <v>709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7" customHeight="1" x14ac:dyDescent="0.25">
      <c r="A3" s="6">
        <v>3</v>
      </c>
      <c r="B3" s="7" t="s">
        <v>647</v>
      </c>
      <c r="C3" s="8" t="s">
        <v>774</v>
      </c>
      <c r="D3" s="55" t="s">
        <v>740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738</v>
      </c>
      <c r="L3" s="42" t="s">
        <v>710</v>
      </c>
      <c r="M3" s="43" t="s">
        <v>954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7" customHeight="1" x14ac:dyDescent="0.25">
      <c r="A4" s="6">
        <v>4</v>
      </c>
      <c r="B4" s="7" t="s">
        <v>341</v>
      </c>
      <c r="C4" s="10" t="s">
        <v>775</v>
      </c>
      <c r="D4" s="55" t="s">
        <v>740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738</v>
      </c>
      <c r="L4" s="42" t="s">
        <v>710</v>
      </c>
      <c r="M4" s="43" t="s">
        <v>955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7" customHeight="1" x14ac:dyDescent="0.25">
      <c r="A5" s="6">
        <v>5</v>
      </c>
      <c r="B5" s="11" t="s">
        <v>343</v>
      </c>
      <c r="C5" s="10" t="s">
        <v>776</v>
      </c>
      <c r="D5" s="55" t="s">
        <v>740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736</v>
      </c>
      <c r="L5" s="46" t="s">
        <v>710</v>
      </c>
      <c r="M5" s="47" t="s">
        <v>747</v>
      </c>
      <c r="N5" s="44" t="s">
        <v>1</v>
      </c>
      <c r="O5" s="12" t="s">
        <v>16</v>
      </c>
      <c r="P5" s="46" t="s">
        <v>711</v>
      </c>
      <c r="Q5" s="47" t="s">
        <v>737</v>
      </c>
      <c r="R5" s="46" t="s">
        <v>715</v>
      </c>
      <c r="S5" s="47" t="s">
        <v>737</v>
      </c>
      <c r="T5" s="46" t="s">
        <v>712</v>
      </c>
      <c r="U5" s="47" t="s">
        <v>737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7" customHeight="1" x14ac:dyDescent="0.25">
      <c r="A6" s="6">
        <v>6</v>
      </c>
      <c r="B6" s="11" t="s">
        <v>344</v>
      </c>
      <c r="C6" s="10" t="s">
        <v>776</v>
      </c>
      <c r="D6" s="55" t="s">
        <v>740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736</v>
      </c>
      <c r="L6" s="46" t="s">
        <v>710</v>
      </c>
      <c r="M6" s="47" t="s">
        <v>747</v>
      </c>
      <c r="N6" s="44" t="s">
        <v>1</v>
      </c>
      <c r="O6" s="12" t="s">
        <v>17</v>
      </c>
      <c r="P6" s="46" t="s">
        <v>711</v>
      </c>
      <c r="Q6" s="47" t="s">
        <v>737</v>
      </c>
      <c r="R6" s="46" t="s">
        <v>715</v>
      </c>
      <c r="S6" s="47" t="s">
        <v>737</v>
      </c>
      <c r="T6" s="46" t="s">
        <v>712</v>
      </c>
      <c r="U6" s="47" t="s">
        <v>737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7" customHeight="1" x14ac:dyDescent="0.25">
      <c r="A7" s="6">
        <v>7</v>
      </c>
      <c r="B7" s="11" t="s">
        <v>345</v>
      </c>
      <c r="C7" s="10" t="s">
        <v>776</v>
      </c>
      <c r="D7" s="55" t="s">
        <v>740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736</v>
      </c>
      <c r="L7" s="46" t="s">
        <v>710</v>
      </c>
      <c r="M7" s="47" t="s">
        <v>747</v>
      </c>
      <c r="N7" s="44" t="s">
        <v>1</v>
      </c>
      <c r="O7" s="12" t="s">
        <v>18</v>
      </c>
      <c r="P7" s="46" t="s">
        <v>711</v>
      </c>
      <c r="Q7" s="47" t="s">
        <v>737</v>
      </c>
      <c r="R7" s="46" t="s">
        <v>715</v>
      </c>
      <c r="S7" s="47" t="s">
        <v>737</v>
      </c>
      <c r="T7" s="46" t="s">
        <v>712</v>
      </c>
      <c r="U7" s="47" t="s">
        <v>737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7" customHeight="1" x14ac:dyDescent="0.25">
      <c r="A8" s="6">
        <v>8</v>
      </c>
      <c r="B8" s="11" t="s">
        <v>346</v>
      </c>
      <c r="C8" s="10" t="s">
        <v>776</v>
      </c>
      <c r="D8" s="55" t="s">
        <v>740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736</v>
      </c>
      <c r="L8" s="46" t="s">
        <v>710</v>
      </c>
      <c r="M8" s="47" t="s">
        <v>747</v>
      </c>
      <c r="N8" s="44" t="s">
        <v>1</v>
      </c>
      <c r="O8" s="12" t="s">
        <v>19</v>
      </c>
      <c r="P8" s="46" t="s">
        <v>711</v>
      </c>
      <c r="Q8" s="47" t="s">
        <v>737</v>
      </c>
      <c r="R8" s="46" t="s">
        <v>715</v>
      </c>
      <c r="S8" s="47" t="s">
        <v>737</v>
      </c>
      <c r="T8" s="46" t="s">
        <v>712</v>
      </c>
      <c r="U8" s="47" t="s">
        <v>737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7" customHeight="1" x14ac:dyDescent="0.25">
      <c r="A9" s="6">
        <v>9</v>
      </c>
      <c r="B9" s="11" t="s">
        <v>347</v>
      </c>
      <c r="C9" s="10" t="s">
        <v>776</v>
      </c>
      <c r="D9" s="55" t="s">
        <v>740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736</v>
      </c>
      <c r="L9" s="46" t="s">
        <v>710</v>
      </c>
      <c r="M9" s="47" t="s">
        <v>747</v>
      </c>
      <c r="N9" s="44" t="s">
        <v>1</v>
      </c>
      <c r="O9" s="12" t="s">
        <v>20</v>
      </c>
      <c r="P9" s="46" t="s">
        <v>711</v>
      </c>
      <c r="Q9" s="47" t="s">
        <v>737</v>
      </c>
      <c r="R9" s="46" t="s">
        <v>715</v>
      </c>
      <c r="S9" s="47" t="s">
        <v>737</v>
      </c>
      <c r="T9" s="46" t="s">
        <v>712</v>
      </c>
      <c r="U9" s="47" t="s">
        <v>737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7" customHeight="1" x14ac:dyDescent="0.25">
      <c r="A10" s="6">
        <v>10</v>
      </c>
      <c r="B10" s="11" t="s">
        <v>348</v>
      </c>
      <c r="C10" s="10" t="s">
        <v>777</v>
      </c>
      <c r="D10" s="55" t="s">
        <v>740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736</v>
      </c>
      <c r="L10" s="46" t="s">
        <v>710</v>
      </c>
      <c r="M10" s="47" t="s">
        <v>748</v>
      </c>
      <c r="N10" s="44" t="s">
        <v>1</v>
      </c>
      <c r="O10" s="12" t="s">
        <v>21</v>
      </c>
      <c r="P10" s="46" t="s">
        <v>711</v>
      </c>
      <c r="Q10" s="47" t="s">
        <v>737</v>
      </c>
      <c r="R10" s="46" t="s">
        <v>715</v>
      </c>
      <c r="S10" s="47" t="s">
        <v>737</v>
      </c>
      <c r="T10" s="46" t="s">
        <v>712</v>
      </c>
      <c r="U10" s="47" t="s">
        <v>737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7" customHeight="1" x14ac:dyDescent="0.25">
      <c r="A11" s="6">
        <v>11</v>
      </c>
      <c r="B11" s="11" t="s">
        <v>349</v>
      </c>
      <c r="C11" s="10" t="s">
        <v>777</v>
      </c>
      <c r="D11" s="55" t="s">
        <v>740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736</v>
      </c>
      <c r="L11" s="46" t="s">
        <v>710</v>
      </c>
      <c r="M11" s="47" t="s">
        <v>748</v>
      </c>
      <c r="N11" s="44" t="s">
        <v>1</v>
      </c>
      <c r="O11" s="12" t="s">
        <v>22</v>
      </c>
      <c r="P11" s="46" t="s">
        <v>711</v>
      </c>
      <c r="Q11" s="47" t="s">
        <v>737</v>
      </c>
      <c r="R11" s="46" t="s">
        <v>715</v>
      </c>
      <c r="S11" s="47" t="s">
        <v>737</v>
      </c>
      <c r="T11" s="46" t="s">
        <v>712</v>
      </c>
      <c r="U11" s="47" t="s">
        <v>737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7" customHeight="1" x14ac:dyDescent="0.25">
      <c r="A12" s="6">
        <v>12</v>
      </c>
      <c r="B12" s="11" t="s">
        <v>350</v>
      </c>
      <c r="C12" s="10" t="s">
        <v>777</v>
      </c>
      <c r="D12" s="55" t="s">
        <v>740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736</v>
      </c>
      <c r="L12" s="46" t="s">
        <v>710</v>
      </c>
      <c r="M12" s="47" t="s">
        <v>748</v>
      </c>
      <c r="N12" s="44" t="s">
        <v>1</v>
      </c>
      <c r="O12" s="12" t="s">
        <v>23</v>
      </c>
      <c r="P12" s="46" t="s">
        <v>711</v>
      </c>
      <c r="Q12" s="47" t="s">
        <v>737</v>
      </c>
      <c r="R12" s="46" t="s">
        <v>715</v>
      </c>
      <c r="S12" s="47" t="s">
        <v>737</v>
      </c>
      <c r="T12" s="46" t="s">
        <v>712</v>
      </c>
      <c r="U12" s="47" t="s">
        <v>737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7" customHeight="1" x14ac:dyDescent="0.25">
      <c r="A13" s="6">
        <v>13</v>
      </c>
      <c r="B13" s="11" t="s">
        <v>351</v>
      </c>
      <c r="C13" s="10" t="s">
        <v>777</v>
      </c>
      <c r="D13" s="55" t="s">
        <v>740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736</v>
      </c>
      <c r="L13" s="46" t="s">
        <v>710</v>
      </c>
      <c r="M13" s="47" t="s">
        <v>748</v>
      </c>
      <c r="N13" s="44" t="s">
        <v>1</v>
      </c>
      <c r="O13" s="12" t="s">
        <v>24</v>
      </c>
      <c r="P13" s="46" t="s">
        <v>711</v>
      </c>
      <c r="Q13" s="47" t="s">
        <v>737</v>
      </c>
      <c r="R13" s="46" t="s">
        <v>715</v>
      </c>
      <c r="S13" s="47" t="s">
        <v>737</v>
      </c>
      <c r="T13" s="46" t="s">
        <v>712</v>
      </c>
      <c r="U13" s="47" t="s">
        <v>737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7" customHeight="1" x14ac:dyDescent="0.25">
      <c r="A14" s="6">
        <v>14</v>
      </c>
      <c r="B14" s="11" t="s">
        <v>352</v>
      </c>
      <c r="C14" s="10" t="s">
        <v>777</v>
      </c>
      <c r="D14" s="55" t="s">
        <v>740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736</v>
      </c>
      <c r="L14" s="46" t="s">
        <v>710</v>
      </c>
      <c r="M14" s="47" t="s">
        <v>748</v>
      </c>
      <c r="N14" s="44" t="s">
        <v>1</v>
      </c>
      <c r="O14" s="12" t="s">
        <v>25</v>
      </c>
      <c r="P14" s="46" t="s">
        <v>711</v>
      </c>
      <c r="Q14" s="47" t="s">
        <v>737</v>
      </c>
      <c r="R14" s="46" t="s">
        <v>715</v>
      </c>
      <c r="S14" s="47" t="s">
        <v>737</v>
      </c>
      <c r="T14" s="46" t="s">
        <v>712</v>
      </c>
      <c r="U14" s="47" t="s">
        <v>737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7" customHeight="1" x14ac:dyDescent="0.25">
      <c r="A15" s="6">
        <v>15</v>
      </c>
      <c r="B15" s="11" t="s">
        <v>353</v>
      </c>
      <c r="C15" s="10" t="s">
        <v>778</v>
      </c>
      <c r="D15" s="55" t="s">
        <v>740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736</v>
      </c>
      <c r="L15" s="46" t="s">
        <v>710</v>
      </c>
      <c r="M15" s="47" t="s">
        <v>749</v>
      </c>
      <c r="N15" s="44" t="s">
        <v>1</v>
      </c>
      <c r="O15" s="12" t="s">
        <v>26</v>
      </c>
      <c r="P15" s="46" t="s">
        <v>711</v>
      </c>
      <c r="Q15" s="47" t="s">
        <v>737</v>
      </c>
      <c r="R15" s="46" t="s">
        <v>715</v>
      </c>
      <c r="S15" s="47" t="s">
        <v>737</v>
      </c>
      <c r="T15" s="46" t="s">
        <v>712</v>
      </c>
      <c r="U15" s="47" t="s">
        <v>737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7" customHeight="1" x14ac:dyDescent="0.25">
      <c r="A16" s="6">
        <v>16</v>
      </c>
      <c r="B16" s="11" t="s">
        <v>354</v>
      </c>
      <c r="C16" s="10" t="s">
        <v>778</v>
      </c>
      <c r="D16" s="55" t="s">
        <v>740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736</v>
      </c>
      <c r="L16" s="46" t="s">
        <v>710</v>
      </c>
      <c r="M16" s="47" t="s">
        <v>749</v>
      </c>
      <c r="N16" s="44" t="s">
        <v>1</v>
      </c>
      <c r="O16" s="12" t="s">
        <v>27</v>
      </c>
      <c r="P16" s="46" t="s">
        <v>711</v>
      </c>
      <c r="Q16" s="47" t="s">
        <v>737</v>
      </c>
      <c r="R16" s="46" t="s">
        <v>715</v>
      </c>
      <c r="S16" s="47" t="s">
        <v>737</v>
      </c>
      <c r="T16" s="46" t="s">
        <v>712</v>
      </c>
      <c r="U16" s="47" t="s">
        <v>737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7" customHeight="1" x14ac:dyDescent="0.25">
      <c r="A17" s="6">
        <v>17</v>
      </c>
      <c r="B17" s="11" t="s">
        <v>355</v>
      </c>
      <c r="C17" s="10" t="s">
        <v>778</v>
      </c>
      <c r="D17" s="55" t="s">
        <v>740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736</v>
      </c>
      <c r="L17" s="46" t="s">
        <v>710</v>
      </c>
      <c r="M17" s="47" t="s">
        <v>749</v>
      </c>
      <c r="N17" s="44" t="s">
        <v>1</v>
      </c>
      <c r="O17" s="12" t="s">
        <v>28</v>
      </c>
      <c r="P17" s="46" t="s">
        <v>711</v>
      </c>
      <c r="Q17" s="47" t="s">
        <v>737</v>
      </c>
      <c r="R17" s="46" t="s">
        <v>715</v>
      </c>
      <c r="S17" s="47" t="s">
        <v>737</v>
      </c>
      <c r="T17" s="46" t="s">
        <v>712</v>
      </c>
      <c r="U17" s="47" t="s">
        <v>737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7" customHeight="1" x14ac:dyDescent="0.25">
      <c r="A18" s="6">
        <v>18</v>
      </c>
      <c r="B18" s="11" t="s">
        <v>356</v>
      </c>
      <c r="C18" s="10" t="s">
        <v>778</v>
      </c>
      <c r="D18" s="55" t="s">
        <v>740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736</v>
      </c>
      <c r="L18" s="46" t="s">
        <v>710</v>
      </c>
      <c r="M18" s="47" t="s">
        <v>749</v>
      </c>
      <c r="N18" s="44" t="s">
        <v>1</v>
      </c>
      <c r="O18" s="12" t="s">
        <v>29</v>
      </c>
      <c r="P18" s="46" t="s">
        <v>711</v>
      </c>
      <c r="Q18" s="47" t="s">
        <v>737</v>
      </c>
      <c r="R18" s="46" t="s">
        <v>715</v>
      </c>
      <c r="S18" s="47" t="s">
        <v>737</v>
      </c>
      <c r="T18" s="46" t="s">
        <v>712</v>
      </c>
      <c r="U18" s="47" t="s">
        <v>737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7" customHeight="1" x14ac:dyDescent="0.25">
      <c r="A19" s="6">
        <v>19</v>
      </c>
      <c r="B19" s="11" t="s">
        <v>357</v>
      </c>
      <c r="C19" s="10" t="s">
        <v>778</v>
      </c>
      <c r="D19" s="55" t="s">
        <v>740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736</v>
      </c>
      <c r="L19" s="46" t="s">
        <v>710</v>
      </c>
      <c r="M19" s="47" t="s">
        <v>749</v>
      </c>
      <c r="N19" s="44" t="s">
        <v>1</v>
      </c>
      <c r="O19" s="12" t="s">
        <v>30</v>
      </c>
      <c r="P19" s="46" t="s">
        <v>711</v>
      </c>
      <c r="Q19" s="47" t="s">
        <v>737</v>
      </c>
      <c r="R19" s="46" t="s">
        <v>715</v>
      </c>
      <c r="S19" s="47" t="s">
        <v>737</v>
      </c>
      <c r="T19" s="46" t="s">
        <v>712</v>
      </c>
      <c r="U19" s="47" t="s">
        <v>737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7" customHeight="1" x14ac:dyDescent="0.25">
      <c r="A20" s="6">
        <v>20</v>
      </c>
      <c r="B20" s="11" t="s">
        <v>358</v>
      </c>
      <c r="C20" s="10" t="s">
        <v>778</v>
      </c>
      <c r="D20" s="55" t="s">
        <v>740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736</v>
      </c>
      <c r="L20" s="46" t="s">
        <v>710</v>
      </c>
      <c r="M20" s="47" t="s">
        <v>749</v>
      </c>
      <c r="N20" s="44" t="s">
        <v>1</v>
      </c>
      <c r="O20" s="12" t="s">
        <v>31</v>
      </c>
      <c r="P20" s="46" t="s">
        <v>711</v>
      </c>
      <c r="Q20" s="47" t="s">
        <v>737</v>
      </c>
      <c r="R20" s="46" t="s">
        <v>715</v>
      </c>
      <c r="S20" s="47" t="s">
        <v>737</v>
      </c>
      <c r="T20" s="46" t="s">
        <v>712</v>
      </c>
      <c r="U20" s="47" t="s">
        <v>737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7" customHeight="1" x14ac:dyDescent="0.25">
      <c r="A21" s="6">
        <v>21</v>
      </c>
      <c r="B21" s="11" t="s">
        <v>359</v>
      </c>
      <c r="C21" s="10" t="s">
        <v>779</v>
      </c>
      <c r="D21" s="55" t="s">
        <v>740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736</v>
      </c>
      <c r="L21" s="46" t="s">
        <v>710</v>
      </c>
      <c r="M21" s="47" t="s">
        <v>750</v>
      </c>
      <c r="N21" s="44" t="s">
        <v>1</v>
      </c>
      <c r="O21" s="12" t="s">
        <v>32</v>
      </c>
      <c r="P21" s="46" t="s">
        <v>711</v>
      </c>
      <c r="Q21" s="47" t="s">
        <v>737</v>
      </c>
      <c r="R21" s="46" t="s">
        <v>715</v>
      </c>
      <c r="S21" s="47" t="s">
        <v>737</v>
      </c>
      <c r="T21" s="46" t="s">
        <v>712</v>
      </c>
      <c r="U21" s="47" t="s">
        <v>737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7" customHeight="1" x14ac:dyDescent="0.25">
      <c r="A22" s="6">
        <v>22</v>
      </c>
      <c r="B22" s="11" t="s">
        <v>360</v>
      </c>
      <c r="C22" s="10" t="s">
        <v>779</v>
      </c>
      <c r="D22" s="55" t="s">
        <v>740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736</v>
      </c>
      <c r="L22" s="46" t="s">
        <v>710</v>
      </c>
      <c r="M22" s="47" t="s">
        <v>750</v>
      </c>
      <c r="N22" s="44" t="s">
        <v>1</v>
      </c>
      <c r="O22" s="12" t="s">
        <v>33</v>
      </c>
      <c r="P22" s="46" t="s">
        <v>711</v>
      </c>
      <c r="Q22" s="47" t="s">
        <v>737</v>
      </c>
      <c r="R22" s="46" t="s">
        <v>715</v>
      </c>
      <c r="S22" s="47" t="s">
        <v>737</v>
      </c>
      <c r="T22" s="46" t="s">
        <v>712</v>
      </c>
      <c r="U22" s="47" t="s">
        <v>737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7" customHeight="1" x14ac:dyDescent="0.25">
      <c r="A23" s="6">
        <v>23</v>
      </c>
      <c r="B23" s="11" t="s">
        <v>361</v>
      </c>
      <c r="C23" s="10" t="s">
        <v>779</v>
      </c>
      <c r="D23" s="55" t="s">
        <v>740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736</v>
      </c>
      <c r="L23" s="46" t="s">
        <v>710</v>
      </c>
      <c r="M23" s="47" t="s">
        <v>750</v>
      </c>
      <c r="N23" s="44" t="s">
        <v>1</v>
      </c>
      <c r="O23" s="12" t="s">
        <v>34</v>
      </c>
      <c r="P23" s="46" t="s">
        <v>711</v>
      </c>
      <c r="Q23" s="47" t="s">
        <v>737</v>
      </c>
      <c r="R23" s="46" t="s">
        <v>715</v>
      </c>
      <c r="S23" s="47" t="s">
        <v>737</v>
      </c>
      <c r="T23" s="46" t="s">
        <v>712</v>
      </c>
      <c r="U23" s="47" t="s">
        <v>737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7" customHeight="1" x14ac:dyDescent="0.25">
      <c r="A24" s="6">
        <v>24</v>
      </c>
      <c r="B24" s="11" t="s">
        <v>362</v>
      </c>
      <c r="C24" s="10" t="s">
        <v>779</v>
      </c>
      <c r="D24" s="55" t="s">
        <v>740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736</v>
      </c>
      <c r="L24" s="46" t="s">
        <v>710</v>
      </c>
      <c r="M24" s="47" t="s">
        <v>750</v>
      </c>
      <c r="N24" s="44" t="s">
        <v>1</v>
      </c>
      <c r="O24" s="12" t="s">
        <v>35</v>
      </c>
      <c r="P24" s="46" t="s">
        <v>711</v>
      </c>
      <c r="Q24" s="47" t="s">
        <v>737</v>
      </c>
      <c r="R24" s="46" t="s">
        <v>715</v>
      </c>
      <c r="S24" s="47" t="s">
        <v>737</v>
      </c>
      <c r="T24" s="46" t="s">
        <v>712</v>
      </c>
      <c r="U24" s="47" t="s">
        <v>737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7" customHeight="1" x14ac:dyDescent="0.25">
      <c r="A25" s="6">
        <v>25</v>
      </c>
      <c r="B25" s="11" t="s">
        <v>363</v>
      </c>
      <c r="C25" s="10" t="s">
        <v>779</v>
      </c>
      <c r="D25" s="55" t="s">
        <v>740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736</v>
      </c>
      <c r="L25" s="46" t="s">
        <v>710</v>
      </c>
      <c r="M25" s="47" t="s">
        <v>750</v>
      </c>
      <c r="N25" s="44" t="s">
        <v>1</v>
      </c>
      <c r="O25" s="12" t="s">
        <v>36</v>
      </c>
      <c r="P25" s="46" t="s">
        <v>711</v>
      </c>
      <c r="Q25" s="47" t="s">
        <v>737</v>
      </c>
      <c r="R25" s="46" t="s">
        <v>715</v>
      </c>
      <c r="S25" s="47" t="s">
        <v>737</v>
      </c>
      <c r="T25" s="46" t="s">
        <v>712</v>
      </c>
      <c r="U25" s="47" t="s">
        <v>737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7" customHeight="1" x14ac:dyDescent="0.25">
      <c r="A26" s="6">
        <v>26</v>
      </c>
      <c r="B26" s="11" t="s">
        <v>364</v>
      </c>
      <c r="C26" s="10" t="s">
        <v>779</v>
      </c>
      <c r="D26" s="55" t="s">
        <v>740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736</v>
      </c>
      <c r="L26" s="46" t="s">
        <v>710</v>
      </c>
      <c r="M26" s="47" t="s">
        <v>750</v>
      </c>
      <c r="N26" s="44" t="s">
        <v>1</v>
      </c>
      <c r="O26" s="12" t="s">
        <v>37</v>
      </c>
      <c r="P26" s="46" t="s">
        <v>711</v>
      </c>
      <c r="Q26" s="47" t="s">
        <v>737</v>
      </c>
      <c r="R26" s="46" t="s">
        <v>715</v>
      </c>
      <c r="S26" s="47" t="s">
        <v>737</v>
      </c>
      <c r="T26" s="46" t="s">
        <v>712</v>
      </c>
      <c r="U26" s="47" t="s">
        <v>737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7" customHeight="1" x14ac:dyDescent="0.25">
      <c r="A27" s="6">
        <v>27</v>
      </c>
      <c r="B27" s="11" t="s">
        <v>365</v>
      </c>
      <c r="C27" s="10" t="s">
        <v>779</v>
      </c>
      <c r="D27" s="55" t="s">
        <v>740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736</v>
      </c>
      <c r="L27" s="46" t="s">
        <v>710</v>
      </c>
      <c r="M27" s="47" t="s">
        <v>750</v>
      </c>
      <c r="N27" s="44" t="s">
        <v>1</v>
      </c>
      <c r="O27" s="12" t="s">
        <v>38</v>
      </c>
      <c r="P27" s="46" t="s">
        <v>711</v>
      </c>
      <c r="Q27" s="47" t="s">
        <v>737</v>
      </c>
      <c r="R27" s="46" t="s">
        <v>715</v>
      </c>
      <c r="S27" s="47" t="s">
        <v>737</v>
      </c>
      <c r="T27" s="46" t="s">
        <v>712</v>
      </c>
      <c r="U27" s="47" t="s">
        <v>737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7" customHeight="1" x14ac:dyDescent="0.25">
      <c r="A28" s="6">
        <v>28</v>
      </c>
      <c r="B28" s="11" t="s">
        <v>366</v>
      </c>
      <c r="C28" s="10" t="s">
        <v>779</v>
      </c>
      <c r="D28" s="55" t="s">
        <v>740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736</v>
      </c>
      <c r="L28" s="46" t="s">
        <v>710</v>
      </c>
      <c r="M28" s="47" t="s">
        <v>750</v>
      </c>
      <c r="N28" s="44" t="s">
        <v>1</v>
      </c>
      <c r="O28" s="12" t="s">
        <v>39</v>
      </c>
      <c r="P28" s="46" t="s">
        <v>711</v>
      </c>
      <c r="Q28" s="47" t="s">
        <v>737</v>
      </c>
      <c r="R28" s="46" t="s">
        <v>715</v>
      </c>
      <c r="S28" s="47" t="s">
        <v>737</v>
      </c>
      <c r="T28" s="46" t="s">
        <v>712</v>
      </c>
      <c r="U28" s="47" t="s">
        <v>737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7" customHeight="1" x14ac:dyDescent="0.25">
      <c r="A29" s="6">
        <v>29</v>
      </c>
      <c r="B29" s="11" t="s">
        <v>367</v>
      </c>
      <c r="C29" s="10" t="s">
        <v>780</v>
      </c>
      <c r="D29" s="55" t="s">
        <v>740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736</v>
      </c>
      <c r="L29" s="46" t="s">
        <v>710</v>
      </c>
      <c r="M29" s="47" t="s">
        <v>751</v>
      </c>
      <c r="N29" s="44" t="s">
        <v>1</v>
      </c>
      <c r="O29" s="12" t="s">
        <v>40</v>
      </c>
      <c r="P29" s="46" t="s">
        <v>711</v>
      </c>
      <c r="Q29" s="47" t="s">
        <v>737</v>
      </c>
      <c r="R29" s="46" t="s">
        <v>715</v>
      </c>
      <c r="S29" s="47" t="s">
        <v>737</v>
      </c>
      <c r="T29" s="46" t="s">
        <v>712</v>
      </c>
      <c r="U29" s="47" t="s">
        <v>737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7" customHeight="1" x14ac:dyDescent="0.25">
      <c r="A30" s="6">
        <v>30</v>
      </c>
      <c r="B30" s="11" t="s">
        <v>368</v>
      </c>
      <c r="C30" s="10" t="s">
        <v>780</v>
      </c>
      <c r="D30" s="55" t="s">
        <v>740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736</v>
      </c>
      <c r="L30" s="46" t="s">
        <v>710</v>
      </c>
      <c r="M30" s="47" t="s">
        <v>751</v>
      </c>
      <c r="N30" s="44" t="s">
        <v>1</v>
      </c>
      <c r="O30" s="12" t="s">
        <v>41</v>
      </c>
      <c r="P30" s="46" t="s">
        <v>711</v>
      </c>
      <c r="Q30" s="47" t="s">
        <v>737</v>
      </c>
      <c r="R30" s="46" t="s">
        <v>715</v>
      </c>
      <c r="S30" s="47" t="s">
        <v>737</v>
      </c>
      <c r="T30" s="46" t="s">
        <v>712</v>
      </c>
      <c r="U30" s="47" t="s">
        <v>737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7" customHeight="1" x14ac:dyDescent="0.25">
      <c r="A31" s="6">
        <v>31</v>
      </c>
      <c r="B31" s="11" t="s">
        <v>369</v>
      </c>
      <c r="C31" s="10" t="s">
        <v>780</v>
      </c>
      <c r="D31" s="55" t="s">
        <v>740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736</v>
      </c>
      <c r="L31" s="46" t="s">
        <v>710</v>
      </c>
      <c r="M31" s="47" t="s">
        <v>751</v>
      </c>
      <c r="N31" s="44" t="s">
        <v>1</v>
      </c>
      <c r="O31" s="12" t="s">
        <v>42</v>
      </c>
      <c r="P31" s="46" t="s">
        <v>711</v>
      </c>
      <c r="Q31" s="47" t="s">
        <v>737</v>
      </c>
      <c r="R31" s="46" t="s">
        <v>715</v>
      </c>
      <c r="S31" s="47" t="s">
        <v>737</v>
      </c>
      <c r="T31" s="46" t="s">
        <v>712</v>
      </c>
      <c r="U31" s="47" t="s">
        <v>737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7" customHeight="1" x14ac:dyDescent="0.25">
      <c r="A32" s="6">
        <v>32</v>
      </c>
      <c r="B32" s="11" t="s">
        <v>370</v>
      </c>
      <c r="C32" s="10" t="s">
        <v>780</v>
      </c>
      <c r="D32" s="55" t="s">
        <v>740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736</v>
      </c>
      <c r="L32" s="46" t="s">
        <v>710</v>
      </c>
      <c r="M32" s="47" t="s">
        <v>751</v>
      </c>
      <c r="N32" s="44" t="s">
        <v>1</v>
      </c>
      <c r="O32" s="12" t="s">
        <v>43</v>
      </c>
      <c r="P32" s="46" t="s">
        <v>711</v>
      </c>
      <c r="Q32" s="47" t="s">
        <v>737</v>
      </c>
      <c r="R32" s="46" t="s">
        <v>715</v>
      </c>
      <c r="S32" s="47" t="s">
        <v>737</v>
      </c>
      <c r="T32" s="46" t="s">
        <v>712</v>
      </c>
      <c r="U32" s="47" t="s">
        <v>737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7" customHeight="1" x14ac:dyDescent="0.25">
      <c r="A33" s="6">
        <v>33</v>
      </c>
      <c r="B33" s="11" t="s">
        <v>371</v>
      </c>
      <c r="C33" s="10" t="s">
        <v>780</v>
      </c>
      <c r="D33" s="55" t="s">
        <v>740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736</v>
      </c>
      <c r="L33" s="46" t="s">
        <v>710</v>
      </c>
      <c r="M33" s="47" t="s">
        <v>751</v>
      </c>
      <c r="N33" s="44" t="s">
        <v>1</v>
      </c>
      <c r="O33" s="12" t="s">
        <v>44</v>
      </c>
      <c r="P33" s="46" t="s">
        <v>711</v>
      </c>
      <c r="Q33" s="47" t="s">
        <v>737</v>
      </c>
      <c r="R33" s="46" t="s">
        <v>715</v>
      </c>
      <c r="S33" s="47" t="s">
        <v>737</v>
      </c>
      <c r="T33" s="46" t="s">
        <v>712</v>
      </c>
      <c r="U33" s="47" t="s">
        <v>737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7" customHeight="1" x14ac:dyDescent="0.25">
      <c r="A34" s="6">
        <v>34</v>
      </c>
      <c r="B34" s="11" t="s">
        <v>372</v>
      </c>
      <c r="C34" s="10" t="s">
        <v>780</v>
      </c>
      <c r="D34" s="55" t="s">
        <v>740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736</v>
      </c>
      <c r="L34" s="46" t="s">
        <v>710</v>
      </c>
      <c r="M34" s="47" t="s">
        <v>751</v>
      </c>
      <c r="N34" s="44" t="s">
        <v>1</v>
      </c>
      <c r="O34" s="12" t="s">
        <v>45</v>
      </c>
      <c r="P34" s="46" t="s">
        <v>711</v>
      </c>
      <c r="Q34" s="47" t="s">
        <v>737</v>
      </c>
      <c r="R34" s="46" t="s">
        <v>715</v>
      </c>
      <c r="S34" s="47" t="s">
        <v>737</v>
      </c>
      <c r="T34" s="46" t="s">
        <v>712</v>
      </c>
      <c r="U34" s="47" t="s">
        <v>737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7" customHeight="1" x14ac:dyDescent="0.25">
      <c r="A35" s="6">
        <v>35</v>
      </c>
      <c r="B35" s="11" t="s">
        <v>373</v>
      </c>
      <c r="C35" s="10" t="s">
        <v>780</v>
      </c>
      <c r="D35" s="55" t="s">
        <v>740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736</v>
      </c>
      <c r="L35" s="46" t="s">
        <v>710</v>
      </c>
      <c r="M35" s="47" t="s">
        <v>751</v>
      </c>
      <c r="N35" s="44" t="s">
        <v>1</v>
      </c>
      <c r="O35" s="12" t="s">
        <v>46</v>
      </c>
      <c r="P35" s="46" t="s">
        <v>711</v>
      </c>
      <c r="Q35" s="47" t="s">
        <v>737</v>
      </c>
      <c r="R35" s="46" t="s">
        <v>715</v>
      </c>
      <c r="S35" s="47" t="s">
        <v>737</v>
      </c>
      <c r="T35" s="46" t="s">
        <v>712</v>
      </c>
      <c r="U35" s="47" t="s">
        <v>737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7" customHeight="1" x14ac:dyDescent="0.25">
      <c r="A36" s="6">
        <v>36</v>
      </c>
      <c r="B36" s="11" t="s">
        <v>374</v>
      </c>
      <c r="C36" s="10" t="s">
        <v>780</v>
      </c>
      <c r="D36" s="55" t="s">
        <v>740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736</v>
      </c>
      <c r="L36" s="46" t="s">
        <v>710</v>
      </c>
      <c r="M36" s="47" t="s">
        <v>751</v>
      </c>
      <c r="N36" s="44" t="s">
        <v>1</v>
      </c>
      <c r="O36" s="12" t="s">
        <v>47</v>
      </c>
      <c r="P36" s="46" t="s">
        <v>711</v>
      </c>
      <c r="Q36" s="47" t="s">
        <v>737</v>
      </c>
      <c r="R36" s="46" t="s">
        <v>715</v>
      </c>
      <c r="S36" s="47" t="s">
        <v>737</v>
      </c>
      <c r="T36" s="46" t="s">
        <v>712</v>
      </c>
      <c r="U36" s="47" t="s">
        <v>737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7" customHeight="1" x14ac:dyDescent="0.25">
      <c r="A37" s="6">
        <v>37</v>
      </c>
      <c r="B37" s="11" t="s">
        <v>375</v>
      </c>
      <c r="C37" s="10" t="s">
        <v>780</v>
      </c>
      <c r="D37" s="55" t="s">
        <v>740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736</v>
      </c>
      <c r="L37" s="46" t="s">
        <v>710</v>
      </c>
      <c r="M37" s="47" t="s">
        <v>751</v>
      </c>
      <c r="N37" s="44" t="s">
        <v>1</v>
      </c>
      <c r="O37" s="12" t="s">
        <v>48</v>
      </c>
      <c r="P37" s="46" t="s">
        <v>711</v>
      </c>
      <c r="Q37" s="47" t="s">
        <v>737</v>
      </c>
      <c r="R37" s="46" t="s">
        <v>715</v>
      </c>
      <c r="S37" s="47" t="s">
        <v>737</v>
      </c>
      <c r="T37" s="46" t="s">
        <v>712</v>
      </c>
      <c r="U37" s="47" t="s">
        <v>737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7" customHeight="1" x14ac:dyDescent="0.25">
      <c r="A38" s="6">
        <v>38</v>
      </c>
      <c r="B38" s="11" t="s">
        <v>376</v>
      </c>
      <c r="C38" s="10" t="s">
        <v>780</v>
      </c>
      <c r="D38" s="55" t="s">
        <v>740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736</v>
      </c>
      <c r="L38" s="46" t="s">
        <v>710</v>
      </c>
      <c r="M38" s="47" t="s">
        <v>751</v>
      </c>
      <c r="N38" s="44" t="s">
        <v>1</v>
      </c>
      <c r="O38" s="12" t="s">
        <v>49</v>
      </c>
      <c r="P38" s="46" t="s">
        <v>711</v>
      </c>
      <c r="Q38" s="47" t="s">
        <v>737</v>
      </c>
      <c r="R38" s="46" t="s">
        <v>715</v>
      </c>
      <c r="S38" s="47" t="s">
        <v>737</v>
      </c>
      <c r="T38" s="46" t="s">
        <v>712</v>
      </c>
      <c r="U38" s="47" t="s">
        <v>737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7" customHeight="1" x14ac:dyDescent="0.25">
      <c r="A39" s="6">
        <v>39</v>
      </c>
      <c r="B39" s="11" t="s">
        <v>377</v>
      </c>
      <c r="C39" s="10" t="s">
        <v>780</v>
      </c>
      <c r="D39" s="55" t="s">
        <v>740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736</v>
      </c>
      <c r="L39" s="46" t="s">
        <v>710</v>
      </c>
      <c r="M39" s="47" t="s">
        <v>751</v>
      </c>
      <c r="N39" s="44" t="s">
        <v>1</v>
      </c>
      <c r="O39" s="12" t="s">
        <v>50</v>
      </c>
      <c r="P39" s="46" t="s">
        <v>711</v>
      </c>
      <c r="Q39" s="47" t="s">
        <v>737</v>
      </c>
      <c r="R39" s="46" t="s">
        <v>715</v>
      </c>
      <c r="S39" s="47" t="s">
        <v>737</v>
      </c>
      <c r="T39" s="46" t="s">
        <v>712</v>
      </c>
      <c r="U39" s="47" t="s">
        <v>737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7" customHeight="1" x14ac:dyDescent="0.25">
      <c r="A40" s="6">
        <v>40</v>
      </c>
      <c r="B40" s="11" t="s">
        <v>378</v>
      </c>
      <c r="C40" s="10" t="s">
        <v>780</v>
      </c>
      <c r="D40" s="55" t="s">
        <v>740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736</v>
      </c>
      <c r="L40" s="46" t="s">
        <v>710</v>
      </c>
      <c r="M40" s="47" t="s">
        <v>751</v>
      </c>
      <c r="N40" s="44" t="s">
        <v>1</v>
      </c>
      <c r="O40" s="12" t="s">
        <v>51</v>
      </c>
      <c r="P40" s="46" t="s">
        <v>711</v>
      </c>
      <c r="Q40" s="47" t="s">
        <v>737</v>
      </c>
      <c r="R40" s="46" t="s">
        <v>715</v>
      </c>
      <c r="S40" s="47" t="s">
        <v>737</v>
      </c>
      <c r="T40" s="46" t="s">
        <v>712</v>
      </c>
      <c r="U40" s="47" t="s">
        <v>737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7" customHeight="1" x14ac:dyDescent="0.25">
      <c r="A41" s="6">
        <v>41</v>
      </c>
      <c r="B41" s="11" t="s">
        <v>379</v>
      </c>
      <c r="C41" s="10" t="s">
        <v>781</v>
      </c>
      <c r="D41" s="55" t="s">
        <v>740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736</v>
      </c>
      <c r="L41" s="46" t="s">
        <v>710</v>
      </c>
      <c r="M41" s="47" t="s">
        <v>752</v>
      </c>
      <c r="N41" s="44" t="s">
        <v>1</v>
      </c>
      <c r="O41" s="12" t="s">
        <v>52</v>
      </c>
      <c r="P41" s="46" t="s">
        <v>711</v>
      </c>
      <c r="Q41" s="47" t="s">
        <v>737</v>
      </c>
      <c r="R41" s="46" t="s">
        <v>715</v>
      </c>
      <c r="S41" s="47" t="s">
        <v>737</v>
      </c>
      <c r="T41" s="46" t="s">
        <v>712</v>
      </c>
      <c r="U41" s="47" t="s">
        <v>737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7" customHeight="1" x14ac:dyDescent="0.25">
      <c r="A42" s="6">
        <v>42</v>
      </c>
      <c r="B42" s="11" t="s">
        <v>380</v>
      </c>
      <c r="C42" s="10" t="s">
        <v>781</v>
      </c>
      <c r="D42" s="55" t="s">
        <v>740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736</v>
      </c>
      <c r="L42" s="46" t="s">
        <v>710</v>
      </c>
      <c r="M42" s="47" t="s">
        <v>752</v>
      </c>
      <c r="N42" s="44" t="s">
        <v>1</v>
      </c>
      <c r="O42" s="12" t="s">
        <v>53</v>
      </c>
      <c r="P42" s="46" t="s">
        <v>711</v>
      </c>
      <c r="Q42" s="47" t="s">
        <v>737</v>
      </c>
      <c r="R42" s="46" t="s">
        <v>715</v>
      </c>
      <c r="S42" s="47" t="s">
        <v>737</v>
      </c>
      <c r="T42" s="46" t="s">
        <v>712</v>
      </c>
      <c r="U42" s="47" t="s">
        <v>737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7" customHeight="1" x14ac:dyDescent="0.25">
      <c r="A43" s="6">
        <v>43</v>
      </c>
      <c r="B43" s="11" t="s">
        <v>381</v>
      </c>
      <c r="C43" s="10" t="s">
        <v>781</v>
      </c>
      <c r="D43" s="55" t="s">
        <v>740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736</v>
      </c>
      <c r="L43" s="46" t="s">
        <v>710</v>
      </c>
      <c r="M43" s="47" t="s">
        <v>752</v>
      </c>
      <c r="N43" s="44" t="s">
        <v>1</v>
      </c>
      <c r="O43" s="12" t="s">
        <v>54</v>
      </c>
      <c r="P43" s="46" t="s">
        <v>711</v>
      </c>
      <c r="Q43" s="47" t="s">
        <v>737</v>
      </c>
      <c r="R43" s="46" t="s">
        <v>715</v>
      </c>
      <c r="S43" s="47" t="s">
        <v>737</v>
      </c>
      <c r="T43" s="46" t="s">
        <v>712</v>
      </c>
      <c r="U43" s="47" t="s">
        <v>737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7" customHeight="1" x14ac:dyDescent="0.25">
      <c r="A44" s="6">
        <v>44</v>
      </c>
      <c r="B44" s="11" t="s">
        <v>382</v>
      </c>
      <c r="C44" s="10" t="s">
        <v>781</v>
      </c>
      <c r="D44" s="55" t="s">
        <v>740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736</v>
      </c>
      <c r="L44" s="46" t="s">
        <v>710</v>
      </c>
      <c r="M44" s="47" t="s">
        <v>752</v>
      </c>
      <c r="N44" s="44" t="s">
        <v>1</v>
      </c>
      <c r="O44" s="12" t="s">
        <v>55</v>
      </c>
      <c r="P44" s="46" t="s">
        <v>711</v>
      </c>
      <c r="Q44" s="47" t="s">
        <v>737</v>
      </c>
      <c r="R44" s="46" t="s">
        <v>715</v>
      </c>
      <c r="S44" s="47" t="s">
        <v>737</v>
      </c>
      <c r="T44" s="46" t="s">
        <v>712</v>
      </c>
      <c r="U44" s="47" t="s">
        <v>737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7" customHeight="1" x14ac:dyDescent="0.25">
      <c r="A45" s="6">
        <v>45</v>
      </c>
      <c r="B45" s="11" t="s">
        <v>383</v>
      </c>
      <c r="C45" s="10" t="s">
        <v>781</v>
      </c>
      <c r="D45" s="55" t="s">
        <v>740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736</v>
      </c>
      <c r="L45" s="46" t="s">
        <v>710</v>
      </c>
      <c r="M45" s="47" t="s">
        <v>752</v>
      </c>
      <c r="N45" s="44" t="s">
        <v>1</v>
      </c>
      <c r="O45" s="12" t="s">
        <v>56</v>
      </c>
      <c r="P45" s="46" t="s">
        <v>711</v>
      </c>
      <c r="Q45" s="47" t="s">
        <v>737</v>
      </c>
      <c r="R45" s="46" t="s">
        <v>715</v>
      </c>
      <c r="S45" s="47" t="s">
        <v>737</v>
      </c>
      <c r="T45" s="46" t="s">
        <v>712</v>
      </c>
      <c r="U45" s="47" t="s">
        <v>737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7" customHeight="1" x14ac:dyDescent="0.25">
      <c r="A46" s="6">
        <v>46</v>
      </c>
      <c r="B46" s="11" t="s">
        <v>384</v>
      </c>
      <c r="C46" s="10" t="s">
        <v>781</v>
      </c>
      <c r="D46" s="55" t="s">
        <v>740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736</v>
      </c>
      <c r="L46" s="46" t="s">
        <v>710</v>
      </c>
      <c r="M46" s="47" t="s">
        <v>752</v>
      </c>
      <c r="N46" s="44" t="s">
        <v>1</v>
      </c>
      <c r="O46" s="12" t="s">
        <v>57</v>
      </c>
      <c r="P46" s="46" t="s">
        <v>711</v>
      </c>
      <c r="Q46" s="47" t="s">
        <v>737</v>
      </c>
      <c r="R46" s="46" t="s">
        <v>715</v>
      </c>
      <c r="S46" s="47" t="s">
        <v>737</v>
      </c>
      <c r="T46" s="46" t="s">
        <v>712</v>
      </c>
      <c r="U46" s="47" t="s">
        <v>737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7" customHeight="1" x14ac:dyDescent="0.25">
      <c r="A47" s="6">
        <v>47</v>
      </c>
      <c r="B47" s="11" t="s">
        <v>385</v>
      </c>
      <c r="C47" s="10" t="s">
        <v>781</v>
      </c>
      <c r="D47" s="55" t="s">
        <v>740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736</v>
      </c>
      <c r="L47" s="46" t="s">
        <v>710</v>
      </c>
      <c r="M47" s="47" t="s">
        <v>752</v>
      </c>
      <c r="N47" s="44" t="s">
        <v>1</v>
      </c>
      <c r="O47" s="12" t="s">
        <v>58</v>
      </c>
      <c r="P47" s="46" t="s">
        <v>711</v>
      </c>
      <c r="Q47" s="47" t="s">
        <v>737</v>
      </c>
      <c r="R47" s="46" t="s">
        <v>715</v>
      </c>
      <c r="S47" s="47" t="s">
        <v>737</v>
      </c>
      <c r="T47" s="46" t="s">
        <v>712</v>
      </c>
      <c r="U47" s="47" t="s">
        <v>737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7" customHeight="1" x14ac:dyDescent="0.25">
      <c r="A48" s="6">
        <v>48</v>
      </c>
      <c r="B48" s="11" t="s">
        <v>386</v>
      </c>
      <c r="C48" s="10" t="s">
        <v>781</v>
      </c>
      <c r="D48" s="55" t="s">
        <v>740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736</v>
      </c>
      <c r="L48" s="46" t="s">
        <v>710</v>
      </c>
      <c r="M48" s="47" t="s">
        <v>752</v>
      </c>
      <c r="N48" s="44" t="s">
        <v>1</v>
      </c>
      <c r="O48" s="12" t="s">
        <v>59</v>
      </c>
      <c r="P48" s="46" t="s">
        <v>711</v>
      </c>
      <c r="Q48" s="47" t="s">
        <v>737</v>
      </c>
      <c r="R48" s="46" t="s">
        <v>715</v>
      </c>
      <c r="S48" s="47" t="s">
        <v>737</v>
      </c>
      <c r="T48" s="46" t="s">
        <v>712</v>
      </c>
      <c r="U48" s="47" t="s">
        <v>737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7" customHeight="1" x14ac:dyDescent="0.25">
      <c r="A49" s="6">
        <v>49</v>
      </c>
      <c r="B49" s="11" t="s">
        <v>387</v>
      </c>
      <c r="C49" s="10" t="s">
        <v>781</v>
      </c>
      <c r="D49" s="55" t="s">
        <v>740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736</v>
      </c>
      <c r="L49" s="46" t="s">
        <v>710</v>
      </c>
      <c r="M49" s="47" t="s">
        <v>752</v>
      </c>
      <c r="N49" s="44" t="s">
        <v>1</v>
      </c>
      <c r="O49" s="12" t="s">
        <v>60</v>
      </c>
      <c r="P49" s="46" t="s">
        <v>711</v>
      </c>
      <c r="Q49" s="47" t="s">
        <v>737</v>
      </c>
      <c r="R49" s="46" t="s">
        <v>715</v>
      </c>
      <c r="S49" s="47" t="s">
        <v>737</v>
      </c>
      <c r="T49" s="46" t="s">
        <v>712</v>
      </c>
      <c r="U49" s="47" t="s">
        <v>737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7" customHeight="1" x14ac:dyDescent="0.25">
      <c r="A50" s="6">
        <v>50</v>
      </c>
      <c r="B50" s="11" t="s">
        <v>388</v>
      </c>
      <c r="C50" s="10" t="s">
        <v>781</v>
      </c>
      <c r="D50" s="55" t="s">
        <v>740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736</v>
      </c>
      <c r="L50" s="46" t="s">
        <v>710</v>
      </c>
      <c r="M50" s="47" t="s">
        <v>752</v>
      </c>
      <c r="N50" s="44" t="s">
        <v>1</v>
      </c>
      <c r="O50" s="12" t="s">
        <v>61</v>
      </c>
      <c r="P50" s="46" t="s">
        <v>711</v>
      </c>
      <c r="Q50" s="47" t="s">
        <v>737</v>
      </c>
      <c r="R50" s="46" t="s">
        <v>715</v>
      </c>
      <c r="S50" s="47" t="s">
        <v>737</v>
      </c>
      <c r="T50" s="46" t="s">
        <v>712</v>
      </c>
      <c r="U50" s="47" t="s">
        <v>737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7" customHeight="1" x14ac:dyDescent="0.25">
      <c r="A51" s="6">
        <v>51</v>
      </c>
      <c r="B51" s="11" t="s">
        <v>389</v>
      </c>
      <c r="C51" s="10" t="s">
        <v>781</v>
      </c>
      <c r="D51" s="55" t="s">
        <v>740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736</v>
      </c>
      <c r="L51" s="46" t="s">
        <v>710</v>
      </c>
      <c r="M51" s="47" t="s">
        <v>752</v>
      </c>
      <c r="N51" s="44" t="s">
        <v>1</v>
      </c>
      <c r="O51" s="12" t="s">
        <v>62</v>
      </c>
      <c r="P51" s="46" t="s">
        <v>711</v>
      </c>
      <c r="Q51" s="47" t="s">
        <v>737</v>
      </c>
      <c r="R51" s="46" t="s">
        <v>715</v>
      </c>
      <c r="S51" s="47" t="s">
        <v>737</v>
      </c>
      <c r="T51" s="46" t="s">
        <v>712</v>
      </c>
      <c r="U51" s="47" t="s">
        <v>737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7" customHeight="1" x14ac:dyDescent="0.25">
      <c r="A52" s="6">
        <v>52</v>
      </c>
      <c r="B52" s="11" t="s">
        <v>390</v>
      </c>
      <c r="C52" s="10" t="s">
        <v>781</v>
      </c>
      <c r="D52" s="55" t="s">
        <v>740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736</v>
      </c>
      <c r="L52" s="46" t="s">
        <v>710</v>
      </c>
      <c r="M52" s="47" t="s">
        <v>752</v>
      </c>
      <c r="N52" s="44" t="s">
        <v>1</v>
      </c>
      <c r="O52" s="12" t="s">
        <v>63</v>
      </c>
      <c r="P52" s="46" t="s">
        <v>711</v>
      </c>
      <c r="Q52" s="47" t="s">
        <v>737</v>
      </c>
      <c r="R52" s="46" t="s">
        <v>715</v>
      </c>
      <c r="S52" s="47" t="s">
        <v>737</v>
      </c>
      <c r="T52" s="46" t="s">
        <v>712</v>
      </c>
      <c r="U52" s="47" t="s">
        <v>737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7" customHeight="1" x14ac:dyDescent="0.25">
      <c r="A53" s="6">
        <v>53</v>
      </c>
      <c r="B53" s="11" t="s">
        <v>391</v>
      </c>
      <c r="C53" s="10" t="s">
        <v>781</v>
      </c>
      <c r="D53" s="55" t="s">
        <v>740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736</v>
      </c>
      <c r="L53" s="46" t="s">
        <v>710</v>
      </c>
      <c r="M53" s="47" t="s">
        <v>752</v>
      </c>
      <c r="N53" s="44" t="s">
        <v>1</v>
      </c>
      <c r="O53" s="12" t="s">
        <v>64</v>
      </c>
      <c r="P53" s="46" t="s">
        <v>711</v>
      </c>
      <c r="Q53" s="47" t="s">
        <v>737</v>
      </c>
      <c r="R53" s="46" t="s">
        <v>715</v>
      </c>
      <c r="S53" s="47" t="s">
        <v>737</v>
      </c>
      <c r="T53" s="46" t="s">
        <v>712</v>
      </c>
      <c r="U53" s="47" t="s">
        <v>737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7" customHeight="1" x14ac:dyDescent="0.25">
      <c r="A54" s="6">
        <v>54</v>
      </c>
      <c r="B54" s="11" t="s">
        <v>392</v>
      </c>
      <c r="C54" s="10" t="s">
        <v>781</v>
      </c>
      <c r="D54" s="55" t="s">
        <v>740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736</v>
      </c>
      <c r="L54" s="46" t="s">
        <v>710</v>
      </c>
      <c r="M54" s="47" t="s">
        <v>752</v>
      </c>
      <c r="N54" s="44" t="s">
        <v>1</v>
      </c>
      <c r="O54" s="12" t="s">
        <v>65</v>
      </c>
      <c r="P54" s="46" t="s">
        <v>711</v>
      </c>
      <c r="Q54" s="47" t="s">
        <v>737</v>
      </c>
      <c r="R54" s="46" t="s">
        <v>715</v>
      </c>
      <c r="S54" s="47" t="s">
        <v>737</v>
      </c>
      <c r="T54" s="46" t="s">
        <v>712</v>
      </c>
      <c r="U54" s="47" t="s">
        <v>737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7" customHeight="1" x14ac:dyDescent="0.25">
      <c r="A55" s="6">
        <v>55</v>
      </c>
      <c r="B55" s="11" t="s">
        <v>393</v>
      </c>
      <c r="C55" s="10" t="s">
        <v>781</v>
      </c>
      <c r="D55" s="55" t="s">
        <v>740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736</v>
      </c>
      <c r="L55" s="46" t="s">
        <v>710</v>
      </c>
      <c r="M55" s="47" t="s">
        <v>752</v>
      </c>
      <c r="N55" s="44" t="s">
        <v>1</v>
      </c>
      <c r="O55" s="12" t="s">
        <v>66</v>
      </c>
      <c r="P55" s="46" t="s">
        <v>711</v>
      </c>
      <c r="Q55" s="47" t="s">
        <v>737</v>
      </c>
      <c r="R55" s="46" t="s">
        <v>715</v>
      </c>
      <c r="S55" s="47" t="s">
        <v>737</v>
      </c>
      <c r="T55" s="46" t="s">
        <v>712</v>
      </c>
      <c r="U55" s="47" t="s">
        <v>737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7" customHeight="1" x14ac:dyDescent="0.25">
      <c r="A56" s="6">
        <v>56</v>
      </c>
      <c r="B56" s="11" t="s">
        <v>394</v>
      </c>
      <c r="C56" s="10" t="s">
        <v>781</v>
      </c>
      <c r="D56" s="55" t="s">
        <v>740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736</v>
      </c>
      <c r="L56" s="46" t="s">
        <v>710</v>
      </c>
      <c r="M56" s="47" t="s">
        <v>752</v>
      </c>
      <c r="N56" s="44" t="s">
        <v>1</v>
      </c>
      <c r="O56" s="12" t="s">
        <v>67</v>
      </c>
      <c r="P56" s="46" t="s">
        <v>711</v>
      </c>
      <c r="Q56" s="47" t="s">
        <v>737</v>
      </c>
      <c r="R56" s="46" t="s">
        <v>715</v>
      </c>
      <c r="S56" s="47" t="s">
        <v>737</v>
      </c>
      <c r="T56" s="46" t="s">
        <v>712</v>
      </c>
      <c r="U56" s="47" t="s">
        <v>737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7" customHeight="1" x14ac:dyDescent="0.25">
      <c r="A57" s="6">
        <v>57</v>
      </c>
      <c r="B57" s="11" t="s">
        <v>395</v>
      </c>
      <c r="C57" s="10" t="s">
        <v>781</v>
      </c>
      <c r="D57" s="55" t="s">
        <v>740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736</v>
      </c>
      <c r="L57" s="46" t="s">
        <v>710</v>
      </c>
      <c r="M57" s="47" t="s">
        <v>752</v>
      </c>
      <c r="N57" s="44" t="s">
        <v>1</v>
      </c>
      <c r="O57" s="12" t="s">
        <v>68</v>
      </c>
      <c r="P57" s="46" t="s">
        <v>711</v>
      </c>
      <c r="Q57" s="47" t="s">
        <v>737</v>
      </c>
      <c r="R57" s="46" t="s">
        <v>715</v>
      </c>
      <c r="S57" s="47" t="s">
        <v>737</v>
      </c>
      <c r="T57" s="46" t="s">
        <v>712</v>
      </c>
      <c r="U57" s="47" t="s">
        <v>737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7" customHeight="1" x14ac:dyDescent="0.25">
      <c r="A58" s="6">
        <v>58</v>
      </c>
      <c r="B58" s="11" t="s">
        <v>396</v>
      </c>
      <c r="C58" s="10" t="s">
        <v>781</v>
      </c>
      <c r="D58" s="55" t="s">
        <v>740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736</v>
      </c>
      <c r="L58" s="46" t="s">
        <v>710</v>
      </c>
      <c r="M58" s="47" t="s">
        <v>752</v>
      </c>
      <c r="N58" s="44" t="s">
        <v>1</v>
      </c>
      <c r="O58" s="12" t="s">
        <v>69</v>
      </c>
      <c r="P58" s="46" t="s">
        <v>711</v>
      </c>
      <c r="Q58" s="47" t="s">
        <v>737</v>
      </c>
      <c r="R58" s="46" t="s">
        <v>715</v>
      </c>
      <c r="S58" s="47" t="s">
        <v>737</v>
      </c>
      <c r="T58" s="46" t="s">
        <v>712</v>
      </c>
      <c r="U58" s="47" t="s">
        <v>737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7" customHeight="1" x14ac:dyDescent="0.25">
      <c r="A59" s="6">
        <v>59</v>
      </c>
      <c r="B59" s="11" t="s">
        <v>397</v>
      </c>
      <c r="C59" s="10" t="s">
        <v>782</v>
      </c>
      <c r="D59" s="55" t="s">
        <v>740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736</v>
      </c>
      <c r="L59" s="46" t="s">
        <v>710</v>
      </c>
      <c r="M59" s="47" t="s">
        <v>753</v>
      </c>
      <c r="N59" s="44" t="s">
        <v>1</v>
      </c>
      <c r="O59" s="12" t="s">
        <v>70</v>
      </c>
      <c r="P59" s="46" t="s">
        <v>711</v>
      </c>
      <c r="Q59" s="47" t="s">
        <v>737</v>
      </c>
      <c r="R59" s="46" t="s">
        <v>715</v>
      </c>
      <c r="S59" s="47" t="s">
        <v>737</v>
      </c>
      <c r="T59" s="46" t="s">
        <v>712</v>
      </c>
      <c r="U59" s="47" t="s">
        <v>737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7" customHeight="1" x14ac:dyDescent="0.25">
      <c r="A60" s="6">
        <v>60</v>
      </c>
      <c r="B60" s="11" t="s">
        <v>398</v>
      </c>
      <c r="C60" s="10" t="s">
        <v>782</v>
      </c>
      <c r="D60" s="55" t="s">
        <v>740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736</v>
      </c>
      <c r="L60" s="46" t="s">
        <v>710</v>
      </c>
      <c r="M60" s="47" t="s">
        <v>753</v>
      </c>
      <c r="N60" s="44" t="s">
        <v>1</v>
      </c>
      <c r="O60" s="12" t="s">
        <v>71</v>
      </c>
      <c r="P60" s="46" t="s">
        <v>711</v>
      </c>
      <c r="Q60" s="47" t="s">
        <v>737</v>
      </c>
      <c r="R60" s="46" t="s">
        <v>715</v>
      </c>
      <c r="S60" s="47" t="s">
        <v>737</v>
      </c>
      <c r="T60" s="46" t="s">
        <v>712</v>
      </c>
      <c r="U60" s="47" t="s">
        <v>737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7" customHeight="1" x14ac:dyDescent="0.25">
      <c r="A61" s="6">
        <v>61</v>
      </c>
      <c r="B61" s="11" t="s">
        <v>399</v>
      </c>
      <c r="C61" s="10" t="s">
        <v>782</v>
      </c>
      <c r="D61" s="55" t="s">
        <v>740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736</v>
      </c>
      <c r="L61" s="46" t="s">
        <v>710</v>
      </c>
      <c r="M61" s="47" t="s">
        <v>753</v>
      </c>
      <c r="N61" s="44" t="s">
        <v>1</v>
      </c>
      <c r="O61" s="12" t="s">
        <v>72</v>
      </c>
      <c r="P61" s="46" t="s">
        <v>711</v>
      </c>
      <c r="Q61" s="47" t="s">
        <v>737</v>
      </c>
      <c r="R61" s="46" t="s">
        <v>715</v>
      </c>
      <c r="S61" s="47" t="s">
        <v>737</v>
      </c>
      <c r="T61" s="46" t="s">
        <v>712</v>
      </c>
      <c r="U61" s="47" t="s">
        <v>737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7" customHeight="1" x14ac:dyDescent="0.25">
      <c r="A62" s="6">
        <v>62</v>
      </c>
      <c r="B62" s="11" t="s">
        <v>400</v>
      </c>
      <c r="C62" s="10" t="s">
        <v>782</v>
      </c>
      <c r="D62" s="55" t="s">
        <v>740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736</v>
      </c>
      <c r="L62" s="46" t="s">
        <v>710</v>
      </c>
      <c r="M62" s="47" t="s">
        <v>753</v>
      </c>
      <c r="N62" s="44" t="s">
        <v>1</v>
      </c>
      <c r="O62" s="12" t="s">
        <v>73</v>
      </c>
      <c r="P62" s="46" t="s">
        <v>711</v>
      </c>
      <c r="Q62" s="47" t="s">
        <v>737</v>
      </c>
      <c r="R62" s="46" t="s">
        <v>715</v>
      </c>
      <c r="S62" s="47" t="s">
        <v>737</v>
      </c>
      <c r="T62" s="46" t="s">
        <v>712</v>
      </c>
      <c r="U62" s="47" t="s">
        <v>737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7" customHeight="1" x14ac:dyDescent="0.25">
      <c r="A63" s="6">
        <v>63</v>
      </c>
      <c r="B63" s="11" t="s">
        <v>401</v>
      </c>
      <c r="C63" s="10" t="s">
        <v>782</v>
      </c>
      <c r="D63" s="55" t="s">
        <v>740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736</v>
      </c>
      <c r="L63" s="46" t="s">
        <v>710</v>
      </c>
      <c r="M63" s="47" t="s">
        <v>753</v>
      </c>
      <c r="N63" s="44" t="s">
        <v>1</v>
      </c>
      <c r="O63" s="12" t="s">
        <v>74</v>
      </c>
      <c r="P63" s="46" t="s">
        <v>711</v>
      </c>
      <c r="Q63" s="47" t="s">
        <v>737</v>
      </c>
      <c r="R63" s="46" t="s">
        <v>715</v>
      </c>
      <c r="S63" s="47" t="s">
        <v>737</v>
      </c>
      <c r="T63" s="46" t="s">
        <v>712</v>
      </c>
      <c r="U63" s="47" t="s">
        <v>737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7" customHeight="1" x14ac:dyDescent="0.25">
      <c r="A64" s="6">
        <v>64</v>
      </c>
      <c r="B64" s="11" t="s">
        <v>402</v>
      </c>
      <c r="C64" s="10" t="s">
        <v>782</v>
      </c>
      <c r="D64" s="55" t="s">
        <v>740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736</v>
      </c>
      <c r="L64" s="46" t="s">
        <v>710</v>
      </c>
      <c r="M64" s="47" t="s">
        <v>753</v>
      </c>
      <c r="N64" s="44" t="s">
        <v>1</v>
      </c>
      <c r="O64" s="12" t="s">
        <v>75</v>
      </c>
      <c r="P64" s="46" t="s">
        <v>711</v>
      </c>
      <c r="Q64" s="47" t="s">
        <v>737</v>
      </c>
      <c r="R64" s="46" t="s">
        <v>715</v>
      </c>
      <c r="S64" s="47" t="s">
        <v>737</v>
      </c>
      <c r="T64" s="46" t="s">
        <v>712</v>
      </c>
      <c r="U64" s="47" t="s">
        <v>737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7" customHeight="1" x14ac:dyDescent="0.25">
      <c r="A65" s="6">
        <v>65</v>
      </c>
      <c r="B65" s="11" t="s">
        <v>403</v>
      </c>
      <c r="C65" s="10" t="s">
        <v>783</v>
      </c>
      <c r="D65" s="55" t="s">
        <v>740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736</v>
      </c>
      <c r="L65" s="46" t="s">
        <v>710</v>
      </c>
      <c r="M65" s="47" t="s">
        <v>754</v>
      </c>
      <c r="N65" s="44" t="s">
        <v>1</v>
      </c>
      <c r="O65" s="12" t="s">
        <v>76</v>
      </c>
      <c r="P65" s="46" t="s">
        <v>711</v>
      </c>
      <c r="Q65" s="47" t="s">
        <v>737</v>
      </c>
      <c r="R65" s="46" t="s">
        <v>715</v>
      </c>
      <c r="S65" s="47" t="s">
        <v>737</v>
      </c>
      <c r="T65" s="46" t="s">
        <v>712</v>
      </c>
      <c r="U65" s="47" t="s">
        <v>737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7" customHeight="1" x14ac:dyDescent="0.25">
      <c r="A66" s="6">
        <v>66</v>
      </c>
      <c r="B66" s="11" t="s">
        <v>404</v>
      </c>
      <c r="C66" s="10" t="s">
        <v>783</v>
      </c>
      <c r="D66" s="55" t="s">
        <v>740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736</v>
      </c>
      <c r="L66" s="46" t="s">
        <v>710</v>
      </c>
      <c r="M66" s="47" t="s">
        <v>754</v>
      </c>
      <c r="N66" s="44" t="s">
        <v>1</v>
      </c>
      <c r="O66" s="12" t="s">
        <v>77</v>
      </c>
      <c r="P66" s="46" t="s">
        <v>711</v>
      </c>
      <c r="Q66" s="47" t="s">
        <v>737</v>
      </c>
      <c r="R66" s="46" t="s">
        <v>715</v>
      </c>
      <c r="S66" s="47" t="s">
        <v>737</v>
      </c>
      <c r="T66" s="46" t="s">
        <v>712</v>
      </c>
      <c r="U66" s="47" t="s">
        <v>737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7" customHeight="1" x14ac:dyDescent="0.25">
      <c r="A67" s="6">
        <v>67</v>
      </c>
      <c r="B67" s="11" t="s">
        <v>405</v>
      </c>
      <c r="C67" s="10" t="s">
        <v>783</v>
      </c>
      <c r="D67" s="55" t="s">
        <v>740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736</v>
      </c>
      <c r="L67" s="46" t="s">
        <v>710</v>
      </c>
      <c r="M67" s="47" t="s">
        <v>754</v>
      </c>
      <c r="N67" s="44" t="s">
        <v>1</v>
      </c>
      <c r="O67" s="12" t="s">
        <v>78</v>
      </c>
      <c r="P67" s="46" t="s">
        <v>711</v>
      </c>
      <c r="Q67" s="47" t="s">
        <v>737</v>
      </c>
      <c r="R67" s="46" t="s">
        <v>715</v>
      </c>
      <c r="S67" s="47" t="s">
        <v>737</v>
      </c>
      <c r="T67" s="46" t="s">
        <v>712</v>
      </c>
      <c r="U67" s="47" t="s">
        <v>737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7" customHeight="1" x14ac:dyDescent="0.25">
      <c r="A68" s="6">
        <v>68</v>
      </c>
      <c r="B68" s="11" t="s">
        <v>406</v>
      </c>
      <c r="C68" s="10" t="s">
        <v>783</v>
      </c>
      <c r="D68" s="55" t="s">
        <v>740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736</v>
      </c>
      <c r="L68" s="46" t="s">
        <v>710</v>
      </c>
      <c r="M68" s="47" t="s">
        <v>754</v>
      </c>
      <c r="N68" s="44" t="s">
        <v>1</v>
      </c>
      <c r="O68" s="12" t="s">
        <v>79</v>
      </c>
      <c r="P68" s="46" t="s">
        <v>711</v>
      </c>
      <c r="Q68" s="47" t="s">
        <v>737</v>
      </c>
      <c r="R68" s="46" t="s">
        <v>715</v>
      </c>
      <c r="S68" s="47" t="s">
        <v>737</v>
      </c>
      <c r="T68" s="46" t="s">
        <v>712</v>
      </c>
      <c r="U68" s="47" t="s">
        <v>737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7" customHeight="1" x14ac:dyDescent="0.25">
      <c r="A69" s="6">
        <v>69</v>
      </c>
      <c r="B69" s="11" t="s">
        <v>407</v>
      </c>
      <c r="C69" s="10" t="s">
        <v>783</v>
      </c>
      <c r="D69" s="55" t="s">
        <v>740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736</v>
      </c>
      <c r="L69" s="46" t="s">
        <v>710</v>
      </c>
      <c r="M69" s="47" t="s">
        <v>754</v>
      </c>
      <c r="N69" s="44" t="s">
        <v>1</v>
      </c>
      <c r="O69" s="12" t="s">
        <v>80</v>
      </c>
      <c r="P69" s="46" t="s">
        <v>711</v>
      </c>
      <c r="Q69" s="47" t="s">
        <v>737</v>
      </c>
      <c r="R69" s="46" t="s">
        <v>715</v>
      </c>
      <c r="S69" s="47" t="s">
        <v>737</v>
      </c>
      <c r="T69" s="46" t="s">
        <v>712</v>
      </c>
      <c r="U69" s="47" t="s">
        <v>737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7" customHeight="1" x14ac:dyDescent="0.25">
      <c r="A70" s="6">
        <v>70</v>
      </c>
      <c r="B70" s="11" t="s">
        <v>408</v>
      </c>
      <c r="C70" s="10" t="s">
        <v>784</v>
      </c>
      <c r="D70" s="55" t="s">
        <v>740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736</v>
      </c>
      <c r="L70" s="46" t="s">
        <v>710</v>
      </c>
      <c r="M70" s="47" t="s">
        <v>755</v>
      </c>
      <c r="N70" s="44" t="s">
        <v>1</v>
      </c>
      <c r="O70" s="12" t="s">
        <v>81</v>
      </c>
      <c r="P70" s="46" t="s">
        <v>711</v>
      </c>
      <c r="Q70" s="47" t="s">
        <v>737</v>
      </c>
      <c r="R70" s="46" t="s">
        <v>715</v>
      </c>
      <c r="S70" s="47" t="s">
        <v>737</v>
      </c>
      <c r="T70" s="46" t="s">
        <v>712</v>
      </c>
      <c r="U70" s="47" t="s">
        <v>737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7" customHeight="1" x14ac:dyDescent="0.25">
      <c r="A71" s="6">
        <v>71</v>
      </c>
      <c r="B71" s="11" t="s">
        <v>409</v>
      </c>
      <c r="C71" s="10" t="s">
        <v>784</v>
      </c>
      <c r="D71" s="55" t="s">
        <v>740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736</v>
      </c>
      <c r="L71" s="46" t="s">
        <v>710</v>
      </c>
      <c r="M71" s="47" t="s">
        <v>755</v>
      </c>
      <c r="N71" s="44" t="s">
        <v>1</v>
      </c>
      <c r="O71" s="12" t="s">
        <v>82</v>
      </c>
      <c r="P71" s="46" t="s">
        <v>711</v>
      </c>
      <c r="Q71" s="47" t="s">
        <v>737</v>
      </c>
      <c r="R71" s="46" t="s">
        <v>715</v>
      </c>
      <c r="S71" s="47" t="s">
        <v>737</v>
      </c>
      <c r="T71" s="46" t="s">
        <v>712</v>
      </c>
      <c r="U71" s="47" t="s">
        <v>737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7" customHeight="1" x14ac:dyDescent="0.25">
      <c r="A72" s="6">
        <v>72</v>
      </c>
      <c r="B72" s="11" t="s">
        <v>410</v>
      </c>
      <c r="C72" s="10" t="s">
        <v>784</v>
      </c>
      <c r="D72" s="55" t="s">
        <v>740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736</v>
      </c>
      <c r="L72" s="46" t="s">
        <v>710</v>
      </c>
      <c r="M72" s="47" t="s">
        <v>755</v>
      </c>
      <c r="N72" s="44" t="s">
        <v>1</v>
      </c>
      <c r="O72" s="12" t="s">
        <v>83</v>
      </c>
      <c r="P72" s="46" t="s">
        <v>711</v>
      </c>
      <c r="Q72" s="47" t="s">
        <v>737</v>
      </c>
      <c r="R72" s="46" t="s">
        <v>715</v>
      </c>
      <c r="S72" s="47" t="s">
        <v>737</v>
      </c>
      <c r="T72" s="46" t="s">
        <v>712</v>
      </c>
      <c r="U72" s="47" t="s">
        <v>737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7" customHeight="1" x14ac:dyDescent="0.25">
      <c r="A73" s="6">
        <v>73</v>
      </c>
      <c r="B73" s="11" t="s">
        <v>411</v>
      </c>
      <c r="C73" s="10" t="s">
        <v>784</v>
      </c>
      <c r="D73" s="55" t="s">
        <v>740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736</v>
      </c>
      <c r="L73" s="46" t="s">
        <v>710</v>
      </c>
      <c r="M73" s="47" t="s">
        <v>755</v>
      </c>
      <c r="N73" s="44" t="s">
        <v>1</v>
      </c>
      <c r="O73" s="12" t="s">
        <v>84</v>
      </c>
      <c r="P73" s="46" t="s">
        <v>711</v>
      </c>
      <c r="Q73" s="47" t="s">
        <v>737</v>
      </c>
      <c r="R73" s="46" t="s">
        <v>715</v>
      </c>
      <c r="S73" s="47" t="s">
        <v>737</v>
      </c>
      <c r="T73" s="46" t="s">
        <v>712</v>
      </c>
      <c r="U73" s="47" t="s">
        <v>737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7" customHeight="1" x14ac:dyDescent="0.25">
      <c r="A74" s="6">
        <v>74</v>
      </c>
      <c r="B74" s="11" t="s">
        <v>412</v>
      </c>
      <c r="C74" s="10" t="s">
        <v>784</v>
      </c>
      <c r="D74" s="55" t="s">
        <v>740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736</v>
      </c>
      <c r="L74" s="46" t="s">
        <v>710</v>
      </c>
      <c r="M74" s="47" t="s">
        <v>755</v>
      </c>
      <c r="N74" s="44" t="s">
        <v>1</v>
      </c>
      <c r="O74" s="12" t="s">
        <v>85</v>
      </c>
      <c r="P74" s="46" t="s">
        <v>711</v>
      </c>
      <c r="Q74" s="47" t="s">
        <v>737</v>
      </c>
      <c r="R74" s="46" t="s">
        <v>715</v>
      </c>
      <c r="S74" s="47" t="s">
        <v>737</v>
      </c>
      <c r="T74" s="46" t="s">
        <v>712</v>
      </c>
      <c r="U74" s="47" t="s">
        <v>737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7" customHeight="1" x14ac:dyDescent="0.25">
      <c r="A75" s="6">
        <v>75</v>
      </c>
      <c r="B75" s="11" t="s">
        <v>413</v>
      </c>
      <c r="C75" s="10" t="s">
        <v>784</v>
      </c>
      <c r="D75" s="55" t="s">
        <v>740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736</v>
      </c>
      <c r="L75" s="46" t="s">
        <v>710</v>
      </c>
      <c r="M75" s="47" t="s">
        <v>755</v>
      </c>
      <c r="N75" s="44" t="s">
        <v>1</v>
      </c>
      <c r="O75" s="12" t="s">
        <v>86</v>
      </c>
      <c r="P75" s="46" t="s">
        <v>711</v>
      </c>
      <c r="Q75" s="47" t="s">
        <v>737</v>
      </c>
      <c r="R75" s="46" t="s">
        <v>715</v>
      </c>
      <c r="S75" s="47" t="s">
        <v>737</v>
      </c>
      <c r="T75" s="46" t="s">
        <v>712</v>
      </c>
      <c r="U75" s="47" t="s">
        <v>737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7" customHeight="1" x14ac:dyDescent="0.25">
      <c r="A76" s="6">
        <v>76</v>
      </c>
      <c r="B76" s="11" t="s">
        <v>414</v>
      </c>
      <c r="C76" s="10" t="s">
        <v>784</v>
      </c>
      <c r="D76" s="55" t="s">
        <v>740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736</v>
      </c>
      <c r="L76" s="46" t="s">
        <v>710</v>
      </c>
      <c r="M76" s="47" t="s">
        <v>755</v>
      </c>
      <c r="N76" s="44" t="s">
        <v>1</v>
      </c>
      <c r="O76" s="12" t="s">
        <v>87</v>
      </c>
      <c r="P76" s="46" t="s">
        <v>711</v>
      </c>
      <c r="Q76" s="47" t="s">
        <v>737</v>
      </c>
      <c r="R76" s="46" t="s">
        <v>715</v>
      </c>
      <c r="S76" s="47" t="s">
        <v>737</v>
      </c>
      <c r="T76" s="46" t="s">
        <v>712</v>
      </c>
      <c r="U76" s="47" t="s">
        <v>737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7" customHeight="1" x14ac:dyDescent="0.25">
      <c r="A77" s="6">
        <v>77</v>
      </c>
      <c r="B77" s="11" t="s">
        <v>415</v>
      </c>
      <c r="C77" s="10" t="s">
        <v>785</v>
      </c>
      <c r="D77" s="55" t="s">
        <v>740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736</v>
      </c>
      <c r="L77" s="46" t="s">
        <v>710</v>
      </c>
      <c r="M77" s="47" t="s">
        <v>756</v>
      </c>
      <c r="N77" s="44" t="s">
        <v>1</v>
      </c>
      <c r="O77" s="12" t="s">
        <v>88</v>
      </c>
      <c r="P77" s="46" t="s">
        <v>711</v>
      </c>
      <c r="Q77" s="47" t="s">
        <v>737</v>
      </c>
      <c r="R77" s="46" t="s">
        <v>715</v>
      </c>
      <c r="S77" s="47" t="s">
        <v>737</v>
      </c>
      <c r="T77" s="46" t="s">
        <v>712</v>
      </c>
      <c r="U77" s="47" t="s">
        <v>737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7" customHeight="1" x14ac:dyDescent="0.25">
      <c r="A78" s="6">
        <v>78</v>
      </c>
      <c r="B78" s="11" t="s">
        <v>416</v>
      </c>
      <c r="C78" s="10" t="s">
        <v>785</v>
      </c>
      <c r="D78" s="55" t="s">
        <v>740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736</v>
      </c>
      <c r="L78" s="46" t="s">
        <v>710</v>
      </c>
      <c r="M78" s="47" t="s">
        <v>756</v>
      </c>
      <c r="N78" s="44" t="s">
        <v>1</v>
      </c>
      <c r="O78" s="12" t="s">
        <v>89</v>
      </c>
      <c r="P78" s="46" t="s">
        <v>711</v>
      </c>
      <c r="Q78" s="47" t="s">
        <v>737</v>
      </c>
      <c r="R78" s="46" t="s">
        <v>715</v>
      </c>
      <c r="S78" s="47" t="s">
        <v>737</v>
      </c>
      <c r="T78" s="46" t="s">
        <v>712</v>
      </c>
      <c r="U78" s="47" t="s">
        <v>737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7" customHeight="1" x14ac:dyDescent="0.25">
      <c r="A79" s="6">
        <v>79</v>
      </c>
      <c r="B79" s="11" t="s">
        <v>417</v>
      </c>
      <c r="C79" s="10" t="s">
        <v>785</v>
      </c>
      <c r="D79" s="55" t="s">
        <v>740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736</v>
      </c>
      <c r="L79" s="46" t="s">
        <v>710</v>
      </c>
      <c r="M79" s="47" t="s">
        <v>756</v>
      </c>
      <c r="N79" s="44" t="s">
        <v>1</v>
      </c>
      <c r="O79" s="12" t="s">
        <v>90</v>
      </c>
      <c r="P79" s="46" t="s">
        <v>711</v>
      </c>
      <c r="Q79" s="47" t="s">
        <v>737</v>
      </c>
      <c r="R79" s="46" t="s">
        <v>715</v>
      </c>
      <c r="S79" s="47" t="s">
        <v>737</v>
      </c>
      <c r="T79" s="46" t="s">
        <v>712</v>
      </c>
      <c r="U79" s="47" t="s">
        <v>737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7" customHeight="1" x14ac:dyDescent="0.25">
      <c r="A80" s="6">
        <v>80</v>
      </c>
      <c r="B80" s="11" t="s">
        <v>418</v>
      </c>
      <c r="C80" s="10" t="s">
        <v>785</v>
      </c>
      <c r="D80" s="55" t="s">
        <v>740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736</v>
      </c>
      <c r="L80" s="46" t="s">
        <v>710</v>
      </c>
      <c r="M80" s="47" t="s">
        <v>756</v>
      </c>
      <c r="N80" s="44" t="s">
        <v>1</v>
      </c>
      <c r="O80" s="12" t="s">
        <v>91</v>
      </c>
      <c r="P80" s="46" t="s">
        <v>711</v>
      </c>
      <c r="Q80" s="47" t="s">
        <v>737</v>
      </c>
      <c r="R80" s="46" t="s">
        <v>715</v>
      </c>
      <c r="S80" s="47" t="s">
        <v>737</v>
      </c>
      <c r="T80" s="46" t="s">
        <v>712</v>
      </c>
      <c r="U80" s="47" t="s">
        <v>737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7" customHeight="1" x14ac:dyDescent="0.25">
      <c r="A81" s="6">
        <v>81</v>
      </c>
      <c r="B81" s="11" t="s">
        <v>419</v>
      </c>
      <c r="C81" s="10" t="s">
        <v>785</v>
      </c>
      <c r="D81" s="55" t="s">
        <v>740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736</v>
      </c>
      <c r="L81" s="46" t="s">
        <v>710</v>
      </c>
      <c r="M81" s="47" t="s">
        <v>756</v>
      </c>
      <c r="N81" s="44" t="s">
        <v>1</v>
      </c>
      <c r="O81" s="12" t="s">
        <v>92</v>
      </c>
      <c r="P81" s="46" t="s">
        <v>711</v>
      </c>
      <c r="Q81" s="47" t="s">
        <v>737</v>
      </c>
      <c r="R81" s="46" t="s">
        <v>715</v>
      </c>
      <c r="S81" s="47" t="s">
        <v>737</v>
      </c>
      <c r="T81" s="46" t="s">
        <v>712</v>
      </c>
      <c r="U81" s="47" t="s">
        <v>737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7" customHeight="1" x14ac:dyDescent="0.25">
      <c r="A82" s="6">
        <v>82</v>
      </c>
      <c r="B82" s="11" t="s">
        <v>420</v>
      </c>
      <c r="C82" s="10" t="s">
        <v>785</v>
      </c>
      <c r="D82" s="55" t="s">
        <v>740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736</v>
      </c>
      <c r="L82" s="46" t="s">
        <v>710</v>
      </c>
      <c r="M82" s="47" t="s">
        <v>756</v>
      </c>
      <c r="N82" s="44" t="s">
        <v>1</v>
      </c>
      <c r="O82" s="12" t="s">
        <v>93</v>
      </c>
      <c r="P82" s="46" t="s">
        <v>711</v>
      </c>
      <c r="Q82" s="47" t="s">
        <v>737</v>
      </c>
      <c r="R82" s="46" t="s">
        <v>715</v>
      </c>
      <c r="S82" s="47" t="s">
        <v>737</v>
      </c>
      <c r="T82" s="46" t="s">
        <v>712</v>
      </c>
      <c r="U82" s="47" t="s">
        <v>737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7" customHeight="1" x14ac:dyDescent="0.25">
      <c r="A83" s="6">
        <v>83</v>
      </c>
      <c r="B83" s="11" t="s">
        <v>421</v>
      </c>
      <c r="C83" s="10" t="s">
        <v>785</v>
      </c>
      <c r="D83" s="55" t="s">
        <v>740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736</v>
      </c>
      <c r="L83" s="46" t="s">
        <v>710</v>
      </c>
      <c r="M83" s="47" t="s">
        <v>756</v>
      </c>
      <c r="N83" s="44" t="s">
        <v>1</v>
      </c>
      <c r="O83" s="12" t="s">
        <v>94</v>
      </c>
      <c r="P83" s="46" t="s">
        <v>711</v>
      </c>
      <c r="Q83" s="47" t="s">
        <v>737</v>
      </c>
      <c r="R83" s="46" t="s">
        <v>715</v>
      </c>
      <c r="S83" s="47" t="s">
        <v>737</v>
      </c>
      <c r="T83" s="46" t="s">
        <v>712</v>
      </c>
      <c r="U83" s="47" t="s">
        <v>737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7" customHeight="1" x14ac:dyDescent="0.25">
      <c r="A84" s="6">
        <v>84</v>
      </c>
      <c r="B84" s="11" t="s">
        <v>422</v>
      </c>
      <c r="C84" s="10" t="s">
        <v>785</v>
      </c>
      <c r="D84" s="55" t="s">
        <v>740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736</v>
      </c>
      <c r="L84" s="46" t="s">
        <v>710</v>
      </c>
      <c r="M84" s="47" t="s">
        <v>756</v>
      </c>
      <c r="N84" s="44" t="s">
        <v>1</v>
      </c>
      <c r="O84" s="12" t="s">
        <v>95</v>
      </c>
      <c r="P84" s="46" t="s">
        <v>711</v>
      </c>
      <c r="Q84" s="47" t="s">
        <v>737</v>
      </c>
      <c r="R84" s="46" t="s">
        <v>715</v>
      </c>
      <c r="S84" s="47" t="s">
        <v>737</v>
      </c>
      <c r="T84" s="46" t="s">
        <v>712</v>
      </c>
      <c r="U84" s="47" t="s">
        <v>737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7" customHeight="1" x14ac:dyDescent="0.25">
      <c r="A85" s="6">
        <v>85</v>
      </c>
      <c r="B85" s="11" t="s">
        <v>423</v>
      </c>
      <c r="C85" s="10" t="s">
        <v>785</v>
      </c>
      <c r="D85" s="55" t="s">
        <v>740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736</v>
      </c>
      <c r="L85" s="46" t="s">
        <v>710</v>
      </c>
      <c r="M85" s="47" t="s">
        <v>756</v>
      </c>
      <c r="N85" s="44" t="s">
        <v>1</v>
      </c>
      <c r="O85" s="12" t="s">
        <v>96</v>
      </c>
      <c r="P85" s="46" t="s">
        <v>711</v>
      </c>
      <c r="Q85" s="47" t="s">
        <v>737</v>
      </c>
      <c r="R85" s="46" t="s">
        <v>715</v>
      </c>
      <c r="S85" s="47" t="s">
        <v>737</v>
      </c>
      <c r="T85" s="46" t="s">
        <v>712</v>
      </c>
      <c r="U85" s="47" t="s">
        <v>737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7" customHeight="1" x14ac:dyDescent="0.25">
      <c r="A86" s="6">
        <v>86</v>
      </c>
      <c r="B86" s="11" t="s">
        <v>424</v>
      </c>
      <c r="C86" s="10" t="s">
        <v>785</v>
      </c>
      <c r="D86" s="55" t="s">
        <v>740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736</v>
      </c>
      <c r="L86" s="46" t="s">
        <v>710</v>
      </c>
      <c r="M86" s="47" t="s">
        <v>756</v>
      </c>
      <c r="N86" s="44" t="s">
        <v>1</v>
      </c>
      <c r="O86" s="12" t="s">
        <v>97</v>
      </c>
      <c r="P86" s="46" t="s">
        <v>711</v>
      </c>
      <c r="Q86" s="47" t="s">
        <v>737</v>
      </c>
      <c r="R86" s="46" t="s">
        <v>715</v>
      </c>
      <c r="S86" s="47" t="s">
        <v>737</v>
      </c>
      <c r="T86" s="46" t="s">
        <v>712</v>
      </c>
      <c r="U86" s="47" t="s">
        <v>737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7" customHeight="1" x14ac:dyDescent="0.25">
      <c r="A87" s="6">
        <v>87</v>
      </c>
      <c r="B87" s="11" t="s">
        <v>425</v>
      </c>
      <c r="C87" s="10" t="s">
        <v>785</v>
      </c>
      <c r="D87" s="55" t="s">
        <v>740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736</v>
      </c>
      <c r="L87" s="46" t="s">
        <v>710</v>
      </c>
      <c r="M87" s="47" t="s">
        <v>756</v>
      </c>
      <c r="N87" s="44" t="s">
        <v>1</v>
      </c>
      <c r="O87" s="12" t="s">
        <v>98</v>
      </c>
      <c r="P87" s="46" t="s">
        <v>711</v>
      </c>
      <c r="Q87" s="47" t="s">
        <v>737</v>
      </c>
      <c r="R87" s="46" t="s">
        <v>715</v>
      </c>
      <c r="S87" s="47" t="s">
        <v>737</v>
      </c>
      <c r="T87" s="46" t="s">
        <v>712</v>
      </c>
      <c r="U87" s="47" t="s">
        <v>737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7" customHeight="1" x14ac:dyDescent="0.25">
      <c r="A88" s="6">
        <v>88</v>
      </c>
      <c r="B88" s="11" t="s">
        <v>426</v>
      </c>
      <c r="C88" s="10" t="s">
        <v>785</v>
      </c>
      <c r="D88" s="55" t="s">
        <v>740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736</v>
      </c>
      <c r="L88" s="46" t="s">
        <v>710</v>
      </c>
      <c r="M88" s="47" t="s">
        <v>756</v>
      </c>
      <c r="N88" s="44" t="s">
        <v>1</v>
      </c>
      <c r="O88" s="12" t="s">
        <v>99</v>
      </c>
      <c r="P88" s="46" t="s">
        <v>711</v>
      </c>
      <c r="Q88" s="47" t="s">
        <v>737</v>
      </c>
      <c r="R88" s="46" t="s">
        <v>715</v>
      </c>
      <c r="S88" s="47" t="s">
        <v>737</v>
      </c>
      <c r="T88" s="46" t="s">
        <v>712</v>
      </c>
      <c r="U88" s="47" t="s">
        <v>737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7" customHeight="1" x14ac:dyDescent="0.25">
      <c r="A89" s="6">
        <v>89</v>
      </c>
      <c r="B89" s="11" t="s">
        <v>427</v>
      </c>
      <c r="C89" s="10" t="s">
        <v>786</v>
      </c>
      <c r="D89" s="55" t="s">
        <v>740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736</v>
      </c>
      <c r="L89" s="46" t="s">
        <v>710</v>
      </c>
      <c r="M89" s="47" t="s">
        <v>757</v>
      </c>
      <c r="N89" s="44" t="s">
        <v>1</v>
      </c>
      <c r="O89" s="12" t="s">
        <v>100</v>
      </c>
      <c r="P89" s="46" t="s">
        <v>711</v>
      </c>
      <c r="Q89" s="47" t="s">
        <v>737</v>
      </c>
      <c r="R89" s="46" t="s">
        <v>715</v>
      </c>
      <c r="S89" s="47" t="s">
        <v>737</v>
      </c>
      <c r="T89" s="46" t="s">
        <v>712</v>
      </c>
      <c r="U89" s="47" t="s">
        <v>737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7" customHeight="1" x14ac:dyDescent="0.25">
      <c r="A90" s="6">
        <v>90</v>
      </c>
      <c r="B90" s="11" t="s">
        <v>428</v>
      </c>
      <c r="C90" s="10" t="s">
        <v>786</v>
      </c>
      <c r="D90" s="55" t="s">
        <v>740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736</v>
      </c>
      <c r="L90" s="46" t="s">
        <v>710</v>
      </c>
      <c r="M90" s="47" t="s">
        <v>757</v>
      </c>
      <c r="N90" s="44" t="s">
        <v>1</v>
      </c>
      <c r="O90" s="12" t="s">
        <v>101</v>
      </c>
      <c r="P90" s="46" t="s">
        <v>711</v>
      </c>
      <c r="Q90" s="47" t="s">
        <v>737</v>
      </c>
      <c r="R90" s="46" t="s">
        <v>715</v>
      </c>
      <c r="S90" s="47" t="s">
        <v>737</v>
      </c>
      <c r="T90" s="46" t="s">
        <v>712</v>
      </c>
      <c r="U90" s="47" t="s">
        <v>737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7" customHeight="1" x14ac:dyDescent="0.25">
      <c r="A91" s="6">
        <v>91</v>
      </c>
      <c r="B91" s="11" t="s">
        <v>429</v>
      </c>
      <c r="C91" s="10" t="s">
        <v>786</v>
      </c>
      <c r="D91" s="55" t="s">
        <v>740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736</v>
      </c>
      <c r="L91" s="46" t="s">
        <v>710</v>
      </c>
      <c r="M91" s="47" t="s">
        <v>757</v>
      </c>
      <c r="N91" s="44" t="s">
        <v>1</v>
      </c>
      <c r="O91" s="12" t="s">
        <v>102</v>
      </c>
      <c r="P91" s="46" t="s">
        <v>711</v>
      </c>
      <c r="Q91" s="47" t="s">
        <v>737</v>
      </c>
      <c r="R91" s="46" t="s">
        <v>715</v>
      </c>
      <c r="S91" s="47" t="s">
        <v>737</v>
      </c>
      <c r="T91" s="46" t="s">
        <v>712</v>
      </c>
      <c r="U91" s="47" t="s">
        <v>737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7" customHeight="1" x14ac:dyDescent="0.25">
      <c r="A92" s="6">
        <v>92</v>
      </c>
      <c r="B92" s="11" t="s">
        <v>430</v>
      </c>
      <c r="C92" s="10" t="s">
        <v>786</v>
      </c>
      <c r="D92" s="55" t="s">
        <v>740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736</v>
      </c>
      <c r="L92" s="46" t="s">
        <v>710</v>
      </c>
      <c r="M92" s="47" t="s">
        <v>757</v>
      </c>
      <c r="N92" s="44" t="s">
        <v>1</v>
      </c>
      <c r="O92" s="12" t="s">
        <v>103</v>
      </c>
      <c r="P92" s="46" t="s">
        <v>711</v>
      </c>
      <c r="Q92" s="47" t="s">
        <v>737</v>
      </c>
      <c r="R92" s="46" t="s">
        <v>715</v>
      </c>
      <c r="S92" s="47" t="s">
        <v>737</v>
      </c>
      <c r="T92" s="46" t="s">
        <v>712</v>
      </c>
      <c r="U92" s="47" t="s">
        <v>737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7" customHeight="1" x14ac:dyDescent="0.25">
      <c r="A93" s="6">
        <v>93</v>
      </c>
      <c r="B93" s="11" t="s">
        <v>431</v>
      </c>
      <c r="C93" s="10" t="s">
        <v>786</v>
      </c>
      <c r="D93" s="55" t="s">
        <v>740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736</v>
      </c>
      <c r="L93" s="46" t="s">
        <v>710</v>
      </c>
      <c r="M93" s="47" t="s">
        <v>757</v>
      </c>
      <c r="N93" s="44" t="s">
        <v>1</v>
      </c>
      <c r="O93" s="12" t="s">
        <v>104</v>
      </c>
      <c r="P93" s="46" t="s">
        <v>711</v>
      </c>
      <c r="Q93" s="47" t="s">
        <v>737</v>
      </c>
      <c r="R93" s="46" t="s">
        <v>715</v>
      </c>
      <c r="S93" s="47" t="s">
        <v>737</v>
      </c>
      <c r="T93" s="46" t="s">
        <v>712</v>
      </c>
      <c r="U93" s="47" t="s">
        <v>737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7" customHeight="1" x14ac:dyDescent="0.25">
      <c r="A94" s="6">
        <v>94</v>
      </c>
      <c r="B94" s="11" t="s">
        <v>432</v>
      </c>
      <c r="C94" s="10" t="s">
        <v>786</v>
      </c>
      <c r="D94" s="55" t="s">
        <v>740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736</v>
      </c>
      <c r="L94" s="46" t="s">
        <v>710</v>
      </c>
      <c r="M94" s="47" t="s">
        <v>757</v>
      </c>
      <c r="N94" s="44" t="s">
        <v>1</v>
      </c>
      <c r="O94" s="12" t="s">
        <v>105</v>
      </c>
      <c r="P94" s="46" t="s">
        <v>711</v>
      </c>
      <c r="Q94" s="47" t="s">
        <v>737</v>
      </c>
      <c r="R94" s="46" t="s">
        <v>715</v>
      </c>
      <c r="S94" s="47" t="s">
        <v>737</v>
      </c>
      <c r="T94" s="46" t="s">
        <v>712</v>
      </c>
      <c r="U94" s="47" t="s">
        <v>737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7" customHeight="1" x14ac:dyDescent="0.25">
      <c r="A95" s="6">
        <v>95</v>
      </c>
      <c r="B95" s="11" t="s">
        <v>433</v>
      </c>
      <c r="C95" s="10" t="s">
        <v>786</v>
      </c>
      <c r="D95" s="55" t="s">
        <v>740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736</v>
      </c>
      <c r="L95" s="46" t="s">
        <v>710</v>
      </c>
      <c r="M95" s="47" t="s">
        <v>757</v>
      </c>
      <c r="N95" s="44" t="s">
        <v>1</v>
      </c>
      <c r="O95" s="12" t="s">
        <v>106</v>
      </c>
      <c r="P95" s="46" t="s">
        <v>711</v>
      </c>
      <c r="Q95" s="47" t="s">
        <v>737</v>
      </c>
      <c r="R95" s="46" t="s">
        <v>715</v>
      </c>
      <c r="S95" s="47" t="s">
        <v>737</v>
      </c>
      <c r="T95" s="46" t="s">
        <v>712</v>
      </c>
      <c r="U95" s="47" t="s">
        <v>737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7" customHeight="1" x14ac:dyDescent="0.25">
      <c r="A96" s="6">
        <v>96</v>
      </c>
      <c r="B96" s="11" t="s">
        <v>434</v>
      </c>
      <c r="C96" s="10" t="s">
        <v>786</v>
      </c>
      <c r="D96" s="55" t="s">
        <v>740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736</v>
      </c>
      <c r="L96" s="46" t="s">
        <v>710</v>
      </c>
      <c r="M96" s="47" t="s">
        <v>757</v>
      </c>
      <c r="N96" s="44" t="s">
        <v>1</v>
      </c>
      <c r="O96" s="12" t="s">
        <v>107</v>
      </c>
      <c r="P96" s="46" t="s">
        <v>711</v>
      </c>
      <c r="Q96" s="47" t="s">
        <v>737</v>
      </c>
      <c r="R96" s="46" t="s">
        <v>715</v>
      </c>
      <c r="S96" s="47" t="s">
        <v>737</v>
      </c>
      <c r="T96" s="46" t="s">
        <v>712</v>
      </c>
      <c r="U96" s="47" t="s">
        <v>737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7" customHeight="1" x14ac:dyDescent="0.25">
      <c r="A97" s="6">
        <v>97</v>
      </c>
      <c r="B97" s="11" t="s">
        <v>435</v>
      </c>
      <c r="C97" s="10" t="s">
        <v>787</v>
      </c>
      <c r="D97" s="55" t="s">
        <v>740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736</v>
      </c>
      <c r="L97" s="46" t="s">
        <v>710</v>
      </c>
      <c r="M97" s="47" t="s">
        <v>758</v>
      </c>
      <c r="N97" s="44" t="s">
        <v>1</v>
      </c>
      <c r="O97" s="12" t="s">
        <v>108</v>
      </c>
      <c r="P97" s="46" t="s">
        <v>711</v>
      </c>
      <c r="Q97" s="47" t="s">
        <v>737</v>
      </c>
      <c r="R97" s="46" t="s">
        <v>715</v>
      </c>
      <c r="S97" s="47" t="s">
        <v>737</v>
      </c>
      <c r="T97" s="46" t="s">
        <v>712</v>
      </c>
      <c r="U97" s="47" t="s">
        <v>737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7" customHeight="1" x14ac:dyDescent="0.25">
      <c r="A98" s="6">
        <v>98</v>
      </c>
      <c r="B98" s="11" t="s">
        <v>436</v>
      </c>
      <c r="C98" s="10" t="s">
        <v>787</v>
      </c>
      <c r="D98" s="55" t="s">
        <v>740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736</v>
      </c>
      <c r="L98" s="46" t="s">
        <v>710</v>
      </c>
      <c r="M98" s="47" t="s">
        <v>758</v>
      </c>
      <c r="N98" s="44" t="s">
        <v>1</v>
      </c>
      <c r="O98" s="12" t="s">
        <v>109</v>
      </c>
      <c r="P98" s="46" t="s">
        <v>711</v>
      </c>
      <c r="Q98" s="47" t="s">
        <v>737</v>
      </c>
      <c r="R98" s="46" t="s">
        <v>715</v>
      </c>
      <c r="S98" s="47" t="s">
        <v>737</v>
      </c>
      <c r="T98" s="46" t="s">
        <v>712</v>
      </c>
      <c r="U98" s="47" t="s">
        <v>737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7" customHeight="1" x14ac:dyDescent="0.25">
      <c r="A99" s="6">
        <v>99</v>
      </c>
      <c r="B99" s="11" t="s">
        <v>437</v>
      </c>
      <c r="C99" s="10" t="s">
        <v>787</v>
      </c>
      <c r="D99" s="55" t="s">
        <v>740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736</v>
      </c>
      <c r="L99" s="46" t="s">
        <v>710</v>
      </c>
      <c r="M99" s="47" t="s">
        <v>758</v>
      </c>
      <c r="N99" s="44" t="s">
        <v>1</v>
      </c>
      <c r="O99" s="12" t="s">
        <v>110</v>
      </c>
      <c r="P99" s="46" t="s">
        <v>711</v>
      </c>
      <c r="Q99" s="47" t="s">
        <v>737</v>
      </c>
      <c r="R99" s="46" t="s">
        <v>715</v>
      </c>
      <c r="S99" s="47" t="s">
        <v>737</v>
      </c>
      <c r="T99" s="46" t="s">
        <v>712</v>
      </c>
      <c r="U99" s="47" t="s">
        <v>737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7" customHeight="1" x14ac:dyDescent="0.25">
      <c r="A100" s="6">
        <v>100</v>
      </c>
      <c r="B100" s="11" t="s">
        <v>438</v>
      </c>
      <c r="C100" s="10" t="s">
        <v>787</v>
      </c>
      <c r="D100" s="55" t="s">
        <v>740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736</v>
      </c>
      <c r="L100" s="46" t="s">
        <v>710</v>
      </c>
      <c r="M100" s="47" t="s">
        <v>758</v>
      </c>
      <c r="N100" s="44" t="s">
        <v>1</v>
      </c>
      <c r="O100" s="12" t="s">
        <v>111</v>
      </c>
      <c r="P100" s="46" t="s">
        <v>711</v>
      </c>
      <c r="Q100" s="47" t="s">
        <v>737</v>
      </c>
      <c r="R100" s="46" t="s">
        <v>715</v>
      </c>
      <c r="S100" s="47" t="s">
        <v>737</v>
      </c>
      <c r="T100" s="46" t="s">
        <v>712</v>
      </c>
      <c r="U100" s="47" t="s">
        <v>737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7" customHeight="1" x14ac:dyDescent="0.25">
      <c r="A101" s="6">
        <v>101</v>
      </c>
      <c r="B101" s="11" t="s">
        <v>439</v>
      </c>
      <c r="C101" s="10" t="s">
        <v>787</v>
      </c>
      <c r="D101" s="55" t="s">
        <v>740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736</v>
      </c>
      <c r="L101" s="46" t="s">
        <v>710</v>
      </c>
      <c r="M101" s="47" t="s">
        <v>758</v>
      </c>
      <c r="N101" s="44" t="s">
        <v>1</v>
      </c>
      <c r="O101" s="12" t="s">
        <v>112</v>
      </c>
      <c r="P101" s="46" t="s">
        <v>711</v>
      </c>
      <c r="Q101" s="47" t="s">
        <v>737</v>
      </c>
      <c r="R101" s="46" t="s">
        <v>715</v>
      </c>
      <c r="S101" s="47" t="s">
        <v>737</v>
      </c>
      <c r="T101" s="46" t="s">
        <v>712</v>
      </c>
      <c r="U101" s="47" t="s">
        <v>737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7" customHeight="1" x14ac:dyDescent="0.25">
      <c r="A102" s="6">
        <v>102</v>
      </c>
      <c r="B102" s="11" t="s">
        <v>440</v>
      </c>
      <c r="C102" s="10" t="s">
        <v>787</v>
      </c>
      <c r="D102" s="55" t="s">
        <v>740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736</v>
      </c>
      <c r="L102" s="46" t="s">
        <v>710</v>
      </c>
      <c r="M102" s="47" t="s">
        <v>758</v>
      </c>
      <c r="N102" s="44" t="s">
        <v>1</v>
      </c>
      <c r="O102" s="12" t="s">
        <v>113</v>
      </c>
      <c r="P102" s="46" t="s">
        <v>711</v>
      </c>
      <c r="Q102" s="47" t="s">
        <v>737</v>
      </c>
      <c r="R102" s="46" t="s">
        <v>715</v>
      </c>
      <c r="S102" s="47" t="s">
        <v>737</v>
      </c>
      <c r="T102" s="46" t="s">
        <v>712</v>
      </c>
      <c r="U102" s="47" t="s">
        <v>737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7" customHeight="1" x14ac:dyDescent="0.25">
      <c r="A103" s="6">
        <v>103</v>
      </c>
      <c r="B103" s="11" t="s">
        <v>441</v>
      </c>
      <c r="C103" s="10" t="s">
        <v>787</v>
      </c>
      <c r="D103" s="55" t="s">
        <v>740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736</v>
      </c>
      <c r="L103" s="46" t="s">
        <v>710</v>
      </c>
      <c r="M103" s="47" t="s">
        <v>758</v>
      </c>
      <c r="N103" s="44" t="s">
        <v>1</v>
      </c>
      <c r="O103" s="12" t="s">
        <v>114</v>
      </c>
      <c r="P103" s="46" t="s">
        <v>711</v>
      </c>
      <c r="Q103" s="47" t="s">
        <v>737</v>
      </c>
      <c r="R103" s="46" t="s">
        <v>715</v>
      </c>
      <c r="S103" s="47" t="s">
        <v>737</v>
      </c>
      <c r="T103" s="46" t="s">
        <v>712</v>
      </c>
      <c r="U103" s="47" t="s">
        <v>737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7" customHeight="1" x14ac:dyDescent="0.25">
      <c r="A104" s="6">
        <v>104</v>
      </c>
      <c r="B104" s="11" t="s">
        <v>442</v>
      </c>
      <c r="C104" s="10" t="s">
        <v>787</v>
      </c>
      <c r="D104" s="55" t="s">
        <v>740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736</v>
      </c>
      <c r="L104" s="46" t="s">
        <v>710</v>
      </c>
      <c r="M104" s="47" t="s">
        <v>758</v>
      </c>
      <c r="N104" s="44" t="s">
        <v>1</v>
      </c>
      <c r="O104" s="12" t="s">
        <v>115</v>
      </c>
      <c r="P104" s="46" t="s">
        <v>711</v>
      </c>
      <c r="Q104" s="47" t="s">
        <v>737</v>
      </c>
      <c r="R104" s="46" t="s">
        <v>715</v>
      </c>
      <c r="S104" s="47" t="s">
        <v>737</v>
      </c>
      <c r="T104" s="46" t="s">
        <v>712</v>
      </c>
      <c r="U104" s="47" t="s">
        <v>737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7" customHeight="1" x14ac:dyDescent="0.25">
      <c r="A105" s="6">
        <v>105</v>
      </c>
      <c r="B105" s="11" t="s">
        <v>443</v>
      </c>
      <c r="C105" s="10" t="s">
        <v>787</v>
      </c>
      <c r="D105" s="55" t="s">
        <v>740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736</v>
      </c>
      <c r="L105" s="46" t="s">
        <v>710</v>
      </c>
      <c r="M105" s="47" t="s">
        <v>758</v>
      </c>
      <c r="N105" s="44" t="s">
        <v>1</v>
      </c>
      <c r="O105" s="12" t="s">
        <v>116</v>
      </c>
      <c r="P105" s="46" t="s">
        <v>711</v>
      </c>
      <c r="Q105" s="47" t="s">
        <v>737</v>
      </c>
      <c r="R105" s="46" t="s">
        <v>715</v>
      </c>
      <c r="S105" s="47" t="s">
        <v>737</v>
      </c>
      <c r="T105" s="46" t="s">
        <v>712</v>
      </c>
      <c r="U105" s="47" t="s">
        <v>737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7" customHeight="1" x14ac:dyDescent="0.25">
      <c r="A106" s="6">
        <v>106</v>
      </c>
      <c r="B106" s="11" t="s">
        <v>444</v>
      </c>
      <c r="C106" s="10" t="s">
        <v>787</v>
      </c>
      <c r="D106" s="55" t="s">
        <v>740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736</v>
      </c>
      <c r="L106" s="46" t="s">
        <v>710</v>
      </c>
      <c r="M106" s="47" t="s">
        <v>758</v>
      </c>
      <c r="N106" s="44" t="s">
        <v>1</v>
      </c>
      <c r="O106" s="12" t="s">
        <v>117</v>
      </c>
      <c r="P106" s="46" t="s">
        <v>711</v>
      </c>
      <c r="Q106" s="47" t="s">
        <v>737</v>
      </c>
      <c r="R106" s="46" t="s">
        <v>715</v>
      </c>
      <c r="S106" s="47" t="s">
        <v>737</v>
      </c>
      <c r="T106" s="46" t="s">
        <v>712</v>
      </c>
      <c r="U106" s="47" t="s">
        <v>737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7" customHeight="1" x14ac:dyDescent="0.25">
      <c r="A107" s="6">
        <v>107</v>
      </c>
      <c r="B107" s="11" t="s">
        <v>445</v>
      </c>
      <c r="C107" s="10" t="s">
        <v>787</v>
      </c>
      <c r="D107" s="55" t="s">
        <v>740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736</v>
      </c>
      <c r="L107" s="46" t="s">
        <v>710</v>
      </c>
      <c r="M107" s="47" t="s">
        <v>758</v>
      </c>
      <c r="N107" s="44" t="s">
        <v>1</v>
      </c>
      <c r="O107" s="12" t="s">
        <v>118</v>
      </c>
      <c r="P107" s="46" t="s">
        <v>711</v>
      </c>
      <c r="Q107" s="47" t="s">
        <v>737</v>
      </c>
      <c r="R107" s="46" t="s">
        <v>715</v>
      </c>
      <c r="S107" s="47" t="s">
        <v>737</v>
      </c>
      <c r="T107" s="46" t="s">
        <v>712</v>
      </c>
      <c r="U107" s="47" t="s">
        <v>737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7" customHeight="1" x14ac:dyDescent="0.25">
      <c r="A108" s="6">
        <v>108</v>
      </c>
      <c r="B108" s="11" t="s">
        <v>446</v>
      </c>
      <c r="C108" s="10" t="s">
        <v>788</v>
      </c>
      <c r="D108" s="55" t="s">
        <v>740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736</v>
      </c>
      <c r="L108" s="46" t="s">
        <v>710</v>
      </c>
      <c r="M108" s="47" t="s">
        <v>759</v>
      </c>
      <c r="N108" s="44" t="s">
        <v>1</v>
      </c>
      <c r="O108" s="12" t="s">
        <v>119</v>
      </c>
      <c r="P108" s="46" t="s">
        <v>711</v>
      </c>
      <c r="Q108" s="47" t="s">
        <v>737</v>
      </c>
      <c r="R108" s="46" t="s">
        <v>715</v>
      </c>
      <c r="S108" s="47" t="s">
        <v>737</v>
      </c>
      <c r="T108" s="46" t="s">
        <v>712</v>
      </c>
      <c r="U108" s="47" t="s">
        <v>737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7" customHeight="1" x14ac:dyDescent="0.25">
      <c r="A109" s="6">
        <v>109</v>
      </c>
      <c r="B109" s="11" t="s">
        <v>447</v>
      </c>
      <c r="C109" s="10" t="s">
        <v>788</v>
      </c>
      <c r="D109" s="55" t="s">
        <v>740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736</v>
      </c>
      <c r="L109" s="46" t="s">
        <v>710</v>
      </c>
      <c r="M109" s="47" t="s">
        <v>759</v>
      </c>
      <c r="N109" s="44" t="s">
        <v>1</v>
      </c>
      <c r="O109" s="12" t="s">
        <v>120</v>
      </c>
      <c r="P109" s="46" t="s">
        <v>711</v>
      </c>
      <c r="Q109" s="47" t="s">
        <v>737</v>
      </c>
      <c r="R109" s="46" t="s">
        <v>715</v>
      </c>
      <c r="S109" s="47" t="s">
        <v>737</v>
      </c>
      <c r="T109" s="46" t="s">
        <v>712</v>
      </c>
      <c r="U109" s="47" t="s">
        <v>737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7" customHeight="1" x14ac:dyDescent="0.25">
      <c r="A110" s="6">
        <v>110</v>
      </c>
      <c r="B110" s="11" t="s">
        <v>448</v>
      </c>
      <c r="C110" s="10" t="s">
        <v>788</v>
      </c>
      <c r="D110" s="55" t="s">
        <v>740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736</v>
      </c>
      <c r="L110" s="46" t="s">
        <v>710</v>
      </c>
      <c r="M110" s="47" t="s">
        <v>759</v>
      </c>
      <c r="N110" s="44" t="s">
        <v>1</v>
      </c>
      <c r="O110" s="12" t="s">
        <v>121</v>
      </c>
      <c r="P110" s="46" t="s">
        <v>711</v>
      </c>
      <c r="Q110" s="47" t="s">
        <v>737</v>
      </c>
      <c r="R110" s="46" t="s">
        <v>715</v>
      </c>
      <c r="S110" s="47" t="s">
        <v>737</v>
      </c>
      <c r="T110" s="46" t="s">
        <v>712</v>
      </c>
      <c r="U110" s="47" t="s">
        <v>737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7" customHeight="1" x14ac:dyDescent="0.25">
      <c r="A111" s="6">
        <v>111</v>
      </c>
      <c r="B111" s="11" t="s">
        <v>449</v>
      </c>
      <c r="C111" s="10" t="s">
        <v>788</v>
      </c>
      <c r="D111" s="55" t="s">
        <v>740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736</v>
      </c>
      <c r="L111" s="46" t="s">
        <v>710</v>
      </c>
      <c r="M111" s="47" t="s">
        <v>759</v>
      </c>
      <c r="N111" s="44" t="s">
        <v>1</v>
      </c>
      <c r="O111" s="12" t="s">
        <v>122</v>
      </c>
      <c r="P111" s="46" t="s">
        <v>711</v>
      </c>
      <c r="Q111" s="47" t="s">
        <v>737</v>
      </c>
      <c r="R111" s="46" t="s">
        <v>715</v>
      </c>
      <c r="S111" s="47" t="s">
        <v>737</v>
      </c>
      <c r="T111" s="46" t="s">
        <v>712</v>
      </c>
      <c r="U111" s="47" t="s">
        <v>737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7" customHeight="1" x14ac:dyDescent="0.25">
      <c r="A112" s="6">
        <v>112</v>
      </c>
      <c r="B112" s="11" t="s">
        <v>450</v>
      </c>
      <c r="C112" s="10" t="s">
        <v>788</v>
      </c>
      <c r="D112" s="55" t="s">
        <v>740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736</v>
      </c>
      <c r="L112" s="46" t="s">
        <v>710</v>
      </c>
      <c r="M112" s="47" t="s">
        <v>759</v>
      </c>
      <c r="N112" s="44" t="s">
        <v>1</v>
      </c>
      <c r="O112" s="12" t="s">
        <v>123</v>
      </c>
      <c r="P112" s="46" t="s">
        <v>711</v>
      </c>
      <c r="Q112" s="47" t="s">
        <v>737</v>
      </c>
      <c r="R112" s="46" t="s">
        <v>715</v>
      </c>
      <c r="S112" s="47" t="s">
        <v>737</v>
      </c>
      <c r="T112" s="46" t="s">
        <v>712</v>
      </c>
      <c r="U112" s="47" t="s">
        <v>737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7" customHeight="1" x14ac:dyDescent="0.25">
      <c r="A113" s="6">
        <v>113</v>
      </c>
      <c r="B113" s="11" t="s">
        <v>451</v>
      </c>
      <c r="C113" s="10" t="s">
        <v>788</v>
      </c>
      <c r="D113" s="55" t="s">
        <v>740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736</v>
      </c>
      <c r="L113" s="46" t="s">
        <v>710</v>
      </c>
      <c r="M113" s="47" t="s">
        <v>759</v>
      </c>
      <c r="N113" s="44" t="s">
        <v>1</v>
      </c>
      <c r="O113" s="12" t="s">
        <v>124</v>
      </c>
      <c r="P113" s="46" t="s">
        <v>711</v>
      </c>
      <c r="Q113" s="47" t="s">
        <v>737</v>
      </c>
      <c r="R113" s="46" t="s">
        <v>715</v>
      </c>
      <c r="S113" s="47" t="s">
        <v>737</v>
      </c>
      <c r="T113" s="46" t="s">
        <v>712</v>
      </c>
      <c r="U113" s="47" t="s">
        <v>737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7" customHeight="1" x14ac:dyDescent="0.25">
      <c r="A114" s="6">
        <v>114</v>
      </c>
      <c r="B114" s="11" t="s">
        <v>452</v>
      </c>
      <c r="C114" s="10" t="s">
        <v>788</v>
      </c>
      <c r="D114" s="55" t="s">
        <v>740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736</v>
      </c>
      <c r="L114" s="46" t="s">
        <v>710</v>
      </c>
      <c r="M114" s="47" t="s">
        <v>759</v>
      </c>
      <c r="N114" s="44" t="s">
        <v>1</v>
      </c>
      <c r="O114" s="12" t="s">
        <v>125</v>
      </c>
      <c r="P114" s="46" t="s">
        <v>711</v>
      </c>
      <c r="Q114" s="47" t="s">
        <v>737</v>
      </c>
      <c r="R114" s="46" t="s">
        <v>715</v>
      </c>
      <c r="S114" s="47" t="s">
        <v>737</v>
      </c>
      <c r="T114" s="46" t="s">
        <v>712</v>
      </c>
      <c r="U114" s="47" t="s">
        <v>737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7" customHeight="1" x14ac:dyDescent="0.25">
      <c r="A115" s="6">
        <v>115</v>
      </c>
      <c r="B115" s="11" t="s">
        <v>453</v>
      </c>
      <c r="C115" s="10" t="s">
        <v>789</v>
      </c>
      <c r="D115" s="55" t="s">
        <v>740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736</v>
      </c>
      <c r="L115" s="46" t="s">
        <v>710</v>
      </c>
      <c r="M115" s="47" t="s">
        <v>760</v>
      </c>
      <c r="N115" s="44" t="s">
        <v>1</v>
      </c>
      <c r="O115" s="12" t="s">
        <v>126</v>
      </c>
      <c r="P115" s="46" t="s">
        <v>711</v>
      </c>
      <c r="Q115" s="47" t="s">
        <v>737</v>
      </c>
      <c r="R115" s="46" t="s">
        <v>715</v>
      </c>
      <c r="S115" s="47" t="s">
        <v>737</v>
      </c>
      <c r="T115" s="46" t="s">
        <v>712</v>
      </c>
      <c r="U115" s="47" t="s">
        <v>737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7" customHeight="1" x14ac:dyDescent="0.25">
      <c r="A116" s="6">
        <v>116</v>
      </c>
      <c r="B116" s="11" t="s">
        <v>454</v>
      </c>
      <c r="C116" s="10" t="s">
        <v>789</v>
      </c>
      <c r="D116" s="55" t="s">
        <v>740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736</v>
      </c>
      <c r="L116" s="46" t="s">
        <v>710</v>
      </c>
      <c r="M116" s="47" t="s">
        <v>760</v>
      </c>
      <c r="N116" s="44" t="s">
        <v>1</v>
      </c>
      <c r="O116" s="12" t="s">
        <v>127</v>
      </c>
      <c r="P116" s="46" t="s">
        <v>711</v>
      </c>
      <c r="Q116" s="47" t="s">
        <v>737</v>
      </c>
      <c r="R116" s="46" t="s">
        <v>715</v>
      </c>
      <c r="S116" s="47" t="s">
        <v>737</v>
      </c>
      <c r="T116" s="46" t="s">
        <v>712</v>
      </c>
      <c r="U116" s="47" t="s">
        <v>737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7" customHeight="1" x14ac:dyDescent="0.25">
      <c r="A117" s="6">
        <v>117</v>
      </c>
      <c r="B117" s="11" t="s">
        <v>455</v>
      </c>
      <c r="C117" s="10" t="s">
        <v>789</v>
      </c>
      <c r="D117" s="55" t="s">
        <v>740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736</v>
      </c>
      <c r="L117" s="46" t="s">
        <v>710</v>
      </c>
      <c r="M117" s="47" t="s">
        <v>760</v>
      </c>
      <c r="N117" s="44" t="s">
        <v>1</v>
      </c>
      <c r="O117" s="12" t="s">
        <v>128</v>
      </c>
      <c r="P117" s="46" t="s">
        <v>711</v>
      </c>
      <c r="Q117" s="47" t="s">
        <v>737</v>
      </c>
      <c r="R117" s="46" t="s">
        <v>715</v>
      </c>
      <c r="S117" s="47" t="s">
        <v>737</v>
      </c>
      <c r="T117" s="46" t="s">
        <v>712</v>
      </c>
      <c r="U117" s="47" t="s">
        <v>737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7" customHeight="1" x14ac:dyDescent="0.25">
      <c r="A118" s="6">
        <v>118</v>
      </c>
      <c r="B118" s="11" t="s">
        <v>456</v>
      </c>
      <c r="C118" s="10" t="s">
        <v>789</v>
      </c>
      <c r="D118" s="55" t="s">
        <v>740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736</v>
      </c>
      <c r="L118" s="46" t="s">
        <v>710</v>
      </c>
      <c r="M118" s="47" t="s">
        <v>760</v>
      </c>
      <c r="N118" s="44" t="s">
        <v>1</v>
      </c>
      <c r="O118" s="12" t="s">
        <v>129</v>
      </c>
      <c r="P118" s="46" t="s">
        <v>711</v>
      </c>
      <c r="Q118" s="47" t="s">
        <v>737</v>
      </c>
      <c r="R118" s="46" t="s">
        <v>715</v>
      </c>
      <c r="S118" s="47" t="s">
        <v>737</v>
      </c>
      <c r="T118" s="46" t="s">
        <v>712</v>
      </c>
      <c r="U118" s="47" t="s">
        <v>737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7" customHeight="1" x14ac:dyDescent="0.25">
      <c r="A119" s="6">
        <v>119</v>
      </c>
      <c r="B119" s="11" t="s">
        <v>457</v>
      </c>
      <c r="C119" s="10" t="s">
        <v>789</v>
      </c>
      <c r="D119" s="55" t="s">
        <v>740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736</v>
      </c>
      <c r="L119" s="46" t="s">
        <v>710</v>
      </c>
      <c r="M119" s="47" t="s">
        <v>760</v>
      </c>
      <c r="N119" s="44" t="s">
        <v>1</v>
      </c>
      <c r="O119" s="12" t="s">
        <v>130</v>
      </c>
      <c r="P119" s="46" t="s">
        <v>711</v>
      </c>
      <c r="Q119" s="47" t="s">
        <v>737</v>
      </c>
      <c r="R119" s="46" t="s">
        <v>715</v>
      </c>
      <c r="S119" s="47" t="s">
        <v>737</v>
      </c>
      <c r="T119" s="46" t="s">
        <v>712</v>
      </c>
      <c r="U119" s="47" t="s">
        <v>737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7" customHeight="1" x14ac:dyDescent="0.25">
      <c r="A120" s="6">
        <v>120</v>
      </c>
      <c r="B120" s="11" t="s">
        <v>458</v>
      </c>
      <c r="C120" s="10" t="s">
        <v>789</v>
      </c>
      <c r="D120" s="55" t="s">
        <v>740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736</v>
      </c>
      <c r="L120" s="46" t="s">
        <v>710</v>
      </c>
      <c r="M120" s="47" t="s">
        <v>760</v>
      </c>
      <c r="N120" s="44" t="s">
        <v>1</v>
      </c>
      <c r="O120" s="12" t="s">
        <v>131</v>
      </c>
      <c r="P120" s="46" t="s">
        <v>711</v>
      </c>
      <c r="Q120" s="47" t="s">
        <v>737</v>
      </c>
      <c r="R120" s="46" t="s">
        <v>715</v>
      </c>
      <c r="S120" s="47" t="s">
        <v>737</v>
      </c>
      <c r="T120" s="46" t="s">
        <v>712</v>
      </c>
      <c r="U120" s="47" t="s">
        <v>737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7" customHeight="1" x14ac:dyDescent="0.25">
      <c r="A121" s="6">
        <v>121</v>
      </c>
      <c r="B121" s="11" t="s">
        <v>459</v>
      </c>
      <c r="C121" s="10" t="s">
        <v>789</v>
      </c>
      <c r="D121" s="55" t="s">
        <v>740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736</v>
      </c>
      <c r="L121" s="46" t="s">
        <v>710</v>
      </c>
      <c r="M121" s="47" t="s">
        <v>760</v>
      </c>
      <c r="N121" s="44" t="s">
        <v>1</v>
      </c>
      <c r="O121" s="12" t="s">
        <v>132</v>
      </c>
      <c r="P121" s="46" t="s">
        <v>711</v>
      </c>
      <c r="Q121" s="47" t="s">
        <v>737</v>
      </c>
      <c r="R121" s="46" t="s">
        <v>715</v>
      </c>
      <c r="S121" s="47" t="s">
        <v>737</v>
      </c>
      <c r="T121" s="46" t="s">
        <v>712</v>
      </c>
      <c r="U121" s="47" t="s">
        <v>737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7" customHeight="1" x14ac:dyDescent="0.25">
      <c r="A122" s="6">
        <v>122</v>
      </c>
      <c r="B122" s="11" t="s">
        <v>460</v>
      </c>
      <c r="C122" s="10" t="s">
        <v>789</v>
      </c>
      <c r="D122" s="55" t="s">
        <v>740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736</v>
      </c>
      <c r="L122" s="46" t="s">
        <v>710</v>
      </c>
      <c r="M122" s="47" t="s">
        <v>760</v>
      </c>
      <c r="N122" s="44" t="s">
        <v>1</v>
      </c>
      <c r="O122" s="12" t="s">
        <v>133</v>
      </c>
      <c r="P122" s="46" t="s">
        <v>711</v>
      </c>
      <c r="Q122" s="47" t="s">
        <v>737</v>
      </c>
      <c r="R122" s="46" t="s">
        <v>715</v>
      </c>
      <c r="S122" s="47" t="s">
        <v>737</v>
      </c>
      <c r="T122" s="46" t="s">
        <v>712</v>
      </c>
      <c r="U122" s="47" t="s">
        <v>737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7" customHeight="1" x14ac:dyDescent="0.25">
      <c r="A123" s="6">
        <v>123</v>
      </c>
      <c r="B123" s="11" t="s">
        <v>461</v>
      </c>
      <c r="C123" s="10" t="s">
        <v>789</v>
      </c>
      <c r="D123" s="55" t="s">
        <v>740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736</v>
      </c>
      <c r="L123" s="46" t="s">
        <v>710</v>
      </c>
      <c r="M123" s="47" t="s">
        <v>760</v>
      </c>
      <c r="N123" s="44" t="s">
        <v>1</v>
      </c>
      <c r="O123" s="12" t="s">
        <v>134</v>
      </c>
      <c r="P123" s="46" t="s">
        <v>711</v>
      </c>
      <c r="Q123" s="47" t="s">
        <v>737</v>
      </c>
      <c r="R123" s="46" t="s">
        <v>715</v>
      </c>
      <c r="S123" s="47" t="s">
        <v>737</v>
      </c>
      <c r="T123" s="46" t="s">
        <v>712</v>
      </c>
      <c r="U123" s="47" t="s">
        <v>737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7" customHeight="1" x14ac:dyDescent="0.25">
      <c r="A124" s="6">
        <v>124</v>
      </c>
      <c r="B124" s="11" t="s">
        <v>462</v>
      </c>
      <c r="C124" s="10" t="s">
        <v>789</v>
      </c>
      <c r="D124" s="55" t="s">
        <v>740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736</v>
      </c>
      <c r="L124" s="46" t="s">
        <v>710</v>
      </c>
      <c r="M124" s="47" t="s">
        <v>760</v>
      </c>
      <c r="N124" s="44" t="s">
        <v>1</v>
      </c>
      <c r="O124" s="12" t="s">
        <v>135</v>
      </c>
      <c r="P124" s="46" t="s">
        <v>711</v>
      </c>
      <c r="Q124" s="47" t="s">
        <v>737</v>
      </c>
      <c r="R124" s="46" t="s">
        <v>715</v>
      </c>
      <c r="S124" s="47" t="s">
        <v>737</v>
      </c>
      <c r="T124" s="46" t="s">
        <v>712</v>
      </c>
      <c r="U124" s="47" t="s">
        <v>737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7" customHeight="1" x14ac:dyDescent="0.25">
      <c r="A125" s="6">
        <v>125</v>
      </c>
      <c r="B125" s="11" t="s">
        <v>463</v>
      </c>
      <c r="C125" s="10" t="s">
        <v>789</v>
      </c>
      <c r="D125" s="55" t="s">
        <v>740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736</v>
      </c>
      <c r="L125" s="46" t="s">
        <v>710</v>
      </c>
      <c r="M125" s="47" t="s">
        <v>760</v>
      </c>
      <c r="N125" s="44" t="s">
        <v>1</v>
      </c>
      <c r="O125" s="12" t="s">
        <v>136</v>
      </c>
      <c r="P125" s="46" t="s">
        <v>711</v>
      </c>
      <c r="Q125" s="47" t="s">
        <v>737</v>
      </c>
      <c r="R125" s="46" t="s">
        <v>715</v>
      </c>
      <c r="S125" s="47" t="s">
        <v>737</v>
      </c>
      <c r="T125" s="46" t="s">
        <v>712</v>
      </c>
      <c r="U125" s="47" t="s">
        <v>737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7" customHeight="1" x14ac:dyDescent="0.25">
      <c r="A126" s="6">
        <v>126</v>
      </c>
      <c r="B126" s="11" t="s">
        <v>464</v>
      </c>
      <c r="C126" s="10" t="s">
        <v>789</v>
      </c>
      <c r="D126" s="55" t="s">
        <v>740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736</v>
      </c>
      <c r="L126" s="46" t="s">
        <v>710</v>
      </c>
      <c r="M126" s="47" t="s">
        <v>760</v>
      </c>
      <c r="N126" s="44" t="s">
        <v>1</v>
      </c>
      <c r="O126" s="12" t="s">
        <v>137</v>
      </c>
      <c r="P126" s="46" t="s">
        <v>711</v>
      </c>
      <c r="Q126" s="47" t="s">
        <v>737</v>
      </c>
      <c r="R126" s="46" t="s">
        <v>715</v>
      </c>
      <c r="S126" s="47" t="s">
        <v>737</v>
      </c>
      <c r="T126" s="46" t="s">
        <v>712</v>
      </c>
      <c r="U126" s="47" t="s">
        <v>737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7" customHeight="1" x14ac:dyDescent="0.25">
      <c r="A127" s="6">
        <v>127</v>
      </c>
      <c r="B127" s="11" t="s">
        <v>465</v>
      </c>
      <c r="C127" s="10" t="s">
        <v>789</v>
      </c>
      <c r="D127" s="55" t="s">
        <v>740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736</v>
      </c>
      <c r="L127" s="46" t="s">
        <v>710</v>
      </c>
      <c r="M127" s="47" t="s">
        <v>760</v>
      </c>
      <c r="N127" s="44" t="s">
        <v>1</v>
      </c>
      <c r="O127" s="12" t="s">
        <v>138</v>
      </c>
      <c r="P127" s="46" t="s">
        <v>711</v>
      </c>
      <c r="Q127" s="47" t="s">
        <v>737</v>
      </c>
      <c r="R127" s="46" t="s">
        <v>715</v>
      </c>
      <c r="S127" s="47" t="s">
        <v>737</v>
      </c>
      <c r="T127" s="46" t="s">
        <v>712</v>
      </c>
      <c r="U127" s="47" t="s">
        <v>737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7" customHeight="1" x14ac:dyDescent="0.25">
      <c r="A128" s="6">
        <v>128</v>
      </c>
      <c r="B128" s="11" t="s">
        <v>466</v>
      </c>
      <c r="C128" s="10" t="s">
        <v>789</v>
      </c>
      <c r="D128" s="55" t="s">
        <v>740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736</v>
      </c>
      <c r="L128" s="46" t="s">
        <v>710</v>
      </c>
      <c r="M128" s="47" t="s">
        <v>760</v>
      </c>
      <c r="N128" s="44" t="s">
        <v>1</v>
      </c>
      <c r="O128" s="12" t="s">
        <v>139</v>
      </c>
      <c r="P128" s="46" t="s">
        <v>711</v>
      </c>
      <c r="Q128" s="47" t="s">
        <v>737</v>
      </c>
      <c r="R128" s="46" t="s">
        <v>715</v>
      </c>
      <c r="S128" s="47" t="s">
        <v>737</v>
      </c>
      <c r="T128" s="46" t="s">
        <v>712</v>
      </c>
      <c r="U128" s="47" t="s">
        <v>737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7" customHeight="1" x14ac:dyDescent="0.25">
      <c r="A129" s="6">
        <v>129</v>
      </c>
      <c r="B129" s="11" t="s">
        <v>467</v>
      </c>
      <c r="C129" s="10" t="s">
        <v>790</v>
      </c>
      <c r="D129" s="55" t="s">
        <v>740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736</v>
      </c>
      <c r="L129" s="46" t="s">
        <v>710</v>
      </c>
      <c r="M129" s="47" t="s">
        <v>761</v>
      </c>
      <c r="N129" s="44" t="s">
        <v>1</v>
      </c>
      <c r="O129" s="12" t="s">
        <v>140</v>
      </c>
      <c r="P129" s="46" t="s">
        <v>711</v>
      </c>
      <c r="Q129" s="47" t="s">
        <v>737</v>
      </c>
      <c r="R129" s="46" t="s">
        <v>715</v>
      </c>
      <c r="S129" s="47" t="s">
        <v>737</v>
      </c>
      <c r="T129" s="46" t="s">
        <v>712</v>
      </c>
      <c r="U129" s="47" t="s">
        <v>737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7" customHeight="1" x14ac:dyDescent="0.25">
      <c r="A130" s="6">
        <v>130</v>
      </c>
      <c r="B130" s="11" t="s">
        <v>468</v>
      </c>
      <c r="C130" s="10" t="s">
        <v>790</v>
      </c>
      <c r="D130" s="55" t="s">
        <v>740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736</v>
      </c>
      <c r="L130" s="46" t="s">
        <v>710</v>
      </c>
      <c r="M130" s="47" t="s">
        <v>761</v>
      </c>
      <c r="N130" s="44" t="s">
        <v>1</v>
      </c>
      <c r="O130" s="12" t="s">
        <v>141</v>
      </c>
      <c r="P130" s="46" t="s">
        <v>711</v>
      </c>
      <c r="Q130" s="47" t="s">
        <v>737</v>
      </c>
      <c r="R130" s="46" t="s">
        <v>715</v>
      </c>
      <c r="S130" s="47" t="s">
        <v>737</v>
      </c>
      <c r="T130" s="46" t="s">
        <v>712</v>
      </c>
      <c r="U130" s="47" t="s">
        <v>737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7" customHeight="1" x14ac:dyDescent="0.25">
      <c r="A131" s="6">
        <v>131</v>
      </c>
      <c r="B131" s="11" t="s">
        <v>469</v>
      </c>
      <c r="C131" s="10" t="s">
        <v>790</v>
      </c>
      <c r="D131" s="55" t="s">
        <v>740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736</v>
      </c>
      <c r="L131" s="46" t="s">
        <v>710</v>
      </c>
      <c r="M131" s="47" t="s">
        <v>761</v>
      </c>
      <c r="N131" s="44" t="s">
        <v>1</v>
      </c>
      <c r="O131" s="12" t="s">
        <v>142</v>
      </c>
      <c r="P131" s="46" t="s">
        <v>711</v>
      </c>
      <c r="Q131" s="47" t="s">
        <v>737</v>
      </c>
      <c r="R131" s="46" t="s">
        <v>715</v>
      </c>
      <c r="S131" s="47" t="s">
        <v>737</v>
      </c>
      <c r="T131" s="46" t="s">
        <v>712</v>
      </c>
      <c r="U131" s="47" t="s">
        <v>737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7" customHeight="1" x14ac:dyDescent="0.25">
      <c r="A132" s="6">
        <v>132</v>
      </c>
      <c r="B132" s="11" t="s">
        <v>470</v>
      </c>
      <c r="C132" s="10" t="s">
        <v>790</v>
      </c>
      <c r="D132" s="55" t="s">
        <v>740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736</v>
      </c>
      <c r="L132" s="46" t="s">
        <v>710</v>
      </c>
      <c r="M132" s="47" t="s">
        <v>761</v>
      </c>
      <c r="N132" s="44" t="s">
        <v>1</v>
      </c>
      <c r="O132" s="12" t="s">
        <v>143</v>
      </c>
      <c r="P132" s="46" t="s">
        <v>711</v>
      </c>
      <c r="Q132" s="47" t="s">
        <v>737</v>
      </c>
      <c r="R132" s="46" t="s">
        <v>715</v>
      </c>
      <c r="S132" s="47" t="s">
        <v>737</v>
      </c>
      <c r="T132" s="46" t="s">
        <v>712</v>
      </c>
      <c r="U132" s="47" t="s">
        <v>737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7" customHeight="1" x14ac:dyDescent="0.25">
      <c r="A133" s="6">
        <v>133</v>
      </c>
      <c r="B133" s="11" t="s">
        <v>471</v>
      </c>
      <c r="C133" s="10" t="s">
        <v>790</v>
      </c>
      <c r="D133" s="55" t="s">
        <v>740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736</v>
      </c>
      <c r="L133" s="46" t="s">
        <v>710</v>
      </c>
      <c r="M133" s="47" t="s">
        <v>761</v>
      </c>
      <c r="N133" s="44" t="s">
        <v>1</v>
      </c>
      <c r="O133" s="12" t="s">
        <v>144</v>
      </c>
      <c r="P133" s="46" t="s">
        <v>711</v>
      </c>
      <c r="Q133" s="47" t="s">
        <v>737</v>
      </c>
      <c r="R133" s="46" t="s">
        <v>715</v>
      </c>
      <c r="S133" s="47" t="s">
        <v>737</v>
      </c>
      <c r="T133" s="46" t="s">
        <v>712</v>
      </c>
      <c r="U133" s="47" t="s">
        <v>737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7" customHeight="1" x14ac:dyDescent="0.25">
      <c r="A134" s="6">
        <v>134</v>
      </c>
      <c r="B134" s="11" t="s">
        <v>472</v>
      </c>
      <c r="C134" s="10" t="s">
        <v>790</v>
      </c>
      <c r="D134" s="55" t="s">
        <v>740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736</v>
      </c>
      <c r="L134" s="46" t="s">
        <v>710</v>
      </c>
      <c r="M134" s="47" t="s">
        <v>761</v>
      </c>
      <c r="N134" s="44" t="s">
        <v>1</v>
      </c>
      <c r="O134" s="12" t="s">
        <v>145</v>
      </c>
      <c r="P134" s="46" t="s">
        <v>711</v>
      </c>
      <c r="Q134" s="47" t="s">
        <v>737</v>
      </c>
      <c r="R134" s="46" t="s">
        <v>715</v>
      </c>
      <c r="S134" s="47" t="s">
        <v>737</v>
      </c>
      <c r="T134" s="46" t="s">
        <v>712</v>
      </c>
      <c r="U134" s="47" t="s">
        <v>737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7" customHeight="1" x14ac:dyDescent="0.25">
      <c r="A135" s="6">
        <v>135</v>
      </c>
      <c r="B135" s="11" t="s">
        <v>473</v>
      </c>
      <c r="C135" s="10" t="s">
        <v>790</v>
      </c>
      <c r="D135" s="55" t="s">
        <v>740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736</v>
      </c>
      <c r="L135" s="46" t="s">
        <v>710</v>
      </c>
      <c r="M135" s="47" t="s">
        <v>761</v>
      </c>
      <c r="N135" s="44" t="s">
        <v>1</v>
      </c>
      <c r="O135" s="12" t="s">
        <v>146</v>
      </c>
      <c r="P135" s="46" t="s">
        <v>711</v>
      </c>
      <c r="Q135" s="47" t="s">
        <v>737</v>
      </c>
      <c r="R135" s="46" t="s">
        <v>715</v>
      </c>
      <c r="S135" s="47" t="s">
        <v>737</v>
      </c>
      <c r="T135" s="46" t="s">
        <v>712</v>
      </c>
      <c r="U135" s="47" t="s">
        <v>737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7" customHeight="1" x14ac:dyDescent="0.25">
      <c r="A136" s="6">
        <v>136</v>
      </c>
      <c r="B136" s="11" t="s">
        <v>474</v>
      </c>
      <c r="C136" s="10" t="s">
        <v>790</v>
      </c>
      <c r="D136" s="55" t="s">
        <v>740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736</v>
      </c>
      <c r="L136" s="46" t="s">
        <v>710</v>
      </c>
      <c r="M136" s="47" t="s">
        <v>761</v>
      </c>
      <c r="N136" s="44" t="s">
        <v>1</v>
      </c>
      <c r="O136" s="12" t="s">
        <v>147</v>
      </c>
      <c r="P136" s="46" t="s">
        <v>711</v>
      </c>
      <c r="Q136" s="47" t="s">
        <v>737</v>
      </c>
      <c r="R136" s="46" t="s">
        <v>715</v>
      </c>
      <c r="S136" s="47" t="s">
        <v>737</v>
      </c>
      <c r="T136" s="46" t="s">
        <v>712</v>
      </c>
      <c r="U136" s="47" t="s">
        <v>737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7" customHeight="1" x14ac:dyDescent="0.25">
      <c r="A137" s="6">
        <v>137</v>
      </c>
      <c r="B137" s="11" t="s">
        <v>475</v>
      </c>
      <c r="C137" s="10" t="s">
        <v>790</v>
      </c>
      <c r="D137" s="55" t="s">
        <v>740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736</v>
      </c>
      <c r="L137" s="46" t="s">
        <v>710</v>
      </c>
      <c r="M137" s="47" t="s">
        <v>761</v>
      </c>
      <c r="N137" s="44" t="s">
        <v>1</v>
      </c>
      <c r="O137" s="12" t="s">
        <v>148</v>
      </c>
      <c r="P137" s="46" t="s">
        <v>711</v>
      </c>
      <c r="Q137" s="47" t="s">
        <v>737</v>
      </c>
      <c r="R137" s="46" t="s">
        <v>715</v>
      </c>
      <c r="S137" s="47" t="s">
        <v>737</v>
      </c>
      <c r="T137" s="46" t="s">
        <v>712</v>
      </c>
      <c r="U137" s="47" t="s">
        <v>737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7" customHeight="1" x14ac:dyDescent="0.25">
      <c r="A138" s="6">
        <v>138</v>
      </c>
      <c r="B138" s="11" t="s">
        <v>476</v>
      </c>
      <c r="C138" s="10" t="s">
        <v>790</v>
      </c>
      <c r="D138" s="55" t="s">
        <v>740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736</v>
      </c>
      <c r="L138" s="46" t="s">
        <v>710</v>
      </c>
      <c r="M138" s="47" t="s">
        <v>761</v>
      </c>
      <c r="N138" s="44" t="s">
        <v>1</v>
      </c>
      <c r="O138" s="12" t="s">
        <v>149</v>
      </c>
      <c r="P138" s="46" t="s">
        <v>711</v>
      </c>
      <c r="Q138" s="47" t="s">
        <v>737</v>
      </c>
      <c r="R138" s="46" t="s">
        <v>715</v>
      </c>
      <c r="S138" s="47" t="s">
        <v>737</v>
      </c>
      <c r="T138" s="46" t="s">
        <v>712</v>
      </c>
      <c r="U138" s="47" t="s">
        <v>737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7" customHeight="1" x14ac:dyDescent="0.25">
      <c r="A139" s="6">
        <v>139</v>
      </c>
      <c r="B139" s="11" t="s">
        <v>477</v>
      </c>
      <c r="C139" s="10" t="s">
        <v>790</v>
      </c>
      <c r="D139" s="55" t="s">
        <v>740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736</v>
      </c>
      <c r="L139" s="46" t="s">
        <v>710</v>
      </c>
      <c r="M139" s="47" t="s">
        <v>761</v>
      </c>
      <c r="N139" s="44" t="s">
        <v>1</v>
      </c>
      <c r="O139" s="12" t="s">
        <v>150</v>
      </c>
      <c r="P139" s="46" t="s">
        <v>711</v>
      </c>
      <c r="Q139" s="47" t="s">
        <v>737</v>
      </c>
      <c r="R139" s="46" t="s">
        <v>715</v>
      </c>
      <c r="S139" s="47" t="s">
        <v>737</v>
      </c>
      <c r="T139" s="46" t="s">
        <v>712</v>
      </c>
      <c r="U139" s="47" t="s">
        <v>737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7" customHeight="1" x14ac:dyDescent="0.25">
      <c r="A140" s="6">
        <v>140</v>
      </c>
      <c r="B140" s="11" t="s">
        <v>478</v>
      </c>
      <c r="C140" s="10" t="s">
        <v>790</v>
      </c>
      <c r="D140" s="55" t="s">
        <v>740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736</v>
      </c>
      <c r="L140" s="46" t="s">
        <v>710</v>
      </c>
      <c r="M140" s="47" t="s">
        <v>761</v>
      </c>
      <c r="N140" s="44" t="s">
        <v>1</v>
      </c>
      <c r="O140" s="12" t="s">
        <v>151</v>
      </c>
      <c r="P140" s="46" t="s">
        <v>711</v>
      </c>
      <c r="Q140" s="47" t="s">
        <v>737</v>
      </c>
      <c r="R140" s="46" t="s">
        <v>715</v>
      </c>
      <c r="S140" s="47" t="s">
        <v>737</v>
      </c>
      <c r="T140" s="46" t="s">
        <v>712</v>
      </c>
      <c r="U140" s="47" t="s">
        <v>737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7" customHeight="1" x14ac:dyDescent="0.25">
      <c r="A141" s="6">
        <v>141</v>
      </c>
      <c r="B141" s="11" t="s">
        <v>479</v>
      </c>
      <c r="C141" s="10" t="s">
        <v>790</v>
      </c>
      <c r="D141" s="55" t="s">
        <v>740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736</v>
      </c>
      <c r="L141" s="46" t="s">
        <v>710</v>
      </c>
      <c r="M141" s="47" t="s">
        <v>761</v>
      </c>
      <c r="N141" s="44" t="s">
        <v>1</v>
      </c>
      <c r="O141" s="12" t="s">
        <v>152</v>
      </c>
      <c r="P141" s="46" t="s">
        <v>711</v>
      </c>
      <c r="Q141" s="47" t="s">
        <v>737</v>
      </c>
      <c r="R141" s="46" t="s">
        <v>715</v>
      </c>
      <c r="S141" s="47" t="s">
        <v>737</v>
      </c>
      <c r="T141" s="46" t="s">
        <v>712</v>
      </c>
      <c r="U141" s="47" t="s">
        <v>737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7" customHeight="1" x14ac:dyDescent="0.25">
      <c r="A142" s="6">
        <v>142</v>
      </c>
      <c r="B142" s="11" t="s">
        <v>480</v>
      </c>
      <c r="C142" s="10" t="s">
        <v>790</v>
      </c>
      <c r="D142" s="55" t="s">
        <v>740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736</v>
      </c>
      <c r="L142" s="46" t="s">
        <v>710</v>
      </c>
      <c r="M142" s="47" t="s">
        <v>761</v>
      </c>
      <c r="N142" s="44" t="s">
        <v>1</v>
      </c>
      <c r="O142" s="12" t="s">
        <v>153</v>
      </c>
      <c r="P142" s="46" t="s">
        <v>711</v>
      </c>
      <c r="Q142" s="47" t="s">
        <v>737</v>
      </c>
      <c r="R142" s="46" t="s">
        <v>715</v>
      </c>
      <c r="S142" s="47" t="s">
        <v>737</v>
      </c>
      <c r="T142" s="46" t="s">
        <v>712</v>
      </c>
      <c r="U142" s="47" t="s">
        <v>737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7" customHeight="1" x14ac:dyDescent="0.25">
      <c r="A143" s="6">
        <v>143</v>
      </c>
      <c r="B143" s="11" t="s">
        <v>481</v>
      </c>
      <c r="C143" s="10" t="s">
        <v>790</v>
      </c>
      <c r="D143" s="55" t="s">
        <v>740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736</v>
      </c>
      <c r="L143" s="46" t="s">
        <v>710</v>
      </c>
      <c r="M143" s="47" t="s">
        <v>761</v>
      </c>
      <c r="N143" s="44" t="s">
        <v>1</v>
      </c>
      <c r="O143" s="12" t="s">
        <v>154</v>
      </c>
      <c r="P143" s="46" t="s">
        <v>711</v>
      </c>
      <c r="Q143" s="47" t="s">
        <v>737</v>
      </c>
      <c r="R143" s="46" t="s">
        <v>715</v>
      </c>
      <c r="S143" s="47" t="s">
        <v>737</v>
      </c>
      <c r="T143" s="46" t="s">
        <v>712</v>
      </c>
      <c r="U143" s="47" t="s">
        <v>737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7" customHeight="1" x14ac:dyDescent="0.25">
      <c r="A144" s="6">
        <v>144</v>
      </c>
      <c r="B144" s="11" t="s">
        <v>482</v>
      </c>
      <c r="C144" s="10" t="s">
        <v>791</v>
      </c>
      <c r="D144" s="55" t="s">
        <v>740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736</v>
      </c>
      <c r="L144" s="46" t="s">
        <v>710</v>
      </c>
      <c r="M144" s="47" t="s">
        <v>762</v>
      </c>
      <c r="N144" s="44" t="s">
        <v>1</v>
      </c>
      <c r="O144" s="12" t="s">
        <v>155</v>
      </c>
      <c r="P144" s="46" t="s">
        <v>711</v>
      </c>
      <c r="Q144" s="47" t="s">
        <v>737</v>
      </c>
      <c r="R144" s="46" t="s">
        <v>715</v>
      </c>
      <c r="S144" s="47" t="s">
        <v>737</v>
      </c>
      <c r="T144" s="46" t="s">
        <v>712</v>
      </c>
      <c r="U144" s="47" t="s">
        <v>737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7" customHeight="1" x14ac:dyDescent="0.25">
      <c r="A145" s="6">
        <v>145</v>
      </c>
      <c r="B145" s="11" t="s">
        <v>483</v>
      </c>
      <c r="C145" s="10" t="s">
        <v>791</v>
      </c>
      <c r="D145" s="55" t="s">
        <v>740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736</v>
      </c>
      <c r="L145" s="46" t="s">
        <v>710</v>
      </c>
      <c r="M145" s="47" t="s">
        <v>762</v>
      </c>
      <c r="N145" s="44" t="s">
        <v>1</v>
      </c>
      <c r="O145" s="12" t="s">
        <v>156</v>
      </c>
      <c r="P145" s="46" t="s">
        <v>711</v>
      </c>
      <c r="Q145" s="47" t="s">
        <v>737</v>
      </c>
      <c r="R145" s="46" t="s">
        <v>715</v>
      </c>
      <c r="S145" s="47" t="s">
        <v>737</v>
      </c>
      <c r="T145" s="46" t="s">
        <v>712</v>
      </c>
      <c r="U145" s="47" t="s">
        <v>737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7" customHeight="1" x14ac:dyDescent="0.25">
      <c r="A146" s="6">
        <v>146</v>
      </c>
      <c r="B146" s="11" t="s">
        <v>484</v>
      </c>
      <c r="C146" s="10" t="s">
        <v>791</v>
      </c>
      <c r="D146" s="55" t="s">
        <v>740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736</v>
      </c>
      <c r="L146" s="46" t="s">
        <v>710</v>
      </c>
      <c r="M146" s="47" t="s">
        <v>762</v>
      </c>
      <c r="N146" s="44" t="s">
        <v>1</v>
      </c>
      <c r="O146" s="12" t="s">
        <v>157</v>
      </c>
      <c r="P146" s="46" t="s">
        <v>711</v>
      </c>
      <c r="Q146" s="47" t="s">
        <v>737</v>
      </c>
      <c r="R146" s="46" t="s">
        <v>715</v>
      </c>
      <c r="S146" s="47" t="s">
        <v>737</v>
      </c>
      <c r="T146" s="46" t="s">
        <v>712</v>
      </c>
      <c r="U146" s="47" t="s">
        <v>737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7" customHeight="1" x14ac:dyDescent="0.25">
      <c r="A147" s="6">
        <v>147</v>
      </c>
      <c r="B147" s="11" t="s">
        <v>485</v>
      </c>
      <c r="C147" s="10" t="s">
        <v>791</v>
      </c>
      <c r="D147" s="55" t="s">
        <v>740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736</v>
      </c>
      <c r="L147" s="46" t="s">
        <v>710</v>
      </c>
      <c r="M147" s="47" t="s">
        <v>762</v>
      </c>
      <c r="N147" s="44" t="s">
        <v>1</v>
      </c>
      <c r="O147" s="12" t="s">
        <v>158</v>
      </c>
      <c r="P147" s="46" t="s">
        <v>711</v>
      </c>
      <c r="Q147" s="47" t="s">
        <v>737</v>
      </c>
      <c r="R147" s="46" t="s">
        <v>715</v>
      </c>
      <c r="S147" s="47" t="s">
        <v>737</v>
      </c>
      <c r="T147" s="46" t="s">
        <v>712</v>
      </c>
      <c r="U147" s="47" t="s">
        <v>737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7" customHeight="1" x14ac:dyDescent="0.25">
      <c r="A148" s="6">
        <v>148</v>
      </c>
      <c r="B148" s="11" t="s">
        <v>486</v>
      </c>
      <c r="C148" s="10" t="s">
        <v>791</v>
      </c>
      <c r="D148" s="55" t="s">
        <v>740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736</v>
      </c>
      <c r="L148" s="46" t="s">
        <v>710</v>
      </c>
      <c r="M148" s="47" t="s">
        <v>762</v>
      </c>
      <c r="N148" s="44" t="s">
        <v>1</v>
      </c>
      <c r="O148" s="12" t="s">
        <v>159</v>
      </c>
      <c r="P148" s="46" t="s">
        <v>711</v>
      </c>
      <c r="Q148" s="47" t="s">
        <v>737</v>
      </c>
      <c r="R148" s="46" t="s">
        <v>715</v>
      </c>
      <c r="S148" s="47" t="s">
        <v>737</v>
      </c>
      <c r="T148" s="46" t="s">
        <v>712</v>
      </c>
      <c r="U148" s="47" t="s">
        <v>737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7" customHeight="1" x14ac:dyDescent="0.25">
      <c r="A149" s="6">
        <v>149</v>
      </c>
      <c r="B149" s="11" t="s">
        <v>487</v>
      </c>
      <c r="C149" s="10" t="s">
        <v>791</v>
      </c>
      <c r="D149" s="55" t="s">
        <v>740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736</v>
      </c>
      <c r="L149" s="46" t="s">
        <v>710</v>
      </c>
      <c r="M149" s="47" t="s">
        <v>762</v>
      </c>
      <c r="N149" s="44" t="s">
        <v>1</v>
      </c>
      <c r="O149" s="12" t="s">
        <v>160</v>
      </c>
      <c r="P149" s="46" t="s">
        <v>711</v>
      </c>
      <c r="Q149" s="47" t="s">
        <v>737</v>
      </c>
      <c r="R149" s="46" t="s">
        <v>715</v>
      </c>
      <c r="S149" s="47" t="s">
        <v>737</v>
      </c>
      <c r="T149" s="46" t="s">
        <v>712</v>
      </c>
      <c r="U149" s="47" t="s">
        <v>737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7" customHeight="1" x14ac:dyDescent="0.25">
      <c r="A150" s="6">
        <v>150</v>
      </c>
      <c r="B150" s="11" t="s">
        <v>488</v>
      </c>
      <c r="C150" s="10" t="s">
        <v>791</v>
      </c>
      <c r="D150" s="55" t="s">
        <v>740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736</v>
      </c>
      <c r="L150" s="46" t="s">
        <v>710</v>
      </c>
      <c r="M150" s="47" t="s">
        <v>762</v>
      </c>
      <c r="N150" s="44" t="s">
        <v>1</v>
      </c>
      <c r="O150" s="12" t="s">
        <v>161</v>
      </c>
      <c r="P150" s="46" t="s">
        <v>711</v>
      </c>
      <c r="Q150" s="47" t="s">
        <v>737</v>
      </c>
      <c r="R150" s="46" t="s">
        <v>715</v>
      </c>
      <c r="S150" s="47" t="s">
        <v>737</v>
      </c>
      <c r="T150" s="46" t="s">
        <v>712</v>
      </c>
      <c r="U150" s="47" t="s">
        <v>737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7" customHeight="1" x14ac:dyDescent="0.25">
      <c r="A151" s="6">
        <v>151</v>
      </c>
      <c r="B151" s="11" t="s">
        <v>489</v>
      </c>
      <c r="C151" s="10" t="s">
        <v>806</v>
      </c>
      <c r="D151" s="55" t="s">
        <v>740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736</v>
      </c>
      <c r="L151" s="46" t="s">
        <v>710</v>
      </c>
      <c r="M151" s="47" t="s">
        <v>763</v>
      </c>
      <c r="N151" s="44" t="s">
        <v>1</v>
      </c>
      <c r="O151" s="12" t="s">
        <v>162</v>
      </c>
      <c r="P151" s="46" t="s">
        <v>711</v>
      </c>
      <c r="Q151" s="47" t="s">
        <v>737</v>
      </c>
      <c r="R151" s="46" t="s">
        <v>715</v>
      </c>
      <c r="S151" s="47" t="s">
        <v>737</v>
      </c>
      <c r="T151" s="46" t="s">
        <v>712</v>
      </c>
      <c r="U151" s="47" t="s">
        <v>737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7" customHeight="1" x14ac:dyDescent="0.25">
      <c r="A152" s="6">
        <v>152</v>
      </c>
      <c r="B152" s="11" t="s">
        <v>490</v>
      </c>
      <c r="C152" s="10" t="s">
        <v>806</v>
      </c>
      <c r="D152" s="55" t="s">
        <v>740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736</v>
      </c>
      <c r="L152" s="46" t="s">
        <v>710</v>
      </c>
      <c r="M152" s="47" t="s">
        <v>763</v>
      </c>
      <c r="N152" s="44" t="s">
        <v>1</v>
      </c>
      <c r="O152" s="12" t="s">
        <v>163</v>
      </c>
      <c r="P152" s="46" t="s">
        <v>711</v>
      </c>
      <c r="Q152" s="47" t="s">
        <v>737</v>
      </c>
      <c r="R152" s="46" t="s">
        <v>715</v>
      </c>
      <c r="S152" s="47" t="s">
        <v>737</v>
      </c>
      <c r="T152" s="46" t="s">
        <v>712</v>
      </c>
      <c r="U152" s="47" t="s">
        <v>737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7" customHeight="1" x14ac:dyDescent="0.25">
      <c r="A153" s="6">
        <v>153</v>
      </c>
      <c r="B153" s="11" t="s">
        <v>491</v>
      </c>
      <c r="C153" s="10" t="s">
        <v>806</v>
      </c>
      <c r="D153" s="55" t="s">
        <v>740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736</v>
      </c>
      <c r="L153" s="46" t="s">
        <v>710</v>
      </c>
      <c r="M153" s="47" t="s">
        <v>763</v>
      </c>
      <c r="N153" s="44" t="s">
        <v>1</v>
      </c>
      <c r="O153" s="12" t="s">
        <v>164</v>
      </c>
      <c r="P153" s="46" t="s">
        <v>711</v>
      </c>
      <c r="Q153" s="47" t="s">
        <v>737</v>
      </c>
      <c r="R153" s="46" t="s">
        <v>715</v>
      </c>
      <c r="S153" s="47" t="s">
        <v>737</v>
      </c>
      <c r="T153" s="46" t="s">
        <v>712</v>
      </c>
      <c r="U153" s="47" t="s">
        <v>737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7" customHeight="1" x14ac:dyDescent="0.25">
      <c r="A154" s="6">
        <v>154</v>
      </c>
      <c r="B154" s="11" t="s">
        <v>492</v>
      </c>
      <c r="C154" s="10" t="s">
        <v>806</v>
      </c>
      <c r="D154" s="55" t="s">
        <v>740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736</v>
      </c>
      <c r="L154" s="46" t="s">
        <v>710</v>
      </c>
      <c r="M154" s="47" t="s">
        <v>763</v>
      </c>
      <c r="N154" s="44" t="s">
        <v>1</v>
      </c>
      <c r="O154" s="12" t="s">
        <v>165</v>
      </c>
      <c r="P154" s="46" t="s">
        <v>711</v>
      </c>
      <c r="Q154" s="47" t="s">
        <v>737</v>
      </c>
      <c r="R154" s="46" t="s">
        <v>715</v>
      </c>
      <c r="S154" s="47" t="s">
        <v>737</v>
      </c>
      <c r="T154" s="46" t="s">
        <v>712</v>
      </c>
      <c r="U154" s="47" t="s">
        <v>737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7" customHeight="1" x14ac:dyDescent="0.25">
      <c r="A155" s="6">
        <v>155</v>
      </c>
      <c r="B155" s="11" t="s">
        <v>493</v>
      </c>
      <c r="C155" s="10" t="s">
        <v>806</v>
      </c>
      <c r="D155" s="55" t="s">
        <v>740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736</v>
      </c>
      <c r="L155" s="46" t="s">
        <v>710</v>
      </c>
      <c r="M155" s="47" t="s">
        <v>763</v>
      </c>
      <c r="N155" s="44" t="s">
        <v>1</v>
      </c>
      <c r="O155" s="12" t="s">
        <v>166</v>
      </c>
      <c r="P155" s="46" t="s">
        <v>711</v>
      </c>
      <c r="Q155" s="47" t="s">
        <v>737</v>
      </c>
      <c r="R155" s="46" t="s">
        <v>715</v>
      </c>
      <c r="S155" s="47" t="s">
        <v>737</v>
      </c>
      <c r="T155" s="46" t="s">
        <v>712</v>
      </c>
      <c r="U155" s="47" t="s">
        <v>737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7" customHeight="1" x14ac:dyDescent="0.25">
      <c r="A156" s="6">
        <v>156</v>
      </c>
      <c r="B156" s="11" t="s">
        <v>494</v>
      </c>
      <c r="C156" s="10" t="s">
        <v>806</v>
      </c>
      <c r="D156" s="55" t="s">
        <v>740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736</v>
      </c>
      <c r="L156" s="46" t="s">
        <v>710</v>
      </c>
      <c r="M156" s="47" t="s">
        <v>763</v>
      </c>
      <c r="N156" s="44" t="s">
        <v>1</v>
      </c>
      <c r="O156" s="12" t="s">
        <v>167</v>
      </c>
      <c r="P156" s="46" t="s">
        <v>711</v>
      </c>
      <c r="Q156" s="47" t="s">
        <v>737</v>
      </c>
      <c r="R156" s="46" t="s">
        <v>715</v>
      </c>
      <c r="S156" s="47" t="s">
        <v>737</v>
      </c>
      <c r="T156" s="46" t="s">
        <v>712</v>
      </c>
      <c r="U156" s="47" t="s">
        <v>737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7" customHeight="1" x14ac:dyDescent="0.25">
      <c r="A157" s="6">
        <v>157</v>
      </c>
      <c r="B157" s="11" t="s">
        <v>495</v>
      </c>
      <c r="C157" s="10" t="s">
        <v>806</v>
      </c>
      <c r="D157" s="55" t="s">
        <v>740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736</v>
      </c>
      <c r="L157" s="46" t="s">
        <v>710</v>
      </c>
      <c r="M157" s="47" t="s">
        <v>763</v>
      </c>
      <c r="N157" s="44" t="s">
        <v>1</v>
      </c>
      <c r="O157" s="12" t="s">
        <v>168</v>
      </c>
      <c r="P157" s="46" t="s">
        <v>711</v>
      </c>
      <c r="Q157" s="47" t="s">
        <v>737</v>
      </c>
      <c r="R157" s="46" t="s">
        <v>715</v>
      </c>
      <c r="S157" s="47" t="s">
        <v>737</v>
      </c>
      <c r="T157" s="46" t="s">
        <v>712</v>
      </c>
      <c r="U157" s="47" t="s">
        <v>737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7" customHeight="1" x14ac:dyDescent="0.25">
      <c r="A158" s="6">
        <v>158</v>
      </c>
      <c r="B158" s="11" t="s">
        <v>496</v>
      </c>
      <c r="C158" s="10" t="s">
        <v>806</v>
      </c>
      <c r="D158" s="55" t="s">
        <v>740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736</v>
      </c>
      <c r="L158" s="46" t="s">
        <v>710</v>
      </c>
      <c r="M158" s="47" t="s">
        <v>763</v>
      </c>
      <c r="N158" s="44" t="s">
        <v>1</v>
      </c>
      <c r="O158" s="12" t="s">
        <v>169</v>
      </c>
      <c r="P158" s="46" t="s">
        <v>711</v>
      </c>
      <c r="Q158" s="47" t="s">
        <v>737</v>
      </c>
      <c r="R158" s="46" t="s">
        <v>715</v>
      </c>
      <c r="S158" s="47" t="s">
        <v>737</v>
      </c>
      <c r="T158" s="46" t="s">
        <v>712</v>
      </c>
      <c r="U158" s="47" t="s">
        <v>737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7" customHeight="1" x14ac:dyDescent="0.25">
      <c r="A159" s="6">
        <v>159</v>
      </c>
      <c r="B159" s="11" t="s">
        <v>497</v>
      </c>
      <c r="C159" s="10" t="s">
        <v>806</v>
      </c>
      <c r="D159" s="55" t="s">
        <v>740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736</v>
      </c>
      <c r="L159" s="46" t="s">
        <v>710</v>
      </c>
      <c r="M159" s="47" t="s">
        <v>763</v>
      </c>
      <c r="N159" s="44" t="s">
        <v>1</v>
      </c>
      <c r="O159" s="12" t="s">
        <v>170</v>
      </c>
      <c r="P159" s="46" t="s">
        <v>711</v>
      </c>
      <c r="Q159" s="47" t="s">
        <v>737</v>
      </c>
      <c r="R159" s="46" t="s">
        <v>715</v>
      </c>
      <c r="S159" s="47" t="s">
        <v>737</v>
      </c>
      <c r="T159" s="46" t="s">
        <v>712</v>
      </c>
      <c r="U159" s="47" t="s">
        <v>737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7" customHeight="1" x14ac:dyDescent="0.25">
      <c r="A160" s="6">
        <v>160</v>
      </c>
      <c r="B160" s="11" t="s">
        <v>498</v>
      </c>
      <c r="C160" s="10" t="s">
        <v>806</v>
      </c>
      <c r="D160" s="55" t="s">
        <v>740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736</v>
      </c>
      <c r="L160" s="46" t="s">
        <v>710</v>
      </c>
      <c r="M160" s="47" t="s">
        <v>763</v>
      </c>
      <c r="N160" s="44" t="s">
        <v>1</v>
      </c>
      <c r="O160" s="12" t="s">
        <v>171</v>
      </c>
      <c r="P160" s="46" t="s">
        <v>711</v>
      </c>
      <c r="Q160" s="47" t="s">
        <v>737</v>
      </c>
      <c r="R160" s="46" t="s">
        <v>715</v>
      </c>
      <c r="S160" s="47" t="s">
        <v>737</v>
      </c>
      <c r="T160" s="46" t="s">
        <v>712</v>
      </c>
      <c r="U160" s="47" t="s">
        <v>737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7" customHeight="1" x14ac:dyDescent="0.25">
      <c r="A161" s="6">
        <v>161</v>
      </c>
      <c r="B161" s="11" t="s">
        <v>499</v>
      </c>
      <c r="C161" s="10" t="s">
        <v>806</v>
      </c>
      <c r="D161" s="55" t="s">
        <v>740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736</v>
      </c>
      <c r="L161" s="46" t="s">
        <v>710</v>
      </c>
      <c r="M161" s="47" t="s">
        <v>763</v>
      </c>
      <c r="N161" s="44" t="s">
        <v>1</v>
      </c>
      <c r="O161" s="12" t="s">
        <v>172</v>
      </c>
      <c r="P161" s="46" t="s">
        <v>711</v>
      </c>
      <c r="Q161" s="47" t="s">
        <v>737</v>
      </c>
      <c r="R161" s="46" t="s">
        <v>715</v>
      </c>
      <c r="S161" s="47" t="s">
        <v>737</v>
      </c>
      <c r="T161" s="46" t="s">
        <v>712</v>
      </c>
      <c r="U161" s="47" t="s">
        <v>737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7" customHeight="1" x14ac:dyDescent="0.25">
      <c r="A162" s="6">
        <v>162</v>
      </c>
      <c r="B162" s="11" t="s">
        <v>500</v>
      </c>
      <c r="C162" s="10" t="s">
        <v>806</v>
      </c>
      <c r="D162" s="55" t="s">
        <v>740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736</v>
      </c>
      <c r="L162" s="46" t="s">
        <v>710</v>
      </c>
      <c r="M162" s="47" t="s">
        <v>763</v>
      </c>
      <c r="N162" s="44" t="s">
        <v>1</v>
      </c>
      <c r="O162" s="12" t="s">
        <v>173</v>
      </c>
      <c r="P162" s="46" t="s">
        <v>711</v>
      </c>
      <c r="Q162" s="47" t="s">
        <v>737</v>
      </c>
      <c r="R162" s="46" t="s">
        <v>715</v>
      </c>
      <c r="S162" s="47" t="s">
        <v>737</v>
      </c>
      <c r="T162" s="46" t="s">
        <v>712</v>
      </c>
      <c r="U162" s="47" t="s">
        <v>737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7" customHeight="1" x14ac:dyDescent="0.25">
      <c r="A163" s="6">
        <v>163</v>
      </c>
      <c r="B163" s="11" t="s">
        <v>501</v>
      </c>
      <c r="C163" s="10" t="s">
        <v>806</v>
      </c>
      <c r="D163" s="55" t="s">
        <v>740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736</v>
      </c>
      <c r="L163" s="46" t="s">
        <v>710</v>
      </c>
      <c r="M163" s="47" t="s">
        <v>763</v>
      </c>
      <c r="N163" s="44" t="s">
        <v>1</v>
      </c>
      <c r="O163" s="12" t="s">
        <v>174</v>
      </c>
      <c r="P163" s="46" t="s">
        <v>711</v>
      </c>
      <c r="Q163" s="47" t="s">
        <v>737</v>
      </c>
      <c r="R163" s="46" t="s">
        <v>715</v>
      </c>
      <c r="S163" s="47" t="s">
        <v>737</v>
      </c>
      <c r="T163" s="46" t="s">
        <v>712</v>
      </c>
      <c r="U163" s="47" t="s">
        <v>737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7" customHeight="1" x14ac:dyDescent="0.25">
      <c r="A164" s="6">
        <v>164</v>
      </c>
      <c r="B164" s="11" t="s">
        <v>502</v>
      </c>
      <c r="C164" s="10" t="s">
        <v>792</v>
      </c>
      <c r="D164" s="55" t="s">
        <v>740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736</v>
      </c>
      <c r="L164" s="46" t="s">
        <v>710</v>
      </c>
      <c r="M164" s="47" t="s">
        <v>764</v>
      </c>
      <c r="N164" s="44" t="s">
        <v>1</v>
      </c>
      <c r="O164" s="12" t="s">
        <v>175</v>
      </c>
      <c r="P164" s="46" t="s">
        <v>711</v>
      </c>
      <c r="Q164" s="47" t="s">
        <v>737</v>
      </c>
      <c r="R164" s="46" t="s">
        <v>715</v>
      </c>
      <c r="S164" s="47" t="s">
        <v>737</v>
      </c>
      <c r="T164" s="46" t="s">
        <v>712</v>
      </c>
      <c r="U164" s="47" t="s">
        <v>737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7" customHeight="1" x14ac:dyDescent="0.25">
      <c r="A165" s="6">
        <v>165</v>
      </c>
      <c r="B165" s="11" t="s">
        <v>503</v>
      </c>
      <c r="C165" s="10" t="s">
        <v>792</v>
      </c>
      <c r="D165" s="55" t="s">
        <v>740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736</v>
      </c>
      <c r="L165" s="46" t="s">
        <v>710</v>
      </c>
      <c r="M165" s="47" t="s">
        <v>764</v>
      </c>
      <c r="N165" s="44" t="s">
        <v>1</v>
      </c>
      <c r="O165" s="12" t="s">
        <v>176</v>
      </c>
      <c r="P165" s="46" t="s">
        <v>711</v>
      </c>
      <c r="Q165" s="47" t="s">
        <v>737</v>
      </c>
      <c r="R165" s="46" t="s">
        <v>715</v>
      </c>
      <c r="S165" s="47" t="s">
        <v>737</v>
      </c>
      <c r="T165" s="46" t="s">
        <v>712</v>
      </c>
      <c r="U165" s="47" t="s">
        <v>737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7" customHeight="1" x14ac:dyDescent="0.25">
      <c r="A166" s="6">
        <v>166</v>
      </c>
      <c r="B166" s="11" t="s">
        <v>504</v>
      </c>
      <c r="C166" s="10" t="s">
        <v>792</v>
      </c>
      <c r="D166" s="55" t="s">
        <v>740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736</v>
      </c>
      <c r="L166" s="46" t="s">
        <v>710</v>
      </c>
      <c r="M166" s="47" t="s">
        <v>764</v>
      </c>
      <c r="N166" s="44" t="s">
        <v>1</v>
      </c>
      <c r="O166" s="12" t="s">
        <v>177</v>
      </c>
      <c r="P166" s="46" t="s">
        <v>711</v>
      </c>
      <c r="Q166" s="47" t="s">
        <v>737</v>
      </c>
      <c r="R166" s="46" t="s">
        <v>715</v>
      </c>
      <c r="S166" s="47" t="s">
        <v>737</v>
      </c>
      <c r="T166" s="46" t="s">
        <v>712</v>
      </c>
      <c r="U166" s="47" t="s">
        <v>737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7" customHeight="1" x14ac:dyDescent="0.25">
      <c r="A167" s="6">
        <v>167</v>
      </c>
      <c r="B167" s="11" t="s">
        <v>505</v>
      </c>
      <c r="C167" s="10" t="s">
        <v>792</v>
      </c>
      <c r="D167" s="55" t="s">
        <v>740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736</v>
      </c>
      <c r="L167" s="46" t="s">
        <v>710</v>
      </c>
      <c r="M167" s="47" t="s">
        <v>764</v>
      </c>
      <c r="N167" s="44" t="s">
        <v>1</v>
      </c>
      <c r="O167" s="12" t="s">
        <v>178</v>
      </c>
      <c r="P167" s="46" t="s">
        <v>711</v>
      </c>
      <c r="Q167" s="47" t="s">
        <v>737</v>
      </c>
      <c r="R167" s="46" t="s">
        <v>715</v>
      </c>
      <c r="S167" s="47" t="s">
        <v>737</v>
      </c>
      <c r="T167" s="46" t="s">
        <v>712</v>
      </c>
      <c r="U167" s="47" t="s">
        <v>737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7" customHeight="1" x14ac:dyDescent="0.25">
      <c r="A168" s="6">
        <v>168</v>
      </c>
      <c r="B168" s="11" t="s">
        <v>506</v>
      </c>
      <c r="C168" s="10" t="s">
        <v>792</v>
      </c>
      <c r="D168" s="55" t="s">
        <v>740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736</v>
      </c>
      <c r="L168" s="46" t="s">
        <v>710</v>
      </c>
      <c r="M168" s="47" t="s">
        <v>764</v>
      </c>
      <c r="N168" s="44" t="s">
        <v>1</v>
      </c>
      <c r="O168" s="12" t="s">
        <v>179</v>
      </c>
      <c r="P168" s="46" t="s">
        <v>711</v>
      </c>
      <c r="Q168" s="47" t="s">
        <v>737</v>
      </c>
      <c r="R168" s="46" t="s">
        <v>715</v>
      </c>
      <c r="S168" s="47" t="s">
        <v>737</v>
      </c>
      <c r="T168" s="46" t="s">
        <v>712</v>
      </c>
      <c r="U168" s="47" t="s">
        <v>737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7" customHeight="1" x14ac:dyDescent="0.25">
      <c r="A169" s="6">
        <v>169</v>
      </c>
      <c r="B169" s="11" t="s">
        <v>507</v>
      </c>
      <c r="C169" s="10" t="s">
        <v>792</v>
      </c>
      <c r="D169" s="55" t="s">
        <v>740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736</v>
      </c>
      <c r="L169" s="46" t="s">
        <v>710</v>
      </c>
      <c r="M169" s="47" t="s">
        <v>764</v>
      </c>
      <c r="N169" s="44" t="s">
        <v>1</v>
      </c>
      <c r="O169" s="12" t="s">
        <v>180</v>
      </c>
      <c r="P169" s="46" t="s">
        <v>711</v>
      </c>
      <c r="Q169" s="47" t="s">
        <v>737</v>
      </c>
      <c r="R169" s="46" t="s">
        <v>715</v>
      </c>
      <c r="S169" s="47" t="s">
        <v>737</v>
      </c>
      <c r="T169" s="46" t="s">
        <v>712</v>
      </c>
      <c r="U169" s="47" t="s">
        <v>737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7" customHeight="1" x14ac:dyDescent="0.25">
      <c r="A170" s="6">
        <v>170</v>
      </c>
      <c r="B170" s="11" t="s">
        <v>508</v>
      </c>
      <c r="C170" s="10" t="s">
        <v>792</v>
      </c>
      <c r="D170" s="55" t="s">
        <v>740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736</v>
      </c>
      <c r="L170" s="46" t="s">
        <v>710</v>
      </c>
      <c r="M170" s="47" t="s">
        <v>764</v>
      </c>
      <c r="N170" s="44" t="s">
        <v>1</v>
      </c>
      <c r="O170" s="12" t="s">
        <v>181</v>
      </c>
      <c r="P170" s="46" t="s">
        <v>711</v>
      </c>
      <c r="Q170" s="47" t="s">
        <v>737</v>
      </c>
      <c r="R170" s="46" t="s">
        <v>715</v>
      </c>
      <c r="S170" s="47" t="s">
        <v>737</v>
      </c>
      <c r="T170" s="46" t="s">
        <v>712</v>
      </c>
      <c r="U170" s="47" t="s">
        <v>737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7" customHeight="1" x14ac:dyDescent="0.25">
      <c r="A171" s="6">
        <v>171</v>
      </c>
      <c r="B171" s="11" t="s">
        <v>509</v>
      </c>
      <c r="C171" s="10" t="s">
        <v>792</v>
      </c>
      <c r="D171" s="55" t="s">
        <v>740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736</v>
      </c>
      <c r="L171" s="46" t="s">
        <v>710</v>
      </c>
      <c r="M171" s="47" t="s">
        <v>764</v>
      </c>
      <c r="N171" s="44" t="s">
        <v>1</v>
      </c>
      <c r="O171" s="12" t="s">
        <v>182</v>
      </c>
      <c r="P171" s="46" t="s">
        <v>711</v>
      </c>
      <c r="Q171" s="47" t="s">
        <v>737</v>
      </c>
      <c r="R171" s="46" t="s">
        <v>715</v>
      </c>
      <c r="S171" s="47" t="s">
        <v>737</v>
      </c>
      <c r="T171" s="46" t="s">
        <v>712</v>
      </c>
      <c r="U171" s="47" t="s">
        <v>737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7" customHeight="1" x14ac:dyDescent="0.25">
      <c r="A172" s="6">
        <v>172</v>
      </c>
      <c r="B172" s="11" t="s">
        <v>510</v>
      </c>
      <c r="C172" s="10" t="s">
        <v>792</v>
      </c>
      <c r="D172" s="55" t="s">
        <v>740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736</v>
      </c>
      <c r="L172" s="46" t="s">
        <v>710</v>
      </c>
      <c r="M172" s="47" t="s">
        <v>764</v>
      </c>
      <c r="N172" s="44" t="s">
        <v>1</v>
      </c>
      <c r="O172" s="12" t="s">
        <v>183</v>
      </c>
      <c r="P172" s="46" t="s">
        <v>711</v>
      </c>
      <c r="Q172" s="47" t="s">
        <v>737</v>
      </c>
      <c r="R172" s="46" t="s">
        <v>715</v>
      </c>
      <c r="S172" s="47" t="s">
        <v>737</v>
      </c>
      <c r="T172" s="46" t="s">
        <v>712</v>
      </c>
      <c r="U172" s="47" t="s">
        <v>737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7" customHeight="1" x14ac:dyDescent="0.25">
      <c r="A173" s="6">
        <v>173</v>
      </c>
      <c r="B173" s="11" t="s">
        <v>511</v>
      </c>
      <c r="C173" s="10" t="s">
        <v>793</v>
      </c>
      <c r="D173" s="55" t="s">
        <v>740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736</v>
      </c>
      <c r="L173" s="46" t="s">
        <v>710</v>
      </c>
      <c r="M173" s="47" t="s">
        <v>765</v>
      </c>
      <c r="N173" s="44" t="s">
        <v>1</v>
      </c>
      <c r="O173" s="12" t="s">
        <v>184</v>
      </c>
      <c r="P173" s="46" t="s">
        <v>711</v>
      </c>
      <c r="Q173" s="47" t="s">
        <v>737</v>
      </c>
      <c r="R173" s="46" t="s">
        <v>715</v>
      </c>
      <c r="S173" s="47" t="s">
        <v>737</v>
      </c>
      <c r="T173" s="46" t="s">
        <v>712</v>
      </c>
      <c r="U173" s="47" t="s">
        <v>737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7" customHeight="1" x14ac:dyDescent="0.25">
      <c r="A174" s="6">
        <v>174</v>
      </c>
      <c r="B174" s="11" t="s">
        <v>512</v>
      </c>
      <c r="C174" s="10" t="s">
        <v>793</v>
      </c>
      <c r="D174" s="55" t="s">
        <v>740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736</v>
      </c>
      <c r="L174" s="46" t="s">
        <v>710</v>
      </c>
      <c r="M174" s="47" t="s">
        <v>765</v>
      </c>
      <c r="N174" s="44" t="s">
        <v>1</v>
      </c>
      <c r="O174" s="12" t="s">
        <v>185</v>
      </c>
      <c r="P174" s="46" t="s">
        <v>711</v>
      </c>
      <c r="Q174" s="47" t="s">
        <v>737</v>
      </c>
      <c r="R174" s="46" t="s">
        <v>715</v>
      </c>
      <c r="S174" s="47" t="s">
        <v>737</v>
      </c>
      <c r="T174" s="46" t="s">
        <v>712</v>
      </c>
      <c r="U174" s="47" t="s">
        <v>737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7" customHeight="1" x14ac:dyDescent="0.25">
      <c r="A175" s="6">
        <v>175</v>
      </c>
      <c r="B175" s="11" t="s">
        <v>513</v>
      </c>
      <c r="C175" s="10" t="s">
        <v>793</v>
      </c>
      <c r="D175" s="55" t="s">
        <v>740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736</v>
      </c>
      <c r="L175" s="46" t="s">
        <v>710</v>
      </c>
      <c r="M175" s="47" t="s">
        <v>765</v>
      </c>
      <c r="N175" s="44" t="s">
        <v>1</v>
      </c>
      <c r="O175" s="12" t="s">
        <v>186</v>
      </c>
      <c r="P175" s="46" t="s">
        <v>711</v>
      </c>
      <c r="Q175" s="47" t="s">
        <v>737</v>
      </c>
      <c r="R175" s="46" t="s">
        <v>715</v>
      </c>
      <c r="S175" s="47" t="s">
        <v>737</v>
      </c>
      <c r="T175" s="46" t="s">
        <v>712</v>
      </c>
      <c r="U175" s="47" t="s">
        <v>737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7" customHeight="1" x14ac:dyDescent="0.25">
      <c r="A176" s="6">
        <v>176</v>
      </c>
      <c r="B176" s="11" t="s">
        <v>514</v>
      </c>
      <c r="C176" s="10" t="s">
        <v>793</v>
      </c>
      <c r="D176" s="55" t="s">
        <v>740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736</v>
      </c>
      <c r="L176" s="46" t="s">
        <v>710</v>
      </c>
      <c r="M176" s="47" t="s">
        <v>765</v>
      </c>
      <c r="N176" s="44" t="s">
        <v>1</v>
      </c>
      <c r="O176" s="12" t="s">
        <v>187</v>
      </c>
      <c r="P176" s="46" t="s">
        <v>711</v>
      </c>
      <c r="Q176" s="47" t="s">
        <v>737</v>
      </c>
      <c r="R176" s="46" t="s">
        <v>715</v>
      </c>
      <c r="S176" s="47" t="s">
        <v>737</v>
      </c>
      <c r="T176" s="46" t="s">
        <v>712</v>
      </c>
      <c r="U176" s="47" t="s">
        <v>737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7" customHeight="1" x14ac:dyDescent="0.25">
      <c r="A177" s="6">
        <v>177</v>
      </c>
      <c r="B177" s="11" t="s">
        <v>515</v>
      </c>
      <c r="C177" s="10" t="s">
        <v>793</v>
      </c>
      <c r="D177" s="55" t="s">
        <v>740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736</v>
      </c>
      <c r="L177" s="46" t="s">
        <v>710</v>
      </c>
      <c r="M177" s="47" t="s">
        <v>765</v>
      </c>
      <c r="N177" s="44" t="s">
        <v>1</v>
      </c>
      <c r="O177" s="12" t="s">
        <v>188</v>
      </c>
      <c r="P177" s="46" t="s">
        <v>711</v>
      </c>
      <c r="Q177" s="47" t="s">
        <v>737</v>
      </c>
      <c r="R177" s="46" t="s">
        <v>715</v>
      </c>
      <c r="S177" s="47" t="s">
        <v>737</v>
      </c>
      <c r="T177" s="46" t="s">
        <v>712</v>
      </c>
      <c r="U177" s="47" t="s">
        <v>737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7" customHeight="1" x14ac:dyDescent="0.25">
      <c r="A178" s="6">
        <v>178</v>
      </c>
      <c r="B178" s="11" t="s">
        <v>516</v>
      </c>
      <c r="C178" s="10" t="s">
        <v>793</v>
      </c>
      <c r="D178" s="55" t="s">
        <v>740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736</v>
      </c>
      <c r="L178" s="46" t="s">
        <v>710</v>
      </c>
      <c r="M178" s="47" t="s">
        <v>765</v>
      </c>
      <c r="N178" s="44" t="s">
        <v>1</v>
      </c>
      <c r="O178" s="12" t="s">
        <v>189</v>
      </c>
      <c r="P178" s="46" t="s">
        <v>711</v>
      </c>
      <c r="Q178" s="47" t="s">
        <v>737</v>
      </c>
      <c r="R178" s="46" t="s">
        <v>715</v>
      </c>
      <c r="S178" s="47" t="s">
        <v>737</v>
      </c>
      <c r="T178" s="46" t="s">
        <v>712</v>
      </c>
      <c r="U178" s="47" t="s">
        <v>737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7" customHeight="1" x14ac:dyDescent="0.25">
      <c r="A179" s="6">
        <v>179</v>
      </c>
      <c r="B179" s="11" t="s">
        <v>517</v>
      </c>
      <c r="C179" s="10" t="s">
        <v>793</v>
      </c>
      <c r="D179" s="55" t="s">
        <v>740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736</v>
      </c>
      <c r="L179" s="46" t="s">
        <v>710</v>
      </c>
      <c r="M179" s="47" t="s">
        <v>765</v>
      </c>
      <c r="N179" s="44" t="s">
        <v>1</v>
      </c>
      <c r="O179" s="12" t="s">
        <v>190</v>
      </c>
      <c r="P179" s="46" t="s">
        <v>711</v>
      </c>
      <c r="Q179" s="47" t="s">
        <v>737</v>
      </c>
      <c r="R179" s="46" t="s">
        <v>715</v>
      </c>
      <c r="S179" s="47" t="s">
        <v>737</v>
      </c>
      <c r="T179" s="46" t="s">
        <v>712</v>
      </c>
      <c r="U179" s="47" t="s">
        <v>737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7" customHeight="1" x14ac:dyDescent="0.25">
      <c r="A180" s="6">
        <v>180</v>
      </c>
      <c r="B180" s="11" t="s">
        <v>518</v>
      </c>
      <c r="C180" s="10" t="s">
        <v>793</v>
      </c>
      <c r="D180" s="55" t="s">
        <v>740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736</v>
      </c>
      <c r="L180" s="46" t="s">
        <v>710</v>
      </c>
      <c r="M180" s="47" t="s">
        <v>765</v>
      </c>
      <c r="N180" s="44" t="s">
        <v>1</v>
      </c>
      <c r="O180" s="12" t="s">
        <v>191</v>
      </c>
      <c r="P180" s="46" t="s">
        <v>711</v>
      </c>
      <c r="Q180" s="47" t="s">
        <v>737</v>
      </c>
      <c r="R180" s="46" t="s">
        <v>715</v>
      </c>
      <c r="S180" s="47" t="s">
        <v>737</v>
      </c>
      <c r="T180" s="46" t="s">
        <v>712</v>
      </c>
      <c r="U180" s="47" t="s">
        <v>737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7" customHeight="1" x14ac:dyDescent="0.25">
      <c r="A181" s="6">
        <v>181</v>
      </c>
      <c r="B181" s="11" t="s">
        <v>519</v>
      </c>
      <c r="C181" s="10" t="s">
        <v>793</v>
      </c>
      <c r="D181" s="55" t="s">
        <v>740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736</v>
      </c>
      <c r="L181" s="46" t="s">
        <v>710</v>
      </c>
      <c r="M181" s="47" t="s">
        <v>765</v>
      </c>
      <c r="N181" s="44" t="s">
        <v>1</v>
      </c>
      <c r="O181" s="12" t="s">
        <v>192</v>
      </c>
      <c r="P181" s="46" t="s">
        <v>711</v>
      </c>
      <c r="Q181" s="47" t="s">
        <v>737</v>
      </c>
      <c r="R181" s="46" t="s">
        <v>715</v>
      </c>
      <c r="S181" s="47" t="s">
        <v>737</v>
      </c>
      <c r="T181" s="46" t="s">
        <v>712</v>
      </c>
      <c r="U181" s="47" t="s">
        <v>737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7" customHeight="1" x14ac:dyDescent="0.25">
      <c r="A182" s="6">
        <v>182</v>
      </c>
      <c r="B182" s="11" t="s">
        <v>520</v>
      </c>
      <c r="C182" s="10" t="s">
        <v>794</v>
      </c>
      <c r="D182" s="55" t="s">
        <v>740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736</v>
      </c>
      <c r="L182" s="46" t="s">
        <v>710</v>
      </c>
      <c r="M182" s="47" t="s">
        <v>766</v>
      </c>
      <c r="N182" s="44" t="s">
        <v>1</v>
      </c>
      <c r="O182" s="12" t="s">
        <v>193</v>
      </c>
      <c r="P182" s="46" t="s">
        <v>711</v>
      </c>
      <c r="Q182" s="47" t="s">
        <v>737</v>
      </c>
      <c r="R182" s="46" t="s">
        <v>715</v>
      </c>
      <c r="S182" s="47" t="s">
        <v>737</v>
      </c>
      <c r="T182" s="46" t="s">
        <v>712</v>
      </c>
      <c r="U182" s="47" t="s">
        <v>737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7" customHeight="1" x14ac:dyDescent="0.25">
      <c r="A183" s="6">
        <v>183</v>
      </c>
      <c r="B183" s="11" t="s">
        <v>521</v>
      </c>
      <c r="C183" s="10" t="s">
        <v>794</v>
      </c>
      <c r="D183" s="55" t="s">
        <v>740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736</v>
      </c>
      <c r="L183" s="46" t="s">
        <v>710</v>
      </c>
      <c r="M183" s="47" t="s">
        <v>766</v>
      </c>
      <c r="N183" s="44" t="s">
        <v>1</v>
      </c>
      <c r="O183" s="12" t="s">
        <v>194</v>
      </c>
      <c r="P183" s="46" t="s">
        <v>711</v>
      </c>
      <c r="Q183" s="47" t="s">
        <v>737</v>
      </c>
      <c r="R183" s="46" t="s">
        <v>715</v>
      </c>
      <c r="S183" s="47" t="s">
        <v>737</v>
      </c>
      <c r="T183" s="46" t="s">
        <v>712</v>
      </c>
      <c r="U183" s="47" t="s">
        <v>737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7" customHeight="1" x14ac:dyDescent="0.25">
      <c r="A184" s="6">
        <v>184</v>
      </c>
      <c r="B184" s="11" t="s">
        <v>522</v>
      </c>
      <c r="C184" s="10" t="s">
        <v>794</v>
      </c>
      <c r="D184" s="55" t="s">
        <v>740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736</v>
      </c>
      <c r="L184" s="46" t="s">
        <v>710</v>
      </c>
      <c r="M184" s="47" t="s">
        <v>766</v>
      </c>
      <c r="N184" s="44" t="s">
        <v>1</v>
      </c>
      <c r="O184" s="12" t="s">
        <v>195</v>
      </c>
      <c r="P184" s="46" t="s">
        <v>711</v>
      </c>
      <c r="Q184" s="47" t="s">
        <v>737</v>
      </c>
      <c r="R184" s="46" t="s">
        <v>715</v>
      </c>
      <c r="S184" s="47" t="s">
        <v>737</v>
      </c>
      <c r="T184" s="46" t="s">
        <v>712</v>
      </c>
      <c r="U184" s="47" t="s">
        <v>737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7" customHeight="1" x14ac:dyDescent="0.25">
      <c r="A185" s="6">
        <v>185</v>
      </c>
      <c r="B185" s="11" t="s">
        <v>523</v>
      </c>
      <c r="C185" s="10" t="s">
        <v>794</v>
      </c>
      <c r="D185" s="55" t="s">
        <v>740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736</v>
      </c>
      <c r="L185" s="46" t="s">
        <v>710</v>
      </c>
      <c r="M185" s="47" t="s">
        <v>766</v>
      </c>
      <c r="N185" s="44" t="s">
        <v>1</v>
      </c>
      <c r="O185" s="12" t="s">
        <v>196</v>
      </c>
      <c r="P185" s="46" t="s">
        <v>711</v>
      </c>
      <c r="Q185" s="47" t="s">
        <v>737</v>
      </c>
      <c r="R185" s="46" t="s">
        <v>715</v>
      </c>
      <c r="S185" s="47" t="s">
        <v>737</v>
      </c>
      <c r="T185" s="46" t="s">
        <v>712</v>
      </c>
      <c r="U185" s="47" t="s">
        <v>737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7" customHeight="1" x14ac:dyDescent="0.25">
      <c r="A186" s="6">
        <v>186</v>
      </c>
      <c r="B186" s="11" t="s">
        <v>524</v>
      </c>
      <c r="C186" s="10" t="s">
        <v>794</v>
      </c>
      <c r="D186" s="55" t="s">
        <v>740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736</v>
      </c>
      <c r="L186" s="46" t="s">
        <v>710</v>
      </c>
      <c r="M186" s="47" t="s">
        <v>766</v>
      </c>
      <c r="N186" s="44" t="s">
        <v>1</v>
      </c>
      <c r="O186" s="12" t="s">
        <v>197</v>
      </c>
      <c r="P186" s="46" t="s">
        <v>711</v>
      </c>
      <c r="Q186" s="47" t="s">
        <v>737</v>
      </c>
      <c r="R186" s="46" t="s">
        <v>715</v>
      </c>
      <c r="S186" s="47" t="s">
        <v>737</v>
      </c>
      <c r="T186" s="46" t="s">
        <v>712</v>
      </c>
      <c r="U186" s="47" t="s">
        <v>737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7" customHeight="1" x14ac:dyDescent="0.25">
      <c r="A187" s="6">
        <v>187</v>
      </c>
      <c r="B187" s="11" t="s">
        <v>525</v>
      </c>
      <c r="C187" s="10" t="s">
        <v>794</v>
      </c>
      <c r="D187" s="55" t="s">
        <v>740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736</v>
      </c>
      <c r="L187" s="46" t="s">
        <v>710</v>
      </c>
      <c r="M187" s="47" t="s">
        <v>766</v>
      </c>
      <c r="N187" s="44" t="s">
        <v>1</v>
      </c>
      <c r="O187" s="12" t="s">
        <v>198</v>
      </c>
      <c r="P187" s="46" t="s">
        <v>711</v>
      </c>
      <c r="Q187" s="47" t="s">
        <v>737</v>
      </c>
      <c r="R187" s="46" t="s">
        <v>715</v>
      </c>
      <c r="S187" s="47" t="s">
        <v>737</v>
      </c>
      <c r="T187" s="46" t="s">
        <v>712</v>
      </c>
      <c r="U187" s="47" t="s">
        <v>737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7" customHeight="1" x14ac:dyDescent="0.25">
      <c r="A188" s="6">
        <v>188</v>
      </c>
      <c r="B188" s="11" t="s">
        <v>526</v>
      </c>
      <c r="C188" s="10" t="s">
        <v>794</v>
      </c>
      <c r="D188" s="55" t="s">
        <v>740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736</v>
      </c>
      <c r="L188" s="46" t="s">
        <v>710</v>
      </c>
      <c r="M188" s="47" t="s">
        <v>766</v>
      </c>
      <c r="N188" s="44" t="s">
        <v>1</v>
      </c>
      <c r="O188" s="12" t="s">
        <v>199</v>
      </c>
      <c r="P188" s="46" t="s">
        <v>711</v>
      </c>
      <c r="Q188" s="47" t="s">
        <v>737</v>
      </c>
      <c r="R188" s="46" t="s">
        <v>715</v>
      </c>
      <c r="S188" s="47" t="s">
        <v>737</v>
      </c>
      <c r="T188" s="46" t="s">
        <v>712</v>
      </c>
      <c r="U188" s="47" t="s">
        <v>737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7" customHeight="1" x14ac:dyDescent="0.25">
      <c r="A189" s="6">
        <v>189</v>
      </c>
      <c r="B189" s="11" t="s">
        <v>527</v>
      </c>
      <c r="C189" s="10" t="s">
        <v>794</v>
      </c>
      <c r="D189" s="55" t="s">
        <v>740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736</v>
      </c>
      <c r="L189" s="46" t="s">
        <v>710</v>
      </c>
      <c r="M189" s="47" t="s">
        <v>766</v>
      </c>
      <c r="N189" s="44" t="s">
        <v>1</v>
      </c>
      <c r="O189" s="12" t="s">
        <v>200</v>
      </c>
      <c r="P189" s="46" t="s">
        <v>711</v>
      </c>
      <c r="Q189" s="47" t="s">
        <v>737</v>
      </c>
      <c r="R189" s="46" t="s">
        <v>715</v>
      </c>
      <c r="S189" s="47" t="s">
        <v>737</v>
      </c>
      <c r="T189" s="46" t="s">
        <v>712</v>
      </c>
      <c r="U189" s="47" t="s">
        <v>737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7" customHeight="1" x14ac:dyDescent="0.25">
      <c r="A190" s="6">
        <v>190</v>
      </c>
      <c r="B190" s="11" t="s">
        <v>528</v>
      </c>
      <c r="C190" s="10" t="s">
        <v>794</v>
      </c>
      <c r="D190" s="55" t="s">
        <v>740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736</v>
      </c>
      <c r="L190" s="46" t="s">
        <v>710</v>
      </c>
      <c r="M190" s="47" t="s">
        <v>766</v>
      </c>
      <c r="N190" s="44" t="s">
        <v>1</v>
      </c>
      <c r="O190" s="12" t="s">
        <v>201</v>
      </c>
      <c r="P190" s="46" t="s">
        <v>711</v>
      </c>
      <c r="Q190" s="47" t="s">
        <v>737</v>
      </c>
      <c r="R190" s="46" t="s">
        <v>715</v>
      </c>
      <c r="S190" s="47" t="s">
        <v>737</v>
      </c>
      <c r="T190" s="46" t="s">
        <v>712</v>
      </c>
      <c r="U190" s="47" t="s">
        <v>737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7" customHeight="1" x14ac:dyDescent="0.25">
      <c r="A191" s="6">
        <v>191</v>
      </c>
      <c r="B191" s="11" t="s">
        <v>529</v>
      </c>
      <c r="C191" s="10" t="s">
        <v>794</v>
      </c>
      <c r="D191" s="55" t="s">
        <v>740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736</v>
      </c>
      <c r="L191" s="46" t="s">
        <v>710</v>
      </c>
      <c r="M191" s="47" t="s">
        <v>766</v>
      </c>
      <c r="N191" s="44" t="s">
        <v>1</v>
      </c>
      <c r="O191" s="12" t="s">
        <v>202</v>
      </c>
      <c r="P191" s="46" t="s">
        <v>711</v>
      </c>
      <c r="Q191" s="47" t="s">
        <v>737</v>
      </c>
      <c r="R191" s="46" t="s">
        <v>715</v>
      </c>
      <c r="S191" s="47" t="s">
        <v>737</v>
      </c>
      <c r="T191" s="46" t="s">
        <v>712</v>
      </c>
      <c r="U191" s="47" t="s">
        <v>737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7" customHeight="1" x14ac:dyDescent="0.25">
      <c r="A192" s="6">
        <v>192</v>
      </c>
      <c r="B192" s="11" t="s">
        <v>530</v>
      </c>
      <c r="C192" s="10" t="s">
        <v>794</v>
      </c>
      <c r="D192" s="55" t="s">
        <v>740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736</v>
      </c>
      <c r="L192" s="46" t="s">
        <v>710</v>
      </c>
      <c r="M192" s="47" t="s">
        <v>766</v>
      </c>
      <c r="N192" s="44" t="s">
        <v>1</v>
      </c>
      <c r="O192" s="12" t="s">
        <v>203</v>
      </c>
      <c r="P192" s="46" t="s">
        <v>711</v>
      </c>
      <c r="Q192" s="47" t="s">
        <v>737</v>
      </c>
      <c r="R192" s="46" t="s">
        <v>715</v>
      </c>
      <c r="S192" s="47" t="s">
        <v>737</v>
      </c>
      <c r="T192" s="46" t="s">
        <v>712</v>
      </c>
      <c r="U192" s="47" t="s">
        <v>737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7" customHeight="1" x14ac:dyDescent="0.25">
      <c r="A193" s="6">
        <v>193</v>
      </c>
      <c r="B193" s="11" t="s">
        <v>531</v>
      </c>
      <c r="C193" s="10" t="s">
        <v>795</v>
      </c>
      <c r="D193" s="55" t="s">
        <v>740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736</v>
      </c>
      <c r="L193" s="46" t="s">
        <v>710</v>
      </c>
      <c r="M193" s="47" t="s">
        <v>767</v>
      </c>
      <c r="N193" s="44" t="s">
        <v>1</v>
      </c>
      <c r="O193" s="12" t="s">
        <v>204</v>
      </c>
      <c r="P193" s="46" t="s">
        <v>711</v>
      </c>
      <c r="Q193" s="47" t="s">
        <v>737</v>
      </c>
      <c r="R193" s="46" t="s">
        <v>715</v>
      </c>
      <c r="S193" s="47" t="s">
        <v>737</v>
      </c>
      <c r="T193" s="46" t="s">
        <v>712</v>
      </c>
      <c r="U193" s="47" t="s">
        <v>737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7" customHeight="1" x14ac:dyDescent="0.25">
      <c r="A194" s="6">
        <v>194</v>
      </c>
      <c r="B194" s="11" t="s">
        <v>532</v>
      </c>
      <c r="C194" s="10" t="s">
        <v>795</v>
      </c>
      <c r="D194" s="55" t="s">
        <v>740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736</v>
      </c>
      <c r="L194" s="46" t="s">
        <v>710</v>
      </c>
      <c r="M194" s="47" t="s">
        <v>767</v>
      </c>
      <c r="N194" s="44" t="s">
        <v>1</v>
      </c>
      <c r="O194" s="12" t="s">
        <v>205</v>
      </c>
      <c r="P194" s="46" t="s">
        <v>711</v>
      </c>
      <c r="Q194" s="47" t="s">
        <v>737</v>
      </c>
      <c r="R194" s="46" t="s">
        <v>715</v>
      </c>
      <c r="S194" s="47" t="s">
        <v>737</v>
      </c>
      <c r="T194" s="46" t="s">
        <v>712</v>
      </c>
      <c r="U194" s="47" t="s">
        <v>737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7" customHeight="1" x14ac:dyDescent="0.25">
      <c r="A195" s="6">
        <v>195</v>
      </c>
      <c r="B195" s="11" t="s">
        <v>533</v>
      </c>
      <c r="C195" s="10" t="s">
        <v>795</v>
      </c>
      <c r="D195" s="55" t="s">
        <v>740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736</v>
      </c>
      <c r="L195" s="46" t="s">
        <v>710</v>
      </c>
      <c r="M195" s="47" t="s">
        <v>767</v>
      </c>
      <c r="N195" s="44" t="s">
        <v>1</v>
      </c>
      <c r="O195" s="12" t="s">
        <v>206</v>
      </c>
      <c r="P195" s="46" t="s">
        <v>711</v>
      </c>
      <c r="Q195" s="47" t="s">
        <v>737</v>
      </c>
      <c r="R195" s="46" t="s">
        <v>715</v>
      </c>
      <c r="S195" s="47" t="s">
        <v>737</v>
      </c>
      <c r="T195" s="46" t="s">
        <v>712</v>
      </c>
      <c r="U195" s="47" t="s">
        <v>737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7" customHeight="1" x14ac:dyDescent="0.25">
      <c r="A196" s="6">
        <v>196</v>
      </c>
      <c r="B196" s="11" t="s">
        <v>534</v>
      </c>
      <c r="C196" s="10" t="s">
        <v>795</v>
      </c>
      <c r="D196" s="55" t="s">
        <v>740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736</v>
      </c>
      <c r="L196" s="46" t="s">
        <v>710</v>
      </c>
      <c r="M196" s="47" t="s">
        <v>767</v>
      </c>
      <c r="N196" s="44" t="s">
        <v>1</v>
      </c>
      <c r="O196" s="12" t="s">
        <v>207</v>
      </c>
      <c r="P196" s="46" t="s">
        <v>711</v>
      </c>
      <c r="Q196" s="47" t="s">
        <v>737</v>
      </c>
      <c r="R196" s="46" t="s">
        <v>715</v>
      </c>
      <c r="S196" s="47" t="s">
        <v>737</v>
      </c>
      <c r="T196" s="46" t="s">
        <v>712</v>
      </c>
      <c r="U196" s="47" t="s">
        <v>737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7" customHeight="1" x14ac:dyDescent="0.25">
      <c r="A197" s="6">
        <v>197</v>
      </c>
      <c r="B197" s="11" t="s">
        <v>535</v>
      </c>
      <c r="C197" s="10" t="s">
        <v>795</v>
      </c>
      <c r="D197" s="55" t="s">
        <v>740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736</v>
      </c>
      <c r="L197" s="46" t="s">
        <v>710</v>
      </c>
      <c r="M197" s="47" t="s">
        <v>767</v>
      </c>
      <c r="N197" s="44" t="s">
        <v>1</v>
      </c>
      <c r="O197" s="12" t="s">
        <v>208</v>
      </c>
      <c r="P197" s="46" t="s">
        <v>711</v>
      </c>
      <c r="Q197" s="47" t="s">
        <v>737</v>
      </c>
      <c r="R197" s="46" t="s">
        <v>715</v>
      </c>
      <c r="S197" s="47" t="s">
        <v>737</v>
      </c>
      <c r="T197" s="46" t="s">
        <v>712</v>
      </c>
      <c r="U197" s="47" t="s">
        <v>737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7" customHeight="1" x14ac:dyDescent="0.25">
      <c r="A198" s="6">
        <v>198</v>
      </c>
      <c r="B198" s="11" t="s">
        <v>536</v>
      </c>
      <c r="C198" s="10" t="s">
        <v>795</v>
      </c>
      <c r="D198" s="55" t="s">
        <v>740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736</v>
      </c>
      <c r="L198" s="46" t="s">
        <v>710</v>
      </c>
      <c r="M198" s="47" t="s">
        <v>767</v>
      </c>
      <c r="N198" s="44" t="s">
        <v>1</v>
      </c>
      <c r="O198" s="12" t="s">
        <v>209</v>
      </c>
      <c r="P198" s="46" t="s">
        <v>711</v>
      </c>
      <c r="Q198" s="47" t="s">
        <v>737</v>
      </c>
      <c r="R198" s="46" t="s">
        <v>715</v>
      </c>
      <c r="S198" s="47" t="s">
        <v>737</v>
      </c>
      <c r="T198" s="46" t="s">
        <v>712</v>
      </c>
      <c r="U198" s="47" t="s">
        <v>737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7" customHeight="1" x14ac:dyDescent="0.25">
      <c r="A199" s="6">
        <v>199</v>
      </c>
      <c r="B199" s="11" t="s">
        <v>537</v>
      </c>
      <c r="C199" s="10" t="s">
        <v>795</v>
      </c>
      <c r="D199" s="55" t="s">
        <v>740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736</v>
      </c>
      <c r="L199" s="46" t="s">
        <v>710</v>
      </c>
      <c r="M199" s="47" t="s">
        <v>767</v>
      </c>
      <c r="N199" s="44" t="s">
        <v>1</v>
      </c>
      <c r="O199" s="12" t="s">
        <v>210</v>
      </c>
      <c r="P199" s="46" t="s">
        <v>711</v>
      </c>
      <c r="Q199" s="47" t="s">
        <v>737</v>
      </c>
      <c r="R199" s="46" t="s">
        <v>715</v>
      </c>
      <c r="S199" s="47" t="s">
        <v>737</v>
      </c>
      <c r="T199" s="46" t="s">
        <v>712</v>
      </c>
      <c r="U199" s="47" t="s">
        <v>737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7" customHeight="1" x14ac:dyDescent="0.25">
      <c r="A200" s="6">
        <v>200</v>
      </c>
      <c r="B200" s="11" t="s">
        <v>538</v>
      </c>
      <c r="C200" s="10" t="s">
        <v>795</v>
      </c>
      <c r="D200" s="55" t="s">
        <v>740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736</v>
      </c>
      <c r="L200" s="46" t="s">
        <v>710</v>
      </c>
      <c r="M200" s="47" t="s">
        <v>767</v>
      </c>
      <c r="N200" s="44" t="s">
        <v>1</v>
      </c>
      <c r="O200" s="12" t="s">
        <v>211</v>
      </c>
      <c r="P200" s="46" t="s">
        <v>711</v>
      </c>
      <c r="Q200" s="47" t="s">
        <v>737</v>
      </c>
      <c r="R200" s="46" t="s">
        <v>715</v>
      </c>
      <c r="S200" s="47" t="s">
        <v>737</v>
      </c>
      <c r="T200" s="46" t="s">
        <v>712</v>
      </c>
      <c r="U200" s="47" t="s">
        <v>737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7" customHeight="1" x14ac:dyDescent="0.25">
      <c r="A201" s="6">
        <v>201</v>
      </c>
      <c r="B201" s="11" t="s">
        <v>539</v>
      </c>
      <c r="C201" s="10" t="s">
        <v>795</v>
      </c>
      <c r="D201" s="55" t="s">
        <v>740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736</v>
      </c>
      <c r="L201" s="46" t="s">
        <v>710</v>
      </c>
      <c r="M201" s="47" t="s">
        <v>767</v>
      </c>
      <c r="N201" s="44" t="s">
        <v>1</v>
      </c>
      <c r="O201" s="12" t="s">
        <v>212</v>
      </c>
      <c r="P201" s="46" t="s">
        <v>711</v>
      </c>
      <c r="Q201" s="47" t="s">
        <v>737</v>
      </c>
      <c r="R201" s="46" t="s">
        <v>715</v>
      </c>
      <c r="S201" s="47" t="s">
        <v>737</v>
      </c>
      <c r="T201" s="46" t="s">
        <v>712</v>
      </c>
      <c r="U201" s="47" t="s">
        <v>737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7" customHeight="1" x14ac:dyDescent="0.25">
      <c r="A202" s="6">
        <v>202</v>
      </c>
      <c r="B202" s="11" t="s">
        <v>540</v>
      </c>
      <c r="C202" s="10" t="s">
        <v>795</v>
      </c>
      <c r="D202" s="55" t="s">
        <v>740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736</v>
      </c>
      <c r="L202" s="46" t="s">
        <v>710</v>
      </c>
      <c r="M202" s="47" t="s">
        <v>767</v>
      </c>
      <c r="N202" s="44" t="s">
        <v>1</v>
      </c>
      <c r="O202" s="12" t="s">
        <v>213</v>
      </c>
      <c r="P202" s="46" t="s">
        <v>711</v>
      </c>
      <c r="Q202" s="47" t="s">
        <v>737</v>
      </c>
      <c r="R202" s="46" t="s">
        <v>715</v>
      </c>
      <c r="S202" s="47" t="s">
        <v>737</v>
      </c>
      <c r="T202" s="46" t="s">
        <v>712</v>
      </c>
      <c r="U202" s="47" t="s">
        <v>737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7" customHeight="1" x14ac:dyDescent="0.25">
      <c r="A203" s="6">
        <v>203</v>
      </c>
      <c r="B203" s="11" t="s">
        <v>541</v>
      </c>
      <c r="C203" s="10" t="s">
        <v>795</v>
      </c>
      <c r="D203" s="55" t="s">
        <v>740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736</v>
      </c>
      <c r="L203" s="46" t="s">
        <v>710</v>
      </c>
      <c r="M203" s="47" t="s">
        <v>767</v>
      </c>
      <c r="N203" s="44" t="s">
        <v>1</v>
      </c>
      <c r="O203" s="12" t="s">
        <v>214</v>
      </c>
      <c r="P203" s="46" t="s">
        <v>711</v>
      </c>
      <c r="Q203" s="47" t="s">
        <v>737</v>
      </c>
      <c r="R203" s="46" t="s">
        <v>715</v>
      </c>
      <c r="S203" s="47" t="s">
        <v>737</v>
      </c>
      <c r="T203" s="46" t="s">
        <v>712</v>
      </c>
      <c r="U203" s="47" t="s">
        <v>737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7" customHeight="1" x14ac:dyDescent="0.25">
      <c r="A204" s="6">
        <v>204</v>
      </c>
      <c r="B204" s="11" t="s">
        <v>542</v>
      </c>
      <c r="C204" s="10" t="s">
        <v>795</v>
      </c>
      <c r="D204" s="55" t="s">
        <v>740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736</v>
      </c>
      <c r="L204" s="46" t="s">
        <v>710</v>
      </c>
      <c r="M204" s="47" t="s">
        <v>767</v>
      </c>
      <c r="N204" s="44" t="s">
        <v>1</v>
      </c>
      <c r="O204" s="12" t="s">
        <v>215</v>
      </c>
      <c r="P204" s="46" t="s">
        <v>711</v>
      </c>
      <c r="Q204" s="47" t="s">
        <v>737</v>
      </c>
      <c r="R204" s="46" t="s">
        <v>715</v>
      </c>
      <c r="S204" s="47" t="s">
        <v>737</v>
      </c>
      <c r="T204" s="46" t="s">
        <v>712</v>
      </c>
      <c r="U204" s="47" t="s">
        <v>737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7" customHeight="1" x14ac:dyDescent="0.25">
      <c r="A205" s="6">
        <v>205</v>
      </c>
      <c r="B205" s="11" t="s">
        <v>543</v>
      </c>
      <c r="C205" s="10" t="s">
        <v>795</v>
      </c>
      <c r="D205" s="55" t="s">
        <v>740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736</v>
      </c>
      <c r="L205" s="46" t="s">
        <v>710</v>
      </c>
      <c r="M205" s="47" t="s">
        <v>767</v>
      </c>
      <c r="N205" s="44" t="s">
        <v>1</v>
      </c>
      <c r="O205" s="12" t="s">
        <v>216</v>
      </c>
      <c r="P205" s="46" t="s">
        <v>711</v>
      </c>
      <c r="Q205" s="47" t="s">
        <v>737</v>
      </c>
      <c r="R205" s="46" t="s">
        <v>715</v>
      </c>
      <c r="S205" s="47" t="s">
        <v>737</v>
      </c>
      <c r="T205" s="46" t="s">
        <v>712</v>
      </c>
      <c r="U205" s="47" t="s">
        <v>737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7" customHeight="1" x14ac:dyDescent="0.25">
      <c r="A206" s="6">
        <v>206</v>
      </c>
      <c r="B206" s="11" t="s">
        <v>544</v>
      </c>
      <c r="C206" s="10" t="s">
        <v>795</v>
      </c>
      <c r="D206" s="55" t="s">
        <v>740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736</v>
      </c>
      <c r="L206" s="46" t="s">
        <v>710</v>
      </c>
      <c r="M206" s="47" t="s">
        <v>767</v>
      </c>
      <c r="N206" s="44" t="s">
        <v>1</v>
      </c>
      <c r="O206" s="12" t="s">
        <v>217</v>
      </c>
      <c r="P206" s="46" t="s">
        <v>711</v>
      </c>
      <c r="Q206" s="47" t="s">
        <v>737</v>
      </c>
      <c r="R206" s="46" t="s">
        <v>715</v>
      </c>
      <c r="S206" s="47" t="s">
        <v>737</v>
      </c>
      <c r="T206" s="46" t="s">
        <v>712</v>
      </c>
      <c r="U206" s="47" t="s">
        <v>737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7" customHeight="1" x14ac:dyDescent="0.25">
      <c r="A207" s="6">
        <v>207</v>
      </c>
      <c r="B207" s="11" t="s">
        <v>545</v>
      </c>
      <c r="C207" s="10" t="s">
        <v>795</v>
      </c>
      <c r="D207" s="55" t="s">
        <v>740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736</v>
      </c>
      <c r="L207" s="46" t="s">
        <v>710</v>
      </c>
      <c r="M207" s="47" t="s">
        <v>767</v>
      </c>
      <c r="N207" s="44" t="s">
        <v>1</v>
      </c>
      <c r="O207" s="12" t="s">
        <v>218</v>
      </c>
      <c r="P207" s="46" t="s">
        <v>711</v>
      </c>
      <c r="Q207" s="47" t="s">
        <v>737</v>
      </c>
      <c r="R207" s="46" t="s">
        <v>715</v>
      </c>
      <c r="S207" s="47" t="s">
        <v>737</v>
      </c>
      <c r="T207" s="46" t="s">
        <v>712</v>
      </c>
      <c r="U207" s="47" t="s">
        <v>737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7" customHeight="1" x14ac:dyDescent="0.25">
      <c r="A208" s="6">
        <v>208</v>
      </c>
      <c r="B208" s="11" t="s">
        <v>546</v>
      </c>
      <c r="C208" s="10" t="s">
        <v>795</v>
      </c>
      <c r="D208" s="55" t="s">
        <v>740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736</v>
      </c>
      <c r="L208" s="46" t="s">
        <v>710</v>
      </c>
      <c r="M208" s="47" t="s">
        <v>767</v>
      </c>
      <c r="N208" s="44" t="s">
        <v>1</v>
      </c>
      <c r="O208" s="12" t="s">
        <v>219</v>
      </c>
      <c r="P208" s="46" t="s">
        <v>711</v>
      </c>
      <c r="Q208" s="47" t="s">
        <v>737</v>
      </c>
      <c r="R208" s="46" t="s">
        <v>715</v>
      </c>
      <c r="S208" s="47" t="s">
        <v>737</v>
      </c>
      <c r="T208" s="46" t="s">
        <v>712</v>
      </c>
      <c r="U208" s="47" t="s">
        <v>737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7" customHeight="1" x14ac:dyDescent="0.25">
      <c r="A209" s="6">
        <v>209</v>
      </c>
      <c r="B209" s="11" t="s">
        <v>547</v>
      </c>
      <c r="C209" s="10" t="s">
        <v>795</v>
      </c>
      <c r="D209" s="55" t="s">
        <v>740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736</v>
      </c>
      <c r="L209" s="46" t="s">
        <v>710</v>
      </c>
      <c r="M209" s="47" t="s">
        <v>767</v>
      </c>
      <c r="N209" s="44" t="s">
        <v>1</v>
      </c>
      <c r="O209" s="12" t="s">
        <v>220</v>
      </c>
      <c r="P209" s="46" t="s">
        <v>711</v>
      </c>
      <c r="Q209" s="47" t="s">
        <v>737</v>
      </c>
      <c r="R209" s="46" t="s">
        <v>715</v>
      </c>
      <c r="S209" s="47" t="s">
        <v>737</v>
      </c>
      <c r="T209" s="46" t="s">
        <v>712</v>
      </c>
      <c r="U209" s="47" t="s">
        <v>737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7" customHeight="1" x14ac:dyDescent="0.25">
      <c r="A210" s="6">
        <v>210</v>
      </c>
      <c r="B210" s="11" t="s">
        <v>548</v>
      </c>
      <c r="C210" s="10" t="s">
        <v>795</v>
      </c>
      <c r="D210" s="55" t="s">
        <v>740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736</v>
      </c>
      <c r="L210" s="46" t="s">
        <v>710</v>
      </c>
      <c r="M210" s="47" t="s">
        <v>767</v>
      </c>
      <c r="N210" s="44" t="s">
        <v>1</v>
      </c>
      <c r="O210" s="12" t="s">
        <v>221</v>
      </c>
      <c r="P210" s="46" t="s">
        <v>711</v>
      </c>
      <c r="Q210" s="47" t="s">
        <v>737</v>
      </c>
      <c r="R210" s="46" t="s">
        <v>715</v>
      </c>
      <c r="S210" s="47" t="s">
        <v>737</v>
      </c>
      <c r="T210" s="46" t="s">
        <v>712</v>
      </c>
      <c r="U210" s="47" t="s">
        <v>737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7" customHeight="1" x14ac:dyDescent="0.25">
      <c r="A211" s="6">
        <v>211</v>
      </c>
      <c r="B211" s="11" t="s">
        <v>549</v>
      </c>
      <c r="C211" s="10" t="s">
        <v>795</v>
      </c>
      <c r="D211" s="55" t="s">
        <v>740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736</v>
      </c>
      <c r="L211" s="46" t="s">
        <v>710</v>
      </c>
      <c r="M211" s="47" t="s">
        <v>767</v>
      </c>
      <c r="N211" s="44" t="s">
        <v>1</v>
      </c>
      <c r="O211" s="12" t="s">
        <v>222</v>
      </c>
      <c r="P211" s="46" t="s">
        <v>711</v>
      </c>
      <c r="Q211" s="47" t="s">
        <v>737</v>
      </c>
      <c r="R211" s="46" t="s">
        <v>715</v>
      </c>
      <c r="S211" s="47" t="s">
        <v>737</v>
      </c>
      <c r="T211" s="46" t="s">
        <v>712</v>
      </c>
      <c r="U211" s="47" t="s">
        <v>737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7" customHeight="1" x14ac:dyDescent="0.25">
      <c r="A212" s="6">
        <v>212</v>
      </c>
      <c r="B212" s="11" t="s">
        <v>550</v>
      </c>
      <c r="C212" s="10" t="s">
        <v>796</v>
      </c>
      <c r="D212" s="55" t="s">
        <v>740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736</v>
      </c>
      <c r="L212" s="46" t="s">
        <v>710</v>
      </c>
      <c r="M212" s="47" t="s">
        <v>768</v>
      </c>
      <c r="N212" s="44" t="s">
        <v>1</v>
      </c>
      <c r="O212" s="12" t="s">
        <v>223</v>
      </c>
      <c r="P212" s="46" t="s">
        <v>711</v>
      </c>
      <c r="Q212" s="47" t="s">
        <v>737</v>
      </c>
      <c r="R212" s="46" t="s">
        <v>715</v>
      </c>
      <c r="S212" s="47" t="s">
        <v>737</v>
      </c>
      <c r="T212" s="46" t="s">
        <v>712</v>
      </c>
      <c r="U212" s="47" t="s">
        <v>737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7" customHeight="1" x14ac:dyDescent="0.25">
      <c r="A213" s="6">
        <v>213</v>
      </c>
      <c r="B213" s="11" t="s">
        <v>551</v>
      </c>
      <c r="C213" s="10" t="s">
        <v>796</v>
      </c>
      <c r="D213" s="55" t="s">
        <v>740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736</v>
      </c>
      <c r="L213" s="46" t="s">
        <v>710</v>
      </c>
      <c r="M213" s="47" t="s">
        <v>768</v>
      </c>
      <c r="N213" s="44" t="s">
        <v>1</v>
      </c>
      <c r="O213" s="12" t="s">
        <v>224</v>
      </c>
      <c r="P213" s="46" t="s">
        <v>711</v>
      </c>
      <c r="Q213" s="47" t="s">
        <v>737</v>
      </c>
      <c r="R213" s="46" t="s">
        <v>715</v>
      </c>
      <c r="S213" s="47" t="s">
        <v>737</v>
      </c>
      <c r="T213" s="46" t="s">
        <v>712</v>
      </c>
      <c r="U213" s="47" t="s">
        <v>737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7" customHeight="1" x14ac:dyDescent="0.25">
      <c r="A214" s="6">
        <v>214</v>
      </c>
      <c r="B214" s="11" t="s">
        <v>552</v>
      </c>
      <c r="C214" s="10" t="s">
        <v>796</v>
      </c>
      <c r="D214" s="55" t="s">
        <v>740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736</v>
      </c>
      <c r="L214" s="46" t="s">
        <v>710</v>
      </c>
      <c r="M214" s="47" t="s">
        <v>768</v>
      </c>
      <c r="N214" s="44" t="s">
        <v>1</v>
      </c>
      <c r="O214" s="12" t="s">
        <v>225</v>
      </c>
      <c r="P214" s="46" t="s">
        <v>711</v>
      </c>
      <c r="Q214" s="47" t="s">
        <v>737</v>
      </c>
      <c r="R214" s="46" t="s">
        <v>715</v>
      </c>
      <c r="S214" s="47" t="s">
        <v>737</v>
      </c>
      <c r="T214" s="46" t="s">
        <v>712</v>
      </c>
      <c r="U214" s="47" t="s">
        <v>737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7" customHeight="1" x14ac:dyDescent="0.25">
      <c r="A215" s="6">
        <v>215</v>
      </c>
      <c r="B215" s="11" t="s">
        <v>553</v>
      </c>
      <c r="C215" s="10" t="s">
        <v>796</v>
      </c>
      <c r="D215" s="55" t="s">
        <v>740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736</v>
      </c>
      <c r="L215" s="46" t="s">
        <v>710</v>
      </c>
      <c r="M215" s="47" t="s">
        <v>768</v>
      </c>
      <c r="N215" s="44" t="s">
        <v>1</v>
      </c>
      <c r="O215" s="12" t="s">
        <v>226</v>
      </c>
      <c r="P215" s="46" t="s">
        <v>711</v>
      </c>
      <c r="Q215" s="47" t="s">
        <v>737</v>
      </c>
      <c r="R215" s="46" t="s">
        <v>715</v>
      </c>
      <c r="S215" s="47" t="s">
        <v>737</v>
      </c>
      <c r="T215" s="46" t="s">
        <v>712</v>
      </c>
      <c r="U215" s="47" t="s">
        <v>737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7" customHeight="1" x14ac:dyDescent="0.25">
      <c r="A216" s="6">
        <v>216</v>
      </c>
      <c r="B216" s="11" t="s">
        <v>554</v>
      </c>
      <c r="C216" s="10" t="s">
        <v>796</v>
      </c>
      <c r="D216" s="55" t="s">
        <v>740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736</v>
      </c>
      <c r="L216" s="46" t="s">
        <v>710</v>
      </c>
      <c r="M216" s="47" t="s">
        <v>768</v>
      </c>
      <c r="N216" s="44" t="s">
        <v>1</v>
      </c>
      <c r="O216" s="12" t="s">
        <v>227</v>
      </c>
      <c r="P216" s="46" t="s">
        <v>711</v>
      </c>
      <c r="Q216" s="47" t="s">
        <v>737</v>
      </c>
      <c r="R216" s="46" t="s">
        <v>715</v>
      </c>
      <c r="S216" s="47" t="s">
        <v>737</v>
      </c>
      <c r="T216" s="46" t="s">
        <v>712</v>
      </c>
      <c r="U216" s="47" t="s">
        <v>737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7" customHeight="1" x14ac:dyDescent="0.25">
      <c r="A217" s="6">
        <v>217</v>
      </c>
      <c r="B217" s="11" t="s">
        <v>555</v>
      </c>
      <c r="C217" s="10" t="s">
        <v>796</v>
      </c>
      <c r="D217" s="55" t="s">
        <v>740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736</v>
      </c>
      <c r="L217" s="46" t="s">
        <v>710</v>
      </c>
      <c r="M217" s="47" t="s">
        <v>768</v>
      </c>
      <c r="N217" s="44" t="s">
        <v>1</v>
      </c>
      <c r="O217" s="12" t="s">
        <v>228</v>
      </c>
      <c r="P217" s="46" t="s">
        <v>711</v>
      </c>
      <c r="Q217" s="47" t="s">
        <v>737</v>
      </c>
      <c r="R217" s="46" t="s">
        <v>715</v>
      </c>
      <c r="S217" s="47" t="s">
        <v>737</v>
      </c>
      <c r="T217" s="46" t="s">
        <v>712</v>
      </c>
      <c r="U217" s="47" t="s">
        <v>737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7" customHeight="1" x14ac:dyDescent="0.25">
      <c r="A218" s="6">
        <v>218</v>
      </c>
      <c r="B218" s="11" t="s">
        <v>556</v>
      </c>
      <c r="C218" s="10" t="s">
        <v>796</v>
      </c>
      <c r="D218" s="55" t="s">
        <v>740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736</v>
      </c>
      <c r="L218" s="46" t="s">
        <v>710</v>
      </c>
      <c r="M218" s="47" t="s">
        <v>768</v>
      </c>
      <c r="N218" s="44" t="s">
        <v>1</v>
      </c>
      <c r="O218" s="12" t="s">
        <v>229</v>
      </c>
      <c r="P218" s="46" t="s">
        <v>711</v>
      </c>
      <c r="Q218" s="47" t="s">
        <v>737</v>
      </c>
      <c r="R218" s="46" t="s">
        <v>715</v>
      </c>
      <c r="S218" s="47" t="s">
        <v>737</v>
      </c>
      <c r="T218" s="46" t="s">
        <v>712</v>
      </c>
      <c r="U218" s="47" t="s">
        <v>737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7" customHeight="1" x14ac:dyDescent="0.25">
      <c r="A219" s="6">
        <v>219</v>
      </c>
      <c r="B219" s="11" t="s">
        <v>557</v>
      </c>
      <c r="C219" s="10" t="s">
        <v>796</v>
      </c>
      <c r="D219" s="55" t="s">
        <v>740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736</v>
      </c>
      <c r="L219" s="46" t="s">
        <v>710</v>
      </c>
      <c r="M219" s="47" t="s">
        <v>768</v>
      </c>
      <c r="N219" s="44" t="s">
        <v>1</v>
      </c>
      <c r="O219" s="12" t="s">
        <v>230</v>
      </c>
      <c r="P219" s="46" t="s">
        <v>711</v>
      </c>
      <c r="Q219" s="47" t="s">
        <v>737</v>
      </c>
      <c r="R219" s="46" t="s">
        <v>715</v>
      </c>
      <c r="S219" s="47" t="s">
        <v>737</v>
      </c>
      <c r="T219" s="46" t="s">
        <v>712</v>
      </c>
      <c r="U219" s="47" t="s">
        <v>737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7" customHeight="1" x14ac:dyDescent="0.25">
      <c r="A220" s="6">
        <v>220</v>
      </c>
      <c r="B220" s="11" t="s">
        <v>558</v>
      </c>
      <c r="C220" s="10" t="s">
        <v>796</v>
      </c>
      <c r="D220" s="55" t="s">
        <v>740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736</v>
      </c>
      <c r="L220" s="46" t="s">
        <v>710</v>
      </c>
      <c r="M220" s="47" t="s">
        <v>768</v>
      </c>
      <c r="N220" s="44" t="s">
        <v>1</v>
      </c>
      <c r="O220" s="12" t="s">
        <v>231</v>
      </c>
      <c r="P220" s="46" t="s">
        <v>711</v>
      </c>
      <c r="Q220" s="47" t="s">
        <v>737</v>
      </c>
      <c r="R220" s="46" t="s">
        <v>715</v>
      </c>
      <c r="S220" s="47" t="s">
        <v>737</v>
      </c>
      <c r="T220" s="46" t="s">
        <v>712</v>
      </c>
      <c r="U220" s="47" t="s">
        <v>737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7" customHeight="1" x14ac:dyDescent="0.25">
      <c r="A221" s="6">
        <v>221</v>
      </c>
      <c r="B221" s="11" t="s">
        <v>559</v>
      </c>
      <c r="C221" s="10" t="s">
        <v>796</v>
      </c>
      <c r="D221" s="55" t="s">
        <v>740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736</v>
      </c>
      <c r="L221" s="46" t="s">
        <v>710</v>
      </c>
      <c r="M221" s="47" t="s">
        <v>768</v>
      </c>
      <c r="N221" s="44" t="s">
        <v>1</v>
      </c>
      <c r="O221" s="12" t="s">
        <v>232</v>
      </c>
      <c r="P221" s="46" t="s">
        <v>711</v>
      </c>
      <c r="Q221" s="47" t="s">
        <v>737</v>
      </c>
      <c r="R221" s="46" t="s">
        <v>715</v>
      </c>
      <c r="S221" s="47" t="s">
        <v>737</v>
      </c>
      <c r="T221" s="46" t="s">
        <v>712</v>
      </c>
      <c r="U221" s="47" t="s">
        <v>737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7" customHeight="1" x14ac:dyDescent="0.25">
      <c r="A222" s="6">
        <v>222</v>
      </c>
      <c r="B222" s="11" t="s">
        <v>560</v>
      </c>
      <c r="C222" s="10" t="s">
        <v>796</v>
      </c>
      <c r="D222" s="55" t="s">
        <v>740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736</v>
      </c>
      <c r="L222" s="46" t="s">
        <v>710</v>
      </c>
      <c r="M222" s="47" t="s">
        <v>768</v>
      </c>
      <c r="N222" s="44" t="s">
        <v>1</v>
      </c>
      <c r="O222" s="12" t="s">
        <v>233</v>
      </c>
      <c r="P222" s="46" t="s">
        <v>711</v>
      </c>
      <c r="Q222" s="47" t="s">
        <v>737</v>
      </c>
      <c r="R222" s="46" t="s">
        <v>715</v>
      </c>
      <c r="S222" s="47" t="s">
        <v>737</v>
      </c>
      <c r="T222" s="46" t="s">
        <v>712</v>
      </c>
      <c r="U222" s="47" t="s">
        <v>737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7" customHeight="1" x14ac:dyDescent="0.25">
      <c r="A223" s="6">
        <v>223</v>
      </c>
      <c r="B223" s="11" t="s">
        <v>561</v>
      </c>
      <c r="C223" s="10" t="s">
        <v>796</v>
      </c>
      <c r="D223" s="55" t="s">
        <v>740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736</v>
      </c>
      <c r="L223" s="46" t="s">
        <v>710</v>
      </c>
      <c r="M223" s="47" t="s">
        <v>768</v>
      </c>
      <c r="N223" s="44" t="s">
        <v>1</v>
      </c>
      <c r="O223" s="12" t="s">
        <v>234</v>
      </c>
      <c r="P223" s="46" t="s">
        <v>711</v>
      </c>
      <c r="Q223" s="47" t="s">
        <v>737</v>
      </c>
      <c r="R223" s="46" t="s">
        <v>715</v>
      </c>
      <c r="S223" s="47" t="s">
        <v>737</v>
      </c>
      <c r="T223" s="46" t="s">
        <v>712</v>
      </c>
      <c r="U223" s="47" t="s">
        <v>737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7" customHeight="1" x14ac:dyDescent="0.25">
      <c r="A224" s="6">
        <v>224</v>
      </c>
      <c r="B224" s="11" t="s">
        <v>562</v>
      </c>
      <c r="C224" s="10" t="s">
        <v>796</v>
      </c>
      <c r="D224" s="55" t="s">
        <v>740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736</v>
      </c>
      <c r="L224" s="46" t="s">
        <v>710</v>
      </c>
      <c r="M224" s="47" t="s">
        <v>768</v>
      </c>
      <c r="N224" s="44" t="s">
        <v>1</v>
      </c>
      <c r="O224" s="12" t="s">
        <v>235</v>
      </c>
      <c r="P224" s="46" t="s">
        <v>711</v>
      </c>
      <c r="Q224" s="47" t="s">
        <v>737</v>
      </c>
      <c r="R224" s="46" t="s">
        <v>715</v>
      </c>
      <c r="S224" s="47" t="s">
        <v>737</v>
      </c>
      <c r="T224" s="46" t="s">
        <v>712</v>
      </c>
      <c r="U224" s="47" t="s">
        <v>737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7" customHeight="1" x14ac:dyDescent="0.25">
      <c r="A225" s="6">
        <v>225</v>
      </c>
      <c r="B225" s="11" t="s">
        <v>563</v>
      </c>
      <c r="C225" s="10" t="s">
        <v>796</v>
      </c>
      <c r="D225" s="55" t="s">
        <v>740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736</v>
      </c>
      <c r="L225" s="46" t="s">
        <v>710</v>
      </c>
      <c r="M225" s="47" t="s">
        <v>768</v>
      </c>
      <c r="N225" s="44" t="s">
        <v>1</v>
      </c>
      <c r="O225" s="12" t="s">
        <v>236</v>
      </c>
      <c r="P225" s="46" t="s">
        <v>711</v>
      </c>
      <c r="Q225" s="47" t="s">
        <v>737</v>
      </c>
      <c r="R225" s="46" t="s">
        <v>715</v>
      </c>
      <c r="S225" s="47" t="s">
        <v>737</v>
      </c>
      <c r="T225" s="46" t="s">
        <v>712</v>
      </c>
      <c r="U225" s="47" t="s">
        <v>737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7" customHeight="1" x14ac:dyDescent="0.25">
      <c r="A226" s="6">
        <v>226</v>
      </c>
      <c r="B226" s="11" t="s">
        <v>564</v>
      </c>
      <c r="C226" s="10" t="s">
        <v>796</v>
      </c>
      <c r="D226" s="55" t="s">
        <v>740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736</v>
      </c>
      <c r="L226" s="46" t="s">
        <v>710</v>
      </c>
      <c r="M226" s="47" t="s">
        <v>768</v>
      </c>
      <c r="N226" s="44" t="s">
        <v>1</v>
      </c>
      <c r="O226" s="12" t="s">
        <v>237</v>
      </c>
      <c r="P226" s="46" t="s">
        <v>711</v>
      </c>
      <c r="Q226" s="47" t="s">
        <v>737</v>
      </c>
      <c r="R226" s="46" t="s">
        <v>715</v>
      </c>
      <c r="S226" s="47" t="s">
        <v>737</v>
      </c>
      <c r="T226" s="46" t="s">
        <v>712</v>
      </c>
      <c r="U226" s="47" t="s">
        <v>737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7" customHeight="1" x14ac:dyDescent="0.25">
      <c r="A227" s="6">
        <v>227</v>
      </c>
      <c r="B227" s="11" t="s">
        <v>565</v>
      </c>
      <c r="C227" s="10" t="s">
        <v>796</v>
      </c>
      <c r="D227" s="55" t="s">
        <v>740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736</v>
      </c>
      <c r="L227" s="46" t="s">
        <v>710</v>
      </c>
      <c r="M227" s="47" t="s">
        <v>768</v>
      </c>
      <c r="N227" s="44" t="s">
        <v>1</v>
      </c>
      <c r="O227" s="12" t="s">
        <v>238</v>
      </c>
      <c r="P227" s="46" t="s">
        <v>711</v>
      </c>
      <c r="Q227" s="47" t="s">
        <v>737</v>
      </c>
      <c r="R227" s="46" t="s">
        <v>715</v>
      </c>
      <c r="S227" s="47" t="s">
        <v>737</v>
      </c>
      <c r="T227" s="46" t="s">
        <v>712</v>
      </c>
      <c r="U227" s="47" t="s">
        <v>737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7" customHeight="1" x14ac:dyDescent="0.25">
      <c r="A228" s="6">
        <v>228</v>
      </c>
      <c r="B228" s="11" t="s">
        <v>566</v>
      </c>
      <c r="C228" s="10" t="s">
        <v>796</v>
      </c>
      <c r="D228" s="55" t="s">
        <v>740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736</v>
      </c>
      <c r="L228" s="46" t="s">
        <v>710</v>
      </c>
      <c r="M228" s="47" t="s">
        <v>768</v>
      </c>
      <c r="N228" s="44" t="s">
        <v>1</v>
      </c>
      <c r="O228" s="12" t="s">
        <v>239</v>
      </c>
      <c r="P228" s="46" t="s">
        <v>711</v>
      </c>
      <c r="Q228" s="47" t="s">
        <v>737</v>
      </c>
      <c r="R228" s="46" t="s">
        <v>715</v>
      </c>
      <c r="S228" s="47" t="s">
        <v>737</v>
      </c>
      <c r="T228" s="46" t="s">
        <v>712</v>
      </c>
      <c r="U228" s="47" t="s">
        <v>737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7" customHeight="1" x14ac:dyDescent="0.25">
      <c r="A229" s="6">
        <v>229</v>
      </c>
      <c r="B229" s="11" t="s">
        <v>567</v>
      </c>
      <c r="C229" s="10" t="s">
        <v>796</v>
      </c>
      <c r="D229" s="55" t="s">
        <v>740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736</v>
      </c>
      <c r="L229" s="46" t="s">
        <v>710</v>
      </c>
      <c r="M229" s="47" t="s">
        <v>768</v>
      </c>
      <c r="N229" s="44" t="s">
        <v>1</v>
      </c>
      <c r="O229" s="12" t="s">
        <v>240</v>
      </c>
      <c r="P229" s="46" t="s">
        <v>711</v>
      </c>
      <c r="Q229" s="47" t="s">
        <v>737</v>
      </c>
      <c r="R229" s="46" t="s">
        <v>715</v>
      </c>
      <c r="S229" s="47" t="s">
        <v>737</v>
      </c>
      <c r="T229" s="46" t="s">
        <v>712</v>
      </c>
      <c r="U229" s="47" t="s">
        <v>737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7" customHeight="1" x14ac:dyDescent="0.25">
      <c r="A230" s="6">
        <v>230</v>
      </c>
      <c r="B230" s="11" t="s">
        <v>568</v>
      </c>
      <c r="C230" s="10" t="s">
        <v>796</v>
      </c>
      <c r="D230" s="55" t="s">
        <v>740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736</v>
      </c>
      <c r="L230" s="46" t="s">
        <v>710</v>
      </c>
      <c r="M230" s="47" t="s">
        <v>768</v>
      </c>
      <c r="N230" s="44" t="s">
        <v>1</v>
      </c>
      <c r="O230" s="12" t="s">
        <v>241</v>
      </c>
      <c r="P230" s="46" t="s">
        <v>711</v>
      </c>
      <c r="Q230" s="47" t="s">
        <v>737</v>
      </c>
      <c r="R230" s="46" t="s">
        <v>715</v>
      </c>
      <c r="S230" s="47" t="s">
        <v>737</v>
      </c>
      <c r="T230" s="46" t="s">
        <v>712</v>
      </c>
      <c r="U230" s="47" t="s">
        <v>737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7" customHeight="1" x14ac:dyDescent="0.25">
      <c r="A231" s="6">
        <v>231</v>
      </c>
      <c r="B231" s="11" t="s">
        <v>569</v>
      </c>
      <c r="C231" s="10" t="s">
        <v>796</v>
      </c>
      <c r="D231" s="55" t="s">
        <v>740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736</v>
      </c>
      <c r="L231" s="46" t="s">
        <v>710</v>
      </c>
      <c r="M231" s="47" t="s">
        <v>768</v>
      </c>
      <c r="N231" s="44" t="s">
        <v>1</v>
      </c>
      <c r="O231" s="12" t="s">
        <v>242</v>
      </c>
      <c r="P231" s="46" t="s">
        <v>711</v>
      </c>
      <c r="Q231" s="47" t="s">
        <v>737</v>
      </c>
      <c r="R231" s="46" t="s">
        <v>715</v>
      </c>
      <c r="S231" s="47" t="s">
        <v>737</v>
      </c>
      <c r="T231" s="46" t="s">
        <v>712</v>
      </c>
      <c r="U231" s="47" t="s">
        <v>737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7" customHeight="1" x14ac:dyDescent="0.25">
      <c r="A232" s="6">
        <v>232</v>
      </c>
      <c r="B232" s="11" t="s">
        <v>570</v>
      </c>
      <c r="C232" s="10" t="s">
        <v>796</v>
      </c>
      <c r="D232" s="55" t="s">
        <v>740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736</v>
      </c>
      <c r="L232" s="46" t="s">
        <v>710</v>
      </c>
      <c r="M232" s="47" t="s">
        <v>768</v>
      </c>
      <c r="N232" s="44" t="s">
        <v>1</v>
      </c>
      <c r="O232" s="12" t="s">
        <v>243</v>
      </c>
      <c r="P232" s="46" t="s">
        <v>711</v>
      </c>
      <c r="Q232" s="47" t="s">
        <v>737</v>
      </c>
      <c r="R232" s="46" t="s">
        <v>715</v>
      </c>
      <c r="S232" s="47" t="s">
        <v>737</v>
      </c>
      <c r="T232" s="46" t="s">
        <v>712</v>
      </c>
      <c r="U232" s="47" t="s">
        <v>737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7" customHeight="1" x14ac:dyDescent="0.25">
      <c r="A233" s="6">
        <v>233</v>
      </c>
      <c r="B233" s="11" t="s">
        <v>571</v>
      </c>
      <c r="C233" s="10" t="s">
        <v>796</v>
      </c>
      <c r="D233" s="55" t="s">
        <v>740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736</v>
      </c>
      <c r="L233" s="46" t="s">
        <v>710</v>
      </c>
      <c r="M233" s="47" t="s">
        <v>768</v>
      </c>
      <c r="N233" s="44" t="s">
        <v>1</v>
      </c>
      <c r="O233" s="12" t="s">
        <v>244</v>
      </c>
      <c r="P233" s="46" t="s">
        <v>711</v>
      </c>
      <c r="Q233" s="47" t="s">
        <v>737</v>
      </c>
      <c r="R233" s="46" t="s">
        <v>715</v>
      </c>
      <c r="S233" s="47" t="s">
        <v>737</v>
      </c>
      <c r="T233" s="46" t="s">
        <v>712</v>
      </c>
      <c r="U233" s="47" t="s">
        <v>737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7" customHeight="1" x14ac:dyDescent="0.25">
      <c r="A234" s="6">
        <v>234</v>
      </c>
      <c r="B234" s="11" t="s">
        <v>572</v>
      </c>
      <c r="C234" s="10" t="s">
        <v>796</v>
      </c>
      <c r="D234" s="55" t="s">
        <v>740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736</v>
      </c>
      <c r="L234" s="46" t="s">
        <v>710</v>
      </c>
      <c r="M234" s="47" t="s">
        <v>768</v>
      </c>
      <c r="N234" s="44" t="s">
        <v>1</v>
      </c>
      <c r="O234" s="12" t="s">
        <v>245</v>
      </c>
      <c r="P234" s="46" t="s">
        <v>711</v>
      </c>
      <c r="Q234" s="47" t="s">
        <v>737</v>
      </c>
      <c r="R234" s="46" t="s">
        <v>715</v>
      </c>
      <c r="S234" s="47" t="s">
        <v>737</v>
      </c>
      <c r="T234" s="46" t="s">
        <v>712</v>
      </c>
      <c r="U234" s="47" t="s">
        <v>737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7" customHeight="1" x14ac:dyDescent="0.25">
      <c r="A235" s="6">
        <v>235</v>
      </c>
      <c r="B235" s="11" t="s">
        <v>573</v>
      </c>
      <c r="C235" s="10" t="s">
        <v>796</v>
      </c>
      <c r="D235" s="55" t="s">
        <v>740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736</v>
      </c>
      <c r="L235" s="46" t="s">
        <v>710</v>
      </c>
      <c r="M235" s="47" t="s">
        <v>768</v>
      </c>
      <c r="N235" s="44" t="s">
        <v>1</v>
      </c>
      <c r="O235" s="12" t="s">
        <v>246</v>
      </c>
      <c r="P235" s="46" t="s">
        <v>711</v>
      </c>
      <c r="Q235" s="47" t="s">
        <v>737</v>
      </c>
      <c r="R235" s="46" t="s">
        <v>715</v>
      </c>
      <c r="S235" s="47" t="s">
        <v>737</v>
      </c>
      <c r="T235" s="46" t="s">
        <v>712</v>
      </c>
      <c r="U235" s="47" t="s">
        <v>737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7" customHeight="1" x14ac:dyDescent="0.25">
      <c r="A236" s="6">
        <v>236</v>
      </c>
      <c r="B236" s="11" t="s">
        <v>574</v>
      </c>
      <c r="C236" s="10" t="s">
        <v>796</v>
      </c>
      <c r="D236" s="55" t="s">
        <v>740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736</v>
      </c>
      <c r="L236" s="46" t="s">
        <v>710</v>
      </c>
      <c r="M236" s="47" t="s">
        <v>768</v>
      </c>
      <c r="N236" s="44" t="s">
        <v>1</v>
      </c>
      <c r="O236" s="12" t="s">
        <v>247</v>
      </c>
      <c r="P236" s="46" t="s">
        <v>711</v>
      </c>
      <c r="Q236" s="47" t="s">
        <v>737</v>
      </c>
      <c r="R236" s="46" t="s">
        <v>715</v>
      </c>
      <c r="S236" s="47" t="s">
        <v>737</v>
      </c>
      <c r="T236" s="46" t="s">
        <v>712</v>
      </c>
      <c r="U236" s="47" t="s">
        <v>737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7" customHeight="1" x14ac:dyDescent="0.25">
      <c r="A237" s="6">
        <v>237</v>
      </c>
      <c r="B237" s="11" t="s">
        <v>575</v>
      </c>
      <c r="C237" s="10" t="s">
        <v>796</v>
      </c>
      <c r="D237" s="55" t="s">
        <v>740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736</v>
      </c>
      <c r="L237" s="46" t="s">
        <v>710</v>
      </c>
      <c r="M237" s="47" t="s">
        <v>768</v>
      </c>
      <c r="N237" s="44" t="s">
        <v>1</v>
      </c>
      <c r="O237" s="12" t="s">
        <v>248</v>
      </c>
      <c r="P237" s="46" t="s">
        <v>711</v>
      </c>
      <c r="Q237" s="47" t="s">
        <v>737</v>
      </c>
      <c r="R237" s="46" t="s">
        <v>715</v>
      </c>
      <c r="S237" s="47" t="s">
        <v>737</v>
      </c>
      <c r="T237" s="46" t="s">
        <v>712</v>
      </c>
      <c r="U237" s="47" t="s">
        <v>737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7" customHeight="1" x14ac:dyDescent="0.25">
      <c r="A238" s="6">
        <v>238</v>
      </c>
      <c r="B238" s="11" t="s">
        <v>576</v>
      </c>
      <c r="C238" s="10" t="s">
        <v>796</v>
      </c>
      <c r="D238" s="55" t="s">
        <v>740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736</v>
      </c>
      <c r="L238" s="46" t="s">
        <v>710</v>
      </c>
      <c r="M238" s="47" t="s">
        <v>768</v>
      </c>
      <c r="N238" s="44" t="s">
        <v>1</v>
      </c>
      <c r="O238" s="12" t="s">
        <v>249</v>
      </c>
      <c r="P238" s="46" t="s">
        <v>711</v>
      </c>
      <c r="Q238" s="47" t="s">
        <v>737</v>
      </c>
      <c r="R238" s="46" t="s">
        <v>715</v>
      </c>
      <c r="S238" s="47" t="s">
        <v>737</v>
      </c>
      <c r="T238" s="46" t="s">
        <v>712</v>
      </c>
      <c r="U238" s="47" t="s">
        <v>737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7" customHeight="1" x14ac:dyDescent="0.25">
      <c r="A239" s="6">
        <v>239</v>
      </c>
      <c r="B239" s="11" t="s">
        <v>577</v>
      </c>
      <c r="C239" s="10" t="s">
        <v>797</v>
      </c>
      <c r="D239" s="55" t="s">
        <v>740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736</v>
      </c>
      <c r="L239" s="46" t="s">
        <v>710</v>
      </c>
      <c r="M239" s="47" t="s">
        <v>769</v>
      </c>
      <c r="N239" s="44" t="s">
        <v>1</v>
      </c>
      <c r="O239" s="12" t="s">
        <v>250</v>
      </c>
      <c r="P239" s="46" t="s">
        <v>711</v>
      </c>
      <c r="Q239" s="47" t="s">
        <v>737</v>
      </c>
      <c r="R239" s="46" t="s">
        <v>715</v>
      </c>
      <c r="S239" s="47" t="s">
        <v>737</v>
      </c>
      <c r="T239" s="46" t="s">
        <v>712</v>
      </c>
      <c r="U239" s="47" t="s">
        <v>737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7" customHeight="1" x14ac:dyDescent="0.25">
      <c r="A240" s="6">
        <v>240</v>
      </c>
      <c r="B240" s="11" t="s">
        <v>578</v>
      </c>
      <c r="C240" s="10" t="s">
        <v>797</v>
      </c>
      <c r="D240" s="55" t="s">
        <v>740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736</v>
      </c>
      <c r="L240" s="46" t="s">
        <v>710</v>
      </c>
      <c r="M240" s="47" t="s">
        <v>769</v>
      </c>
      <c r="N240" s="44" t="s">
        <v>1</v>
      </c>
      <c r="O240" s="12" t="s">
        <v>251</v>
      </c>
      <c r="P240" s="46" t="s">
        <v>711</v>
      </c>
      <c r="Q240" s="47" t="s">
        <v>737</v>
      </c>
      <c r="R240" s="46" t="s">
        <v>715</v>
      </c>
      <c r="S240" s="47" t="s">
        <v>737</v>
      </c>
      <c r="T240" s="46" t="s">
        <v>712</v>
      </c>
      <c r="U240" s="47" t="s">
        <v>737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7" customHeight="1" x14ac:dyDescent="0.25">
      <c r="A241" s="6">
        <v>241</v>
      </c>
      <c r="B241" s="11" t="s">
        <v>579</v>
      </c>
      <c r="C241" s="10" t="s">
        <v>797</v>
      </c>
      <c r="D241" s="55" t="s">
        <v>740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736</v>
      </c>
      <c r="L241" s="46" t="s">
        <v>710</v>
      </c>
      <c r="M241" s="47" t="s">
        <v>769</v>
      </c>
      <c r="N241" s="44" t="s">
        <v>1</v>
      </c>
      <c r="O241" s="12" t="s">
        <v>252</v>
      </c>
      <c r="P241" s="46" t="s">
        <v>711</v>
      </c>
      <c r="Q241" s="47" t="s">
        <v>737</v>
      </c>
      <c r="R241" s="46" t="s">
        <v>715</v>
      </c>
      <c r="S241" s="47" t="s">
        <v>737</v>
      </c>
      <c r="T241" s="46" t="s">
        <v>712</v>
      </c>
      <c r="U241" s="47" t="s">
        <v>737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7" customHeight="1" x14ac:dyDescent="0.25">
      <c r="A242" s="6">
        <v>242</v>
      </c>
      <c r="B242" s="11" t="s">
        <v>580</v>
      </c>
      <c r="C242" s="10" t="s">
        <v>797</v>
      </c>
      <c r="D242" s="55" t="s">
        <v>740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736</v>
      </c>
      <c r="L242" s="46" t="s">
        <v>710</v>
      </c>
      <c r="M242" s="47" t="s">
        <v>769</v>
      </c>
      <c r="N242" s="44" t="s">
        <v>1</v>
      </c>
      <c r="O242" s="12" t="s">
        <v>253</v>
      </c>
      <c r="P242" s="46" t="s">
        <v>711</v>
      </c>
      <c r="Q242" s="47" t="s">
        <v>737</v>
      </c>
      <c r="R242" s="46" t="s">
        <v>715</v>
      </c>
      <c r="S242" s="47" t="s">
        <v>737</v>
      </c>
      <c r="T242" s="46" t="s">
        <v>712</v>
      </c>
      <c r="U242" s="47" t="s">
        <v>737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7" customHeight="1" x14ac:dyDescent="0.25">
      <c r="A243" s="6">
        <v>243</v>
      </c>
      <c r="B243" s="11" t="s">
        <v>581</v>
      </c>
      <c r="C243" s="10" t="s">
        <v>797</v>
      </c>
      <c r="D243" s="55" t="s">
        <v>740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736</v>
      </c>
      <c r="L243" s="46" t="s">
        <v>710</v>
      </c>
      <c r="M243" s="47" t="s">
        <v>769</v>
      </c>
      <c r="N243" s="44" t="s">
        <v>1</v>
      </c>
      <c r="O243" s="12" t="s">
        <v>254</v>
      </c>
      <c r="P243" s="46" t="s">
        <v>711</v>
      </c>
      <c r="Q243" s="47" t="s">
        <v>737</v>
      </c>
      <c r="R243" s="46" t="s">
        <v>715</v>
      </c>
      <c r="S243" s="47" t="s">
        <v>737</v>
      </c>
      <c r="T243" s="46" t="s">
        <v>712</v>
      </c>
      <c r="U243" s="47" t="s">
        <v>737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7" customHeight="1" x14ac:dyDescent="0.25">
      <c r="A244" s="6">
        <v>244</v>
      </c>
      <c r="B244" s="11" t="s">
        <v>582</v>
      </c>
      <c r="C244" s="10" t="s">
        <v>797</v>
      </c>
      <c r="D244" s="55" t="s">
        <v>740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736</v>
      </c>
      <c r="L244" s="46" t="s">
        <v>710</v>
      </c>
      <c r="M244" s="47" t="s">
        <v>769</v>
      </c>
      <c r="N244" s="44" t="s">
        <v>1</v>
      </c>
      <c r="O244" s="12" t="s">
        <v>255</v>
      </c>
      <c r="P244" s="46" t="s">
        <v>711</v>
      </c>
      <c r="Q244" s="47" t="s">
        <v>737</v>
      </c>
      <c r="R244" s="46" t="s">
        <v>715</v>
      </c>
      <c r="S244" s="47" t="s">
        <v>737</v>
      </c>
      <c r="T244" s="46" t="s">
        <v>712</v>
      </c>
      <c r="U244" s="47" t="s">
        <v>737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7" customHeight="1" x14ac:dyDescent="0.25">
      <c r="A245" s="6">
        <v>245</v>
      </c>
      <c r="B245" s="11" t="s">
        <v>583</v>
      </c>
      <c r="C245" s="10" t="s">
        <v>797</v>
      </c>
      <c r="D245" s="55" t="s">
        <v>740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736</v>
      </c>
      <c r="L245" s="46" t="s">
        <v>710</v>
      </c>
      <c r="M245" s="47" t="s">
        <v>769</v>
      </c>
      <c r="N245" s="44" t="s">
        <v>1</v>
      </c>
      <c r="O245" s="12" t="s">
        <v>256</v>
      </c>
      <c r="P245" s="46" t="s">
        <v>711</v>
      </c>
      <c r="Q245" s="47" t="s">
        <v>737</v>
      </c>
      <c r="R245" s="46" t="s">
        <v>715</v>
      </c>
      <c r="S245" s="47" t="s">
        <v>737</v>
      </c>
      <c r="T245" s="46" t="s">
        <v>712</v>
      </c>
      <c r="U245" s="47" t="s">
        <v>737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7" customHeight="1" x14ac:dyDescent="0.25">
      <c r="A246" s="6">
        <v>246</v>
      </c>
      <c r="B246" s="11" t="s">
        <v>584</v>
      </c>
      <c r="C246" s="10" t="s">
        <v>797</v>
      </c>
      <c r="D246" s="55" t="s">
        <v>740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736</v>
      </c>
      <c r="L246" s="46" t="s">
        <v>710</v>
      </c>
      <c r="M246" s="47" t="s">
        <v>769</v>
      </c>
      <c r="N246" s="44" t="s">
        <v>1</v>
      </c>
      <c r="O246" s="12" t="s">
        <v>257</v>
      </c>
      <c r="P246" s="46" t="s">
        <v>711</v>
      </c>
      <c r="Q246" s="47" t="s">
        <v>737</v>
      </c>
      <c r="R246" s="46" t="s">
        <v>715</v>
      </c>
      <c r="S246" s="47" t="s">
        <v>737</v>
      </c>
      <c r="T246" s="46" t="s">
        <v>712</v>
      </c>
      <c r="U246" s="47" t="s">
        <v>737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7" customHeight="1" x14ac:dyDescent="0.25">
      <c r="A247" s="6">
        <v>247</v>
      </c>
      <c r="B247" s="11" t="s">
        <v>585</v>
      </c>
      <c r="C247" s="10" t="s">
        <v>797</v>
      </c>
      <c r="D247" s="55" t="s">
        <v>740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736</v>
      </c>
      <c r="L247" s="46" t="s">
        <v>710</v>
      </c>
      <c r="M247" s="47" t="s">
        <v>769</v>
      </c>
      <c r="N247" s="44" t="s">
        <v>1</v>
      </c>
      <c r="O247" s="12" t="s">
        <v>258</v>
      </c>
      <c r="P247" s="46" t="s">
        <v>711</v>
      </c>
      <c r="Q247" s="47" t="s">
        <v>737</v>
      </c>
      <c r="R247" s="46" t="s">
        <v>715</v>
      </c>
      <c r="S247" s="47" t="s">
        <v>737</v>
      </c>
      <c r="T247" s="46" t="s">
        <v>712</v>
      </c>
      <c r="U247" s="47" t="s">
        <v>737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7" customHeight="1" x14ac:dyDescent="0.25">
      <c r="A248" s="6">
        <v>248</v>
      </c>
      <c r="B248" s="11" t="s">
        <v>586</v>
      </c>
      <c r="C248" s="10" t="s">
        <v>797</v>
      </c>
      <c r="D248" s="55" t="s">
        <v>740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736</v>
      </c>
      <c r="L248" s="46" t="s">
        <v>710</v>
      </c>
      <c r="M248" s="47" t="s">
        <v>769</v>
      </c>
      <c r="N248" s="44" t="s">
        <v>1</v>
      </c>
      <c r="O248" s="12" t="s">
        <v>259</v>
      </c>
      <c r="P248" s="46" t="s">
        <v>711</v>
      </c>
      <c r="Q248" s="47" t="s">
        <v>737</v>
      </c>
      <c r="R248" s="46" t="s">
        <v>715</v>
      </c>
      <c r="S248" s="47" t="s">
        <v>737</v>
      </c>
      <c r="T248" s="46" t="s">
        <v>712</v>
      </c>
      <c r="U248" s="47" t="s">
        <v>737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7" customHeight="1" x14ac:dyDescent="0.25">
      <c r="A249" s="6">
        <v>249</v>
      </c>
      <c r="B249" s="11" t="s">
        <v>587</v>
      </c>
      <c r="C249" s="10" t="s">
        <v>797</v>
      </c>
      <c r="D249" s="55" t="s">
        <v>740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736</v>
      </c>
      <c r="L249" s="46" t="s">
        <v>710</v>
      </c>
      <c r="M249" s="47" t="s">
        <v>769</v>
      </c>
      <c r="N249" s="44" t="s">
        <v>1</v>
      </c>
      <c r="O249" s="12" t="s">
        <v>260</v>
      </c>
      <c r="P249" s="46" t="s">
        <v>711</v>
      </c>
      <c r="Q249" s="47" t="s">
        <v>737</v>
      </c>
      <c r="R249" s="46" t="s">
        <v>715</v>
      </c>
      <c r="S249" s="47" t="s">
        <v>737</v>
      </c>
      <c r="T249" s="46" t="s">
        <v>712</v>
      </c>
      <c r="U249" s="47" t="s">
        <v>737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7" customHeight="1" x14ac:dyDescent="0.25">
      <c r="A250" s="6">
        <v>250</v>
      </c>
      <c r="B250" s="11" t="s">
        <v>588</v>
      </c>
      <c r="C250" s="10" t="s">
        <v>797</v>
      </c>
      <c r="D250" s="55" t="s">
        <v>740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736</v>
      </c>
      <c r="L250" s="46" t="s">
        <v>710</v>
      </c>
      <c r="M250" s="47" t="s">
        <v>769</v>
      </c>
      <c r="N250" s="44" t="s">
        <v>1</v>
      </c>
      <c r="O250" s="12" t="s">
        <v>261</v>
      </c>
      <c r="P250" s="46" t="s">
        <v>711</v>
      </c>
      <c r="Q250" s="47" t="s">
        <v>737</v>
      </c>
      <c r="R250" s="46" t="s">
        <v>715</v>
      </c>
      <c r="S250" s="47" t="s">
        <v>737</v>
      </c>
      <c r="T250" s="46" t="s">
        <v>712</v>
      </c>
      <c r="U250" s="47" t="s">
        <v>737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7" customHeight="1" x14ac:dyDescent="0.25">
      <c r="A251" s="6">
        <v>251</v>
      </c>
      <c r="B251" s="11" t="s">
        <v>589</v>
      </c>
      <c r="C251" s="10" t="s">
        <v>797</v>
      </c>
      <c r="D251" s="55" t="s">
        <v>740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736</v>
      </c>
      <c r="L251" s="46" t="s">
        <v>710</v>
      </c>
      <c r="M251" s="47" t="s">
        <v>769</v>
      </c>
      <c r="N251" s="44" t="s">
        <v>1</v>
      </c>
      <c r="O251" s="12" t="s">
        <v>262</v>
      </c>
      <c r="P251" s="46" t="s">
        <v>711</v>
      </c>
      <c r="Q251" s="47" t="s">
        <v>737</v>
      </c>
      <c r="R251" s="46" t="s">
        <v>715</v>
      </c>
      <c r="S251" s="47" t="s">
        <v>737</v>
      </c>
      <c r="T251" s="46" t="s">
        <v>712</v>
      </c>
      <c r="U251" s="47" t="s">
        <v>737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7" customHeight="1" x14ac:dyDescent="0.25">
      <c r="A252" s="6">
        <v>252</v>
      </c>
      <c r="B252" s="11" t="s">
        <v>590</v>
      </c>
      <c r="C252" s="10" t="s">
        <v>797</v>
      </c>
      <c r="D252" s="55" t="s">
        <v>740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736</v>
      </c>
      <c r="L252" s="46" t="s">
        <v>710</v>
      </c>
      <c r="M252" s="47" t="s">
        <v>769</v>
      </c>
      <c r="N252" s="44" t="s">
        <v>1</v>
      </c>
      <c r="O252" s="12" t="s">
        <v>263</v>
      </c>
      <c r="P252" s="46" t="s">
        <v>711</v>
      </c>
      <c r="Q252" s="47" t="s">
        <v>737</v>
      </c>
      <c r="R252" s="46" t="s">
        <v>715</v>
      </c>
      <c r="S252" s="47" t="s">
        <v>737</v>
      </c>
      <c r="T252" s="46" t="s">
        <v>712</v>
      </c>
      <c r="U252" s="47" t="s">
        <v>737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7" customHeight="1" x14ac:dyDescent="0.25">
      <c r="A253" s="6">
        <v>253</v>
      </c>
      <c r="B253" s="11" t="s">
        <v>591</v>
      </c>
      <c r="C253" s="10" t="s">
        <v>797</v>
      </c>
      <c r="D253" s="55" t="s">
        <v>740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736</v>
      </c>
      <c r="L253" s="46" t="s">
        <v>710</v>
      </c>
      <c r="M253" s="47" t="s">
        <v>769</v>
      </c>
      <c r="N253" s="44" t="s">
        <v>1</v>
      </c>
      <c r="O253" s="12" t="s">
        <v>264</v>
      </c>
      <c r="P253" s="46" t="s">
        <v>711</v>
      </c>
      <c r="Q253" s="47" t="s">
        <v>737</v>
      </c>
      <c r="R253" s="46" t="s">
        <v>715</v>
      </c>
      <c r="S253" s="47" t="s">
        <v>737</v>
      </c>
      <c r="T253" s="46" t="s">
        <v>712</v>
      </c>
      <c r="U253" s="47" t="s">
        <v>737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7" customHeight="1" x14ac:dyDescent="0.25">
      <c r="A254" s="6">
        <v>254</v>
      </c>
      <c r="B254" s="11" t="s">
        <v>592</v>
      </c>
      <c r="C254" s="10" t="s">
        <v>797</v>
      </c>
      <c r="D254" s="55" t="s">
        <v>740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736</v>
      </c>
      <c r="L254" s="46" t="s">
        <v>710</v>
      </c>
      <c r="M254" s="47" t="s">
        <v>769</v>
      </c>
      <c r="N254" s="44" t="s">
        <v>1</v>
      </c>
      <c r="O254" s="12" t="s">
        <v>265</v>
      </c>
      <c r="P254" s="46" t="s">
        <v>711</v>
      </c>
      <c r="Q254" s="47" t="s">
        <v>737</v>
      </c>
      <c r="R254" s="46" t="s">
        <v>715</v>
      </c>
      <c r="S254" s="47" t="s">
        <v>737</v>
      </c>
      <c r="T254" s="46" t="s">
        <v>712</v>
      </c>
      <c r="U254" s="47" t="s">
        <v>737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7" customHeight="1" x14ac:dyDescent="0.25">
      <c r="A255" s="6">
        <v>255</v>
      </c>
      <c r="B255" s="11" t="s">
        <v>593</v>
      </c>
      <c r="C255" s="10" t="s">
        <v>797</v>
      </c>
      <c r="D255" s="55" t="s">
        <v>740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736</v>
      </c>
      <c r="L255" s="46" t="s">
        <v>710</v>
      </c>
      <c r="M255" s="47" t="s">
        <v>769</v>
      </c>
      <c r="N255" s="44" t="s">
        <v>1</v>
      </c>
      <c r="O255" s="12" t="s">
        <v>266</v>
      </c>
      <c r="P255" s="46" t="s">
        <v>711</v>
      </c>
      <c r="Q255" s="47" t="s">
        <v>737</v>
      </c>
      <c r="R255" s="46" t="s">
        <v>715</v>
      </c>
      <c r="S255" s="47" t="s">
        <v>737</v>
      </c>
      <c r="T255" s="46" t="s">
        <v>712</v>
      </c>
      <c r="U255" s="47" t="s">
        <v>737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7" customHeight="1" x14ac:dyDescent="0.25">
      <c r="A256" s="6">
        <v>256</v>
      </c>
      <c r="B256" s="11" t="s">
        <v>594</v>
      </c>
      <c r="C256" s="10" t="s">
        <v>798</v>
      </c>
      <c r="D256" s="55" t="s">
        <v>740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736</v>
      </c>
      <c r="L256" s="46" t="s">
        <v>710</v>
      </c>
      <c r="M256" s="47" t="s">
        <v>770</v>
      </c>
      <c r="N256" s="44" t="s">
        <v>1</v>
      </c>
      <c r="O256" s="12" t="s">
        <v>267</v>
      </c>
      <c r="P256" s="46" t="s">
        <v>711</v>
      </c>
      <c r="Q256" s="47" t="s">
        <v>737</v>
      </c>
      <c r="R256" s="46" t="s">
        <v>715</v>
      </c>
      <c r="S256" s="47" t="s">
        <v>737</v>
      </c>
      <c r="T256" s="46" t="s">
        <v>712</v>
      </c>
      <c r="U256" s="47" t="s">
        <v>737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7" customHeight="1" x14ac:dyDescent="0.25">
      <c r="A257" s="6">
        <v>257</v>
      </c>
      <c r="B257" s="11" t="s">
        <v>595</v>
      </c>
      <c r="C257" s="10" t="s">
        <v>798</v>
      </c>
      <c r="D257" s="55" t="s">
        <v>740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736</v>
      </c>
      <c r="L257" s="46" t="s">
        <v>710</v>
      </c>
      <c r="M257" s="47" t="s">
        <v>770</v>
      </c>
      <c r="N257" s="44" t="s">
        <v>1</v>
      </c>
      <c r="O257" s="12" t="s">
        <v>268</v>
      </c>
      <c r="P257" s="46" t="s">
        <v>711</v>
      </c>
      <c r="Q257" s="47" t="s">
        <v>737</v>
      </c>
      <c r="R257" s="46" t="s">
        <v>715</v>
      </c>
      <c r="S257" s="47" t="s">
        <v>737</v>
      </c>
      <c r="T257" s="46" t="s">
        <v>712</v>
      </c>
      <c r="U257" s="47" t="s">
        <v>737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7" customHeight="1" x14ac:dyDescent="0.25">
      <c r="A258" s="6">
        <v>258</v>
      </c>
      <c r="B258" s="11" t="s">
        <v>596</v>
      </c>
      <c r="C258" s="10" t="s">
        <v>798</v>
      </c>
      <c r="D258" s="55" t="s">
        <v>740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736</v>
      </c>
      <c r="L258" s="46" t="s">
        <v>710</v>
      </c>
      <c r="M258" s="47" t="s">
        <v>770</v>
      </c>
      <c r="N258" s="44" t="s">
        <v>1</v>
      </c>
      <c r="O258" s="12" t="s">
        <v>269</v>
      </c>
      <c r="P258" s="46" t="s">
        <v>711</v>
      </c>
      <c r="Q258" s="47" t="s">
        <v>737</v>
      </c>
      <c r="R258" s="46" t="s">
        <v>715</v>
      </c>
      <c r="S258" s="47" t="s">
        <v>737</v>
      </c>
      <c r="T258" s="46" t="s">
        <v>712</v>
      </c>
      <c r="U258" s="47" t="s">
        <v>737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7" customHeight="1" x14ac:dyDescent="0.25">
      <c r="A259" s="6">
        <v>259</v>
      </c>
      <c r="B259" s="11" t="s">
        <v>597</v>
      </c>
      <c r="C259" s="10" t="s">
        <v>798</v>
      </c>
      <c r="D259" s="55" t="s">
        <v>740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736</v>
      </c>
      <c r="L259" s="46" t="s">
        <v>710</v>
      </c>
      <c r="M259" s="47" t="s">
        <v>770</v>
      </c>
      <c r="N259" s="44" t="s">
        <v>1</v>
      </c>
      <c r="O259" s="12" t="s">
        <v>270</v>
      </c>
      <c r="P259" s="46" t="s">
        <v>711</v>
      </c>
      <c r="Q259" s="47" t="s">
        <v>737</v>
      </c>
      <c r="R259" s="46" t="s">
        <v>715</v>
      </c>
      <c r="S259" s="47" t="s">
        <v>737</v>
      </c>
      <c r="T259" s="46" t="s">
        <v>712</v>
      </c>
      <c r="U259" s="47" t="s">
        <v>737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7" customHeight="1" x14ac:dyDescent="0.25">
      <c r="A260" s="6">
        <v>260</v>
      </c>
      <c r="B260" s="11" t="s">
        <v>598</v>
      </c>
      <c r="C260" s="10" t="s">
        <v>798</v>
      </c>
      <c r="D260" s="55" t="s">
        <v>740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736</v>
      </c>
      <c r="L260" s="46" t="s">
        <v>710</v>
      </c>
      <c r="M260" s="47" t="s">
        <v>770</v>
      </c>
      <c r="N260" s="44" t="s">
        <v>1</v>
      </c>
      <c r="O260" s="12" t="s">
        <v>271</v>
      </c>
      <c r="P260" s="46" t="s">
        <v>711</v>
      </c>
      <c r="Q260" s="47" t="s">
        <v>737</v>
      </c>
      <c r="R260" s="46" t="s">
        <v>715</v>
      </c>
      <c r="S260" s="47" t="s">
        <v>737</v>
      </c>
      <c r="T260" s="46" t="s">
        <v>712</v>
      </c>
      <c r="U260" s="47" t="s">
        <v>737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7" customHeight="1" x14ac:dyDescent="0.25">
      <c r="A261" s="6">
        <v>261</v>
      </c>
      <c r="B261" s="11" t="s">
        <v>599</v>
      </c>
      <c r="C261" s="10" t="s">
        <v>798</v>
      </c>
      <c r="D261" s="55" t="s">
        <v>740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736</v>
      </c>
      <c r="L261" s="46" t="s">
        <v>710</v>
      </c>
      <c r="M261" s="47" t="s">
        <v>770</v>
      </c>
      <c r="N261" s="44" t="s">
        <v>1</v>
      </c>
      <c r="O261" s="12" t="s">
        <v>272</v>
      </c>
      <c r="P261" s="46" t="s">
        <v>711</v>
      </c>
      <c r="Q261" s="47" t="s">
        <v>737</v>
      </c>
      <c r="R261" s="46" t="s">
        <v>715</v>
      </c>
      <c r="S261" s="47" t="s">
        <v>737</v>
      </c>
      <c r="T261" s="46" t="s">
        <v>712</v>
      </c>
      <c r="U261" s="47" t="s">
        <v>737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7" customHeight="1" x14ac:dyDescent="0.25">
      <c r="A262" s="6">
        <v>262</v>
      </c>
      <c r="B262" s="11" t="s">
        <v>600</v>
      </c>
      <c r="C262" s="10" t="s">
        <v>798</v>
      </c>
      <c r="D262" s="55" t="s">
        <v>740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736</v>
      </c>
      <c r="L262" s="46" t="s">
        <v>710</v>
      </c>
      <c r="M262" s="47" t="s">
        <v>770</v>
      </c>
      <c r="N262" s="44" t="s">
        <v>1</v>
      </c>
      <c r="O262" s="12" t="s">
        <v>273</v>
      </c>
      <c r="P262" s="46" t="s">
        <v>711</v>
      </c>
      <c r="Q262" s="47" t="s">
        <v>737</v>
      </c>
      <c r="R262" s="46" t="s">
        <v>715</v>
      </c>
      <c r="S262" s="47" t="s">
        <v>737</v>
      </c>
      <c r="T262" s="46" t="s">
        <v>712</v>
      </c>
      <c r="U262" s="47" t="s">
        <v>737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7" customHeight="1" x14ac:dyDescent="0.25">
      <c r="A263" s="6">
        <v>263</v>
      </c>
      <c r="B263" s="11" t="s">
        <v>601</v>
      </c>
      <c r="C263" s="10" t="s">
        <v>798</v>
      </c>
      <c r="D263" s="55" t="s">
        <v>740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736</v>
      </c>
      <c r="L263" s="46" t="s">
        <v>710</v>
      </c>
      <c r="M263" s="47" t="s">
        <v>770</v>
      </c>
      <c r="N263" s="44" t="s">
        <v>1</v>
      </c>
      <c r="O263" s="12" t="s">
        <v>274</v>
      </c>
      <c r="P263" s="46" t="s">
        <v>711</v>
      </c>
      <c r="Q263" s="47" t="s">
        <v>737</v>
      </c>
      <c r="R263" s="46" t="s">
        <v>715</v>
      </c>
      <c r="S263" s="47" t="s">
        <v>737</v>
      </c>
      <c r="T263" s="46" t="s">
        <v>712</v>
      </c>
      <c r="U263" s="47" t="s">
        <v>737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7" customHeight="1" x14ac:dyDescent="0.25">
      <c r="A264" s="6">
        <v>264</v>
      </c>
      <c r="B264" s="11" t="s">
        <v>602</v>
      </c>
      <c r="C264" s="10" t="s">
        <v>798</v>
      </c>
      <c r="D264" s="55" t="s">
        <v>740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736</v>
      </c>
      <c r="L264" s="46" t="s">
        <v>710</v>
      </c>
      <c r="M264" s="47" t="s">
        <v>770</v>
      </c>
      <c r="N264" s="44" t="s">
        <v>1</v>
      </c>
      <c r="O264" s="12" t="s">
        <v>275</v>
      </c>
      <c r="P264" s="46" t="s">
        <v>711</v>
      </c>
      <c r="Q264" s="47" t="s">
        <v>737</v>
      </c>
      <c r="R264" s="46" t="s">
        <v>715</v>
      </c>
      <c r="S264" s="47" t="s">
        <v>737</v>
      </c>
      <c r="T264" s="46" t="s">
        <v>712</v>
      </c>
      <c r="U264" s="47" t="s">
        <v>737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7" customHeight="1" x14ac:dyDescent="0.25">
      <c r="A265" s="6">
        <v>265</v>
      </c>
      <c r="B265" s="11" t="s">
        <v>603</v>
      </c>
      <c r="C265" s="10" t="s">
        <v>798</v>
      </c>
      <c r="D265" s="55" t="s">
        <v>740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736</v>
      </c>
      <c r="L265" s="46" t="s">
        <v>710</v>
      </c>
      <c r="M265" s="47" t="s">
        <v>770</v>
      </c>
      <c r="N265" s="44" t="s">
        <v>1</v>
      </c>
      <c r="O265" s="12" t="s">
        <v>276</v>
      </c>
      <c r="P265" s="46" t="s">
        <v>711</v>
      </c>
      <c r="Q265" s="47" t="s">
        <v>737</v>
      </c>
      <c r="R265" s="46" t="s">
        <v>715</v>
      </c>
      <c r="S265" s="47" t="s">
        <v>737</v>
      </c>
      <c r="T265" s="46" t="s">
        <v>712</v>
      </c>
      <c r="U265" s="47" t="s">
        <v>737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7" customHeight="1" x14ac:dyDescent="0.25">
      <c r="A266" s="6">
        <v>266</v>
      </c>
      <c r="B266" s="11" t="s">
        <v>604</v>
      </c>
      <c r="C266" s="10" t="s">
        <v>798</v>
      </c>
      <c r="D266" s="55" t="s">
        <v>740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736</v>
      </c>
      <c r="L266" s="46" t="s">
        <v>710</v>
      </c>
      <c r="M266" s="47" t="s">
        <v>770</v>
      </c>
      <c r="N266" s="44" t="s">
        <v>1</v>
      </c>
      <c r="O266" s="12" t="s">
        <v>277</v>
      </c>
      <c r="P266" s="46" t="s">
        <v>711</v>
      </c>
      <c r="Q266" s="47" t="s">
        <v>737</v>
      </c>
      <c r="R266" s="46" t="s">
        <v>715</v>
      </c>
      <c r="S266" s="47" t="s">
        <v>737</v>
      </c>
      <c r="T266" s="46" t="s">
        <v>712</v>
      </c>
      <c r="U266" s="47" t="s">
        <v>737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7" customHeight="1" x14ac:dyDescent="0.25">
      <c r="A267" s="6">
        <v>267</v>
      </c>
      <c r="B267" s="11" t="s">
        <v>605</v>
      </c>
      <c r="C267" s="10" t="s">
        <v>798</v>
      </c>
      <c r="D267" s="55" t="s">
        <v>740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736</v>
      </c>
      <c r="L267" s="46" t="s">
        <v>710</v>
      </c>
      <c r="M267" s="47" t="s">
        <v>770</v>
      </c>
      <c r="N267" s="44" t="s">
        <v>1</v>
      </c>
      <c r="O267" s="12" t="s">
        <v>278</v>
      </c>
      <c r="P267" s="46" t="s">
        <v>711</v>
      </c>
      <c r="Q267" s="47" t="s">
        <v>737</v>
      </c>
      <c r="R267" s="46" t="s">
        <v>715</v>
      </c>
      <c r="S267" s="47" t="s">
        <v>737</v>
      </c>
      <c r="T267" s="46" t="s">
        <v>712</v>
      </c>
      <c r="U267" s="47" t="s">
        <v>737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7" customHeight="1" x14ac:dyDescent="0.25">
      <c r="A268" s="6">
        <v>268</v>
      </c>
      <c r="B268" s="11" t="s">
        <v>606</v>
      </c>
      <c r="C268" s="10" t="s">
        <v>798</v>
      </c>
      <c r="D268" s="55" t="s">
        <v>740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736</v>
      </c>
      <c r="L268" s="46" t="s">
        <v>710</v>
      </c>
      <c r="M268" s="47" t="s">
        <v>770</v>
      </c>
      <c r="N268" s="44" t="s">
        <v>1</v>
      </c>
      <c r="O268" s="12" t="s">
        <v>279</v>
      </c>
      <c r="P268" s="46" t="s">
        <v>711</v>
      </c>
      <c r="Q268" s="47" t="s">
        <v>737</v>
      </c>
      <c r="R268" s="46" t="s">
        <v>715</v>
      </c>
      <c r="S268" s="47" t="s">
        <v>737</v>
      </c>
      <c r="T268" s="46" t="s">
        <v>712</v>
      </c>
      <c r="U268" s="47" t="s">
        <v>737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7" customHeight="1" x14ac:dyDescent="0.25">
      <c r="A269" s="6">
        <v>269</v>
      </c>
      <c r="B269" s="11" t="s">
        <v>607</v>
      </c>
      <c r="C269" s="10" t="s">
        <v>799</v>
      </c>
      <c r="D269" s="55" t="s">
        <v>740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736</v>
      </c>
      <c r="L269" s="46" t="s">
        <v>710</v>
      </c>
      <c r="M269" s="47" t="s">
        <v>771</v>
      </c>
      <c r="N269" s="44" t="s">
        <v>1</v>
      </c>
      <c r="O269" s="12" t="s">
        <v>280</v>
      </c>
      <c r="P269" s="46" t="s">
        <v>711</v>
      </c>
      <c r="Q269" s="47" t="s">
        <v>737</v>
      </c>
      <c r="R269" s="46" t="s">
        <v>715</v>
      </c>
      <c r="S269" s="47" t="s">
        <v>737</v>
      </c>
      <c r="T269" s="46" t="s">
        <v>712</v>
      </c>
      <c r="U269" s="47" t="s">
        <v>737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7" customHeight="1" x14ac:dyDescent="0.25">
      <c r="A270" s="6">
        <v>270</v>
      </c>
      <c r="B270" s="11" t="s">
        <v>608</v>
      </c>
      <c r="C270" s="10" t="s">
        <v>799</v>
      </c>
      <c r="D270" s="55" t="s">
        <v>740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736</v>
      </c>
      <c r="L270" s="46" t="s">
        <v>710</v>
      </c>
      <c r="M270" s="47" t="s">
        <v>771</v>
      </c>
      <c r="N270" s="44" t="s">
        <v>1</v>
      </c>
      <c r="O270" s="12" t="s">
        <v>281</v>
      </c>
      <c r="P270" s="46" t="s">
        <v>711</v>
      </c>
      <c r="Q270" s="47" t="s">
        <v>737</v>
      </c>
      <c r="R270" s="46" t="s">
        <v>715</v>
      </c>
      <c r="S270" s="47" t="s">
        <v>737</v>
      </c>
      <c r="T270" s="46" t="s">
        <v>712</v>
      </c>
      <c r="U270" s="47" t="s">
        <v>737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7" customHeight="1" x14ac:dyDescent="0.25">
      <c r="A271" s="6">
        <v>271</v>
      </c>
      <c r="B271" s="11" t="s">
        <v>609</v>
      </c>
      <c r="C271" s="10" t="s">
        <v>799</v>
      </c>
      <c r="D271" s="55" t="s">
        <v>740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736</v>
      </c>
      <c r="L271" s="46" t="s">
        <v>710</v>
      </c>
      <c r="M271" s="47" t="s">
        <v>771</v>
      </c>
      <c r="N271" s="44" t="s">
        <v>1</v>
      </c>
      <c r="O271" s="12" t="s">
        <v>282</v>
      </c>
      <c r="P271" s="46" t="s">
        <v>711</v>
      </c>
      <c r="Q271" s="47" t="s">
        <v>737</v>
      </c>
      <c r="R271" s="46" t="s">
        <v>715</v>
      </c>
      <c r="S271" s="47" t="s">
        <v>737</v>
      </c>
      <c r="T271" s="46" t="s">
        <v>712</v>
      </c>
      <c r="U271" s="47" t="s">
        <v>737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7" customHeight="1" x14ac:dyDescent="0.25">
      <c r="A272" s="6">
        <v>272</v>
      </c>
      <c r="B272" s="11" t="s">
        <v>610</v>
      </c>
      <c r="C272" s="10" t="s">
        <v>799</v>
      </c>
      <c r="D272" s="55" t="s">
        <v>740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736</v>
      </c>
      <c r="L272" s="46" t="s">
        <v>710</v>
      </c>
      <c r="M272" s="47" t="s">
        <v>771</v>
      </c>
      <c r="N272" s="44" t="s">
        <v>1</v>
      </c>
      <c r="O272" s="12" t="s">
        <v>283</v>
      </c>
      <c r="P272" s="46" t="s">
        <v>711</v>
      </c>
      <c r="Q272" s="47" t="s">
        <v>737</v>
      </c>
      <c r="R272" s="46" t="s">
        <v>715</v>
      </c>
      <c r="S272" s="47" t="s">
        <v>737</v>
      </c>
      <c r="T272" s="46" t="s">
        <v>712</v>
      </c>
      <c r="U272" s="47" t="s">
        <v>737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7" customHeight="1" x14ac:dyDescent="0.25">
      <c r="A273" s="6">
        <v>273</v>
      </c>
      <c r="B273" s="11" t="s">
        <v>611</v>
      </c>
      <c r="C273" s="10" t="s">
        <v>800</v>
      </c>
      <c r="D273" s="55" t="s">
        <v>740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736</v>
      </c>
      <c r="L273" s="46" t="s">
        <v>710</v>
      </c>
      <c r="M273" s="47" t="s">
        <v>773</v>
      </c>
      <c r="N273" s="44" t="s">
        <v>1</v>
      </c>
      <c r="O273" s="12" t="s">
        <v>284</v>
      </c>
      <c r="P273" s="46" t="s">
        <v>711</v>
      </c>
      <c r="Q273" s="47" t="s">
        <v>737</v>
      </c>
      <c r="R273" s="46" t="s">
        <v>715</v>
      </c>
      <c r="S273" s="47" t="s">
        <v>737</v>
      </c>
      <c r="T273" s="46" t="s">
        <v>712</v>
      </c>
      <c r="U273" s="47" t="s">
        <v>737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7" customHeight="1" x14ac:dyDescent="0.25">
      <c r="A274" s="6">
        <v>274</v>
      </c>
      <c r="B274" s="11" t="s">
        <v>612</v>
      </c>
      <c r="C274" s="10" t="s">
        <v>800</v>
      </c>
      <c r="D274" s="55" t="s">
        <v>740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736</v>
      </c>
      <c r="L274" s="46" t="s">
        <v>710</v>
      </c>
      <c r="M274" s="47" t="s">
        <v>773</v>
      </c>
      <c r="N274" s="44" t="s">
        <v>1</v>
      </c>
      <c r="O274" s="12" t="s">
        <v>285</v>
      </c>
      <c r="P274" s="46" t="s">
        <v>711</v>
      </c>
      <c r="Q274" s="47" t="s">
        <v>737</v>
      </c>
      <c r="R274" s="46" t="s">
        <v>715</v>
      </c>
      <c r="S274" s="47" t="s">
        <v>737</v>
      </c>
      <c r="T274" s="46" t="s">
        <v>712</v>
      </c>
      <c r="U274" s="47" t="s">
        <v>737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7" customHeight="1" x14ac:dyDescent="0.25">
      <c r="A275" s="6">
        <v>275</v>
      </c>
      <c r="B275" s="11" t="s">
        <v>613</v>
      </c>
      <c r="C275" s="10" t="s">
        <v>800</v>
      </c>
      <c r="D275" s="55" t="s">
        <v>740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736</v>
      </c>
      <c r="L275" s="46" t="s">
        <v>710</v>
      </c>
      <c r="M275" s="47" t="s">
        <v>773</v>
      </c>
      <c r="N275" s="44" t="s">
        <v>1</v>
      </c>
      <c r="O275" s="12" t="s">
        <v>286</v>
      </c>
      <c r="P275" s="46" t="s">
        <v>711</v>
      </c>
      <c r="Q275" s="47" t="s">
        <v>737</v>
      </c>
      <c r="R275" s="46" t="s">
        <v>715</v>
      </c>
      <c r="S275" s="47" t="s">
        <v>737</v>
      </c>
      <c r="T275" s="46" t="s">
        <v>712</v>
      </c>
      <c r="U275" s="47" t="s">
        <v>737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7" customHeight="1" x14ac:dyDescent="0.25">
      <c r="A276" s="6">
        <v>276</v>
      </c>
      <c r="B276" s="11" t="s">
        <v>614</v>
      </c>
      <c r="C276" s="10" t="s">
        <v>800</v>
      </c>
      <c r="D276" s="55" t="s">
        <v>740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736</v>
      </c>
      <c r="L276" s="46" t="s">
        <v>710</v>
      </c>
      <c r="M276" s="47" t="s">
        <v>773</v>
      </c>
      <c r="N276" s="44" t="s">
        <v>1</v>
      </c>
      <c r="O276" s="12" t="s">
        <v>287</v>
      </c>
      <c r="P276" s="46" t="s">
        <v>711</v>
      </c>
      <c r="Q276" s="47" t="s">
        <v>737</v>
      </c>
      <c r="R276" s="46" t="s">
        <v>715</v>
      </c>
      <c r="S276" s="47" t="s">
        <v>737</v>
      </c>
      <c r="T276" s="46" t="s">
        <v>712</v>
      </c>
      <c r="U276" s="47" t="s">
        <v>737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7" customHeight="1" x14ac:dyDescent="0.25">
      <c r="A277" s="6">
        <v>277</v>
      </c>
      <c r="B277" s="11" t="s">
        <v>615</v>
      </c>
      <c r="C277" s="10" t="s">
        <v>801</v>
      </c>
      <c r="D277" s="55" t="s">
        <v>740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736</v>
      </c>
      <c r="L277" s="46" t="s">
        <v>710</v>
      </c>
      <c r="M277" s="47" t="s">
        <v>772</v>
      </c>
      <c r="N277" s="44" t="s">
        <v>1</v>
      </c>
      <c r="O277" s="12" t="s">
        <v>288</v>
      </c>
      <c r="P277" s="46" t="s">
        <v>711</v>
      </c>
      <c r="Q277" s="47" t="s">
        <v>737</v>
      </c>
      <c r="R277" s="46" t="s">
        <v>715</v>
      </c>
      <c r="S277" s="47" t="s">
        <v>737</v>
      </c>
      <c r="T277" s="46" t="s">
        <v>712</v>
      </c>
      <c r="U277" s="47" t="s">
        <v>737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7" customHeight="1" x14ac:dyDescent="0.25">
      <c r="A278" s="6">
        <v>278</v>
      </c>
      <c r="B278" s="11" t="s">
        <v>616</v>
      </c>
      <c r="C278" s="10" t="s">
        <v>801</v>
      </c>
      <c r="D278" s="55" t="s">
        <v>740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736</v>
      </c>
      <c r="L278" s="46" t="s">
        <v>710</v>
      </c>
      <c r="M278" s="47" t="s">
        <v>772</v>
      </c>
      <c r="N278" s="44" t="s">
        <v>1</v>
      </c>
      <c r="O278" s="12" t="s">
        <v>289</v>
      </c>
      <c r="P278" s="46" t="s">
        <v>711</v>
      </c>
      <c r="Q278" s="47" t="s">
        <v>737</v>
      </c>
      <c r="R278" s="46" t="s">
        <v>715</v>
      </c>
      <c r="S278" s="47" t="s">
        <v>737</v>
      </c>
      <c r="T278" s="46" t="s">
        <v>712</v>
      </c>
      <c r="U278" s="47" t="s">
        <v>737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7" customHeight="1" x14ac:dyDescent="0.25">
      <c r="A279" s="6">
        <v>279</v>
      </c>
      <c r="B279" s="11" t="s">
        <v>617</v>
      </c>
      <c r="C279" s="10" t="s">
        <v>801</v>
      </c>
      <c r="D279" s="55" t="s">
        <v>740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736</v>
      </c>
      <c r="L279" s="46" t="s">
        <v>710</v>
      </c>
      <c r="M279" s="47" t="s">
        <v>772</v>
      </c>
      <c r="N279" s="44" t="s">
        <v>1</v>
      </c>
      <c r="O279" s="12" t="s">
        <v>290</v>
      </c>
      <c r="P279" s="46" t="s">
        <v>711</v>
      </c>
      <c r="Q279" s="47" t="s">
        <v>737</v>
      </c>
      <c r="R279" s="46" t="s">
        <v>715</v>
      </c>
      <c r="S279" s="47" t="s">
        <v>737</v>
      </c>
      <c r="T279" s="46" t="s">
        <v>712</v>
      </c>
      <c r="U279" s="47" t="s">
        <v>737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7" customHeight="1" x14ac:dyDescent="0.25">
      <c r="A280" s="6">
        <v>280</v>
      </c>
      <c r="B280" s="11" t="s">
        <v>618</v>
      </c>
      <c r="C280" s="10" t="s">
        <v>801</v>
      </c>
      <c r="D280" s="55" t="s">
        <v>740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736</v>
      </c>
      <c r="L280" s="46" t="s">
        <v>710</v>
      </c>
      <c r="M280" s="47" t="s">
        <v>772</v>
      </c>
      <c r="N280" s="44" t="s">
        <v>1</v>
      </c>
      <c r="O280" s="12" t="s">
        <v>291</v>
      </c>
      <c r="P280" s="46" t="s">
        <v>711</v>
      </c>
      <c r="Q280" s="47" t="s">
        <v>737</v>
      </c>
      <c r="R280" s="46" t="s">
        <v>715</v>
      </c>
      <c r="S280" s="47" t="s">
        <v>737</v>
      </c>
      <c r="T280" s="46" t="s">
        <v>712</v>
      </c>
      <c r="U280" s="47" t="s">
        <v>737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7" customHeight="1" x14ac:dyDescent="0.25">
      <c r="A281" s="6">
        <v>281</v>
      </c>
      <c r="B281" s="11" t="s">
        <v>619</v>
      </c>
      <c r="C281" s="10" t="s">
        <v>801</v>
      </c>
      <c r="D281" s="55" t="s">
        <v>740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736</v>
      </c>
      <c r="L281" s="46" t="s">
        <v>710</v>
      </c>
      <c r="M281" s="47" t="s">
        <v>772</v>
      </c>
      <c r="N281" s="44" t="s">
        <v>1</v>
      </c>
      <c r="O281" s="12" t="s">
        <v>292</v>
      </c>
      <c r="P281" s="46" t="s">
        <v>711</v>
      </c>
      <c r="Q281" s="47" t="s">
        <v>737</v>
      </c>
      <c r="R281" s="46" t="s">
        <v>715</v>
      </c>
      <c r="S281" s="47" t="s">
        <v>737</v>
      </c>
      <c r="T281" s="46" t="s">
        <v>712</v>
      </c>
      <c r="U281" s="47" t="s">
        <v>737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7" customHeight="1" x14ac:dyDescent="0.25">
      <c r="A282" s="6">
        <v>282</v>
      </c>
      <c r="B282" s="11" t="s">
        <v>620</v>
      </c>
      <c r="C282" s="10" t="s">
        <v>802</v>
      </c>
      <c r="D282" s="55" t="s">
        <v>740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736</v>
      </c>
      <c r="L282" s="46" t="s">
        <v>710</v>
      </c>
      <c r="M282" s="47" t="s">
        <v>741</v>
      </c>
      <c r="N282" s="44" t="s">
        <v>1</v>
      </c>
      <c r="O282" s="12" t="s">
        <v>293</v>
      </c>
      <c r="P282" s="46" t="s">
        <v>711</v>
      </c>
      <c r="Q282" s="47" t="s">
        <v>737</v>
      </c>
      <c r="R282" s="46" t="s">
        <v>715</v>
      </c>
      <c r="S282" s="47" t="s">
        <v>737</v>
      </c>
      <c r="T282" s="46" t="s">
        <v>712</v>
      </c>
      <c r="U282" s="47" t="s">
        <v>737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7" customHeight="1" x14ac:dyDescent="0.25">
      <c r="A283" s="6">
        <v>283</v>
      </c>
      <c r="B283" s="11" t="s">
        <v>621</v>
      </c>
      <c r="C283" s="10" t="s">
        <v>802</v>
      </c>
      <c r="D283" s="55" t="s">
        <v>740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736</v>
      </c>
      <c r="L283" s="46" t="s">
        <v>710</v>
      </c>
      <c r="M283" s="47" t="s">
        <v>741</v>
      </c>
      <c r="N283" s="44" t="s">
        <v>1</v>
      </c>
      <c r="O283" s="12" t="s">
        <v>294</v>
      </c>
      <c r="P283" s="46" t="s">
        <v>711</v>
      </c>
      <c r="Q283" s="47" t="s">
        <v>737</v>
      </c>
      <c r="R283" s="46" t="s">
        <v>715</v>
      </c>
      <c r="S283" s="47" t="s">
        <v>737</v>
      </c>
      <c r="T283" s="46" t="s">
        <v>712</v>
      </c>
      <c r="U283" s="47" t="s">
        <v>737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7" customHeight="1" x14ac:dyDescent="0.25">
      <c r="A284" s="6">
        <v>284</v>
      </c>
      <c r="B284" s="11" t="s">
        <v>622</v>
      </c>
      <c r="C284" s="10" t="s">
        <v>802</v>
      </c>
      <c r="D284" s="55" t="s">
        <v>740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736</v>
      </c>
      <c r="L284" s="46" t="s">
        <v>710</v>
      </c>
      <c r="M284" s="47" t="s">
        <v>741</v>
      </c>
      <c r="N284" s="44" t="s">
        <v>1</v>
      </c>
      <c r="O284" s="12" t="s">
        <v>295</v>
      </c>
      <c r="P284" s="46" t="s">
        <v>711</v>
      </c>
      <c r="Q284" s="47" t="s">
        <v>737</v>
      </c>
      <c r="R284" s="46" t="s">
        <v>715</v>
      </c>
      <c r="S284" s="47" t="s">
        <v>737</v>
      </c>
      <c r="T284" s="46" t="s">
        <v>712</v>
      </c>
      <c r="U284" s="47" t="s">
        <v>737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7" customHeight="1" x14ac:dyDescent="0.25">
      <c r="A285" s="6">
        <v>285</v>
      </c>
      <c r="B285" s="11" t="s">
        <v>623</v>
      </c>
      <c r="C285" s="10" t="s">
        <v>802</v>
      </c>
      <c r="D285" s="55" t="s">
        <v>740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736</v>
      </c>
      <c r="L285" s="46" t="s">
        <v>710</v>
      </c>
      <c r="M285" s="47" t="s">
        <v>741</v>
      </c>
      <c r="N285" s="44" t="s">
        <v>1</v>
      </c>
      <c r="O285" s="12" t="s">
        <v>296</v>
      </c>
      <c r="P285" s="46" t="s">
        <v>711</v>
      </c>
      <c r="Q285" s="47" t="s">
        <v>737</v>
      </c>
      <c r="R285" s="46" t="s">
        <v>715</v>
      </c>
      <c r="S285" s="47" t="s">
        <v>737</v>
      </c>
      <c r="T285" s="46" t="s">
        <v>712</v>
      </c>
      <c r="U285" s="47" t="s">
        <v>737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7" customHeight="1" x14ac:dyDescent="0.25">
      <c r="A286" s="6">
        <v>286</v>
      </c>
      <c r="B286" s="11" t="s">
        <v>624</v>
      </c>
      <c r="C286" s="10" t="s">
        <v>803</v>
      </c>
      <c r="D286" s="55" t="s">
        <v>740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736</v>
      </c>
      <c r="L286" s="46" t="s">
        <v>710</v>
      </c>
      <c r="M286" s="47" t="s">
        <v>742</v>
      </c>
      <c r="N286" s="44" t="s">
        <v>1</v>
      </c>
      <c r="O286" s="12" t="s">
        <v>297</v>
      </c>
      <c r="P286" s="46" t="s">
        <v>711</v>
      </c>
      <c r="Q286" s="47" t="s">
        <v>737</v>
      </c>
      <c r="R286" s="46" t="s">
        <v>715</v>
      </c>
      <c r="S286" s="47" t="s">
        <v>737</v>
      </c>
      <c r="T286" s="46" t="s">
        <v>712</v>
      </c>
      <c r="U286" s="47" t="s">
        <v>737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7" customHeight="1" x14ac:dyDescent="0.25">
      <c r="A287" s="6">
        <v>287</v>
      </c>
      <c r="B287" s="11" t="s">
        <v>625</v>
      </c>
      <c r="C287" s="10" t="s">
        <v>803</v>
      </c>
      <c r="D287" s="55" t="s">
        <v>740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736</v>
      </c>
      <c r="L287" s="46" t="s">
        <v>710</v>
      </c>
      <c r="M287" s="47" t="s">
        <v>742</v>
      </c>
      <c r="N287" s="44" t="s">
        <v>1</v>
      </c>
      <c r="O287" s="12" t="s">
        <v>298</v>
      </c>
      <c r="P287" s="46" t="s">
        <v>711</v>
      </c>
      <c r="Q287" s="47" t="s">
        <v>737</v>
      </c>
      <c r="R287" s="46" t="s">
        <v>715</v>
      </c>
      <c r="S287" s="47" t="s">
        <v>737</v>
      </c>
      <c r="T287" s="46" t="s">
        <v>712</v>
      </c>
      <c r="U287" s="47" t="s">
        <v>737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7" customHeight="1" x14ac:dyDescent="0.25">
      <c r="A288" s="6">
        <v>288</v>
      </c>
      <c r="B288" s="11" t="s">
        <v>626</v>
      </c>
      <c r="C288" s="10" t="s">
        <v>803</v>
      </c>
      <c r="D288" s="55" t="s">
        <v>740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736</v>
      </c>
      <c r="L288" s="46" t="s">
        <v>710</v>
      </c>
      <c r="M288" s="47" t="s">
        <v>742</v>
      </c>
      <c r="N288" s="44" t="s">
        <v>1</v>
      </c>
      <c r="O288" s="12" t="s">
        <v>299</v>
      </c>
      <c r="P288" s="46" t="s">
        <v>711</v>
      </c>
      <c r="Q288" s="47" t="s">
        <v>737</v>
      </c>
      <c r="R288" s="46" t="s">
        <v>715</v>
      </c>
      <c r="S288" s="47" t="s">
        <v>737</v>
      </c>
      <c r="T288" s="46" t="s">
        <v>712</v>
      </c>
      <c r="U288" s="47" t="s">
        <v>737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7" customHeight="1" x14ac:dyDescent="0.25">
      <c r="A289" s="6">
        <v>289</v>
      </c>
      <c r="B289" s="11" t="s">
        <v>627</v>
      </c>
      <c r="C289" s="10" t="s">
        <v>803</v>
      </c>
      <c r="D289" s="55" t="s">
        <v>740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736</v>
      </c>
      <c r="L289" s="46" t="s">
        <v>710</v>
      </c>
      <c r="M289" s="47" t="s">
        <v>742</v>
      </c>
      <c r="N289" s="44" t="s">
        <v>1</v>
      </c>
      <c r="O289" s="12" t="s">
        <v>300</v>
      </c>
      <c r="P289" s="46" t="s">
        <v>711</v>
      </c>
      <c r="Q289" s="47" t="s">
        <v>737</v>
      </c>
      <c r="R289" s="46" t="s">
        <v>715</v>
      </c>
      <c r="S289" s="47" t="s">
        <v>737</v>
      </c>
      <c r="T289" s="46" t="s">
        <v>712</v>
      </c>
      <c r="U289" s="47" t="s">
        <v>737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7" customHeight="1" x14ac:dyDescent="0.25">
      <c r="A290" s="6">
        <v>290</v>
      </c>
      <c r="B290" s="11" t="s">
        <v>628</v>
      </c>
      <c r="C290" s="10" t="s">
        <v>804</v>
      </c>
      <c r="D290" s="55" t="s">
        <v>740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736</v>
      </c>
      <c r="L290" s="46" t="s">
        <v>710</v>
      </c>
      <c r="M290" s="47" t="s">
        <v>743</v>
      </c>
      <c r="N290" s="44" t="s">
        <v>1</v>
      </c>
      <c r="O290" s="12" t="s">
        <v>301</v>
      </c>
      <c r="P290" s="46" t="s">
        <v>711</v>
      </c>
      <c r="Q290" s="47" t="s">
        <v>737</v>
      </c>
      <c r="R290" s="46" t="s">
        <v>715</v>
      </c>
      <c r="S290" s="47" t="s">
        <v>737</v>
      </c>
      <c r="T290" s="46" t="s">
        <v>712</v>
      </c>
      <c r="U290" s="47" t="s">
        <v>737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7" customHeight="1" x14ac:dyDescent="0.25">
      <c r="A291" s="6">
        <v>291</v>
      </c>
      <c r="B291" s="11" t="s">
        <v>629</v>
      </c>
      <c r="C291" s="10" t="s">
        <v>804</v>
      </c>
      <c r="D291" s="55" t="s">
        <v>740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736</v>
      </c>
      <c r="L291" s="46" t="s">
        <v>710</v>
      </c>
      <c r="M291" s="47" t="s">
        <v>743</v>
      </c>
      <c r="N291" s="44" t="s">
        <v>1</v>
      </c>
      <c r="O291" s="12" t="s">
        <v>302</v>
      </c>
      <c r="P291" s="46" t="s">
        <v>711</v>
      </c>
      <c r="Q291" s="47" t="s">
        <v>737</v>
      </c>
      <c r="R291" s="46" t="s">
        <v>715</v>
      </c>
      <c r="S291" s="47" t="s">
        <v>737</v>
      </c>
      <c r="T291" s="46" t="s">
        <v>712</v>
      </c>
      <c r="U291" s="47" t="s">
        <v>737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7" customHeight="1" x14ac:dyDescent="0.25">
      <c r="A292" s="6">
        <v>292</v>
      </c>
      <c r="B292" s="11" t="s">
        <v>630</v>
      </c>
      <c r="C292" s="10" t="s">
        <v>804</v>
      </c>
      <c r="D292" s="55" t="s">
        <v>740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736</v>
      </c>
      <c r="L292" s="46" t="s">
        <v>710</v>
      </c>
      <c r="M292" s="47" t="s">
        <v>743</v>
      </c>
      <c r="N292" s="44" t="s">
        <v>1</v>
      </c>
      <c r="O292" s="12" t="s">
        <v>303</v>
      </c>
      <c r="P292" s="46" t="s">
        <v>711</v>
      </c>
      <c r="Q292" s="47" t="s">
        <v>737</v>
      </c>
      <c r="R292" s="46" t="s">
        <v>715</v>
      </c>
      <c r="S292" s="47" t="s">
        <v>737</v>
      </c>
      <c r="T292" s="46" t="s">
        <v>712</v>
      </c>
      <c r="U292" s="47" t="s">
        <v>737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7" customHeight="1" x14ac:dyDescent="0.25">
      <c r="A293" s="6">
        <v>293</v>
      </c>
      <c r="B293" s="11" t="s">
        <v>631</v>
      </c>
      <c r="C293" s="10" t="s">
        <v>807</v>
      </c>
      <c r="D293" s="55" t="s">
        <v>740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736</v>
      </c>
      <c r="L293" s="46" t="s">
        <v>710</v>
      </c>
      <c r="M293" s="47" t="s">
        <v>744</v>
      </c>
      <c r="N293" s="44" t="s">
        <v>1</v>
      </c>
      <c r="O293" s="12" t="s">
        <v>304</v>
      </c>
      <c r="P293" s="46" t="s">
        <v>711</v>
      </c>
      <c r="Q293" s="47" t="s">
        <v>737</v>
      </c>
      <c r="R293" s="46" t="s">
        <v>715</v>
      </c>
      <c r="S293" s="47" t="s">
        <v>737</v>
      </c>
      <c r="T293" s="46" t="s">
        <v>712</v>
      </c>
      <c r="U293" s="47" t="s">
        <v>737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7" customHeight="1" x14ac:dyDescent="0.25">
      <c r="A294" s="6">
        <v>294</v>
      </c>
      <c r="B294" s="11" t="s">
        <v>632</v>
      </c>
      <c r="C294" s="10" t="s">
        <v>807</v>
      </c>
      <c r="D294" s="55" t="s">
        <v>740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736</v>
      </c>
      <c r="L294" s="46" t="s">
        <v>710</v>
      </c>
      <c r="M294" s="47" t="s">
        <v>744</v>
      </c>
      <c r="N294" s="44" t="s">
        <v>1</v>
      </c>
      <c r="O294" s="12" t="s">
        <v>305</v>
      </c>
      <c r="P294" s="46" t="s">
        <v>711</v>
      </c>
      <c r="Q294" s="47" t="s">
        <v>737</v>
      </c>
      <c r="R294" s="46" t="s">
        <v>715</v>
      </c>
      <c r="S294" s="47" t="s">
        <v>737</v>
      </c>
      <c r="T294" s="46" t="s">
        <v>712</v>
      </c>
      <c r="U294" s="47" t="s">
        <v>737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7" customHeight="1" x14ac:dyDescent="0.25">
      <c r="A295" s="6">
        <v>295</v>
      </c>
      <c r="B295" s="11" t="s">
        <v>633</v>
      </c>
      <c r="C295" s="10" t="s">
        <v>807</v>
      </c>
      <c r="D295" s="55" t="s">
        <v>740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736</v>
      </c>
      <c r="L295" s="46" t="s">
        <v>710</v>
      </c>
      <c r="M295" s="47" t="s">
        <v>744</v>
      </c>
      <c r="N295" s="44" t="s">
        <v>1</v>
      </c>
      <c r="O295" s="12" t="s">
        <v>306</v>
      </c>
      <c r="P295" s="46" t="s">
        <v>711</v>
      </c>
      <c r="Q295" s="47" t="s">
        <v>737</v>
      </c>
      <c r="R295" s="46" t="s">
        <v>715</v>
      </c>
      <c r="S295" s="47" t="s">
        <v>737</v>
      </c>
      <c r="T295" s="46" t="s">
        <v>712</v>
      </c>
      <c r="U295" s="47" t="s">
        <v>737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7" customHeight="1" x14ac:dyDescent="0.25">
      <c r="A296" s="6">
        <v>296</v>
      </c>
      <c r="B296" s="11" t="s">
        <v>634</v>
      </c>
      <c r="C296" s="10" t="s">
        <v>807</v>
      </c>
      <c r="D296" s="55" t="s">
        <v>740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736</v>
      </c>
      <c r="L296" s="46" t="s">
        <v>710</v>
      </c>
      <c r="M296" s="47" t="s">
        <v>744</v>
      </c>
      <c r="N296" s="44" t="s">
        <v>1</v>
      </c>
      <c r="O296" s="12" t="s">
        <v>307</v>
      </c>
      <c r="P296" s="46" t="s">
        <v>711</v>
      </c>
      <c r="Q296" s="47" t="s">
        <v>737</v>
      </c>
      <c r="R296" s="46" t="s">
        <v>715</v>
      </c>
      <c r="S296" s="47" t="s">
        <v>737</v>
      </c>
      <c r="T296" s="46" t="s">
        <v>712</v>
      </c>
      <c r="U296" s="47" t="s">
        <v>737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7" customHeight="1" x14ac:dyDescent="0.25">
      <c r="A297" s="6">
        <v>297</v>
      </c>
      <c r="B297" s="11" t="s">
        <v>635</v>
      </c>
      <c r="C297" s="10" t="s">
        <v>807</v>
      </c>
      <c r="D297" s="55" t="s">
        <v>740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736</v>
      </c>
      <c r="L297" s="46" t="s">
        <v>710</v>
      </c>
      <c r="M297" s="47" t="s">
        <v>744</v>
      </c>
      <c r="N297" s="44" t="s">
        <v>1</v>
      </c>
      <c r="O297" s="12" t="s">
        <v>308</v>
      </c>
      <c r="P297" s="46" t="s">
        <v>711</v>
      </c>
      <c r="Q297" s="47" t="s">
        <v>737</v>
      </c>
      <c r="R297" s="46" t="s">
        <v>715</v>
      </c>
      <c r="S297" s="47" t="s">
        <v>737</v>
      </c>
      <c r="T297" s="46" t="s">
        <v>712</v>
      </c>
      <c r="U297" s="47" t="s">
        <v>737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7" customHeight="1" x14ac:dyDescent="0.25">
      <c r="A298" s="6">
        <v>298</v>
      </c>
      <c r="B298" s="11" t="s">
        <v>636</v>
      </c>
      <c r="C298" s="10" t="s">
        <v>805</v>
      </c>
      <c r="D298" s="55" t="s">
        <v>740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736</v>
      </c>
      <c r="L298" s="46" t="s">
        <v>710</v>
      </c>
      <c r="M298" s="47" t="s">
        <v>745</v>
      </c>
      <c r="N298" s="44" t="s">
        <v>1</v>
      </c>
      <c r="O298" s="12" t="s">
        <v>309</v>
      </c>
      <c r="P298" s="46" t="s">
        <v>711</v>
      </c>
      <c r="Q298" s="47" t="s">
        <v>737</v>
      </c>
      <c r="R298" s="46" t="s">
        <v>715</v>
      </c>
      <c r="S298" s="47" t="s">
        <v>737</v>
      </c>
      <c r="T298" s="46" t="s">
        <v>712</v>
      </c>
      <c r="U298" s="47" t="s">
        <v>737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7" customHeight="1" x14ac:dyDescent="0.25">
      <c r="A299" s="6">
        <v>299</v>
      </c>
      <c r="B299" s="11" t="s">
        <v>637</v>
      </c>
      <c r="C299" s="10" t="s">
        <v>805</v>
      </c>
      <c r="D299" s="55" t="s">
        <v>740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736</v>
      </c>
      <c r="L299" s="46" t="s">
        <v>710</v>
      </c>
      <c r="M299" s="47" t="s">
        <v>745</v>
      </c>
      <c r="N299" s="44" t="s">
        <v>1</v>
      </c>
      <c r="O299" s="12" t="s">
        <v>310</v>
      </c>
      <c r="P299" s="46" t="s">
        <v>711</v>
      </c>
      <c r="Q299" s="47" t="s">
        <v>737</v>
      </c>
      <c r="R299" s="46" t="s">
        <v>715</v>
      </c>
      <c r="S299" s="47" t="s">
        <v>737</v>
      </c>
      <c r="T299" s="46" t="s">
        <v>712</v>
      </c>
      <c r="U299" s="47" t="s">
        <v>737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7" customHeight="1" x14ac:dyDescent="0.25">
      <c r="A300" s="6">
        <v>300</v>
      </c>
      <c r="B300" s="11" t="s">
        <v>638</v>
      </c>
      <c r="C300" s="10" t="s">
        <v>805</v>
      </c>
      <c r="D300" s="55" t="s">
        <v>740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736</v>
      </c>
      <c r="L300" s="46" t="s">
        <v>710</v>
      </c>
      <c r="M300" s="47" t="s">
        <v>745</v>
      </c>
      <c r="N300" s="44" t="s">
        <v>1</v>
      </c>
      <c r="O300" s="12" t="s">
        <v>311</v>
      </c>
      <c r="P300" s="46" t="s">
        <v>711</v>
      </c>
      <c r="Q300" s="47" t="s">
        <v>737</v>
      </c>
      <c r="R300" s="46" t="s">
        <v>715</v>
      </c>
      <c r="S300" s="47" t="s">
        <v>737</v>
      </c>
      <c r="T300" s="46" t="s">
        <v>712</v>
      </c>
      <c r="U300" s="47" t="s">
        <v>737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7" customHeight="1" x14ac:dyDescent="0.25">
      <c r="A301" s="6">
        <v>301</v>
      </c>
      <c r="B301" s="11" t="s">
        <v>639</v>
      </c>
      <c r="C301" s="10" t="s">
        <v>808</v>
      </c>
      <c r="D301" s="55" t="s">
        <v>740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736</v>
      </c>
      <c r="L301" s="46" t="s">
        <v>710</v>
      </c>
      <c r="M301" s="47" t="s">
        <v>746</v>
      </c>
      <c r="N301" s="44" t="s">
        <v>1</v>
      </c>
      <c r="O301" s="12" t="s">
        <v>312</v>
      </c>
      <c r="P301" s="46" t="s">
        <v>711</v>
      </c>
      <c r="Q301" s="47" t="s">
        <v>737</v>
      </c>
      <c r="R301" s="46" t="s">
        <v>715</v>
      </c>
      <c r="S301" s="47" t="s">
        <v>737</v>
      </c>
      <c r="T301" s="46" t="s">
        <v>712</v>
      </c>
      <c r="U301" s="47" t="s">
        <v>737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7" customHeight="1" x14ac:dyDescent="0.25">
      <c r="A302" s="6">
        <v>302</v>
      </c>
      <c r="B302" s="11" t="s">
        <v>640</v>
      </c>
      <c r="C302" s="10" t="s">
        <v>808</v>
      </c>
      <c r="D302" s="55" t="s">
        <v>740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736</v>
      </c>
      <c r="L302" s="46" t="s">
        <v>710</v>
      </c>
      <c r="M302" s="47" t="s">
        <v>746</v>
      </c>
      <c r="N302" s="44" t="s">
        <v>1</v>
      </c>
      <c r="O302" s="12" t="s">
        <v>313</v>
      </c>
      <c r="P302" s="46" t="s">
        <v>711</v>
      </c>
      <c r="Q302" s="47" t="s">
        <v>737</v>
      </c>
      <c r="R302" s="46" t="s">
        <v>715</v>
      </c>
      <c r="S302" s="47" t="s">
        <v>737</v>
      </c>
      <c r="T302" s="46" t="s">
        <v>712</v>
      </c>
      <c r="U302" s="47" t="s">
        <v>737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7" customHeight="1" x14ac:dyDescent="0.25">
      <c r="A303" s="6">
        <v>303</v>
      </c>
      <c r="B303" s="13" t="s">
        <v>641</v>
      </c>
      <c r="C303" s="10" t="s">
        <v>808</v>
      </c>
      <c r="D303" s="55" t="s">
        <v>740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736</v>
      </c>
      <c r="L303" s="46" t="s">
        <v>710</v>
      </c>
      <c r="M303" s="47" t="s">
        <v>746</v>
      </c>
      <c r="N303" s="44" t="s">
        <v>1</v>
      </c>
      <c r="O303" s="14" t="s">
        <v>314</v>
      </c>
      <c r="P303" s="46" t="s">
        <v>711</v>
      </c>
      <c r="Q303" s="47" t="s">
        <v>737</v>
      </c>
      <c r="R303" s="46" t="s">
        <v>715</v>
      </c>
      <c r="S303" s="47" t="s">
        <v>737</v>
      </c>
      <c r="T303" s="46" t="s">
        <v>712</v>
      </c>
      <c r="U303" s="47" t="s">
        <v>737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6" priority="3"/>
    <cfRule type="duplicateValues" dxfId="5" priority="4"/>
  </conditionalFormatting>
  <conditionalFormatting sqref="P2:U4">
    <cfRule type="cellIs" dxfId="4" priority="1" operator="equal">
      <formula>"null"</formula>
    </cfRule>
  </conditionalFormatting>
  <conditionalFormatting sqref="V1:AA1048576">
    <cfRule type="cellIs" dxfId="3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2026-07-29T21:49:48Z</dcterms:modified>
</cp:coreProperties>
</file>