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SP\"/>
    </mc:Choice>
  </mc:AlternateContent>
  <xr:revisionPtr revIDLastSave="0" documentId="13_ncr:1_{9941056C-21EC-4FB7-93A0-8BD6D0B4052A}"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9" i="30" l="1"/>
  <c r="BE10" i="30"/>
  <c r="J57" i="31"/>
  <c r="Q20" i="31"/>
  <c r="Q21" i="31"/>
  <c r="Q19" i="31"/>
  <c r="W20" i="31" l="1"/>
  <c r="U20" i="31"/>
  <c r="T20" i="31"/>
  <c r="S20" i="31"/>
  <c r="O20" i="31"/>
  <c r="N20" i="31"/>
  <c r="M20" i="31"/>
  <c r="L20" i="31"/>
  <c r="W19" i="31"/>
  <c r="U19" i="31"/>
  <c r="T19" i="31"/>
  <c r="S19" i="31"/>
  <c r="O19" i="31"/>
  <c r="N19" i="31"/>
  <c r="M19" i="31"/>
  <c r="L19" i="31"/>
  <c r="K17" i="31"/>
  <c r="BE3" i="30"/>
  <c r="BE4" i="30"/>
  <c r="BE5" i="30"/>
  <c r="BE6" i="30"/>
  <c r="BE7" i="30"/>
  <c r="BE8"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6" i="30" l="1"/>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<sst xmlns="http://schemas.openxmlformats.org/spreadsheetml/2006/main" count="7386" uniqueCount="1481">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</sst>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cellXfs>
  <cellStyles count="1">
    <cellStyle name="Normal" xfId="0" builtinId="0"/>
  </cellStyles>
  <dxfs count="67">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76" bestFit="1" customWidth="1"/>
    <col min="4" max="16384" width="3.28515625" style="6"/>
  </cols>
  <sheetData>
    <row r="1" spans="1:3" ht="49.5" customHeight="1" x14ac:dyDescent="0.25">
      <c r="A1" s="7" t="s">
        <v>36</v>
      </c>
      <c r="B1" s="7" t="s">
        <v>35</v>
      </c>
      <c r="C1" s="30" t="s">
        <v>1326</v>
      </c>
    </row>
    <row r="2" spans="1:3" ht="8.25" customHeight="1" x14ac:dyDescent="0.25">
      <c r="A2" s="8" t="s">
        <v>45</v>
      </c>
      <c r="B2" s="8" t="s">
        <v>61</v>
      </c>
      <c r="C2" s="75" t="s">
        <v>1327</v>
      </c>
    </row>
    <row r="3" spans="1:3" ht="8.25" customHeight="1" x14ac:dyDescent="0.25">
      <c r="A3" s="8" t="s">
        <v>46</v>
      </c>
      <c r="B3" s="9" t="s">
        <v>1479</v>
      </c>
      <c r="C3" s="75" t="s">
        <v>1327</v>
      </c>
    </row>
    <row r="4" spans="1:3" ht="8.25" customHeight="1" x14ac:dyDescent="0.25">
      <c r="A4" s="8" t="s">
        <v>37</v>
      </c>
      <c r="B4" s="8" t="s">
        <v>47</v>
      </c>
      <c r="C4" s="75" t="s">
        <v>1327</v>
      </c>
    </row>
    <row r="5" spans="1:3" ht="8.25" customHeight="1" x14ac:dyDescent="0.25">
      <c r="A5" s="8" t="s">
        <v>38</v>
      </c>
      <c r="B5" s="8" t="str">
        <f>_xlfn.CONCAT(B4,"Prop")</f>
        <v>BIMProp</v>
      </c>
      <c r="C5" s="75" t="s">
        <v>1327</v>
      </c>
    </row>
    <row r="6" spans="1:3" ht="8.25" customHeight="1" x14ac:dyDescent="0.25">
      <c r="A6" s="8" t="s">
        <v>39</v>
      </c>
      <c r="B6" s="8" t="str">
        <f>_xlfn.CONCAT(B4,"Data")</f>
        <v>BIMData</v>
      </c>
      <c r="C6" s="75" t="s">
        <v>1327</v>
      </c>
    </row>
    <row r="7" spans="1:3" ht="8.25" customHeight="1" x14ac:dyDescent="0.25">
      <c r="A7" s="8" t="s">
        <v>40</v>
      </c>
      <c r="B7" s="8" t="s">
        <v>48</v>
      </c>
      <c r="C7" s="75" t="s">
        <v>1327</v>
      </c>
    </row>
    <row r="8" spans="1:3" ht="8.25" customHeight="1" x14ac:dyDescent="0.25">
      <c r="A8" s="8" t="s">
        <v>41</v>
      </c>
      <c r="B8" s="8" t="s">
        <v>1324</v>
      </c>
      <c r="C8" s="75" t="s">
        <v>1327</v>
      </c>
    </row>
    <row r="9" spans="1:3" ht="8.25" customHeight="1" x14ac:dyDescent="0.25">
      <c r="A9" s="8" t="s">
        <v>49</v>
      </c>
      <c r="B9" s="8" t="s">
        <v>50</v>
      </c>
      <c r="C9" s="75" t="s">
        <v>1327</v>
      </c>
    </row>
    <row r="10" spans="1:3" ht="8.25" customHeight="1" x14ac:dyDescent="0.25">
      <c r="A10" s="8" t="s">
        <v>51</v>
      </c>
      <c r="B10" s="8" t="s">
        <v>23</v>
      </c>
      <c r="C10" s="75" t="s">
        <v>1327</v>
      </c>
    </row>
    <row r="11" spans="1:3" ht="8.25" customHeight="1" x14ac:dyDescent="0.25">
      <c r="A11" s="8" t="s">
        <v>42</v>
      </c>
      <c r="B11" s="8" t="s">
        <v>23</v>
      </c>
      <c r="C11" s="75" t="s">
        <v>1327</v>
      </c>
    </row>
    <row r="12" spans="1:3" ht="8.25" customHeight="1" x14ac:dyDescent="0.25">
      <c r="A12" s="8" t="s">
        <v>43</v>
      </c>
      <c r="B12" s="8" t="s">
        <v>23</v>
      </c>
      <c r="C12" s="75" t="s">
        <v>1327</v>
      </c>
    </row>
    <row r="13" spans="1:3" ht="8.25" customHeight="1" x14ac:dyDescent="0.25">
      <c r="A13" s="8" t="s">
        <v>52</v>
      </c>
      <c r="B13" s="8" t="s">
        <v>23</v>
      </c>
      <c r="C13" s="75" t="s">
        <v>1327</v>
      </c>
    </row>
    <row r="14" spans="1:3" ht="8.25" customHeight="1" x14ac:dyDescent="0.25">
      <c r="A14" s="8" t="s">
        <v>53</v>
      </c>
      <c r="B14" s="8" t="s">
        <v>23</v>
      </c>
      <c r="C14" s="75" t="s">
        <v>1327</v>
      </c>
    </row>
    <row r="15" spans="1:3" ht="8.25" customHeight="1" x14ac:dyDescent="0.25">
      <c r="A15" s="8" t="s">
        <v>54</v>
      </c>
      <c r="B15" s="8" t="s">
        <v>23</v>
      </c>
      <c r="C15" s="75" t="s">
        <v>1327</v>
      </c>
    </row>
    <row r="16" spans="1:3" ht="8.25" customHeight="1" x14ac:dyDescent="0.25">
      <c r="A16" s="8" t="s">
        <v>55</v>
      </c>
      <c r="B16" s="8" t="s">
        <v>23</v>
      </c>
      <c r="C16" s="75" t="s">
        <v>1327</v>
      </c>
    </row>
    <row r="17" spans="1:3" ht="8.25" customHeight="1" x14ac:dyDescent="0.25">
      <c r="A17" s="8" t="s">
        <v>44</v>
      </c>
      <c r="B17" s="10" t="s">
        <v>1480</v>
      </c>
      <c r="C17" s="75" t="s">
        <v>1327</v>
      </c>
    </row>
    <row r="18" spans="1:3" ht="8.25" customHeight="1" x14ac:dyDescent="0.25">
      <c r="A18" s="8" t="s">
        <v>56</v>
      </c>
      <c r="B18" s="11">
        <f ca="1">NOW()</f>
        <v>46204.590417013889</v>
      </c>
      <c r="C18" s="75" t="s">
        <v>1327</v>
      </c>
    </row>
    <row r="19" spans="1:3" ht="8.25" customHeight="1" x14ac:dyDescent="0.25">
      <c r="A19" s="10" t="s">
        <v>1335</v>
      </c>
      <c r="B19" s="77" t="s">
        <v>1336</v>
      </c>
      <c r="C19" s="75" t="s">
        <v>1327</v>
      </c>
    </row>
    <row r="20" spans="1:3" ht="8.25" customHeight="1" x14ac:dyDescent="0.25">
      <c r="A20" s="10" t="s">
        <v>1337</v>
      </c>
      <c r="B20" s="77" t="str">
        <f>_xlfn.TRANSLATE(B19,"pt","es")</f>
        <v>Traducciones integradas al español e inglés - Las traducciones deben revisarse constantemente</v>
      </c>
      <c r="C20" s="75" t="s">
        <v>1328</v>
      </c>
    </row>
    <row r="21" spans="1:3" ht="8.25" customHeight="1" x14ac:dyDescent="0.25">
      <c r="A21" s="10" t="s">
        <v>1338</v>
      </c>
      <c r="B21" s="77" t="str">
        <f>_xlfn.TRANSLATE(B19,"pt","en")</f>
        <v>Built-in Spanish and English Translations - Translations must be constantly reviewed</v>
      </c>
      <c r="C21" s="75" t="s">
        <v>1329</v>
      </c>
    </row>
    <row r="22" spans="1:3" ht="8.25" customHeight="1" x14ac:dyDescent="0.25">
      <c r="A22" s="8" t="s">
        <v>57</v>
      </c>
      <c r="B22" s="8" t="s">
        <v>23</v>
      </c>
      <c r="C22" s="75" t="s">
        <v>1327</v>
      </c>
    </row>
    <row r="23" spans="1:3" ht="8.25" customHeight="1" x14ac:dyDescent="0.25">
      <c r="A23" s="8" t="s">
        <v>58</v>
      </c>
      <c r="B23" s="8" t="s">
        <v>23</v>
      </c>
      <c r="C23" s="75" t="s">
        <v>1327</v>
      </c>
    </row>
    <row r="24" spans="1:3" ht="8.25" customHeight="1" x14ac:dyDescent="0.25">
      <c r="A24" s="10" t="s">
        <v>59</v>
      </c>
      <c r="B24" s="12" t="s">
        <v>1473</v>
      </c>
      <c r="C24" s="75" t="s">
        <v>1327</v>
      </c>
    </row>
    <row r="25" spans="1:3" ht="8.25" customHeight="1" x14ac:dyDescent="0.25">
      <c r="A25" s="10" t="s">
        <v>60</v>
      </c>
      <c r="B25" s="12" t="s">
        <v>1472</v>
      </c>
      <c r="C25" s="75" t="s">
        <v>1328</v>
      </c>
    </row>
    <row r="26" spans="1:3" ht="9.75" customHeight="1" x14ac:dyDescent="0.25">
      <c r="A26" s="10" t="s">
        <v>1325</v>
      </c>
      <c r="B26" s="12" t="str">
        <f>_xlfn.TRANSLATE(B24,"pt","en")</f>
        <v>Formalize concepts of elements of Urbanism of Cities in Brazil RJ.</v>
      </c>
      <c r="C26" s="75" t="s">
        <v>1329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1" t="s">
        <v>24</v>
      </c>
      <c r="H1" s="81" t="s">
        <v>25</v>
      </c>
      <c r="I1" s="81" t="s">
        <v>26</v>
      </c>
      <c r="J1" s="81" t="s">
        <v>27</v>
      </c>
      <c r="K1" s="81" t="s">
        <v>28</v>
      </c>
      <c r="L1" s="16" t="s">
        <v>31</v>
      </c>
      <c r="M1" s="16" t="s">
        <v>32</v>
      </c>
      <c r="N1" s="16" t="s">
        <v>30</v>
      </c>
      <c r="O1" s="16" t="s">
        <v>29</v>
      </c>
      <c r="P1" s="16" t="s">
        <v>70</v>
      </c>
      <c r="Q1" s="16" t="s">
        <v>71</v>
      </c>
      <c r="R1" s="27" t="s">
        <v>72</v>
      </c>
      <c r="S1" s="16" t="s">
        <v>62</v>
      </c>
      <c r="T1" s="16" t="s">
        <v>73</v>
      </c>
      <c r="U1" s="17" t="s">
        <v>64</v>
      </c>
      <c r="V1" s="16" t="s">
        <v>63</v>
      </c>
      <c r="W1" s="87" t="s">
        <v>0</v>
      </c>
      <c r="X1" s="17" t="s">
        <v>131</v>
      </c>
      <c r="Y1" s="16" t="s">
        <v>130</v>
      </c>
      <c r="Z1" s="27" t="s">
        <v>1323</v>
      </c>
      <c r="AA1" s="74" t="s">
        <v>1322</v>
      </c>
    </row>
    <row r="2" spans="1:27" ht="6.6" customHeight="1" x14ac:dyDescent="0.25">
      <c r="A2" s="31">
        <v>2</v>
      </c>
      <c r="B2" s="78" t="s">
        <v>1451</v>
      </c>
      <c r="C2" s="79" t="s">
        <v>80</v>
      </c>
      <c r="D2" s="78" t="s">
        <v>79</v>
      </c>
      <c r="E2" s="78" t="s">
        <v>1339</v>
      </c>
      <c r="F2" s="79" t="s">
        <v>1452</v>
      </c>
      <c r="G2" s="80" t="s">
        <v>1</v>
      </c>
      <c r="H2" s="80" t="s">
        <v>1</v>
      </c>
      <c r="I2" s="80" t="s">
        <v>1</v>
      </c>
      <c r="J2" s="80" t="s">
        <v>1</v>
      </c>
      <c r="K2" s="80" t="s">
        <v>1</v>
      </c>
      <c r="L2" s="32" t="str">
        <f t="shared" ref="L2:M6" si="0">CONCATENATE("", C2)</f>
        <v>Contêiner</v>
      </c>
      <c r="M2" s="32" t="str">
        <f t="shared" si="0"/>
        <v>Informação</v>
      </c>
      <c r="N2" s="32" t="str">
        <f t="shared" ref="N2:O6" si="1">(SUBSTITUTE(SUBSTITUTE(CONCATENATE("",E2),"."," ")," De "," de "))</f>
        <v>Definida</v>
      </c>
      <c r="O2" s="32" t="str">
        <f t="shared" si="1"/>
        <v>No Projeto</v>
      </c>
      <c r="P2" s="33" t="s">
        <v>1340</v>
      </c>
      <c r="Q2" s="33" t="s">
        <v>81</v>
      </c>
      <c r="R2" s="34" t="s">
        <v>1</v>
      </c>
      <c r="S2" s="35" t="str">
        <f t="shared" ref="S2:U6" si="2">SUBSTITUTE(C2, ".", " ")</f>
        <v>Contêiner</v>
      </c>
      <c r="T2" s="35" t="str">
        <f t="shared" si="2"/>
        <v>Informação</v>
      </c>
      <c r="U2" s="35" t="str">
        <f t="shared" si="2"/>
        <v>Definida</v>
      </c>
      <c r="V2" s="34" t="s">
        <v>1341</v>
      </c>
      <c r="W2" s="88"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78" t="s">
        <v>1451</v>
      </c>
      <c r="C3" s="79" t="s">
        <v>80</v>
      </c>
      <c r="D3" s="78" t="s">
        <v>79</v>
      </c>
      <c r="E3" s="78" t="s">
        <v>1342</v>
      </c>
      <c r="F3" s="79" t="s">
        <v>1453</v>
      </c>
      <c r="G3" s="80" t="s">
        <v>1</v>
      </c>
      <c r="H3" s="80" t="s">
        <v>1</v>
      </c>
      <c r="I3" s="80" t="s">
        <v>1</v>
      </c>
      <c r="J3" s="80" t="s">
        <v>1</v>
      </c>
      <c r="K3" s="80" t="s">
        <v>1</v>
      </c>
      <c r="L3" s="32" t="str">
        <f t="shared" si="0"/>
        <v>Contêiner</v>
      </c>
      <c r="M3" s="32" t="str">
        <f t="shared" si="0"/>
        <v>Informação</v>
      </c>
      <c r="N3" s="32" t="str">
        <f t="shared" si="1"/>
        <v>Requerida</v>
      </c>
      <c r="O3" s="32" t="str">
        <f t="shared" si="1"/>
        <v>Requisito Espacial</v>
      </c>
      <c r="P3" s="33" t="s">
        <v>1454</v>
      </c>
      <c r="Q3" s="33" t="s">
        <v>81</v>
      </c>
      <c r="R3" s="34" t="s">
        <v>1</v>
      </c>
      <c r="S3" s="35" t="str">
        <f t="shared" si="2"/>
        <v>Contêiner</v>
      </c>
      <c r="T3" s="35" t="str">
        <f t="shared" si="2"/>
        <v>Informação</v>
      </c>
      <c r="U3" s="35" t="str">
        <f t="shared" si="2"/>
        <v>Requerida</v>
      </c>
      <c r="V3" s="34" t="s">
        <v>1341</v>
      </c>
      <c r="W3" s="88"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78" t="s">
        <v>1451</v>
      </c>
      <c r="C4" s="79" t="s">
        <v>80</v>
      </c>
      <c r="D4" s="78" t="s">
        <v>79</v>
      </c>
      <c r="E4" s="78" t="s">
        <v>1342</v>
      </c>
      <c r="F4" s="79" t="s">
        <v>1455</v>
      </c>
      <c r="G4" s="80" t="s">
        <v>1</v>
      </c>
      <c r="H4" s="80" t="s">
        <v>1</v>
      </c>
      <c r="I4" s="80" t="s">
        <v>1</v>
      </c>
      <c r="J4" s="80" t="s">
        <v>1</v>
      </c>
      <c r="K4" s="80" t="s">
        <v>1</v>
      </c>
      <c r="L4" s="32" t="str">
        <f t="shared" si="0"/>
        <v>Contêiner</v>
      </c>
      <c r="M4" s="32" t="str">
        <f t="shared" si="0"/>
        <v>Informação</v>
      </c>
      <c r="N4" s="32" t="str">
        <f t="shared" si="1"/>
        <v>Requerida</v>
      </c>
      <c r="O4" s="32" t="str">
        <f t="shared" si="1"/>
        <v>Requisito Mobiliário</v>
      </c>
      <c r="P4" s="33" t="s">
        <v>1456</v>
      </c>
      <c r="Q4" s="33" t="s">
        <v>81</v>
      </c>
      <c r="R4" s="34" t="s">
        <v>1</v>
      </c>
      <c r="S4" s="35" t="str">
        <f t="shared" si="2"/>
        <v>Contêiner</v>
      </c>
      <c r="T4" s="35" t="str">
        <f t="shared" si="2"/>
        <v>Informação</v>
      </c>
      <c r="U4" s="35" t="str">
        <f t="shared" si="2"/>
        <v>Requerida</v>
      </c>
      <c r="V4" s="34" t="s">
        <v>1341</v>
      </c>
      <c r="W4" s="88"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78" t="s">
        <v>1451</v>
      </c>
      <c r="C5" s="79" t="s">
        <v>80</v>
      </c>
      <c r="D5" s="78" t="s">
        <v>79</v>
      </c>
      <c r="E5" s="78" t="s">
        <v>1342</v>
      </c>
      <c r="F5" s="79" t="s">
        <v>1457</v>
      </c>
      <c r="G5" s="80" t="s">
        <v>1</v>
      </c>
      <c r="H5" s="80" t="s">
        <v>1</v>
      </c>
      <c r="I5" s="80" t="s">
        <v>1</v>
      </c>
      <c r="J5" s="80" t="s">
        <v>1</v>
      </c>
      <c r="K5" s="80" t="s">
        <v>1</v>
      </c>
      <c r="L5" s="32" t="str">
        <f t="shared" si="0"/>
        <v>Contêiner</v>
      </c>
      <c r="M5" s="32" t="str">
        <f t="shared" si="0"/>
        <v>Informação</v>
      </c>
      <c r="N5" s="32" t="str">
        <f t="shared" si="1"/>
        <v>Requerida</v>
      </c>
      <c r="O5" s="32" t="str">
        <f t="shared" si="1"/>
        <v>Requisito Equipamento</v>
      </c>
      <c r="P5" s="33" t="s">
        <v>1458</v>
      </c>
      <c r="Q5" s="33" t="s">
        <v>81</v>
      </c>
      <c r="R5" s="34" t="s">
        <v>1</v>
      </c>
      <c r="S5" s="35" t="str">
        <f t="shared" si="2"/>
        <v>Contêiner</v>
      </c>
      <c r="T5" s="35" t="str">
        <f t="shared" si="2"/>
        <v>Informação</v>
      </c>
      <c r="U5" s="35" t="str">
        <f t="shared" si="2"/>
        <v>Requerida</v>
      </c>
      <c r="V5" s="34" t="s">
        <v>1341</v>
      </c>
      <c r="W5" s="88"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78" t="s">
        <v>1451</v>
      </c>
      <c r="C6" s="79" t="s">
        <v>80</v>
      </c>
      <c r="D6" s="78" t="s">
        <v>79</v>
      </c>
      <c r="E6" s="78" t="s">
        <v>1342</v>
      </c>
      <c r="F6" s="79" t="s">
        <v>1459</v>
      </c>
      <c r="G6" s="80" t="s">
        <v>1</v>
      </c>
      <c r="H6" s="80" t="s">
        <v>1</v>
      </c>
      <c r="I6" s="80" t="s">
        <v>1</v>
      </c>
      <c r="J6" s="80" t="s">
        <v>1</v>
      </c>
      <c r="K6" s="80" t="s">
        <v>1</v>
      </c>
      <c r="L6" s="32" t="str">
        <f t="shared" si="0"/>
        <v>Contêiner</v>
      </c>
      <c r="M6" s="32" t="str">
        <f t="shared" si="0"/>
        <v>Informação</v>
      </c>
      <c r="N6" s="32" t="str">
        <f t="shared" si="1"/>
        <v>Requerida</v>
      </c>
      <c r="O6" s="32" t="str">
        <f t="shared" si="1"/>
        <v>Requisito Sistemas</v>
      </c>
      <c r="P6" s="33" t="s">
        <v>1460</v>
      </c>
      <c r="Q6" s="33" t="s">
        <v>81</v>
      </c>
      <c r="R6" s="34" t="s">
        <v>1</v>
      </c>
      <c r="S6" s="35" t="str">
        <f t="shared" si="2"/>
        <v>Contêiner</v>
      </c>
      <c r="T6" s="35" t="str">
        <f t="shared" si="2"/>
        <v>Informação</v>
      </c>
      <c r="U6" s="35" t="str">
        <f t="shared" si="2"/>
        <v>Requerida</v>
      </c>
      <c r="V6" s="34" t="s">
        <v>1341</v>
      </c>
      <c r="W6" s="88"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1146</v>
      </c>
      <c r="D7" s="38" t="s">
        <v>1147</v>
      </c>
      <c r="E7" s="38" t="s">
        <v>1148</v>
      </c>
      <c r="F7" s="58" t="s">
        <v>1149</v>
      </c>
      <c r="G7" s="82" t="s">
        <v>1</v>
      </c>
      <c r="H7" s="82" t="s">
        <v>1</v>
      </c>
      <c r="I7" s="82" t="s">
        <v>1</v>
      </c>
      <c r="J7" s="82" t="s">
        <v>1</v>
      </c>
      <c r="K7" s="82" t="s">
        <v>1</v>
      </c>
      <c r="L7" s="32" t="str">
        <f t="shared" ref="L7:O13" si="5">SUBSTITUTE(CONCATENATE("", C7), ".", " ")</f>
        <v>Materialidade</v>
      </c>
      <c r="M7" s="32" t="str">
        <f t="shared" si="5"/>
        <v>Da Tubulação</v>
      </c>
      <c r="N7" s="32" t="str">
        <f t="shared" si="5"/>
        <v>Materiais</v>
      </c>
      <c r="O7" s="32" t="str">
        <f t="shared" si="5"/>
        <v>Tubos de FoFo</v>
      </c>
      <c r="P7" s="37" t="s">
        <v>1150</v>
      </c>
      <c r="Q7" s="53" t="s">
        <v>1191</v>
      </c>
      <c r="R7" s="34" t="s">
        <v>1</v>
      </c>
      <c r="S7" s="35" t="str">
        <f t="shared" ref="S7:U13" si="6">SUBSTITUTE(C7, ".", " ")</f>
        <v>Materialidade</v>
      </c>
      <c r="T7" s="35" t="str">
        <f t="shared" si="6"/>
        <v>Da Tubulação</v>
      </c>
      <c r="U7" s="35" t="str">
        <f t="shared" si="6"/>
        <v>Materiais</v>
      </c>
      <c r="V7" s="34" t="s">
        <v>1341</v>
      </c>
      <c r="W7" s="88" t="str">
        <f t="shared" ref="W7:W71" si="7">CONCATENATE("Key-INF-",A7)</f>
        <v>Key-INF-7</v>
      </c>
      <c r="X7" s="33" t="s">
        <v>1343</v>
      </c>
      <c r="Y7" s="33" t="s">
        <v>1344</v>
      </c>
      <c r="Z7" s="86" t="s">
        <v>1</v>
      </c>
      <c r="AA7" s="33" t="str">
        <f t="shared" ref="AA7:AA72" si="8">_xlfn.TRANSLATE(P7,"pt","en")</f>
        <v>Cast Iron Pipe for water and sewage networks of basic sanitation.</v>
      </c>
    </row>
    <row r="8" spans="1:27" ht="6.6" customHeight="1" x14ac:dyDescent="0.25">
      <c r="A8" s="31">
        <v>8</v>
      </c>
      <c r="B8" s="38" t="s">
        <v>76</v>
      </c>
      <c r="C8" s="39" t="s">
        <v>1146</v>
      </c>
      <c r="D8" s="38" t="s">
        <v>1147</v>
      </c>
      <c r="E8" s="38" t="s">
        <v>1148</v>
      </c>
      <c r="F8" s="58" t="s">
        <v>1151</v>
      </c>
      <c r="G8" s="82" t="s">
        <v>1</v>
      </c>
      <c r="H8" s="82" t="s">
        <v>1</v>
      </c>
      <c r="I8" s="82" t="s">
        <v>1</v>
      </c>
      <c r="J8" s="82" t="s">
        <v>1</v>
      </c>
      <c r="K8" s="82" t="s">
        <v>1</v>
      </c>
      <c r="L8" s="32" t="str">
        <f t="shared" si="5"/>
        <v>Materialidade</v>
      </c>
      <c r="M8" s="32" t="str">
        <f t="shared" si="5"/>
        <v>Da Tubulação</v>
      </c>
      <c r="N8" s="32" t="str">
        <f t="shared" si="5"/>
        <v>Materiais</v>
      </c>
      <c r="O8" s="32" t="str">
        <f t="shared" si="5"/>
        <v>Tubos de PVC</v>
      </c>
      <c r="P8" s="37" t="s">
        <v>1152</v>
      </c>
      <c r="Q8" s="53" t="s">
        <v>1192</v>
      </c>
      <c r="R8" s="34" t="s">
        <v>1</v>
      </c>
      <c r="S8" s="35" t="str">
        <f t="shared" si="6"/>
        <v>Materialidade</v>
      </c>
      <c r="T8" s="35" t="str">
        <f t="shared" si="6"/>
        <v>Da Tubulação</v>
      </c>
      <c r="U8" s="35" t="str">
        <f t="shared" si="6"/>
        <v>Materiais</v>
      </c>
      <c r="V8" s="34" t="s">
        <v>1341</v>
      </c>
      <c r="W8" s="88" t="str">
        <f t="shared" si="7"/>
        <v>Key-INF-8</v>
      </c>
      <c r="X8" s="33" t="s">
        <v>1343</v>
      </c>
      <c r="Y8" s="33" t="s">
        <v>1344</v>
      </c>
      <c r="Z8" s="86" t="s">
        <v>1</v>
      </c>
      <c r="AA8" s="33" t="str">
        <f t="shared" si="8"/>
        <v>PVC (Polyvinyl Chloride) pipe for domestic water and sewage networks.</v>
      </c>
    </row>
    <row r="9" spans="1:27" ht="6.6" customHeight="1" x14ac:dyDescent="0.25">
      <c r="A9" s="31">
        <v>9</v>
      </c>
      <c r="B9" s="38" t="s">
        <v>76</v>
      </c>
      <c r="C9" s="39" t="s">
        <v>1146</v>
      </c>
      <c r="D9" s="38" t="s">
        <v>1147</v>
      </c>
      <c r="E9" s="38" t="s">
        <v>1148</v>
      </c>
      <c r="F9" s="58" t="s">
        <v>1153</v>
      </c>
      <c r="G9" s="82" t="s">
        <v>1</v>
      </c>
      <c r="H9" s="82" t="s">
        <v>1</v>
      </c>
      <c r="I9" s="82" t="s">
        <v>1</v>
      </c>
      <c r="J9" s="82" t="s">
        <v>1</v>
      </c>
      <c r="K9" s="82" t="s">
        <v>1</v>
      </c>
      <c r="L9" s="32" t="str">
        <f t="shared" si="5"/>
        <v>Materialidade</v>
      </c>
      <c r="M9" s="32" t="str">
        <f t="shared" si="5"/>
        <v>Da Tubulação</v>
      </c>
      <c r="N9" s="32" t="str">
        <f t="shared" si="5"/>
        <v>Materiais</v>
      </c>
      <c r="O9" s="32" t="str">
        <f t="shared" si="5"/>
        <v>Tubos de PVC O</v>
      </c>
      <c r="P9" s="37" t="s">
        <v>1154</v>
      </c>
      <c r="Q9" s="53" t="s">
        <v>1193</v>
      </c>
      <c r="R9" s="34" t="s">
        <v>1</v>
      </c>
      <c r="S9" s="35" t="str">
        <f t="shared" si="6"/>
        <v>Materialidade</v>
      </c>
      <c r="T9" s="35" t="str">
        <f t="shared" si="6"/>
        <v>Da Tubulação</v>
      </c>
      <c r="U9" s="35" t="str">
        <f t="shared" si="6"/>
        <v>Materiais</v>
      </c>
      <c r="V9" s="34" t="s">
        <v>1341</v>
      </c>
      <c r="W9" s="88" t="str">
        <f t="shared" si="7"/>
        <v>Key-INF-9</v>
      </c>
      <c r="X9" s="33" t="s">
        <v>1343</v>
      </c>
      <c r="Y9" s="33" t="s">
        <v>1344</v>
      </c>
      <c r="Z9" s="86" t="s">
        <v>1</v>
      </c>
      <c r="AA9" s="33" t="str">
        <f t="shared" si="8"/>
        <v>Oriented PVC Pipe (Polyvinyl Chloride). More resistant material than normal PVC for water and sewage networks.</v>
      </c>
    </row>
    <row r="10" spans="1:27" ht="6.6" customHeight="1" x14ac:dyDescent="0.25">
      <c r="A10" s="31">
        <v>10</v>
      </c>
      <c r="B10" s="38" t="s">
        <v>76</v>
      </c>
      <c r="C10" s="39" t="s">
        <v>1146</v>
      </c>
      <c r="D10" s="38" t="s">
        <v>1147</v>
      </c>
      <c r="E10" s="38" t="s">
        <v>1148</v>
      </c>
      <c r="F10" s="58" t="s">
        <v>1155</v>
      </c>
      <c r="G10" s="82" t="s">
        <v>1</v>
      </c>
      <c r="H10" s="82" t="s">
        <v>1</v>
      </c>
      <c r="I10" s="82" t="s">
        <v>1</v>
      </c>
      <c r="J10" s="82" t="s">
        <v>1</v>
      </c>
      <c r="K10" s="82" t="s">
        <v>1</v>
      </c>
      <c r="L10" s="32" t="str">
        <f t="shared" si="5"/>
        <v>Materialidade</v>
      </c>
      <c r="M10" s="32" t="str">
        <f t="shared" si="5"/>
        <v>Da Tubulação</v>
      </c>
      <c r="N10" s="32" t="str">
        <f t="shared" si="5"/>
        <v>Materiais</v>
      </c>
      <c r="O10" s="32" t="str">
        <f t="shared" si="5"/>
        <v>Tubos de Latão</v>
      </c>
      <c r="P10" s="37" t="s">
        <v>1156</v>
      </c>
      <c r="Q10" s="53" t="s">
        <v>1194</v>
      </c>
      <c r="R10" s="34" t="s">
        <v>1</v>
      </c>
      <c r="S10" s="35" t="str">
        <f t="shared" si="6"/>
        <v>Materialidade</v>
      </c>
      <c r="T10" s="35" t="str">
        <f t="shared" si="6"/>
        <v>Da Tubulação</v>
      </c>
      <c r="U10" s="35" t="str">
        <f t="shared" si="6"/>
        <v>Materiais</v>
      </c>
      <c r="V10" s="34" t="s">
        <v>1341</v>
      </c>
      <c r="W10" s="88" t="str">
        <f t="shared" si="7"/>
        <v>Key-INF-10</v>
      </c>
      <c r="X10" s="33" t="s">
        <v>1343</v>
      </c>
      <c r="Y10" s="33" t="s">
        <v>1344</v>
      </c>
      <c r="Z10" s="86" t="s">
        <v>1</v>
      </c>
      <c r="AA10" s="33" t="str">
        <f t="shared" si="8"/>
        <v>Brass pipe for water networks.</v>
      </c>
    </row>
    <row r="11" spans="1:27" ht="6.6" customHeight="1" x14ac:dyDescent="0.25">
      <c r="A11" s="31">
        <v>11</v>
      </c>
      <c r="B11" s="38" t="s">
        <v>76</v>
      </c>
      <c r="C11" s="39" t="s">
        <v>1146</v>
      </c>
      <c r="D11" s="38" t="s">
        <v>1147</v>
      </c>
      <c r="E11" s="38" t="s">
        <v>1148</v>
      </c>
      <c r="F11" s="58" t="s">
        <v>1157</v>
      </c>
      <c r="G11" s="82" t="s">
        <v>1</v>
      </c>
      <c r="H11" s="82" t="s">
        <v>1</v>
      </c>
      <c r="I11" s="82" t="s">
        <v>1</v>
      </c>
      <c r="J11" s="82" t="s">
        <v>1</v>
      </c>
      <c r="K11" s="82" t="s">
        <v>1</v>
      </c>
      <c r="L11" s="32" t="str">
        <f t="shared" si="5"/>
        <v>Materialidade</v>
      </c>
      <c r="M11" s="32" t="str">
        <f t="shared" si="5"/>
        <v>Da Tubulação</v>
      </c>
      <c r="N11" s="32" t="str">
        <f t="shared" si="5"/>
        <v>Materiais</v>
      </c>
      <c r="O11" s="32" t="str">
        <f t="shared" si="5"/>
        <v>Tubos de Cobre</v>
      </c>
      <c r="P11" s="37" t="s">
        <v>1158</v>
      </c>
      <c r="Q11" s="53" t="s">
        <v>1195</v>
      </c>
      <c r="R11" s="34" t="s">
        <v>1</v>
      </c>
      <c r="S11" s="35" t="str">
        <f t="shared" si="6"/>
        <v>Materialidade</v>
      </c>
      <c r="T11" s="35" t="str">
        <f t="shared" si="6"/>
        <v>Da Tubulação</v>
      </c>
      <c r="U11" s="35" t="str">
        <f t="shared" si="6"/>
        <v>Materiais</v>
      </c>
      <c r="V11" s="34" t="s">
        <v>1341</v>
      </c>
      <c r="W11" s="88" t="str">
        <f t="shared" si="7"/>
        <v>Key-INF-11</v>
      </c>
      <c r="X11" s="33" t="s">
        <v>1343</v>
      </c>
      <c r="Y11" s="33" t="s">
        <v>1344</v>
      </c>
      <c r="Z11" s="86" t="s">
        <v>1</v>
      </c>
      <c r="AA11" s="33" t="str">
        <f t="shared" si="8"/>
        <v>Copper pipe for hot water or gas networks.</v>
      </c>
    </row>
    <row r="12" spans="1:27" ht="6.6" customHeight="1" x14ac:dyDescent="0.25">
      <c r="A12" s="31">
        <v>12</v>
      </c>
      <c r="B12" s="38" t="s">
        <v>76</v>
      </c>
      <c r="C12" s="39" t="s">
        <v>1146</v>
      </c>
      <c r="D12" s="38" t="s">
        <v>1147</v>
      </c>
      <c r="E12" s="38" t="s">
        <v>1148</v>
      </c>
      <c r="F12" s="58" t="s">
        <v>1159</v>
      </c>
      <c r="G12" s="82" t="s">
        <v>1</v>
      </c>
      <c r="H12" s="82" t="s">
        <v>1</v>
      </c>
      <c r="I12" s="82" t="s">
        <v>1</v>
      </c>
      <c r="J12" s="82" t="s">
        <v>1</v>
      </c>
      <c r="K12" s="82" t="s">
        <v>1</v>
      </c>
      <c r="L12" s="32" t="str">
        <f t="shared" si="5"/>
        <v>Materialidade</v>
      </c>
      <c r="M12" s="32" t="str">
        <f t="shared" si="5"/>
        <v>Da Tubulação</v>
      </c>
      <c r="N12" s="32" t="str">
        <f t="shared" si="5"/>
        <v>Materiais</v>
      </c>
      <c r="O12" s="32" t="str">
        <f t="shared" si="5"/>
        <v>Tubos de PEAD</v>
      </c>
      <c r="P12" s="37" t="s">
        <v>1160</v>
      </c>
      <c r="Q12" s="53" t="s">
        <v>1161</v>
      </c>
      <c r="R12" s="34" t="s">
        <v>1</v>
      </c>
      <c r="S12" s="35" t="str">
        <f t="shared" si="6"/>
        <v>Materialidade</v>
      </c>
      <c r="T12" s="35" t="str">
        <f t="shared" si="6"/>
        <v>Da Tubulação</v>
      </c>
      <c r="U12" s="35" t="str">
        <f t="shared" si="6"/>
        <v>Materiais</v>
      </c>
      <c r="V12" s="34" t="s">
        <v>1341</v>
      </c>
      <c r="W12" s="88" t="str">
        <f t="shared" si="7"/>
        <v>Key-INF-12</v>
      </c>
      <c r="X12" s="33" t="s">
        <v>1343</v>
      </c>
      <c r="Y12" s="33" t="s">
        <v>1344</v>
      </c>
      <c r="Z12" s="86" t="s">
        <v>1</v>
      </c>
      <c r="AA12" s="33" t="str">
        <f t="shared" si="8"/>
        <v>HDPE (High Density Polyethylene) thermofusion tube.</v>
      </c>
    </row>
    <row r="13" spans="1:27" ht="6.6" customHeight="1" x14ac:dyDescent="0.25">
      <c r="A13" s="31">
        <v>13</v>
      </c>
      <c r="B13" s="38" t="s">
        <v>76</v>
      </c>
      <c r="C13" s="39" t="s">
        <v>1146</v>
      </c>
      <c r="D13" s="38" t="s">
        <v>1147</v>
      </c>
      <c r="E13" s="38" t="s">
        <v>1148</v>
      </c>
      <c r="F13" s="58" t="s">
        <v>1162</v>
      </c>
      <c r="G13" s="82" t="s">
        <v>1</v>
      </c>
      <c r="H13" s="82" t="s">
        <v>1</v>
      </c>
      <c r="I13" s="82" t="s">
        <v>1</v>
      </c>
      <c r="J13" s="82" t="s">
        <v>1</v>
      </c>
      <c r="K13" s="82" t="s">
        <v>1</v>
      </c>
      <c r="L13" s="32" t="str">
        <f t="shared" si="5"/>
        <v>Materialidade</v>
      </c>
      <c r="M13" s="32" t="str">
        <f t="shared" si="5"/>
        <v>Da Tubulação</v>
      </c>
      <c r="N13" s="32" t="str">
        <f t="shared" si="5"/>
        <v>Materiais</v>
      </c>
      <c r="O13" s="32" t="str">
        <f t="shared" si="5"/>
        <v>Tubos de Aço</v>
      </c>
      <c r="P13" s="37" t="s">
        <v>1163</v>
      </c>
      <c r="Q13" s="37" t="s">
        <v>1164</v>
      </c>
      <c r="R13" s="34" t="s">
        <v>1</v>
      </c>
      <c r="S13" s="35" t="str">
        <f t="shared" si="6"/>
        <v>Materialidade</v>
      </c>
      <c r="T13" s="35" t="str">
        <f t="shared" si="6"/>
        <v>Da Tubulação</v>
      </c>
      <c r="U13" s="35" t="str">
        <f t="shared" si="6"/>
        <v>Materiais</v>
      </c>
      <c r="V13" s="34" t="s">
        <v>1341</v>
      </c>
      <c r="W13" s="88" t="str">
        <f t="shared" si="7"/>
        <v>Key-INF-13</v>
      </c>
      <c r="X13" s="33" t="s">
        <v>1343</v>
      </c>
      <c r="Y13" s="33" t="s">
        <v>1344</v>
      </c>
      <c r="Z13" s="86" t="s">
        <v>1</v>
      </c>
      <c r="AA13" s="33" t="str">
        <f t="shared" si="8"/>
        <v>Steel pipe for plumbing.</v>
      </c>
    </row>
    <row r="14" spans="1:27" ht="6.6" customHeight="1" x14ac:dyDescent="0.25">
      <c r="A14" s="31">
        <v>14</v>
      </c>
      <c r="B14" s="38" t="s">
        <v>76</v>
      </c>
      <c r="C14" s="44" t="s">
        <v>862</v>
      </c>
      <c r="D14" s="44" t="s">
        <v>861</v>
      </c>
      <c r="E14" s="44" t="s">
        <v>863</v>
      </c>
      <c r="F14" s="44" t="s">
        <v>621</v>
      </c>
      <c r="G14" s="82" t="str">
        <f>_xlfn.CONCAT("é.nomeado some ",B14)</f>
        <v>é.nomeado some Projeto</v>
      </c>
      <c r="H14" s="82" t="str">
        <f>_xlfn.CONCAT("é.nomeada some ",C14)</f>
        <v>é.nomeada some Fronteiras</v>
      </c>
      <c r="I14" s="82" t="s">
        <v>1</v>
      </c>
      <c r="J14" s="82" t="s">
        <v>1</v>
      </c>
      <c r="K14" s="82"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1019</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1341</v>
      </c>
      <c r="W14" s="88" t="str">
        <f t="shared" si="7"/>
        <v>Key-INF-14</v>
      </c>
      <c r="X14" s="33" t="s">
        <v>1</v>
      </c>
      <c r="Y14" s="33" t="s">
        <v>1</v>
      </c>
      <c r="Z14" s="86" t="s">
        <v>1</v>
      </c>
      <c r="AA14" s="33" t="str">
        <f t="shared" si="8"/>
        <v>Continent.</v>
      </c>
    </row>
    <row r="15" spans="1:27" ht="6.6" customHeight="1" x14ac:dyDescent="0.25">
      <c r="A15" s="31">
        <v>15</v>
      </c>
      <c r="B15" s="38" t="s">
        <v>76</v>
      </c>
      <c r="C15" s="44" t="s">
        <v>862</v>
      </c>
      <c r="D15" s="44" t="s">
        <v>861</v>
      </c>
      <c r="E15" s="44" t="s">
        <v>863</v>
      </c>
      <c r="F15" s="44" t="s">
        <v>622</v>
      </c>
      <c r="G15" s="82" t="s">
        <v>1</v>
      </c>
      <c r="H15" s="82" t="s">
        <v>1</v>
      </c>
      <c r="I15" s="82" t="s">
        <v>1</v>
      </c>
      <c r="J15" s="82" t="s">
        <v>1</v>
      </c>
      <c r="K15" s="82" t="s">
        <v>1</v>
      </c>
      <c r="L15" s="37" t="str">
        <f t="shared" si="9"/>
        <v>Fronteiras</v>
      </c>
      <c r="M15" s="37" t="str">
        <f t="shared" ref="M15:O59" si="13">_xlfn.CONCAT(SUBSTITUTE(D15,"."," "))</f>
        <v>Geográficas</v>
      </c>
      <c r="N15" s="37" t="str">
        <f t="shared" si="13"/>
        <v>Naturais</v>
      </c>
      <c r="O15" s="37" t="str">
        <f t="shared" si="13"/>
        <v>SubContinente</v>
      </c>
      <c r="P15" s="37" t="s">
        <v>1031</v>
      </c>
      <c r="Q15" s="53" t="s">
        <v>622</v>
      </c>
      <c r="R15" s="34" t="s">
        <v>1</v>
      </c>
      <c r="S15" s="35" t="str">
        <f t="shared" si="10"/>
        <v>Fronteiras</v>
      </c>
      <c r="T15" s="35" t="str">
        <f t="shared" si="11"/>
        <v>Geográficas</v>
      </c>
      <c r="U15" s="35" t="str">
        <f t="shared" si="12"/>
        <v>Naturais</v>
      </c>
      <c r="V15" s="34" t="s">
        <v>1341</v>
      </c>
      <c r="W15" s="88" t="str">
        <f t="shared" si="7"/>
        <v>Key-INF-15</v>
      </c>
      <c r="X15" s="33" t="s">
        <v>1</v>
      </c>
      <c r="Y15" s="33" t="s">
        <v>1</v>
      </c>
      <c r="Z15" s="86" t="s">
        <v>1</v>
      </c>
      <c r="AA15" s="33" t="str">
        <f t="shared" si="8"/>
        <v>SubContinent.</v>
      </c>
    </row>
    <row r="16" spans="1:27" ht="6.6" customHeight="1" x14ac:dyDescent="0.25">
      <c r="A16" s="31">
        <v>16</v>
      </c>
      <c r="B16" s="38" t="s">
        <v>76</v>
      </c>
      <c r="C16" s="44" t="s">
        <v>862</v>
      </c>
      <c r="D16" s="44" t="s">
        <v>861</v>
      </c>
      <c r="E16" s="44" t="s">
        <v>863</v>
      </c>
      <c r="F16" s="44" t="s">
        <v>623</v>
      </c>
      <c r="G16" s="82" t="s">
        <v>1</v>
      </c>
      <c r="H16" s="82" t="s">
        <v>1</v>
      </c>
      <c r="I16" s="82" t="s">
        <v>1</v>
      </c>
      <c r="J16" s="82" t="s">
        <v>1</v>
      </c>
      <c r="K16" s="82" t="s">
        <v>1</v>
      </c>
      <c r="L16" s="37" t="str">
        <f t="shared" si="9"/>
        <v>Fronteiras</v>
      </c>
      <c r="M16" s="37" t="str">
        <f t="shared" si="13"/>
        <v>Geográficas</v>
      </c>
      <c r="N16" s="37" t="str">
        <f t="shared" si="13"/>
        <v>Naturais</v>
      </c>
      <c r="O16" s="37" t="str">
        <f t="shared" si="13"/>
        <v>Bioma</v>
      </c>
      <c r="P16" s="37" t="s">
        <v>1020</v>
      </c>
      <c r="Q16" s="37" t="s">
        <v>624</v>
      </c>
      <c r="R16" s="34" t="s">
        <v>1</v>
      </c>
      <c r="S16" s="35" t="str">
        <f t="shared" si="10"/>
        <v>Fronteiras</v>
      </c>
      <c r="T16" s="35" t="str">
        <f t="shared" si="11"/>
        <v>Geográficas</v>
      </c>
      <c r="U16" s="35" t="str">
        <f t="shared" si="12"/>
        <v>Naturais</v>
      </c>
      <c r="V16" s="34" t="s">
        <v>1341</v>
      </c>
      <c r="W16" s="88" t="str">
        <f t="shared" si="7"/>
        <v>Key-INF-16</v>
      </c>
      <c r="X16" s="33" t="s">
        <v>1</v>
      </c>
      <c r="Y16" s="33" t="s">
        <v>1</v>
      </c>
      <c r="Z16" s="86" t="s">
        <v>1</v>
      </c>
      <c r="AA16" s="33" t="str">
        <f t="shared" si="8"/>
        <v>Region that defines characteristics of life in the natural environment.</v>
      </c>
    </row>
    <row r="17" spans="1:27" ht="6.6" customHeight="1" x14ac:dyDescent="0.25">
      <c r="A17" s="31">
        <v>17</v>
      </c>
      <c r="B17" s="38" t="s">
        <v>76</v>
      </c>
      <c r="C17" s="44" t="s">
        <v>862</v>
      </c>
      <c r="D17" s="44" t="s">
        <v>861</v>
      </c>
      <c r="E17" s="44" t="s">
        <v>864</v>
      </c>
      <c r="F17" s="44" t="s">
        <v>625</v>
      </c>
      <c r="G17" s="82" t="s">
        <v>1</v>
      </c>
      <c r="H17" s="82" t="s">
        <v>1</v>
      </c>
      <c r="I17" s="82" t="s">
        <v>1</v>
      </c>
      <c r="J17" s="82" t="s">
        <v>1</v>
      </c>
      <c r="K17" s="82" t="str">
        <f>_xlfn.CONCAT("é.dentro.de some ",F14)</f>
        <v>é.dentro.de some Continente</v>
      </c>
      <c r="L17" s="37" t="str">
        <f t="shared" si="9"/>
        <v>Fronteiras</v>
      </c>
      <c r="M17" s="37" t="str">
        <f t="shared" si="13"/>
        <v>Geográficas</v>
      </c>
      <c r="N17" s="37" t="str">
        <f t="shared" si="13"/>
        <v>Políticas</v>
      </c>
      <c r="O17" s="37" t="str">
        <f t="shared" si="13"/>
        <v>País</v>
      </c>
      <c r="P17" s="37" t="s">
        <v>1021</v>
      </c>
      <c r="Q17" s="53" t="s">
        <v>625</v>
      </c>
      <c r="R17" s="34" t="s">
        <v>1</v>
      </c>
      <c r="S17" s="35" t="str">
        <f t="shared" si="10"/>
        <v>Fronteiras</v>
      </c>
      <c r="T17" s="35" t="str">
        <f t="shared" si="11"/>
        <v>Geográficas</v>
      </c>
      <c r="U17" s="35" t="str">
        <f t="shared" si="12"/>
        <v>Políticas</v>
      </c>
      <c r="V17" s="34" t="s">
        <v>1341</v>
      </c>
      <c r="W17" s="88" t="str">
        <f t="shared" si="7"/>
        <v>Key-INF-17</v>
      </c>
      <c r="X17" s="33" t="s">
        <v>1</v>
      </c>
      <c r="Y17" s="35" t="s">
        <v>1345</v>
      </c>
      <c r="Z17" s="86" t="s">
        <v>1</v>
      </c>
      <c r="AA17" s="33" t="str">
        <f t="shared" si="8"/>
        <v>Country.</v>
      </c>
    </row>
    <row r="18" spans="1:27" ht="6.6" customHeight="1" x14ac:dyDescent="0.25">
      <c r="A18" s="31">
        <v>18</v>
      </c>
      <c r="B18" s="38" t="s">
        <v>76</v>
      </c>
      <c r="C18" s="44" t="s">
        <v>862</v>
      </c>
      <c r="D18" s="44" t="s">
        <v>861</v>
      </c>
      <c r="E18" s="44" t="s">
        <v>864</v>
      </c>
      <c r="F18" s="44" t="s">
        <v>626</v>
      </c>
      <c r="G18" s="82" t="s">
        <v>1</v>
      </c>
      <c r="H18" s="82" t="s">
        <v>1</v>
      </c>
      <c r="I18" s="82" t="s">
        <v>1</v>
      </c>
      <c r="J18" s="82" t="s">
        <v>1</v>
      </c>
      <c r="K18" s="82"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1341</v>
      </c>
      <c r="W18" s="88" t="str">
        <f t="shared" si="7"/>
        <v>Key-INF-18</v>
      </c>
      <c r="X18" s="33" t="s">
        <v>1</v>
      </c>
      <c r="Y18" s="35" t="s">
        <v>1345</v>
      </c>
      <c r="Z18" s="86" t="s">
        <v>1</v>
      </c>
      <c r="AA18" s="33" t="str">
        <f t="shared" si="8"/>
        <v>Nation</v>
      </c>
    </row>
    <row r="19" spans="1:27" ht="6.6" customHeight="1" x14ac:dyDescent="0.25">
      <c r="A19" s="31">
        <v>19</v>
      </c>
      <c r="B19" s="38" t="s">
        <v>76</v>
      </c>
      <c r="C19" s="44" t="s">
        <v>862</v>
      </c>
      <c r="D19" s="44" t="s">
        <v>861</v>
      </c>
      <c r="E19" s="44" t="s">
        <v>864</v>
      </c>
      <c r="F19" s="44" t="s">
        <v>628</v>
      </c>
      <c r="G19" s="82" t="s">
        <v>1</v>
      </c>
      <c r="H19" s="82" t="s">
        <v>1</v>
      </c>
      <c r="I19" s="82" t="s">
        <v>1</v>
      </c>
      <c r="J19" s="82" t="s">
        <v>1</v>
      </c>
      <c r="K19" s="82"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89" t="s">
        <v>1471</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1341</v>
      </c>
      <c r="W19" s="88" t="str">
        <f t="shared" ref="W19:W20" si="21">CONCATENATE("Key-INF-",A19)</f>
        <v>Key-INF-19</v>
      </c>
      <c r="X19" s="33" t="s">
        <v>1</v>
      </c>
      <c r="Y19" s="35" t="s">
        <v>1345</v>
      </c>
      <c r="Z19" s="86" t="s">
        <v>1</v>
      </c>
      <c r="AA19" s="33" t="str">
        <f t="shared" ref="AA19:AA20" si="22">_xlfn.TRANSLATE(P19,"pt","en")</f>
        <v>Geographic Region of Brazil. of Brazil there are 5 main Geographic Regions.</v>
      </c>
    </row>
    <row r="20" spans="1:27" ht="6.6" customHeight="1" x14ac:dyDescent="0.25">
      <c r="A20" s="31">
        <v>20</v>
      </c>
      <c r="B20" s="38" t="s">
        <v>76</v>
      </c>
      <c r="C20" s="44" t="s">
        <v>862</v>
      </c>
      <c r="D20" s="44" t="s">
        <v>861</v>
      </c>
      <c r="E20" s="44" t="s">
        <v>864</v>
      </c>
      <c r="F20" s="44" t="s">
        <v>1468</v>
      </c>
      <c r="G20" s="82" t="s">
        <v>1</v>
      </c>
      <c r="H20" s="82" t="s">
        <v>1</v>
      </c>
      <c r="I20" s="82" t="s">
        <v>1</v>
      </c>
      <c r="J20" s="82" t="s">
        <v>1</v>
      </c>
      <c r="K20" s="82" t="s">
        <v>629</v>
      </c>
      <c r="L20" s="37" t="str">
        <f t="shared" si="14"/>
        <v>Fronteiras</v>
      </c>
      <c r="M20" s="37" t="str">
        <f t="shared" si="15"/>
        <v>Geográficas</v>
      </c>
      <c r="N20" s="37" t="str">
        <f t="shared" si="16"/>
        <v>Políticas</v>
      </c>
      <c r="O20" s="37" t="str">
        <f t="shared" si="17"/>
        <v>Região Intermediária</v>
      </c>
      <c r="P20" s="89" t="s">
        <v>1470</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1341</v>
      </c>
      <c r="W20" s="88" t="str">
        <f t="shared" si="21"/>
        <v>Key-INF-20</v>
      </c>
      <c r="X20" s="33" t="s">
        <v>1</v>
      </c>
      <c r="Y20" s="35" t="s">
        <v>1345</v>
      </c>
      <c r="Z20" s="86"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862</v>
      </c>
      <c r="D21" s="44" t="s">
        <v>861</v>
      </c>
      <c r="E21" s="44" t="s">
        <v>864</v>
      </c>
      <c r="F21" s="44" t="s">
        <v>1466</v>
      </c>
      <c r="G21" s="82" t="s">
        <v>1</v>
      </c>
      <c r="H21" s="82" t="s">
        <v>1</v>
      </c>
      <c r="I21" s="82" t="s">
        <v>1</v>
      </c>
      <c r="J21" s="82" t="s">
        <v>1</v>
      </c>
      <c r="K21" s="82" t="s">
        <v>629</v>
      </c>
      <c r="L21" s="37" t="str">
        <f t="shared" si="9"/>
        <v>Fronteiras</v>
      </c>
      <c r="M21" s="37" t="str">
        <f t="shared" si="13"/>
        <v>Geográficas</v>
      </c>
      <c r="N21" s="37" t="str">
        <f t="shared" si="13"/>
        <v>Políticas</v>
      </c>
      <c r="O21" s="37" t="str">
        <f t="shared" si="13"/>
        <v>Região Imediata</v>
      </c>
      <c r="P21" s="89" t="s">
        <v>1469</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1341</v>
      </c>
      <c r="W21" s="88" t="str">
        <f t="shared" si="7"/>
        <v>Key-INF-21</v>
      </c>
      <c r="X21" s="33" t="s">
        <v>1</v>
      </c>
      <c r="Y21" s="35" t="s">
        <v>1345</v>
      </c>
      <c r="Z21" s="86"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862</v>
      </c>
      <c r="D22" s="44" t="s">
        <v>861</v>
      </c>
      <c r="E22" s="44" t="s">
        <v>864</v>
      </c>
      <c r="F22" s="44" t="s">
        <v>630</v>
      </c>
      <c r="G22" s="82" t="s">
        <v>1</v>
      </c>
      <c r="H22" s="82" t="s">
        <v>1</v>
      </c>
      <c r="I22" s="82" t="s">
        <v>1</v>
      </c>
      <c r="J22" s="82" t="s">
        <v>1</v>
      </c>
      <c r="K22" s="82" t="str">
        <f>_xlfn.CONCAT("é.dentro.de some ",F17)</f>
        <v>é.dentro.de some País</v>
      </c>
      <c r="L22" s="37" t="str">
        <f t="shared" si="9"/>
        <v>Fronteiras</v>
      </c>
      <c r="M22" s="37" t="str">
        <f t="shared" si="13"/>
        <v>Geográficas</v>
      </c>
      <c r="N22" s="37" t="str">
        <f t="shared" si="13"/>
        <v>Políticas</v>
      </c>
      <c r="O22" s="37" t="str">
        <f t="shared" si="13"/>
        <v>Estado</v>
      </c>
      <c r="P22" s="37" t="s">
        <v>1022</v>
      </c>
      <c r="Q22" s="53" t="s">
        <v>630</v>
      </c>
      <c r="R22" s="34" t="s">
        <v>1</v>
      </c>
      <c r="S22" s="35" t="str">
        <f t="shared" si="10"/>
        <v>Fronteiras</v>
      </c>
      <c r="T22" s="35" t="str">
        <f t="shared" si="11"/>
        <v>Geográficas</v>
      </c>
      <c r="U22" s="35" t="str">
        <f t="shared" si="12"/>
        <v>Políticas</v>
      </c>
      <c r="V22" s="34" t="s">
        <v>1341</v>
      </c>
      <c r="W22" s="88" t="str">
        <f t="shared" si="7"/>
        <v>Key-INF-22</v>
      </c>
      <c r="X22" s="33" t="s">
        <v>1</v>
      </c>
      <c r="Y22" s="35" t="s">
        <v>1345</v>
      </c>
      <c r="Z22" s="86" t="s">
        <v>1</v>
      </c>
      <c r="AA22" s="33" t="str">
        <f t="shared" si="8"/>
        <v>State.</v>
      </c>
    </row>
    <row r="23" spans="1:27" ht="6.6" customHeight="1" x14ac:dyDescent="0.25">
      <c r="A23" s="31">
        <v>23</v>
      </c>
      <c r="B23" s="38" t="s">
        <v>76</v>
      </c>
      <c r="C23" s="44" t="s">
        <v>862</v>
      </c>
      <c r="D23" s="44" t="s">
        <v>861</v>
      </c>
      <c r="E23" s="44" t="s">
        <v>864</v>
      </c>
      <c r="F23" s="44" t="s">
        <v>631</v>
      </c>
      <c r="G23" s="82" t="s">
        <v>1</v>
      </c>
      <c r="H23" s="82" t="s">
        <v>1</v>
      </c>
      <c r="I23" s="82" t="s">
        <v>1</v>
      </c>
      <c r="J23" s="82" t="s">
        <v>1</v>
      </c>
      <c r="K23" s="82" t="s">
        <v>1</v>
      </c>
      <c r="L23" s="37" t="str">
        <f t="shared" si="9"/>
        <v>Fronteiras</v>
      </c>
      <c r="M23" s="37" t="str">
        <f t="shared" si="13"/>
        <v>Geográficas</v>
      </c>
      <c r="N23" s="37" t="str">
        <f t="shared" si="13"/>
        <v>Políticas</v>
      </c>
      <c r="O23" s="37" t="str">
        <f t="shared" si="13"/>
        <v>UF</v>
      </c>
      <c r="P23" s="37" t="s">
        <v>1023</v>
      </c>
      <c r="Q23" s="37" t="s">
        <v>632</v>
      </c>
      <c r="R23" s="34" t="s">
        <v>1</v>
      </c>
      <c r="S23" s="35" t="str">
        <f t="shared" si="10"/>
        <v>Fronteiras</v>
      </c>
      <c r="T23" s="35" t="str">
        <f t="shared" si="11"/>
        <v>Geográficas</v>
      </c>
      <c r="U23" s="35" t="str">
        <f t="shared" si="12"/>
        <v>Políticas</v>
      </c>
      <c r="V23" s="34" t="s">
        <v>1341</v>
      </c>
      <c r="W23" s="88" t="str">
        <f t="shared" si="7"/>
        <v>Key-INF-23</v>
      </c>
      <c r="X23" s="33" t="s">
        <v>1</v>
      </c>
      <c r="Y23" s="35" t="s">
        <v>1345</v>
      </c>
      <c r="Z23" s="86" t="s">
        <v>1</v>
      </c>
      <c r="AA23" s="33" t="str">
        <f t="shared" si="8"/>
        <v>Federative Unit of Brazil.</v>
      </c>
    </row>
    <row r="24" spans="1:27" ht="6.6" customHeight="1" x14ac:dyDescent="0.25">
      <c r="A24" s="31">
        <v>24</v>
      </c>
      <c r="B24" s="38" t="s">
        <v>76</v>
      </c>
      <c r="C24" s="44" t="s">
        <v>862</v>
      </c>
      <c r="D24" s="44" t="s">
        <v>861</v>
      </c>
      <c r="E24" s="44" t="s">
        <v>864</v>
      </c>
      <c r="F24" s="44" t="s">
        <v>633</v>
      </c>
      <c r="G24" s="82" t="s">
        <v>1</v>
      </c>
      <c r="H24" s="82" t="s">
        <v>1</v>
      </c>
      <c r="I24" s="82" t="s">
        <v>1</v>
      </c>
      <c r="J24" s="82" t="s">
        <v>1</v>
      </c>
      <c r="K24" s="82" t="str">
        <f>_xlfn.CONCAT("é.dentro.de some ",F18)</f>
        <v>é.dentro.de some Nação</v>
      </c>
      <c r="L24" s="37" t="str">
        <f t="shared" si="9"/>
        <v>Fronteiras</v>
      </c>
      <c r="M24" s="37" t="str">
        <f t="shared" si="13"/>
        <v>Geográficas</v>
      </c>
      <c r="N24" s="37" t="str">
        <f t="shared" si="13"/>
        <v>Políticas</v>
      </c>
      <c r="O24" s="37" t="str">
        <f t="shared" si="13"/>
        <v>Província</v>
      </c>
      <c r="P24" s="37" t="s">
        <v>1024</v>
      </c>
      <c r="Q24" s="53" t="s">
        <v>634</v>
      </c>
      <c r="R24" s="34" t="s">
        <v>1</v>
      </c>
      <c r="S24" s="35" t="str">
        <f t="shared" si="10"/>
        <v>Fronteiras</v>
      </c>
      <c r="T24" s="35" t="str">
        <f t="shared" si="11"/>
        <v>Geográficas</v>
      </c>
      <c r="U24" s="35" t="str">
        <f t="shared" si="12"/>
        <v>Políticas</v>
      </c>
      <c r="V24" s="34" t="s">
        <v>1341</v>
      </c>
      <c r="W24" s="88" t="str">
        <f t="shared" si="7"/>
        <v>Key-INF-24</v>
      </c>
      <c r="X24" s="33" t="s">
        <v>1</v>
      </c>
      <c r="Y24" s="35" t="s">
        <v>1345</v>
      </c>
      <c r="Z24" s="86" t="s">
        <v>1</v>
      </c>
      <c r="AA24" s="33" t="str">
        <f t="shared" si="8"/>
        <v>Province.</v>
      </c>
    </row>
    <row r="25" spans="1:27" ht="6.6" customHeight="1" x14ac:dyDescent="0.25">
      <c r="A25" s="31">
        <v>25</v>
      </c>
      <c r="B25" s="38" t="s">
        <v>76</v>
      </c>
      <c r="C25" s="44" t="s">
        <v>862</v>
      </c>
      <c r="D25" s="44" t="s">
        <v>861</v>
      </c>
      <c r="E25" s="44" t="s">
        <v>864</v>
      </c>
      <c r="F25" s="44" t="s">
        <v>635</v>
      </c>
      <c r="G25" s="82" t="s">
        <v>1</v>
      </c>
      <c r="H25" s="82" t="s">
        <v>1</v>
      </c>
      <c r="I25" s="82" t="s">
        <v>1</v>
      </c>
      <c r="J25" s="82" t="s">
        <v>1</v>
      </c>
      <c r="K25" s="82" t="str">
        <f>_xlfn.CONCAT("é.dentro.de some ",F22)</f>
        <v>é.dentro.de some Estado</v>
      </c>
      <c r="L25" s="37" t="str">
        <f t="shared" si="9"/>
        <v>Fronteiras</v>
      </c>
      <c r="M25" s="37" t="str">
        <f t="shared" si="13"/>
        <v>Geográficas</v>
      </c>
      <c r="N25" s="37" t="str">
        <f t="shared" si="13"/>
        <v>Políticas</v>
      </c>
      <c r="O25" s="37" t="str">
        <f t="shared" si="13"/>
        <v>Capital</v>
      </c>
      <c r="P25" s="37" t="s">
        <v>1025</v>
      </c>
      <c r="Q25" s="53" t="s">
        <v>635</v>
      </c>
      <c r="R25" s="34" t="s">
        <v>1</v>
      </c>
      <c r="S25" s="35" t="str">
        <f t="shared" si="10"/>
        <v>Fronteiras</v>
      </c>
      <c r="T25" s="35" t="str">
        <f t="shared" si="11"/>
        <v>Geográficas</v>
      </c>
      <c r="U25" s="35" t="str">
        <f t="shared" si="12"/>
        <v>Políticas</v>
      </c>
      <c r="V25" s="34" t="s">
        <v>1341</v>
      </c>
      <c r="W25" s="88" t="str">
        <f t="shared" si="7"/>
        <v>Key-INF-25</v>
      </c>
      <c r="X25" s="33" t="s">
        <v>1</v>
      </c>
      <c r="Y25" s="35" t="s">
        <v>1345</v>
      </c>
      <c r="Z25" s="86" t="s">
        <v>1</v>
      </c>
      <c r="AA25" s="33" t="str">
        <f t="shared" si="8"/>
        <v>Capital.</v>
      </c>
    </row>
    <row r="26" spans="1:27" ht="6.6" customHeight="1" x14ac:dyDescent="0.25">
      <c r="A26" s="31">
        <v>26</v>
      </c>
      <c r="B26" s="38" t="s">
        <v>76</v>
      </c>
      <c r="C26" s="44" t="s">
        <v>862</v>
      </c>
      <c r="D26" s="44" t="s">
        <v>861</v>
      </c>
      <c r="E26" s="44" t="s">
        <v>864</v>
      </c>
      <c r="F26" s="44" t="s">
        <v>58</v>
      </c>
      <c r="G26" s="82" t="s">
        <v>1</v>
      </c>
      <c r="H26" s="82" t="s">
        <v>1</v>
      </c>
      <c r="I26" s="82" t="s">
        <v>1</v>
      </c>
      <c r="J26" s="82" t="s">
        <v>1</v>
      </c>
      <c r="K26" s="82" t="str">
        <f>_xlfn.CONCAT("é.dentro.de some ",F22)</f>
        <v>é.dentro.de some Estado</v>
      </c>
      <c r="L26" s="37" t="str">
        <f t="shared" si="9"/>
        <v>Fronteiras</v>
      </c>
      <c r="M26" s="37" t="str">
        <f t="shared" si="13"/>
        <v>Geográficas</v>
      </c>
      <c r="N26" s="37" t="str">
        <f t="shared" si="13"/>
        <v>Políticas</v>
      </c>
      <c r="O26" s="37" t="str">
        <f t="shared" si="13"/>
        <v>Cidade</v>
      </c>
      <c r="P26" s="37" t="s">
        <v>1026</v>
      </c>
      <c r="Q26" s="53" t="s">
        <v>636</v>
      </c>
      <c r="R26" s="34" t="s">
        <v>1</v>
      </c>
      <c r="S26" s="35" t="str">
        <f t="shared" si="10"/>
        <v>Fronteiras</v>
      </c>
      <c r="T26" s="35" t="str">
        <f t="shared" si="11"/>
        <v>Geográficas</v>
      </c>
      <c r="U26" s="35" t="str">
        <f t="shared" si="12"/>
        <v>Políticas</v>
      </c>
      <c r="V26" s="34" t="s">
        <v>1341</v>
      </c>
      <c r="W26" s="88" t="str">
        <f t="shared" si="7"/>
        <v>Key-INF-26</v>
      </c>
      <c r="X26" s="33" t="s">
        <v>1</v>
      </c>
      <c r="Y26" s="35" t="s">
        <v>1345</v>
      </c>
      <c r="Z26" s="86" t="s">
        <v>1</v>
      </c>
      <c r="AA26" s="33" t="str">
        <f t="shared" si="8"/>
        <v>City.</v>
      </c>
    </row>
    <row r="27" spans="1:27" ht="6.6" customHeight="1" x14ac:dyDescent="0.25">
      <c r="A27" s="31">
        <v>27</v>
      </c>
      <c r="B27" s="38" t="s">
        <v>76</v>
      </c>
      <c r="C27" s="44" t="s">
        <v>862</v>
      </c>
      <c r="D27" s="44" t="s">
        <v>861</v>
      </c>
      <c r="E27" s="44" t="s">
        <v>864</v>
      </c>
      <c r="F27" s="44" t="s">
        <v>637</v>
      </c>
      <c r="G27" s="82" t="s">
        <v>1</v>
      </c>
      <c r="H27" s="82" t="s">
        <v>1</v>
      </c>
      <c r="I27" s="82" t="s">
        <v>1</v>
      </c>
      <c r="J27" s="82" t="s">
        <v>1</v>
      </c>
      <c r="K27" s="82" t="str">
        <f>_xlfn.CONCAT("é.dentro.de some ",F22)</f>
        <v>é.dentro.de some Estado</v>
      </c>
      <c r="L27" s="37" t="str">
        <f t="shared" si="9"/>
        <v>Fronteiras</v>
      </c>
      <c r="M27" s="37" t="str">
        <f t="shared" si="13"/>
        <v>Geográficas</v>
      </c>
      <c r="N27" s="37" t="str">
        <f t="shared" si="13"/>
        <v>Políticas</v>
      </c>
      <c r="O27" s="37" t="str">
        <f t="shared" si="13"/>
        <v>Metrópoli</v>
      </c>
      <c r="P27" s="37" t="s">
        <v>1027</v>
      </c>
      <c r="Q27" s="37" t="s">
        <v>637</v>
      </c>
      <c r="R27" s="34" t="s">
        <v>1</v>
      </c>
      <c r="S27" s="35" t="str">
        <f t="shared" si="10"/>
        <v>Fronteiras</v>
      </c>
      <c r="T27" s="35" t="str">
        <f t="shared" si="11"/>
        <v>Geográficas</v>
      </c>
      <c r="U27" s="35" t="str">
        <f t="shared" si="12"/>
        <v>Políticas</v>
      </c>
      <c r="V27" s="34" t="s">
        <v>1341</v>
      </c>
      <c r="W27" s="88" t="str">
        <f t="shared" si="7"/>
        <v>Key-INF-27</v>
      </c>
      <c r="X27" s="33" t="s">
        <v>1</v>
      </c>
      <c r="Y27" s="35" t="s">
        <v>1345</v>
      </c>
      <c r="Z27" s="86" t="s">
        <v>1</v>
      </c>
      <c r="AA27" s="33" t="str">
        <f t="shared" si="8"/>
        <v>Metropolis.</v>
      </c>
    </row>
    <row r="28" spans="1:27" ht="6.6" customHeight="1" x14ac:dyDescent="0.25">
      <c r="A28" s="31">
        <v>28</v>
      </c>
      <c r="B28" s="38" t="s">
        <v>76</v>
      </c>
      <c r="C28" s="44" t="s">
        <v>862</v>
      </c>
      <c r="D28" s="44" t="s">
        <v>861</v>
      </c>
      <c r="E28" s="44" t="s">
        <v>864</v>
      </c>
      <c r="F28" s="44" t="s">
        <v>638</v>
      </c>
      <c r="G28" s="82" t="s">
        <v>1</v>
      </c>
      <c r="H28" s="82" t="s">
        <v>1</v>
      </c>
      <c r="I28" s="82" t="s">
        <v>1</v>
      </c>
      <c r="J28" s="82" t="s">
        <v>1</v>
      </c>
      <c r="K28" s="82" t="str">
        <f>_xlfn.CONCAT("é.dentro.de some ",F23)</f>
        <v>é.dentro.de some UF</v>
      </c>
      <c r="L28" s="37" t="str">
        <f t="shared" si="9"/>
        <v>Fronteiras</v>
      </c>
      <c r="M28" s="37" t="str">
        <f t="shared" si="13"/>
        <v>Geográficas</v>
      </c>
      <c r="N28" s="37" t="str">
        <f t="shared" si="13"/>
        <v>Políticas</v>
      </c>
      <c r="O28" s="37" t="str">
        <f t="shared" si="13"/>
        <v>Município</v>
      </c>
      <c r="P28" s="37" t="s">
        <v>1028</v>
      </c>
      <c r="Q28" s="37" t="s">
        <v>639</v>
      </c>
      <c r="R28" s="34" t="s">
        <v>1</v>
      </c>
      <c r="S28" s="35" t="str">
        <f t="shared" si="10"/>
        <v>Fronteiras</v>
      </c>
      <c r="T28" s="35" t="str">
        <f t="shared" si="11"/>
        <v>Geográficas</v>
      </c>
      <c r="U28" s="35" t="str">
        <f t="shared" si="12"/>
        <v>Políticas</v>
      </c>
      <c r="V28" s="34" t="s">
        <v>1341</v>
      </c>
      <c r="W28" s="88" t="str">
        <f t="shared" si="7"/>
        <v>Key-INF-28</v>
      </c>
      <c r="X28" s="33" t="s">
        <v>1</v>
      </c>
      <c r="Y28" s="35" t="s">
        <v>1345</v>
      </c>
      <c r="Z28" s="86" t="s">
        <v>1</v>
      </c>
      <c r="AA28" s="33" t="str">
        <f t="shared" si="8"/>
        <v>Municipality.</v>
      </c>
    </row>
    <row r="29" spans="1:27" ht="6.6" customHeight="1" x14ac:dyDescent="0.25">
      <c r="A29" s="31">
        <v>29</v>
      </c>
      <c r="B29" s="38" t="s">
        <v>76</v>
      </c>
      <c r="C29" s="44" t="s">
        <v>862</v>
      </c>
      <c r="D29" s="44" t="s">
        <v>865</v>
      </c>
      <c r="E29" s="44" t="s">
        <v>866</v>
      </c>
      <c r="F29" s="44" t="s">
        <v>640</v>
      </c>
      <c r="G29" s="82" t="s">
        <v>1</v>
      </c>
      <c r="H29" s="82" t="s">
        <v>1</v>
      </c>
      <c r="I29" s="82" t="s">
        <v>1</v>
      </c>
      <c r="J29" s="82" t="s">
        <v>1</v>
      </c>
      <c r="K29" s="82"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1029</v>
      </c>
      <c r="Q29" s="37" t="s">
        <v>641</v>
      </c>
      <c r="R29" s="34" t="s">
        <v>1</v>
      </c>
      <c r="S29" s="35" t="str">
        <f t="shared" si="10"/>
        <v>Fronteiras</v>
      </c>
      <c r="T29" s="35" t="str">
        <f t="shared" si="11"/>
        <v>Térmicas</v>
      </c>
      <c r="U29" s="35" t="str">
        <f t="shared" si="12"/>
        <v>Bioclimáticas</v>
      </c>
      <c r="V29" s="34" t="s">
        <v>1341</v>
      </c>
      <c r="W29" s="88" t="str">
        <f t="shared" si="7"/>
        <v>Key-INF-29</v>
      </c>
      <c r="X29" s="35" t="s">
        <v>1346</v>
      </c>
      <c r="Y29" s="35" t="s">
        <v>1345</v>
      </c>
      <c r="Z29" s="86" t="s">
        <v>1</v>
      </c>
      <c r="AA29" s="33" t="str">
        <f t="shared" si="8"/>
        <v>Climatic region.</v>
      </c>
    </row>
    <row r="30" spans="1:27" ht="6.6" customHeight="1" x14ac:dyDescent="0.25">
      <c r="A30" s="31">
        <v>30</v>
      </c>
      <c r="B30" s="38" t="s">
        <v>76</v>
      </c>
      <c r="C30" s="44" t="s">
        <v>862</v>
      </c>
      <c r="D30" s="44" t="s">
        <v>865</v>
      </c>
      <c r="E30" s="44" t="s">
        <v>866</v>
      </c>
      <c r="F30" s="44" t="s">
        <v>642</v>
      </c>
      <c r="G30" s="82" t="s">
        <v>1</v>
      </c>
      <c r="H30" s="82" t="s">
        <v>1</v>
      </c>
      <c r="I30" s="82" t="s">
        <v>1</v>
      </c>
      <c r="J30" s="82" t="s">
        <v>1</v>
      </c>
      <c r="K30" s="82"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1030</v>
      </c>
      <c r="Q30" s="37" t="s">
        <v>643</v>
      </c>
      <c r="R30" s="34" t="s">
        <v>1</v>
      </c>
      <c r="S30" s="35" t="str">
        <f t="shared" si="10"/>
        <v>Fronteiras</v>
      </c>
      <c r="T30" s="35" t="str">
        <f t="shared" si="11"/>
        <v>Térmicas</v>
      </c>
      <c r="U30" s="35" t="str">
        <f t="shared" si="12"/>
        <v>Bioclimáticas</v>
      </c>
      <c r="V30" s="34" t="s">
        <v>1341</v>
      </c>
      <c r="W30" s="88" t="str">
        <f t="shared" si="7"/>
        <v>Key-INF-30</v>
      </c>
      <c r="X30" s="35" t="s">
        <v>1346</v>
      </c>
      <c r="Y30" s="35" t="s">
        <v>1345</v>
      </c>
      <c r="Z30" s="86" t="s">
        <v>1</v>
      </c>
      <c r="AA30" s="33" t="str">
        <f t="shared" si="8"/>
        <v>Climate zone.</v>
      </c>
    </row>
    <row r="31" spans="1:27" ht="6.6" customHeight="1" x14ac:dyDescent="0.25">
      <c r="A31" s="31">
        <v>31</v>
      </c>
      <c r="B31" s="38" t="s">
        <v>76</v>
      </c>
      <c r="C31" s="44" t="s">
        <v>862</v>
      </c>
      <c r="D31" s="44" t="s">
        <v>865</v>
      </c>
      <c r="E31" s="44" t="s">
        <v>867</v>
      </c>
      <c r="F31" s="44" t="s">
        <v>644</v>
      </c>
      <c r="G31" s="82" t="s">
        <v>1</v>
      </c>
      <c r="H31" s="82" t="s">
        <v>1</v>
      </c>
      <c r="I31" s="82" t="s">
        <v>1</v>
      </c>
      <c r="J31" s="82" t="s">
        <v>1</v>
      </c>
      <c r="K31" s="82"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1032</v>
      </c>
      <c r="Q31" s="37" t="s">
        <v>645</v>
      </c>
      <c r="R31" s="34" t="s">
        <v>1</v>
      </c>
      <c r="S31" s="35" t="str">
        <f t="shared" si="10"/>
        <v>Fronteiras</v>
      </c>
      <c r="T31" s="35" t="str">
        <f t="shared" si="11"/>
        <v>Térmicas</v>
      </c>
      <c r="U31" s="35" t="str">
        <f t="shared" si="12"/>
        <v>Ilhas de Calor</v>
      </c>
      <c r="V31" s="34" t="s">
        <v>1341</v>
      </c>
      <c r="W31" s="88" t="str">
        <f t="shared" si="7"/>
        <v>Key-INF-31</v>
      </c>
      <c r="X31" s="35" t="s">
        <v>1346</v>
      </c>
      <c r="Y31" s="35" t="s">
        <v>1345</v>
      </c>
      <c r="Z31" s="86" t="s">
        <v>1</v>
      </c>
      <c r="AA31" s="33" t="str">
        <f t="shared" si="8"/>
        <v>Local climate zone (FTZ) according to Stewart and Oke's methodology for qualifying heat islands in urban areas.</v>
      </c>
    </row>
    <row r="32" spans="1:27" ht="6.6" customHeight="1" x14ac:dyDescent="0.25">
      <c r="A32" s="31">
        <v>32</v>
      </c>
      <c r="B32" s="38" t="s">
        <v>76</v>
      </c>
      <c r="C32" s="44" t="s">
        <v>862</v>
      </c>
      <c r="D32" s="44" t="s">
        <v>1003</v>
      </c>
      <c r="E32" s="38" t="s">
        <v>1004</v>
      </c>
      <c r="F32" s="58" t="s">
        <v>849</v>
      </c>
      <c r="G32" s="82" t="s">
        <v>1</v>
      </c>
      <c r="H32" s="82" t="s">
        <v>1</v>
      </c>
      <c r="I32" s="82" t="s">
        <v>1</v>
      </c>
      <c r="J32" s="82" t="s">
        <v>1</v>
      </c>
      <c r="K32" s="82"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824</v>
      </c>
      <c r="Q32" s="33" t="s">
        <v>825</v>
      </c>
      <c r="R32" s="34" t="s">
        <v>1</v>
      </c>
      <c r="S32" s="35" t="str">
        <f t="shared" ref="S32:S42" si="32">SUBSTITUTE(C32, "_", " ")</f>
        <v>Fronteiras</v>
      </c>
      <c r="T32" s="35" t="str">
        <f t="shared" ref="T32:T42" si="33">SUBSTITUTE(D32, "_", " ")</f>
        <v>Demarcadas</v>
      </c>
      <c r="U32" s="35" t="str">
        <f t="shared" si="12"/>
        <v>Marcos</v>
      </c>
      <c r="V32" s="34" t="s">
        <v>1341</v>
      </c>
      <c r="W32" s="88" t="str">
        <f t="shared" si="7"/>
        <v>Key-INF-32</v>
      </c>
      <c r="X32" s="33" t="s">
        <v>1</v>
      </c>
      <c r="Y32" s="50" t="s">
        <v>1390</v>
      </c>
      <c r="Z32" s="86" t="s">
        <v>1</v>
      </c>
      <c r="AA32" s="33" t="str">
        <f t="shared" si="8"/>
        <v>Ifcreferent defines a position at a specific offset along an alignment curve.</v>
      </c>
    </row>
    <row r="33" spans="1:27" ht="6.6" customHeight="1" x14ac:dyDescent="0.25">
      <c r="A33" s="31">
        <v>33</v>
      </c>
      <c r="B33" s="38" t="s">
        <v>76</v>
      </c>
      <c r="C33" s="44" t="s">
        <v>862</v>
      </c>
      <c r="D33" s="44" t="s">
        <v>1003</v>
      </c>
      <c r="E33" s="38" t="s">
        <v>1004</v>
      </c>
      <c r="F33" s="58" t="s">
        <v>850</v>
      </c>
      <c r="G33" s="82" t="s">
        <v>1</v>
      </c>
      <c r="H33" s="82" t="s">
        <v>1</v>
      </c>
      <c r="I33" s="82" t="s">
        <v>1</v>
      </c>
      <c r="J33" s="82" t="s">
        <v>1</v>
      </c>
      <c r="K33" s="82" t="s">
        <v>1</v>
      </c>
      <c r="L33" s="32" t="str">
        <f t="shared" si="28"/>
        <v>Fronteiras</v>
      </c>
      <c r="M33" s="32" t="str">
        <f t="shared" si="29"/>
        <v>Demarcadas</v>
      </c>
      <c r="N33" s="32" t="str">
        <f t="shared" si="30"/>
        <v>Marcos</v>
      </c>
      <c r="O33" s="33" t="str">
        <f t="shared" si="31"/>
        <v>Marco.de.Fronteira</v>
      </c>
      <c r="P33" s="33" t="s">
        <v>826</v>
      </c>
      <c r="Q33" s="33" t="s">
        <v>827</v>
      </c>
      <c r="R33" s="34" t="s">
        <v>1</v>
      </c>
      <c r="S33" s="35" t="str">
        <f t="shared" si="32"/>
        <v>Fronteiras</v>
      </c>
      <c r="T33" s="35" t="str">
        <f t="shared" si="33"/>
        <v>Demarcadas</v>
      </c>
      <c r="U33" s="35" t="str">
        <f t="shared" si="12"/>
        <v>Marcos</v>
      </c>
      <c r="V33" s="34" t="s">
        <v>1341</v>
      </c>
      <c r="W33" s="88" t="str">
        <f t="shared" si="7"/>
        <v>Key-INF-33</v>
      </c>
      <c r="X33" s="33" t="s">
        <v>1</v>
      </c>
      <c r="Y33" s="50" t="s">
        <v>1391</v>
      </c>
      <c r="Z33" s="86"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862</v>
      </c>
      <c r="D34" s="44" t="s">
        <v>1003</v>
      </c>
      <c r="E34" s="38" t="s">
        <v>1004</v>
      </c>
      <c r="F34" s="58" t="s">
        <v>851</v>
      </c>
      <c r="G34" s="82" t="s">
        <v>1</v>
      </c>
      <c r="H34" s="82" t="s">
        <v>1</v>
      </c>
      <c r="I34" s="82" t="s">
        <v>1</v>
      </c>
      <c r="J34" s="82" t="s">
        <v>1</v>
      </c>
      <c r="K34" s="82" t="s">
        <v>1</v>
      </c>
      <c r="L34" s="32" t="str">
        <f t="shared" si="28"/>
        <v>Fronteiras</v>
      </c>
      <c r="M34" s="32" t="str">
        <f t="shared" si="29"/>
        <v>Demarcadas</v>
      </c>
      <c r="N34" s="32" t="str">
        <f t="shared" si="30"/>
        <v>Marcos</v>
      </c>
      <c r="O34" s="33" t="str">
        <f t="shared" si="31"/>
        <v>Marco.de.Cruzamento</v>
      </c>
      <c r="P34" s="33" t="s">
        <v>828</v>
      </c>
      <c r="Q34" s="33" t="s">
        <v>829</v>
      </c>
      <c r="R34" s="34" t="s">
        <v>1</v>
      </c>
      <c r="S34" s="35" t="str">
        <f t="shared" si="32"/>
        <v>Fronteiras</v>
      </c>
      <c r="T34" s="35" t="str">
        <f t="shared" si="33"/>
        <v>Demarcadas</v>
      </c>
      <c r="U34" s="35" t="str">
        <f t="shared" si="12"/>
        <v>Marcos</v>
      </c>
      <c r="V34" s="34" t="s">
        <v>1341</v>
      </c>
      <c r="W34" s="88" t="str">
        <f t="shared" si="7"/>
        <v>Key-INF-34</v>
      </c>
      <c r="X34" s="33" t="s">
        <v>1</v>
      </c>
      <c r="Y34" s="50" t="s">
        <v>1392</v>
      </c>
      <c r="Z34" s="86"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862</v>
      </c>
      <c r="D35" s="44" t="s">
        <v>1003</v>
      </c>
      <c r="E35" s="38" t="s">
        <v>1004</v>
      </c>
      <c r="F35" s="58" t="s">
        <v>852</v>
      </c>
      <c r="G35" s="82" t="s">
        <v>1</v>
      </c>
      <c r="H35" s="82" t="s">
        <v>1</v>
      </c>
      <c r="I35" s="82" t="s">
        <v>1</v>
      </c>
      <c r="J35" s="82" t="s">
        <v>1</v>
      </c>
      <c r="K35" s="82"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836</v>
      </c>
      <c r="Q35" s="33" t="s">
        <v>837</v>
      </c>
      <c r="R35" s="34" t="s">
        <v>1</v>
      </c>
      <c r="S35" s="35" t="str">
        <f t="shared" ref="S35" si="38">SUBSTITUTE(C35, "_", " ")</f>
        <v>Fronteiras</v>
      </c>
      <c r="T35" s="35" t="str">
        <f t="shared" ref="T35" si="39">SUBSTITUTE(D35, "_", " ")</f>
        <v>Demarcadas</v>
      </c>
      <c r="U35" s="35" t="str">
        <f t="shared" ref="U35" si="40">SUBSTITUTE(E35, ".", " ")</f>
        <v>Marcos</v>
      </c>
      <c r="V35" s="34" t="s">
        <v>1341</v>
      </c>
      <c r="W35" s="88" t="str">
        <f t="shared" si="7"/>
        <v>Key-INF-35</v>
      </c>
      <c r="X35" s="33" t="s">
        <v>1</v>
      </c>
      <c r="Y35" s="50" t="s">
        <v>1393</v>
      </c>
      <c r="Z35" s="86" t="s">
        <v>1</v>
      </c>
      <c r="AA35" s="33" t="str">
        <f t="shared" si="8"/>
        <v>Used to completely describe a linearly referenced location, given by the line element.</v>
      </c>
    </row>
    <row r="36" spans="1:27" ht="6.6" customHeight="1" x14ac:dyDescent="0.25">
      <c r="A36" s="31">
        <v>36</v>
      </c>
      <c r="B36" s="38" t="s">
        <v>76</v>
      </c>
      <c r="C36" s="44" t="s">
        <v>862</v>
      </c>
      <c r="D36" s="44" t="s">
        <v>1003</v>
      </c>
      <c r="E36" s="38" t="s">
        <v>1004</v>
      </c>
      <c r="F36" s="58" t="s">
        <v>846</v>
      </c>
      <c r="G36" s="82" t="s">
        <v>1</v>
      </c>
      <c r="H36" s="82" t="s">
        <v>1</v>
      </c>
      <c r="I36" s="82" t="s">
        <v>1</v>
      </c>
      <c r="J36" s="82" t="s">
        <v>1</v>
      </c>
      <c r="K36" s="82" t="s">
        <v>1</v>
      </c>
      <c r="L36" s="32" t="str">
        <f t="shared" si="28"/>
        <v>Fronteiras</v>
      </c>
      <c r="M36" s="32" t="str">
        <f t="shared" si="29"/>
        <v>Demarcadas</v>
      </c>
      <c r="N36" s="32" t="str">
        <f t="shared" si="30"/>
        <v>Marcos</v>
      </c>
      <c r="O36" s="33" t="str">
        <f t="shared" si="31"/>
        <v>Marco.Quilométrico</v>
      </c>
      <c r="P36" s="33" t="s">
        <v>830</v>
      </c>
      <c r="Q36" s="33" t="s">
        <v>831</v>
      </c>
      <c r="R36" s="34" t="s">
        <v>1</v>
      </c>
      <c r="S36" s="35" t="str">
        <f t="shared" si="32"/>
        <v>Fronteiras</v>
      </c>
      <c r="T36" s="35" t="str">
        <f t="shared" si="33"/>
        <v>Demarcadas</v>
      </c>
      <c r="U36" s="35" t="str">
        <f t="shared" si="12"/>
        <v>Marcos</v>
      </c>
      <c r="V36" s="34" t="s">
        <v>1341</v>
      </c>
      <c r="W36" s="88" t="str">
        <f t="shared" si="7"/>
        <v>Key-INF-36</v>
      </c>
      <c r="X36" s="33" t="s">
        <v>1</v>
      </c>
      <c r="Y36" s="50" t="s">
        <v>1394</v>
      </c>
      <c r="Z36" s="86" t="s">
        <v>1</v>
      </c>
      <c r="AA36" s="33" t="str">
        <f t="shared" si="8"/>
        <v>Point in kilometer.</v>
      </c>
    </row>
    <row r="37" spans="1:27" ht="6.6" customHeight="1" x14ac:dyDescent="0.25">
      <c r="A37" s="31">
        <v>37</v>
      </c>
      <c r="B37" s="38" t="s">
        <v>76</v>
      </c>
      <c r="C37" s="44" t="s">
        <v>862</v>
      </c>
      <c r="D37" s="44" t="s">
        <v>1003</v>
      </c>
      <c r="E37" s="38" t="s">
        <v>1004</v>
      </c>
      <c r="F37" s="58" t="s">
        <v>847</v>
      </c>
      <c r="G37" s="82" t="s">
        <v>1</v>
      </c>
      <c r="H37" s="82" t="s">
        <v>1</v>
      </c>
      <c r="I37" s="82" t="s">
        <v>1</v>
      </c>
      <c r="J37" s="82" t="s">
        <v>1</v>
      </c>
      <c r="K37" s="82" t="s">
        <v>1</v>
      </c>
      <c r="L37" s="32" t="str">
        <f t="shared" si="28"/>
        <v>Fronteiras</v>
      </c>
      <c r="M37" s="32" t="str">
        <f t="shared" si="29"/>
        <v>Demarcadas</v>
      </c>
      <c r="N37" s="32" t="str">
        <f t="shared" si="30"/>
        <v>Marcos</v>
      </c>
      <c r="O37" s="33" t="str">
        <f t="shared" si="31"/>
        <v>Marco.Geográfico</v>
      </c>
      <c r="P37" s="33" t="s">
        <v>832</v>
      </c>
      <c r="Q37" s="33" t="s">
        <v>833</v>
      </c>
      <c r="R37" s="34" t="s">
        <v>1</v>
      </c>
      <c r="S37" s="35" t="str">
        <f t="shared" si="32"/>
        <v>Fronteiras</v>
      </c>
      <c r="T37" s="35" t="str">
        <f t="shared" si="33"/>
        <v>Demarcadas</v>
      </c>
      <c r="U37" s="35" t="str">
        <f t="shared" si="12"/>
        <v>Marcos</v>
      </c>
      <c r="V37" s="34" t="s">
        <v>1341</v>
      </c>
      <c r="W37" s="88" t="str">
        <f t="shared" si="7"/>
        <v>Key-INF-37</v>
      </c>
      <c r="X37" s="33" t="s">
        <v>1</v>
      </c>
      <c r="Y37" s="50" t="s">
        <v>1395</v>
      </c>
      <c r="Z37" s="86" t="s">
        <v>1</v>
      </c>
      <c r="AA37" s="33" t="str">
        <f t="shared" si="8"/>
        <v>The reference is the location of a visible physical reference point in the field.</v>
      </c>
    </row>
    <row r="38" spans="1:27" ht="6.6" customHeight="1" x14ac:dyDescent="0.25">
      <c r="A38" s="31">
        <v>38</v>
      </c>
      <c r="B38" s="38" t="s">
        <v>76</v>
      </c>
      <c r="C38" s="44" t="s">
        <v>862</v>
      </c>
      <c r="D38" s="44" t="s">
        <v>1003</v>
      </c>
      <c r="E38" s="38" t="s">
        <v>1004</v>
      </c>
      <c r="F38" s="58" t="s">
        <v>868</v>
      </c>
      <c r="G38" s="82" t="s">
        <v>1</v>
      </c>
      <c r="H38" s="82" t="s">
        <v>1</v>
      </c>
      <c r="I38" s="82" t="s">
        <v>1</v>
      </c>
      <c r="J38" s="82" t="s">
        <v>1</v>
      </c>
      <c r="K38" s="82" t="s">
        <v>1</v>
      </c>
      <c r="L38" s="32" t="str">
        <f t="shared" si="28"/>
        <v>Fronteiras</v>
      </c>
      <c r="M38" s="32" t="str">
        <f t="shared" si="29"/>
        <v>Demarcadas</v>
      </c>
      <c r="N38" s="32" t="str">
        <f t="shared" si="30"/>
        <v>Marcos</v>
      </c>
      <c r="O38" s="33" t="str">
        <f t="shared" si="31"/>
        <v>Marco.de.Milha</v>
      </c>
      <c r="P38" s="33" t="s">
        <v>834</v>
      </c>
      <c r="Q38" s="33" t="s">
        <v>835</v>
      </c>
      <c r="R38" s="34" t="s">
        <v>1</v>
      </c>
      <c r="S38" s="35" t="str">
        <f t="shared" si="32"/>
        <v>Fronteiras</v>
      </c>
      <c r="T38" s="35" t="str">
        <f t="shared" si="33"/>
        <v>Demarcadas</v>
      </c>
      <c r="U38" s="35" t="str">
        <f t="shared" si="12"/>
        <v>Marcos</v>
      </c>
      <c r="V38" s="34" t="s">
        <v>1341</v>
      </c>
      <c r="W38" s="88" t="str">
        <f t="shared" si="7"/>
        <v>Key-INF-38</v>
      </c>
      <c r="X38" s="33" t="s">
        <v>1</v>
      </c>
      <c r="Y38" s="50" t="s">
        <v>1396</v>
      </c>
      <c r="Z38" s="86" t="s">
        <v>1</v>
      </c>
      <c r="AA38" s="33" t="str">
        <f t="shared" si="8"/>
        <v>Point in mile.</v>
      </c>
    </row>
    <row r="39" spans="1:27" ht="6.6" customHeight="1" x14ac:dyDescent="0.25">
      <c r="A39" s="31">
        <v>39</v>
      </c>
      <c r="B39" s="38" t="s">
        <v>76</v>
      </c>
      <c r="C39" s="44" t="s">
        <v>862</v>
      </c>
      <c r="D39" s="44" t="s">
        <v>1003</v>
      </c>
      <c r="E39" s="38" t="s">
        <v>1004</v>
      </c>
      <c r="F39" s="58" t="s">
        <v>869</v>
      </c>
      <c r="G39" s="82" t="s">
        <v>1</v>
      </c>
      <c r="H39" s="82" t="s">
        <v>1</v>
      </c>
      <c r="I39" s="82" t="s">
        <v>1</v>
      </c>
      <c r="J39" s="82" t="s">
        <v>1</v>
      </c>
      <c r="K39" s="82" t="s">
        <v>1</v>
      </c>
      <c r="L39" s="32" t="str">
        <f t="shared" si="28"/>
        <v>Fronteiras</v>
      </c>
      <c r="M39" s="32" t="str">
        <f t="shared" si="29"/>
        <v>Demarcadas</v>
      </c>
      <c r="N39" s="32" t="str">
        <f t="shared" si="30"/>
        <v>Marcos</v>
      </c>
      <c r="O39" s="33" t="str">
        <f t="shared" si="31"/>
        <v>Estaca.de.Controle</v>
      </c>
      <c r="P39" s="33" t="s">
        <v>838</v>
      </c>
      <c r="Q39" s="33" t="s">
        <v>839</v>
      </c>
      <c r="R39" s="34" t="s">
        <v>1</v>
      </c>
      <c r="S39" s="35" t="str">
        <f t="shared" si="32"/>
        <v>Fronteiras</v>
      </c>
      <c r="T39" s="35" t="str">
        <f t="shared" si="33"/>
        <v>Demarcadas</v>
      </c>
      <c r="U39" s="35" t="str">
        <f t="shared" si="12"/>
        <v>Marcos</v>
      </c>
      <c r="V39" s="34" t="s">
        <v>1341</v>
      </c>
      <c r="W39" s="88" t="str">
        <f t="shared" si="7"/>
        <v>Key-INF-39</v>
      </c>
      <c r="X39" s="33" t="s">
        <v>1</v>
      </c>
      <c r="Y39" s="50" t="s">
        <v>1397</v>
      </c>
      <c r="Z39" s="86"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862</v>
      </c>
      <c r="D40" s="44" t="s">
        <v>1003</v>
      </c>
      <c r="E40" s="38" t="s">
        <v>1004</v>
      </c>
      <c r="F40" s="58" t="s">
        <v>870</v>
      </c>
      <c r="G40" s="82" t="s">
        <v>1</v>
      </c>
      <c r="H40" s="82" t="s">
        <v>1</v>
      </c>
      <c r="I40" s="82" t="s">
        <v>1</v>
      </c>
      <c r="J40" s="82" t="s">
        <v>1</v>
      </c>
      <c r="K40" s="82" t="s">
        <v>1</v>
      </c>
      <c r="L40" s="32" t="str">
        <f t="shared" si="28"/>
        <v>Fronteiras</v>
      </c>
      <c r="M40" s="32" t="str">
        <f t="shared" si="29"/>
        <v>Demarcadas</v>
      </c>
      <c r="N40" s="32" t="str">
        <f t="shared" si="30"/>
        <v>Marcos</v>
      </c>
      <c r="O40" s="33" t="str">
        <f t="shared" si="31"/>
        <v>Estação.de.Medição</v>
      </c>
      <c r="P40" s="33" t="s">
        <v>840</v>
      </c>
      <c r="Q40" s="33" t="s">
        <v>841</v>
      </c>
      <c r="R40" s="34" t="s">
        <v>1</v>
      </c>
      <c r="S40" s="35" t="str">
        <f t="shared" si="32"/>
        <v>Fronteiras</v>
      </c>
      <c r="T40" s="35" t="str">
        <f t="shared" si="33"/>
        <v>Demarcadas</v>
      </c>
      <c r="U40" s="35" t="str">
        <f t="shared" si="12"/>
        <v>Marcos</v>
      </c>
      <c r="V40" s="34" t="s">
        <v>1341</v>
      </c>
      <c r="W40" s="88" t="str">
        <f t="shared" si="7"/>
        <v>Key-INF-40</v>
      </c>
      <c r="X40" s="33" t="s">
        <v>1</v>
      </c>
      <c r="Y40" s="50" t="s">
        <v>1398</v>
      </c>
      <c r="Z40" s="86" t="s">
        <v>1</v>
      </c>
      <c r="AA40" s="33" t="str">
        <f t="shared" si="8"/>
        <v>Season.</v>
      </c>
    </row>
    <row r="41" spans="1:27" ht="6.6" customHeight="1" x14ac:dyDescent="0.25">
      <c r="A41" s="31">
        <v>41</v>
      </c>
      <c r="B41" s="38" t="s">
        <v>76</v>
      </c>
      <c r="C41" s="44" t="s">
        <v>862</v>
      </c>
      <c r="D41" s="44" t="s">
        <v>1003</v>
      </c>
      <c r="E41" s="38" t="s">
        <v>1004</v>
      </c>
      <c r="F41" s="58" t="s">
        <v>848</v>
      </c>
      <c r="G41" s="82" t="s">
        <v>1</v>
      </c>
      <c r="H41" s="82" t="s">
        <v>1</v>
      </c>
      <c r="I41" s="82" t="s">
        <v>1</v>
      </c>
      <c r="J41" s="82" t="s">
        <v>1</v>
      </c>
      <c r="K41" s="82" t="s">
        <v>1</v>
      </c>
      <c r="L41" s="32" t="str">
        <f t="shared" si="28"/>
        <v>Fronteiras</v>
      </c>
      <c r="M41" s="32" t="str">
        <f t="shared" si="29"/>
        <v>Demarcadas</v>
      </c>
      <c r="N41" s="32" t="str">
        <f t="shared" si="30"/>
        <v>Marcos</v>
      </c>
      <c r="O41" s="33" t="str">
        <f t="shared" si="31"/>
        <v xml:space="preserve">Superelevação </v>
      </c>
      <c r="P41" s="33" t="s">
        <v>842</v>
      </c>
      <c r="Q41" s="33" t="s">
        <v>843</v>
      </c>
      <c r="R41" s="34" t="s">
        <v>1</v>
      </c>
      <c r="S41" s="35" t="str">
        <f t="shared" si="32"/>
        <v>Fronteiras</v>
      </c>
      <c r="T41" s="35" t="str">
        <f t="shared" si="33"/>
        <v>Demarcadas</v>
      </c>
      <c r="U41" s="35" t="str">
        <f t="shared" si="12"/>
        <v>Marcos</v>
      </c>
      <c r="V41" s="34" t="s">
        <v>1341</v>
      </c>
      <c r="W41" s="88" t="str">
        <f t="shared" si="7"/>
        <v>Key-INF-41</v>
      </c>
      <c r="X41" s="33" t="s">
        <v>1</v>
      </c>
      <c r="Y41" s="50" t="s">
        <v>1399</v>
      </c>
      <c r="Z41" s="86"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862</v>
      </c>
      <c r="D42" s="44" t="s">
        <v>1003</v>
      </c>
      <c r="E42" s="38" t="s">
        <v>1004</v>
      </c>
      <c r="F42" s="58" t="s">
        <v>853</v>
      </c>
      <c r="G42" s="82" t="s">
        <v>1</v>
      </c>
      <c r="H42" s="82" t="s">
        <v>1</v>
      </c>
      <c r="I42" s="82" t="s">
        <v>1</v>
      </c>
      <c r="J42" s="82" t="s">
        <v>1</v>
      </c>
      <c r="K42" s="82" t="s">
        <v>1</v>
      </c>
      <c r="L42" s="32" t="str">
        <f t="shared" si="28"/>
        <v>Fronteiras</v>
      </c>
      <c r="M42" s="32" t="str">
        <f t="shared" si="29"/>
        <v>Demarcadas</v>
      </c>
      <c r="N42" s="32" t="str">
        <f t="shared" si="30"/>
        <v>Marcos</v>
      </c>
      <c r="O42" s="33" t="str">
        <f t="shared" si="31"/>
        <v>Largura.de.Pista</v>
      </c>
      <c r="P42" s="33" t="s">
        <v>844</v>
      </c>
      <c r="Q42" s="33" t="s">
        <v>845</v>
      </c>
      <c r="R42" s="34" t="s">
        <v>1</v>
      </c>
      <c r="S42" s="35" t="str">
        <f t="shared" si="32"/>
        <v>Fronteiras</v>
      </c>
      <c r="T42" s="35" t="str">
        <f t="shared" si="33"/>
        <v>Demarcadas</v>
      </c>
      <c r="U42" s="35" t="str">
        <f t="shared" si="12"/>
        <v>Marcos</v>
      </c>
      <c r="V42" s="34" t="s">
        <v>1341</v>
      </c>
      <c r="W42" s="88" t="str">
        <f t="shared" si="7"/>
        <v>Key-INF-42</v>
      </c>
      <c r="X42" s="33" t="s">
        <v>1</v>
      </c>
      <c r="Y42" s="50" t="s">
        <v>1400</v>
      </c>
      <c r="Z42" s="86" t="s">
        <v>1</v>
      </c>
      <c r="AA42" s="33" t="str">
        <f t="shared" si="8"/>
        <v>Event type that specifies the width at a specific location along a road alignment.</v>
      </c>
    </row>
    <row r="43" spans="1:27" ht="6.6" customHeight="1" x14ac:dyDescent="0.25">
      <c r="A43" s="31">
        <v>43</v>
      </c>
      <c r="B43" s="38" t="s">
        <v>76</v>
      </c>
      <c r="C43" s="44" t="s">
        <v>911</v>
      </c>
      <c r="D43" s="44" t="s">
        <v>910</v>
      </c>
      <c r="E43" s="44" t="s">
        <v>1016</v>
      </c>
      <c r="F43" s="44" t="s">
        <v>914</v>
      </c>
      <c r="G43" s="82" t="s">
        <v>1</v>
      </c>
      <c r="H43" s="82" t="s">
        <v>1</v>
      </c>
      <c r="I43" s="82" t="s">
        <v>1</v>
      </c>
      <c r="J43" s="82" t="s">
        <v>1</v>
      </c>
      <c r="K43" s="82"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1017</v>
      </c>
      <c r="Q43" s="53" t="s">
        <v>1196</v>
      </c>
      <c r="R43" s="34" t="s">
        <v>1</v>
      </c>
      <c r="S43" s="35" t="str">
        <f t="shared" ref="S43:S44" si="45">SUBSTITUTE(C43, ".", " ")</f>
        <v>Topografias</v>
      </c>
      <c r="T43" s="35" t="str">
        <f t="shared" ref="T43:T44" si="46">SUBSTITUTE(D43, ".", " ")</f>
        <v>Altimetrias</v>
      </c>
      <c r="U43" s="35" t="str">
        <f t="shared" ref="U43:U44" si="47">SUBSTITUTE(E43, ".", " ")</f>
        <v>Pontos Cotados</v>
      </c>
      <c r="V43" s="34" t="s">
        <v>1341</v>
      </c>
      <c r="W43" s="88" t="str">
        <f t="shared" si="7"/>
        <v>Key-INF-43</v>
      </c>
      <c r="X43" s="33" t="s">
        <v>1347</v>
      </c>
      <c r="Y43" s="35" t="s">
        <v>1400</v>
      </c>
      <c r="Z43" s="86" t="s">
        <v>1</v>
      </c>
      <c r="AA43" s="33" t="str">
        <f t="shared" si="8"/>
        <v>Elevation points positioned inside the land.</v>
      </c>
    </row>
    <row r="44" spans="1:27" ht="6.6" customHeight="1" x14ac:dyDescent="0.25">
      <c r="A44" s="31">
        <v>44</v>
      </c>
      <c r="B44" s="38" t="s">
        <v>76</v>
      </c>
      <c r="C44" s="44" t="s">
        <v>911</v>
      </c>
      <c r="D44" s="44" t="s">
        <v>910</v>
      </c>
      <c r="E44" s="44" t="s">
        <v>1016</v>
      </c>
      <c r="F44" s="44" t="s">
        <v>1015</v>
      </c>
      <c r="G44" s="82" t="s">
        <v>1</v>
      </c>
      <c r="H44" s="82" t="s">
        <v>1</v>
      </c>
      <c r="I44" s="82" t="s">
        <v>1</v>
      </c>
      <c r="J44" s="82" t="s">
        <v>1</v>
      </c>
      <c r="K44" s="82" t="s">
        <v>1</v>
      </c>
      <c r="L44" s="37" t="str">
        <f t="shared" si="41"/>
        <v>Topografias</v>
      </c>
      <c r="M44" s="37" t="str">
        <f t="shared" si="42"/>
        <v>Altimetrias</v>
      </c>
      <c r="N44" s="37" t="str">
        <f t="shared" si="43"/>
        <v>Pontos Cotados</v>
      </c>
      <c r="O44" s="37" t="str">
        <f t="shared" si="44"/>
        <v>Ponto Perimetral</v>
      </c>
      <c r="P44" s="37" t="s">
        <v>1018</v>
      </c>
      <c r="Q44" s="53" t="s">
        <v>1197</v>
      </c>
      <c r="R44" s="34" t="s">
        <v>1</v>
      </c>
      <c r="S44" s="35" t="str">
        <f t="shared" si="45"/>
        <v>Topografias</v>
      </c>
      <c r="T44" s="35" t="str">
        <f t="shared" si="46"/>
        <v>Altimetrias</v>
      </c>
      <c r="U44" s="35" t="str">
        <f t="shared" si="47"/>
        <v>Pontos Cotados</v>
      </c>
      <c r="V44" s="34" t="s">
        <v>1341</v>
      </c>
      <c r="W44" s="88" t="str">
        <f t="shared" si="7"/>
        <v>Key-INF-44</v>
      </c>
      <c r="X44" s="35" t="s">
        <v>1348</v>
      </c>
      <c r="Y44" s="35" t="s">
        <v>1401</v>
      </c>
      <c r="Z44" s="86" t="s">
        <v>1</v>
      </c>
      <c r="AA44" s="33" t="str">
        <f t="shared" si="8"/>
        <v>Altimetric elevation points positioned on the perimeter of the land.</v>
      </c>
    </row>
    <row r="45" spans="1:27" ht="6.6" customHeight="1" x14ac:dyDescent="0.25">
      <c r="A45" s="31">
        <v>45</v>
      </c>
      <c r="B45" s="38" t="s">
        <v>76</v>
      </c>
      <c r="C45" s="44" t="s">
        <v>911</v>
      </c>
      <c r="D45" s="44" t="s">
        <v>910</v>
      </c>
      <c r="E45" s="44" t="s">
        <v>909</v>
      </c>
      <c r="F45" s="44" t="s">
        <v>1013</v>
      </c>
      <c r="G45" s="82" t="s">
        <v>1</v>
      </c>
      <c r="H45" s="82" t="s">
        <v>1</v>
      </c>
      <c r="I45" s="82" t="s">
        <v>1</v>
      </c>
      <c r="J45" s="82" t="s">
        <v>1</v>
      </c>
      <c r="K45" s="82"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1011</v>
      </c>
      <c r="Q45" s="53" t="s">
        <v>1198</v>
      </c>
      <c r="R45" s="34" t="s">
        <v>1</v>
      </c>
      <c r="S45" s="35" t="str">
        <f t="shared" ref="S45" si="52">SUBSTITUTE(C45, ".", " ")</f>
        <v>Topografias</v>
      </c>
      <c r="T45" s="35" t="str">
        <f t="shared" ref="T45" si="53">SUBSTITUTE(D45, ".", " ")</f>
        <v>Altimetrias</v>
      </c>
      <c r="U45" s="35" t="str">
        <f t="shared" ref="U45" si="54">SUBSTITUTE(E45, ".", " ")</f>
        <v>Terrenos</v>
      </c>
      <c r="V45" s="34" t="s">
        <v>1341</v>
      </c>
      <c r="W45" s="88" t="str">
        <f t="shared" si="7"/>
        <v>Key-INF-45</v>
      </c>
      <c r="X45" s="35" t="s">
        <v>1349</v>
      </c>
      <c r="Y45" s="35" t="s">
        <v>1401</v>
      </c>
      <c r="Z45" s="86"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911</v>
      </c>
      <c r="D46" s="44" t="s">
        <v>910</v>
      </c>
      <c r="E46" s="44" t="s">
        <v>909</v>
      </c>
      <c r="F46" s="44" t="s">
        <v>1014</v>
      </c>
      <c r="G46" s="82" t="s">
        <v>1</v>
      </c>
      <c r="H46" s="82" t="s">
        <v>1</v>
      </c>
      <c r="I46" s="82" t="s">
        <v>1</v>
      </c>
      <c r="J46" s="82" t="s">
        <v>1</v>
      </c>
      <c r="K46" s="82" t="s">
        <v>1</v>
      </c>
      <c r="L46" s="37" t="str">
        <f t="shared" si="9"/>
        <v>Topografias</v>
      </c>
      <c r="M46" s="37" t="str">
        <f t="shared" si="13"/>
        <v>Altimetrias</v>
      </c>
      <c r="N46" s="37" t="str">
        <f t="shared" si="13"/>
        <v>Terrenos</v>
      </c>
      <c r="O46" s="37" t="str">
        <f t="shared" ref="O46:O51" si="55">_xlfn.CONCAT(SUBSTITUTE(F46,"."," "))</f>
        <v>Terreno 3D Superficial</v>
      </c>
      <c r="P46" s="37" t="s">
        <v>1012</v>
      </c>
      <c r="Q46" s="53" t="s">
        <v>1199</v>
      </c>
      <c r="R46" s="34" t="s">
        <v>1</v>
      </c>
      <c r="S46" s="35" t="str">
        <f t="shared" si="10"/>
        <v>Topografias</v>
      </c>
      <c r="T46" s="35" t="str">
        <f t="shared" si="11"/>
        <v>Altimetrias</v>
      </c>
      <c r="U46" s="35" t="str">
        <f t="shared" si="12"/>
        <v>Terrenos</v>
      </c>
      <c r="V46" s="34" t="s">
        <v>1341</v>
      </c>
      <c r="W46" s="88" t="str">
        <f t="shared" si="7"/>
        <v>Key-INF-46</v>
      </c>
      <c r="X46" s="35" t="s">
        <v>1350</v>
      </c>
      <c r="Y46" s="35" t="s">
        <v>1401</v>
      </c>
      <c r="Z46" s="86" t="s">
        <v>1</v>
      </c>
      <c r="AA46" s="33" t="str">
        <f t="shared" si="8"/>
        <v>Three-dimensional maha of the terrain. Revit models prior to 2024 use surface terrain models.</v>
      </c>
    </row>
    <row r="47" spans="1:27" ht="6.6" customHeight="1" x14ac:dyDescent="0.25">
      <c r="A47" s="31">
        <v>47</v>
      </c>
      <c r="B47" s="38" t="s">
        <v>76</v>
      </c>
      <c r="C47" s="44" t="s">
        <v>911</v>
      </c>
      <c r="D47" s="44" t="s">
        <v>910</v>
      </c>
      <c r="E47" s="44" t="s">
        <v>909</v>
      </c>
      <c r="F47" s="44" t="s">
        <v>1006</v>
      </c>
      <c r="G47" s="82" t="s">
        <v>1</v>
      </c>
      <c r="H47" s="82" t="s">
        <v>1</v>
      </c>
      <c r="I47" s="82" t="s">
        <v>1</v>
      </c>
      <c r="J47" s="82" t="s">
        <v>1</v>
      </c>
      <c r="K47" s="82" t="s">
        <v>1</v>
      </c>
      <c r="L47" s="37" t="str">
        <f t="shared" si="9"/>
        <v>Topografias</v>
      </c>
      <c r="M47" s="37" t="str">
        <f t="shared" si="13"/>
        <v>Altimetrias</v>
      </c>
      <c r="N47" s="37" t="str">
        <f t="shared" si="13"/>
        <v>Terrenos</v>
      </c>
      <c r="O47" s="37" t="str">
        <f t="shared" si="55"/>
        <v>MDT Camada Núcleo</v>
      </c>
      <c r="P47" s="37" t="s">
        <v>1033</v>
      </c>
      <c r="Q47" s="53" t="s">
        <v>1200</v>
      </c>
      <c r="R47" s="34" t="s">
        <v>1</v>
      </c>
      <c r="S47" s="35" t="str">
        <f t="shared" si="10"/>
        <v>Topografias</v>
      </c>
      <c r="T47" s="35" t="str">
        <f t="shared" si="11"/>
        <v>Altimetrias</v>
      </c>
      <c r="U47" s="35" t="str">
        <f t="shared" si="12"/>
        <v>Terrenos</v>
      </c>
      <c r="V47" s="34" t="s">
        <v>1341</v>
      </c>
      <c r="W47" s="88" t="str">
        <f t="shared" si="7"/>
        <v>Key-INF-47</v>
      </c>
      <c r="X47" s="35" t="s">
        <v>1351</v>
      </c>
      <c r="Y47" s="35" t="s">
        <v>1401</v>
      </c>
      <c r="Z47" s="86" t="s">
        <v>1</v>
      </c>
      <c r="AA47" s="33" t="str">
        <f t="shared" si="8"/>
        <v>Three-dimensional terrain solid: core layer.</v>
      </c>
    </row>
    <row r="48" spans="1:27" ht="6.6" customHeight="1" x14ac:dyDescent="0.25">
      <c r="A48" s="31">
        <v>48</v>
      </c>
      <c r="B48" s="38" t="s">
        <v>76</v>
      </c>
      <c r="C48" s="44" t="s">
        <v>911</v>
      </c>
      <c r="D48" s="44" t="s">
        <v>910</v>
      </c>
      <c r="E48" s="44" t="s">
        <v>909</v>
      </c>
      <c r="F48" s="44" t="s">
        <v>1010</v>
      </c>
      <c r="G48" s="82" t="s">
        <v>1</v>
      </c>
      <c r="H48" s="82" t="s">
        <v>1</v>
      </c>
      <c r="I48" s="82" t="s">
        <v>1</v>
      </c>
      <c r="J48" s="82" t="s">
        <v>1</v>
      </c>
      <c r="K48" s="82" t="s">
        <v>1</v>
      </c>
      <c r="L48" s="37" t="str">
        <f t="shared" si="9"/>
        <v>Topografias</v>
      </c>
      <c r="M48" s="37" t="str">
        <f t="shared" si="13"/>
        <v>Altimetrias</v>
      </c>
      <c r="N48" s="37" t="str">
        <f t="shared" si="13"/>
        <v>Terrenos</v>
      </c>
      <c r="O48" s="37" t="str">
        <f t="shared" si="55"/>
        <v>MDT Camada Substrato</v>
      </c>
      <c r="P48" s="37" t="s">
        <v>1035</v>
      </c>
      <c r="Q48" s="53" t="s">
        <v>1201</v>
      </c>
      <c r="R48" s="34" t="s">
        <v>1</v>
      </c>
      <c r="S48" s="35" t="str">
        <f t="shared" si="10"/>
        <v>Topografias</v>
      </c>
      <c r="T48" s="35" t="str">
        <f t="shared" si="11"/>
        <v>Altimetrias</v>
      </c>
      <c r="U48" s="35" t="str">
        <f t="shared" si="12"/>
        <v>Terrenos</v>
      </c>
      <c r="V48" s="34" t="s">
        <v>1341</v>
      </c>
      <c r="W48" s="88" t="str">
        <f t="shared" si="7"/>
        <v>Key-INF-48</v>
      </c>
      <c r="X48" s="35" t="s">
        <v>1352</v>
      </c>
      <c r="Y48" s="35" t="s">
        <v>1401</v>
      </c>
      <c r="Z48" s="86" t="s">
        <v>1</v>
      </c>
      <c r="AA48" s="33" t="str">
        <f t="shared" si="8"/>
        <v>Three-dimensional solid of the terrain: substrate layer.</v>
      </c>
    </row>
    <row r="49" spans="1:27" ht="6.6" customHeight="1" x14ac:dyDescent="0.25">
      <c r="A49" s="31">
        <v>49</v>
      </c>
      <c r="B49" s="38" t="s">
        <v>76</v>
      </c>
      <c r="C49" s="44" t="s">
        <v>911</v>
      </c>
      <c r="D49" s="44" t="s">
        <v>910</v>
      </c>
      <c r="E49" s="44" t="s">
        <v>909</v>
      </c>
      <c r="F49" s="44" t="s">
        <v>1009</v>
      </c>
      <c r="G49" s="82" t="s">
        <v>1</v>
      </c>
      <c r="H49" s="82" t="s">
        <v>1</v>
      </c>
      <c r="I49" s="82" t="s">
        <v>1</v>
      </c>
      <c r="J49" s="82" t="s">
        <v>1</v>
      </c>
      <c r="K49" s="82" t="s">
        <v>1</v>
      </c>
      <c r="L49" s="37" t="str">
        <f t="shared" si="9"/>
        <v>Topografias</v>
      </c>
      <c r="M49" s="37" t="str">
        <f t="shared" si="13"/>
        <v>Altimetrias</v>
      </c>
      <c r="N49" s="37" t="str">
        <f t="shared" si="13"/>
        <v>Terrenos</v>
      </c>
      <c r="O49" s="37" t="str">
        <f t="shared" si="55"/>
        <v>MDT Camada Membrana</v>
      </c>
      <c r="P49" s="37" t="s">
        <v>1034</v>
      </c>
      <c r="Q49" s="53" t="s">
        <v>1202</v>
      </c>
      <c r="R49" s="34" t="s">
        <v>1</v>
      </c>
      <c r="S49" s="35" t="str">
        <f t="shared" si="10"/>
        <v>Topografias</v>
      </c>
      <c r="T49" s="35" t="str">
        <f t="shared" si="11"/>
        <v>Altimetrias</v>
      </c>
      <c r="U49" s="35" t="str">
        <f t="shared" si="12"/>
        <v>Terrenos</v>
      </c>
      <c r="V49" s="34" t="s">
        <v>1341</v>
      </c>
      <c r="W49" s="88" t="str">
        <f t="shared" si="7"/>
        <v>Key-INF-49</v>
      </c>
      <c r="X49" s="35" t="s">
        <v>1450</v>
      </c>
      <c r="Y49" s="35" t="s">
        <v>1401</v>
      </c>
      <c r="Z49" s="86" t="s">
        <v>1</v>
      </c>
      <c r="AA49" s="33" t="str">
        <f t="shared" si="8"/>
        <v>Three-dimensional solid of the terrain: membrane layer.</v>
      </c>
    </row>
    <row r="50" spans="1:27" ht="6.6" customHeight="1" x14ac:dyDescent="0.25">
      <c r="A50" s="31">
        <v>50</v>
      </c>
      <c r="B50" s="38" t="s">
        <v>76</v>
      </c>
      <c r="C50" s="44" t="s">
        <v>911</v>
      </c>
      <c r="D50" s="44" t="s">
        <v>910</v>
      </c>
      <c r="E50" s="44" t="s">
        <v>909</v>
      </c>
      <c r="F50" s="44" t="s">
        <v>1008</v>
      </c>
      <c r="G50" s="82" t="s">
        <v>1</v>
      </c>
      <c r="H50" s="82" t="s">
        <v>1</v>
      </c>
      <c r="I50" s="82" t="s">
        <v>1</v>
      </c>
      <c r="J50" s="82" t="s">
        <v>1</v>
      </c>
      <c r="K50" s="82" t="s">
        <v>1</v>
      </c>
      <c r="L50" s="37" t="str">
        <f t="shared" si="9"/>
        <v>Topografias</v>
      </c>
      <c r="M50" s="37" t="str">
        <f t="shared" si="13"/>
        <v>Altimetrias</v>
      </c>
      <c r="N50" s="37" t="str">
        <f t="shared" si="13"/>
        <v>Terrenos</v>
      </c>
      <c r="O50" s="37" t="str">
        <f t="shared" si="55"/>
        <v>MDT Camada Isolamento</v>
      </c>
      <c r="P50" s="37" t="s">
        <v>1037</v>
      </c>
      <c r="Q50" s="53" t="s">
        <v>1203</v>
      </c>
      <c r="R50" s="34" t="s">
        <v>1</v>
      </c>
      <c r="S50" s="35" t="str">
        <f t="shared" si="10"/>
        <v>Topografias</v>
      </c>
      <c r="T50" s="35" t="str">
        <f t="shared" si="11"/>
        <v>Altimetrias</v>
      </c>
      <c r="U50" s="35" t="str">
        <f t="shared" si="12"/>
        <v>Terrenos</v>
      </c>
      <c r="V50" s="34" t="s">
        <v>1341</v>
      </c>
      <c r="W50" s="88" t="str">
        <f t="shared" si="7"/>
        <v>Key-INF-50</v>
      </c>
      <c r="X50" s="35" t="s">
        <v>1353</v>
      </c>
      <c r="Y50" s="35" t="s">
        <v>1401</v>
      </c>
      <c r="Z50" s="86" t="s">
        <v>1</v>
      </c>
      <c r="AA50" s="33" t="str">
        <f t="shared" si="8"/>
        <v>Three-dimensional solid terrain: insulation layer.</v>
      </c>
    </row>
    <row r="51" spans="1:27" ht="6.6" customHeight="1" x14ac:dyDescent="0.25">
      <c r="A51" s="31">
        <v>51</v>
      </c>
      <c r="B51" s="38" t="s">
        <v>76</v>
      </c>
      <c r="C51" s="44" t="s">
        <v>911</v>
      </c>
      <c r="D51" s="44" t="s">
        <v>910</v>
      </c>
      <c r="E51" s="44" t="s">
        <v>909</v>
      </c>
      <c r="F51" s="44" t="s">
        <v>1007</v>
      </c>
      <c r="G51" s="82" t="s">
        <v>1</v>
      </c>
      <c r="H51" s="82" t="s">
        <v>1</v>
      </c>
      <c r="I51" s="82" t="s">
        <v>1</v>
      </c>
      <c r="J51" s="82" t="s">
        <v>1</v>
      </c>
      <c r="K51" s="82" t="s">
        <v>1</v>
      </c>
      <c r="L51" s="37" t="str">
        <f t="shared" ref="L51:L55" si="56">_xlfn.CONCAT(SUBSTITUTE(C51,"1.",""))</f>
        <v>Topografias</v>
      </c>
      <c r="M51" s="37" t="str">
        <f t="shared" si="13"/>
        <v>Altimetrias</v>
      </c>
      <c r="N51" s="37" t="str">
        <f t="shared" si="13"/>
        <v>Terrenos</v>
      </c>
      <c r="O51" s="37" t="str">
        <f t="shared" si="55"/>
        <v>MDT Camada Superficial</v>
      </c>
      <c r="P51" s="37" t="s">
        <v>1036</v>
      </c>
      <c r="Q51" s="53" t="s">
        <v>1204</v>
      </c>
      <c r="R51" s="34" t="s">
        <v>1</v>
      </c>
      <c r="S51" s="35" t="str">
        <f t="shared" si="10"/>
        <v>Topografias</v>
      </c>
      <c r="T51" s="35" t="str">
        <f t="shared" si="11"/>
        <v>Altimetrias</v>
      </c>
      <c r="U51" s="35" t="str">
        <f t="shared" si="12"/>
        <v>Terrenos</v>
      </c>
      <c r="V51" s="34" t="s">
        <v>1341</v>
      </c>
      <c r="W51" s="88" t="str">
        <f t="shared" si="7"/>
        <v>Key-INF-51</v>
      </c>
      <c r="X51" s="35" t="s">
        <v>1354</v>
      </c>
      <c r="Y51" s="35" t="s">
        <v>1402</v>
      </c>
      <c r="Z51" s="86" t="s">
        <v>1</v>
      </c>
      <c r="AA51" s="33" t="str">
        <f t="shared" si="8"/>
        <v>Three-dimensional solid of the terrain: surface layer.</v>
      </c>
    </row>
    <row r="52" spans="1:27" ht="6.6" customHeight="1" x14ac:dyDescent="0.25">
      <c r="A52" s="31">
        <v>52</v>
      </c>
      <c r="B52" s="38" t="s">
        <v>76</v>
      </c>
      <c r="C52" s="44" t="s">
        <v>911</v>
      </c>
      <c r="D52" s="44" t="s">
        <v>910</v>
      </c>
      <c r="E52" s="44" t="s">
        <v>912</v>
      </c>
      <c r="F52" s="44" t="s">
        <v>915</v>
      </c>
      <c r="G52" s="82" t="s">
        <v>1</v>
      </c>
      <c r="H52" s="82" t="s">
        <v>1</v>
      </c>
      <c r="I52" s="82" t="s">
        <v>1</v>
      </c>
      <c r="J52" s="82" t="s">
        <v>1</v>
      </c>
      <c r="K52" s="82" t="s">
        <v>1</v>
      </c>
      <c r="L52" s="37" t="str">
        <f t="shared" si="56"/>
        <v>Topografias</v>
      </c>
      <c r="M52" s="37" t="str">
        <f t="shared" si="13"/>
        <v>Altimetrias</v>
      </c>
      <c r="N52" s="37" t="str">
        <f t="shared" si="13"/>
        <v>Curvas de Nível</v>
      </c>
      <c r="O52" s="37" t="str">
        <f t="shared" ref="O52:O55" si="57">_xlfn.CONCAT(SUBSTITUTE(F52,"."," "))</f>
        <v>Curva de Nível 10m</v>
      </c>
      <c r="P52" s="37" t="s">
        <v>1038</v>
      </c>
      <c r="Q52" s="53" t="s">
        <v>1205</v>
      </c>
      <c r="R52" s="34" t="s">
        <v>1</v>
      </c>
      <c r="S52" s="35" t="str">
        <f t="shared" si="10"/>
        <v>Topografias</v>
      </c>
      <c r="T52" s="35" t="str">
        <f t="shared" si="11"/>
        <v>Altimetrias</v>
      </c>
      <c r="U52" s="35" t="str">
        <f t="shared" si="12"/>
        <v>Curvas de Nível</v>
      </c>
      <c r="V52" s="34" t="s">
        <v>1341</v>
      </c>
      <c r="W52" s="88" t="str">
        <f t="shared" si="7"/>
        <v>Key-INF-52</v>
      </c>
      <c r="X52" s="35" t="s">
        <v>1355</v>
      </c>
      <c r="Y52" s="35" t="s">
        <v>1402</v>
      </c>
      <c r="Z52" s="86" t="s">
        <v>1</v>
      </c>
      <c r="AA52" s="33" t="str">
        <f t="shared" si="8"/>
        <v>10-meter level curve.</v>
      </c>
    </row>
    <row r="53" spans="1:27" ht="6.6" customHeight="1" x14ac:dyDescent="0.25">
      <c r="A53" s="31">
        <v>53</v>
      </c>
      <c r="B53" s="38" t="s">
        <v>76</v>
      </c>
      <c r="C53" s="44" t="s">
        <v>911</v>
      </c>
      <c r="D53" s="44" t="s">
        <v>910</v>
      </c>
      <c r="E53" s="44" t="s">
        <v>912</v>
      </c>
      <c r="F53" s="44" t="s">
        <v>916</v>
      </c>
      <c r="G53" s="82" t="s">
        <v>1</v>
      </c>
      <c r="H53" s="82" t="s">
        <v>1</v>
      </c>
      <c r="I53" s="82" t="s">
        <v>1</v>
      </c>
      <c r="J53" s="82" t="s">
        <v>1</v>
      </c>
      <c r="K53" s="82" t="s">
        <v>1</v>
      </c>
      <c r="L53" s="37" t="str">
        <f t="shared" si="56"/>
        <v>Topografias</v>
      </c>
      <c r="M53" s="37" t="str">
        <f t="shared" si="13"/>
        <v>Altimetrias</v>
      </c>
      <c r="N53" s="37" t="str">
        <f t="shared" si="13"/>
        <v>Curvas de Nível</v>
      </c>
      <c r="O53" s="37" t="str">
        <f t="shared" si="57"/>
        <v>Curva de Nível 05m</v>
      </c>
      <c r="P53" s="37" t="s">
        <v>1039</v>
      </c>
      <c r="Q53" s="53" t="s">
        <v>1206</v>
      </c>
      <c r="R53" s="34" t="s">
        <v>1</v>
      </c>
      <c r="S53" s="35" t="str">
        <f t="shared" si="10"/>
        <v>Topografias</v>
      </c>
      <c r="T53" s="35" t="str">
        <f t="shared" si="11"/>
        <v>Altimetrias</v>
      </c>
      <c r="U53" s="35" t="str">
        <f t="shared" si="12"/>
        <v>Curvas de Nível</v>
      </c>
      <c r="V53" s="34" t="s">
        <v>1341</v>
      </c>
      <c r="W53" s="88" t="str">
        <f t="shared" si="7"/>
        <v>Key-INF-53</v>
      </c>
      <c r="X53" s="35" t="s">
        <v>1355</v>
      </c>
      <c r="Y53" s="35" t="s">
        <v>1402</v>
      </c>
      <c r="Z53" s="86" t="s">
        <v>1</v>
      </c>
      <c r="AA53" s="33" t="str">
        <f t="shared" si="8"/>
        <v>5 meter level curve.</v>
      </c>
    </row>
    <row r="54" spans="1:27" ht="6.6" customHeight="1" x14ac:dyDescent="0.25">
      <c r="A54" s="31">
        <v>54</v>
      </c>
      <c r="B54" s="38" t="s">
        <v>76</v>
      </c>
      <c r="C54" s="44" t="s">
        <v>911</v>
      </c>
      <c r="D54" s="44" t="s">
        <v>910</v>
      </c>
      <c r="E54" s="44" t="s">
        <v>912</v>
      </c>
      <c r="F54" s="44" t="s">
        <v>917</v>
      </c>
      <c r="G54" s="82" t="s">
        <v>1</v>
      </c>
      <c r="H54" s="82" t="s">
        <v>1</v>
      </c>
      <c r="I54" s="82" t="s">
        <v>1</v>
      </c>
      <c r="J54" s="82" t="s">
        <v>1</v>
      </c>
      <c r="K54" s="82"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919</v>
      </c>
      <c r="Q54" s="53" t="s">
        <v>1207</v>
      </c>
      <c r="R54" s="34" t="s">
        <v>1</v>
      </c>
      <c r="S54" s="35" t="str">
        <f t="shared" ref="S54" si="62">SUBSTITUTE(C54, ".", " ")</f>
        <v>Topografias</v>
      </c>
      <c r="T54" s="35" t="str">
        <f t="shared" ref="T54" si="63">SUBSTITUTE(D54, ".", " ")</f>
        <v>Altimetrias</v>
      </c>
      <c r="U54" s="35" t="str">
        <f t="shared" ref="U54" si="64">SUBSTITUTE(E54, ".", " ")</f>
        <v>Curvas de Nível</v>
      </c>
      <c r="V54" s="34" t="s">
        <v>1341</v>
      </c>
      <c r="W54" s="88" t="str">
        <f t="shared" si="7"/>
        <v>Key-INF-54</v>
      </c>
      <c r="X54" s="35" t="s">
        <v>1355</v>
      </c>
      <c r="Y54" s="35" t="s">
        <v>1402</v>
      </c>
      <c r="Z54" s="86" t="s">
        <v>1</v>
      </c>
      <c r="AA54" s="33" t="str">
        <f t="shared" si="8"/>
        <v>Level curve of 1 meter.</v>
      </c>
    </row>
    <row r="55" spans="1:27" ht="6.6" customHeight="1" x14ac:dyDescent="0.25">
      <c r="A55" s="31">
        <v>55</v>
      </c>
      <c r="B55" s="38" t="s">
        <v>76</v>
      </c>
      <c r="C55" s="44" t="s">
        <v>911</v>
      </c>
      <c r="D55" s="44" t="s">
        <v>910</v>
      </c>
      <c r="E55" s="44" t="s">
        <v>912</v>
      </c>
      <c r="F55" s="44" t="s">
        <v>918</v>
      </c>
      <c r="G55" s="82" t="s">
        <v>1</v>
      </c>
      <c r="H55" s="82" t="s">
        <v>1</v>
      </c>
      <c r="I55" s="82" t="s">
        <v>1</v>
      </c>
      <c r="J55" s="82" t="s">
        <v>1</v>
      </c>
      <c r="K55" s="82" t="s">
        <v>1</v>
      </c>
      <c r="L55" s="37" t="str">
        <f t="shared" si="56"/>
        <v>Topografias</v>
      </c>
      <c r="M55" s="37" t="str">
        <f t="shared" si="13"/>
        <v>Altimetrias</v>
      </c>
      <c r="N55" s="37" t="str">
        <f t="shared" si="13"/>
        <v>Curvas de Nível</v>
      </c>
      <c r="O55" s="37" t="str">
        <f t="shared" si="57"/>
        <v>Curva de Nível Submétrica</v>
      </c>
      <c r="P55" s="37" t="s">
        <v>920</v>
      </c>
      <c r="Q55" s="53" t="s">
        <v>1208</v>
      </c>
      <c r="R55" s="34" t="s">
        <v>1</v>
      </c>
      <c r="S55" s="35" t="str">
        <f t="shared" si="10"/>
        <v>Topografias</v>
      </c>
      <c r="T55" s="35" t="str">
        <f t="shared" si="11"/>
        <v>Altimetrias</v>
      </c>
      <c r="U55" s="35" t="str">
        <f t="shared" si="12"/>
        <v>Curvas de Nível</v>
      </c>
      <c r="V55" s="34" t="s">
        <v>1341</v>
      </c>
      <c r="W55" s="88" t="str">
        <f t="shared" si="7"/>
        <v>Key-INF-55</v>
      </c>
      <c r="X55" s="35" t="s">
        <v>1355</v>
      </c>
      <c r="Y55" s="35" t="s">
        <v>1400</v>
      </c>
      <c r="Z55" s="86"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911</v>
      </c>
      <c r="D56" s="44" t="s">
        <v>910</v>
      </c>
      <c r="E56" s="44" t="s">
        <v>913</v>
      </c>
      <c r="F56" s="44" t="s">
        <v>871</v>
      </c>
      <c r="G56" s="82" t="s">
        <v>1</v>
      </c>
      <c r="H56" s="82" t="s">
        <v>1</v>
      </c>
      <c r="I56" s="82" t="s">
        <v>1</v>
      </c>
      <c r="J56" s="82" t="s">
        <v>1</v>
      </c>
      <c r="K56" s="82"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1040</v>
      </c>
      <c r="Q56" s="53" t="s">
        <v>1209</v>
      </c>
      <c r="R56" s="34" t="s">
        <v>1</v>
      </c>
      <c r="S56" s="35" t="str">
        <f t="shared" ref="S56" si="69">SUBSTITUTE(C56, ".", " ")</f>
        <v>Topografias</v>
      </c>
      <c r="T56" s="35" t="str">
        <f t="shared" ref="T56" si="70">SUBSTITUTE(D56, ".", " ")</f>
        <v>Altimetrias</v>
      </c>
      <c r="U56" s="35" t="str">
        <f t="shared" si="12"/>
        <v>Sondagens</v>
      </c>
      <c r="V56" s="34" t="s">
        <v>1341</v>
      </c>
      <c r="W56" s="88" t="str">
        <f t="shared" si="7"/>
        <v>Key-INF-56</v>
      </c>
      <c r="X56" s="33" t="s">
        <v>1347</v>
      </c>
      <c r="Y56" s="35" t="s">
        <v>1345</v>
      </c>
      <c r="Z56" s="86" t="s">
        <v>1</v>
      </c>
      <c r="AA56" s="33" t="str">
        <f t="shared" si="8"/>
        <v>Land polling point.</v>
      </c>
    </row>
    <row r="57" spans="1:27" ht="6.6" customHeight="1" x14ac:dyDescent="0.25">
      <c r="A57" s="31">
        <v>57</v>
      </c>
      <c r="B57" s="38" t="s">
        <v>76</v>
      </c>
      <c r="C57" s="44" t="s">
        <v>968</v>
      </c>
      <c r="D57" s="44" t="s">
        <v>872</v>
      </c>
      <c r="E57" s="44" t="s">
        <v>907</v>
      </c>
      <c r="F57" s="44" t="s">
        <v>646</v>
      </c>
      <c r="G57" s="82" t="s">
        <v>1</v>
      </c>
      <c r="H57" s="82" t="str">
        <f>_xlfn.CONCAT("é.nomeado some ",C57)</f>
        <v>é.nomeado some Planejamentos</v>
      </c>
      <c r="I57" s="82" t="s">
        <v>1</v>
      </c>
      <c r="J57" s="82" t="str">
        <f>_xlfn.CONCAT("é.área.de.planejamento some ",E57)</f>
        <v>é.área.de.planejamento some Zonificações</v>
      </c>
      <c r="K57" s="82"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1042</v>
      </c>
      <c r="Q57" s="53" t="s">
        <v>647</v>
      </c>
      <c r="R57" s="34" t="s">
        <v>1</v>
      </c>
      <c r="S57" s="35" t="str">
        <f t="shared" si="10"/>
        <v>Planejamentos</v>
      </c>
      <c r="T57" s="35" t="str">
        <f t="shared" si="11"/>
        <v>Urbanísticos</v>
      </c>
      <c r="U57" s="35" t="str">
        <f t="shared" si="12"/>
        <v>Zonificações</v>
      </c>
      <c r="V57" s="34" t="s">
        <v>1341</v>
      </c>
      <c r="W57" s="88" t="str">
        <f t="shared" si="7"/>
        <v>Key-INF-57</v>
      </c>
      <c r="X57" s="35" t="s">
        <v>1346</v>
      </c>
      <c r="Y57" s="35" t="s">
        <v>1345</v>
      </c>
      <c r="Z57" s="86" t="s">
        <v>1</v>
      </c>
      <c r="AA57" s="33" t="str">
        <f t="shared" si="8"/>
        <v>AP stands for Planning Area.</v>
      </c>
    </row>
    <row r="58" spans="1:27" ht="6.6" customHeight="1" x14ac:dyDescent="0.25">
      <c r="A58" s="31">
        <v>58</v>
      </c>
      <c r="B58" s="38" t="s">
        <v>76</v>
      </c>
      <c r="C58" s="44" t="s">
        <v>968</v>
      </c>
      <c r="D58" s="44" t="s">
        <v>872</v>
      </c>
      <c r="E58" s="44" t="s">
        <v>907</v>
      </c>
      <c r="F58" s="44" t="s">
        <v>648</v>
      </c>
      <c r="G58" s="82" t="s">
        <v>1</v>
      </c>
      <c r="H58" s="82" t="s">
        <v>1</v>
      </c>
      <c r="I58" s="82" t="s">
        <v>1</v>
      </c>
      <c r="J58" s="82" t="str">
        <f>_xlfn.CONCAT("é.região.administrativa some ",E58)</f>
        <v>é.região.administrativa some Zonificações</v>
      </c>
      <c r="K58" s="82"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1041</v>
      </c>
      <c r="Q58" s="53" t="s">
        <v>649</v>
      </c>
      <c r="R58" s="34" t="s">
        <v>1</v>
      </c>
      <c r="S58" s="35" t="str">
        <f t="shared" si="10"/>
        <v>Planejamentos</v>
      </c>
      <c r="T58" s="35" t="str">
        <f t="shared" si="11"/>
        <v>Urbanísticos</v>
      </c>
      <c r="U58" s="35" t="str">
        <f t="shared" si="12"/>
        <v>Zonificações</v>
      </c>
      <c r="V58" s="34" t="s">
        <v>1341</v>
      </c>
      <c r="W58" s="88" t="str">
        <f t="shared" si="7"/>
        <v>Key-INF-58</v>
      </c>
      <c r="X58" s="35" t="s">
        <v>1346</v>
      </c>
      <c r="Y58" s="35" t="s">
        <v>1345</v>
      </c>
      <c r="Z58" s="86" t="s">
        <v>1</v>
      </c>
      <c r="AA58" s="33" t="str">
        <f t="shared" si="8"/>
        <v>RA stands for Administrative Region.</v>
      </c>
    </row>
    <row r="59" spans="1:27" ht="6.6" customHeight="1" x14ac:dyDescent="0.25">
      <c r="A59" s="31">
        <v>59</v>
      </c>
      <c r="B59" s="38" t="s">
        <v>76</v>
      </c>
      <c r="C59" s="44" t="s">
        <v>968</v>
      </c>
      <c r="D59" s="44" t="s">
        <v>872</v>
      </c>
      <c r="E59" s="44" t="s">
        <v>907</v>
      </c>
      <c r="F59" s="44" t="s">
        <v>1005</v>
      </c>
      <c r="G59" s="82" t="s">
        <v>1</v>
      </c>
      <c r="H59" s="82" t="s">
        <v>1</v>
      </c>
      <c r="I59" s="82" t="s">
        <v>1</v>
      </c>
      <c r="J59" s="82" t="s">
        <v>1</v>
      </c>
      <c r="K59" s="82" t="s">
        <v>1</v>
      </c>
      <c r="L59" s="37" t="str">
        <f t="shared" si="9"/>
        <v>Planejamentos</v>
      </c>
      <c r="M59" s="37" t="str">
        <f t="shared" si="13"/>
        <v>Urbanísticos</v>
      </c>
      <c r="N59" s="37" t="str">
        <f t="shared" si="13"/>
        <v>Zonificações</v>
      </c>
      <c r="O59" s="37" t="str">
        <f t="shared" si="13"/>
        <v>Area de Interesse Especial</v>
      </c>
      <c r="P59" s="37" t="s">
        <v>1043</v>
      </c>
      <c r="Q59" s="53" t="s">
        <v>650</v>
      </c>
      <c r="R59" s="34" t="s">
        <v>1</v>
      </c>
      <c r="S59" s="35" t="str">
        <f t="shared" si="10"/>
        <v>Planejamentos</v>
      </c>
      <c r="T59" s="35" t="str">
        <f t="shared" si="11"/>
        <v>Urbanísticos</v>
      </c>
      <c r="U59" s="35" t="str">
        <f t="shared" si="12"/>
        <v>Zonificações</v>
      </c>
      <c r="V59" s="34" t="s">
        <v>1341</v>
      </c>
      <c r="W59" s="88" t="str">
        <f t="shared" si="7"/>
        <v>Key-INF-59</v>
      </c>
      <c r="X59" s="35" t="s">
        <v>1346</v>
      </c>
      <c r="Y59" s="35" t="s">
        <v>1345</v>
      </c>
      <c r="Z59" s="86" t="s">
        <v>1</v>
      </c>
      <c r="AA59" s="33" t="str">
        <f t="shared" si="8"/>
        <v>Area of Special Interest.</v>
      </c>
    </row>
    <row r="60" spans="1:27" ht="6.6" customHeight="1" x14ac:dyDescent="0.25">
      <c r="A60" s="31">
        <v>60</v>
      </c>
      <c r="B60" s="38" t="s">
        <v>76</v>
      </c>
      <c r="C60" s="44" t="s">
        <v>968</v>
      </c>
      <c r="D60" s="44" t="s">
        <v>872</v>
      </c>
      <c r="E60" s="44" t="s">
        <v>907</v>
      </c>
      <c r="F60" s="44" t="s">
        <v>651</v>
      </c>
      <c r="G60" s="82" t="s">
        <v>1</v>
      </c>
      <c r="H60" s="82" t="s">
        <v>1</v>
      </c>
      <c r="I60" s="82" t="s">
        <v>1</v>
      </c>
      <c r="J60" s="82" t="s">
        <v>1</v>
      </c>
      <c r="K60" s="82"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1341</v>
      </c>
      <c r="W60" s="88" t="str">
        <f t="shared" si="7"/>
        <v>Key-INF-60</v>
      </c>
      <c r="X60" s="35" t="s">
        <v>1346</v>
      </c>
      <c r="Y60" s="35" t="s">
        <v>1345</v>
      </c>
      <c r="Z60" s="86" t="s">
        <v>1</v>
      </c>
      <c r="AA60" s="33" t="str">
        <f t="shared" si="8"/>
        <v>Area with occupancy restrictions</v>
      </c>
    </row>
    <row r="61" spans="1:27" ht="6.6" customHeight="1" x14ac:dyDescent="0.25">
      <c r="A61" s="31">
        <v>61</v>
      </c>
      <c r="B61" s="38" t="s">
        <v>76</v>
      </c>
      <c r="C61" s="44" t="s">
        <v>968</v>
      </c>
      <c r="D61" s="44" t="s">
        <v>872</v>
      </c>
      <c r="E61" s="44" t="s">
        <v>907</v>
      </c>
      <c r="F61" s="44" t="s">
        <v>654</v>
      </c>
      <c r="G61" s="82" t="s">
        <v>1</v>
      </c>
      <c r="H61" s="82" t="s">
        <v>1</v>
      </c>
      <c r="I61" s="82" t="s">
        <v>1</v>
      </c>
      <c r="J61" s="82" t="s">
        <v>1</v>
      </c>
      <c r="K61" s="82" t="s">
        <v>655</v>
      </c>
      <c r="L61" s="37" t="str">
        <f t="shared" si="9"/>
        <v>Planejamentos</v>
      </c>
      <c r="M61" s="37" t="str">
        <f t="shared" si="71"/>
        <v>Urbanísticos</v>
      </c>
      <c r="N61" s="37" t="str">
        <f t="shared" si="71"/>
        <v>Zonificações</v>
      </c>
      <c r="O61" s="37" t="str">
        <f t="shared" si="71"/>
        <v>Zona</v>
      </c>
      <c r="P61" s="37" t="s">
        <v>1044</v>
      </c>
      <c r="Q61" s="53" t="s">
        <v>656</v>
      </c>
      <c r="R61" s="34" t="s">
        <v>1</v>
      </c>
      <c r="S61" s="35" t="str">
        <f t="shared" si="10"/>
        <v>Planejamentos</v>
      </c>
      <c r="T61" s="35" t="str">
        <f t="shared" si="11"/>
        <v>Urbanísticos</v>
      </c>
      <c r="U61" s="35" t="str">
        <f t="shared" si="12"/>
        <v>Zonificações</v>
      </c>
      <c r="V61" s="34" t="s">
        <v>1341</v>
      </c>
      <c r="W61" s="88" t="str">
        <f t="shared" si="7"/>
        <v>Key-INF-61</v>
      </c>
      <c r="X61" s="35" t="s">
        <v>1346</v>
      </c>
      <c r="Y61" s="35" t="s">
        <v>1345</v>
      </c>
      <c r="Z61" s="86" t="s">
        <v>1</v>
      </c>
      <c r="AA61" s="33" t="str">
        <f t="shared" si="8"/>
        <v>Areas of the city of Rio de Janeiro.</v>
      </c>
    </row>
    <row r="62" spans="1:27" ht="6.6" customHeight="1" x14ac:dyDescent="0.25">
      <c r="A62" s="31">
        <v>62</v>
      </c>
      <c r="B62" s="38" t="s">
        <v>76</v>
      </c>
      <c r="C62" s="44" t="s">
        <v>968</v>
      </c>
      <c r="D62" s="44" t="s">
        <v>872</v>
      </c>
      <c r="E62" s="44" t="s">
        <v>907</v>
      </c>
      <c r="F62" s="44" t="s">
        <v>657</v>
      </c>
      <c r="G62" s="82" t="s">
        <v>1</v>
      </c>
      <c r="H62" s="82" t="s">
        <v>1</v>
      </c>
      <c r="I62" s="82" t="s">
        <v>1</v>
      </c>
      <c r="J62" s="82" t="s">
        <v>1</v>
      </c>
      <c r="K62" s="82"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1341</v>
      </c>
      <c r="W62" s="88" t="str">
        <f t="shared" si="7"/>
        <v>Key-INF-62</v>
      </c>
      <c r="X62" s="35" t="s">
        <v>1346</v>
      </c>
      <c r="Y62" s="35" t="s">
        <v>1345</v>
      </c>
      <c r="Z62" s="86" t="s">
        <v>1</v>
      </c>
      <c r="AA62" s="33" t="str">
        <f t="shared" si="8"/>
        <v>City Neighborhood</v>
      </c>
    </row>
    <row r="63" spans="1:27" ht="6.6" customHeight="1" x14ac:dyDescent="0.25">
      <c r="A63" s="31">
        <v>63</v>
      </c>
      <c r="B63" s="38" t="s">
        <v>76</v>
      </c>
      <c r="C63" s="44" t="s">
        <v>968</v>
      </c>
      <c r="D63" s="44" t="s">
        <v>872</v>
      </c>
      <c r="E63" s="44" t="s">
        <v>907</v>
      </c>
      <c r="F63" s="44" t="s">
        <v>908</v>
      </c>
      <c r="G63" s="82" t="s">
        <v>1</v>
      </c>
      <c r="H63" s="82" t="s">
        <v>1</v>
      </c>
      <c r="I63" s="82" t="s">
        <v>1</v>
      </c>
      <c r="J63" s="82" t="s">
        <v>1</v>
      </c>
      <c r="K63" s="82" t="s">
        <v>655</v>
      </c>
      <c r="L63" s="37" t="str">
        <f t="shared" si="9"/>
        <v>Planejamentos</v>
      </c>
      <c r="M63" s="37" t="str">
        <f t="shared" si="71"/>
        <v>Urbanísticos</v>
      </c>
      <c r="N63" s="37" t="str">
        <f t="shared" si="71"/>
        <v>Zonificações</v>
      </c>
      <c r="O63" s="37" t="str">
        <f t="shared" si="71"/>
        <v>Zona de Uso</v>
      </c>
      <c r="P63" s="37" t="s">
        <v>1045</v>
      </c>
      <c r="Q63" s="37" t="s">
        <v>660</v>
      </c>
      <c r="R63" s="34" t="s">
        <v>1</v>
      </c>
      <c r="S63" s="35" t="str">
        <f t="shared" si="10"/>
        <v>Planejamentos</v>
      </c>
      <c r="T63" s="35" t="str">
        <f t="shared" si="11"/>
        <v>Urbanísticos</v>
      </c>
      <c r="U63" s="35" t="str">
        <f t="shared" si="12"/>
        <v>Zonificações</v>
      </c>
      <c r="V63" s="34" t="s">
        <v>1341</v>
      </c>
      <c r="W63" s="88" t="str">
        <f t="shared" si="7"/>
        <v>Key-INF-63</v>
      </c>
      <c r="X63" s="35" t="s">
        <v>1346</v>
      </c>
      <c r="Y63" s="35" t="s">
        <v>1345</v>
      </c>
      <c r="Z63" s="86" t="s">
        <v>1</v>
      </c>
      <c r="AA63" s="33" t="str">
        <f t="shared" si="8"/>
        <v>Zone of use of the municipal zoning of the city of Rio de Janeiro.</v>
      </c>
    </row>
    <row r="64" spans="1:27" ht="6.6" customHeight="1" x14ac:dyDescent="0.25">
      <c r="A64" s="31">
        <v>64</v>
      </c>
      <c r="B64" s="38" t="s">
        <v>76</v>
      </c>
      <c r="C64" s="44" t="s">
        <v>968</v>
      </c>
      <c r="D64" s="44" t="s">
        <v>872</v>
      </c>
      <c r="E64" s="44" t="s">
        <v>907</v>
      </c>
      <c r="F64" s="44" t="s">
        <v>661</v>
      </c>
      <c r="G64" s="82" t="s">
        <v>1</v>
      </c>
      <c r="H64" s="82" t="s">
        <v>1</v>
      </c>
      <c r="I64" s="82" t="s">
        <v>1</v>
      </c>
      <c r="J64" s="82" t="s">
        <v>1</v>
      </c>
      <c r="K64" s="82"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1341</v>
      </c>
      <c r="W64" s="88" t="str">
        <f t="shared" si="7"/>
        <v>Key-INF-64</v>
      </c>
      <c r="X64" s="35" t="s">
        <v>1346</v>
      </c>
      <c r="Y64" s="35" t="s">
        <v>1403</v>
      </c>
      <c r="Z64" s="86" t="s">
        <v>1</v>
      </c>
      <c r="AA64" s="33" t="str">
        <f t="shared" si="8"/>
        <v>City Neighborhood</v>
      </c>
    </row>
    <row r="65" spans="1:27" ht="6.6" customHeight="1" x14ac:dyDescent="0.25">
      <c r="A65" s="31">
        <v>65</v>
      </c>
      <c r="B65" s="38" t="s">
        <v>76</v>
      </c>
      <c r="C65" s="44" t="s">
        <v>968</v>
      </c>
      <c r="D65" s="44" t="s">
        <v>872</v>
      </c>
      <c r="E65" s="44" t="s">
        <v>906</v>
      </c>
      <c r="F65" s="44" t="s">
        <v>662</v>
      </c>
      <c r="G65" s="82" t="s">
        <v>1</v>
      </c>
      <c r="H65" s="82" t="s">
        <v>1</v>
      </c>
      <c r="I65" s="82" t="s">
        <v>1</v>
      </c>
      <c r="J65" s="82" t="s">
        <v>1</v>
      </c>
      <c r="K65" s="82" t="s">
        <v>663</v>
      </c>
      <c r="L65" s="37" t="str">
        <f t="shared" si="9"/>
        <v>Planejamentos</v>
      </c>
      <c r="M65" s="37" t="str">
        <f t="shared" si="71"/>
        <v>Urbanísticos</v>
      </c>
      <c r="N65" s="37" t="str">
        <f t="shared" si="71"/>
        <v>Frações</v>
      </c>
      <c r="O65" s="37" t="str">
        <f t="shared" si="71"/>
        <v>Quadra</v>
      </c>
      <c r="P65" s="37" t="s">
        <v>1046</v>
      </c>
      <c r="Q65" s="53" t="s">
        <v>664</v>
      </c>
      <c r="R65" s="34" t="s">
        <v>1</v>
      </c>
      <c r="S65" s="35" t="str">
        <f t="shared" si="10"/>
        <v>Planejamentos</v>
      </c>
      <c r="T65" s="35" t="str">
        <f t="shared" si="11"/>
        <v>Urbanísticos</v>
      </c>
      <c r="U65" s="35" t="str">
        <f t="shared" si="12"/>
        <v>Frações</v>
      </c>
      <c r="V65" s="34" t="s">
        <v>1341</v>
      </c>
      <c r="W65" s="88" t="str">
        <f t="shared" si="7"/>
        <v>Key-INF-65</v>
      </c>
      <c r="X65" s="33" t="s">
        <v>1356</v>
      </c>
      <c r="Y65" s="33" t="s">
        <v>1403</v>
      </c>
      <c r="Z65" s="86" t="s">
        <v>1</v>
      </c>
      <c r="AA65" s="33" t="str">
        <f t="shared" si="8"/>
        <v>Block of a neighborhood.</v>
      </c>
    </row>
    <row r="66" spans="1:27" ht="6.6" customHeight="1" x14ac:dyDescent="0.25">
      <c r="A66" s="31">
        <v>66</v>
      </c>
      <c r="B66" s="38" t="s">
        <v>76</v>
      </c>
      <c r="C66" s="44" t="s">
        <v>968</v>
      </c>
      <c r="D66" s="44" t="s">
        <v>872</v>
      </c>
      <c r="E66" s="44" t="s">
        <v>906</v>
      </c>
      <c r="F66" s="44" t="s">
        <v>665</v>
      </c>
      <c r="G66" s="82" t="s">
        <v>1</v>
      </c>
      <c r="H66" s="82" t="s">
        <v>1</v>
      </c>
      <c r="I66" s="82" t="s">
        <v>1</v>
      </c>
      <c r="J66" s="82" t="s">
        <v>1</v>
      </c>
      <c r="K66" s="82" t="s">
        <v>1</v>
      </c>
      <c r="L66" s="37" t="str">
        <f t="shared" si="9"/>
        <v>Planejamentos</v>
      </c>
      <c r="M66" s="37" t="str">
        <f t="shared" si="71"/>
        <v>Urbanísticos</v>
      </c>
      <c r="N66" s="37" t="str">
        <f t="shared" si="71"/>
        <v>Frações</v>
      </c>
      <c r="O66" s="37" t="str">
        <f t="shared" si="71"/>
        <v>Gleba</v>
      </c>
      <c r="P66" s="37" t="s">
        <v>1047</v>
      </c>
      <c r="Q66" s="37" t="s">
        <v>666</v>
      </c>
      <c r="R66" s="34" t="s">
        <v>1</v>
      </c>
      <c r="S66" s="35" t="str">
        <f t="shared" si="10"/>
        <v>Planejamentos</v>
      </c>
      <c r="T66" s="35" t="str">
        <f t="shared" si="11"/>
        <v>Urbanísticos</v>
      </c>
      <c r="U66" s="35" t="str">
        <f t="shared" si="12"/>
        <v>Frações</v>
      </c>
      <c r="V66" s="34" t="s">
        <v>1341</v>
      </c>
      <c r="W66" s="88" t="str">
        <f t="shared" si="7"/>
        <v>Key-INF-66</v>
      </c>
      <c r="X66" s="33" t="s">
        <v>1356</v>
      </c>
      <c r="Y66" s="33" t="s">
        <v>1404</v>
      </c>
      <c r="Z66" s="86" t="s">
        <v>1</v>
      </c>
      <c r="AA66" s="33" t="str">
        <f t="shared" si="8"/>
        <v>Large land that has not yet been subdivided.</v>
      </c>
    </row>
    <row r="67" spans="1:27" ht="6.6" customHeight="1" x14ac:dyDescent="0.25">
      <c r="A67" s="31">
        <v>67</v>
      </c>
      <c r="B67" s="38" t="s">
        <v>76</v>
      </c>
      <c r="C67" s="44" t="s">
        <v>968</v>
      </c>
      <c r="D67" s="44" t="s">
        <v>872</v>
      </c>
      <c r="E67" s="44" t="s">
        <v>906</v>
      </c>
      <c r="F67" s="44" t="s">
        <v>667</v>
      </c>
      <c r="G67" s="82" t="s">
        <v>1</v>
      </c>
      <c r="H67" s="82" t="s">
        <v>1</v>
      </c>
      <c r="I67" s="82" t="s">
        <v>1</v>
      </c>
      <c r="J67" s="82" t="s">
        <v>1</v>
      </c>
      <c r="K67" s="82" t="s">
        <v>1</v>
      </c>
      <c r="L67" s="37" t="str">
        <f t="shared" si="9"/>
        <v>Planejamentos</v>
      </c>
      <c r="M67" s="37" t="str">
        <f t="shared" si="71"/>
        <v>Urbanísticos</v>
      </c>
      <c r="N67" s="37" t="str">
        <f t="shared" si="71"/>
        <v>Frações</v>
      </c>
      <c r="O67" s="37" t="str">
        <f t="shared" si="71"/>
        <v>Loteamento</v>
      </c>
      <c r="P67" s="37" t="s">
        <v>1052</v>
      </c>
      <c r="Q67" s="53" t="s">
        <v>668</v>
      </c>
      <c r="R67" s="34" t="s">
        <v>1</v>
      </c>
      <c r="S67" s="35" t="str">
        <f t="shared" si="10"/>
        <v>Planejamentos</v>
      </c>
      <c r="T67" s="35" t="str">
        <f t="shared" si="11"/>
        <v>Urbanísticos</v>
      </c>
      <c r="U67" s="35" t="str">
        <f t="shared" si="12"/>
        <v>Frações</v>
      </c>
      <c r="V67" s="34" t="s">
        <v>1341</v>
      </c>
      <c r="W67" s="88" t="str">
        <f t="shared" si="7"/>
        <v>Key-INF-67</v>
      </c>
      <c r="X67" s="33" t="s">
        <v>1357</v>
      </c>
      <c r="Y67" s="33" t="s">
        <v>1404</v>
      </c>
      <c r="Z67" s="86" t="s">
        <v>1</v>
      </c>
      <c r="AA67" s="33" t="str">
        <f t="shared" si="8"/>
        <v>Urban allotment.</v>
      </c>
    </row>
    <row r="68" spans="1:27" ht="6.6" customHeight="1" x14ac:dyDescent="0.25">
      <c r="A68" s="31">
        <v>68</v>
      </c>
      <c r="B68" s="38" t="s">
        <v>76</v>
      </c>
      <c r="C68" s="44" t="s">
        <v>968</v>
      </c>
      <c r="D68" s="44" t="s">
        <v>872</v>
      </c>
      <c r="E68" s="44" t="s">
        <v>906</v>
      </c>
      <c r="F68" s="44" t="s">
        <v>669</v>
      </c>
      <c r="G68" s="82" t="s">
        <v>1</v>
      </c>
      <c r="H68" s="82" t="s">
        <v>1</v>
      </c>
      <c r="I68" s="82" t="s">
        <v>1</v>
      </c>
      <c r="J68" s="82" t="s">
        <v>1</v>
      </c>
      <c r="K68" s="82" t="s">
        <v>1</v>
      </c>
      <c r="L68" s="37" t="str">
        <f t="shared" si="9"/>
        <v>Planejamentos</v>
      </c>
      <c r="M68" s="37" t="str">
        <f t="shared" si="71"/>
        <v>Urbanísticos</v>
      </c>
      <c r="N68" s="37" t="str">
        <f t="shared" si="71"/>
        <v>Frações</v>
      </c>
      <c r="O68" s="37" t="str">
        <f t="shared" si="71"/>
        <v>Parcela</v>
      </c>
      <c r="P68" s="37" t="s">
        <v>1048</v>
      </c>
      <c r="Q68" s="53" t="s">
        <v>670</v>
      </c>
      <c r="R68" s="34" t="s">
        <v>1</v>
      </c>
      <c r="S68" s="35" t="str">
        <f t="shared" si="10"/>
        <v>Planejamentos</v>
      </c>
      <c r="T68" s="35" t="str">
        <f t="shared" si="11"/>
        <v>Urbanísticos</v>
      </c>
      <c r="U68" s="35" t="str">
        <f t="shared" si="12"/>
        <v>Frações</v>
      </c>
      <c r="V68" s="34" t="s">
        <v>1341</v>
      </c>
      <c r="W68" s="88" t="str">
        <f t="shared" si="7"/>
        <v>Key-INF-68</v>
      </c>
      <c r="X68" s="33" t="s">
        <v>1357</v>
      </c>
      <c r="Y68" s="33" t="s">
        <v>1404</v>
      </c>
      <c r="Z68" s="86" t="s">
        <v>1</v>
      </c>
      <c r="AA68" s="33" t="str">
        <f t="shared" si="8"/>
        <v>Urban parcel.</v>
      </c>
    </row>
    <row r="69" spans="1:27" ht="6.6" customHeight="1" x14ac:dyDescent="0.25">
      <c r="A69" s="31">
        <v>69</v>
      </c>
      <c r="B69" s="38" t="s">
        <v>76</v>
      </c>
      <c r="C69" s="44" t="s">
        <v>968</v>
      </c>
      <c r="D69" s="44" t="s">
        <v>872</v>
      </c>
      <c r="E69" s="44" t="s">
        <v>906</v>
      </c>
      <c r="F69" s="44" t="s">
        <v>671</v>
      </c>
      <c r="G69" s="82" t="s">
        <v>1</v>
      </c>
      <c r="H69" s="82" t="s">
        <v>1</v>
      </c>
      <c r="I69" s="82" t="s">
        <v>1</v>
      </c>
      <c r="J69" s="82" t="s">
        <v>1</v>
      </c>
      <c r="K69" s="82" t="s">
        <v>1</v>
      </c>
      <c r="L69" s="37" t="str">
        <f t="shared" si="9"/>
        <v>Planejamentos</v>
      </c>
      <c r="M69" s="37" t="str">
        <f t="shared" si="71"/>
        <v>Urbanísticos</v>
      </c>
      <c r="N69" s="37" t="str">
        <f t="shared" si="71"/>
        <v>Frações</v>
      </c>
      <c r="O69" s="37" t="str">
        <f t="shared" si="71"/>
        <v>Lote</v>
      </c>
      <c r="P69" s="37" t="s">
        <v>1049</v>
      </c>
      <c r="Q69" s="53" t="s">
        <v>672</v>
      </c>
      <c r="R69" s="34" t="s">
        <v>1</v>
      </c>
      <c r="S69" s="35" t="str">
        <f t="shared" si="10"/>
        <v>Planejamentos</v>
      </c>
      <c r="T69" s="35" t="str">
        <f t="shared" si="11"/>
        <v>Urbanísticos</v>
      </c>
      <c r="U69" s="35" t="str">
        <f t="shared" si="12"/>
        <v>Frações</v>
      </c>
      <c r="V69" s="34" t="s">
        <v>1341</v>
      </c>
      <c r="W69" s="88" t="str">
        <f t="shared" si="7"/>
        <v>Key-INF-69</v>
      </c>
      <c r="X69" s="33" t="s">
        <v>1357</v>
      </c>
      <c r="Y69" s="33" t="s">
        <v>1345</v>
      </c>
      <c r="Z69" s="86" t="s">
        <v>1</v>
      </c>
      <c r="AA69" s="33" t="str">
        <f t="shared" si="8"/>
        <v>Urban lot.</v>
      </c>
    </row>
    <row r="70" spans="1:27" ht="6.6" customHeight="1" x14ac:dyDescent="0.25">
      <c r="A70" s="31">
        <v>70</v>
      </c>
      <c r="B70" s="38" t="s">
        <v>76</v>
      </c>
      <c r="C70" s="44" t="s">
        <v>969</v>
      </c>
      <c r="D70" s="44" t="s">
        <v>873</v>
      </c>
      <c r="E70" s="44" t="s">
        <v>970</v>
      </c>
      <c r="F70" s="44" t="s">
        <v>57</v>
      </c>
      <c r="G70" s="82" t="s">
        <v>1</v>
      </c>
      <c r="H70" s="82" t="s">
        <v>1</v>
      </c>
      <c r="I70" s="82" t="s">
        <v>1</v>
      </c>
      <c r="J70" s="82" t="s">
        <v>1</v>
      </c>
      <c r="K70" s="82" t="str">
        <f>_xlfn.CONCAT("é.dentro.de some ",F69)</f>
        <v>é.dentro.de some Lote</v>
      </c>
      <c r="L70" s="37" t="str">
        <f t="shared" si="9"/>
        <v>Ocupações</v>
      </c>
      <c r="M70" s="37" t="str">
        <f t="shared" si="71"/>
        <v>Prediais</v>
      </c>
      <c r="N70" s="37" t="str">
        <f t="shared" si="71"/>
        <v>Construídas</v>
      </c>
      <c r="O70" s="37" t="str">
        <f t="shared" si="71"/>
        <v>Prédio</v>
      </c>
      <c r="P70" s="37" t="s">
        <v>1051</v>
      </c>
      <c r="Q70" s="53" t="s">
        <v>1210</v>
      </c>
      <c r="R70" s="34" t="s">
        <v>1</v>
      </c>
      <c r="S70" s="35" t="str">
        <f t="shared" si="10"/>
        <v>Ocupações</v>
      </c>
      <c r="T70" s="35" t="str">
        <f t="shared" si="11"/>
        <v>Prediais</v>
      </c>
      <c r="U70" s="35" t="str">
        <f t="shared" si="12"/>
        <v>Construídas</v>
      </c>
      <c r="V70" s="34" t="s">
        <v>1341</v>
      </c>
      <c r="W70" s="88" t="str">
        <f t="shared" si="7"/>
        <v>Key-INF-70</v>
      </c>
      <c r="X70" s="35" t="s">
        <v>1346</v>
      </c>
      <c r="Y70" s="35" t="s">
        <v>1345</v>
      </c>
      <c r="Z70" s="86" t="s">
        <v>1</v>
      </c>
      <c r="AA70" s="33" t="str">
        <f t="shared" si="8"/>
        <v>Building.</v>
      </c>
    </row>
    <row r="71" spans="1:27" ht="6.6" customHeight="1" x14ac:dyDescent="0.25">
      <c r="A71" s="31">
        <v>71</v>
      </c>
      <c r="B71" s="38" t="s">
        <v>76</v>
      </c>
      <c r="C71" s="44" t="s">
        <v>969</v>
      </c>
      <c r="D71" s="44" t="s">
        <v>873</v>
      </c>
      <c r="E71" s="44" t="s">
        <v>970</v>
      </c>
      <c r="F71" s="44" t="s">
        <v>673</v>
      </c>
      <c r="G71" s="82" t="s">
        <v>1</v>
      </c>
      <c r="H71" s="82" t="s">
        <v>1</v>
      </c>
      <c r="I71" s="82" t="s">
        <v>1</v>
      </c>
      <c r="J71" s="82" t="s">
        <v>1</v>
      </c>
      <c r="K71" s="82" t="str">
        <f>_xlfn.CONCAT("é.dentro.de some ",F69)</f>
        <v>é.dentro.de some Lote</v>
      </c>
      <c r="L71" s="37" t="str">
        <f t="shared" si="9"/>
        <v>Ocupações</v>
      </c>
      <c r="M71" s="37" t="str">
        <f t="shared" si="71"/>
        <v>Prediais</v>
      </c>
      <c r="N71" s="37" t="str">
        <f t="shared" si="71"/>
        <v>Construídas</v>
      </c>
      <c r="O71" s="37" t="str">
        <f t="shared" si="71"/>
        <v>Bloco</v>
      </c>
      <c r="P71" s="37" t="s">
        <v>1050</v>
      </c>
      <c r="Q71" s="53" t="s">
        <v>674</v>
      </c>
      <c r="R71" s="34" t="s">
        <v>1</v>
      </c>
      <c r="S71" s="35" t="str">
        <f t="shared" si="10"/>
        <v>Ocupações</v>
      </c>
      <c r="T71" s="35" t="str">
        <f t="shared" si="11"/>
        <v>Prediais</v>
      </c>
      <c r="U71" s="35" t="str">
        <f t="shared" si="12"/>
        <v>Construídas</v>
      </c>
      <c r="V71" s="34" t="s">
        <v>1341</v>
      </c>
      <c r="W71" s="88" t="str">
        <f t="shared" si="7"/>
        <v>Key-INF-71</v>
      </c>
      <c r="X71" s="35" t="s">
        <v>1346</v>
      </c>
      <c r="Y71" s="35" t="s">
        <v>1345</v>
      </c>
      <c r="Z71" s="86" t="s">
        <v>1</v>
      </c>
      <c r="AA71" s="33" t="str">
        <f t="shared" si="8"/>
        <v>Built block.</v>
      </c>
    </row>
    <row r="72" spans="1:27" ht="6.6" customHeight="1" x14ac:dyDescent="0.25">
      <c r="A72" s="31">
        <v>72</v>
      </c>
      <c r="B72" s="38" t="s">
        <v>76</v>
      </c>
      <c r="C72" s="44" t="s">
        <v>969</v>
      </c>
      <c r="D72" s="44" t="s">
        <v>873</v>
      </c>
      <c r="E72" s="44" t="s">
        <v>970</v>
      </c>
      <c r="F72" s="44" t="s">
        <v>675</v>
      </c>
      <c r="G72" s="82" t="s">
        <v>1</v>
      </c>
      <c r="H72" s="82" t="s">
        <v>1</v>
      </c>
      <c r="I72" s="82" t="s">
        <v>1</v>
      </c>
      <c r="J72" s="82" t="s">
        <v>1</v>
      </c>
      <c r="K72" s="82" t="str">
        <f>_xlfn.CONCAT("é.dentro.de some ",F69)</f>
        <v>é.dentro.de some Lote</v>
      </c>
      <c r="L72" s="37" t="str">
        <f t="shared" si="9"/>
        <v>Ocupações</v>
      </c>
      <c r="M72" s="37" t="str">
        <f t="shared" si="71"/>
        <v>Prediais</v>
      </c>
      <c r="N72" s="37" t="str">
        <f t="shared" si="71"/>
        <v>Construídas</v>
      </c>
      <c r="O72" s="37" t="str">
        <f t="shared" si="71"/>
        <v>Edifício</v>
      </c>
      <c r="P72" s="37" t="s">
        <v>1053</v>
      </c>
      <c r="Q72" s="53" t="s">
        <v>676</v>
      </c>
      <c r="R72" s="34" t="s">
        <v>1</v>
      </c>
      <c r="S72" s="35" t="str">
        <f t="shared" si="10"/>
        <v>Ocupações</v>
      </c>
      <c r="T72" s="35" t="str">
        <f t="shared" si="11"/>
        <v>Prediais</v>
      </c>
      <c r="U72" s="35" t="str">
        <f t="shared" si="12"/>
        <v>Construídas</v>
      </c>
      <c r="V72" s="34" t="s">
        <v>1341</v>
      </c>
      <c r="W72" s="88" t="str">
        <f t="shared" ref="W72:W135" si="72">CONCATENATE("Key-INF-",A72)</f>
        <v>Key-INF-72</v>
      </c>
      <c r="X72" s="35" t="s">
        <v>1346</v>
      </c>
      <c r="Y72" s="35" t="s">
        <v>1345</v>
      </c>
      <c r="Z72" s="86" t="s">
        <v>1</v>
      </c>
      <c r="AA72" s="33" t="str">
        <f t="shared" si="8"/>
        <v>Building.</v>
      </c>
    </row>
    <row r="73" spans="1:27" ht="6.6" customHeight="1" x14ac:dyDescent="0.25">
      <c r="A73" s="31">
        <v>73</v>
      </c>
      <c r="B73" s="38" t="s">
        <v>76</v>
      </c>
      <c r="C73" s="44" t="s">
        <v>969</v>
      </c>
      <c r="D73" s="44" t="s">
        <v>873</v>
      </c>
      <c r="E73" s="44" t="s">
        <v>970</v>
      </c>
      <c r="F73" s="44" t="s">
        <v>677</v>
      </c>
      <c r="G73" s="82" t="s">
        <v>1</v>
      </c>
      <c r="H73" s="82" t="s">
        <v>1</v>
      </c>
      <c r="I73" s="82" t="s">
        <v>1</v>
      </c>
      <c r="J73" s="82" t="s">
        <v>1</v>
      </c>
      <c r="K73" s="82" t="str">
        <f>_xlfn.CONCAT("é.dentro.de some ",F68)</f>
        <v>é.dentro.de some Parcela</v>
      </c>
      <c r="L73" s="37" t="str">
        <f t="shared" si="9"/>
        <v>Ocupações</v>
      </c>
      <c r="M73" s="37" t="str">
        <f t="shared" si="71"/>
        <v>Prediais</v>
      </c>
      <c r="N73" s="37" t="str">
        <f t="shared" si="71"/>
        <v>Construídas</v>
      </c>
      <c r="O73" s="37" t="str">
        <f t="shared" si="71"/>
        <v>Casa</v>
      </c>
      <c r="P73" s="37" t="s">
        <v>1056</v>
      </c>
      <c r="Q73" s="53" t="s">
        <v>677</v>
      </c>
      <c r="R73" s="34" t="s">
        <v>1</v>
      </c>
      <c r="S73" s="35" t="str">
        <f t="shared" si="10"/>
        <v>Ocupações</v>
      </c>
      <c r="T73" s="35" t="str">
        <f t="shared" si="11"/>
        <v>Prediais</v>
      </c>
      <c r="U73" s="35" t="str">
        <f t="shared" si="12"/>
        <v>Construídas</v>
      </c>
      <c r="V73" s="34" t="s">
        <v>1341</v>
      </c>
      <c r="W73" s="88" t="str">
        <f t="shared" si="72"/>
        <v>Key-INF-73</v>
      </c>
      <c r="X73" s="35" t="s">
        <v>1346</v>
      </c>
      <c r="Y73" s="35" t="s">
        <v>1345</v>
      </c>
      <c r="Z73" s="86" t="s">
        <v>1</v>
      </c>
      <c r="AA73" s="33" t="str">
        <f t="shared" ref="AA73:AA136" si="73">_xlfn.TRANSLATE(P73,"pt","en")</f>
        <v>Home.</v>
      </c>
    </row>
    <row r="74" spans="1:27" ht="6.6" customHeight="1" x14ac:dyDescent="0.25">
      <c r="A74" s="31">
        <v>74</v>
      </c>
      <c r="B74" s="38" t="s">
        <v>76</v>
      </c>
      <c r="C74" s="44" t="s">
        <v>969</v>
      </c>
      <c r="D74" s="44" t="s">
        <v>873</v>
      </c>
      <c r="E74" s="44" t="s">
        <v>970</v>
      </c>
      <c r="F74" s="44" t="s">
        <v>678</v>
      </c>
      <c r="G74" s="82" t="s">
        <v>1</v>
      </c>
      <c r="H74" s="82" t="s">
        <v>1</v>
      </c>
      <c r="I74" s="82" t="s">
        <v>1</v>
      </c>
      <c r="J74" s="82" t="s">
        <v>1</v>
      </c>
      <c r="K74" s="82" t="str">
        <f>_xlfn.CONCAT("é.dentro.de some ",F69)</f>
        <v>é.dentro.de some Lote</v>
      </c>
      <c r="L74" s="37" t="str">
        <f t="shared" si="9"/>
        <v>Ocupações</v>
      </c>
      <c r="M74" s="37" t="str">
        <f t="shared" si="71"/>
        <v>Prediais</v>
      </c>
      <c r="N74" s="37" t="str">
        <f t="shared" si="71"/>
        <v>Construídas</v>
      </c>
      <c r="O74" s="37" t="str">
        <f t="shared" si="71"/>
        <v>HIS</v>
      </c>
      <c r="P74" s="37" t="s">
        <v>1054</v>
      </c>
      <c r="Q74" s="37" t="s">
        <v>679</v>
      </c>
      <c r="R74" s="34" t="s">
        <v>1</v>
      </c>
      <c r="S74" s="35" t="str">
        <f t="shared" si="10"/>
        <v>Ocupações</v>
      </c>
      <c r="T74" s="35" t="str">
        <f t="shared" si="11"/>
        <v>Prediais</v>
      </c>
      <c r="U74" s="35" t="str">
        <f t="shared" si="12"/>
        <v>Construídas</v>
      </c>
      <c r="V74" s="34" t="s">
        <v>1341</v>
      </c>
      <c r="W74" s="88" t="str">
        <f t="shared" si="72"/>
        <v>Key-INF-74</v>
      </c>
      <c r="X74" s="35" t="s">
        <v>1346</v>
      </c>
      <c r="Y74" s="35" t="s">
        <v>1345</v>
      </c>
      <c r="Z74" s="86" t="s">
        <v>1</v>
      </c>
      <c r="AA74" s="33" t="str">
        <f t="shared" si="73"/>
        <v>Social Interest Housing.</v>
      </c>
    </row>
    <row r="75" spans="1:27" ht="6.6" customHeight="1" x14ac:dyDescent="0.25">
      <c r="A75" s="31">
        <v>75</v>
      </c>
      <c r="B75" s="38" t="s">
        <v>76</v>
      </c>
      <c r="C75" s="44" t="s">
        <v>969</v>
      </c>
      <c r="D75" s="44" t="s">
        <v>873</v>
      </c>
      <c r="E75" s="44" t="s">
        <v>970</v>
      </c>
      <c r="F75" s="44" t="s">
        <v>680</v>
      </c>
      <c r="G75" s="82" t="s">
        <v>1</v>
      </c>
      <c r="H75" s="82" t="s">
        <v>1</v>
      </c>
      <c r="I75" s="82" t="s">
        <v>1</v>
      </c>
      <c r="J75" s="82" t="s">
        <v>1</v>
      </c>
      <c r="K75" s="82" t="s">
        <v>681</v>
      </c>
      <c r="L75" s="37" t="str">
        <f t="shared" si="9"/>
        <v>Ocupações</v>
      </c>
      <c r="M75" s="37" t="str">
        <f t="shared" si="71"/>
        <v>Prediais</v>
      </c>
      <c r="N75" s="37" t="str">
        <f t="shared" si="71"/>
        <v>Construídas</v>
      </c>
      <c r="O75" s="37" t="str">
        <f t="shared" si="71"/>
        <v>Galpão</v>
      </c>
      <c r="P75" s="37" t="s">
        <v>1057</v>
      </c>
      <c r="Q75" s="53" t="s">
        <v>682</v>
      </c>
      <c r="R75" s="34" t="s">
        <v>1</v>
      </c>
      <c r="S75" s="35" t="str">
        <f t="shared" si="10"/>
        <v>Ocupações</v>
      </c>
      <c r="T75" s="35" t="str">
        <f t="shared" si="11"/>
        <v>Prediais</v>
      </c>
      <c r="U75" s="35" t="str">
        <f t="shared" si="12"/>
        <v>Construídas</v>
      </c>
      <c r="V75" s="34" t="s">
        <v>1341</v>
      </c>
      <c r="W75" s="88" t="str">
        <f t="shared" si="72"/>
        <v>Key-INF-75</v>
      </c>
      <c r="X75" s="35" t="s">
        <v>1346</v>
      </c>
      <c r="Y75" s="35" t="s">
        <v>1345</v>
      </c>
      <c r="Z75" s="86" t="s">
        <v>1</v>
      </c>
      <c r="AA75" s="33" t="str">
        <f t="shared" si="73"/>
        <v>Shed.</v>
      </c>
    </row>
    <row r="76" spans="1:27" ht="6.6" customHeight="1" x14ac:dyDescent="0.25">
      <c r="A76" s="31">
        <v>76</v>
      </c>
      <c r="B76" s="38" t="s">
        <v>76</v>
      </c>
      <c r="C76" s="44" t="s">
        <v>969</v>
      </c>
      <c r="D76" s="44" t="s">
        <v>873</v>
      </c>
      <c r="E76" s="44" t="s">
        <v>970</v>
      </c>
      <c r="F76" s="44" t="s">
        <v>683</v>
      </c>
      <c r="G76" s="82" t="s">
        <v>1</v>
      </c>
      <c r="H76" s="82" t="s">
        <v>1</v>
      </c>
      <c r="I76" s="82" t="s">
        <v>1</v>
      </c>
      <c r="J76" s="82" t="s">
        <v>1</v>
      </c>
      <c r="K76" s="82" t="s">
        <v>681</v>
      </c>
      <c r="L76" s="37" t="str">
        <f t="shared" si="9"/>
        <v>Ocupações</v>
      </c>
      <c r="M76" s="37" t="str">
        <f t="shared" ref="M76:O91" si="74">_xlfn.CONCAT(SUBSTITUTE(D76,"."," "))</f>
        <v>Prediais</v>
      </c>
      <c r="N76" s="37" t="str">
        <f t="shared" si="74"/>
        <v>Construídas</v>
      </c>
      <c r="O76" s="37" t="str">
        <f t="shared" si="74"/>
        <v>Edícula</v>
      </c>
      <c r="P76" s="37" t="s">
        <v>1055</v>
      </c>
      <c r="Q76" s="53" t="s">
        <v>683</v>
      </c>
      <c r="R76" s="34" t="s">
        <v>1</v>
      </c>
      <c r="S76" s="35" t="str">
        <f t="shared" si="10"/>
        <v>Ocupações</v>
      </c>
      <c r="T76" s="35" t="str">
        <f t="shared" si="11"/>
        <v>Prediais</v>
      </c>
      <c r="U76" s="35" t="str">
        <f t="shared" si="12"/>
        <v>Construídas</v>
      </c>
      <c r="V76" s="34" t="s">
        <v>1341</v>
      </c>
      <c r="W76" s="88" t="str">
        <f t="shared" si="72"/>
        <v>Key-INF-76</v>
      </c>
      <c r="X76" s="35" t="s">
        <v>1346</v>
      </c>
      <c r="Y76" s="35" t="s">
        <v>1404</v>
      </c>
      <c r="Z76" s="86" t="s">
        <v>1</v>
      </c>
      <c r="AA76" s="33" t="str">
        <f t="shared" si="73"/>
        <v>Edicule.</v>
      </c>
    </row>
    <row r="77" spans="1:27" ht="6.6" customHeight="1" x14ac:dyDescent="0.25">
      <c r="A77" s="31">
        <v>77</v>
      </c>
      <c r="B77" s="38" t="s">
        <v>76</v>
      </c>
      <c r="C77" s="44" t="s">
        <v>969</v>
      </c>
      <c r="D77" s="44" t="s">
        <v>874</v>
      </c>
      <c r="E77" s="44" t="s">
        <v>971</v>
      </c>
      <c r="F77" s="44" t="s">
        <v>684</v>
      </c>
      <c r="G77" s="82" t="s">
        <v>1</v>
      </c>
      <c r="H77" s="82" t="s">
        <v>1</v>
      </c>
      <c r="I77" s="82" t="str">
        <f>_xlfn.CONCAT("é.nomeado some ",D77)</f>
        <v>é.nomeado some Funcionais</v>
      </c>
      <c r="J77" s="82" t="s">
        <v>1</v>
      </c>
      <c r="K77" s="82" t="s">
        <v>685</v>
      </c>
      <c r="L77" s="37" t="str">
        <f t="shared" si="9"/>
        <v>Ocupações</v>
      </c>
      <c r="M77" s="37" t="str">
        <f t="shared" si="74"/>
        <v>Funcionais</v>
      </c>
      <c r="N77" s="37" t="str">
        <f t="shared" si="74"/>
        <v>Organizativas</v>
      </c>
      <c r="O77" s="37" t="str">
        <f t="shared" si="74"/>
        <v>Unidade</v>
      </c>
      <c r="P77" s="37" t="s">
        <v>1058</v>
      </c>
      <c r="Q77" s="53" t="s">
        <v>686</v>
      </c>
      <c r="R77" s="34" t="s">
        <v>1</v>
      </c>
      <c r="S77" s="35" t="str">
        <f t="shared" si="10"/>
        <v>Ocupações</v>
      </c>
      <c r="T77" s="35" t="str">
        <f t="shared" si="11"/>
        <v>Funcionais</v>
      </c>
      <c r="U77" s="35" t="str">
        <f t="shared" si="12"/>
        <v>Organizativas</v>
      </c>
      <c r="V77" s="34" t="s">
        <v>1341</v>
      </c>
      <c r="W77" s="88" t="str">
        <f t="shared" si="72"/>
        <v>Key-INF-77</v>
      </c>
      <c r="X77" s="35" t="s">
        <v>1346</v>
      </c>
      <c r="Y77" s="33" t="s">
        <v>1404</v>
      </c>
      <c r="Z77" s="86" t="s">
        <v>1</v>
      </c>
      <c r="AA77" s="33" t="str">
        <f t="shared" si="73"/>
        <v>Unity.</v>
      </c>
    </row>
    <row r="78" spans="1:27" ht="6.6" customHeight="1" x14ac:dyDescent="0.25">
      <c r="A78" s="31">
        <v>78</v>
      </c>
      <c r="B78" s="38" t="s">
        <v>76</v>
      </c>
      <c r="C78" s="44" t="s">
        <v>969</v>
      </c>
      <c r="D78" s="44" t="s">
        <v>874</v>
      </c>
      <c r="E78" s="44" t="s">
        <v>971</v>
      </c>
      <c r="F78" s="44" t="s">
        <v>875</v>
      </c>
      <c r="G78" s="82" t="s">
        <v>1</v>
      </c>
      <c r="H78" s="82" t="s">
        <v>1</v>
      </c>
      <c r="I78" s="82" t="s">
        <v>1</v>
      </c>
      <c r="J78" s="82" t="s">
        <v>1</v>
      </c>
      <c r="K78" s="82" t="s">
        <v>685</v>
      </c>
      <c r="L78" s="37" t="str">
        <f t="shared" si="9"/>
        <v>Ocupações</v>
      </c>
      <c r="M78" s="37" t="str">
        <f t="shared" si="74"/>
        <v>Funcionais</v>
      </c>
      <c r="N78" s="37" t="str">
        <f t="shared" si="74"/>
        <v>Organizativas</v>
      </c>
      <c r="O78" s="37" t="str">
        <f t="shared" si="74"/>
        <v>Setor Urbano</v>
      </c>
      <c r="P78" s="37" t="s">
        <v>1063</v>
      </c>
      <c r="Q78" s="53" t="s">
        <v>687</v>
      </c>
      <c r="R78" s="34" t="s">
        <v>1</v>
      </c>
      <c r="S78" s="35" t="str">
        <f t="shared" si="10"/>
        <v>Ocupações</v>
      </c>
      <c r="T78" s="35" t="str">
        <f t="shared" si="11"/>
        <v>Funcionais</v>
      </c>
      <c r="U78" s="35" t="str">
        <f t="shared" si="12"/>
        <v>Organizativas</v>
      </c>
      <c r="V78" s="34" t="s">
        <v>1341</v>
      </c>
      <c r="W78" s="88" t="str">
        <f t="shared" si="72"/>
        <v>Key-INF-78</v>
      </c>
      <c r="X78" s="33" t="s">
        <v>1358</v>
      </c>
      <c r="Y78" s="33" t="s">
        <v>1404</v>
      </c>
      <c r="Z78" s="86" t="s">
        <v>1</v>
      </c>
      <c r="AA78" s="33" t="str">
        <f t="shared" si="73"/>
        <v>Sector.</v>
      </c>
    </row>
    <row r="79" spans="1:27" ht="6.6" customHeight="1" x14ac:dyDescent="0.25">
      <c r="A79" s="31">
        <v>79</v>
      </c>
      <c r="B79" s="38" t="s">
        <v>76</v>
      </c>
      <c r="C79" s="44" t="s">
        <v>969</v>
      </c>
      <c r="D79" s="44" t="s">
        <v>874</v>
      </c>
      <c r="E79" s="44" t="s">
        <v>971</v>
      </c>
      <c r="F79" s="44" t="s">
        <v>688</v>
      </c>
      <c r="G79" s="82" t="s">
        <v>1</v>
      </c>
      <c r="H79" s="82" t="s">
        <v>1</v>
      </c>
      <c r="I79" s="82" t="s">
        <v>1</v>
      </c>
      <c r="J79" s="82" t="s">
        <v>1</v>
      </c>
      <c r="K79" s="82" t="s">
        <v>685</v>
      </c>
      <c r="L79" s="37" t="str">
        <f t="shared" si="9"/>
        <v>Ocupações</v>
      </c>
      <c r="M79" s="37" t="str">
        <f t="shared" si="74"/>
        <v>Funcionais</v>
      </c>
      <c r="N79" s="37" t="str">
        <f t="shared" si="74"/>
        <v>Organizativas</v>
      </c>
      <c r="O79" s="37" t="str">
        <f t="shared" si="74"/>
        <v>Divisão</v>
      </c>
      <c r="P79" s="37" t="s">
        <v>1059</v>
      </c>
      <c r="Q79" s="53" t="s">
        <v>689</v>
      </c>
      <c r="R79" s="34" t="s">
        <v>1</v>
      </c>
      <c r="S79" s="35" t="str">
        <f t="shared" si="10"/>
        <v>Ocupações</v>
      </c>
      <c r="T79" s="35" t="str">
        <f t="shared" si="11"/>
        <v>Funcionais</v>
      </c>
      <c r="U79" s="35" t="str">
        <f t="shared" si="12"/>
        <v>Organizativas</v>
      </c>
      <c r="V79" s="34" t="s">
        <v>1341</v>
      </c>
      <c r="W79" s="88" t="str">
        <f t="shared" si="72"/>
        <v>Key-INF-79</v>
      </c>
      <c r="X79" s="33" t="s">
        <v>1358</v>
      </c>
      <c r="Y79" s="33" t="s">
        <v>1404</v>
      </c>
      <c r="Z79" s="86" t="s">
        <v>1</v>
      </c>
      <c r="AA79" s="33" t="str">
        <f t="shared" si="73"/>
        <v>Division.</v>
      </c>
    </row>
    <row r="80" spans="1:27" ht="6.6" customHeight="1" x14ac:dyDescent="0.25">
      <c r="A80" s="31">
        <v>80</v>
      </c>
      <c r="B80" s="38" t="s">
        <v>76</v>
      </c>
      <c r="C80" s="44" t="s">
        <v>969</v>
      </c>
      <c r="D80" s="44" t="s">
        <v>874</v>
      </c>
      <c r="E80" s="44" t="s">
        <v>971</v>
      </c>
      <c r="F80" s="44" t="s">
        <v>690</v>
      </c>
      <c r="G80" s="82" t="s">
        <v>1</v>
      </c>
      <c r="H80" s="82" t="s">
        <v>1</v>
      </c>
      <c r="I80" s="82" t="s">
        <v>1</v>
      </c>
      <c r="J80" s="82" t="s">
        <v>1</v>
      </c>
      <c r="K80" s="82"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1341</v>
      </c>
      <c r="W80" s="88" t="str">
        <f t="shared" si="72"/>
        <v>Key-INF-80</v>
      </c>
      <c r="X80" s="33" t="s">
        <v>1358</v>
      </c>
      <c r="Y80" s="33" t="s">
        <v>1405</v>
      </c>
      <c r="Z80" s="86" t="s">
        <v>1</v>
      </c>
      <c r="AA80" s="33" t="str">
        <f t="shared" si="73"/>
        <v>Department</v>
      </c>
    </row>
    <row r="81" spans="1:27" ht="6.6" customHeight="1" x14ac:dyDescent="0.25">
      <c r="A81" s="31">
        <v>81</v>
      </c>
      <c r="B81" s="38" t="s">
        <v>76</v>
      </c>
      <c r="C81" s="44" t="s">
        <v>969</v>
      </c>
      <c r="D81" s="44" t="s">
        <v>874</v>
      </c>
      <c r="E81" s="44" t="s">
        <v>876</v>
      </c>
      <c r="F81" s="44" t="s">
        <v>691</v>
      </c>
      <c r="G81" s="82" t="s">
        <v>1</v>
      </c>
      <c r="H81" s="82" t="s">
        <v>1</v>
      </c>
      <c r="I81" s="82" t="s">
        <v>1</v>
      </c>
      <c r="J81" s="82" t="s">
        <v>1</v>
      </c>
      <c r="K81" s="82" t="s">
        <v>685</v>
      </c>
      <c r="L81" s="37" t="str">
        <f t="shared" si="9"/>
        <v>Ocupações</v>
      </c>
      <c r="M81" s="37" t="str">
        <f t="shared" si="74"/>
        <v>Funcionais</v>
      </c>
      <c r="N81" s="37" t="str">
        <f t="shared" si="74"/>
        <v>Distribuição</v>
      </c>
      <c r="O81" s="37" t="str">
        <f t="shared" si="74"/>
        <v>Ambiente</v>
      </c>
      <c r="P81" s="37" t="s">
        <v>1060</v>
      </c>
      <c r="Q81" s="53" t="s">
        <v>691</v>
      </c>
      <c r="R81" s="34" t="s">
        <v>1</v>
      </c>
      <c r="S81" s="35" t="str">
        <f t="shared" si="10"/>
        <v>Ocupações</v>
      </c>
      <c r="T81" s="35" t="str">
        <f t="shared" si="11"/>
        <v>Funcionais</v>
      </c>
      <c r="U81" s="35" t="str">
        <f t="shared" si="12"/>
        <v>Distribuição</v>
      </c>
      <c r="V81" s="34" t="s">
        <v>1341</v>
      </c>
      <c r="W81" s="88" t="str">
        <f t="shared" si="72"/>
        <v>Key-INF-81</v>
      </c>
      <c r="X81" s="33" t="s">
        <v>1359</v>
      </c>
      <c r="Y81" s="33" t="s">
        <v>1404</v>
      </c>
      <c r="Z81" s="86" t="s">
        <v>1</v>
      </c>
      <c r="AA81" s="33" t="str">
        <f t="shared" si="73"/>
        <v>Environment.</v>
      </c>
    </row>
    <row r="82" spans="1:27" ht="6.6" customHeight="1" x14ac:dyDescent="0.25">
      <c r="A82" s="31">
        <v>82</v>
      </c>
      <c r="B82" s="38" t="s">
        <v>76</v>
      </c>
      <c r="C82" s="44" t="s">
        <v>969</v>
      </c>
      <c r="D82" s="44" t="s">
        <v>874</v>
      </c>
      <c r="E82" s="44" t="s">
        <v>876</v>
      </c>
      <c r="F82" s="44" t="s">
        <v>692</v>
      </c>
      <c r="G82" s="82" t="s">
        <v>1</v>
      </c>
      <c r="H82" s="82" t="s">
        <v>1</v>
      </c>
      <c r="I82" s="82" t="s">
        <v>1</v>
      </c>
      <c r="J82" s="82" t="s">
        <v>1</v>
      </c>
      <c r="K82" s="82"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1341</v>
      </c>
      <c r="W82" s="88" t="str">
        <f t="shared" si="72"/>
        <v>Key-INF-82</v>
      </c>
      <c r="X82" s="33" t="s">
        <v>1358</v>
      </c>
      <c r="Y82" s="33" t="s">
        <v>1404</v>
      </c>
      <c r="Z82" s="86" t="s">
        <v>1</v>
      </c>
      <c r="AA82" s="33" t="str">
        <f t="shared" si="73"/>
        <v>Apartment</v>
      </c>
    </row>
    <row r="83" spans="1:27" ht="6.6" customHeight="1" x14ac:dyDescent="0.25">
      <c r="A83" s="31">
        <v>83</v>
      </c>
      <c r="B83" s="38" t="s">
        <v>76</v>
      </c>
      <c r="C83" s="44" t="s">
        <v>969</v>
      </c>
      <c r="D83" s="44" t="s">
        <v>874</v>
      </c>
      <c r="E83" s="44" t="s">
        <v>876</v>
      </c>
      <c r="F83" s="44" t="s">
        <v>693</v>
      </c>
      <c r="G83" s="82" t="s">
        <v>1</v>
      </c>
      <c r="H83" s="82" t="s">
        <v>1</v>
      </c>
      <c r="I83" s="82" t="s">
        <v>1</v>
      </c>
      <c r="J83" s="82" t="s">
        <v>1</v>
      </c>
      <c r="K83" s="82" t="s">
        <v>685</v>
      </c>
      <c r="L83" s="37" t="str">
        <f t="shared" si="9"/>
        <v>Ocupações</v>
      </c>
      <c r="M83" s="37" t="str">
        <f t="shared" si="74"/>
        <v>Funcionais</v>
      </c>
      <c r="N83" s="37" t="str">
        <f t="shared" si="74"/>
        <v>Distribuição</v>
      </c>
      <c r="O83" s="37" t="str">
        <f t="shared" si="74"/>
        <v>Núcleo de Circulação</v>
      </c>
      <c r="P83" s="37" t="s">
        <v>1061</v>
      </c>
      <c r="Q83" s="53" t="s">
        <v>694</v>
      </c>
      <c r="R83" s="34" t="s">
        <v>1</v>
      </c>
      <c r="S83" s="35" t="str">
        <f t="shared" si="10"/>
        <v>Ocupações</v>
      </c>
      <c r="T83" s="35" t="str">
        <f t="shared" si="11"/>
        <v>Funcionais</v>
      </c>
      <c r="U83" s="35" t="str">
        <f t="shared" si="12"/>
        <v>Distribuição</v>
      </c>
      <c r="V83" s="34" t="s">
        <v>1341</v>
      </c>
      <c r="W83" s="88" t="str">
        <f t="shared" si="72"/>
        <v>Key-INF-83</v>
      </c>
      <c r="X83" s="33" t="s">
        <v>1358</v>
      </c>
      <c r="Y83" s="33" t="s">
        <v>1406</v>
      </c>
      <c r="Z83" s="86" t="s">
        <v>1</v>
      </c>
      <c r="AA83" s="33" t="str">
        <f t="shared" si="73"/>
        <v>Circulation Center.</v>
      </c>
    </row>
    <row r="84" spans="1:27" ht="6.6" customHeight="1" x14ac:dyDescent="0.25">
      <c r="A84" s="31">
        <v>84</v>
      </c>
      <c r="B84" s="38" t="s">
        <v>76</v>
      </c>
      <c r="C84" s="44" t="s">
        <v>877</v>
      </c>
      <c r="D84" s="44" t="s">
        <v>878</v>
      </c>
      <c r="E84" s="44" t="s">
        <v>695</v>
      </c>
      <c r="F84" s="44" t="s">
        <v>696</v>
      </c>
      <c r="G84" s="82" t="s">
        <v>1</v>
      </c>
      <c r="H84" s="82" t="s">
        <v>1</v>
      </c>
      <c r="I84" s="82" t="s">
        <v>1</v>
      </c>
      <c r="J84" s="82" t="s">
        <v>1</v>
      </c>
      <c r="K84" s="82" t="s">
        <v>1</v>
      </c>
      <c r="L84" s="37" t="str">
        <f t="shared" si="9"/>
        <v>Instituições.Públicas</v>
      </c>
      <c r="M84" s="37" t="str">
        <f t="shared" si="74"/>
        <v>Serviços</v>
      </c>
      <c r="N84" s="37" t="str">
        <f t="shared" si="74"/>
        <v>Saúde</v>
      </c>
      <c r="O84" s="37" t="str">
        <f t="shared" si="74"/>
        <v>Hospital Federal</v>
      </c>
      <c r="P84" s="37" t="s">
        <v>1064</v>
      </c>
      <c r="Q84" s="37" t="s">
        <v>697</v>
      </c>
      <c r="R84" s="34" t="s">
        <v>1</v>
      </c>
      <c r="S84" s="35" t="str">
        <f t="shared" si="10"/>
        <v>Instituições Públicas</v>
      </c>
      <c r="T84" s="35" t="str">
        <f t="shared" si="11"/>
        <v>Serviços</v>
      </c>
      <c r="U84" s="35" t="str">
        <f t="shared" si="12"/>
        <v>Saúde</v>
      </c>
      <c r="V84" s="34" t="s">
        <v>1341</v>
      </c>
      <c r="W84" s="88" t="str">
        <f t="shared" si="72"/>
        <v>Key-INF-84</v>
      </c>
      <c r="X84" s="33" t="s">
        <v>1360</v>
      </c>
      <c r="Y84" s="35" t="s">
        <v>1406</v>
      </c>
      <c r="Z84" s="86" t="s">
        <v>1</v>
      </c>
      <c r="AA84" s="33" t="str">
        <f t="shared" si="73"/>
        <v>National Hospital.</v>
      </c>
    </row>
    <row r="85" spans="1:27" ht="6.6" customHeight="1" x14ac:dyDescent="0.25">
      <c r="A85" s="31">
        <v>85</v>
      </c>
      <c r="B85" s="38" t="s">
        <v>76</v>
      </c>
      <c r="C85" s="44" t="s">
        <v>877</v>
      </c>
      <c r="D85" s="44" t="s">
        <v>878</v>
      </c>
      <c r="E85" s="44" t="s">
        <v>695</v>
      </c>
      <c r="F85" s="44" t="s">
        <v>698</v>
      </c>
      <c r="G85" s="82" t="s">
        <v>1</v>
      </c>
      <c r="H85" s="82" t="s">
        <v>1</v>
      </c>
      <c r="I85" s="82" t="s">
        <v>1</v>
      </c>
      <c r="J85" s="82" t="s">
        <v>1</v>
      </c>
      <c r="K85" s="82" t="s">
        <v>1</v>
      </c>
      <c r="L85" s="37" t="str">
        <f t="shared" si="9"/>
        <v>Instituições.Públicas</v>
      </c>
      <c r="M85" s="37" t="str">
        <f t="shared" si="74"/>
        <v>Serviços</v>
      </c>
      <c r="N85" s="37" t="str">
        <f t="shared" si="74"/>
        <v>Saúde</v>
      </c>
      <c r="O85" s="37" t="str">
        <f t="shared" si="74"/>
        <v>Hospital Estadual</v>
      </c>
      <c r="P85" s="37" t="s">
        <v>1062</v>
      </c>
      <c r="Q85" s="37" t="s">
        <v>699</v>
      </c>
      <c r="R85" s="34" t="s">
        <v>1</v>
      </c>
      <c r="S85" s="35" t="str">
        <f t="shared" si="10"/>
        <v>Instituições Públicas</v>
      </c>
      <c r="T85" s="35" t="str">
        <f t="shared" si="11"/>
        <v>Serviços</v>
      </c>
      <c r="U85" s="35" t="str">
        <f t="shared" si="12"/>
        <v>Saúde</v>
      </c>
      <c r="V85" s="34" t="s">
        <v>1341</v>
      </c>
      <c r="W85" s="88" t="str">
        <f t="shared" si="72"/>
        <v>Key-INF-85</v>
      </c>
      <c r="X85" s="33" t="s">
        <v>1360</v>
      </c>
      <c r="Y85" s="35" t="s">
        <v>1406</v>
      </c>
      <c r="Z85" s="86" t="s">
        <v>1</v>
      </c>
      <c r="AA85" s="33" t="str">
        <f t="shared" si="73"/>
        <v>State Hospital.</v>
      </c>
    </row>
    <row r="86" spans="1:27" ht="6.6" customHeight="1" x14ac:dyDescent="0.25">
      <c r="A86" s="31">
        <v>86</v>
      </c>
      <c r="B86" s="38" t="s">
        <v>76</v>
      </c>
      <c r="C86" s="44" t="s">
        <v>877</v>
      </c>
      <c r="D86" s="44" t="s">
        <v>878</v>
      </c>
      <c r="E86" s="44" t="s">
        <v>695</v>
      </c>
      <c r="F86" s="44" t="s">
        <v>700</v>
      </c>
      <c r="G86" s="82" t="s">
        <v>1</v>
      </c>
      <c r="H86" s="82" t="s">
        <v>1</v>
      </c>
      <c r="I86" s="82" t="s">
        <v>1</v>
      </c>
      <c r="J86" s="82" t="s">
        <v>1</v>
      </c>
      <c r="K86" s="82" t="s">
        <v>1</v>
      </c>
      <c r="L86" s="37" t="str">
        <f t="shared" si="9"/>
        <v>Instituições.Públicas</v>
      </c>
      <c r="M86" s="37" t="str">
        <f t="shared" si="74"/>
        <v>Serviços</v>
      </c>
      <c r="N86" s="37" t="str">
        <f t="shared" si="74"/>
        <v>Saúde</v>
      </c>
      <c r="O86" s="37" t="str">
        <f t="shared" si="74"/>
        <v>Hospital Municipal</v>
      </c>
      <c r="P86" s="37" t="s">
        <v>1066</v>
      </c>
      <c r="Q86" s="37" t="s">
        <v>701</v>
      </c>
      <c r="R86" s="34" t="s">
        <v>1</v>
      </c>
      <c r="S86" s="35" t="str">
        <f t="shared" si="10"/>
        <v>Instituições Públicas</v>
      </c>
      <c r="T86" s="35" t="str">
        <f t="shared" si="11"/>
        <v>Serviços</v>
      </c>
      <c r="U86" s="35" t="str">
        <f t="shared" si="12"/>
        <v>Saúde</v>
      </c>
      <c r="V86" s="34" t="s">
        <v>1341</v>
      </c>
      <c r="W86" s="88" t="str">
        <f t="shared" si="72"/>
        <v>Key-INF-86</v>
      </c>
      <c r="X86" s="33" t="s">
        <v>1360</v>
      </c>
      <c r="Y86" s="35" t="s">
        <v>1406</v>
      </c>
      <c r="Z86" s="86" t="s">
        <v>1</v>
      </c>
      <c r="AA86" s="33" t="str">
        <f t="shared" si="73"/>
        <v>Municipal Hospital.</v>
      </c>
    </row>
    <row r="87" spans="1:27" ht="6.6" customHeight="1" x14ac:dyDescent="0.25">
      <c r="A87" s="31">
        <v>87</v>
      </c>
      <c r="B87" s="38" t="s">
        <v>76</v>
      </c>
      <c r="C87" s="44" t="s">
        <v>877</v>
      </c>
      <c r="D87" s="44" t="s">
        <v>878</v>
      </c>
      <c r="E87" s="44" t="s">
        <v>695</v>
      </c>
      <c r="F87" s="44" t="s">
        <v>702</v>
      </c>
      <c r="G87" s="82" t="s">
        <v>1</v>
      </c>
      <c r="H87" s="82" t="s">
        <v>1</v>
      </c>
      <c r="I87" s="82" t="s">
        <v>1</v>
      </c>
      <c r="J87" s="82" t="s">
        <v>1</v>
      </c>
      <c r="K87" s="82"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1341</v>
      </c>
      <c r="W87" s="88" t="str">
        <f t="shared" si="72"/>
        <v>Key-INF-87</v>
      </c>
      <c r="X87" s="33" t="s">
        <v>1360</v>
      </c>
      <c r="Y87" s="35" t="s">
        <v>1406</v>
      </c>
      <c r="Z87" s="86" t="s">
        <v>1</v>
      </c>
      <c r="AA87" s="33" t="str">
        <f t="shared" si="73"/>
        <v>UBS Basic Health Unit. Primary and preventive health care offered by the SUS.</v>
      </c>
    </row>
    <row r="88" spans="1:27" ht="6.6" customHeight="1" x14ac:dyDescent="0.25">
      <c r="A88" s="31">
        <v>88</v>
      </c>
      <c r="B88" s="38" t="s">
        <v>76</v>
      </c>
      <c r="C88" s="44" t="s">
        <v>877</v>
      </c>
      <c r="D88" s="44" t="s">
        <v>878</v>
      </c>
      <c r="E88" s="44" t="s">
        <v>695</v>
      </c>
      <c r="F88" s="44" t="s">
        <v>705</v>
      </c>
      <c r="G88" s="82" t="s">
        <v>1</v>
      </c>
      <c r="H88" s="82" t="s">
        <v>1</v>
      </c>
      <c r="I88" s="82" t="s">
        <v>1</v>
      </c>
      <c r="J88" s="82" t="s">
        <v>1</v>
      </c>
      <c r="K88" s="82"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1341</v>
      </c>
      <c r="W88" s="88" t="str">
        <f t="shared" si="72"/>
        <v>Key-INF-88</v>
      </c>
      <c r="X88" s="33" t="s">
        <v>1360</v>
      </c>
      <c r="Y88" s="35" t="s">
        <v>1406</v>
      </c>
      <c r="Z88" s="86" t="s">
        <v>1</v>
      </c>
      <c r="AA88" s="33" t="str">
        <f t="shared" si="73"/>
        <v>UPA Emergency Health Care Unit. Urgencies and emergencies 24x7.</v>
      </c>
    </row>
    <row r="89" spans="1:27" ht="6.6" customHeight="1" x14ac:dyDescent="0.25">
      <c r="A89" s="31">
        <v>89</v>
      </c>
      <c r="B89" s="38" t="s">
        <v>76</v>
      </c>
      <c r="C89" s="44" t="s">
        <v>877</v>
      </c>
      <c r="D89" s="44" t="s">
        <v>878</v>
      </c>
      <c r="E89" s="44" t="s">
        <v>879</v>
      </c>
      <c r="F89" s="44" t="s">
        <v>708</v>
      </c>
      <c r="G89" s="82" t="s">
        <v>1</v>
      </c>
      <c r="H89" s="82" t="s">
        <v>1</v>
      </c>
      <c r="I89" s="82" t="s">
        <v>1</v>
      </c>
      <c r="J89" s="82" t="s">
        <v>1</v>
      </c>
      <c r="K89" s="82" t="s">
        <v>1</v>
      </c>
      <c r="L89" s="37" t="str">
        <f t="shared" si="9"/>
        <v>Instituições.Públicas</v>
      </c>
      <c r="M89" s="37" t="str">
        <f t="shared" si="74"/>
        <v>Serviços</v>
      </c>
      <c r="N89" s="37" t="str">
        <f t="shared" si="74"/>
        <v>Educacionais</v>
      </c>
      <c r="O89" s="37" t="str">
        <f t="shared" si="74"/>
        <v>Universidade Federal</v>
      </c>
      <c r="P89" s="37" t="s">
        <v>1065</v>
      </c>
      <c r="Q89" s="37" t="s">
        <v>709</v>
      </c>
      <c r="R89" s="34" t="s">
        <v>1</v>
      </c>
      <c r="S89" s="35" t="str">
        <f t="shared" si="10"/>
        <v>Instituições Públicas</v>
      </c>
      <c r="T89" s="35" t="str">
        <f t="shared" si="11"/>
        <v>Serviços</v>
      </c>
      <c r="U89" s="35" t="str">
        <f t="shared" si="12"/>
        <v>Educacionais</v>
      </c>
      <c r="V89" s="34" t="s">
        <v>1341</v>
      </c>
      <c r="W89" s="88" t="str">
        <f t="shared" si="72"/>
        <v>Key-INF-89</v>
      </c>
      <c r="X89" s="33" t="s">
        <v>1360</v>
      </c>
      <c r="Y89" s="35" t="s">
        <v>1406</v>
      </c>
      <c r="Z89" s="86" t="s">
        <v>1</v>
      </c>
      <c r="AA89" s="33" t="str">
        <f t="shared" si="73"/>
        <v>Federal University.</v>
      </c>
    </row>
    <row r="90" spans="1:27" ht="6.6" customHeight="1" x14ac:dyDescent="0.25">
      <c r="A90" s="31">
        <v>90</v>
      </c>
      <c r="B90" s="38" t="s">
        <v>76</v>
      </c>
      <c r="C90" s="44" t="s">
        <v>877</v>
      </c>
      <c r="D90" s="44" t="s">
        <v>878</v>
      </c>
      <c r="E90" s="44" t="s">
        <v>879</v>
      </c>
      <c r="F90" s="44" t="s">
        <v>710</v>
      </c>
      <c r="G90" s="82" t="s">
        <v>1</v>
      </c>
      <c r="H90" s="82" t="s">
        <v>1</v>
      </c>
      <c r="I90" s="82" t="s">
        <v>1</v>
      </c>
      <c r="J90" s="82" t="s">
        <v>1</v>
      </c>
      <c r="K90" s="82" t="s">
        <v>1</v>
      </c>
      <c r="L90" s="37" t="str">
        <f t="shared" si="9"/>
        <v>Instituições.Públicas</v>
      </c>
      <c r="M90" s="37" t="str">
        <f t="shared" si="74"/>
        <v>Serviços</v>
      </c>
      <c r="N90" s="37" t="str">
        <f t="shared" si="74"/>
        <v>Educacionais</v>
      </c>
      <c r="O90" s="37" t="str">
        <f t="shared" si="74"/>
        <v>Universidade Estadual</v>
      </c>
      <c r="P90" s="37" t="s">
        <v>1067</v>
      </c>
      <c r="Q90" s="37" t="s">
        <v>711</v>
      </c>
      <c r="R90" s="34" t="s">
        <v>1</v>
      </c>
      <c r="S90" s="35" t="str">
        <f t="shared" si="10"/>
        <v>Instituições Públicas</v>
      </c>
      <c r="T90" s="35" t="str">
        <f t="shared" si="11"/>
        <v>Serviços</v>
      </c>
      <c r="U90" s="35" t="str">
        <f t="shared" si="12"/>
        <v>Educacionais</v>
      </c>
      <c r="V90" s="34" t="s">
        <v>1341</v>
      </c>
      <c r="W90" s="88" t="str">
        <f t="shared" si="72"/>
        <v>Key-INF-90</v>
      </c>
      <c r="X90" s="33" t="s">
        <v>1360</v>
      </c>
      <c r="Y90" s="35" t="s">
        <v>1406</v>
      </c>
      <c r="Z90" s="86" t="s">
        <v>1</v>
      </c>
      <c r="AA90" s="33" t="str">
        <f t="shared" si="73"/>
        <v>State University.</v>
      </c>
    </row>
    <row r="91" spans="1:27" ht="6.6" customHeight="1" x14ac:dyDescent="0.25">
      <c r="A91" s="31">
        <v>91</v>
      </c>
      <c r="B91" s="38" t="s">
        <v>76</v>
      </c>
      <c r="C91" s="44" t="s">
        <v>877</v>
      </c>
      <c r="D91" s="44" t="s">
        <v>878</v>
      </c>
      <c r="E91" s="44" t="s">
        <v>879</v>
      </c>
      <c r="F91" s="44" t="s">
        <v>712</v>
      </c>
      <c r="G91" s="82" t="s">
        <v>1</v>
      </c>
      <c r="H91" s="82" t="s">
        <v>1</v>
      </c>
      <c r="I91" s="82" t="s">
        <v>1</v>
      </c>
      <c r="J91" s="82" t="s">
        <v>1</v>
      </c>
      <c r="K91" s="82" t="s">
        <v>1</v>
      </c>
      <c r="L91" s="37" t="str">
        <f t="shared" si="9"/>
        <v>Instituições.Públicas</v>
      </c>
      <c r="M91" s="37" t="str">
        <f t="shared" si="74"/>
        <v>Serviços</v>
      </c>
      <c r="N91" s="37" t="str">
        <f t="shared" si="74"/>
        <v>Educacionais</v>
      </c>
      <c r="O91" s="37" t="str">
        <f t="shared" si="74"/>
        <v>Escola Estadual</v>
      </c>
      <c r="P91" s="37" t="s">
        <v>1069</v>
      </c>
      <c r="Q91" s="37" t="s">
        <v>713</v>
      </c>
      <c r="R91" s="34" t="s">
        <v>1</v>
      </c>
      <c r="S91" s="35" t="str">
        <f t="shared" si="10"/>
        <v>Instituições Públicas</v>
      </c>
      <c r="T91" s="35" t="str">
        <f t="shared" si="11"/>
        <v>Serviços</v>
      </c>
      <c r="U91" s="35" t="str">
        <f t="shared" si="12"/>
        <v>Educacionais</v>
      </c>
      <c r="V91" s="34" t="s">
        <v>1341</v>
      </c>
      <c r="W91" s="88" t="str">
        <f t="shared" si="72"/>
        <v>Key-INF-91</v>
      </c>
      <c r="X91" s="33" t="s">
        <v>1360</v>
      </c>
      <c r="Y91" s="35" t="s">
        <v>1406</v>
      </c>
      <c r="Z91" s="86" t="s">
        <v>1</v>
      </c>
      <c r="AA91" s="33" t="str">
        <f t="shared" si="73"/>
        <v>State School.</v>
      </c>
    </row>
    <row r="92" spans="1:27" ht="6.6" customHeight="1" x14ac:dyDescent="0.25">
      <c r="A92" s="31">
        <v>92</v>
      </c>
      <c r="B92" s="38" t="s">
        <v>76</v>
      </c>
      <c r="C92" s="44" t="s">
        <v>877</v>
      </c>
      <c r="D92" s="44" t="s">
        <v>878</v>
      </c>
      <c r="E92" s="44" t="s">
        <v>879</v>
      </c>
      <c r="F92" s="44" t="s">
        <v>714</v>
      </c>
      <c r="G92" s="82" t="s">
        <v>1</v>
      </c>
      <c r="H92" s="82" t="s">
        <v>1</v>
      </c>
      <c r="I92" s="82" t="s">
        <v>1</v>
      </c>
      <c r="J92" s="82" t="s">
        <v>1</v>
      </c>
      <c r="K92" s="82"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1068</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1341</v>
      </c>
      <c r="W92" s="88" t="str">
        <f t="shared" si="72"/>
        <v>Key-INF-92</v>
      </c>
      <c r="X92" s="33" t="s">
        <v>1360</v>
      </c>
      <c r="Y92" s="35" t="s">
        <v>1406</v>
      </c>
      <c r="Z92" s="86" t="s">
        <v>1</v>
      </c>
      <c r="AA92" s="33" t="str">
        <f t="shared" si="73"/>
        <v>Municipal School.</v>
      </c>
    </row>
    <row r="93" spans="1:27" ht="6.6" customHeight="1" x14ac:dyDescent="0.25">
      <c r="A93" s="31">
        <v>93</v>
      </c>
      <c r="B93" s="38" t="s">
        <v>76</v>
      </c>
      <c r="C93" s="44" t="s">
        <v>877</v>
      </c>
      <c r="D93" s="44" t="s">
        <v>878</v>
      </c>
      <c r="E93" s="44" t="s">
        <v>879</v>
      </c>
      <c r="F93" s="44" t="s">
        <v>1246</v>
      </c>
      <c r="G93" s="82" t="s">
        <v>1</v>
      </c>
      <c r="H93" s="82" t="s">
        <v>1</v>
      </c>
      <c r="I93" s="82" t="s">
        <v>1</v>
      </c>
      <c r="J93" s="82" t="s">
        <v>1</v>
      </c>
      <c r="K93" s="82" t="s">
        <v>1</v>
      </c>
      <c r="L93" s="37" t="str">
        <f t="shared" si="75"/>
        <v>Instituições.Públicas</v>
      </c>
      <c r="M93" s="37" t="str">
        <f t="shared" si="76"/>
        <v>Serviços</v>
      </c>
      <c r="N93" s="37" t="str">
        <f t="shared" si="77"/>
        <v>Educacionais</v>
      </c>
      <c r="O93" s="37" t="str">
        <f t="shared" si="78"/>
        <v>Colégio de Aplicação</v>
      </c>
      <c r="P93" s="37" t="s">
        <v>1245</v>
      </c>
      <c r="Q93" s="37" t="s">
        <v>1247</v>
      </c>
      <c r="R93" s="34" t="s">
        <v>1</v>
      </c>
      <c r="S93" s="35" t="str">
        <f t="shared" si="79"/>
        <v>Instituições Públicas</v>
      </c>
      <c r="T93" s="35" t="str">
        <f t="shared" si="80"/>
        <v>Serviços</v>
      </c>
      <c r="U93" s="35" t="str">
        <f t="shared" si="81"/>
        <v>Educacionais</v>
      </c>
      <c r="V93" s="34" t="s">
        <v>1341</v>
      </c>
      <c r="W93" s="88" t="str">
        <f t="shared" si="72"/>
        <v>Key-INF-93</v>
      </c>
      <c r="X93" s="33" t="s">
        <v>1360</v>
      </c>
      <c r="Y93" s="35" t="s">
        <v>1406</v>
      </c>
      <c r="Z93" s="86"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877</v>
      </c>
      <c r="D94" s="44" t="s">
        <v>878</v>
      </c>
      <c r="E94" s="44" t="s">
        <v>879</v>
      </c>
      <c r="F94" s="44" t="s">
        <v>1248</v>
      </c>
      <c r="G94" s="82" t="s">
        <v>1</v>
      </c>
      <c r="H94" s="82" t="s">
        <v>1</v>
      </c>
      <c r="I94" s="82" t="s">
        <v>1</v>
      </c>
      <c r="J94" s="82" t="s">
        <v>1</v>
      </c>
      <c r="K94" s="82"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1249</v>
      </c>
      <c r="Q94" s="37" t="s">
        <v>1250</v>
      </c>
      <c r="R94" s="34" t="s">
        <v>1</v>
      </c>
      <c r="S94" s="35" t="str">
        <f t="shared" si="10"/>
        <v>Instituições Públicas</v>
      </c>
      <c r="T94" s="35" t="str">
        <f t="shared" si="11"/>
        <v>Serviços</v>
      </c>
      <c r="U94" s="35" t="str">
        <f t="shared" si="12"/>
        <v>Educacionais</v>
      </c>
      <c r="V94" s="34" t="s">
        <v>1341</v>
      </c>
      <c r="W94" s="88" t="str">
        <f t="shared" si="72"/>
        <v>Key-INF-94</v>
      </c>
      <c r="X94" s="33" t="s">
        <v>1360</v>
      </c>
      <c r="Y94" s="35" t="s">
        <v>1400</v>
      </c>
      <c r="Z94" s="86"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877</v>
      </c>
      <c r="D95" s="44" t="s">
        <v>878</v>
      </c>
      <c r="E95" s="44" t="s">
        <v>716</v>
      </c>
      <c r="F95" s="44" t="s">
        <v>717</v>
      </c>
      <c r="G95" s="82" t="s">
        <v>1</v>
      </c>
      <c r="H95" s="82" t="s">
        <v>1</v>
      </c>
      <c r="I95" s="82" t="s">
        <v>1</v>
      </c>
      <c r="J95" s="82" t="s">
        <v>1</v>
      </c>
      <c r="K95" s="82"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1341</v>
      </c>
      <c r="W95" s="88" t="str">
        <f t="shared" si="72"/>
        <v>Key-INF-95</v>
      </c>
      <c r="X95" s="35" t="s">
        <v>1361</v>
      </c>
      <c r="Y95" s="35" t="s">
        <v>1400</v>
      </c>
      <c r="Z95" s="86"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877</v>
      </c>
      <c r="D96" s="44" t="s">
        <v>878</v>
      </c>
      <c r="E96" s="44" t="s">
        <v>720</v>
      </c>
      <c r="F96" s="44" t="s">
        <v>721</v>
      </c>
      <c r="G96" s="82" t="s">
        <v>1</v>
      </c>
      <c r="H96" s="82" t="s">
        <v>1</v>
      </c>
      <c r="I96" s="82" t="s">
        <v>1</v>
      </c>
      <c r="J96" s="82" t="s">
        <v>1</v>
      </c>
      <c r="K96" s="82"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1341</v>
      </c>
      <c r="W96" s="88" t="str">
        <f t="shared" si="72"/>
        <v>Key-INF-96</v>
      </c>
      <c r="X96" s="33" t="s">
        <v>1362</v>
      </c>
      <c r="Y96" s="33" t="s">
        <v>1407</v>
      </c>
      <c r="Z96" s="86" t="s">
        <v>1</v>
      </c>
      <c r="AA96" s="33" t="str">
        <f t="shared" si="73"/>
        <v>IBGE Index - Number of inhabitants per square kilometer measured by the Brazilian Institute of Geography and Statistics.</v>
      </c>
    </row>
    <row r="97" spans="1:27" ht="6.6" customHeight="1" x14ac:dyDescent="0.25">
      <c r="A97" s="31">
        <v>97</v>
      </c>
      <c r="B97" s="38" t="s">
        <v>76</v>
      </c>
      <c r="C97" s="44" t="s">
        <v>877</v>
      </c>
      <c r="D97" s="44" t="s">
        <v>878</v>
      </c>
      <c r="E97" s="44" t="s">
        <v>720</v>
      </c>
      <c r="F97" s="44" t="s">
        <v>724</v>
      </c>
      <c r="G97" s="82" t="s">
        <v>1</v>
      </c>
      <c r="H97" s="82" t="s">
        <v>1</v>
      </c>
      <c r="I97" s="82" t="s">
        <v>1</v>
      </c>
      <c r="J97" s="82" t="s">
        <v>1</v>
      </c>
      <c r="K97" s="82"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1341</v>
      </c>
      <c r="W97" s="88" t="str">
        <f t="shared" si="72"/>
        <v>Key-INF-97</v>
      </c>
      <c r="X97" s="33" t="s">
        <v>1362</v>
      </c>
      <c r="Y97" s="33" t="s">
        <v>1407</v>
      </c>
      <c r="Z97" s="86" t="s">
        <v>1</v>
      </c>
      <c r="AA97" s="33" t="str">
        <f t="shared" si="73"/>
        <v>IBGE Index - Number of inhabitants per square kilometer measured by the Brazilian Institute of Geography and Statistics.</v>
      </c>
    </row>
    <row r="98" spans="1:27" ht="6.6" customHeight="1" x14ac:dyDescent="0.25">
      <c r="A98" s="31">
        <v>98</v>
      </c>
      <c r="B98" s="38" t="s">
        <v>76</v>
      </c>
      <c r="C98" s="44" t="s">
        <v>877</v>
      </c>
      <c r="D98" s="44" t="s">
        <v>878</v>
      </c>
      <c r="E98" s="44" t="s">
        <v>720</v>
      </c>
      <c r="F98" s="44" t="s">
        <v>725</v>
      </c>
      <c r="G98" s="82" t="s">
        <v>1</v>
      </c>
      <c r="H98" s="82" t="s">
        <v>1</v>
      </c>
      <c r="I98" s="82" t="s">
        <v>1</v>
      </c>
      <c r="J98" s="82" t="s">
        <v>1</v>
      </c>
      <c r="K98" s="82"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1341</v>
      </c>
      <c r="W98" s="88" t="str">
        <f t="shared" si="72"/>
        <v>Key-INF-98</v>
      </c>
      <c r="X98" s="33" t="s">
        <v>1362</v>
      </c>
      <c r="Y98" s="33" t="s">
        <v>1407</v>
      </c>
      <c r="Z98" s="86"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877</v>
      </c>
      <c r="D99" s="44" t="s">
        <v>878</v>
      </c>
      <c r="E99" s="44" t="s">
        <v>720</v>
      </c>
      <c r="F99" s="44" t="s">
        <v>728</v>
      </c>
      <c r="G99" s="82" t="s">
        <v>1</v>
      </c>
      <c r="H99" s="82" t="s">
        <v>1</v>
      </c>
      <c r="I99" s="82" t="s">
        <v>1</v>
      </c>
      <c r="J99" s="82" t="s">
        <v>1</v>
      </c>
      <c r="K99" s="82"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1341</v>
      </c>
      <c r="W99" s="88" t="str">
        <f t="shared" si="72"/>
        <v>Key-INF-99</v>
      </c>
      <c r="X99" s="33" t="s">
        <v>1362</v>
      </c>
      <c r="Y99" s="33" t="s">
        <v>1407</v>
      </c>
      <c r="Z99" s="86"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877</v>
      </c>
      <c r="D100" s="44" t="s">
        <v>878</v>
      </c>
      <c r="E100" s="44" t="s">
        <v>720</v>
      </c>
      <c r="F100" s="44" t="s">
        <v>731</v>
      </c>
      <c r="G100" s="82" t="s">
        <v>1</v>
      </c>
      <c r="H100" s="82" t="s">
        <v>1</v>
      </c>
      <c r="I100" s="82" t="s">
        <v>1</v>
      </c>
      <c r="J100" s="82" t="s">
        <v>1</v>
      </c>
      <c r="K100" s="82"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1341</v>
      </c>
      <c r="W100" s="88" t="str">
        <f t="shared" si="72"/>
        <v>Key-INF-100</v>
      </c>
      <c r="X100" s="33" t="s">
        <v>1362</v>
      </c>
      <c r="Y100" s="33" t="s">
        <v>1407</v>
      </c>
      <c r="Z100" s="86"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926</v>
      </c>
      <c r="D101" s="38" t="s">
        <v>980</v>
      </c>
      <c r="E101" s="42" t="s">
        <v>884</v>
      </c>
      <c r="F101" s="44" t="s">
        <v>317</v>
      </c>
      <c r="G101" s="83" t="s">
        <v>1</v>
      </c>
      <c r="H101" s="83" t="s">
        <v>1</v>
      </c>
      <c r="I101" s="83" t="s">
        <v>1</v>
      </c>
      <c r="J101" s="83" t="s">
        <v>1</v>
      </c>
      <c r="K101" s="83"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1341</v>
      </c>
      <c r="W101" s="88" t="str">
        <f t="shared" si="72"/>
        <v>Key-INF-101</v>
      </c>
      <c r="X101" s="35" t="s">
        <v>1363</v>
      </c>
      <c r="Y101" s="35" t="s">
        <v>1408</v>
      </c>
      <c r="Z101" s="86" t="s">
        <v>1</v>
      </c>
      <c r="AA101" s="33" t="str">
        <f t="shared" si="73"/>
        <v>A heavy rail vehicle that pulls or pushes railway cars. They can be electric, diesel-electric or steam.</v>
      </c>
    </row>
    <row r="102" spans="1:27" ht="6.6" customHeight="1" x14ac:dyDescent="0.25">
      <c r="A102" s="31">
        <v>102</v>
      </c>
      <c r="B102" s="38" t="s">
        <v>76</v>
      </c>
      <c r="C102" s="39" t="s">
        <v>926</v>
      </c>
      <c r="D102" s="38" t="s">
        <v>980</v>
      </c>
      <c r="E102" s="42" t="s">
        <v>884</v>
      </c>
      <c r="F102" s="44" t="s">
        <v>318</v>
      </c>
      <c r="G102" s="83" t="s">
        <v>1</v>
      </c>
      <c r="H102" s="83" t="s">
        <v>1</v>
      </c>
      <c r="I102" s="83" t="s">
        <v>1</v>
      </c>
      <c r="J102" s="83" t="s">
        <v>1</v>
      </c>
      <c r="K102" s="83"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1341</v>
      </c>
      <c r="W102" s="88" t="str">
        <f t="shared" si="72"/>
        <v>Key-INF-102</v>
      </c>
      <c r="X102" s="35" t="s">
        <v>1363</v>
      </c>
      <c r="Y102" s="35" t="s">
        <v>1408</v>
      </c>
      <c r="Z102" s="86" t="s">
        <v>1</v>
      </c>
      <c r="AA102" s="33" t="str">
        <f t="shared" si="73"/>
        <v>Heavy vehicle to run on rails to transport goods (grains, ores, fuels, containers).</v>
      </c>
    </row>
    <row r="103" spans="1:27" ht="6.6" customHeight="1" x14ac:dyDescent="0.25">
      <c r="A103" s="31">
        <v>103</v>
      </c>
      <c r="B103" s="38" t="s">
        <v>76</v>
      </c>
      <c r="C103" s="39" t="s">
        <v>926</v>
      </c>
      <c r="D103" s="38" t="s">
        <v>980</v>
      </c>
      <c r="E103" s="42" t="s">
        <v>884</v>
      </c>
      <c r="F103" s="44" t="s">
        <v>319</v>
      </c>
      <c r="G103" s="83" t="s">
        <v>1</v>
      </c>
      <c r="H103" s="83" t="s">
        <v>1</v>
      </c>
      <c r="I103" s="83" t="s">
        <v>1</v>
      </c>
      <c r="J103" s="83" t="s">
        <v>1</v>
      </c>
      <c r="K103" s="83"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1341</v>
      </c>
      <c r="W103" s="88" t="str">
        <f t="shared" si="72"/>
        <v>Key-INF-103</v>
      </c>
      <c r="X103" s="35" t="s">
        <v>1363</v>
      </c>
      <c r="Y103" s="35" t="s">
        <v>1408</v>
      </c>
      <c r="Z103" s="86" t="s">
        <v>1</v>
      </c>
      <c r="AA103" s="33" t="str">
        <f t="shared" si="73"/>
        <v>Heavy vehicles to run on rails to transport people, can be equipped with toilets and special facilities.</v>
      </c>
    </row>
    <row r="104" spans="1:27" ht="6.6" customHeight="1" x14ac:dyDescent="0.25">
      <c r="A104" s="31">
        <v>104</v>
      </c>
      <c r="B104" s="38" t="s">
        <v>76</v>
      </c>
      <c r="C104" s="39" t="s">
        <v>926</v>
      </c>
      <c r="D104" s="38" t="s">
        <v>980</v>
      </c>
      <c r="E104" s="42" t="s">
        <v>884</v>
      </c>
      <c r="F104" s="44" t="s">
        <v>324</v>
      </c>
      <c r="G104" s="83" t="s">
        <v>1</v>
      </c>
      <c r="H104" s="83" t="s">
        <v>1</v>
      </c>
      <c r="I104" s="83" t="s">
        <v>1</v>
      </c>
      <c r="J104" s="83" t="s">
        <v>1</v>
      </c>
      <c r="K104" s="83"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1341</v>
      </c>
      <c r="W104" s="88" t="str">
        <f t="shared" si="72"/>
        <v>Key-INF-104</v>
      </c>
      <c r="X104" s="35" t="s">
        <v>1363</v>
      </c>
      <c r="Y104" s="35" t="s">
        <v>1408</v>
      </c>
      <c r="Z104" s="86" t="s">
        <v>1</v>
      </c>
      <c r="AA104" s="33" t="str">
        <f t="shared" si="73"/>
        <v>Heavy rail vehicle to transport people prepared with sleeping facilities.</v>
      </c>
    </row>
    <row r="105" spans="1:27" ht="6.6" customHeight="1" x14ac:dyDescent="0.25">
      <c r="A105" s="31">
        <v>105</v>
      </c>
      <c r="B105" s="38" t="s">
        <v>76</v>
      </c>
      <c r="C105" s="39" t="s">
        <v>926</v>
      </c>
      <c r="D105" s="38" t="s">
        <v>980</v>
      </c>
      <c r="E105" s="42" t="s">
        <v>884</v>
      </c>
      <c r="F105" s="44" t="s">
        <v>316</v>
      </c>
      <c r="G105" s="83" t="s">
        <v>1</v>
      </c>
      <c r="H105" s="83" t="s">
        <v>1</v>
      </c>
      <c r="I105" s="83" t="s">
        <v>1</v>
      </c>
      <c r="J105" s="83" t="s">
        <v>1</v>
      </c>
      <c r="K105" s="83"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1341</v>
      </c>
      <c r="W105" s="88" t="str">
        <f t="shared" si="72"/>
        <v>Key-INF-105</v>
      </c>
      <c r="X105" s="35" t="s">
        <v>1363</v>
      </c>
      <c r="Y105" s="35" t="s">
        <v>1408</v>
      </c>
      <c r="Z105" s="86" t="s">
        <v>1</v>
      </c>
      <c r="AA105" s="33" t="str">
        <f t="shared" si="73"/>
        <v>Heavy vehicle to run on rails to transport people in urban environments.</v>
      </c>
    </row>
    <row r="106" spans="1:27" ht="6.6" customHeight="1" x14ac:dyDescent="0.25">
      <c r="A106" s="31">
        <v>106</v>
      </c>
      <c r="B106" s="38" t="s">
        <v>76</v>
      </c>
      <c r="C106" s="39" t="s">
        <v>926</v>
      </c>
      <c r="D106" s="38" t="s">
        <v>980</v>
      </c>
      <c r="E106" s="42" t="s">
        <v>884</v>
      </c>
      <c r="F106" s="44" t="s">
        <v>365</v>
      </c>
      <c r="G106" s="83" t="s">
        <v>1</v>
      </c>
      <c r="H106" s="83" t="s">
        <v>1</v>
      </c>
      <c r="I106" s="83" t="s">
        <v>1</v>
      </c>
      <c r="J106" s="83" t="s">
        <v>1</v>
      </c>
      <c r="K106" s="83"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1341</v>
      </c>
      <c r="W106" s="88" t="str">
        <f t="shared" si="72"/>
        <v>Key-INF-106</v>
      </c>
      <c r="X106" s="35" t="s">
        <v>1363</v>
      </c>
      <c r="Y106" s="35" t="s">
        <v>1408</v>
      </c>
      <c r="Z106" s="86" t="s">
        <v>1</v>
      </c>
      <c r="AA106" s="33" t="str">
        <f t="shared" si="73"/>
        <v>Heavy vehicle to run on rails to transport people in urban environments.</v>
      </c>
    </row>
    <row r="107" spans="1:27" ht="6.6" customHeight="1" x14ac:dyDescent="0.25">
      <c r="A107" s="31">
        <v>107</v>
      </c>
      <c r="B107" s="38" t="s">
        <v>76</v>
      </c>
      <c r="C107" s="39" t="s">
        <v>926</v>
      </c>
      <c r="D107" s="38" t="s">
        <v>980</v>
      </c>
      <c r="E107" s="42" t="s">
        <v>884</v>
      </c>
      <c r="F107" s="44" t="s">
        <v>773</v>
      </c>
      <c r="G107" s="83" t="s">
        <v>1</v>
      </c>
      <c r="H107" s="83" t="s">
        <v>1</v>
      </c>
      <c r="I107" s="83" t="s">
        <v>1</v>
      </c>
      <c r="J107" s="83" t="s">
        <v>1</v>
      </c>
      <c r="K107" s="83"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775</v>
      </c>
      <c r="Q107" s="37" t="s">
        <v>774</v>
      </c>
      <c r="R107" s="34" t="s">
        <v>1</v>
      </c>
      <c r="S107" s="35" t="str">
        <f t="shared" ref="S107:S109" si="93">SUBSTITUTE(C107, ".", " ")</f>
        <v>Transportes</v>
      </c>
      <c r="T107" s="35" t="str">
        <f t="shared" ref="T107:T109" si="94">SUBSTITUTE(D107, ".", " ")</f>
        <v>Ferroviários</v>
      </c>
      <c r="U107" s="35" t="str">
        <f t="shared" ref="U107:U109" si="95">SUBSTITUTE(E107, ".", " ")</f>
        <v>Trens</v>
      </c>
      <c r="V107" s="34" t="s">
        <v>1341</v>
      </c>
      <c r="W107" s="88" t="str">
        <f t="shared" si="72"/>
        <v>Key-INF-107</v>
      </c>
      <c r="X107" s="35" t="s">
        <v>1363</v>
      </c>
      <c r="Y107" s="35" t="s">
        <v>1408</v>
      </c>
      <c r="Z107" s="86"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926</v>
      </c>
      <c r="D108" s="38" t="s">
        <v>980</v>
      </c>
      <c r="E108" s="42" t="s">
        <v>884</v>
      </c>
      <c r="F108" s="44" t="s">
        <v>981</v>
      </c>
      <c r="G108" s="83" t="s">
        <v>1</v>
      </c>
      <c r="H108" s="83" t="s">
        <v>1</v>
      </c>
      <c r="I108" s="83" t="s">
        <v>1</v>
      </c>
      <c r="J108" s="83" t="s">
        <v>1</v>
      </c>
      <c r="K108" s="83"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983</v>
      </c>
      <c r="Q108" s="37" t="s">
        <v>984</v>
      </c>
      <c r="R108" s="34" t="s">
        <v>1</v>
      </c>
      <c r="S108" s="35" t="str">
        <f t="shared" ref="S108" si="100">SUBSTITUTE(C108, ".", " ")</f>
        <v>Transportes</v>
      </c>
      <c r="T108" s="35" t="str">
        <f t="shared" ref="T108" si="101">SUBSTITUTE(D108, ".", " ")</f>
        <v>Ferroviários</v>
      </c>
      <c r="U108" s="35" t="str">
        <f t="shared" ref="U108" si="102">SUBSTITUTE(E108, ".", " ")</f>
        <v>Trens</v>
      </c>
      <c r="V108" s="34" t="s">
        <v>1341</v>
      </c>
      <c r="W108" s="88" t="str">
        <f t="shared" si="72"/>
        <v>Key-INF-108</v>
      </c>
      <c r="X108" s="35" t="s">
        <v>1363</v>
      </c>
      <c r="Y108" s="35" t="s">
        <v>1408</v>
      </c>
      <c r="Z108" s="86" t="s">
        <v>1</v>
      </c>
      <c r="AA108" s="33" t="str">
        <f t="shared" si="73"/>
        <v>Bullet or high-speed train. It travels at speeds that can reach 300 km/h.</v>
      </c>
    </row>
    <row r="109" spans="1:27" ht="6.6" customHeight="1" x14ac:dyDescent="0.25">
      <c r="A109" s="31">
        <v>109</v>
      </c>
      <c r="B109" s="38" t="s">
        <v>76</v>
      </c>
      <c r="C109" s="39" t="s">
        <v>926</v>
      </c>
      <c r="D109" s="38" t="s">
        <v>980</v>
      </c>
      <c r="E109" s="42" t="s">
        <v>884</v>
      </c>
      <c r="F109" s="44" t="s">
        <v>986</v>
      </c>
      <c r="G109" s="83" t="s">
        <v>1</v>
      </c>
      <c r="H109" s="83" t="s">
        <v>1</v>
      </c>
      <c r="I109" s="83" t="s">
        <v>1</v>
      </c>
      <c r="J109" s="83" t="s">
        <v>1</v>
      </c>
      <c r="K109" s="83" t="s">
        <v>1</v>
      </c>
      <c r="L109" s="36" t="str">
        <f t="shared" si="89"/>
        <v>Transportes</v>
      </c>
      <c r="M109" s="32" t="str">
        <f t="shared" si="90"/>
        <v>Ferroviários</v>
      </c>
      <c r="N109" s="32" t="str">
        <f t="shared" si="91"/>
        <v>Trens</v>
      </c>
      <c r="O109" s="33" t="str">
        <f t="shared" si="92"/>
        <v>Trem.Bala</v>
      </c>
      <c r="P109" s="37" t="s">
        <v>983</v>
      </c>
      <c r="Q109" s="37" t="s">
        <v>984</v>
      </c>
      <c r="R109" s="34" t="s">
        <v>1</v>
      </c>
      <c r="S109" s="35" t="str">
        <f t="shared" si="93"/>
        <v>Transportes</v>
      </c>
      <c r="T109" s="35" t="str">
        <f t="shared" si="94"/>
        <v>Ferroviários</v>
      </c>
      <c r="U109" s="35" t="str">
        <f t="shared" si="95"/>
        <v>Trens</v>
      </c>
      <c r="V109" s="34" t="s">
        <v>1341</v>
      </c>
      <c r="W109" s="88" t="str">
        <f t="shared" si="72"/>
        <v>Key-INF-109</v>
      </c>
      <c r="X109" s="35" t="s">
        <v>1363</v>
      </c>
      <c r="Y109" s="35" t="s">
        <v>1408</v>
      </c>
      <c r="Z109" s="86" t="s">
        <v>1</v>
      </c>
      <c r="AA109" s="33" t="str">
        <f t="shared" si="73"/>
        <v>Bullet or high-speed train. It travels at speeds that can reach 300 km/h.</v>
      </c>
    </row>
    <row r="110" spans="1:27" ht="6.6" customHeight="1" x14ac:dyDescent="0.25">
      <c r="A110" s="31">
        <v>110</v>
      </c>
      <c r="B110" s="38" t="s">
        <v>76</v>
      </c>
      <c r="C110" s="39" t="s">
        <v>926</v>
      </c>
      <c r="D110" s="38" t="s">
        <v>980</v>
      </c>
      <c r="E110" s="42" t="s">
        <v>884</v>
      </c>
      <c r="F110" s="44" t="s">
        <v>987</v>
      </c>
      <c r="G110" s="83" t="s">
        <v>1</v>
      </c>
      <c r="H110" s="83" t="s">
        <v>1</v>
      </c>
      <c r="I110" s="83" t="s">
        <v>1</v>
      </c>
      <c r="J110" s="83" t="s">
        <v>1</v>
      </c>
      <c r="K110" s="83" t="s">
        <v>1</v>
      </c>
      <c r="L110" s="36" t="str">
        <f t="shared" si="85"/>
        <v>Transportes</v>
      </c>
      <c r="M110" s="32" t="str">
        <f t="shared" si="86"/>
        <v>Ferroviários</v>
      </c>
      <c r="N110" s="32" t="str">
        <f t="shared" si="87"/>
        <v>Trens</v>
      </c>
      <c r="O110" s="33" t="str">
        <f t="shared" si="88"/>
        <v>MagLev</v>
      </c>
      <c r="P110" s="37" t="s">
        <v>982</v>
      </c>
      <c r="Q110" s="37" t="s">
        <v>985</v>
      </c>
      <c r="R110" s="34" t="s">
        <v>1</v>
      </c>
      <c r="S110" s="35" t="str">
        <f t="shared" si="83"/>
        <v>Transportes</v>
      </c>
      <c r="T110" s="35" t="str">
        <f t="shared" si="84"/>
        <v>Ferroviários</v>
      </c>
      <c r="U110" s="35" t="str">
        <f t="shared" si="84"/>
        <v>Trens</v>
      </c>
      <c r="V110" s="34" t="s">
        <v>1341</v>
      </c>
      <c r="W110" s="88" t="str">
        <f t="shared" si="72"/>
        <v>Key-INF-110</v>
      </c>
      <c r="X110" s="35" t="s">
        <v>1363</v>
      </c>
      <c r="Y110" s="35" t="s">
        <v>1409</v>
      </c>
      <c r="Z110" s="86"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926</v>
      </c>
      <c r="D111" s="38" t="s">
        <v>927</v>
      </c>
      <c r="E111" s="42" t="s">
        <v>979</v>
      </c>
      <c r="F111" s="44" t="s">
        <v>990</v>
      </c>
      <c r="G111" s="83" t="s">
        <v>1</v>
      </c>
      <c r="H111" s="83" t="s">
        <v>1</v>
      </c>
      <c r="I111" s="83" t="s">
        <v>1</v>
      </c>
      <c r="J111" s="83" t="s">
        <v>1</v>
      </c>
      <c r="K111" s="83"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1341</v>
      </c>
      <c r="W111" s="88" t="str">
        <f t="shared" si="72"/>
        <v>Key-INF-111</v>
      </c>
      <c r="X111" s="35" t="s">
        <v>1363</v>
      </c>
      <c r="Y111" s="35" t="s">
        <v>1409</v>
      </c>
      <c r="Z111" s="86" t="s">
        <v>1</v>
      </c>
      <c r="AA111" s="33" t="str">
        <f t="shared" si="73"/>
        <v>Tractor-type construction vehicle.</v>
      </c>
    </row>
    <row r="112" spans="1:27" ht="6.6" customHeight="1" x14ac:dyDescent="0.25">
      <c r="A112" s="31">
        <v>112</v>
      </c>
      <c r="B112" s="38" t="s">
        <v>76</v>
      </c>
      <c r="C112" s="39" t="s">
        <v>926</v>
      </c>
      <c r="D112" s="38" t="s">
        <v>927</v>
      </c>
      <c r="E112" s="42" t="s">
        <v>979</v>
      </c>
      <c r="F112" s="44" t="s">
        <v>991</v>
      </c>
      <c r="G112" s="83" t="s">
        <v>1</v>
      </c>
      <c r="H112" s="83" t="s">
        <v>1</v>
      </c>
      <c r="I112" s="83" t="s">
        <v>1</v>
      </c>
      <c r="J112" s="83" t="s">
        <v>1</v>
      </c>
      <c r="K112" s="83"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1341</v>
      </c>
      <c r="W112" s="88" t="str">
        <f t="shared" si="72"/>
        <v>Key-INF-112</v>
      </c>
      <c r="X112" s="35" t="s">
        <v>1363</v>
      </c>
      <c r="Y112" s="35" t="s">
        <v>1409</v>
      </c>
      <c r="Z112" s="86" t="s">
        <v>1</v>
      </c>
      <c r="AA112" s="33" t="str">
        <f t="shared" si="73"/>
        <v>Hydraulic excavator type construction vehicle.</v>
      </c>
    </row>
    <row r="113" spans="1:27" ht="6.6" customHeight="1" x14ac:dyDescent="0.25">
      <c r="A113" s="31">
        <v>113</v>
      </c>
      <c r="B113" s="38" t="s">
        <v>76</v>
      </c>
      <c r="C113" s="39" t="s">
        <v>926</v>
      </c>
      <c r="D113" s="38" t="s">
        <v>927</v>
      </c>
      <c r="E113" s="42" t="s">
        <v>979</v>
      </c>
      <c r="F113" s="44" t="s">
        <v>992</v>
      </c>
      <c r="G113" s="83" t="s">
        <v>1</v>
      </c>
      <c r="H113" s="83" t="s">
        <v>1</v>
      </c>
      <c r="I113" s="83" t="s">
        <v>1</v>
      </c>
      <c r="J113" s="83" t="s">
        <v>1</v>
      </c>
      <c r="K113" s="83"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1341</v>
      </c>
      <c r="W113" s="88" t="str">
        <f t="shared" si="72"/>
        <v>Key-INF-113</v>
      </c>
      <c r="X113" s="35" t="s">
        <v>1363</v>
      </c>
      <c r="Y113" s="35" t="s">
        <v>1409</v>
      </c>
      <c r="Z113" s="86" t="s">
        <v>1</v>
      </c>
      <c r="AA113" s="33" t="str">
        <f t="shared" si="73"/>
        <v>Backhoe type work vehicle.</v>
      </c>
    </row>
    <row r="114" spans="1:27" ht="6.6" customHeight="1" x14ac:dyDescent="0.25">
      <c r="A114" s="31">
        <v>114</v>
      </c>
      <c r="B114" s="38" t="s">
        <v>76</v>
      </c>
      <c r="C114" s="39" t="s">
        <v>926</v>
      </c>
      <c r="D114" s="38" t="s">
        <v>927</v>
      </c>
      <c r="E114" s="42" t="s">
        <v>979</v>
      </c>
      <c r="F114" s="44" t="s">
        <v>993</v>
      </c>
      <c r="G114" s="83" t="s">
        <v>1</v>
      </c>
      <c r="H114" s="83" t="s">
        <v>1</v>
      </c>
      <c r="I114" s="83" t="s">
        <v>1</v>
      </c>
      <c r="J114" s="83" t="s">
        <v>1</v>
      </c>
      <c r="K114" s="83"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1341</v>
      </c>
      <c r="W114" s="88" t="str">
        <f t="shared" si="72"/>
        <v>Key-INF-114</v>
      </c>
      <c r="X114" s="35" t="s">
        <v>1363</v>
      </c>
      <c r="Y114" s="35" t="s">
        <v>1409</v>
      </c>
      <c r="Z114" s="86" t="s">
        <v>1</v>
      </c>
      <c r="AA114" s="33" t="str">
        <f t="shared" si="73"/>
        <v>Motor grader-type work vehicle.</v>
      </c>
    </row>
    <row r="115" spans="1:27" ht="6.6" customHeight="1" x14ac:dyDescent="0.25">
      <c r="A115" s="31">
        <v>115</v>
      </c>
      <c r="B115" s="38" t="s">
        <v>76</v>
      </c>
      <c r="C115" s="39" t="s">
        <v>926</v>
      </c>
      <c r="D115" s="38" t="s">
        <v>927</v>
      </c>
      <c r="E115" s="42" t="s">
        <v>979</v>
      </c>
      <c r="F115" s="44" t="s">
        <v>994</v>
      </c>
      <c r="G115" s="83" t="s">
        <v>1</v>
      </c>
      <c r="H115" s="83" t="s">
        <v>1</v>
      </c>
      <c r="I115" s="83" t="s">
        <v>1</v>
      </c>
      <c r="J115" s="83" t="s">
        <v>1</v>
      </c>
      <c r="K115" s="83" t="s">
        <v>1</v>
      </c>
      <c r="L115" s="36" t="str">
        <f t="shared" si="110"/>
        <v>Transportes</v>
      </c>
      <c r="M115" s="32" t="str">
        <f t="shared" si="111"/>
        <v>Terrestres</v>
      </c>
      <c r="N115" s="32" t="str">
        <f t="shared" si="112"/>
        <v>Veículos Maquinária</v>
      </c>
      <c r="O115" s="33" t="str">
        <f t="shared" si="113"/>
        <v>Empilhadeira</v>
      </c>
      <c r="P115" s="37" t="s">
        <v>997</v>
      </c>
      <c r="Q115" s="36" t="s">
        <v>999</v>
      </c>
      <c r="R115" s="34" t="s">
        <v>1</v>
      </c>
      <c r="S115" s="35" t="str">
        <f t="shared" si="114"/>
        <v>Transportes</v>
      </c>
      <c r="T115" s="35" t="str">
        <f t="shared" si="115"/>
        <v>Terrestres</v>
      </c>
      <c r="U115" s="35" t="str">
        <f t="shared" si="116"/>
        <v>Veículos Maquinária</v>
      </c>
      <c r="V115" s="34" t="s">
        <v>1341</v>
      </c>
      <c r="W115" s="88" t="str">
        <f t="shared" si="72"/>
        <v>Key-INF-115</v>
      </c>
      <c r="X115" s="35" t="s">
        <v>1363</v>
      </c>
      <c r="Y115" s="35" t="s">
        <v>1409</v>
      </c>
      <c r="Z115" s="86" t="s">
        <v>1</v>
      </c>
      <c r="AA115" s="33" t="str">
        <f t="shared" si="73"/>
        <v>Forklift type construction vehicle for handling and stacking pallets.</v>
      </c>
    </row>
    <row r="116" spans="1:27" ht="6.6" customHeight="1" x14ac:dyDescent="0.25">
      <c r="A116" s="31">
        <v>116</v>
      </c>
      <c r="B116" s="38" t="s">
        <v>76</v>
      </c>
      <c r="C116" s="39" t="s">
        <v>926</v>
      </c>
      <c r="D116" s="38" t="s">
        <v>927</v>
      </c>
      <c r="E116" s="42" t="s">
        <v>979</v>
      </c>
      <c r="F116" s="44" t="s">
        <v>995</v>
      </c>
      <c r="G116" s="83" t="s">
        <v>1</v>
      </c>
      <c r="H116" s="83" t="s">
        <v>1</v>
      </c>
      <c r="I116" s="83" t="s">
        <v>1</v>
      </c>
      <c r="J116" s="83" t="s">
        <v>1</v>
      </c>
      <c r="K116" s="83" t="s">
        <v>1</v>
      </c>
      <c r="L116" s="36" t="str">
        <f t="shared" si="110"/>
        <v>Transportes</v>
      </c>
      <c r="M116" s="32" t="str">
        <f t="shared" si="111"/>
        <v>Terrestres</v>
      </c>
      <c r="N116" s="32" t="str">
        <f t="shared" si="112"/>
        <v>Veículos Maquinária</v>
      </c>
      <c r="O116" s="33" t="str">
        <f t="shared" si="113"/>
        <v>Munk</v>
      </c>
      <c r="P116" s="37" t="s">
        <v>996</v>
      </c>
      <c r="Q116" s="36" t="s">
        <v>1000</v>
      </c>
      <c r="R116" s="34" t="s">
        <v>1</v>
      </c>
      <c r="S116" s="35" t="str">
        <f t="shared" si="114"/>
        <v>Transportes</v>
      </c>
      <c r="T116" s="35" t="str">
        <f t="shared" si="115"/>
        <v>Terrestres</v>
      </c>
      <c r="U116" s="35" t="str">
        <f t="shared" si="116"/>
        <v>Veículos Maquinária</v>
      </c>
      <c r="V116" s="34" t="s">
        <v>1341</v>
      </c>
      <c r="W116" s="88" t="str">
        <f t="shared" si="72"/>
        <v>Key-INF-116</v>
      </c>
      <c r="X116" s="35" t="s">
        <v>1363</v>
      </c>
      <c r="Y116" s="35" t="s">
        <v>1409</v>
      </c>
      <c r="Z116" s="86" t="s">
        <v>1</v>
      </c>
      <c r="AA116" s="33" t="str">
        <f t="shared" si="73"/>
        <v>Truck-type construction vehicle with built-in crane.</v>
      </c>
    </row>
    <row r="117" spans="1:27" ht="6.6" customHeight="1" x14ac:dyDescent="0.25">
      <c r="A117" s="31">
        <v>117</v>
      </c>
      <c r="B117" s="38" t="s">
        <v>76</v>
      </c>
      <c r="C117" s="39" t="s">
        <v>926</v>
      </c>
      <c r="D117" s="38" t="s">
        <v>927</v>
      </c>
      <c r="E117" s="57" t="s">
        <v>1086</v>
      </c>
      <c r="F117" s="44" t="s">
        <v>1002</v>
      </c>
      <c r="G117" s="83" t="s">
        <v>1</v>
      </c>
      <c r="H117" s="83" t="s">
        <v>1</v>
      </c>
      <c r="I117" s="83" t="s">
        <v>1</v>
      </c>
      <c r="J117" s="83" t="s">
        <v>1</v>
      </c>
      <c r="K117" s="83" t="s">
        <v>1</v>
      </c>
      <c r="L117" s="36" t="str">
        <f t="shared" si="103"/>
        <v>Transportes</v>
      </c>
      <c r="M117" s="32" t="str">
        <f t="shared" si="104"/>
        <v>Terrestres</v>
      </c>
      <c r="N117" s="32" t="str">
        <f t="shared" si="105"/>
        <v>Guindastes</v>
      </c>
      <c r="O117" s="33" t="str">
        <f t="shared" si="106"/>
        <v>Guindaste.Telescópico</v>
      </c>
      <c r="P117" s="37" t="s">
        <v>998</v>
      </c>
      <c r="Q117" s="36" t="s">
        <v>1001</v>
      </c>
      <c r="R117" s="34" t="s">
        <v>1</v>
      </c>
      <c r="S117" s="35" t="str">
        <f t="shared" si="107"/>
        <v>Transportes</v>
      </c>
      <c r="T117" s="35" t="str">
        <f t="shared" si="108"/>
        <v>Terrestres</v>
      </c>
      <c r="U117" s="35" t="str">
        <f t="shared" si="109"/>
        <v>Guindastes</v>
      </c>
      <c r="V117" s="34" t="s">
        <v>1341</v>
      </c>
      <c r="W117" s="88" t="str">
        <f t="shared" si="72"/>
        <v>Key-INF-117</v>
      </c>
      <c r="X117" s="35" t="s">
        <v>1363</v>
      </c>
      <c r="Y117" s="35" t="s">
        <v>1410</v>
      </c>
      <c r="Z117" s="86" t="s">
        <v>1</v>
      </c>
      <c r="AA117" s="33" t="str">
        <f t="shared" si="73"/>
        <v>Truck-type construction vehicle with telescopic lifting system with built-in horizontal and vertical reach.</v>
      </c>
    </row>
    <row r="118" spans="1:27" ht="6.6" customHeight="1" x14ac:dyDescent="0.25">
      <c r="A118" s="31">
        <v>118</v>
      </c>
      <c r="B118" s="38" t="s">
        <v>76</v>
      </c>
      <c r="C118" s="39" t="s">
        <v>926</v>
      </c>
      <c r="D118" s="38" t="s">
        <v>927</v>
      </c>
      <c r="E118" s="57" t="s">
        <v>1086</v>
      </c>
      <c r="F118" s="58" t="s">
        <v>1087</v>
      </c>
      <c r="G118" s="80" t="s">
        <v>1</v>
      </c>
      <c r="H118" s="80" t="s">
        <v>1</v>
      </c>
      <c r="I118" s="80" t="s">
        <v>1</v>
      </c>
      <c r="J118" s="80" t="s">
        <v>1</v>
      </c>
      <c r="K118" s="80"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1089</v>
      </c>
      <c r="Q118" s="36" t="s">
        <v>1211</v>
      </c>
      <c r="R118" s="34" t="s">
        <v>1</v>
      </c>
      <c r="S118" s="35" t="str">
        <f t="shared" ref="S118:S120" si="121">SUBSTITUTE(C118, ".", " ")</f>
        <v>Transportes</v>
      </c>
      <c r="T118" s="35" t="str">
        <f t="shared" ref="T118:T120" si="122">SUBSTITUTE(D118, ".", " ")</f>
        <v>Terrestres</v>
      </c>
      <c r="U118" s="35" t="str">
        <f t="shared" ref="U118:U120" si="123">SUBSTITUTE(E118, ".", " ")</f>
        <v>Guindastes</v>
      </c>
      <c r="V118" s="34" t="s">
        <v>1341</v>
      </c>
      <c r="W118" s="88" t="str">
        <f t="shared" si="72"/>
        <v>Key-INF-118</v>
      </c>
      <c r="X118" s="35" t="s">
        <v>1361</v>
      </c>
      <c r="Y118" s="35" t="s">
        <v>1410</v>
      </c>
      <c r="Z118" s="86" t="s">
        <v>1</v>
      </c>
      <c r="AA118" s="33" t="str">
        <f t="shared" si="73"/>
        <v>Crane-type operation structure moved on rails.</v>
      </c>
    </row>
    <row r="119" spans="1:27" ht="6.6" customHeight="1" x14ac:dyDescent="0.25">
      <c r="A119" s="31">
        <v>119</v>
      </c>
      <c r="B119" s="38" t="s">
        <v>76</v>
      </c>
      <c r="C119" s="39" t="s">
        <v>926</v>
      </c>
      <c r="D119" s="38" t="s">
        <v>927</v>
      </c>
      <c r="E119" s="57" t="s">
        <v>1086</v>
      </c>
      <c r="F119" s="58" t="s">
        <v>1088</v>
      </c>
      <c r="G119" s="80" t="s">
        <v>1</v>
      </c>
      <c r="H119" s="80" t="s">
        <v>1</v>
      </c>
      <c r="I119" s="80" t="s">
        <v>1</v>
      </c>
      <c r="J119" s="80" t="s">
        <v>1</v>
      </c>
      <c r="K119" s="80" t="s">
        <v>1</v>
      </c>
      <c r="L119" s="36" t="str">
        <f t="shared" si="117"/>
        <v>Transportes</v>
      </c>
      <c r="M119" s="32" t="str">
        <f t="shared" si="118"/>
        <v>Terrestres</v>
      </c>
      <c r="N119" s="32" t="str">
        <f t="shared" si="119"/>
        <v>Guindastes</v>
      </c>
      <c r="O119" s="33" t="str">
        <f t="shared" si="120"/>
        <v>Guindaste.Torre</v>
      </c>
      <c r="P119" s="33" t="s">
        <v>1092</v>
      </c>
      <c r="Q119" s="36" t="s">
        <v>1212</v>
      </c>
      <c r="R119" s="34" t="s">
        <v>1</v>
      </c>
      <c r="S119" s="35" t="str">
        <f t="shared" si="121"/>
        <v>Transportes</v>
      </c>
      <c r="T119" s="35" t="str">
        <f t="shared" si="122"/>
        <v>Terrestres</v>
      </c>
      <c r="U119" s="35" t="str">
        <f t="shared" si="123"/>
        <v>Guindastes</v>
      </c>
      <c r="V119" s="34" t="s">
        <v>1341</v>
      </c>
      <c r="W119" s="88" t="str">
        <f t="shared" si="72"/>
        <v>Key-INF-119</v>
      </c>
      <c r="X119" s="35" t="s">
        <v>1361</v>
      </c>
      <c r="Y119" s="35" t="s">
        <v>1410</v>
      </c>
      <c r="Z119" s="86" t="s">
        <v>1</v>
      </c>
      <c r="AA119" s="33" t="str">
        <f t="shared" si="73"/>
        <v>High tower crane type operation structure which can operate by rotation and travel.</v>
      </c>
    </row>
    <row r="120" spans="1:27" ht="6.6" customHeight="1" x14ac:dyDescent="0.25">
      <c r="A120" s="31">
        <v>120</v>
      </c>
      <c r="B120" s="38" t="s">
        <v>76</v>
      </c>
      <c r="C120" s="39" t="s">
        <v>926</v>
      </c>
      <c r="D120" s="38" t="s">
        <v>927</v>
      </c>
      <c r="E120" s="57" t="s">
        <v>1086</v>
      </c>
      <c r="F120" s="58" t="s">
        <v>1090</v>
      </c>
      <c r="G120" s="80" t="s">
        <v>1</v>
      </c>
      <c r="H120" s="80" t="s">
        <v>1</v>
      </c>
      <c r="I120" s="80" t="s">
        <v>1</v>
      </c>
      <c r="J120" s="80" t="s">
        <v>1</v>
      </c>
      <c r="K120" s="80" t="s">
        <v>1</v>
      </c>
      <c r="L120" s="36" t="str">
        <f t="shared" si="117"/>
        <v>Transportes</v>
      </c>
      <c r="M120" s="32" t="str">
        <f t="shared" si="118"/>
        <v>Terrestres</v>
      </c>
      <c r="N120" s="32" t="str">
        <f t="shared" si="119"/>
        <v>Guindastes</v>
      </c>
      <c r="O120" s="33" t="str">
        <f t="shared" si="120"/>
        <v>Guindaste.Lança</v>
      </c>
      <c r="P120" s="33" t="s">
        <v>1091</v>
      </c>
      <c r="Q120" s="36" t="s">
        <v>1213</v>
      </c>
      <c r="R120" s="34" t="s">
        <v>1</v>
      </c>
      <c r="S120" s="35" t="str">
        <f t="shared" si="121"/>
        <v>Transportes</v>
      </c>
      <c r="T120" s="35" t="str">
        <f t="shared" si="122"/>
        <v>Terrestres</v>
      </c>
      <c r="U120" s="35" t="str">
        <f t="shared" si="123"/>
        <v>Guindastes</v>
      </c>
      <c r="V120" s="34" t="s">
        <v>1341</v>
      </c>
      <c r="W120" s="88" t="str">
        <f t="shared" si="72"/>
        <v>Key-INF-120</v>
      </c>
      <c r="X120" s="35" t="s">
        <v>1361</v>
      </c>
      <c r="Y120" s="35" t="s">
        <v>1410</v>
      </c>
      <c r="Z120" s="86" t="s">
        <v>1</v>
      </c>
      <c r="AA120" s="33" t="str">
        <f t="shared" si="73"/>
        <v>Small crane type operation structure that can operate by rotation and travel.</v>
      </c>
    </row>
    <row r="121" spans="1:27" ht="6.6" customHeight="1" x14ac:dyDescent="0.25">
      <c r="A121" s="31">
        <v>121</v>
      </c>
      <c r="B121" s="38" t="s">
        <v>76</v>
      </c>
      <c r="C121" s="39" t="s">
        <v>926</v>
      </c>
      <c r="D121" s="38" t="s">
        <v>927</v>
      </c>
      <c r="E121" s="57" t="s">
        <v>1086</v>
      </c>
      <c r="F121" s="58" t="s">
        <v>1093</v>
      </c>
      <c r="G121" s="80" t="s">
        <v>1</v>
      </c>
      <c r="H121" s="80" t="s">
        <v>1</v>
      </c>
      <c r="I121" s="80" t="s">
        <v>1</v>
      </c>
      <c r="J121" s="80" t="s">
        <v>1</v>
      </c>
      <c r="K121" s="80" t="s">
        <v>1</v>
      </c>
      <c r="L121" s="36" t="str">
        <f t="shared" si="103"/>
        <v>Transportes</v>
      </c>
      <c r="M121" s="32" t="str">
        <f t="shared" si="104"/>
        <v>Terrestres</v>
      </c>
      <c r="N121" s="32" t="str">
        <f t="shared" si="105"/>
        <v>Guindastes</v>
      </c>
      <c r="O121" s="33" t="str">
        <f t="shared" si="106"/>
        <v>Guindaste.Ponte</v>
      </c>
      <c r="P121" s="33" t="s">
        <v>1094</v>
      </c>
      <c r="Q121" s="36" t="s">
        <v>1214</v>
      </c>
      <c r="R121" s="34" t="s">
        <v>1</v>
      </c>
      <c r="S121" s="35" t="str">
        <f t="shared" si="107"/>
        <v>Transportes</v>
      </c>
      <c r="T121" s="35" t="str">
        <f t="shared" si="108"/>
        <v>Terrestres</v>
      </c>
      <c r="U121" s="35" t="str">
        <f t="shared" si="109"/>
        <v>Guindastes</v>
      </c>
      <c r="V121" s="34" t="s">
        <v>1341</v>
      </c>
      <c r="W121" s="88" t="str">
        <f t="shared" si="72"/>
        <v>Key-INF-121</v>
      </c>
      <c r="X121" s="35" t="s">
        <v>1361</v>
      </c>
      <c r="Y121" s="35" t="s">
        <v>1411</v>
      </c>
      <c r="Z121" s="86" t="s">
        <v>1</v>
      </c>
      <c r="AA121" s="33" t="str">
        <f t="shared" si="73"/>
        <v>Crane-type operation structure in gantry format.</v>
      </c>
    </row>
    <row r="122" spans="1:27" ht="6.6" customHeight="1" x14ac:dyDescent="0.25">
      <c r="A122" s="31">
        <v>122</v>
      </c>
      <c r="B122" s="38" t="s">
        <v>76</v>
      </c>
      <c r="C122" s="39" t="s">
        <v>926</v>
      </c>
      <c r="D122" s="38" t="s">
        <v>927</v>
      </c>
      <c r="E122" s="42" t="s">
        <v>921</v>
      </c>
      <c r="F122" s="44" t="s">
        <v>185</v>
      </c>
      <c r="G122" s="83" t="s">
        <v>1</v>
      </c>
      <c r="H122" s="83" t="s">
        <v>1</v>
      </c>
      <c r="I122" s="83" t="s">
        <v>1</v>
      </c>
      <c r="J122" s="83" t="s">
        <v>1</v>
      </c>
      <c r="K122" s="83"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1341</v>
      </c>
      <c r="W122" s="88" t="str">
        <f t="shared" si="72"/>
        <v>Key-INF-122</v>
      </c>
      <c r="X122" s="35" t="s">
        <v>1363</v>
      </c>
      <c r="Y122" s="35" t="s">
        <v>1411</v>
      </c>
      <c r="Z122" s="86" t="s">
        <v>1</v>
      </c>
      <c r="AA122" s="33" t="str">
        <f t="shared" si="73"/>
        <v>High-capacity product loading vehicle with closed body.</v>
      </c>
    </row>
    <row r="123" spans="1:27" ht="6.6" customHeight="1" x14ac:dyDescent="0.25">
      <c r="A123" s="31">
        <v>123</v>
      </c>
      <c r="B123" s="38" t="s">
        <v>76</v>
      </c>
      <c r="C123" s="39" t="s">
        <v>926</v>
      </c>
      <c r="D123" s="38" t="s">
        <v>927</v>
      </c>
      <c r="E123" s="42" t="s">
        <v>921</v>
      </c>
      <c r="F123" s="44" t="s">
        <v>186</v>
      </c>
      <c r="G123" s="83" t="s">
        <v>1</v>
      </c>
      <c r="H123" s="83" t="s">
        <v>1</v>
      </c>
      <c r="I123" s="83" t="s">
        <v>1</v>
      </c>
      <c r="J123" s="83" t="s">
        <v>1</v>
      </c>
      <c r="K123" s="83"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1341</v>
      </c>
      <c r="W123" s="88" t="str">
        <f t="shared" si="72"/>
        <v>Key-INF-123</v>
      </c>
      <c r="X123" s="35" t="s">
        <v>1363</v>
      </c>
      <c r="Y123" s="35" t="s">
        <v>1411</v>
      </c>
      <c r="Z123" s="86" t="s">
        <v>1</v>
      </c>
      <c r="AA123" s="33" t="str">
        <f t="shared" si="73"/>
        <v>Cargo vehicle with a high capacity to transport fluids or fuels.</v>
      </c>
    </row>
    <row r="124" spans="1:27" ht="6.6" customHeight="1" x14ac:dyDescent="0.25">
      <c r="A124" s="31">
        <v>124</v>
      </c>
      <c r="B124" s="38" t="s">
        <v>76</v>
      </c>
      <c r="C124" s="39" t="s">
        <v>926</v>
      </c>
      <c r="D124" s="38" t="s">
        <v>927</v>
      </c>
      <c r="E124" s="42" t="s">
        <v>921</v>
      </c>
      <c r="F124" s="44" t="s">
        <v>187</v>
      </c>
      <c r="G124" s="83" t="s">
        <v>1</v>
      </c>
      <c r="H124" s="83" t="s">
        <v>1</v>
      </c>
      <c r="I124" s="83" t="s">
        <v>1</v>
      </c>
      <c r="J124" s="83" t="s">
        <v>1</v>
      </c>
      <c r="K124" s="83"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1341</v>
      </c>
      <c r="W124" s="88" t="str">
        <f t="shared" si="72"/>
        <v>Key-INF-124</v>
      </c>
      <c r="X124" s="35" t="s">
        <v>1363</v>
      </c>
      <c r="Y124" s="35" t="s">
        <v>1411</v>
      </c>
      <c r="Z124" s="86"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926</v>
      </c>
      <c r="D125" s="38" t="s">
        <v>927</v>
      </c>
      <c r="E125" s="42" t="s">
        <v>921</v>
      </c>
      <c r="F125" s="44" t="s">
        <v>188</v>
      </c>
      <c r="G125" s="83" t="s">
        <v>1</v>
      </c>
      <c r="H125" s="83" t="s">
        <v>1</v>
      </c>
      <c r="I125" s="83" t="s">
        <v>1</v>
      </c>
      <c r="J125" s="83" t="s">
        <v>1</v>
      </c>
      <c r="K125" s="83"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1341</v>
      </c>
      <c r="W125" s="88" t="str">
        <f t="shared" si="72"/>
        <v>Key-INF-125</v>
      </c>
      <c r="X125" s="35" t="s">
        <v>1363</v>
      </c>
      <c r="Y125" s="35" t="s">
        <v>1411</v>
      </c>
      <c r="Z125" s="86" t="s">
        <v>1</v>
      </c>
      <c r="AA125" s="33" t="str">
        <f t="shared" si="73"/>
        <v>High-capacity cargo vehicle with two trailers (or semi-trailers) attached to the tractor truck.</v>
      </c>
    </row>
    <row r="126" spans="1:27" ht="6.6" customHeight="1" x14ac:dyDescent="0.25">
      <c r="A126" s="31">
        <v>126</v>
      </c>
      <c r="B126" s="38" t="s">
        <v>76</v>
      </c>
      <c r="C126" s="39" t="s">
        <v>926</v>
      </c>
      <c r="D126" s="38" t="s">
        <v>927</v>
      </c>
      <c r="E126" s="42" t="s">
        <v>921</v>
      </c>
      <c r="F126" s="44" t="s">
        <v>189</v>
      </c>
      <c r="G126" s="83" t="s">
        <v>1</v>
      </c>
      <c r="H126" s="83" t="s">
        <v>1</v>
      </c>
      <c r="I126" s="83" t="s">
        <v>1</v>
      </c>
      <c r="J126" s="83" t="s">
        <v>1</v>
      </c>
      <c r="K126" s="83"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1341</v>
      </c>
      <c r="W126" s="88" t="str">
        <f t="shared" si="72"/>
        <v>Key-INF-126</v>
      </c>
      <c r="X126" s="35" t="s">
        <v>1363</v>
      </c>
      <c r="Y126" s="35" t="s">
        <v>1411</v>
      </c>
      <c r="Z126" s="86" t="s">
        <v>1</v>
      </c>
      <c r="AA126" s="33" t="str">
        <f t="shared" si="73"/>
        <v>Cargo vehicle with an open or semi-open structure at the rear.</v>
      </c>
    </row>
    <row r="127" spans="1:27" ht="6.6" customHeight="1" x14ac:dyDescent="0.25">
      <c r="A127" s="31">
        <v>127</v>
      </c>
      <c r="B127" s="38" t="s">
        <v>76</v>
      </c>
      <c r="C127" s="39" t="s">
        <v>926</v>
      </c>
      <c r="D127" s="38" t="s">
        <v>927</v>
      </c>
      <c r="E127" s="42" t="s">
        <v>921</v>
      </c>
      <c r="F127" s="44" t="s">
        <v>190</v>
      </c>
      <c r="G127" s="83" t="s">
        <v>1</v>
      </c>
      <c r="H127" s="83" t="s">
        <v>1</v>
      </c>
      <c r="I127" s="83" t="s">
        <v>1</v>
      </c>
      <c r="J127" s="83" t="s">
        <v>1</v>
      </c>
      <c r="K127" s="83"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1341</v>
      </c>
      <c r="W127" s="88" t="str">
        <f t="shared" si="72"/>
        <v>Key-INF-127</v>
      </c>
      <c r="X127" s="35" t="s">
        <v>1363</v>
      </c>
      <c r="Y127" s="35" t="s">
        <v>1411</v>
      </c>
      <c r="Z127" s="86" t="s">
        <v>1</v>
      </c>
      <c r="AA127" s="33" t="str">
        <f t="shared" si="73"/>
        <v>Cargo vehicle used to transport grains.</v>
      </c>
    </row>
    <row r="128" spans="1:27" ht="6.6" customHeight="1" x14ac:dyDescent="0.25">
      <c r="A128" s="31">
        <v>128</v>
      </c>
      <c r="B128" s="38" t="s">
        <v>76</v>
      </c>
      <c r="C128" s="39" t="s">
        <v>926</v>
      </c>
      <c r="D128" s="38" t="s">
        <v>927</v>
      </c>
      <c r="E128" s="42" t="s">
        <v>921</v>
      </c>
      <c r="F128" s="44" t="s">
        <v>194</v>
      </c>
      <c r="G128" s="83" t="s">
        <v>1</v>
      </c>
      <c r="H128" s="83" t="s">
        <v>1</v>
      </c>
      <c r="I128" s="83" t="s">
        <v>1</v>
      </c>
      <c r="J128" s="83" t="s">
        <v>1</v>
      </c>
      <c r="K128" s="83"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1341</v>
      </c>
      <c r="W128" s="88" t="str">
        <f t="shared" si="72"/>
        <v>Key-INF-128</v>
      </c>
      <c r="X128" s="35" t="s">
        <v>1363</v>
      </c>
      <c r="Y128" s="35" t="s">
        <v>1411</v>
      </c>
      <c r="Z128" s="86"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926</v>
      </c>
      <c r="D129" s="38" t="s">
        <v>927</v>
      </c>
      <c r="E129" s="42" t="s">
        <v>921</v>
      </c>
      <c r="F129" s="44" t="s">
        <v>262</v>
      </c>
      <c r="G129" s="83" t="s">
        <v>1</v>
      </c>
      <c r="H129" s="83" t="s">
        <v>1</v>
      </c>
      <c r="I129" s="83" t="s">
        <v>1</v>
      </c>
      <c r="J129" s="83" t="s">
        <v>1</v>
      </c>
      <c r="K129" s="83"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1341</v>
      </c>
      <c r="W129" s="88" t="str">
        <f t="shared" si="72"/>
        <v>Key-INF-129</v>
      </c>
      <c r="X129" s="35" t="s">
        <v>1363</v>
      </c>
      <c r="Y129" s="35" t="s">
        <v>1411</v>
      </c>
      <c r="Z129" s="86" t="s">
        <v>1</v>
      </c>
      <c r="AA129" s="33" t="str">
        <f t="shared" si="73"/>
        <v>Vehicle with cabin and engine to pull semi-trailers forming an articulated set.</v>
      </c>
    </row>
    <row r="130" spans="1:27" ht="6.6" customHeight="1" x14ac:dyDescent="0.25">
      <c r="A130" s="31">
        <v>130</v>
      </c>
      <c r="B130" s="38" t="s">
        <v>76</v>
      </c>
      <c r="C130" s="39" t="s">
        <v>926</v>
      </c>
      <c r="D130" s="38" t="s">
        <v>927</v>
      </c>
      <c r="E130" s="42" t="s">
        <v>921</v>
      </c>
      <c r="F130" s="44" t="s">
        <v>93</v>
      </c>
      <c r="G130" s="83" t="s">
        <v>1</v>
      </c>
      <c r="H130" s="83" t="s">
        <v>1</v>
      </c>
      <c r="I130" s="83" t="s">
        <v>1</v>
      </c>
      <c r="J130" s="83" t="s">
        <v>1</v>
      </c>
      <c r="K130" s="83" t="s">
        <v>1</v>
      </c>
      <c r="L130" s="36" t="str">
        <f t="shared" si="124"/>
        <v>Transportes</v>
      </c>
      <c r="M130" s="32" t="str">
        <f t="shared" si="125"/>
        <v>Terrestres</v>
      </c>
      <c r="N130" s="32" t="str">
        <f t="shared" si="126"/>
        <v>Veículos Pesados</v>
      </c>
      <c r="O130" s="33" t="str">
        <f t="shared" si="127"/>
        <v>Ônibus</v>
      </c>
      <c r="P130" s="37" t="s">
        <v>777</v>
      </c>
      <c r="Q130" s="36" t="s">
        <v>780</v>
      </c>
      <c r="R130" s="34" t="s">
        <v>1</v>
      </c>
      <c r="S130" s="35" t="str">
        <f t="shared" si="128"/>
        <v>Transportes</v>
      </c>
      <c r="T130" s="35" t="str">
        <f t="shared" si="129"/>
        <v>Terrestres</v>
      </c>
      <c r="U130" s="35" t="str">
        <f t="shared" si="130"/>
        <v>Veículos Pesados</v>
      </c>
      <c r="V130" s="34" t="s">
        <v>1341</v>
      </c>
      <c r="W130" s="88" t="str">
        <f t="shared" si="72"/>
        <v>Key-INF-130</v>
      </c>
      <c r="X130" s="35" t="s">
        <v>1363</v>
      </c>
      <c r="Y130" s="35" t="s">
        <v>1411</v>
      </c>
      <c r="Z130" s="86" t="s">
        <v>1</v>
      </c>
      <c r="AA130" s="33" t="str">
        <f t="shared" si="73"/>
        <v>Public transport vehicle with more than 20 passengers.</v>
      </c>
    </row>
    <row r="131" spans="1:27" ht="6.6" customHeight="1" x14ac:dyDescent="0.25">
      <c r="A131" s="31">
        <v>131</v>
      </c>
      <c r="B131" s="38" t="s">
        <v>76</v>
      </c>
      <c r="C131" s="39" t="s">
        <v>926</v>
      </c>
      <c r="D131" s="38" t="s">
        <v>927</v>
      </c>
      <c r="E131" s="42" t="s">
        <v>921</v>
      </c>
      <c r="F131" s="44" t="s">
        <v>776</v>
      </c>
      <c r="G131" s="83" t="s">
        <v>1</v>
      </c>
      <c r="H131" s="83" t="s">
        <v>1</v>
      </c>
      <c r="I131" s="83" t="s">
        <v>1</v>
      </c>
      <c r="J131" s="83" t="s">
        <v>1</v>
      </c>
      <c r="K131" s="83" t="s">
        <v>1</v>
      </c>
      <c r="L131" s="36" t="str">
        <f t="shared" si="124"/>
        <v>Transportes</v>
      </c>
      <c r="M131" s="32" t="str">
        <f t="shared" si="125"/>
        <v>Terrestres</v>
      </c>
      <c r="N131" s="32" t="str">
        <f t="shared" si="126"/>
        <v>Veículos Pesados</v>
      </c>
      <c r="O131" s="33" t="str">
        <f t="shared" si="127"/>
        <v>Ônibus.BRT</v>
      </c>
      <c r="P131" s="37" t="s">
        <v>778</v>
      </c>
      <c r="Q131" s="36" t="s">
        <v>781</v>
      </c>
      <c r="R131" s="34" t="s">
        <v>1</v>
      </c>
      <c r="S131" s="35" t="str">
        <f t="shared" si="128"/>
        <v>Transportes</v>
      </c>
      <c r="T131" s="35" t="str">
        <f t="shared" si="129"/>
        <v>Terrestres</v>
      </c>
      <c r="U131" s="35" t="str">
        <f t="shared" si="130"/>
        <v>Veículos Pesados</v>
      </c>
      <c r="V131" s="34" t="s">
        <v>1341</v>
      </c>
      <c r="W131" s="88" t="str">
        <f t="shared" si="72"/>
        <v>Key-INF-131</v>
      </c>
      <c r="X131" s="35" t="s">
        <v>1363</v>
      </c>
      <c r="Y131" s="35" t="s">
        <v>1411</v>
      </c>
      <c r="Z131" s="86"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926</v>
      </c>
      <c r="D132" s="38" t="s">
        <v>927</v>
      </c>
      <c r="E132" s="42" t="s">
        <v>921</v>
      </c>
      <c r="F132" s="44" t="s">
        <v>94</v>
      </c>
      <c r="G132" s="83" t="s">
        <v>1</v>
      </c>
      <c r="H132" s="83" t="s">
        <v>1</v>
      </c>
      <c r="I132" s="83" t="s">
        <v>1</v>
      </c>
      <c r="J132" s="83" t="s">
        <v>1</v>
      </c>
      <c r="K132" s="83" t="s">
        <v>1</v>
      </c>
      <c r="L132" s="36" t="str">
        <f t="shared" si="124"/>
        <v>Transportes</v>
      </c>
      <c r="M132" s="32" t="str">
        <f t="shared" si="125"/>
        <v>Terrestres</v>
      </c>
      <c r="N132" s="32" t="str">
        <f t="shared" si="126"/>
        <v>Veículos Pesados</v>
      </c>
      <c r="O132" s="33" t="str">
        <f t="shared" si="127"/>
        <v>Microônibus</v>
      </c>
      <c r="P132" s="37" t="s">
        <v>779</v>
      </c>
      <c r="Q132" s="36" t="s">
        <v>782</v>
      </c>
      <c r="R132" s="34" t="s">
        <v>1</v>
      </c>
      <c r="S132" s="35" t="str">
        <f t="shared" si="128"/>
        <v>Transportes</v>
      </c>
      <c r="T132" s="35" t="str">
        <f t="shared" si="129"/>
        <v>Terrestres</v>
      </c>
      <c r="U132" s="35" t="str">
        <f t="shared" si="130"/>
        <v>Veículos Pesados</v>
      </c>
      <c r="V132" s="34" t="s">
        <v>1341</v>
      </c>
      <c r="W132" s="88" t="str">
        <f t="shared" si="72"/>
        <v>Key-INF-132</v>
      </c>
      <c r="X132" s="35" t="s">
        <v>1363</v>
      </c>
      <c r="Y132" s="35" t="s">
        <v>1411</v>
      </c>
      <c r="Z132" s="86" t="s">
        <v>1</v>
      </c>
      <c r="AA132" s="33" t="str">
        <f t="shared" si="73"/>
        <v>Public transport vehicle with up to 20 passengers.</v>
      </c>
    </row>
    <row r="133" spans="1:27" ht="6.6" customHeight="1" x14ac:dyDescent="0.25">
      <c r="A133" s="31">
        <v>133</v>
      </c>
      <c r="B133" s="38" t="s">
        <v>76</v>
      </c>
      <c r="C133" s="39" t="s">
        <v>926</v>
      </c>
      <c r="D133" s="38" t="s">
        <v>927</v>
      </c>
      <c r="E133" s="42" t="s">
        <v>921</v>
      </c>
      <c r="F133" s="44" t="s">
        <v>99</v>
      </c>
      <c r="G133" s="83" t="s">
        <v>1</v>
      </c>
      <c r="H133" s="83" t="s">
        <v>1</v>
      </c>
      <c r="I133" s="83" t="s">
        <v>1</v>
      </c>
      <c r="J133" s="83" t="s">
        <v>1</v>
      </c>
      <c r="K133" s="83"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1341</v>
      </c>
      <c r="W133" s="88" t="str">
        <f t="shared" si="72"/>
        <v>Key-INF-133</v>
      </c>
      <c r="X133" s="35" t="s">
        <v>1363</v>
      </c>
      <c r="Y133" s="35" t="s">
        <v>1411</v>
      </c>
      <c r="Z133" s="86" t="s">
        <v>1</v>
      </c>
      <c r="AA133" s="33" t="str">
        <f t="shared" si="73"/>
        <v>Non-motorized vehicle coupled to another.</v>
      </c>
    </row>
    <row r="134" spans="1:27" ht="6.6" customHeight="1" x14ac:dyDescent="0.25">
      <c r="A134" s="31">
        <v>134</v>
      </c>
      <c r="B134" s="38" t="s">
        <v>76</v>
      </c>
      <c r="C134" s="39" t="s">
        <v>926</v>
      </c>
      <c r="D134" s="38" t="s">
        <v>927</v>
      </c>
      <c r="E134" s="42" t="s">
        <v>921</v>
      </c>
      <c r="F134" s="44" t="s">
        <v>100</v>
      </c>
      <c r="G134" s="83" t="s">
        <v>1</v>
      </c>
      <c r="H134" s="83" t="s">
        <v>1</v>
      </c>
      <c r="I134" s="83" t="s">
        <v>1</v>
      </c>
      <c r="J134" s="83" t="s">
        <v>1</v>
      </c>
      <c r="K134" s="83"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1341</v>
      </c>
      <c r="W134" s="88" t="str">
        <f t="shared" si="72"/>
        <v>Key-INF-134</v>
      </c>
      <c r="X134" s="35" t="s">
        <v>1363</v>
      </c>
      <c r="Y134" s="35" t="s">
        <v>1412</v>
      </c>
      <c r="Z134" s="86" t="s">
        <v>1</v>
      </c>
      <c r="AA134" s="33" t="str">
        <f t="shared" si="73"/>
        <v>Non-motorized vehicle coupled to another.</v>
      </c>
    </row>
    <row r="135" spans="1:27" ht="6.6" customHeight="1" x14ac:dyDescent="0.25">
      <c r="A135" s="31">
        <v>135</v>
      </c>
      <c r="B135" s="38" t="s">
        <v>76</v>
      </c>
      <c r="C135" s="39" t="s">
        <v>926</v>
      </c>
      <c r="D135" s="38" t="s">
        <v>927</v>
      </c>
      <c r="E135" s="42" t="s">
        <v>921</v>
      </c>
      <c r="F135" s="44" t="s">
        <v>101</v>
      </c>
      <c r="G135" s="83" t="s">
        <v>1</v>
      </c>
      <c r="H135" s="83" t="s">
        <v>1</v>
      </c>
      <c r="I135" s="83" t="s">
        <v>1</v>
      </c>
      <c r="J135" s="83" t="s">
        <v>1</v>
      </c>
      <c r="K135" s="83"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1341</v>
      </c>
      <c r="W135" s="88" t="str">
        <f t="shared" si="72"/>
        <v>Key-INF-135</v>
      </c>
      <c r="X135" s="35" t="s">
        <v>1363</v>
      </c>
      <c r="Y135" s="35" t="s">
        <v>1412</v>
      </c>
      <c r="Z135" s="86" t="s">
        <v>1</v>
      </c>
      <c r="AA135" s="33" t="str">
        <f t="shared" si="73"/>
        <v>Vehicle that transports cargo and passengers simultaneously.</v>
      </c>
    </row>
    <row r="136" spans="1:27" ht="6.6" customHeight="1" x14ac:dyDescent="0.25">
      <c r="A136" s="31">
        <v>136</v>
      </c>
      <c r="B136" s="38" t="s">
        <v>76</v>
      </c>
      <c r="C136" s="39" t="s">
        <v>926</v>
      </c>
      <c r="D136" s="38" t="s">
        <v>927</v>
      </c>
      <c r="E136" s="42" t="s">
        <v>921</v>
      </c>
      <c r="F136" s="44" t="s">
        <v>102</v>
      </c>
      <c r="G136" s="83" t="s">
        <v>1</v>
      </c>
      <c r="H136" s="83" t="s">
        <v>1</v>
      </c>
      <c r="I136" s="83" t="s">
        <v>1</v>
      </c>
      <c r="J136" s="83" t="s">
        <v>1</v>
      </c>
      <c r="K136" s="83"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1341</v>
      </c>
      <c r="W136" s="88" t="str">
        <f t="shared" ref="W136:W199" si="131">CONCATENATE("Key-INF-",A136)</f>
        <v>Key-INF-136</v>
      </c>
      <c r="X136" s="35" t="s">
        <v>1363</v>
      </c>
      <c r="Y136" s="35" t="s">
        <v>1412</v>
      </c>
      <c r="Z136" s="86" t="s">
        <v>1</v>
      </c>
      <c r="AA136" s="33" t="str">
        <f t="shared" si="73"/>
        <v>Vehicles adapted for specific functions such as ambulance, fire engine, school transport, etc.</v>
      </c>
    </row>
    <row r="137" spans="1:27" ht="6.6" customHeight="1" x14ac:dyDescent="0.25">
      <c r="A137" s="31">
        <v>137</v>
      </c>
      <c r="B137" s="38" t="s">
        <v>76</v>
      </c>
      <c r="C137" s="39" t="s">
        <v>926</v>
      </c>
      <c r="D137" s="38" t="s">
        <v>927</v>
      </c>
      <c r="E137" s="42" t="s">
        <v>922</v>
      </c>
      <c r="F137" s="44" t="s">
        <v>91</v>
      </c>
      <c r="G137" s="83" t="s">
        <v>1</v>
      </c>
      <c r="H137" s="83" t="s">
        <v>1</v>
      </c>
      <c r="I137" s="83" t="s">
        <v>1</v>
      </c>
      <c r="J137" s="83" t="s">
        <v>1</v>
      </c>
      <c r="K137" s="83"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924</v>
      </c>
      <c r="Q137" s="36" t="s">
        <v>200</v>
      </c>
      <c r="R137" s="34" t="s">
        <v>1</v>
      </c>
      <c r="S137" s="35" t="str">
        <f t="shared" si="83"/>
        <v>Transportes</v>
      </c>
      <c r="T137" s="35" t="str">
        <f t="shared" si="84"/>
        <v>Terrestres</v>
      </c>
      <c r="U137" s="35" t="str">
        <f t="shared" si="84"/>
        <v>Veículos Leves</v>
      </c>
      <c r="V137" s="34" t="s">
        <v>1341</v>
      </c>
      <c r="W137" s="88" t="str">
        <f t="shared" si="131"/>
        <v>Key-INF-137</v>
      </c>
      <c r="X137" s="35" t="s">
        <v>1363</v>
      </c>
      <c r="Y137" s="35" t="s">
        <v>1412</v>
      </c>
      <c r="Z137" s="86"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926</v>
      </c>
      <c r="D138" s="38" t="s">
        <v>927</v>
      </c>
      <c r="E138" s="42" t="s">
        <v>922</v>
      </c>
      <c r="F138" s="44" t="s">
        <v>92</v>
      </c>
      <c r="G138" s="83" t="s">
        <v>1</v>
      </c>
      <c r="H138" s="83" t="s">
        <v>1</v>
      </c>
      <c r="I138" s="83" t="s">
        <v>1</v>
      </c>
      <c r="J138" s="83" t="s">
        <v>1</v>
      </c>
      <c r="K138" s="83" t="s">
        <v>1</v>
      </c>
      <c r="L138" s="36" t="str">
        <f t="shared" si="132"/>
        <v>Transportes</v>
      </c>
      <c r="M138" s="32" t="str">
        <f t="shared" si="133"/>
        <v>Terrestres</v>
      </c>
      <c r="N138" s="32" t="str">
        <f t="shared" si="134"/>
        <v>Veículos Leves</v>
      </c>
      <c r="O138" s="33" t="str">
        <f t="shared" si="135"/>
        <v>Caminhonete</v>
      </c>
      <c r="P138" s="37" t="s">
        <v>925</v>
      </c>
      <c r="Q138" s="36" t="s">
        <v>201</v>
      </c>
      <c r="R138" s="34" t="s">
        <v>1</v>
      </c>
      <c r="S138" s="35" t="str">
        <f t="shared" si="83"/>
        <v>Transportes</v>
      </c>
      <c r="T138" s="35" t="str">
        <f t="shared" si="84"/>
        <v>Terrestres</v>
      </c>
      <c r="U138" s="35" t="str">
        <f t="shared" si="84"/>
        <v>Veículos Leves</v>
      </c>
      <c r="V138" s="34" t="s">
        <v>1341</v>
      </c>
      <c r="W138" s="88" t="str">
        <f t="shared" si="131"/>
        <v>Key-INF-138</v>
      </c>
      <c r="X138" s="35" t="s">
        <v>1363</v>
      </c>
      <c r="Y138" s="35" t="s">
        <v>1412</v>
      </c>
      <c r="Z138" s="86" t="s">
        <v>1</v>
      </c>
      <c r="AA138" s="33" t="str">
        <f t="shared" si="136"/>
        <v>With a total gross weight (GVW) of up to 3,500 kg, they are classified as light. Mixed vehicle with cabin and bucket.</v>
      </c>
    </row>
    <row r="139" spans="1:27" ht="6.6" customHeight="1" x14ac:dyDescent="0.25">
      <c r="A139" s="31">
        <v>139</v>
      </c>
      <c r="B139" s="38" t="s">
        <v>76</v>
      </c>
      <c r="C139" s="39" t="s">
        <v>926</v>
      </c>
      <c r="D139" s="38" t="s">
        <v>927</v>
      </c>
      <c r="E139" s="42" t="s">
        <v>922</v>
      </c>
      <c r="F139" s="44" t="s">
        <v>90</v>
      </c>
      <c r="G139" s="83" t="s">
        <v>1</v>
      </c>
      <c r="H139" s="83" t="s">
        <v>1</v>
      </c>
      <c r="I139" s="83" t="s">
        <v>1</v>
      </c>
      <c r="J139" s="83" t="s">
        <v>1</v>
      </c>
      <c r="K139" s="83"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923</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1341</v>
      </c>
      <c r="W139" s="88" t="str">
        <f t="shared" si="131"/>
        <v>Key-INF-139</v>
      </c>
      <c r="X139" s="35" t="s">
        <v>1363</v>
      </c>
      <c r="Y139" s="35" t="s">
        <v>1412</v>
      </c>
      <c r="Z139" s="86"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926</v>
      </c>
      <c r="D140" s="38" t="s">
        <v>927</v>
      </c>
      <c r="E140" s="42" t="s">
        <v>922</v>
      </c>
      <c r="F140" s="44" t="s">
        <v>95</v>
      </c>
      <c r="G140" s="83" t="s">
        <v>1</v>
      </c>
      <c r="H140" s="83" t="s">
        <v>1</v>
      </c>
      <c r="I140" s="83" t="s">
        <v>1</v>
      </c>
      <c r="J140" s="83" t="s">
        <v>1</v>
      </c>
      <c r="K140" s="83"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1341</v>
      </c>
      <c r="W140" s="88" t="str">
        <f t="shared" si="131"/>
        <v>Key-INF-140</v>
      </c>
      <c r="X140" s="35" t="s">
        <v>1363</v>
      </c>
      <c r="Y140" s="35" t="s">
        <v>1412</v>
      </c>
      <c r="Z140" s="86" t="s">
        <v>1</v>
      </c>
      <c r="AA140" s="33" t="str">
        <f t="shared" si="136"/>
        <v>Open, motorized two-wheeled vehicle.</v>
      </c>
    </row>
    <row r="141" spans="1:27" ht="6.6" customHeight="1" x14ac:dyDescent="0.25">
      <c r="A141" s="31">
        <v>141</v>
      </c>
      <c r="B141" s="38" t="s">
        <v>76</v>
      </c>
      <c r="C141" s="39" t="s">
        <v>926</v>
      </c>
      <c r="D141" s="38" t="s">
        <v>927</v>
      </c>
      <c r="E141" s="42" t="s">
        <v>922</v>
      </c>
      <c r="F141" s="44" t="s">
        <v>96</v>
      </c>
      <c r="G141" s="83" t="s">
        <v>1</v>
      </c>
      <c r="H141" s="83" t="s">
        <v>1</v>
      </c>
      <c r="I141" s="83" t="s">
        <v>1</v>
      </c>
      <c r="J141" s="83" t="s">
        <v>1</v>
      </c>
      <c r="K141" s="83"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1341</v>
      </c>
      <c r="W141" s="88" t="str">
        <f t="shared" si="131"/>
        <v>Key-INF-141</v>
      </c>
      <c r="X141" s="35" t="s">
        <v>1363</v>
      </c>
      <c r="Y141" s="35" t="s">
        <v>1412</v>
      </c>
      <c r="Z141" s="86" t="s">
        <v>1</v>
      </c>
      <c r="AA141" s="33" t="str">
        <f t="shared" si="136"/>
        <v>Open, motorized two-wheeled vehicle.</v>
      </c>
    </row>
    <row r="142" spans="1:27" ht="6.6" customHeight="1" x14ac:dyDescent="0.25">
      <c r="A142" s="31">
        <v>142</v>
      </c>
      <c r="B142" s="38" t="s">
        <v>76</v>
      </c>
      <c r="C142" s="39" t="s">
        <v>926</v>
      </c>
      <c r="D142" s="38" t="s">
        <v>927</v>
      </c>
      <c r="E142" s="42" t="s">
        <v>922</v>
      </c>
      <c r="F142" s="44" t="s">
        <v>98</v>
      </c>
      <c r="G142" s="83" t="s">
        <v>1</v>
      </c>
      <c r="H142" s="83" t="s">
        <v>1</v>
      </c>
      <c r="I142" s="83" t="s">
        <v>1</v>
      </c>
      <c r="J142" s="83" t="s">
        <v>1</v>
      </c>
      <c r="K142" s="83"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1341</v>
      </c>
      <c r="W142" s="88" t="str">
        <f t="shared" si="131"/>
        <v>Key-INF-142</v>
      </c>
      <c r="X142" s="35" t="s">
        <v>1363</v>
      </c>
      <c r="Y142" s="35" t="s">
        <v>1412</v>
      </c>
      <c r="Z142" s="86" t="s">
        <v>1</v>
      </c>
      <c r="AA142" s="33" t="str">
        <f t="shared" si="136"/>
        <v>Open, motorized four-wheeled vehicle.</v>
      </c>
    </row>
    <row r="143" spans="1:27" ht="6.6" customHeight="1" x14ac:dyDescent="0.25">
      <c r="A143" s="31">
        <v>143</v>
      </c>
      <c r="B143" s="38" t="s">
        <v>76</v>
      </c>
      <c r="C143" s="39" t="s">
        <v>926</v>
      </c>
      <c r="D143" s="38" t="s">
        <v>927</v>
      </c>
      <c r="E143" s="42" t="s">
        <v>922</v>
      </c>
      <c r="F143" s="44" t="s">
        <v>97</v>
      </c>
      <c r="G143" s="83" t="s">
        <v>1</v>
      </c>
      <c r="H143" s="83" t="s">
        <v>1</v>
      </c>
      <c r="I143" s="83" t="s">
        <v>1</v>
      </c>
      <c r="J143" s="83" t="s">
        <v>1</v>
      </c>
      <c r="K143" s="83"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1341</v>
      </c>
      <c r="W143" s="88" t="str">
        <f t="shared" si="131"/>
        <v>Key-INF-143</v>
      </c>
      <c r="X143" s="35" t="s">
        <v>1363</v>
      </c>
      <c r="Y143" s="35" t="s">
        <v>1412</v>
      </c>
      <c r="Z143" s="86" t="s">
        <v>1</v>
      </c>
      <c r="AA143" s="33" t="str">
        <f t="shared" si="136"/>
        <v>Open, motorized three-wheeled vehicle.</v>
      </c>
    </row>
    <row r="144" spans="1:27" ht="6.6" customHeight="1" x14ac:dyDescent="0.25">
      <c r="A144" s="31">
        <v>144</v>
      </c>
      <c r="B144" s="38" t="s">
        <v>76</v>
      </c>
      <c r="C144" s="39" t="s">
        <v>926</v>
      </c>
      <c r="D144" s="38" t="s">
        <v>927</v>
      </c>
      <c r="E144" s="42" t="s">
        <v>922</v>
      </c>
      <c r="F144" s="44" t="s">
        <v>178</v>
      </c>
      <c r="G144" s="83" t="s">
        <v>1</v>
      </c>
      <c r="H144" s="83" t="s">
        <v>1</v>
      </c>
      <c r="I144" s="83" t="s">
        <v>1</v>
      </c>
      <c r="J144" s="83" t="s">
        <v>1</v>
      </c>
      <c r="K144" s="83" t="s">
        <v>1</v>
      </c>
      <c r="L144" s="36" t="str">
        <f t="shared" si="132"/>
        <v>Transportes</v>
      </c>
      <c r="M144" s="32" t="str">
        <f t="shared" si="133"/>
        <v>Terrestres</v>
      </c>
      <c r="N144" s="32" t="str">
        <f t="shared" si="134"/>
        <v>Veículos Leves</v>
      </c>
      <c r="O144" s="33" t="str">
        <f t="shared" si="135"/>
        <v>Bicicleta</v>
      </c>
      <c r="P144" s="37" t="s">
        <v>184</v>
      </c>
      <c r="Q144" s="36" t="s">
        <v>1215</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1341</v>
      </c>
      <c r="W144" s="88" t="str">
        <f t="shared" si="131"/>
        <v>Key-INF-144</v>
      </c>
      <c r="X144" s="35" t="s">
        <v>1363</v>
      </c>
      <c r="Y144" s="35" t="s">
        <v>1413</v>
      </c>
      <c r="Z144" s="86" t="s">
        <v>1</v>
      </c>
      <c r="AA144" s="33" t="str">
        <f t="shared" si="136"/>
        <v>An open vehicle with two aligned wheels, moved by the user's own effort by means of pedals.</v>
      </c>
    </row>
    <row r="145" spans="1:27" ht="6.6" customHeight="1" x14ac:dyDescent="0.25">
      <c r="A145" s="31">
        <v>145</v>
      </c>
      <c r="B145" s="38" t="s">
        <v>76</v>
      </c>
      <c r="C145" s="39" t="s">
        <v>926</v>
      </c>
      <c r="D145" s="38" t="s">
        <v>928</v>
      </c>
      <c r="E145" s="42" t="s">
        <v>895</v>
      </c>
      <c r="F145" s="44" t="s">
        <v>376</v>
      </c>
      <c r="G145" s="83" t="s">
        <v>1</v>
      </c>
      <c r="H145" s="83" t="s">
        <v>1</v>
      </c>
      <c r="I145" s="83" t="s">
        <v>1</v>
      </c>
      <c r="J145" s="83" t="s">
        <v>1</v>
      </c>
      <c r="K145" s="83"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1341</v>
      </c>
      <c r="W145" s="88" t="str">
        <f t="shared" si="131"/>
        <v>Key-INF-145</v>
      </c>
      <c r="X145" s="35" t="s">
        <v>1363</v>
      </c>
      <c r="Y145" s="35" t="s">
        <v>1413</v>
      </c>
      <c r="Z145" s="86" t="s">
        <v>1</v>
      </c>
      <c r="AA145" s="33" t="str">
        <f t="shared" si="136"/>
        <v>Crude oil cargo ship.</v>
      </c>
    </row>
    <row r="146" spans="1:27" ht="6.6" customHeight="1" x14ac:dyDescent="0.25">
      <c r="A146" s="31">
        <v>146</v>
      </c>
      <c r="B146" s="38" t="s">
        <v>76</v>
      </c>
      <c r="C146" s="39" t="s">
        <v>926</v>
      </c>
      <c r="D146" s="38" t="s">
        <v>928</v>
      </c>
      <c r="E146" s="42" t="s">
        <v>895</v>
      </c>
      <c r="F146" s="44" t="s">
        <v>379</v>
      </c>
      <c r="G146" s="83" t="s">
        <v>1</v>
      </c>
      <c r="H146" s="83" t="s">
        <v>1</v>
      </c>
      <c r="I146" s="83" t="s">
        <v>1</v>
      </c>
      <c r="J146" s="83" t="s">
        <v>1</v>
      </c>
      <c r="K146" s="83"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1341</v>
      </c>
      <c r="W146" s="88" t="str">
        <f t="shared" si="131"/>
        <v>Key-INF-146</v>
      </c>
      <c r="X146" s="35" t="s">
        <v>1363</v>
      </c>
      <c r="Y146" s="35" t="s">
        <v>1413</v>
      </c>
      <c r="Z146" s="86" t="s">
        <v>1</v>
      </c>
      <c r="AA146" s="33" t="str">
        <f t="shared" si="136"/>
        <v>General dry cargo ship.</v>
      </c>
    </row>
    <row r="147" spans="1:27" ht="6.6" customHeight="1" x14ac:dyDescent="0.25">
      <c r="A147" s="31">
        <v>147</v>
      </c>
      <c r="B147" s="38" t="s">
        <v>76</v>
      </c>
      <c r="C147" s="39" t="s">
        <v>926</v>
      </c>
      <c r="D147" s="38" t="s">
        <v>928</v>
      </c>
      <c r="E147" s="42" t="s">
        <v>895</v>
      </c>
      <c r="F147" s="44" t="s">
        <v>382</v>
      </c>
      <c r="G147" s="83" t="s">
        <v>1</v>
      </c>
      <c r="H147" s="83" t="s">
        <v>1</v>
      </c>
      <c r="I147" s="83" t="s">
        <v>1</v>
      </c>
      <c r="J147" s="83" t="s">
        <v>1</v>
      </c>
      <c r="K147" s="83"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1341</v>
      </c>
      <c r="W147" s="88" t="str">
        <f t="shared" si="131"/>
        <v>Key-INF-147</v>
      </c>
      <c r="X147" s="35" t="s">
        <v>1363</v>
      </c>
      <c r="Y147" s="35" t="s">
        <v>1413</v>
      </c>
      <c r="Z147" s="86" t="s">
        <v>1</v>
      </c>
      <c r="AA147" s="33" t="str">
        <f t="shared" si="136"/>
        <v>General dry cargo ships such as grain, cement and steel, access small ports with limited infrastructure.</v>
      </c>
    </row>
    <row r="148" spans="1:27" ht="6.6" customHeight="1" x14ac:dyDescent="0.25">
      <c r="A148" s="31">
        <v>148</v>
      </c>
      <c r="B148" s="38" t="s">
        <v>76</v>
      </c>
      <c r="C148" s="39" t="s">
        <v>926</v>
      </c>
      <c r="D148" s="38" t="s">
        <v>928</v>
      </c>
      <c r="E148" s="42" t="s">
        <v>895</v>
      </c>
      <c r="F148" s="44" t="s">
        <v>385</v>
      </c>
      <c r="G148" s="83" t="s">
        <v>1</v>
      </c>
      <c r="H148" s="83" t="s">
        <v>1</v>
      </c>
      <c r="I148" s="83" t="s">
        <v>1</v>
      </c>
      <c r="J148" s="83" t="s">
        <v>1</v>
      </c>
      <c r="K148" s="83"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1341</v>
      </c>
      <c r="W148" s="88" t="str">
        <f t="shared" si="131"/>
        <v>Key-INF-148</v>
      </c>
      <c r="X148" s="35" t="s">
        <v>1363</v>
      </c>
      <c r="Y148" s="35" t="s">
        <v>1413</v>
      </c>
      <c r="Z148" s="86" t="s">
        <v>1</v>
      </c>
      <c r="AA148" s="33" t="str">
        <f t="shared" si="136"/>
        <v>Ship of varied cargoes, equipped with its own cranes, ideal for smaller ports.</v>
      </c>
    </row>
    <row r="149" spans="1:27" ht="6.6" customHeight="1" x14ac:dyDescent="0.25">
      <c r="A149" s="31">
        <v>149</v>
      </c>
      <c r="B149" s="38" t="s">
        <v>76</v>
      </c>
      <c r="C149" s="39" t="s">
        <v>926</v>
      </c>
      <c r="D149" s="38" t="s">
        <v>928</v>
      </c>
      <c r="E149" s="42" t="s">
        <v>895</v>
      </c>
      <c r="F149" s="44" t="s">
        <v>388</v>
      </c>
      <c r="G149" s="83" t="s">
        <v>1</v>
      </c>
      <c r="H149" s="83" t="s">
        <v>1</v>
      </c>
      <c r="I149" s="83" t="s">
        <v>1</v>
      </c>
      <c r="J149" s="83" t="s">
        <v>1</v>
      </c>
      <c r="K149" s="83"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1341</v>
      </c>
      <c r="W149" s="88" t="str">
        <f t="shared" si="131"/>
        <v>Key-INF-149</v>
      </c>
      <c r="X149" s="35" t="s">
        <v>1363</v>
      </c>
      <c r="Y149" s="35" t="s">
        <v>1413</v>
      </c>
      <c r="Z149" s="86" t="s">
        <v>1</v>
      </c>
      <c r="AA149" s="33" t="str">
        <f t="shared" si="136"/>
        <v>Dry cargo ship like coal and fertilizer, similar to the Handymax but with higher capacity.</v>
      </c>
    </row>
    <row r="150" spans="1:27" ht="6.6" customHeight="1" x14ac:dyDescent="0.25">
      <c r="A150" s="31">
        <v>150</v>
      </c>
      <c r="B150" s="38" t="s">
        <v>76</v>
      </c>
      <c r="C150" s="39" t="s">
        <v>926</v>
      </c>
      <c r="D150" s="38" t="s">
        <v>928</v>
      </c>
      <c r="E150" s="42" t="s">
        <v>895</v>
      </c>
      <c r="F150" s="44" t="s">
        <v>391</v>
      </c>
      <c r="G150" s="83" t="s">
        <v>1</v>
      </c>
      <c r="H150" s="83" t="s">
        <v>1</v>
      </c>
      <c r="I150" s="83" t="s">
        <v>1</v>
      </c>
      <c r="J150" s="83" t="s">
        <v>1</v>
      </c>
      <c r="K150" s="83"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1341</v>
      </c>
      <c r="W150" s="88" t="str">
        <f t="shared" si="131"/>
        <v>Key-INF-150</v>
      </c>
      <c r="X150" s="35" t="s">
        <v>1363</v>
      </c>
      <c r="Y150" s="35" t="s">
        <v>1413</v>
      </c>
      <c r="Z150" s="86" t="s">
        <v>1</v>
      </c>
      <c r="AA150" s="33" t="str">
        <f t="shared" si="136"/>
        <v>Grain, coal and oil cargo ship, designed to transit the Panama Canal.</v>
      </c>
    </row>
    <row r="151" spans="1:27" ht="6.6" customHeight="1" x14ac:dyDescent="0.25">
      <c r="A151" s="31">
        <v>151</v>
      </c>
      <c r="B151" s="38" t="s">
        <v>76</v>
      </c>
      <c r="C151" s="39" t="s">
        <v>926</v>
      </c>
      <c r="D151" s="38" t="s">
        <v>928</v>
      </c>
      <c r="E151" s="42" t="s">
        <v>895</v>
      </c>
      <c r="F151" s="44" t="s">
        <v>394</v>
      </c>
      <c r="G151" s="83" t="s">
        <v>1</v>
      </c>
      <c r="H151" s="83" t="s">
        <v>1</v>
      </c>
      <c r="I151" s="83" t="s">
        <v>1</v>
      </c>
      <c r="J151" s="83" t="s">
        <v>1</v>
      </c>
      <c r="K151" s="83"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1341</v>
      </c>
      <c r="W151" s="88" t="str">
        <f t="shared" si="131"/>
        <v>Key-INF-151</v>
      </c>
      <c r="X151" s="35" t="s">
        <v>1363</v>
      </c>
      <c r="Y151" s="35" t="s">
        <v>1413</v>
      </c>
      <c r="Z151" s="86" t="s">
        <v>1</v>
      </c>
      <c r="AA151" s="33" t="str">
        <f t="shared" si="136"/>
        <v>General cargo ship and containers. Adapted to the new locks of the Panama Canal.</v>
      </c>
    </row>
    <row r="152" spans="1:27" ht="6.6" customHeight="1" x14ac:dyDescent="0.25">
      <c r="A152" s="31">
        <v>152</v>
      </c>
      <c r="B152" s="38" t="s">
        <v>76</v>
      </c>
      <c r="C152" s="39" t="s">
        <v>926</v>
      </c>
      <c r="D152" s="38" t="s">
        <v>928</v>
      </c>
      <c r="E152" s="42" t="s">
        <v>895</v>
      </c>
      <c r="F152" s="44" t="s">
        <v>397</v>
      </c>
      <c r="G152" s="83" t="s">
        <v>1</v>
      </c>
      <c r="H152" s="83" t="s">
        <v>1</v>
      </c>
      <c r="I152" s="83" t="s">
        <v>1</v>
      </c>
      <c r="J152" s="83" t="s">
        <v>1</v>
      </c>
      <c r="K152" s="83"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1341</v>
      </c>
      <c r="W152" s="88" t="str">
        <f t="shared" si="131"/>
        <v>Key-INF-152</v>
      </c>
      <c r="X152" s="35" t="s">
        <v>1363</v>
      </c>
      <c r="Y152" s="35" t="s">
        <v>1413</v>
      </c>
      <c r="Z152" s="86" t="s">
        <v>1</v>
      </c>
      <c r="AA152" s="33" t="str">
        <f t="shared" si="136"/>
        <v>Crude oil cargo ship, medium-sized for short and medium routes.</v>
      </c>
    </row>
    <row r="153" spans="1:27" ht="6.6" customHeight="1" x14ac:dyDescent="0.25">
      <c r="A153" s="31">
        <v>153</v>
      </c>
      <c r="B153" s="38" t="s">
        <v>76</v>
      </c>
      <c r="C153" s="39" t="s">
        <v>926</v>
      </c>
      <c r="D153" s="38" t="s">
        <v>928</v>
      </c>
      <c r="E153" s="42" t="s">
        <v>895</v>
      </c>
      <c r="F153" s="44" t="s">
        <v>400</v>
      </c>
      <c r="G153" s="83" t="s">
        <v>1</v>
      </c>
      <c r="H153" s="83" t="s">
        <v>1</v>
      </c>
      <c r="I153" s="83" t="s">
        <v>1</v>
      </c>
      <c r="J153" s="83" t="s">
        <v>1</v>
      </c>
      <c r="K153" s="83"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1341</v>
      </c>
      <c r="W153" s="88" t="str">
        <f t="shared" si="131"/>
        <v>Key-INF-153</v>
      </c>
      <c r="X153" s="35" t="s">
        <v>1363</v>
      </c>
      <c r="Y153" s="35" t="s">
        <v>1413</v>
      </c>
      <c r="Z153" s="86" t="s">
        <v>1</v>
      </c>
      <c r="AA153" s="33" t="str">
        <f t="shared" si="136"/>
        <v>Crude oil cargo ship, designed for the Suez Canal.</v>
      </c>
    </row>
    <row r="154" spans="1:27" ht="6.6" customHeight="1" x14ac:dyDescent="0.25">
      <c r="A154" s="31">
        <v>154</v>
      </c>
      <c r="B154" s="38" t="s">
        <v>76</v>
      </c>
      <c r="C154" s="39" t="s">
        <v>926</v>
      </c>
      <c r="D154" s="38" t="s">
        <v>928</v>
      </c>
      <c r="E154" s="42" t="s">
        <v>895</v>
      </c>
      <c r="F154" s="44" t="s">
        <v>403</v>
      </c>
      <c r="G154" s="83" t="s">
        <v>1</v>
      </c>
      <c r="H154" s="83" t="s">
        <v>1</v>
      </c>
      <c r="I154" s="83" t="s">
        <v>1</v>
      </c>
      <c r="J154" s="83" t="s">
        <v>1</v>
      </c>
      <c r="K154" s="83"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1341</v>
      </c>
      <c r="W154" s="88" t="str">
        <f t="shared" si="131"/>
        <v>Key-INF-154</v>
      </c>
      <c r="X154" s="35" t="s">
        <v>1363</v>
      </c>
      <c r="Y154" s="35" t="s">
        <v>1413</v>
      </c>
      <c r="Z154" s="86"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926</v>
      </c>
      <c r="D155" s="38" t="s">
        <v>928</v>
      </c>
      <c r="E155" s="42" t="s">
        <v>895</v>
      </c>
      <c r="F155" s="44" t="s">
        <v>406</v>
      </c>
      <c r="G155" s="83" t="s">
        <v>1</v>
      </c>
      <c r="H155" s="83" t="s">
        <v>1</v>
      </c>
      <c r="I155" s="83" t="s">
        <v>1</v>
      </c>
      <c r="J155" s="83" t="s">
        <v>1</v>
      </c>
      <c r="K155" s="83"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1341</v>
      </c>
      <c r="W155" s="88" t="str">
        <f t="shared" si="131"/>
        <v>Key-INF-155</v>
      </c>
      <c r="X155" s="35" t="s">
        <v>1363</v>
      </c>
      <c r="Y155" s="35" t="s">
        <v>1413</v>
      </c>
      <c r="Z155" s="86" t="s">
        <v>1</v>
      </c>
      <c r="AA155" s="33" t="str">
        <f t="shared" si="136"/>
        <v>Crude oil cargo for intercontinental routes require specialized ports.</v>
      </c>
    </row>
    <row r="156" spans="1:27" ht="6.6" customHeight="1" x14ac:dyDescent="0.25">
      <c r="A156" s="31">
        <v>156</v>
      </c>
      <c r="B156" s="38" t="s">
        <v>76</v>
      </c>
      <c r="C156" s="39" t="s">
        <v>926</v>
      </c>
      <c r="D156" s="38" t="s">
        <v>928</v>
      </c>
      <c r="E156" s="42" t="s">
        <v>895</v>
      </c>
      <c r="F156" s="44" t="s">
        <v>409</v>
      </c>
      <c r="G156" s="83" t="s">
        <v>1</v>
      </c>
      <c r="H156" s="83" t="s">
        <v>1</v>
      </c>
      <c r="I156" s="83" t="s">
        <v>1</v>
      </c>
      <c r="J156" s="83" t="s">
        <v>1</v>
      </c>
      <c r="K156" s="83"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1341</v>
      </c>
      <c r="W156" s="88" t="str">
        <f t="shared" si="131"/>
        <v>Key-INF-156</v>
      </c>
      <c r="X156" s="35" t="s">
        <v>1363</v>
      </c>
      <c r="Y156" s="35" t="s">
        <v>1413</v>
      </c>
      <c r="Z156" s="86" t="s">
        <v>1</v>
      </c>
      <c r="AA156" s="33" t="str">
        <f t="shared" si="136"/>
        <v>Supertankers used on routes between the Middle East, Asia and Europe, require dedicated terminals.</v>
      </c>
    </row>
    <row r="157" spans="1:27" ht="6.6" customHeight="1" x14ac:dyDescent="0.25">
      <c r="A157" s="31">
        <v>157</v>
      </c>
      <c r="B157" s="38" t="s">
        <v>76</v>
      </c>
      <c r="C157" s="39" t="s">
        <v>926</v>
      </c>
      <c r="D157" s="38" t="s">
        <v>928</v>
      </c>
      <c r="E157" s="42" t="s">
        <v>895</v>
      </c>
      <c r="F157" s="44" t="s">
        <v>412</v>
      </c>
      <c r="G157" s="83" t="s">
        <v>1</v>
      </c>
      <c r="H157" s="83" t="s">
        <v>1</v>
      </c>
      <c r="I157" s="83" t="s">
        <v>1</v>
      </c>
      <c r="J157" s="83" t="s">
        <v>1</v>
      </c>
      <c r="K157" s="83"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1341</v>
      </c>
      <c r="W157" s="88" t="str">
        <f t="shared" si="131"/>
        <v>Key-INF-157</v>
      </c>
      <c r="X157" s="35" t="s">
        <v>1363</v>
      </c>
      <c r="Y157" s="35" t="s">
        <v>1413</v>
      </c>
      <c r="Z157" s="86" t="s">
        <v>1</v>
      </c>
      <c r="AA157" s="33" t="str">
        <f t="shared" si="136"/>
        <v>Iron ore cargo between Brazil and China require ports with specific infrastructure.</v>
      </c>
    </row>
    <row r="158" spans="1:27" ht="6.6" customHeight="1" x14ac:dyDescent="0.25">
      <c r="A158" s="31">
        <v>158</v>
      </c>
      <c r="B158" s="38" t="s">
        <v>76</v>
      </c>
      <c r="C158" s="39" t="s">
        <v>926</v>
      </c>
      <c r="D158" s="38" t="s">
        <v>928</v>
      </c>
      <c r="E158" s="42" t="s">
        <v>895</v>
      </c>
      <c r="F158" s="44" t="s">
        <v>415</v>
      </c>
      <c r="G158" s="83" t="s">
        <v>1</v>
      </c>
      <c r="H158" s="83" t="s">
        <v>1</v>
      </c>
      <c r="I158" s="83" t="s">
        <v>1</v>
      </c>
      <c r="J158" s="83" t="s">
        <v>1</v>
      </c>
      <c r="K158" s="83"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1341</v>
      </c>
      <c r="W158" s="88" t="str">
        <f t="shared" si="131"/>
        <v>Key-INF-158</v>
      </c>
      <c r="X158" s="35" t="s">
        <v>1363</v>
      </c>
      <c r="Y158" s="35" t="s">
        <v>1413</v>
      </c>
      <c r="Z158" s="86" t="s">
        <v>1</v>
      </c>
      <c r="AA158" s="33" t="str">
        <f t="shared" si="136"/>
        <v>Tourist cruise ship for passengers.</v>
      </c>
    </row>
    <row r="159" spans="1:27" ht="6.6" customHeight="1" x14ac:dyDescent="0.25">
      <c r="A159" s="31">
        <v>159</v>
      </c>
      <c r="B159" s="38" t="s">
        <v>76</v>
      </c>
      <c r="C159" s="39" t="s">
        <v>926</v>
      </c>
      <c r="D159" s="38" t="s">
        <v>928</v>
      </c>
      <c r="E159" s="42" t="s">
        <v>895</v>
      </c>
      <c r="F159" s="44" t="s">
        <v>418</v>
      </c>
      <c r="G159" s="83" t="s">
        <v>1</v>
      </c>
      <c r="H159" s="83" t="s">
        <v>1</v>
      </c>
      <c r="I159" s="83" t="s">
        <v>1</v>
      </c>
      <c r="J159" s="83" t="s">
        <v>1</v>
      </c>
      <c r="K159" s="83"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1341</v>
      </c>
      <c r="W159" s="88" t="str">
        <f t="shared" si="131"/>
        <v>Key-INF-159</v>
      </c>
      <c r="X159" s="35" t="s">
        <v>1363</v>
      </c>
      <c r="Y159" s="35" t="s">
        <v>1413</v>
      </c>
      <c r="Z159" s="86" t="s">
        <v>1</v>
      </c>
      <c r="AA159" s="33" t="str">
        <f t="shared" si="136"/>
        <v>Military ship equipped with weapons or war elements.</v>
      </c>
    </row>
    <row r="160" spans="1:27" ht="6.6" customHeight="1" x14ac:dyDescent="0.25">
      <c r="A160" s="31">
        <v>160</v>
      </c>
      <c r="B160" s="38" t="s">
        <v>76</v>
      </c>
      <c r="C160" s="39" t="s">
        <v>926</v>
      </c>
      <c r="D160" s="38" t="s">
        <v>928</v>
      </c>
      <c r="E160" s="42" t="s">
        <v>895</v>
      </c>
      <c r="F160" s="44" t="s">
        <v>421</v>
      </c>
      <c r="G160" s="83" t="s">
        <v>1</v>
      </c>
      <c r="H160" s="83" t="s">
        <v>1</v>
      </c>
      <c r="I160" s="83" t="s">
        <v>1</v>
      </c>
      <c r="J160" s="83" t="s">
        <v>1</v>
      </c>
      <c r="K160" s="83"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1341</v>
      </c>
      <c r="W160" s="88" t="str">
        <f t="shared" si="131"/>
        <v>Key-INF-160</v>
      </c>
      <c r="X160" s="35" t="s">
        <v>1363</v>
      </c>
      <c r="Y160" s="35" t="s">
        <v>1413</v>
      </c>
      <c r="Z160" s="86" t="s">
        <v>1</v>
      </c>
      <c r="AA160" s="33" t="str">
        <f t="shared" si="136"/>
        <v>Ships with scientific functionality such as Hydrooceanographic, Oceanic or Antarctic Support vessels.</v>
      </c>
    </row>
    <row r="161" spans="1:27" ht="6.6" customHeight="1" x14ac:dyDescent="0.25">
      <c r="A161" s="31">
        <v>161</v>
      </c>
      <c r="B161" s="38" t="s">
        <v>76</v>
      </c>
      <c r="C161" s="39" t="s">
        <v>926</v>
      </c>
      <c r="D161" s="38" t="s">
        <v>928</v>
      </c>
      <c r="E161" s="42" t="s">
        <v>895</v>
      </c>
      <c r="F161" s="44" t="s">
        <v>424</v>
      </c>
      <c r="G161" s="83" t="s">
        <v>1</v>
      </c>
      <c r="H161" s="83" t="s">
        <v>1</v>
      </c>
      <c r="I161" s="83" t="s">
        <v>1</v>
      </c>
      <c r="J161" s="83" t="s">
        <v>1</v>
      </c>
      <c r="K161" s="83"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1341</v>
      </c>
      <c r="W161" s="88" t="str">
        <f t="shared" si="131"/>
        <v>Key-INF-161</v>
      </c>
      <c r="X161" s="35" t="s">
        <v>1363</v>
      </c>
      <c r="Y161" s="35" t="s">
        <v>1413</v>
      </c>
      <c r="Z161" s="86" t="s">
        <v>1</v>
      </c>
      <c r="AA161" s="33" t="str">
        <f t="shared" si="136"/>
        <v>Sailboat designed for high speed, with a narrow hull and three high masts.</v>
      </c>
    </row>
    <row r="162" spans="1:27" ht="6.6" customHeight="1" x14ac:dyDescent="0.25">
      <c r="A162" s="31">
        <v>162</v>
      </c>
      <c r="B162" s="38" t="s">
        <v>76</v>
      </c>
      <c r="C162" s="39" t="s">
        <v>926</v>
      </c>
      <c r="D162" s="38" t="s">
        <v>928</v>
      </c>
      <c r="E162" s="57" t="s">
        <v>896</v>
      </c>
      <c r="F162" s="44" t="s">
        <v>427</v>
      </c>
      <c r="G162" s="83" t="s">
        <v>1</v>
      </c>
      <c r="H162" s="83" t="s">
        <v>1</v>
      </c>
      <c r="I162" s="83" t="s">
        <v>1</v>
      </c>
      <c r="J162" s="83" t="s">
        <v>1</v>
      </c>
      <c r="K162" s="83"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1341</v>
      </c>
      <c r="W162" s="88" t="str">
        <f t="shared" si="131"/>
        <v>Key-INF-162</v>
      </c>
      <c r="X162" s="35" t="s">
        <v>1363</v>
      </c>
      <c r="Y162" s="35" t="s">
        <v>1413</v>
      </c>
      <c r="Z162" s="86" t="s">
        <v>1</v>
      </c>
      <c r="AA162" s="33" t="str">
        <f t="shared" si="136"/>
        <v>Support ship for entry and exit to ports.</v>
      </c>
    </row>
    <row r="163" spans="1:27" ht="6.6" customHeight="1" x14ac:dyDescent="0.25">
      <c r="A163" s="31">
        <v>163</v>
      </c>
      <c r="B163" s="38" t="s">
        <v>76</v>
      </c>
      <c r="C163" s="39" t="s">
        <v>926</v>
      </c>
      <c r="D163" s="38" t="s">
        <v>928</v>
      </c>
      <c r="E163" s="57" t="s">
        <v>896</v>
      </c>
      <c r="F163" s="44" t="s">
        <v>430</v>
      </c>
      <c r="G163" s="83" t="s">
        <v>1</v>
      </c>
      <c r="H163" s="83" t="s">
        <v>1</v>
      </c>
      <c r="I163" s="83" t="s">
        <v>1</v>
      </c>
      <c r="J163" s="83" t="s">
        <v>1</v>
      </c>
      <c r="K163" s="83"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1341</v>
      </c>
      <c r="W163" s="88" t="str">
        <f t="shared" si="131"/>
        <v>Key-INF-163</v>
      </c>
      <c r="X163" s="35" t="s">
        <v>1363</v>
      </c>
      <c r="Y163" s="35" t="s">
        <v>1413</v>
      </c>
      <c r="Z163" s="86"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926</v>
      </c>
      <c r="D164" s="38" t="s">
        <v>928</v>
      </c>
      <c r="E164" s="57" t="s">
        <v>896</v>
      </c>
      <c r="F164" s="18" t="s">
        <v>433</v>
      </c>
      <c r="G164" s="84" t="s">
        <v>1</v>
      </c>
      <c r="H164" s="84" t="s">
        <v>1</v>
      </c>
      <c r="I164" s="84" t="s">
        <v>1</v>
      </c>
      <c r="J164" s="83" t="s">
        <v>1</v>
      </c>
      <c r="K164" s="83"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1341</v>
      </c>
      <c r="W164" s="88" t="str">
        <f t="shared" si="131"/>
        <v>Key-INF-164</v>
      </c>
      <c r="X164" s="35" t="s">
        <v>1363</v>
      </c>
      <c r="Y164" s="35" t="s">
        <v>1413</v>
      </c>
      <c r="Z164" s="86"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926</v>
      </c>
      <c r="D165" s="38" t="s">
        <v>928</v>
      </c>
      <c r="E165" s="57" t="s">
        <v>896</v>
      </c>
      <c r="F165" s="18" t="s">
        <v>436</v>
      </c>
      <c r="G165" s="84" t="s">
        <v>1</v>
      </c>
      <c r="H165" s="84" t="s">
        <v>1</v>
      </c>
      <c r="I165" s="84" t="s">
        <v>1</v>
      </c>
      <c r="J165" s="83" t="s">
        <v>1</v>
      </c>
      <c r="K165" s="83"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1341</v>
      </c>
      <c r="W165" s="88" t="str">
        <f t="shared" si="131"/>
        <v>Key-INF-165</v>
      </c>
      <c r="X165" s="35" t="s">
        <v>1363</v>
      </c>
      <c r="Y165" s="35" t="s">
        <v>1413</v>
      </c>
      <c r="Z165" s="86" t="s">
        <v>1</v>
      </c>
      <c r="AA165" s="33" t="str">
        <f t="shared" si="136"/>
        <v>A ferry-type vessel to transport passengers usually between neighboring cities or nearby ports.</v>
      </c>
    </row>
    <row r="166" spans="1:27" ht="6.6" customHeight="1" x14ac:dyDescent="0.25">
      <c r="A166" s="31">
        <v>166</v>
      </c>
      <c r="B166" s="38" t="s">
        <v>76</v>
      </c>
      <c r="C166" s="39" t="s">
        <v>926</v>
      </c>
      <c r="D166" s="38" t="s">
        <v>928</v>
      </c>
      <c r="E166" s="57" t="s">
        <v>896</v>
      </c>
      <c r="F166" s="18" t="s">
        <v>439</v>
      </c>
      <c r="G166" s="84" t="s">
        <v>1</v>
      </c>
      <c r="H166" s="84" t="s">
        <v>1</v>
      </c>
      <c r="I166" s="84" t="s">
        <v>1</v>
      </c>
      <c r="J166" s="83" t="s">
        <v>1</v>
      </c>
      <c r="K166" s="83"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1341</v>
      </c>
      <c r="W166" s="88" t="str">
        <f t="shared" si="131"/>
        <v>Key-INF-166</v>
      </c>
      <c r="X166" s="35" t="s">
        <v>1363</v>
      </c>
      <c r="Y166" s="35" t="s">
        <v>1413</v>
      </c>
      <c r="Z166" s="86" t="s">
        <v>1</v>
      </c>
      <c r="AA166" s="33" t="str">
        <f t="shared" si="136"/>
        <v>Boat type boat for leisure or sport.</v>
      </c>
    </row>
    <row r="167" spans="1:27" ht="6.6" customHeight="1" x14ac:dyDescent="0.25">
      <c r="A167" s="31">
        <v>167</v>
      </c>
      <c r="B167" s="38" t="s">
        <v>76</v>
      </c>
      <c r="C167" s="39" t="s">
        <v>926</v>
      </c>
      <c r="D167" s="38" t="s">
        <v>928</v>
      </c>
      <c r="E167" s="57" t="s">
        <v>896</v>
      </c>
      <c r="F167" s="18" t="s">
        <v>442</v>
      </c>
      <c r="G167" s="84" t="s">
        <v>1</v>
      </c>
      <c r="H167" s="84" t="s">
        <v>1</v>
      </c>
      <c r="I167" s="84" t="s">
        <v>1</v>
      </c>
      <c r="J167" s="83" t="s">
        <v>1</v>
      </c>
      <c r="K167" s="83"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1341</v>
      </c>
      <c r="W167" s="88" t="str">
        <f t="shared" si="131"/>
        <v>Key-INF-167</v>
      </c>
      <c r="X167" s="35" t="s">
        <v>1363</v>
      </c>
      <c r="Y167" s="35" t="s">
        <v>1413</v>
      </c>
      <c r="Z167" s="86" t="s">
        <v>1</v>
      </c>
      <c r="AA167" s="33" t="str">
        <f t="shared" si="136"/>
        <v>Small dinghy type vessel.</v>
      </c>
    </row>
    <row r="168" spans="1:27" ht="6.6" customHeight="1" x14ac:dyDescent="0.25">
      <c r="A168" s="31">
        <v>168</v>
      </c>
      <c r="B168" s="38" t="s">
        <v>76</v>
      </c>
      <c r="C168" s="39" t="s">
        <v>926</v>
      </c>
      <c r="D168" s="38" t="s">
        <v>928</v>
      </c>
      <c r="E168" s="57" t="s">
        <v>896</v>
      </c>
      <c r="F168" s="18" t="s">
        <v>445</v>
      </c>
      <c r="G168" s="84" t="s">
        <v>1</v>
      </c>
      <c r="H168" s="84" t="s">
        <v>1</v>
      </c>
      <c r="I168" s="84" t="s">
        <v>1</v>
      </c>
      <c r="J168" s="83" t="s">
        <v>1</v>
      </c>
      <c r="K168" s="83"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1341</v>
      </c>
      <c r="W168" s="88" t="str">
        <f t="shared" si="131"/>
        <v>Key-INF-168</v>
      </c>
      <c r="X168" s="35" t="s">
        <v>1363</v>
      </c>
      <c r="Y168" s="35" t="s">
        <v>1413</v>
      </c>
      <c r="Z168" s="86" t="s">
        <v>1</v>
      </c>
      <c r="AA168" s="33" t="str">
        <f t="shared" si="136"/>
        <v>Yacht-type vessel with full cabin structure.</v>
      </c>
    </row>
    <row r="169" spans="1:27" ht="6.6" customHeight="1" x14ac:dyDescent="0.25">
      <c r="A169" s="31">
        <v>169</v>
      </c>
      <c r="B169" s="38" t="s">
        <v>76</v>
      </c>
      <c r="C169" s="39" t="s">
        <v>926</v>
      </c>
      <c r="D169" s="38" t="s">
        <v>928</v>
      </c>
      <c r="E169" s="57" t="s">
        <v>896</v>
      </c>
      <c r="F169" s="18" t="s">
        <v>448</v>
      </c>
      <c r="G169" s="84" t="s">
        <v>1</v>
      </c>
      <c r="H169" s="84" t="s">
        <v>1</v>
      </c>
      <c r="I169" s="84" t="s">
        <v>1</v>
      </c>
      <c r="J169" s="83" t="s">
        <v>1</v>
      </c>
      <c r="K169" s="83"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1341</v>
      </c>
      <c r="W169" s="88" t="str">
        <f t="shared" si="131"/>
        <v>Key-INF-169</v>
      </c>
      <c r="X169" s="35" t="s">
        <v>1363</v>
      </c>
      <c r="Y169" s="35" t="s">
        <v>1413</v>
      </c>
      <c r="Z169" s="86" t="s">
        <v>1</v>
      </c>
      <c r="AA169" s="33" t="str">
        <f t="shared" si="136"/>
        <v>Catamaran-type vessel with two parallel hulls.</v>
      </c>
    </row>
    <row r="170" spans="1:27" ht="6.6" customHeight="1" x14ac:dyDescent="0.25">
      <c r="A170" s="31">
        <v>170</v>
      </c>
      <c r="B170" s="38" t="s">
        <v>76</v>
      </c>
      <c r="C170" s="39" t="s">
        <v>926</v>
      </c>
      <c r="D170" s="38" t="s">
        <v>928</v>
      </c>
      <c r="E170" s="57" t="s">
        <v>896</v>
      </c>
      <c r="F170" s="18" t="s">
        <v>451</v>
      </c>
      <c r="G170" s="84" t="s">
        <v>1</v>
      </c>
      <c r="H170" s="84" t="s">
        <v>1</v>
      </c>
      <c r="I170" s="84" t="s">
        <v>1</v>
      </c>
      <c r="J170" s="83" t="s">
        <v>1</v>
      </c>
      <c r="K170" s="83"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1341</v>
      </c>
      <c r="W170" s="88" t="str">
        <f t="shared" si="131"/>
        <v>Key-INF-170</v>
      </c>
      <c r="X170" s="35" t="s">
        <v>1363</v>
      </c>
      <c r="Y170" s="35" t="s">
        <v>1414</v>
      </c>
      <c r="Z170" s="86" t="s">
        <v>1</v>
      </c>
      <c r="AA170" s="33" t="str">
        <f t="shared" si="136"/>
        <v>Sailboat type boat for leisure or sport.</v>
      </c>
    </row>
    <row r="171" spans="1:27" ht="6.6" customHeight="1" x14ac:dyDescent="0.25">
      <c r="A171" s="31">
        <v>171</v>
      </c>
      <c r="B171" s="38" t="s">
        <v>76</v>
      </c>
      <c r="C171" s="39" t="s">
        <v>926</v>
      </c>
      <c r="D171" s="38" t="s">
        <v>929</v>
      </c>
      <c r="E171" s="57" t="s">
        <v>930</v>
      </c>
      <c r="F171" s="18" t="s">
        <v>989</v>
      </c>
      <c r="G171" s="84" t="s">
        <v>1</v>
      </c>
      <c r="H171" s="84" t="s">
        <v>1</v>
      </c>
      <c r="I171" s="84" t="s">
        <v>1</v>
      </c>
      <c r="J171" s="83" t="s">
        <v>1</v>
      </c>
      <c r="K171" s="83"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936</v>
      </c>
      <c r="Q171" s="36" t="s">
        <v>945</v>
      </c>
      <c r="R171" s="34" t="s">
        <v>1</v>
      </c>
      <c r="S171" s="35" t="str">
        <f t="shared" ref="S171:S179" si="158">SUBSTITUTE(C171, ".", " ")</f>
        <v>Transportes</v>
      </c>
      <c r="T171" s="35" t="str">
        <f t="shared" ref="T171:T179" si="159">SUBSTITUTE(D171, ".", " ")</f>
        <v>Aéreos</v>
      </c>
      <c r="U171" s="35" t="str">
        <f t="shared" ref="U171:U179" si="160">SUBSTITUTE(E171, ".", " ")</f>
        <v>Aviões</v>
      </c>
      <c r="V171" s="34" t="s">
        <v>1341</v>
      </c>
      <c r="W171" s="88" t="str">
        <f t="shared" si="131"/>
        <v>Key-INF-171</v>
      </c>
      <c r="X171" s="35" t="s">
        <v>1363</v>
      </c>
      <c r="Y171" s="35" t="s">
        <v>1414</v>
      </c>
      <c r="Z171" s="86" t="s">
        <v>1</v>
      </c>
      <c r="AA171" s="33" t="str">
        <f t="shared" si="136"/>
        <v>Airplane with two internal aisles, used on international and long-haul flights. Like Boeing or Airbus.</v>
      </c>
    </row>
    <row r="172" spans="1:27" ht="6.6" customHeight="1" x14ac:dyDescent="0.25">
      <c r="A172" s="31">
        <v>172</v>
      </c>
      <c r="B172" s="38" t="s">
        <v>76</v>
      </c>
      <c r="C172" s="39" t="s">
        <v>926</v>
      </c>
      <c r="D172" s="38" t="s">
        <v>929</v>
      </c>
      <c r="E172" s="57" t="s">
        <v>930</v>
      </c>
      <c r="F172" s="18" t="s">
        <v>988</v>
      </c>
      <c r="G172" s="84" t="s">
        <v>1</v>
      </c>
      <c r="H172" s="84" t="s">
        <v>1</v>
      </c>
      <c r="I172" s="84" t="s">
        <v>1</v>
      </c>
      <c r="J172" s="83" t="s">
        <v>1</v>
      </c>
      <c r="K172" s="83" t="s">
        <v>1</v>
      </c>
      <c r="L172" s="36" t="str">
        <f t="shared" si="154"/>
        <v>Transportes</v>
      </c>
      <c r="M172" s="32" t="str">
        <f t="shared" si="155"/>
        <v>Aéreos</v>
      </c>
      <c r="N172" s="32" t="str">
        <f t="shared" si="156"/>
        <v>Aviões</v>
      </c>
      <c r="O172" s="33" t="str">
        <f t="shared" si="157"/>
        <v>Avião.de.Fuselagem.Estreita</v>
      </c>
      <c r="P172" s="37" t="s">
        <v>937</v>
      </c>
      <c r="Q172" s="36" t="s">
        <v>946</v>
      </c>
      <c r="R172" s="34" t="s">
        <v>1</v>
      </c>
      <c r="S172" s="35" t="str">
        <f t="shared" si="158"/>
        <v>Transportes</v>
      </c>
      <c r="T172" s="35" t="str">
        <f t="shared" si="159"/>
        <v>Aéreos</v>
      </c>
      <c r="U172" s="35" t="str">
        <f t="shared" si="160"/>
        <v>Aviões</v>
      </c>
      <c r="V172" s="34" t="s">
        <v>1341</v>
      </c>
      <c r="W172" s="88" t="str">
        <f t="shared" si="131"/>
        <v>Key-INF-172</v>
      </c>
      <c r="X172" s="35" t="s">
        <v>1363</v>
      </c>
      <c r="Y172" s="35" t="s">
        <v>1414</v>
      </c>
      <c r="Z172" s="86" t="s">
        <v>1</v>
      </c>
      <c r="AA172" s="33" t="str">
        <f t="shared" si="136"/>
        <v>Airplane with an internal aisle, used in international and long-haul flights. Like Boeing or Airbus.</v>
      </c>
    </row>
    <row r="173" spans="1:27" ht="6.6" customHeight="1" x14ac:dyDescent="0.25">
      <c r="A173" s="31">
        <v>173</v>
      </c>
      <c r="B173" s="38" t="s">
        <v>76</v>
      </c>
      <c r="C173" s="39" t="s">
        <v>926</v>
      </c>
      <c r="D173" s="38" t="s">
        <v>929</v>
      </c>
      <c r="E173" s="57" t="s">
        <v>930</v>
      </c>
      <c r="F173" s="18" t="s">
        <v>933</v>
      </c>
      <c r="G173" s="84" t="s">
        <v>1</v>
      </c>
      <c r="H173" s="84" t="s">
        <v>1</v>
      </c>
      <c r="I173" s="84" t="s">
        <v>1</v>
      </c>
      <c r="J173" s="83" t="s">
        <v>1</v>
      </c>
      <c r="K173" s="83" t="s">
        <v>1</v>
      </c>
      <c r="L173" s="36" t="str">
        <f t="shared" si="154"/>
        <v>Transportes</v>
      </c>
      <c r="M173" s="32" t="str">
        <f t="shared" si="155"/>
        <v>Aéreos</v>
      </c>
      <c r="N173" s="32" t="str">
        <f t="shared" si="156"/>
        <v>Aviões</v>
      </c>
      <c r="O173" s="33" t="str">
        <f t="shared" si="157"/>
        <v>Jet.Executivo</v>
      </c>
      <c r="P173" s="37" t="s">
        <v>934</v>
      </c>
      <c r="Q173" s="36" t="s">
        <v>947</v>
      </c>
      <c r="R173" s="34" t="s">
        <v>1</v>
      </c>
      <c r="S173" s="35" t="str">
        <f t="shared" si="158"/>
        <v>Transportes</v>
      </c>
      <c r="T173" s="35" t="str">
        <f t="shared" si="159"/>
        <v>Aéreos</v>
      </c>
      <c r="U173" s="35" t="str">
        <f t="shared" si="160"/>
        <v>Aviões</v>
      </c>
      <c r="V173" s="34" t="s">
        <v>1341</v>
      </c>
      <c r="W173" s="88" t="str">
        <f t="shared" si="131"/>
        <v>Key-INF-173</v>
      </c>
      <c r="X173" s="35" t="s">
        <v>1363</v>
      </c>
      <c r="Y173" s="35" t="s">
        <v>1414</v>
      </c>
      <c r="Z173" s="86" t="s">
        <v>1</v>
      </c>
      <c r="AA173" s="33" t="str">
        <f t="shared" si="136"/>
        <v>Learjet type executive jet.</v>
      </c>
    </row>
    <row r="174" spans="1:27" ht="6.6" customHeight="1" x14ac:dyDescent="0.25">
      <c r="A174" s="31">
        <v>174</v>
      </c>
      <c r="B174" s="38" t="s">
        <v>76</v>
      </c>
      <c r="C174" s="39" t="s">
        <v>926</v>
      </c>
      <c r="D174" s="38" t="s">
        <v>929</v>
      </c>
      <c r="E174" s="57" t="s">
        <v>930</v>
      </c>
      <c r="F174" s="18" t="s">
        <v>931</v>
      </c>
      <c r="G174" s="84" t="s">
        <v>1</v>
      </c>
      <c r="H174" s="84" t="s">
        <v>1</v>
      </c>
      <c r="I174" s="84" t="s">
        <v>1</v>
      </c>
      <c r="J174" s="83" t="s">
        <v>1</v>
      </c>
      <c r="K174" s="83"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935</v>
      </c>
      <c r="Q174" s="36" t="s">
        <v>948</v>
      </c>
      <c r="R174" s="34" t="s">
        <v>1</v>
      </c>
      <c r="S174" s="35" t="str">
        <f t="shared" ref="S174:S178" si="165">SUBSTITUTE(C174, ".", " ")</f>
        <v>Transportes</v>
      </c>
      <c r="T174" s="35" t="str">
        <f t="shared" ref="T174:T178" si="166">SUBSTITUTE(D174, ".", " ")</f>
        <v>Aéreos</v>
      </c>
      <c r="U174" s="35" t="str">
        <f t="shared" ref="U174:U178" si="167">SUBSTITUTE(E174, ".", " ")</f>
        <v>Aviões</v>
      </c>
      <c r="V174" s="34" t="s">
        <v>1341</v>
      </c>
      <c r="W174" s="88" t="str">
        <f t="shared" si="131"/>
        <v>Key-INF-174</v>
      </c>
      <c r="X174" s="35" t="s">
        <v>1363</v>
      </c>
      <c r="Y174" s="35" t="s">
        <v>1414</v>
      </c>
      <c r="Z174" s="86" t="s">
        <v>1</v>
      </c>
      <c r="AA174" s="33" t="str">
        <f t="shared" si="136"/>
        <v>Small aircraft type Cessna turboprop aircraft.</v>
      </c>
    </row>
    <row r="175" spans="1:27" ht="6.6" customHeight="1" x14ac:dyDescent="0.25">
      <c r="A175" s="31">
        <v>175</v>
      </c>
      <c r="B175" s="38" t="s">
        <v>76</v>
      </c>
      <c r="C175" s="39" t="s">
        <v>926</v>
      </c>
      <c r="D175" s="38" t="s">
        <v>929</v>
      </c>
      <c r="E175" s="57" t="s">
        <v>932</v>
      </c>
      <c r="F175" s="18" t="s">
        <v>939</v>
      </c>
      <c r="G175" s="84" t="s">
        <v>1</v>
      </c>
      <c r="H175" s="84" t="s">
        <v>1</v>
      </c>
      <c r="I175" s="84" t="s">
        <v>1</v>
      </c>
      <c r="J175" s="83" t="s">
        <v>1</v>
      </c>
      <c r="K175" s="83" t="s">
        <v>1</v>
      </c>
      <c r="L175" s="36" t="str">
        <f t="shared" si="161"/>
        <v>Transportes</v>
      </c>
      <c r="M175" s="32" t="str">
        <f t="shared" si="162"/>
        <v>Aéreos</v>
      </c>
      <c r="N175" s="32" t="str">
        <f t="shared" si="163"/>
        <v>Helicópteros</v>
      </c>
      <c r="O175" s="33" t="str">
        <f t="shared" si="164"/>
        <v>Helicoptero.Pistão</v>
      </c>
      <c r="P175" s="37" t="s">
        <v>938</v>
      </c>
      <c r="Q175" s="36" t="s">
        <v>949</v>
      </c>
      <c r="R175" s="34" t="s">
        <v>1</v>
      </c>
      <c r="S175" s="35" t="str">
        <f t="shared" si="165"/>
        <v>Transportes</v>
      </c>
      <c r="T175" s="35" t="str">
        <f t="shared" si="166"/>
        <v>Aéreos</v>
      </c>
      <c r="U175" s="35" t="str">
        <f t="shared" si="167"/>
        <v>Helicópteros</v>
      </c>
      <c r="V175" s="34" t="s">
        <v>1341</v>
      </c>
      <c r="W175" s="88" t="str">
        <f t="shared" si="131"/>
        <v>Key-INF-175</v>
      </c>
      <c r="X175" s="35" t="s">
        <v>1363</v>
      </c>
      <c r="Y175" s="35" t="s">
        <v>1414</v>
      </c>
      <c r="Z175" s="86" t="s">
        <v>1</v>
      </c>
      <c r="AA175" s="33" t="str">
        <f t="shared" si="136"/>
        <v>Small helicopter.</v>
      </c>
    </row>
    <row r="176" spans="1:27" ht="6.6" customHeight="1" x14ac:dyDescent="0.25">
      <c r="A176" s="31">
        <v>176</v>
      </c>
      <c r="B176" s="38" t="s">
        <v>76</v>
      </c>
      <c r="C176" s="39" t="s">
        <v>926</v>
      </c>
      <c r="D176" s="38" t="s">
        <v>929</v>
      </c>
      <c r="E176" s="57" t="s">
        <v>932</v>
      </c>
      <c r="F176" s="18" t="s">
        <v>940</v>
      </c>
      <c r="G176" s="84" t="s">
        <v>1</v>
      </c>
      <c r="H176" s="84" t="s">
        <v>1</v>
      </c>
      <c r="I176" s="84" t="s">
        <v>1</v>
      </c>
      <c r="J176" s="83" t="s">
        <v>1</v>
      </c>
      <c r="K176" s="83" t="s">
        <v>1</v>
      </c>
      <c r="L176" s="36" t="str">
        <f t="shared" si="161"/>
        <v>Transportes</v>
      </c>
      <c r="M176" s="32" t="str">
        <f t="shared" si="162"/>
        <v>Aéreos</v>
      </c>
      <c r="N176" s="32" t="str">
        <f t="shared" si="163"/>
        <v>Helicópteros</v>
      </c>
      <c r="O176" s="33" t="str">
        <f t="shared" si="164"/>
        <v>Helicoptero.Turbina</v>
      </c>
      <c r="P176" s="37" t="s">
        <v>941</v>
      </c>
      <c r="Q176" s="36" t="s">
        <v>950</v>
      </c>
      <c r="R176" s="34" t="s">
        <v>1</v>
      </c>
      <c r="S176" s="35" t="str">
        <f t="shared" si="165"/>
        <v>Transportes</v>
      </c>
      <c r="T176" s="35" t="str">
        <f t="shared" si="166"/>
        <v>Aéreos</v>
      </c>
      <c r="U176" s="35" t="str">
        <f t="shared" si="167"/>
        <v>Helicópteros</v>
      </c>
      <c r="V176" s="34" t="s">
        <v>1341</v>
      </c>
      <c r="W176" s="88" t="str">
        <f t="shared" si="131"/>
        <v>Key-INF-176</v>
      </c>
      <c r="X176" s="35" t="s">
        <v>1363</v>
      </c>
      <c r="Y176" s="35" t="s">
        <v>1414</v>
      </c>
      <c r="Z176" s="86" t="s">
        <v>1</v>
      </c>
      <c r="AA176" s="33" t="str">
        <f t="shared" si="136"/>
        <v>Large helicopter.</v>
      </c>
    </row>
    <row r="177" spans="1:27" ht="6.6" customHeight="1" x14ac:dyDescent="0.25">
      <c r="A177" s="31">
        <v>177</v>
      </c>
      <c r="B177" s="38" t="s">
        <v>76</v>
      </c>
      <c r="C177" s="39" t="s">
        <v>926</v>
      </c>
      <c r="D177" s="38" t="s">
        <v>929</v>
      </c>
      <c r="E177" s="57" t="s">
        <v>942</v>
      </c>
      <c r="F177" s="18" t="s">
        <v>943</v>
      </c>
      <c r="G177" s="84" t="s">
        <v>1</v>
      </c>
      <c r="H177" s="84" t="s">
        <v>1</v>
      </c>
      <c r="I177" s="84" t="s">
        <v>1</v>
      </c>
      <c r="J177" s="83" t="s">
        <v>1</v>
      </c>
      <c r="K177" s="83" t="s">
        <v>1</v>
      </c>
      <c r="L177" s="36" t="str">
        <f t="shared" si="161"/>
        <v>Transportes</v>
      </c>
      <c r="M177" s="32" t="str">
        <f t="shared" si="162"/>
        <v>Aéreos</v>
      </c>
      <c r="N177" s="32" t="str">
        <f t="shared" si="163"/>
        <v>Vants</v>
      </c>
      <c r="O177" s="33" t="str">
        <f t="shared" si="164"/>
        <v>Drone</v>
      </c>
      <c r="P177" s="37" t="s">
        <v>944</v>
      </c>
      <c r="Q177" s="36" t="s">
        <v>951</v>
      </c>
      <c r="R177" s="34" t="s">
        <v>1</v>
      </c>
      <c r="S177" s="35" t="str">
        <f t="shared" si="165"/>
        <v>Transportes</v>
      </c>
      <c r="T177" s="35" t="str">
        <f t="shared" si="166"/>
        <v>Aéreos</v>
      </c>
      <c r="U177" s="35" t="str">
        <f t="shared" si="167"/>
        <v>Vants</v>
      </c>
      <c r="V177" s="34" t="s">
        <v>1341</v>
      </c>
      <c r="W177" s="88" t="str">
        <f t="shared" si="131"/>
        <v>Key-INF-177</v>
      </c>
      <c r="X177" s="35" t="s">
        <v>1363</v>
      </c>
      <c r="Y177" s="35" t="s">
        <v>1414</v>
      </c>
      <c r="Z177" s="86" t="s">
        <v>1</v>
      </c>
      <c r="AA177" s="33" t="str">
        <f t="shared" si="136"/>
        <v>Drone or UAS unmanned aerial vehicle.</v>
      </c>
    </row>
    <row r="178" spans="1:27" ht="6.6" customHeight="1" x14ac:dyDescent="0.25">
      <c r="A178" s="31">
        <v>178</v>
      </c>
      <c r="B178" s="38" t="s">
        <v>76</v>
      </c>
      <c r="C178" s="39" t="s">
        <v>926</v>
      </c>
      <c r="D178" s="38" t="s">
        <v>929</v>
      </c>
      <c r="E178" s="57" t="s">
        <v>942</v>
      </c>
      <c r="F178" s="18" t="s">
        <v>977</v>
      </c>
      <c r="G178" s="84" t="s">
        <v>1</v>
      </c>
      <c r="H178" s="84" t="s">
        <v>1</v>
      </c>
      <c r="I178" s="84" t="s">
        <v>1</v>
      </c>
      <c r="J178" s="83" t="s">
        <v>1</v>
      </c>
      <c r="K178" s="83" t="s">
        <v>1</v>
      </c>
      <c r="L178" s="36" t="str">
        <f t="shared" si="161"/>
        <v>Transportes</v>
      </c>
      <c r="M178" s="32" t="str">
        <f t="shared" si="162"/>
        <v>Aéreos</v>
      </c>
      <c r="N178" s="32" t="str">
        <f t="shared" si="163"/>
        <v>Vants</v>
      </c>
      <c r="O178" s="33" t="str">
        <f t="shared" si="164"/>
        <v>Vant</v>
      </c>
      <c r="P178" s="37" t="s">
        <v>944</v>
      </c>
      <c r="Q178" s="36" t="s">
        <v>951</v>
      </c>
      <c r="R178" s="34" t="s">
        <v>1</v>
      </c>
      <c r="S178" s="35" t="str">
        <f t="shared" si="165"/>
        <v>Transportes</v>
      </c>
      <c r="T178" s="35" t="str">
        <f t="shared" si="166"/>
        <v>Aéreos</v>
      </c>
      <c r="U178" s="35" t="str">
        <f t="shared" si="167"/>
        <v>Vants</v>
      </c>
      <c r="V178" s="34" t="s">
        <v>1341</v>
      </c>
      <c r="W178" s="88" t="str">
        <f t="shared" si="131"/>
        <v>Key-INF-178</v>
      </c>
      <c r="X178" s="35" t="s">
        <v>1363</v>
      </c>
      <c r="Y178" s="35" t="s">
        <v>1414</v>
      </c>
      <c r="Z178" s="86" t="s">
        <v>1</v>
      </c>
      <c r="AA178" s="33" t="str">
        <f t="shared" si="136"/>
        <v>Drone or UAS unmanned aerial vehicle.</v>
      </c>
    </row>
    <row r="179" spans="1:27" ht="6.6" customHeight="1" x14ac:dyDescent="0.25">
      <c r="A179" s="31">
        <v>179</v>
      </c>
      <c r="B179" s="38" t="s">
        <v>76</v>
      </c>
      <c r="C179" s="39" t="s">
        <v>926</v>
      </c>
      <c r="D179" s="38" t="s">
        <v>929</v>
      </c>
      <c r="E179" s="57" t="s">
        <v>942</v>
      </c>
      <c r="F179" s="18" t="s">
        <v>978</v>
      </c>
      <c r="G179" s="84" t="s">
        <v>1</v>
      </c>
      <c r="H179" s="84" t="s">
        <v>1</v>
      </c>
      <c r="I179" s="84" t="s">
        <v>1</v>
      </c>
      <c r="J179" s="83" t="s">
        <v>1</v>
      </c>
      <c r="K179" s="83" t="s">
        <v>1</v>
      </c>
      <c r="L179" s="36" t="str">
        <f t="shared" si="154"/>
        <v>Transportes</v>
      </c>
      <c r="M179" s="32" t="str">
        <f t="shared" si="155"/>
        <v>Aéreos</v>
      </c>
      <c r="N179" s="32" t="str">
        <f t="shared" si="156"/>
        <v>Vants</v>
      </c>
      <c r="O179" s="33" t="str">
        <f t="shared" si="157"/>
        <v>UAS</v>
      </c>
      <c r="P179" s="37" t="s">
        <v>944</v>
      </c>
      <c r="Q179" s="36" t="s">
        <v>951</v>
      </c>
      <c r="R179" s="34" t="s">
        <v>1</v>
      </c>
      <c r="S179" s="35" t="str">
        <f t="shared" si="158"/>
        <v>Transportes</v>
      </c>
      <c r="T179" s="35" t="str">
        <f t="shared" si="159"/>
        <v>Aéreos</v>
      </c>
      <c r="U179" s="35" t="str">
        <f t="shared" si="160"/>
        <v>Vants</v>
      </c>
      <c r="V179" s="34" t="s">
        <v>1341</v>
      </c>
      <c r="W179" s="88" t="str">
        <f t="shared" si="131"/>
        <v>Key-INF-179</v>
      </c>
      <c r="X179" s="35" t="s">
        <v>1363</v>
      </c>
      <c r="Y179" s="35" t="s">
        <v>1400</v>
      </c>
      <c r="Z179" s="86" t="s">
        <v>1</v>
      </c>
      <c r="AA179" s="33" t="str">
        <f t="shared" si="136"/>
        <v>Drone or UAS unmanned aerial vehicle.</v>
      </c>
    </row>
    <row r="180" spans="1:27" ht="6.6" customHeight="1" x14ac:dyDescent="0.25">
      <c r="A180" s="31">
        <v>180</v>
      </c>
      <c r="B180" s="38" t="s">
        <v>76</v>
      </c>
      <c r="C180" s="39" t="s">
        <v>886</v>
      </c>
      <c r="D180" s="44" t="s">
        <v>888</v>
      </c>
      <c r="E180" s="44" t="s">
        <v>887</v>
      </c>
      <c r="F180" s="44" t="s">
        <v>764</v>
      </c>
      <c r="G180" s="82" t="s">
        <v>1</v>
      </c>
      <c r="H180" s="82" t="s">
        <v>1</v>
      </c>
      <c r="I180" s="82" t="s">
        <v>1</v>
      </c>
      <c r="J180" s="82" t="s">
        <v>1</v>
      </c>
      <c r="K180" s="82"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1070</v>
      </c>
      <c r="Q180" s="53" t="s">
        <v>1216</v>
      </c>
      <c r="R180" s="34" t="s">
        <v>1</v>
      </c>
      <c r="S180" s="35" t="str">
        <f t="shared" si="151"/>
        <v>Infraestruturas</v>
      </c>
      <c r="T180" s="35" t="str">
        <f t="shared" si="152"/>
        <v>Urbanas</v>
      </c>
      <c r="U180" s="35" t="str">
        <f t="shared" si="153"/>
        <v>Paisagísticas</v>
      </c>
      <c r="V180" s="34" t="s">
        <v>1341</v>
      </c>
      <c r="W180" s="88" t="str">
        <f t="shared" si="131"/>
        <v>Key-INF-180</v>
      </c>
      <c r="X180" s="35" t="s">
        <v>1364</v>
      </c>
      <c r="Y180" s="35" t="s">
        <v>1400</v>
      </c>
      <c r="Z180" s="86" t="s">
        <v>1</v>
      </c>
      <c r="AA180" s="33" t="str">
        <f t="shared" si="136"/>
        <v>Element of urban parking: Lagoa.</v>
      </c>
    </row>
    <row r="181" spans="1:27" ht="6.6" customHeight="1" x14ac:dyDescent="0.25">
      <c r="A181" s="31">
        <v>181</v>
      </c>
      <c r="B181" s="38" t="s">
        <v>76</v>
      </c>
      <c r="C181" s="39" t="s">
        <v>886</v>
      </c>
      <c r="D181" s="44" t="s">
        <v>888</v>
      </c>
      <c r="E181" s="44" t="s">
        <v>887</v>
      </c>
      <c r="F181" s="44" t="s">
        <v>767</v>
      </c>
      <c r="G181" s="82" t="s">
        <v>1</v>
      </c>
      <c r="H181" s="82" t="s">
        <v>1</v>
      </c>
      <c r="I181" s="82" t="s">
        <v>1</v>
      </c>
      <c r="J181" s="82" t="s">
        <v>1</v>
      </c>
      <c r="K181" s="82" t="s">
        <v>1</v>
      </c>
      <c r="L181" s="37" t="str">
        <f t="shared" si="168"/>
        <v>Infraestruturas</v>
      </c>
      <c r="M181" s="37" t="str">
        <f t="shared" si="169"/>
        <v>Urbanas</v>
      </c>
      <c r="N181" s="37" t="str">
        <f t="shared" si="170"/>
        <v>Paisagísticas</v>
      </c>
      <c r="O181" s="37" t="str">
        <f t="shared" si="171"/>
        <v>Árvore</v>
      </c>
      <c r="P181" s="37" t="s">
        <v>1073</v>
      </c>
      <c r="Q181" s="53" t="s">
        <v>1217</v>
      </c>
      <c r="R181" s="34" t="s">
        <v>1</v>
      </c>
      <c r="S181" s="35" t="str">
        <f t="shared" si="151"/>
        <v>Infraestruturas</v>
      </c>
      <c r="T181" s="35" t="str">
        <f t="shared" si="152"/>
        <v>Urbanas</v>
      </c>
      <c r="U181" s="35" t="str">
        <f t="shared" si="153"/>
        <v>Paisagísticas</v>
      </c>
      <c r="V181" s="34" t="s">
        <v>1341</v>
      </c>
      <c r="W181" s="88" t="str">
        <f t="shared" si="131"/>
        <v>Key-INF-181</v>
      </c>
      <c r="X181" s="35" t="s">
        <v>1365</v>
      </c>
      <c r="Y181" s="35" t="s">
        <v>1400</v>
      </c>
      <c r="Z181" s="86" t="s">
        <v>1</v>
      </c>
      <c r="AA181" s="33" t="str">
        <f t="shared" si="136"/>
        <v>Element of urban parking: Tree.</v>
      </c>
    </row>
    <row r="182" spans="1:27" ht="6.6" customHeight="1" x14ac:dyDescent="0.25">
      <c r="A182" s="31">
        <v>182</v>
      </c>
      <c r="B182" s="38" t="s">
        <v>76</v>
      </c>
      <c r="C182" s="39" t="s">
        <v>886</v>
      </c>
      <c r="D182" s="44" t="s">
        <v>888</v>
      </c>
      <c r="E182" s="44" t="s">
        <v>887</v>
      </c>
      <c r="F182" s="44" t="s">
        <v>768</v>
      </c>
      <c r="G182" s="82" t="s">
        <v>1</v>
      </c>
      <c r="H182" s="82" t="s">
        <v>1</v>
      </c>
      <c r="I182" s="82" t="s">
        <v>1</v>
      </c>
      <c r="J182" s="82" t="s">
        <v>1</v>
      </c>
      <c r="K182" s="82" t="s">
        <v>1</v>
      </c>
      <c r="L182" s="37" t="str">
        <f t="shared" si="168"/>
        <v>Infraestruturas</v>
      </c>
      <c r="M182" s="37" t="str">
        <f t="shared" si="169"/>
        <v>Urbanas</v>
      </c>
      <c r="N182" s="37" t="str">
        <f t="shared" si="170"/>
        <v>Paisagísticas</v>
      </c>
      <c r="O182" s="37" t="str">
        <f t="shared" si="171"/>
        <v>Gramado</v>
      </c>
      <c r="P182" s="37" t="s">
        <v>1076</v>
      </c>
      <c r="Q182" s="53" t="s">
        <v>1218</v>
      </c>
      <c r="R182" s="34" t="s">
        <v>1</v>
      </c>
      <c r="S182" s="35" t="str">
        <f t="shared" si="151"/>
        <v>Infraestruturas</v>
      </c>
      <c r="T182" s="35" t="str">
        <f t="shared" si="152"/>
        <v>Urbanas</v>
      </c>
      <c r="U182" s="35" t="str">
        <f t="shared" si="153"/>
        <v>Paisagísticas</v>
      </c>
      <c r="V182" s="34" t="s">
        <v>1341</v>
      </c>
      <c r="W182" s="88" t="str">
        <f t="shared" si="131"/>
        <v>Key-INF-182</v>
      </c>
      <c r="X182" s="35" t="s">
        <v>1365</v>
      </c>
      <c r="Y182" s="35" t="s">
        <v>1400</v>
      </c>
      <c r="Z182" s="86" t="s">
        <v>1</v>
      </c>
      <c r="AA182" s="33" t="str">
        <f t="shared" si="136"/>
        <v>Urban parking element: Area covered by lawn.</v>
      </c>
    </row>
    <row r="183" spans="1:27" ht="6.6" customHeight="1" x14ac:dyDescent="0.25">
      <c r="A183" s="31">
        <v>183</v>
      </c>
      <c r="B183" s="38" t="s">
        <v>76</v>
      </c>
      <c r="C183" s="39" t="s">
        <v>886</v>
      </c>
      <c r="D183" s="44" t="s">
        <v>888</v>
      </c>
      <c r="E183" s="44" t="s">
        <v>887</v>
      </c>
      <c r="F183" s="44" t="s">
        <v>769</v>
      </c>
      <c r="G183" s="82" t="s">
        <v>1</v>
      </c>
      <c r="H183" s="82" t="s">
        <v>1</v>
      </c>
      <c r="I183" s="82" t="s">
        <v>1</v>
      </c>
      <c r="J183" s="82" t="s">
        <v>1</v>
      </c>
      <c r="K183" s="82" t="s">
        <v>1</v>
      </c>
      <c r="L183" s="37" t="str">
        <f t="shared" si="168"/>
        <v>Infraestruturas</v>
      </c>
      <c r="M183" s="37" t="str">
        <f t="shared" si="169"/>
        <v>Urbanas</v>
      </c>
      <c r="N183" s="37" t="str">
        <f t="shared" si="170"/>
        <v>Paisagísticas</v>
      </c>
      <c r="O183" s="37" t="str">
        <f t="shared" si="171"/>
        <v>Monumento</v>
      </c>
      <c r="P183" s="37" t="s">
        <v>1074</v>
      </c>
      <c r="Q183" s="53" t="s">
        <v>1219</v>
      </c>
      <c r="R183" s="34" t="s">
        <v>1</v>
      </c>
      <c r="S183" s="35" t="str">
        <f t="shared" si="151"/>
        <v>Infraestruturas</v>
      </c>
      <c r="T183" s="35" t="str">
        <f t="shared" si="152"/>
        <v>Urbanas</v>
      </c>
      <c r="U183" s="35" t="str">
        <f t="shared" si="153"/>
        <v>Paisagísticas</v>
      </c>
      <c r="V183" s="34" t="s">
        <v>1341</v>
      </c>
      <c r="W183" s="88" t="str">
        <f t="shared" si="131"/>
        <v>Key-INF-183</v>
      </c>
      <c r="X183" s="35" t="s">
        <v>1363</v>
      </c>
      <c r="Y183" s="35" t="s">
        <v>1400</v>
      </c>
      <c r="Z183" s="86" t="s">
        <v>1</v>
      </c>
      <c r="AA183" s="33" t="str">
        <f t="shared" si="136"/>
        <v>Element of urban parking: Urban monument.</v>
      </c>
    </row>
    <row r="184" spans="1:27" ht="6.6" customHeight="1" x14ac:dyDescent="0.25">
      <c r="A184" s="31">
        <v>184</v>
      </c>
      <c r="B184" s="38" t="s">
        <v>76</v>
      </c>
      <c r="C184" s="39" t="s">
        <v>886</v>
      </c>
      <c r="D184" s="44" t="s">
        <v>888</v>
      </c>
      <c r="E184" s="44" t="s">
        <v>887</v>
      </c>
      <c r="F184" s="44" t="s">
        <v>770</v>
      </c>
      <c r="G184" s="82" t="s">
        <v>1</v>
      </c>
      <c r="H184" s="82" t="s">
        <v>1</v>
      </c>
      <c r="I184" s="82" t="s">
        <v>1</v>
      </c>
      <c r="J184" s="82" t="s">
        <v>1</v>
      </c>
      <c r="K184" s="82" t="s">
        <v>1</v>
      </c>
      <c r="L184" s="37" t="str">
        <f t="shared" si="168"/>
        <v>Infraestruturas</v>
      </c>
      <c r="M184" s="37" t="str">
        <f t="shared" si="169"/>
        <v>Urbanas</v>
      </c>
      <c r="N184" s="37" t="str">
        <f t="shared" si="170"/>
        <v>Paisagísticas</v>
      </c>
      <c r="O184" s="37" t="str">
        <f t="shared" si="171"/>
        <v>Ornamento</v>
      </c>
      <c r="P184" s="37" t="s">
        <v>1072</v>
      </c>
      <c r="Q184" s="53" t="s">
        <v>1220</v>
      </c>
      <c r="R184" s="34" t="s">
        <v>1</v>
      </c>
      <c r="S184" s="35" t="str">
        <f t="shared" si="151"/>
        <v>Infraestruturas</v>
      </c>
      <c r="T184" s="35" t="str">
        <f t="shared" si="152"/>
        <v>Urbanas</v>
      </c>
      <c r="U184" s="35" t="str">
        <f t="shared" si="153"/>
        <v>Paisagísticas</v>
      </c>
      <c r="V184" s="34" t="s">
        <v>1341</v>
      </c>
      <c r="W184" s="88" t="str">
        <f t="shared" si="131"/>
        <v>Key-INF-184</v>
      </c>
      <c r="X184" s="35" t="s">
        <v>1363</v>
      </c>
      <c r="Y184" s="35" t="s">
        <v>1400</v>
      </c>
      <c r="Z184" s="86" t="s">
        <v>1</v>
      </c>
      <c r="AA184" s="33" t="str">
        <f t="shared" si="136"/>
        <v>Urban parking element: Urban ornament.</v>
      </c>
    </row>
    <row r="185" spans="1:27" ht="6.6" customHeight="1" x14ac:dyDescent="0.25">
      <c r="A185" s="31">
        <v>185</v>
      </c>
      <c r="B185" s="38" t="s">
        <v>76</v>
      </c>
      <c r="C185" s="39" t="s">
        <v>886</v>
      </c>
      <c r="D185" s="44" t="s">
        <v>888</v>
      </c>
      <c r="E185" s="44" t="s">
        <v>887</v>
      </c>
      <c r="F185" s="44" t="s">
        <v>771</v>
      </c>
      <c r="G185" s="82" t="s">
        <v>1</v>
      </c>
      <c r="H185" s="82" t="s">
        <v>1</v>
      </c>
      <c r="I185" s="82" t="s">
        <v>1</v>
      </c>
      <c r="J185" s="82" t="s">
        <v>1</v>
      </c>
      <c r="K185" s="82" t="s">
        <v>1</v>
      </c>
      <c r="L185" s="37" t="str">
        <f t="shared" si="168"/>
        <v>Infraestruturas</v>
      </c>
      <c r="M185" s="37" t="str">
        <f t="shared" si="169"/>
        <v>Urbanas</v>
      </c>
      <c r="N185" s="37" t="str">
        <f t="shared" si="170"/>
        <v>Paisagísticas</v>
      </c>
      <c r="O185" s="37" t="str">
        <f t="shared" si="171"/>
        <v>Fonte Ornamental</v>
      </c>
      <c r="P185" s="37" t="s">
        <v>1075</v>
      </c>
      <c r="Q185" s="53" t="s">
        <v>1221</v>
      </c>
      <c r="R185" s="34" t="s">
        <v>1</v>
      </c>
      <c r="S185" s="35" t="str">
        <f t="shared" si="151"/>
        <v>Infraestruturas</v>
      </c>
      <c r="T185" s="35" t="str">
        <f t="shared" si="152"/>
        <v>Urbanas</v>
      </c>
      <c r="U185" s="35" t="str">
        <f t="shared" si="153"/>
        <v>Paisagísticas</v>
      </c>
      <c r="V185" s="34" t="s">
        <v>1341</v>
      </c>
      <c r="W185" s="88" t="str">
        <f t="shared" si="131"/>
        <v>Key-INF-185</v>
      </c>
      <c r="X185" s="35" t="s">
        <v>1363</v>
      </c>
      <c r="Y185" s="35" t="s">
        <v>1415</v>
      </c>
      <c r="Z185" s="86" t="s">
        <v>1</v>
      </c>
      <c r="AA185" s="33" t="str">
        <f t="shared" si="136"/>
        <v>Urban parking element: Ornamental fountain.</v>
      </c>
    </row>
    <row r="186" spans="1:27" ht="6.6" customHeight="1" x14ac:dyDescent="0.25">
      <c r="A186" s="31">
        <v>186</v>
      </c>
      <c r="B186" s="38" t="s">
        <v>76</v>
      </c>
      <c r="C186" s="39" t="s">
        <v>886</v>
      </c>
      <c r="D186" s="44" t="s">
        <v>888</v>
      </c>
      <c r="E186" s="44" t="s">
        <v>889</v>
      </c>
      <c r="F186" s="44" t="s">
        <v>772</v>
      </c>
      <c r="G186" s="82" t="s">
        <v>1</v>
      </c>
      <c r="H186" s="82" t="s">
        <v>1</v>
      </c>
      <c r="I186" s="82" t="s">
        <v>1</v>
      </c>
      <c r="J186" s="82" t="s">
        <v>1</v>
      </c>
      <c r="K186" s="82" t="s">
        <v>1</v>
      </c>
      <c r="L186" s="37" t="str">
        <f t="shared" si="168"/>
        <v>Infraestruturas</v>
      </c>
      <c r="M186" s="37" t="str">
        <f t="shared" si="169"/>
        <v>Urbanas</v>
      </c>
      <c r="N186" s="37" t="str">
        <f t="shared" si="170"/>
        <v>Sinalizações</v>
      </c>
      <c r="O186" s="37" t="str">
        <f t="shared" si="171"/>
        <v>Poste Luz Pedestre</v>
      </c>
      <c r="P186" s="37" t="s">
        <v>1077</v>
      </c>
      <c r="Q186" s="53" t="s">
        <v>1222</v>
      </c>
      <c r="R186" s="34" t="s">
        <v>1</v>
      </c>
      <c r="S186" s="35" t="str">
        <f t="shared" si="151"/>
        <v>Infraestruturas</v>
      </c>
      <c r="T186" s="35" t="str">
        <f t="shared" si="152"/>
        <v>Urbanas</v>
      </c>
      <c r="U186" s="35" t="str">
        <f t="shared" si="153"/>
        <v>Sinalizações</v>
      </c>
      <c r="V186" s="34" t="s">
        <v>1341</v>
      </c>
      <c r="W186" s="88" t="str">
        <f t="shared" si="131"/>
        <v>Key-INF-186</v>
      </c>
      <c r="X186" s="33" t="s">
        <v>1366</v>
      </c>
      <c r="Y186" s="35" t="s">
        <v>1415</v>
      </c>
      <c r="Z186" s="86" t="s">
        <v>1</v>
      </c>
      <c r="AA186" s="33" t="str">
        <f t="shared" si="136"/>
        <v>Low height pedestrian light pole.</v>
      </c>
    </row>
    <row r="187" spans="1:27" ht="6.6" customHeight="1" x14ac:dyDescent="0.25">
      <c r="A187" s="31">
        <v>187</v>
      </c>
      <c r="B187" s="38" t="s">
        <v>76</v>
      </c>
      <c r="C187" s="39" t="s">
        <v>886</v>
      </c>
      <c r="D187" s="44" t="s">
        <v>888</v>
      </c>
      <c r="E187" s="44" t="s">
        <v>889</v>
      </c>
      <c r="F187" s="44" t="s">
        <v>818</v>
      </c>
      <c r="G187" s="82" t="s">
        <v>1</v>
      </c>
      <c r="H187" s="82" t="s">
        <v>1</v>
      </c>
      <c r="I187" s="82" t="s">
        <v>1</v>
      </c>
      <c r="J187" s="82" t="s">
        <v>1</v>
      </c>
      <c r="K187" s="82" t="s">
        <v>1</v>
      </c>
      <c r="L187" s="37" t="str">
        <f t="shared" si="168"/>
        <v>Infraestruturas</v>
      </c>
      <c r="M187" s="37" t="str">
        <f t="shared" si="169"/>
        <v>Urbanas</v>
      </c>
      <c r="N187" s="37" t="str">
        <f t="shared" si="170"/>
        <v>Sinalizações</v>
      </c>
      <c r="O187" s="37" t="str">
        <f t="shared" si="171"/>
        <v>Poste Luz Viário</v>
      </c>
      <c r="P187" s="37" t="s">
        <v>1078</v>
      </c>
      <c r="Q187" s="53" t="s">
        <v>1223</v>
      </c>
      <c r="R187" s="34" t="s">
        <v>1</v>
      </c>
      <c r="S187" s="35" t="str">
        <f t="shared" si="151"/>
        <v>Infraestruturas</v>
      </c>
      <c r="T187" s="35" t="str">
        <f t="shared" si="152"/>
        <v>Urbanas</v>
      </c>
      <c r="U187" s="35" t="str">
        <f t="shared" si="153"/>
        <v>Sinalizações</v>
      </c>
      <c r="V187" s="34" t="s">
        <v>1341</v>
      </c>
      <c r="W187" s="88" t="str">
        <f t="shared" si="131"/>
        <v>Key-INF-187</v>
      </c>
      <c r="X187" s="33" t="s">
        <v>1366</v>
      </c>
      <c r="Y187" s="35" t="s">
        <v>1416</v>
      </c>
      <c r="Z187" s="86" t="s">
        <v>1</v>
      </c>
      <c r="AA187" s="33" t="str">
        <f t="shared" si="136"/>
        <v>Tall light poles for lighting avenues.</v>
      </c>
    </row>
    <row r="188" spans="1:27" ht="6.6" customHeight="1" x14ac:dyDescent="0.25">
      <c r="A188" s="31">
        <v>188</v>
      </c>
      <c r="B188" s="38" t="s">
        <v>76</v>
      </c>
      <c r="C188" s="39" t="s">
        <v>886</v>
      </c>
      <c r="D188" s="44" t="s">
        <v>888</v>
      </c>
      <c r="E188" s="44" t="s">
        <v>889</v>
      </c>
      <c r="F188" s="44" t="s">
        <v>819</v>
      </c>
      <c r="G188" s="82" t="s">
        <v>1</v>
      </c>
      <c r="H188" s="82" t="s">
        <v>1</v>
      </c>
      <c r="I188" s="82" t="s">
        <v>1</v>
      </c>
      <c r="J188" s="82" t="s">
        <v>1</v>
      </c>
      <c r="K188" s="82" t="s">
        <v>1</v>
      </c>
      <c r="L188" s="37" t="str">
        <f t="shared" si="168"/>
        <v>Infraestruturas</v>
      </c>
      <c r="M188" s="37" t="str">
        <f t="shared" si="169"/>
        <v>Urbanas</v>
      </c>
      <c r="N188" s="37" t="str">
        <f t="shared" si="170"/>
        <v>Sinalizações</v>
      </c>
      <c r="O188" s="37" t="str">
        <f t="shared" si="171"/>
        <v>Semáforo</v>
      </c>
      <c r="P188" s="37" t="s">
        <v>820</v>
      </c>
      <c r="Q188" s="53" t="s">
        <v>821</v>
      </c>
      <c r="R188" s="34" t="s">
        <v>1</v>
      </c>
      <c r="S188" s="35" t="str">
        <f t="shared" si="151"/>
        <v>Infraestruturas</v>
      </c>
      <c r="T188" s="35" t="str">
        <f t="shared" si="152"/>
        <v>Urbanas</v>
      </c>
      <c r="U188" s="35" t="str">
        <f t="shared" si="153"/>
        <v>Sinalizações</v>
      </c>
      <c r="V188" s="34" t="s">
        <v>1341</v>
      </c>
      <c r="W188" s="88" t="str">
        <f t="shared" si="131"/>
        <v>Key-INF-188</v>
      </c>
      <c r="X188" s="33" t="s">
        <v>1367</v>
      </c>
      <c r="Y188" s="35" t="s">
        <v>1416</v>
      </c>
      <c r="Z188" s="86" t="s">
        <v>1</v>
      </c>
      <c r="AA188" s="33" t="str">
        <f t="shared" si="136"/>
        <v>Urban traffic sign.</v>
      </c>
    </row>
    <row r="189" spans="1:27" ht="6.6" customHeight="1" x14ac:dyDescent="0.25">
      <c r="A189" s="31">
        <v>189</v>
      </c>
      <c r="B189" s="38" t="s">
        <v>76</v>
      </c>
      <c r="C189" s="39" t="s">
        <v>886</v>
      </c>
      <c r="D189" s="44" t="s">
        <v>888</v>
      </c>
      <c r="E189" s="44" t="s">
        <v>889</v>
      </c>
      <c r="F189" s="44" t="s">
        <v>890</v>
      </c>
      <c r="G189" s="82" t="s">
        <v>1</v>
      </c>
      <c r="H189" s="82" t="s">
        <v>1</v>
      </c>
      <c r="I189" s="82" t="s">
        <v>1</v>
      </c>
      <c r="J189" s="82" t="s">
        <v>1</v>
      </c>
      <c r="K189" s="82" t="s">
        <v>1</v>
      </c>
      <c r="L189" s="37" t="str">
        <f t="shared" si="168"/>
        <v>Infraestruturas</v>
      </c>
      <c r="M189" s="37" t="str">
        <f t="shared" si="169"/>
        <v>Urbanas</v>
      </c>
      <c r="N189" s="37" t="str">
        <f t="shared" si="170"/>
        <v>Sinalizações</v>
      </c>
      <c r="O189" s="37" t="str">
        <f t="shared" si="171"/>
        <v>Totem Informativo</v>
      </c>
      <c r="P189" s="37" t="s">
        <v>1071</v>
      </c>
      <c r="Q189" s="53" t="s">
        <v>1224</v>
      </c>
      <c r="R189" s="34" t="s">
        <v>1</v>
      </c>
      <c r="S189" s="35" t="str">
        <f t="shared" si="151"/>
        <v>Infraestruturas</v>
      </c>
      <c r="T189" s="35" t="str">
        <f t="shared" si="152"/>
        <v>Urbanas</v>
      </c>
      <c r="U189" s="35" t="str">
        <f t="shared" si="153"/>
        <v>Sinalizações</v>
      </c>
      <c r="V189" s="34" t="s">
        <v>1341</v>
      </c>
      <c r="W189" s="88" t="str">
        <f t="shared" si="131"/>
        <v>Key-INF-189</v>
      </c>
      <c r="X189" s="33" t="s">
        <v>1367</v>
      </c>
      <c r="Y189" s="35" t="s">
        <v>1406</v>
      </c>
      <c r="Z189" s="86" t="s">
        <v>1</v>
      </c>
      <c r="AA189" s="33" t="str">
        <f t="shared" si="136"/>
        <v>Urban information totem.</v>
      </c>
    </row>
    <row r="190" spans="1:27" ht="6.6" customHeight="1" x14ac:dyDescent="0.25">
      <c r="A190" s="31">
        <v>190</v>
      </c>
      <c r="B190" s="38" t="s">
        <v>76</v>
      </c>
      <c r="C190" s="39" t="s">
        <v>886</v>
      </c>
      <c r="D190" s="38" t="s">
        <v>891</v>
      </c>
      <c r="E190" s="44" t="s">
        <v>956</v>
      </c>
      <c r="F190" s="44" t="s">
        <v>960</v>
      </c>
      <c r="G190" s="83" t="s">
        <v>1</v>
      </c>
      <c r="H190" s="83" t="s">
        <v>1</v>
      </c>
      <c r="I190" s="83" t="s">
        <v>1</v>
      </c>
      <c r="J190" s="83" t="s">
        <v>1</v>
      </c>
      <c r="K190" s="83"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961</v>
      </c>
      <c r="Q190" s="36" t="s">
        <v>965</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1341</v>
      </c>
      <c r="W190" s="88" t="str">
        <f t="shared" si="131"/>
        <v>Key-INF-190</v>
      </c>
      <c r="X190" s="33" t="s">
        <v>1360</v>
      </c>
      <c r="Y190" s="35" t="s">
        <v>1406</v>
      </c>
      <c r="Z190" s="86" t="s">
        <v>1</v>
      </c>
      <c r="AA190" s="33" t="str">
        <f t="shared" si="136"/>
        <v>Intercity bus terminal station.</v>
      </c>
    </row>
    <row r="191" spans="1:27" ht="6.6" customHeight="1" x14ac:dyDescent="0.25">
      <c r="A191" s="31">
        <v>191</v>
      </c>
      <c r="B191" s="38" t="s">
        <v>76</v>
      </c>
      <c r="C191" s="39" t="s">
        <v>886</v>
      </c>
      <c r="D191" s="38" t="s">
        <v>891</v>
      </c>
      <c r="E191" s="44" t="s">
        <v>956</v>
      </c>
      <c r="F191" s="44" t="s">
        <v>959</v>
      </c>
      <c r="G191" s="83" t="s">
        <v>1</v>
      </c>
      <c r="H191" s="83" t="s">
        <v>1</v>
      </c>
      <c r="I191" s="83" t="s">
        <v>1</v>
      </c>
      <c r="J191" s="83" t="s">
        <v>1</v>
      </c>
      <c r="K191" s="83" t="s">
        <v>1</v>
      </c>
      <c r="L191" s="36" t="str">
        <f t="shared" si="172"/>
        <v>Infraestruturas</v>
      </c>
      <c r="M191" s="32" t="str">
        <f t="shared" si="173"/>
        <v>Rodoviárias</v>
      </c>
      <c r="N191" s="32" t="str">
        <f t="shared" si="174"/>
        <v>Estações Rodoviárias</v>
      </c>
      <c r="O191" s="33" t="str">
        <f t="shared" si="175"/>
        <v>Terminal.Rodoviário</v>
      </c>
      <c r="P191" s="37" t="s">
        <v>961</v>
      </c>
      <c r="Q191" s="36" t="s">
        <v>965</v>
      </c>
      <c r="R191" s="34" t="s">
        <v>1</v>
      </c>
      <c r="S191" s="35" t="str">
        <f t="shared" si="176"/>
        <v>Infraestruturas</v>
      </c>
      <c r="T191" s="35" t="str">
        <f t="shared" si="177"/>
        <v>Rodoviárias</v>
      </c>
      <c r="U191" s="35" t="str">
        <f t="shared" si="178"/>
        <v>Estações Rodoviárias</v>
      </c>
      <c r="V191" s="34" t="s">
        <v>1341</v>
      </c>
      <c r="W191" s="88" t="str">
        <f t="shared" si="131"/>
        <v>Key-INF-191</v>
      </c>
      <c r="X191" s="33" t="s">
        <v>1360</v>
      </c>
      <c r="Y191" s="35" t="s">
        <v>1406</v>
      </c>
      <c r="Z191" s="86" t="s">
        <v>1</v>
      </c>
      <c r="AA191" s="33" t="str">
        <f t="shared" si="136"/>
        <v>Intercity bus terminal station.</v>
      </c>
    </row>
    <row r="192" spans="1:27" ht="6.6" customHeight="1" x14ac:dyDescent="0.25">
      <c r="A192" s="31">
        <v>192</v>
      </c>
      <c r="B192" s="38" t="s">
        <v>76</v>
      </c>
      <c r="C192" s="39" t="s">
        <v>886</v>
      </c>
      <c r="D192" s="38" t="s">
        <v>891</v>
      </c>
      <c r="E192" s="44" t="s">
        <v>956</v>
      </c>
      <c r="F192" s="44" t="s">
        <v>955</v>
      </c>
      <c r="G192" s="83" t="s">
        <v>1</v>
      </c>
      <c r="H192" s="83" t="s">
        <v>1</v>
      </c>
      <c r="I192" s="83" t="s">
        <v>1</v>
      </c>
      <c r="J192" s="83" t="s">
        <v>1</v>
      </c>
      <c r="K192" s="83"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962</v>
      </c>
      <c r="Q192" s="36" t="s">
        <v>966</v>
      </c>
      <c r="R192" s="34" t="s">
        <v>1</v>
      </c>
      <c r="S192" s="35" t="str">
        <f t="shared" si="151"/>
        <v>Infraestruturas</v>
      </c>
      <c r="T192" s="35" t="str">
        <f t="shared" si="152"/>
        <v>Rodoviárias</v>
      </c>
      <c r="U192" s="35" t="str">
        <f t="shared" si="153"/>
        <v>Estações Rodoviárias</v>
      </c>
      <c r="V192" s="34" t="s">
        <v>1341</v>
      </c>
      <c r="W192" s="88" t="str">
        <f t="shared" si="131"/>
        <v>Key-INF-192</v>
      </c>
      <c r="X192" s="33" t="s">
        <v>1360</v>
      </c>
      <c r="Y192" s="35" t="s">
        <v>1406</v>
      </c>
      <c r="Z192" s="86" t="s">
        <v>1</v>
      </c>
      <c r="AA192" s="33" t="str">
        <f t="shared" si="136"/>
        <v>Bus station.</v>
      </c>
    </row>
    <row r="193" spans="1:27" ht="6.6" customHeight="1" x14ac:dyDescent="0.25">
      <c r="A193" s="31">
        <v>193</v>
      </c>
      <c r="B193" s="38" t="s">
        <v>76</v>
      </c>
      <c r="C193" s="39" t="s">
        <v>886</v>
      </c>
      <c r="D193" s="38" t="s">
        <v>891</v>
      </c>
      <c r="E193" s="44" t="s">
        <v>956</v>
      </c>
      <c r="F193" s="44" t="s">
        <v>958</v>
      </c>
      <c r="G193" s="83" t="s">
        <v>1</v>
      </c>
      <c r="H193" s="83" t="s">
        <v>1</v>
      </c>
      <c r="I193" s="83" t="s">
        <v>1</v>
      </c>
      <c r="J193" s="83" t="s">
        <v>1</v>
      </c>
      <c r="K193" s="83" t="s">
        <v>1</v>
      </c>
      <c r="L193" s="36" t="str">
        <f t="shared" si="179"/>
        <v>Infraestruturas</v>
      </c>
      <c r="M193" s="32" t="str">
        <f t="shared" si="180"/>
        <v>Rodoviárias</v>
      </c>
      <c r="N193" s="32" t="str">
        <f t="shared" si="181"/>
        <v>Estações Rodoviárias</v>
      </c>
      <c r="O193" s="33" t="str">
        <f t="shared" si="182"/>
        <v>Ponto.de.Ônibus</v>
      </c>
      <c r="P193" s="37" t="s">
        <v>963</v>
      </c>
      <c r="Q193" s="36" t="s">
        <v>967</v>
      </c>
      <c r="R193" s="34" t="s">
        <v>1</v>
      </c>
      <c r="S193" s="35" t="str">
        <f t="shared" si="151"/>
        <v>Infraestruturas</v>
      </c>
      <c r="T193" s="35" t="str">
        <f t="shared" si="152"/>
        <v>Rodoviárias</v>
      </c>
      <c r="U193" s="35" t="str">
        <f t="shared" si="153"/>
        <v>Estações Rodoviárias</v>
      </c>
      <c r="V193" s="34" t="s">
        <v>1341</v>
      </c>
      <c r="W193" s="88" t="str">
        <f t="shared" si="131"/>
        <v>Key-INF-193</v>
      </c>
      <c r="X193" s="33" t="s">
        <v>1360</v>
      </c>
      <c r="Y193" s="35" t="s">
        <v>1406</v>
      </c>
      <c r="Z193" s="86" t="s">
        <v>1</v>
      </c>
      <c r="AA193" s="33" t="str">
        <f t="shared" si="136"/>
        <v>Urban bus stop.</v>
      </c>
    </row>
    <row r="194" spans="1:27" ht="6.6" customHeight="1" x14ac:dyDescent="0.25">
      <c r="A194" s="31">
        <v>194</v>
      </c>
      <c r="B194" s="38" t="s">
        <v>76</v>
      </c>
      <c r="C194" s="39" t="s">
        <v>886</v>
      </c>
      <c r="D194" s="38" t="s">
        <v>891</v>
      </c>
      <c r="E194" s="44" t="s">
        <v>956</v>
      </c>
      <c r="F194" s="44" t="s">
        <v>957</v>
      </c>
      <c r="G194" s="83" t="s">
        <v>1</v>
      </c>
      <c r="H194" s="83" t="s">
        <v>1</v>
      </c>
      <c r="I194" s="83" t="s">
        <v>1</v>
      </c>
      <c r="J194" s="83" t="s">
        <v>1</v>
      </c>
      <c r="K194" s="83" t="s">
        <v>1</v>
      </c>
      <c r="L194" s="36" t="str">
        <f t="shared" si="179"/>
        <v>Infraestruturas</v>
      </c>
      <c r="M194" s="32" t="str">
        <f t="shared" si="180"/>
        <v>Rodoviárias</v>
      </c>
      <c r="N194" s="32" t="str">
        <f t="shared" si="181"/>
        <v>Estações Rodoviárias</v>
      </c>
      <c r="O194" s="33" t="str">
        <f t="shared" si="182"/>
        <v>Parada.de.Ônibus</v>
      </c>
      <c r="P194" s="37" t="s">
        <v>964</v>
      </c>
      <c r="Q194" s="36" t="s">
        <v>967</v>
      </c>
      <c r="R194" s="34" t="s">
        <v>1</v>
      </c>
      <c r="S194" s="35" t="str">
        <f t="shared" si="151"/>
        <v>Infraestruturas</v>
      </c>
      <c r="T194" s="35" t="str">
        <f t="shared" si="152"/>
        <v>Rodoviárias</v>
      </c>
      <c r="U194" s="35" t="str">
        <f t="shared" si="153"/>
        <v>Estações Rodoviárias</v>
      </c>
      <c r="V194" s="34" t="s">
        <v>1341</v>
      </c>
      <c r="W194" s="88" t="str">
        <f t="shared" si="131"/>
        <v>Key-INF-194</v>
      </c>
      <c r="X194" s="33" t="s">
        <v>1360</v>
      </c>
      <c r="Y194" s="35" t="s">
        <v>1417</v>
      </c>
      <c r="Z194" s="86" t="s">
        <v>1</v>
      </c>
      <c r="AA194" s="33" t="str">
        <f t="shared" si="136"/>
        <v>City bus stop.</v>
      </c>
    </row>
    <row r="195" spans="1:27" ht="6.6" customHeight="1" x14ac:dyDescent="0.25">
      <c r="A195" s="31">
        <v>195</v>
      </c>
      <c r="B195" s="38" t="s">
        <v>76</v>
      </c>
      <c r="C195" s="39" t="s">
        <v>886</v>
      </c>
      <c r="D195" s="38" t="s">
        <v>891</v>
      </c>
      <c r="E195" s="42" t="s">
        <v>880</v>
      </c>
      <c r="F195" s="44" t="s">
        <v>112</v>
      </c>
      <c r="G195" s="83" t="s">
        <v>1</v>
      </c>
      <c r="H195" s="83" t="s">
        <v>1</v>
      </c>
      <c r="I195" s="83" t="s">
        <v>1</v>
      </c>
      <c r="J195" s="83" t="s">
        <v>1</v>
      </c>
      <c r="K195" s="83"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1341</v>
      </c>
      <c r="W195" s="88" t="str">
        <f t="shared" si="131"/>
        <v>Key-INF-195</v>
      </c>
      <c r="X195" s="33" t="s">
        <v>1368</v>
      </c>
      <c r="Y195" s="50" t="s">
        <v>1417</v>
      </c>
      <c r="Z195" s="86" t="s">
        <v>1</v>
      </c>
      <c r="AA195" s="33" t="str">
        <f t="shared" si="136"/>
        <v>Local roads, generally municipal, unpaved with one lane and of modest technical standard.</v>
      </c>
    </row>
    <row r="196" spans="1:27" ht="6.6" customHeight="1" x14ac:dyDescent="0.25">
      <c r="A196" s="31">
        <v>196</v>
      </c>
      <c r="B196" s="38" t="s">
        <v>76</v>
      </c>
      <c r="C196" s="39" t="s">
        <v>886</v>
      </c>
      <c r="D196" s="38" t="s">
        <v>891</v>
      </c>
      <c r="E196" s="42" t="s">
        <v>880</v>
      </c>
      <c r="F196" s="44" t="s">
        <v>113</v>
      </c>
      <c r="G196" s="83" t="s">
        <v>1</v>
      </c>
      <c r="H196" s="83" t="s">
        <v>1</v>
      </c>
      <c r="I196" s="83" t="s">
        <v>1</v>
      </c>
      <c r="J196" s="83" t="s">
        <v>1</v>
      </c>
      <c r="K196" s="83"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1341</v>
      </c>
      <c r="W196" s="88" t="str">
        <f t="shared" si="131"/>
        <v>Key-INF-196</v>
      </c>
      <c r="X196" s="33" t="s">
        <v>1368</v>
      </c>
      <c r="Y196" s="50" t="s">
        <v>1417</v>
      </c>
      <c r="Z196" s="86" t="s">
        <v>1</v>
      </c>
      <c r="AA196" s="33" t="str">
        <f t="shared" si="136"/>
        <v>Local roads, generally municipal, paved with one lane and of modest technical standard.</v>
      </c>
    </row>
    <row r="197" spans="1:27" ht="6.6" customHeight="1" x14ac:dyDescent="0.25">
      <c r="A197" s="31">
        <v>197</v>
      </c>
      <c r="B197" s="38" t="s">
        <v>76</v>
      </c>
      <c r="C197" s="39" t="s">
        <v>886</v>
      </c>
      <c r="D197" s="38" t="s">
        <v>891</v>
      </c>
      <c r="E197" s="42" t="s">
        <v>880</v>
      </c>
      <c r="F197" s="44" t="s">
        <v>120</v>
      </c>
      <c r="G197" s="83" t="s">
        <v>1</v>
      </c>
      <c r="H197" s="83" t="s">
        <v>1</v>
      </c>
      <c r="I197" s="83" t="s">
        <v>1</v>
      </c>
      <c r="J197" s="83" t="s">
        <v>1</v>
      </c>
      <c r="K197" s="83"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1341</v>
      </c>
      <c r="W197" s="88" t="str">
        <f t="shared" si="131"/>
        <v>Key-INF-197</v>
      </c>
      <c r="X197" s="33" t="s">
        <v>1368</v>
      </c>
      <c r="Y197" s="50" t="s">
        <v>1417</v>
      </c>
      <c r="Z197" s="86" t="s">
        <v>1</v>
      </c>
      <c r="AA197" s="33" t="str">
        <f t="shared" si="136"/>
        <v>Paved urban roads of one lane with a width of 6 to 9 meters.</v>
      </c>
    </row>
    <row r="198" spans="1:27" ht="6.6" customHeight="1" x14ac:dyDescent="0.25">
      <c r="A198" s="31">
        <v>198</v>
      </c>
      <c r="B198" s="38" t="s">
        <v>76</v>
      </c>
      <c r="C198" s="39" t="s">
        <v>886</v>
      </c>
      <c r="D198" s="38" t="s">
        <v>891</v>
      </c>
      <c r="E198" s="42" t="s">
        <v>880</v>
      </c>
      <c r="F198" s="44" t="s">
        <v>122</v>
      </c>
      <c r="G198" s="83" t="s">
        <v>1</v>
      </c>
      <c r="H198" s="83" t="s">
        <v>1</v>
      </c>
      <c r="I198" s="83" t="s">
        <v>1</v>
      </c>
      <c r="J198" s="83" t="s">
        <v>1</v>
      </c>
      <c r="K198" s="83"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1341</v>
      </c>
      <c r="W198" s="88" t="str">
        <f t="shared" si="131"/>
        <v>Key-INF-198</v>
      </c>
      <c r="X198" s="33" t="s">
        <v>1368</v>
      </c>
      <c r="Y198" s="50" t="s">
        <v>1417</v>
      </c>
      <c r="Z198" s="86" t="s">
        <v>1</v>
      </c>
      <c r="AA198" s="33" t="str">
        <f t="shared" si="136"/>
        <v>Paved urban roads of one lane with a width of 9 to 12 meters.</v>
      </c>
    </row>
    <row r="199" spans="1:27" ht="6.6" customHeight="1" x14ac:dyDescent="0.25">
      <c r="A199" s="31">
        <v>199</v>
      </c>
      <c r="B199" s="38" t="s">
        <v>76</v>
      </c>
      <c r="C199" s="39" t="s">
        <v>886</v>
      </c>
      <c r="D199" s="38" t="s">
        <v>891</v>
      </c>
      <c r="E199" s="42" t="s">
        <v>880</v>
      </c>
      <c r="F199" s="44" t="s">
        <v>121</v>
      </c>
      <c r="G199" s="83" t="s">
        <v>1</v>
      </c>
      <c r="H199" s="83" t="s">
        <v>1</v>
      </c>
      <c r="I199" s="83" t="s">
        <v>1</v>
      </c>
      <c r="J199" s="83" t="s">
        <v>1</v>
      </c>
      <c r="K199" s="83"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1341</v>
      </c>
      <c r="W199" s="88" t="str">
        <f t="shared" si="131"/>
        <v>Key-INF-199</v>
      </c>
      <c r="X199" s="33" t="s">
        <v>1368</v>
      </c>
      <c r="Y199" s="50" t="s">
        <v>1417</v>
      </c>
      <c r="Z199" s="86" t="s">
        <v>1</v>
      </c>
      <c r="AA199" s="33" t="str">
        <f t="shared" si="136"/>
        <v>Paved urban roads of one or two lanes with widths of 12 to 18 meters.</v>
      </c>
    </row>
    <row r="200" spans="1:27" ht="6.6" customHeight="1" x14ac:dyDescent="0.25">
      <c r="A200" s="31">
        <v>200</v>
      </c>
      <c r="B200" s="38" t="s">
        <v>76</v>
      </c>
      <c r="C200" s="39" t="s">
        <v>886</v>
      </c>
      <c r="D200" s="38" t="s">
        <v>891</v>
      </c>
      <c r="E200" s="42" t="s">
        <v>880</v>
      </c>
      <c r="F200" s="44" t="s">
        <v>124</v>
      </c>
      <c r="G200" s="83" t="s">
        <v>1</v>
      </c>
      <c r="H200" s="83" t="s">
        <v>1</v>
      </c>
      <c r="I200" s="83" t="s">
        <v>1</v>
      </c>
      <c r="J200" s="83" t="s">
        <v>1</v>
      </c>
      <c r="K200" s="83"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1341</v>
      </c>
      <c r="W200" s="88" t="str">
        <f t="shared" ref="W200:W263" si="199">CONCATENATE("Key-INF-",A200)</f>
        <v>Key-INF-200</v>
      </c>
      <c r="X200" s="33" t="s">
        <v>1368</v>
      </c>
      <c r="Y200" s="50" t="s">
        <v>1417</v>
      </c>
      <c r="Z200" s="86" t="s">
        <v>1</v>
      </c>
      <c r="AA200" s="33" t="str">
        <f t="shared" si="136"/>
        <v>Paved urban roads with a large flow of vehicles and public transport with a width of 20 to 30 meters.</v>
      </c>
    </row>
    <row r="201" spans="1:27" ht="6.6" customHeight="1" x14ac:dyDescent="0.25">
      <c r="A201" s="31">
        <v>201</v>
      </c>
      <c r="B201" s="38" t="s">
        <v>76</v>
      </c>
      <c r="C201" s="39" t="s">
        <v>886</v>
      </c>
      <c r="D201" s="38" t="s">
        <v>891</v>
      </c>
      <c r="E201" s="42" t="s">
        <v>880</v>
      </c>
      <c r="F201" s="44" t="s">
        <v>123</v>
      </c>
      <c r="G201" s="83" t="s">
        <v>1</v>
      </c>
      <c r="H201" s="83" t="s">
        <v>1</v>
      </c>
      <c r="I201" s="83" t="s">
        <v>1</v>
      </c>
      <c r="J201" s="83" t="s">
        <v>1</v>
      </c>
      <c r="K201" s="83"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1341</v>
      </c>
      <c r="W201" s="88" t="str">
        <f t="shared" si="199"/>
        <v>Key-INF-201</v>
      </c>
      <c r="X201" s="33" t="s">
        <v>1368</v>
      </c>
      <c r="Y201" s="50" t="s">
        <v>1417</v>
      </c>
      <c r="Z201" s="86" t="s">
        <v>1</v>
      </c>
      <c r="AA201" s="33" t="str">
        <f t="shared" ref="AA201:AA264" si="202">_xlfn.TRANSLATE(P201,"pt","en")</f>
        <v>High-speed urban roads with separation of lanes from 30 to 60 meters.</v>
      </c>
    </row>
    <row r="202" spans="1:27" ht="6.6" customHeight="1" x14ac:dyDescent="0.25">
      <c r="A202" s="31">
        <v>202</v>
      </c>
      <c r="B202" s="38" t="s">
        <v>76</v>
      </c>
      <c r="C202" s="39" t="s">
        <v>886</v>
      </c>
      <c r="D202" s="38" t="s">
        <v>891</v>
      </c>
      <c r="E202" s="42" t="s">
        <v>880</v>
      </c>
      <c r="F202" s="44" t="s">
        <v>783</v>
      </c>
      <c r="G202" s="83" t="s">
        <v>1</v>
      </c>
      <c r="H202" s="83" t="s">
        <v>1</v>
      </c>
      <c r="I202" s="83" t="s">
        <v>1</v>
      </c>
      <c r="J202" s="83" t="s">
        <v>1</v>
      </c>
      <c r="K202" s="83"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784</v>
      </c>
      <c r="Q202" s="37" t="s">
        <v>785</v>
      </c>
      <c r="R202" s="34" t="s">
        <v>1</v>
      </c>
      <c r="S202" s="35" t="str">
        <f t="shared" si="83"/>
        <v>Infraestruturas</v>
      </c>
      <c r="T202" s="35" t="str">
        <f t="shared" si="84"/>
        <v>Rodoviárias</v>
      </c>
      <c r="U202" s="35" t="str">
        <f t="shared" si="84"/>
        <v>Vias</v>
      </c>
      <c r="V202" s="34" t="s">
        <v>1341</v>
      </c>
      <c r="W202" s="88" t="str">
        <f t="shared" si="199"/>
        <v>Key-INF-202</v>
      </c>
      <c r="X202" s="33" t="s">
        <v>1368</v>
      </c>
      <c r="Y202" s="50" t="s">
        <v>1417</v>
      </c>
      <c r="Z202" s="86" t="s">
        <v>1</v>
      </c>
      <c r="AA202" s="33" t="str">
        <f t="shared" si="202"/>
        <v>Exclusive urban road for BRT operation.</v>
      </c>
    </row>
    <row r="203" spans="1:27" ht="6.6" customHeight="1" x14ac:dyDescent="0.25">
      <c r="A203" s="31">
        <v>203</v>
      </c>
      <c r="B203" s="38" t="s">
        <v>76</v>
      </c>
      <c r="C203" s="39" t="s">
        <v>886</v>
      </c>
      <c r="D203" s="38" t="s">
        <v>891</v>
      </c>
      <c r="E203" s="42" t="s">
        <v>881</v>
      </c>
      <c r="F203" s="44" t="s">
        <v>103</v>
      </c>
      <c r="G203" s="83" t="s">
        <v>1</v>
      </c>
      <c r="H203" s="83" t="s">
        <v>1</v>
      </c>
      <c r="I203" s="83" t="s">
        <v>1</v>
      </c>
      <c r="J203" s="83" t="s">
        <v>1</v>
      </c>
      <c r="K203" s="83"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1341</v>
      </c>
      <c r="W203" s="88" t="str">
        <f t="shared" si="199"/>
        <v>Key-INF-203</v>
      </c>
      <c r="X203" s="33" t="s">
        <v>1368</v>
      </c>
      <c r="Y203" s="50" t="s">
        <v>1417</v>
      </c>
      <c r="Z203" s="86" t="s">
        <v>1</v>
      </c>
      <c r="AA203" s="33" t="str">
        <f t="shared" si="202"/>
        <v>Lane used by vehicles.</v>
      </c>
    </row>
    <row r="204" spans="1:27" ht="6.6" customHeight="1" x14ac:dyDescent="0.25">
      <c r="A204" s="31">
        <v>204</v>
      </c>
      <c r="B204" s="38" t="s">
        <v>76</v>
      </c>
      <c r="C204" s="39" t="s">
        <v>886</v>
      </c>
      <c r="D204" s="38" t="s">
        <v>891</v>
      </c>
      <c r="E204" s="42" t="s">
        <v>881</v>
      </c>
      <c r="F204" s="44" t="s">
        <v>114</v>
      </c>
      <c r="G204" s="83" t="s">
        <v>1</v>
      </c>
      <c r="H204" s="83" t="s">
        <v>1</v>
      </c>
      <c r="I204" s="83" t="s">
        <v>1</v>
      </c>
      <c r="J204" s="83" t="s">
        <v>1</v>
      </c>
      <c r="K204" s="83"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1341</v>
      </c>
      <c r="W204" s="88" t="str">
        <f t="shared" si="199"/>
        <v>Key-INF-204</v>
      </c>
      <c r="X204" s="33" t="s">
        <v>1368</v>
      </c>
      <c r="Y204" s="50" t="s">
        <v>1417</v>
      </c>
      <c r="Z204" s="86"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886</v>
      </c>
      <c r="D205" s="38" t="s">
        <v>891</v>
      </c>
      <c r="E205" s="42" t="s">
        <v>881</v>
      </c>
      <c r="F205" s="44" t="s">
        <v>118</v>
      </c>
      <c r="G205" s="83" t="s">
        <v>1</v>
      </c>
      <c r="H205" s="83" t="s">
        <v>1</v>
      </c>
      <c r="I205" s="83" t="s">
        <v>1</v>
      </c>
      <c r="J205" s="83" t="s">
        <v>1</v>
      </c>
      <c r="K205" s="83"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1341</v>
      </c>
      <c r="W205" s="88" t="str">
        <f t="shared" si="199"/>
        <v>Key-INF-205</v>
      </c>
      <c r="X205" s="33" t="s">
        <v>1368</v>
      </c>
      <c r="Y205" s="50" t="s">
        <v>1417</v>
      </c>
      <c r="Z205" s="86"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886</v>
      </c>
      <c r="D206" s="38" t="s">
        <v>891</v>
      </c>
      <c r="E206" s="42" t="s">
        <v>881</v>
      </c>
      <c r="F206" s="44" t="s">
        <v>116</v>
      </c>
      <c r="G206" s="83" t="s">
        <v>1</v>
      </c>
      <c r="H206" s="83" t="s">
        <v>1</v>
      </c>
      <c r="I206" s="83" t="s">
        <v>1</v>
      </c>
      <c r="J206" s="83" t="s">
        <v>1</v>
      </c>
      <c r="K206" s="83"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1341</v>
      </c>
      <c r="W206" s="88" t="str">
        <f t="shared" si="199"/>
        <v>Key-INF-206</v>
      </c>
      <c r="X206" s="33" t="s">
        <v>1368</v>
      </c>
      <c r="Y206" s="50" t="s">
        <v>1403</v>
      </c>
      <c r="Z206" s="86" t="s">
        <v>1</v>
      </c>
      <c r="AA206" s="33" t="str">
        <f t="shared" si="202"/>
        <v>Exclusive lane for bicycle circulation, physically separated from the motor vehicle lanes.</v>
      </c>
    </row>
    <row r="207" spans="1:27" ht="6.6" customHeight="1" x14ac:dyDescent="0.25">
      <c r="A207" s="31">
        <v>207</v>
      </c>
      <c r="B207" s="38" t="s">
        <v>76</v>
      </c>
      <c r="C207" s="39" t="s">
        <v>886</v>
      </c>
      <c r="D207" s="38" t="s">
        <v>891</v>
      </c>
      <c r="E207" s="42" t="s">
        <v>881</v>
      </c>
      <c r="F207" s="44" t="s">
        <v>105</v>
      </c>
      <c r="G207" s="83" t="s">
        <v>1</v>
      </c>
      <c r="H207" s="83" t="s">
        <v>1</v>
      </c>
      <c r="I207" s="83" t="s">
        <v>1</v>
      </c>
      <c r="J207" s="83" t="s">
        <v>1</v>
      </c>
      <c r="K207" s="83"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1341</v>
      </c>
      <c r="W207" s="88" t="str">
        <f t="shared" si="199"/>
        <v>Key-INF-207</v>
      </c>
      <c r="X207" s="33" t="s">
        <v>1368</v>
      </c>
      <c r="Y207" s="50" t="s">
        <v>1418</v>
      </c>
      <c r="Z207" s="86" t="s">
        <v>1</v>
      </c>
      <c r="AA207" s="33" t="str">
        <f t="shared" si="202"/>
        <v>Element that separates the road from the pedestrian sidewalk vehicles with a height of less than 35 cm.</v>
      </c>
    </row>
    <row r="208" spans="1:27" ht="6.6" customHeight="1" x14ac:dyDescent="0.25">
      <c r="A208" s="31">
        <v>208</v>
      </c>
      <c r="B208" s="38" t="s">
        <v>76</v>
      </c>
      <c r="C208" s="39" t="s">
        <v>886</v>
      </c>
      <c r="D208" s="38" t="s">
        <v>891</v>
      </c>
      <c r="E208" s="42" t="s">
        <v>882</v>
      </c>
      <c r="F208" s="44" t="s">
        <v>256</v>
      </c>
      <c r="G208" s="83" t="s">
        <v>1</v>
      </c>
      <c r="H208" s="83" t="s">
        <v>1</v>
      </c>
      <c r="I208" s="83" t="s">
        <v>1</v>
      </c>
      <c r="J208" s="83" t="s">
        <v>1</v>
      </c>
      <c r="K208" s="83"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1341</v>
      </c>
      <c r="W208" s="88" t="str">
        <f t="shared" si="199"/>
        <v>Key-INF-208</v>
      </c>
      <c r="X208" s="33" t="s">
        <v>1369</v>
      </c>
      <c r="Y208" s="35" t="s">
        <v>1418</v>
      </c>
      <c r="Z208" s="86" t="s">
        <v>1</v>
      </c>
      <c r="AA208" s="33" t="str">
        <f t="shared" si="202"/>
        <v>ABNT standard profile, embedded in the structure, with the function of lateral protection of the road lane.</v>
      </c>
    </row>
    <row r="209" spans="1:27" ht="6.6" customHeight="1" x14ac:dyDescent="0.25">
      <c r="A209" s="31">
        <v>209</v>
      </c>
      <c r="B209" s="38" t="s">
        <v>76</v>
      </c>
      <c r="C209" s="39" t="s">
        <v>886</v>
      </c>
      <c r="D209" s="38" t="s">
        <v>891</v>
      </c>
      <c r="E209" s="42" t="s">
        <v>882</v>
      </c>
      <c r="F209" s="44" t="s">
        <v>257</v>
      </c>
      <c r="G209" s="83" t="s">
        <v>1</v>
      </c>
      <c r="H209" s="83" t="s">
        <v>1</v>
      </c>
      <c r="I209" s="83" t="s">
        <v>1</v>
      </c>
      <c r="J209" s="83" t="s">
        <v>1</v>
      </c>
      <c r="K209" s="83"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1341</v>
      </c>
      <c r="W209" s="88" t="str">
        <f t="shared" si="199"/>
        <v>Key-INF-209</v>
      </c>
      <c r="X209" s="33" t="s">
        <v>1369</v>
      </c>
      <c r="Y209" s="35" t="s">
        <v>1418</v>
      </c>
      <c r="Z209" s="86"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886</v>
      </c>
      <c r="D210" s="38" t="s">
        <v>891</v>
      </c>
      <c r="E210" s="42" t="s">
        <v>882</v>
      </c>
      <c r="F210" s="44" t="s">
        <v>258</v>
      </c>
      <c r="G210" s="83" t="s">
        <v>1</v>
      </c>
      <c r="H210" s="83" t="s">
        <v>1</v>
      </c>
      <c r="I210" s="83" t="s">
        <v>1</v>
      </c>
      <c r="J210" s="83" t="s">
        <v>1</v>
      </c>
      <c r="K210" s="83"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1341</v>
      </c>
      <c r="W210" s="88" t="str">
        <f t="shared" si="199"/>
        <v>Key-INF-210</v>
      </c>
      <c r="X210" s="33" t="s">
        <v>1369</v>
      </c>
      <c r="Y210" s="35" t="s">
        <v>1418</v>
      </c>
      <c r="Z210" s="86" t="s">
        <v>1</v>
      </c>
      <c r="AA210" s="33" t="str">
        <f t="shared" si="202"/>
        <v>Continuous or hollow element of pedestrian protection on the edge of the sidewalk.</v>
      </c>
    </row>
    <row r="211" spans="1:27" ht="6.6" customHeight="1" x14ac:dyDescent="0.25">
      <c r="A211" s="31">
        <v>211</v>
      </c>
      <c r="B211" s="38" t="s">
        <v>76</v>
      </c>
      <c r="C211" s="39" t="s">
        <v>886</v>
      </c>
      <c r="D211" s="38" t="s">
        <v>891</v>
      </c>
      <c r="E211" s="42" t="s">
        <v>882</v>
      </c>
      <c r="F211" s="44" t="s">
        <v>259</v>
      </c>
      <c r="G211" s="83" t="s">
        <v>1</v>
      </c>
      <c r="H211" s="83" t="s">
        <v>1</v>
      </c>
      <c r="I211" s="83" t="s">
        <v>1</v>
      </c>
      <c r="J211" s="83" t="s">
        <v>1</v>
      </c>
      <c r="K211" s="83"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1341</v>
      </c>
      <c r="W211" s="88" t="str">
        <f t="shared" si="199"/>
        <v>Key-INF-211</v>
      </c>
      <c r="X211" s="33" t="s">
        <v>1369</v>
      </c>
      <c r="Y211" s="35" t="s">
        <v>1419</v>
      </c>
      <c r="Z211" s="86" t="s">
        <v>1</v>
      </c>
      <c r="AA211" s="33" t="str">
        <f t="shared" si="202"/>
        <v>Continuous side protection element at the edge of the high-speed road.</v>
      </c>
    </row>
    <row r="212" spans="1:27" ht="6.6" customHeight="1" x14ac:dyDescent="0.25">
      <c r="A212" s="31">
        <v>212</v>
      </c>
      <c r="B212" s="38" t="s">
        <v>76</v>
      </c>
      <c r="C212" s="39" t="s">
        <v>886</v>
      </c>
      <c r="D212" s="38" t="s">
        <v>891</v>
      </c>
      <c r="E212" s="42" t="s">
        <v>883</v>
      </c>
      <c r="F212" s="44" t="s">
        <v>107</v>
      </c>
      <c r="G212" s="83" t="s">
        <v>1</v>
      </c>
      <c r="H212" s="83" t="s">
        <v>1</v>
      </c>
      <c r="I212" s="83" t="s">
        <v>1</v>
      </c>
      <c r="J212" s="83" t="s">
        <v>1</v>
      </c>
      <c r="K212" s="83"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1341</v>
      </c>
      <c r="W212" s="88" t="str">
        <f t="shared" si="199"/>
        <v>Key-INF-212</v>
      </c>
      <c r="X212" s="35" t="s">
        <v>1360</v>
      </c>
      <c r="Y212" s="35" t="s">
        <v>1419</v>
      </c>
      <c r="Z212" s="86"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886</v>
      </c>
      <c r="D213" s="38" t="s">
        <v>891</v>
      </c>
      <c r="E213" s="42" t="s">
        <v>883</v>
      </c>
      <c r="F213" s="44" t="s">
        <v>108</v>
      </c>
      <c r="G213" s="83" t="s">
        <v>1</v>
      </c>
      <c r="H213" s="83" t="s">
        <v>1</v>
      </c>
      <c r="I213" s="83" t="s">
        <v>1</v>
      </c>
      <c r="J213" s="83" t="s">
        <v>1</v>
      </c>
      <c r="K213" s="83"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1341</v>
      </c>
      <c r="W213" s="88" t="str">
        <f t="shared" si="199"/>
        <v>Key-INF-213</v>
      </c>
      <c r="X213" s="35" t="s">
        <v>1360</v>
      </c>
      <c r="Y213" s="35" t="s">
        <v>1419</v>
      </c>
      <c r="Z213" s="86" t="s">
        <v>1</v>
      </c>
      <c r="AA213" s="33" t="str">
        <f t="shared" si="202"/>
        <v>Elevated structure so that vehicles can overcome an artificial obstacle such as an avenue, highway, etc.</v>
      </c>
    </row>
    <row r="214" spans="1:27" ht="6.6" customHeight="1" x14ac:dyDescent="0.25">
      <c r="A214" s="31">
        <v>214</v>
      </c>
      <c r="B214" s="38" t="s">
        <v>76</v>
      </c>
      <c r="C214" s="39" t="s">
        <v>886</v>
      </c>
      <c r="D214" s="38" t="s">
        <v>891</v>
      </c>
      <c r="E214" s="42" t="s">
        <v>883</v>
      </c>
      <c r="F214" s="44" t="s">
        <v>823</v>
      </c>
      <c r="G214" s="83" t="s">
        <v>1</v>
      </c>
      <c r="H214" s="83" t="s">
        <v>1</v>
      </c>
      <c r="I214" s="83" t="s">
        <v>1</v>
      </c>
      <c r="J214" s="83" t="s">
        <v>1</v>
      </c>
      <c r="K214" s="83"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1341</v>
      </c>
      <c r="W214" s="88" t="str">
        <f t="shared" si="199"/>
        <v>Key-INF-214</v>
      </c>
      <c r="X214" s="35" t="s">
        <v>1360</v>
      </c>
      <c r="Y214" s="35" t="s">
        <v>1406</v>
      </c>
      <c r="Z214" s="86"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886</v>
      </c>
      <c r="D215" s="38" t="s">
        <v>891</v>
      </c>
      <c r="E215" s="42" t="s">
        <v>883</v>
      </c>
      <c r="F215" s="44" t="s">
        <v>265</v>
      </c>
      <c r="G215" s="83" t="s">
        <v>1</v>
      </c>
      <c r="H215" s="83" t="s">
        <v>1</v>
      </c>
      <c r="I215" s="83" t="s">
        <v>1</v>
      </c>
      <c r="J215" s="83" t="s">
        <v>1</v>
      </c>
      <c r="K215" s="83"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1341</v>
      </c>
      <c r="W215" s="88" t="str">
        <f t="shared" si="199"/>
        <v>Key-INF-215</v>
      </c>
      <c r="X215" s="35" t="s">
        <v>1360</v>
      </c>
      <c r="Y215" s="35" t="s">
        <v>1406</v>
      </c>
      <c r="Z215" s="86" t="s">
        <v>1</v>
      </c>
      <c r="AA215" s="33" t="str">
        <f t="shared" si="202"/>
        <v>An underpass that allows people, vehicles, or trains to move through natural or urban obstacles.</v>
      </c>
    </row>
    <row r="216" spans="1:27" ht="6.6" customHeight="1" x14ac:dyDescent="0.25">
      <c r="A216" s="31">
        <v>216</v>
      </c>
      <c r="B216" s="38" t="s">
        <v>76</v>
      </c>
      <c r="C216" s="39" t="s">
        <v>886</v>
      </c>
      <c r="D216" s="38" t="s">
        <v>891</v>
      </c>
      <c r="E216" s="42" t="s">
        <v>883</v>
      </c>
      <c r="F216" s="44" t="s">
        <v>266</v>
      </c>
      <c r="G216" s="83" t="s">
        <v>1</v>
      </c>
      <c r="H216" s="83" t="s">
        <v>1</v>
      </c>
      <c r="I216" s="83" t="s">
        <v>1</v>
      </c>
      <c r="J216" s="83" t="s">
        <v>1</v>
      </c>
      <c r="K216" s="83"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1341</v>
      </c>
      <c r="W216" s="88" t="str">
        <f t="shared" si="199"/>
        <v>Key-INF-216</v>
      </c>
      <c r="X216" s="35" t="s">
        <v>1360</v>
      </c>
      <c r="Y216" s="35" t="s">
        <v>1406</v>
      </c>
      <c r="Z216" s="86" t="s">
        <v>1</v>
      </c>
      <c r="AA216" s="33" t="str">
        <f t="shared" si="202"/>
        <v>Subfluvial or maritime passage that allows the movement of people, vehicles or trains.</v>
      </c>
    </row>
    <row r="217" spans="1:27" ht="6.6" customHeight="1" x14ac:dyDescent="0.25">
      <c r="A217" s="31">
        <v>217</v>
      </c>
      <c r="B217" s="38" t="s">
        <v>76</v>
      </c>
      <c r="C217" s="39" t="s">
        <v>886</v>
      </c>
      <c r="D217" s="38" t="s">
        <v>891</v>
      </c>
      <c r="E217" s="42" t="s">
        <v>883</v>
      </c>
      <c r="F217" s="44" t="s">
        <v>822</v>
      </c>
      <c r="G217" s="83" t="s">
        <v>1</v>
      </c>
      <c r="H217" s="83" t="s">
        <v>1</v>
      </c>
      <c r="I217" s="83" t="s">
        <v>1</v>
      </c>
      <c r="J217" s="83" t="s">
        <v>1</v>
      </c>
      <c r="K217" s="83"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1341</v>
      </c>
      <c r="W217" s="88" t="str">
        <f t="shared" si="199"/>
        <v>Key-INF-217</v>
      </c>
      <c r="X217" s="35" t="s">
        <v>1360</v>
      </c>
      <c r="Y217" s="35" t="s">
        <v>1420</v>
      </c>
      <c r="Z217" s="86"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886</v>
      </c>
      <c r="D218" s="38" t="s">
        <v>891</v>
      </c>
      <c r="E218" s="42" t="s">
        <v>905</v>
      </c>
      <c r="F218" s="38" t="s">
        <v>132</v>
      </c>
      <c r="G218" s="80" t="s">
        <v>1</v>
      </c>
      <c r="H218" s="80" t="s">
        <v>1</v>
      </c>
      <c r="I218" s="80" t="s">
        <v>1</v>
      </c>
      <c r="J218" s="80" t="s">
        <v>1</v>
      </c>
      <c r="K218" s="80"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1341</v>
      </c>
      <c r="W218" s="88" t="str">
        <f t="shared" si="199"/>
        <v>Key-INF-218</v>
      </c>
      <c r="X218" s="35" t="s">
        <v>1370</v>
      </c>
      <c r="Y218" s="35" t="s">
        <v>1421</v>
      </c>
      <c r="Z218" s="86"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886</v>
      </c>
      <c r="D219" s="38" t="s">
        <v>891</v>
      </c>
      <c r="E219" s="42" t="s">
        <v>905</v>
      </c>
      <c r="F219" s="38" t="s">
        <v>133</v>
      </c>
      <c r="G219" s="80" t="s">
        <v>1</v>
      </c>
      <c r="H219" s="80" t="s">
        <v>1</v>
      </c>
      <c r="I219" s="80" t="s">
        <v>1</v>
      </c>
      <c r="J219" s="80" t="s">
        <v>1</v>
      </c>
      <c r="K219" s="80"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1341</v>
      </c>
      <c r="W219" s="88" t="str">
        <f t="shared" si="199"/>
        <v>Key-INF-219</v>
      </c>
      <c r="X219" s="35" t="s">
        <v>1371</v>
      </c>
      <c r="Y219" s="35" t="s">
        <v>1421</v>
      </c>
      <c r="Z219" s="86" t="s">
        <v>1</v>
      </c>
      <c r="AA219" s="33" t="str">
        <f t="shared" si="202"/>
        <v>Part of a Special Artwork: Bridge foundation piles.</v>
      </c>
    </row>
    <row r="220" spans="1:27" ht="6.6" customHeight="1" x14ac:dyDescent="0.25">
      <c r="A220" s="31">
        <v>220</v>
      </c>
      <c r="B220" s="38" t="s">
        <v>76</v>
      </c>
      <c r="C220" s="39" t="s">
        <v>886</v>
      </c>
      <c r="D220" s="38" t="s">
        <v>891</v>
      </c>
      <c r="E220" s="42" t="s">
        <v>905</v>
      </c>
      <c r="F220" s="38" t="s">
        <v>134</v>
      </c>
      <c r="G220" s="80" t="s">
        <v>1</v>
      </c>
      <c r="H220" s="80" t="s">
        <v>1</v>
      </c>
      <c r="I220" s="80" t="s">
        <v>1</v>
      </c>
      <c r="J220" s="80" t="s">
        <v>1</v>
      </c>
      <c r="K220" s="80"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1341</v>
      </c>
      <c r="W220" s="88" t="str">
        <f t="shared" si="199"/>
        <v>Key-INF-220</v>
      </c>
      <c r="X220" s="35" t="s">
        <v>1372</v>
      </c>
      <c r="Y220" s="35" t="s">
        <v>1421</v>
      </c>
      <c r="Z220" s="86" t="s">
        <v>1</v>
      </c>
      <c r="AA220" s="33" t="str">
        <f t="shared" si="202"/>
        <v>Part of a Special Artwork: Bridge Foundation Blocks.</v>
      </c>
    </row>
    <row r="221" spans="1:27" ht="6.6" customHeight="1" x14ac:dyDescent="0.25">
      <c r="A221" s="31">
        <v>221</v>
      </c>
      <c r="B221" s="38" t="s">
        <v>76</v>
      </c>
      <c r="C221" s="39" t="s">
        <v>886</v>
      </c>
      <c r="D221" s="38" t="s">
        <v>891</v>
      </c>
      <c r="E221" s="42" t="s">
        <v>905</v>
      </c>
      <c r="F221" s="38" t="s">
        <v>135</v>
      </c>
      <c r="G221" s="80" t="s">
        <v>1</v>
      </c>
      <c r="H221" s="80" t="s">
        <v>1</v>
      </c>
      <c r="I221" s="80" t="s">
        <v>1</v>
      </c>
      <c r="J221" s="80" t="s">
        <v>1</v>
      </c>
      <c r="K221" s="80"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1341</v>
      </c>
      <c r="W221" s="88" t="str">
        <f t="shared" si="199"/>
        <v>Key-INF-221</v>
      </c>
      <c r="X221" s="35" t="s">
        <v>1373</v>
      </c>
      <c r="Y221" s="35" t="s">
        <v>1421</v>
      </c>
      <c r="Z221" s="86" t="s">
        <v>1</v>
      </c>
      <c r="AA221" s="33" t="str">
        <f t="shared" si="202"/>
        <v>Part of a Special Work of Art: Structure where the road network meets the bridge heads.</v>
      </c>
    </row>
    <row r="222" spans="1:27" ht="6.6" customHeight="1" x14ac:dyDescent="0.25">
      <c r="A222" s="31">
        <v>222</v>
      </c>
      <c r="B222" s="38" t="s">
        <v>76</v>
      </c>
      <c r="C222" s="39" t="s">
        <v>886</v>
      </c>
      <c r="D222" s="38" t="s">
        <v>891</v>
      </c>
      <c r="E222" s="42" t="s">
        <v>905</v>
      </c>
      <c r="F222" s="38" t="s">
        <v>136</v>
      </c>
      <c r="G222" s="80" t="s">
        <v>1</v>
      </c>
      <c r="H222" s="80" t="s">
        <v>1</v>
      </c>
      <c r="I222" s="80" t="s">
        <v>1</v>
      </c>
      <c r="J222" s="80" t="s">
        <v>1</v>
      </c>
      <c r="K222" s="80"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1341</v>
      </c>
      <c r="W222" s="88" t="str">
        <f t="shared" si="199"/>
        <v>Key-INF-222</v>
      </c>
      <c r="X222" s="35" t="s">
        <v>1374</v>
      </c>
      <c r="Y222" s="35" t="s">
        <v>1421</v>
      </c>
      <c r="Z222" s="86" t="s">
        <v>1</v>
      </c>
      <c r="AA222" s="33" t="str">
        <f t="shared" si="202"/>
        <v>Part of a Special Work of Art: Pillars supporting the deck also called Pier.</v>
      </c>
    </row>
    <row r="223" spans="1:27" ht="6.6" customHeight="1" x14ac:dyDescent="0.25">
      <c r="A223" s="31">
        <v>223</v>
      </c>
      <c r="B223" s="38" t="s">
        <v>76</v>
      </c>
      <c r="C223" s="39" t="s">
        <v>886</v>
      </c>
      <c r="D223" s="38" t="s">
        <v>891</v>
      </c>
      <c r="E223" s="42" t="s">
        <v>905</v>
      </c>
      <c r="F223" s="38" t="s">
        <v>137</v>
      </c>
      <c r="G223" s="80" t="s">
        <v>1</v>
      </c>
      <c r="H223" s="80" t="s">
        <v>1</v>
      </c>
      <c r="I223" s="80" t="s">
        <v>1</v>
      </c>
      <c r="J223" s="80" t="s">
        <v>1</v>
      </c>
      <c r="K223" s="80"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1341</v>
      </c>
      <c r="W223" s="88" t="str">
        <f t="shared" si="199"/>
        <v>Key-INF-223</v>
      </c>
      <c r="X223" s="35" t="s">
        <v>1375</v>
      </c>
      <c r="Y223" s="35" t="s">
        <v>1421</v>
      </c>
      <c r="Z223" s="86" t="s">
        <v>1</v>
      </c>
      <c r="AA223" s="33" t="str">
        <f t="shared" si="202"/>
        <v>Part of a Special Work of Art: Arched concrete structure to support the bridge.</v>
      </c>
    </row>
    <row r="224" spans="1:27" ht="6.6" customHeight="1" x14ac:dyDescent="0.25">
      <c r="A224" s="31">
        <v>224</v>
      </c>
      <c r="B224" s="38" t="s">
        <v>76</v>
      </c>
      <c r="C224" s="39" t="s">
        <v>886</v>
      </c>
      <c r="D224" s="38" t="s">
        <v>891</v>
      </c>
      <c r="E224" s="42" t="s">
        <v>905</v>
      </c>
      <c r="F224" s="38" t="s">
        <v>138</v>
      </c>
      <c r="G224" s="80" t="s">
        <v>1</v>
      </c>
      <c r="H224" s="80" t="s">
        <v>1</v>
      </c>
      <c r="I224" s="80" t="s">
        <v>1</v>
      </c>
      <c r="J224" s="80" t="s">
        <v>1</v>
      </c>
      <c r="K224" s="80"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1341</v>
      </c>
      <c r="W224" s="88" t="str">
        <f t="shared" si="199"/>
        <v>Key-INF-224</v>
      </c>
      <c r="X224" s="35" t="s">
        <v>1376</v>
      </c>
      <c r="Y224" s="35" t="s">
        <v>1421</v>
      </c>
      <c r="Z224" s="86" t="s">
        <v>1</v>
      </c>
      <c r="AA224" s="33" t="str">
        <f t="shared" si="202"/>
        <v>Part of a Special Work of Art: Vertical concrete structure above the deck to support the bridge cables.</v>
      </c>
    </row>
    <row r="225" spans="1:27" ht="6.6" customHeight="1" x14ac:dyDescent="0.25">
      <c r="A225" s="31">
        <v>225</v>
      </c>
      <c r="B225" s="38" t="s">
        <v>76</v>
      </c>
      <c r="C225" s="39" t="s">
        <v>886</v>
      </c>
      <c r="D225" s="38" t="s">
        <v>891</v>
      </c>
      <c r="E225" s="42" t="s">
        <v>905</v>
      </c>
      <c r="F225" s="38" t="s">
        <v>139</v>
      </c>
      <c r="G225" s="80" t="s">
        <v>1</v>
      </c>
      <c r="H225" s="80" t="s">
        <v>1</v>
      </c>
      <c r="I225" s="80" t="s">
        <v>1</v>
      </c>
      <c r="J225" s="80" t="s">
        <v>1</v>
      </c>
      <c r="K225" s="80"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1341</v>
      </c>
      <c r="W225" s="88" t="str">
        <f t="shared" si="199"/>
        <v>Key-INF-225</v>
      </c>
      <c r="X225" s="35" t="s">
        <v>1376</v>
      </c>
      <c r="Y225" s="35" t="s">
        <v>1421</v>
      </c>
      <c r="Z225" s="86" t="s">
        <v>1</v>
      </c>
      <c r="AA225" s="33" t="str">
        <f t="shared" si="202"/>
        <v>Part of a Special Work of Art: Vertical metallic structure above the deck to support the bridge cables.</v>
      </c>
    </row>
    <row r="226" spans="1:27" ht="6.6" customHeight="1" x14ac:dyDescent="0.25">
      <c r="A226" s="31">
        <v>226</v>
      </c>
      <c r="B226" s="38" t="s">
        <v>76</v>
      </c>
      <c r="C226" s="39" t="s">
        <v>886</v>
      </c>
      <c r="D226" s="38" t="s">
        <v>891</v>
      </c>
      <c r="E226" s="42" t="s">
        <v>905</v>
      </c>
      <c r="F226" s="38" t="s">
        <v>140</v>
      </c>
      <c r="G226" s="80" t="s">
        <v>1</v>
      </c>
      <c r="H226" s="80" t="s">
        <v>1</v>
      </c>
      <c r="I226" s="80" t="s">
        <v>1</v>
      </c>
      <c r="J226" s="80" t="s">
        <v>1</v>
      </c>
      <c r="K226" s="80"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1341</v>
      </c>
      <c r="W226" s="88" t="str">
        <f t="shared" si="199"/>
        <v>Key-INF-226</v>
      </c>
      <c r="X226" s="35" t="s">
        <v>1377</v>
      </c>
      <c r="Y226" s="35" t="s">
        <v>1421</v>
      </c>
      <c r="Z226" s="86"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886</v>
      </c>
      <c r="D227" s="38" t="s">
        <v>891</v>
      </c>
      <c r="E227" s="42" t="s">
        <v>905</v>
      </c>
      <c r="F227" s="38" t="s">
        <v>141</v>
      </c>
      <c r="G227" s="80" t="s">
        <v>1</v>
      </c>
      <c r="H227" s="80" t="s">
        <v>1</v>
      </c>
      <c r="I227" s="80" t="s">
        <v>1</v>
      </c>
      <c r="J227" s="80" t="s">
        <v>1</v>
      </c>
      <c r="K227" s="80"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1341</v>
      </c>
      <c r="W227" s="88" t="str">
        <f t="shared" si="199"/>
        <v>Key-INF-227</v>
      </c>
      <c r="X227" s="35" t="s">
        <v>1378</v>
      </c>
      <c r="Y227" s="35" t="s">
        <v>1421</v>
      </c>
      <c r="Z227" s="86" t="s">
        <v>1</v>
      </c>
      <c r="AA227" s="33" t="str">
        <f t="shared" si="202"/>
        <v>Part of a Special Work of Art: Support cables of a cable-stayed bridge.</v>
      </c>
    </row>
    <row r="228" spans="1:27" ht="6.6" customHeight="1" x14ac:dyDescent="0.25">
      <c r="A228" s="31">
        <v>228</v>
      </c>
      <c r="B228" s="38" t="s">
        <v>76</v>
      </c>
      <c r="C228" s="39" t="s">
        <v>886</v>
      </c>
      <c r="D228" s="38" t="s">
        <v>891</v>
      </c>
      <c r="E228" s="42" t="s">
        <v>905</v>
      </c>
      <c r="F228" s="38" t="s">
        <v>142</v>
      </c>
      <c r="G228" s="80" t="s">
        <v>1</v>
      </c>
      <c r="H228" s="80" t="s">
        <v>1</v>
      </c>
      <c r="I228" s="80" t="s">
        <v>1</v>
      </c>
      <c r="J228" s="80" t="s">
        <v>1</v>
      </c>
      <c r="K228" s="80"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1341</v>
      </c>
      <c r="W228" s="88" t="str">
        <f t="shared" si="199"/>
        <v>Key-INF-228</v>
      </c>
      <c r="X228" s="35" t="s">
        <v>1379</v>
      </c>
      <c r="Y228" s="35" t="s">
        <v>1421</v>
      </c>
      <c r="Z228" s="86" t="s">
        <v>1</v>
      </c>
      <c r="AA228" s="33" t="str">
        <f t="shared" si="202"/>
        <v>Part of a Special Work of Art: Main beams in the longitudinal direction at the edge of the bridge.</v>
      </c>
    </row>
    <row r="229" spans="1:27" ht="6.6" customHeight="1" x14ac:dyDescent="0.25">
      <c r="A229" s="31">
        <v>229</v>
      </c>
      <c r="B229" s="38" t="s">
        <v>76</v>
      </c>
      <c r="C229" s="39" t="s">
        <v>886</v>
      </c>
      <c r="D229" s="38" t="s">
        <v>891</v>
      </c>
      <c r="E229" s="42" t="s">
        <v>905</v>
      </c>
      <c r="F229" s="38" t="s">
        <v>143</v>
      </c>
      <c r="G229" s="80" t="s">
        <v>1</v>
      </c>
      <c r="H229" s="80" t="s">
        <v>1</v>
      </c>
      <c r="I229" s="80" t="s">
        <v>1</v>
      </c>
      <c r="J229" s="80" t="s">
        <v>1</v>
      </c>
      <c r="K229" s="80"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1341</v>
      </c>
      <c r="W229" s="88" t="str">
        <f t="shared" si="199"/>
        <v>Key-INF-229</v>
      </c>
      <c r="X229" s="35" t="s">
        <v>1379</v>
      </c>
      <c r="Y229" s="35" t="s">
        <v>1421</v>
      </c>
      <c r="Z229" s="86" t="s">
        <v>1</v>
      </c>
      <c r="AA229" s="33" t="str">
        <f t="shared" si="202"/>
        <v>Part of a Special Work of Art: Main beams in the longitudinal direction inside the bridge.</v>
      </c>
    </row>
    <row r="230" spans="1:27" ht="6.6" customHeight="1" x14ac:dyDescent="0.25">
      <c r="A230" s="31">
        <v>230</v>
      </c>
      <c r="B230" s="38" t="s">
        <v>76</v>
      </c>
      <c r="C230" s="39" t="s">
        <v>886</v>
      </c>
      <c r="D230" s="38" t="s">
        <v>891</v>
      </c>
      <c r="E230" s="42" t="s">
        <v>905</v>
      </c>
      <c r="F230" s="38" t="s">
        <v>144</v>
      </c>
      <c r="G230" s="80" t="s">
        <v>1</v>
      </c>
      <c r="H230" s="80" t="s">
        <v>1</v>
      </c>
      <c r="I230" s="80" t="s">
        <v>1</v>
      </c>
      <c r="J230" s="80" t="s">
        <v>1</v>
      </c>
      <c r="K230" s="80"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1341</v>
      </c>
      <c r="W230" s="88" t="str">
        <f t="shared" si="199"/>
        <v>Key-INF-230</v>
      </c>
      <c r="X230" s="35" t="s">
        <v>1380</v>
      </c>
      <c r="Y230" s="35" t="s">
        <v>1421</v>
      </c>
      <c r="Z230" s="86" t="s">
        <v>1</v>
      </c>
      <c r="AA230" s="33" t="str">
        <f t="shared" si="202"/>
        <v>Part of a Special Work of Art: Beams in the transverse direction of the bridge.</v>
      </c>
    </row>
    <row r="231" spans="1:27" ht="6.6" customHeight="1" x14ac:dyDescent="0.25">
      <c r="A231" s="31">
        <v>231</v>
      </c>
      <c r="B231" s="38" t="s">
        <v>76</v>
      </c>
      <c r="C231" s="39" t="s">
        <v>886</v>
      </c>
      <c r="D231" s="38" t="s">
        <v>891</v>
      </c>
      <c r="E231" s="42" t="s">
        <v>905</v>
      </c>
      <c r="F231" s="38" t="s">
        <v>145</v>
      </c>
      <c r="G231" s="80" t="s">
        <v>1</v>
      </c>
      <c r="H231" s="80" t="s">
        <v>1</v>
      </c>
      <c r="I231" s="80" t="s">
        <v>1</v>
      </c>
      <c r="J231" s="80" t="s">
        <v>1</v>
      </c>
      <c r="K231" s="80"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1341</v>
      </c>
      <c r="W231" s="88" t="str">
        <f t="shared" si="199"/>
        <v>Key-INF-231</v>
      </c>
      <c r="X231" s="35" t="s">
        <v>1381</v>
      </c>
      <c r="Y231" s="35" t="s">
        <v>1421</v>
      </c>
      <c r="Z231" s="86" t="s">
        <v>1</v>
      </c>
      <c r="AA231" s="33" t="str">
        <f t="shared" si="202"/>
        <v>Part of a Special Artwork: Bracing of the bridge.</v>
      </c>
    </row>
    <row r="232" spans="1:27" ht="6.6" customHeight="1" x14ac:dyDescent="0.25">
      <c r="A232" s="31">
        <v>232</v>
      </c>
      <c r="B232" s="38" t="s">
        <v>76</v>
      </c>
      <c r="C232" s="39" t="s">
        <v>886</v>
      </c>
      <c r="D232" s="38" t="s">
        <v>891</v>
      </c>
      <c r="E232" s="42" t="s">
        <v>905</v>
      </c>
      <c r="F232" s="38" t="s">
        <v>146</v>
      </c>
      <c r="G232" s="80" t="s">
        <v>1</v>
      </c>
      <c r="H232" s="80" t="s">
        <v>1</v>
      </c>
      <c r="I232" s="80" t="s">
        <v>1</v>
      </c>
      <c r="J232" s="80" t="s">
        <v>1</v>
      </c>
      <c r="K232" s="80"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1341</v>
      </c>
      <c r="W232" s="88" t="str">
        <f t="shared" si="199"/>
        <v>Key-INF-232</v>
      </c>
      <c r="X232" s="35" t="s">
        <v>1382</v>
      </c>
      <c r="Y232" s="35" t="s">
        <v>1421</v>
      </c>
      <c r="Z232" s="86" t="s">
        <v>1</v>
      </c>
      <c r="AA232" s="33" t="str">
        <f t="shared" si="202"/>
        <v>Part of a Special Work of Art: Walls in the transverse direction of the bridge.</v>
      </c>
    </row>
    <row r="233" spans="1:27" ht="6.6" customHeight="1" x14ac:dyDescent="0.25">
      <c r="A233" s="31">
        <v>233</v>
      </c>
      <c r="B233" s="38" t="s">
        <v>76</v>
      </c>
      <c r="C233" s="39" t="s">
        <v>886</v>
      </c>
      <c r="D233" s="38" t="s">
        <v>891</v>
      </c>
      <c r="E233" s="42" t="s">
        <v>905</v>
      </c>
      <c r="F233" s="38" t="s">
        <v>147</v>
      </c>
      <c r="G233" s="80" t="s">
        <v>1</v>
      </c>
      <c r="H233" s="80" t="s">
        <v>1</v>
      </c>
      <c r="I233" s="80" t="s">
        <v>1</v>
      </c>
      <c r="J233" s="80" t="s">
        <v>1</v>
      </c>
      <c r="K233" s="80" t="s">
        <v>1</v>
      </c>
      <c r="L233" s="32" t="str">
        <f t="shared" si="226"/>
        <v>Infraestruturas</v>
      </c>
      <c r="M233" s="32" t="str">
        <f t="shared" si="226"/>
        <v>Rodoviárias</v>
      </c>
      <c r="N233" s="32" t="str">
        <f t="shared" si="220"/>
        <v>OAE Partes</v>
      </c>
      <c r="O233" s="33" t="str">
        <f t="shared" si="221"/>
        <v>OAE.Treliça</v>
      </c>
      <c r="P233" s="33" t="s">
        <v>1079</v>
      </c>
      <c r="Q233" s="36" t="s">
        <v>248</v>
      </c>
      <c r="R233" s="34" t="s">
        <v>1</v>
      </c>
      <c r="S233" s="35" t="str">
        <f t="shared" si="251"/>
        <v>Infraestruturas</v>
      </c>
      <c r="T233" s="35" t="str">
        <f t="shared" si="252"/>
        <v>Rodoviárias</v>
      </c>
      <c r="U233" s="35" t="str">
        <f t="shared" si="252"/>
        <v>OAE Partes</v>
      </c>
      <c r="V233" s="34" t="s">
        <v>1341</v>
      </c>
      <c r="W233" s="88" t="str">
        <f t="shared" si="199"/>
        <v>Key-INF-233</v>
      </c>
      <c r="X233" s="35" t="s">
        <v>1383</v>
      </c>
      <c r="Y233" s="35" t="s">
        <v>1421</v>
      </c>
      <c r="Z233" s="86" t="s">
        <v>1</v>
      </c>
      <c r="AA233" s="33" t="str">
        <f t="shared" si="202"/>
        <v>Part of a Special Artwork: Bridge trusses.</v>
      </c>
    </row>
    <row r="234" spans="1:27" ht="6.6" customHeight="1" x14ac:dyDescent="0.25">
      <c r="A234" s="31">
        <v>234</v>
      </c>
      <c r="B234" s="38" t="s">
        <v>76</v>
      </c>
      <c r="C234" s="39" t="s">
        <v>886</v>
      </c>
      <c r="D234" s="38" t="s">
        <v>891</v>
      </c>
      <c r="E234" s="42" t="s">
        <v>905</v>
      </c>
      <c r="F234" s="38" t="s">
        <v>148</v>
      </c>
      <c r="G234" s="80" t="s">
        <v>1</v>
      </c>
      <c r="H234" s="80" t="s">
        <v>1</v>
      </c>
      <c r="I234" s="80" t="s">
        <v>1</v>
      </c>
      <c r="J234" s="80" t="s">
        <v>1</v>
      </c>
      <c r="K234" s="80"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1341</v>
      </c>
      <c r="W234" s="88" t="str">
        <f t="shared" si="199"/>
        <v>Key-INF-234</v>
      </c>
      <c r="X234" s="35" t="s">
        <v>1382</v>
      </c>
      <c r="Y234" s="35" t="s">
        <v>1417</v>
      </c>
      <c r="Z234" s="86" t="s">
        <v>1</v>
      </c>
      <c r="AA234" s="33" t="str">
        <f t="shared" si="202"/>
        <v>Part of a Special Work of Art: Element of structural defense of the work of Special Art.</v>
      </c>
    </row>
    <row r="235" spans="1:27" ht="6.6" customHeight="1" x14ac:dyDescent="0.25">
      <c r="A235" s="31">
        <v>235</v>
      </c>
      <c r="B235" s="38" t="s">
        <v>76</v>
      </c>
      <c r="C235" s="39" t="s">
        <v>886</v>
      </c>
      <c r="D235" s="38" t="s">
        <v>891</v>
      </c>
      <c r="E235" s="42" t="s">
        <v>905</v>
      </c>
      <c r="F235" s="38" t="s">
        <v>149</v>
      </c>
      <c r="G235" s="80" t="s">
        <v>1</v>
      </c>
      <c r="H235" s="80" t="s">
        <v>1</v>
      </c>
      <c r="I235" s="80" t="s">
        <v>1</v>
      </c>
      <c r="J235" s="80" t="s">
        <v>1</v>
      </c>
      <c r="K235" s="80"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1341</v>
      </c>
      <c r="W235" s="88" t="str">
        <f t="shared" si="199"/>
        <v>Key-INF-235</v>
      </c>
      <c r="X235" s="33" t="s">
        <v>1368</v>
      </c>
      <c r="Y235" s="50" t="s">
        <v>1417</v>
      </c>
      <c r="Z235" s="86" t="s">
        <v>1</v>
      </c>
      <c r="AA235" s="33" t="str">
        <f t="shared" si="202"/>
        <v>Part of a Special Work of Art: Asphalt layer of the road track of the deck.</v>
      </c>
    </row>
    <row r="236" spans="1:27" ht="6.6" customHeight="1" x14ac:dyDescent="0.25">
      <c r="A236" s="31">
        <v>236</v>
      </c>
      <c r="B236" s="38" t="s">
        <v>76</v>
      </c>
      <c r="C236" s="39" t="s">
        <v>886</v>
      </c>
      <c r="D236" s="38" t="s">
        <v>891</v>
      </c>
      <c r="E236" s="42" t="s">
        <v>905</v>
      </c>
      <c r="F236" s="38" t="s">
        <v>150</v>
      </c>
      <c r="G236" s="80" t="s">
        <v>1</v>
      </c>
      <c r="H236" s="80" t="s">
        <v>1</v>
      </c>
      <c r="I236" s="80" t="s">
        <v>1</v>
      </c>
      <c r="J236" s="80" t="s">
        <v>1</v>
      </c>
      <c r="K236" s="80"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1341</v>
      </c>
      <c r="W236" s="88" t="str">
        <f t="shared" si="199"/>
        <v>Key-INF-236</v>
      </c>
      <c r="X236" s="33" t="s">
        <v>1368</v>
      </c>
      <c r="Y236" s="50" t="s">
        <v>1422</v>
      </c>
      <c r="Z236" s="86" t="s">
        <v>1</v>
      </c>
      <c r="AA236" s="33" t="str">
        <f t="shared" si="202"/>
        <v>Part of a Special Work of Art: Subfloor layer of the deck carriageway.</v>
      </c>
    </row>
    <row r="237" spans="1:27" ht="6.6" customHeight="1" x14ac:dyDescent="0.25">
      <c r="A237" s="31">
        <v>237</v>
      </c>
      <c r="B237" s="38" t="s">
        <v>76</v>
      </c>
      <c r="C237" s="39" t="s">
        <v>886</v>
      </c>
      <c r="D237" s="38" t="s">
        <v>891</v>
      </c>
      <c r="E237" s="42" t="s">
        <v>905</v>
      </c>
      <c r="F237" s="38" t="s">
        <v>151</v>
      </c>
      <c r="G237" s="80" t="s">
        <v>1</v>
      </c>
      <c r="H237" s="80" t="s">
        <v>1</v>
      </c>
      <c r="I237" s="80" t="s">
        <v>1</v>
      </c>
      <c r="J237" s="80" t="s">
        <v>1</v>
      </c>
      <c r="K237" s="80"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1341</v>
      </c>
      <c r="W237" s="88" t="str">
        <f t="shared" si="199"/>
        <v>Key-INF-237</v>
      </c>
      <c r="X237" s="33" t="s">
        <v>1368</v>
      </c>
      <c r="Y237" s="35" t="s">
        <v>1423</v>
      </c>
      <c r="Z237" s="86" t="s">
        <v>1</v>
      </c>
      <c r="AA237" s="33" t="str">
        <f t="shared" si="202"/>
        <v>Part of a Special Work of Art: Road expansion joint of the deck.</v>
      </c>
    </row>
    <row r="238" spans="1:27" ht="6.6" customHeight="1" x14ac:dyDescent="0.25">
      <c r="A238" s="31">
        <v>238</v>
      </c>
      <c r="B238" s="38" t="s">
        <v>76</v>
      </c>
      <c r="C238" s="39" t="s">
        <v>886</v>
      </c>
      <c r="D238" s="38" t="s">
        <v>891</v>
      </c>
      <c r="E238" s="42" t="s">
        <v>905</v>
      </c>
      <c r="F238" s="38" t="s">
        <v>152</v>
      </c>
      <c r="G238" s="80" t="s">
        <v>1</v>
      </c>
      <c r="H238" s="80" t="s">
        <v>1</v>
      </c>
      <c r="I238" s="80" t="s">
        <v>1</v>
      </c>
      <c r="J238" s="80" t="s">
        <v>1</v>
      </c>
      <c r="K238" s="80"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1341</v>
      </c>
      <c r="W238" s="88" t="str">
        <f t="shared" si="199"/>
        <v>Key-INF-238</v>
      </c>
      <c r="X238" s="51" t="s">
        <v>1384</v>
      </c>
      <c r="Y238" s="51" t="s">
        <v>1424</v>
      </c>
      <c r="Z238" s="86" t="s">
        <v>1</v>
      </c>
      <c r="AA238" s="33" t="str">
        <f t="shared" si="202"/>
        <v>Part of a Special Work of Art: Water drainage element on the bridge.</v>
      </c>
    </row>
    <row r="239" spans="1:27" ht="6.6" customHeight="1" x14ac:dyDescent="0.25">
      <c r="A239" s="31">
        <v>239</v>
      </c>
      <c r="B239" s="38" t="s">
        <v>76</v>
      </c>
      <c r="C239" s="39" t="s">
        <v>886</v>
      </c>
      <c r="D239" s="38" t="s">
        <v>891</v>
      </c>
      <c r="E239" s="42" t="s">
        <v>905</v>
      </c>
      <c r="F239" s="38" t="s">
        <v>153</v>
      </c>
      <c r="G239" s="80" t="s">
        <v>1</v>
      </c>
      <c r="H239" s="80" t="s">
        <v>1</v>
      </c>
      <c r="I239" s="80" t="s">
        <v>1</v>
      </c>
      <c r="J239" s="80" t="s">
        <v>1</v>
      </c>
      <c r="K239" s="80"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1341</v>
      </c>
      <c r="W239" s="88" t="str">
        <f t="shared" si="199"/>
        <v>Key-INF-239</v>
      </c>
      <c r="X239" s="33" t="s">
        <v>1367</v>
      </c>
      <c r="Y239" s="35" t="s">
        <v>1415</v>
      </c>
      <c r="Z239" s="86" t="s">
        <v>1</v>
      </c>
      <c r="AA239" s="33" t="str">
        <f t="shared" si="202"/>
        <v>Part of a Special Work of Art: Signage element type information plates.</v>
      </c>
    </row>
    <row r="240" spans="1:27" ht="6.6" customHeight="1" x14ac:dyDescent="0.25">
      <c r="A240" s="31">
        <v>240</v>
      </c>
      <c r="B240" s="38" t="s">
        <v>76</v>
      </c>
      <c r="C240" s="39" t="s">
        <v>886</v>
      </c>
      <c r="D240" s="38" t="s">
        <v>891</v>
      </c>
      <c r="E240" s="42" t="s">
        <v>905</v>
      </c>
      <c r="F240" s="38" t="s">
        <v>154</v>
      </c>
      <c r="G240" s="80" t="s">
        <v>1</v>
      </c>
      <c r="H240" s="80" t="s">
        <v>1</v>
      </c>
      <c r="I240" s="80" t="s">
        <v>1</v>
      </c>
      <c r="J240" s="80" t="s">
        <v>1</v>
      </c>
      <c r="K240" s="80"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1341</v>
      </c>
      <c r="W240" s="88" t="str">
        <f t="shared" si="199"/>
        <v>Key-INF-240</v>
      </c>
      <c r="X240" s="33" t="s">
        <v>1366</v>
      </c>
      <c r="Y240" s="35" t="s">
        <v>1425</v>
      </c>
      <c r="Z240" s="86" t="s">
        <v>1</v>
      </c>
      <c r="AA240" s="33" t="str">
        <f t="shared" si="202"/>
        <v>Part of a Special Artwork: Lamppost-like lighting element.</v>
      </c>
    </row>
    <row r="241" spans="1:27" ht="6.6" customHeight="1" x14ac:dyDescent="0.25">
      <c r="A241" s="31">
        <v>241</v>
      </c>
      <c r="B241" s="38" t="s">
        <v>76</v>
      </c>
      <c r="C241" s="39" t="s">
        <v>886</v>
      </c>
      <c r="D241" s="38" t="s">
        <v>892</v>
      </c>
      <c r="E241" s="38" t="s">
        <v>885</v>
      </c>
      <c r="F241" s="54" t="s">
        <v>1303</v>
      </c>
      <c r="G241" s="80" t="s">
        <v>1</v>
      </c>
      <c r="H241" s="80" t="s">
        <v>1</v>
      </c>
      <c r="I241" s="80" t="s">
        <v>1</v>
      </c>
      <c r="J241" s="80" t="s">
        <v>1</v>
      </c>
      <c r="K241" s="80"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1304</v>
      </c>
      <c r="Q241" s="33" t="s">
        <v>1305</v>
      </c>
      <c r="R241" s="34" t="s">
        <v>1</v>
      </c>
      <c r="S241" s="35" t="str">
        <f t="shared" ref="S241" si="268">SUBSTITUTE(C241, ".", " ")</f>
        <v>Infraestruturas</v>
      </c>
      <c r="T241" s="35" t="str">
        <f t="shared" ref="T241" si="269">SUBSTITUTE(D241, ".", " ")</f>
        <v>Ferroviárias</v>
      </c>
      <c r="U241" s="35" t="str">
        <f t="shared" ref="U241" si="270">SUBSTITUTE(E241, ".", " ")</f>
        <v>Ferrovias</v>
      </c>
      <c r="V241" s="34" t="s">
        <v>1341</v>
      </c>
      <c r="W241" s="88" t="str">
        <f t="shared" si="199"/>
        <v>Key-INF-241</v>
      </c>
      <c r="X241" s="33" t="s">
        <v>1369</v>
      </c>
      <c r="Y241" s="50" t="s">
        <v>1425</v>
      </c>
      <c r="Z241" s="86" t="s">
        <v>1</v>
      </c>
      <c r="AA241" s="33" t="str">
        <f t="shared" si="202"/>
        <v>Railway system designed to travel at high speed.</v>
      </c>
    </row>
    <row r="242" spans="1:27" ht="6.6" customHeight="1" x14ac:dyDescent="0.25">
      <c r="A242" s="31">
        <v>242</v>
      </c>
      <c r="B242" s="38" t="s">
        <v>76</v>
      </c>
      <c r="C242" s="39" t="s">
        <v>886</v>
      </c>
      <c r="D242" s="38" t="s">
        <v>892</v>
      </c>
      <c r="E242" s="38" t="s">
        <v>885</v>
      </c>
      <c r="F242" s="54" t="s">
        <v>284</v>
      </c>
      <c r="G242" s="80" t="s">
        <v>1</v>
      </c>
      <c r="H242" s="80" t="s">
        <v>1</v>
      </c>
      <c r="I242" s="80" t="s">
        <v>1</v>
      </c>
      <c r="J242" s="80" t="s">
        <v>1</v>
      </c>
      <c r="K242" s="80"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1341</v>
      </c>
      <c r="W242" s="88" t="str">
        <f t="shared" si="199"/>
        <v>Key-INF-242</v>
      </c>
      <c r="X242" s="33" t="s">
        <v>1369</v>
      </c>
      <c r="Y242" s="50" t="s">
        <v>1425</v>
      </c>
      <c r="Z242" s="86" t="s">
        <v>1</v>
      </c>
      <c r="AA242" s="33" t="str">
        <f t="shared" si="202"/>
        <v>A railway that starts from a capital city towards the extremes of the country.</v>
      </c>
    </row>
    <row r="243" spans="1:27" ht="6.6" customHeight="1" x14ac:dyDescent="0.25">
      <c r="A243" s="31">
        <v>243</v>
      </c>
      <c r="B243" s="38" t="s">
        <v>76</v>
      </c>
      <c r="C243" s="39" t="s">
        <v>886</v>
      </c>
      <c r="D243" s="38" t="s">
        <v>892</v>
      </c>
      <c r="E243" s="38" t="s">
        <v>885</v>
      </c>
      <c r="F243" s="54" t="s">
        <v>285</v>
      </c>
      <c r="G243" s="80" t="s">
        <v>1</v>
      </c>
      <c r="H243" s="80" t="s">
        <v>1</v>
      </c>
      <c r="I243" s="80" t="s">
        <v>1</v>
      </c>
      <c r="J243" s="80" t="s">
        <v>1</v>
      </c>
      <c r="K243" s="80"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1341</v>
      </c>
      <c r="W243" s="88" t="str">
        <f t="shared" si="199"/>
        <v>Key-INF-243</v>
      </c>
      <c r="X243" s="33" t="s">
        <v>1369</v>
      </c>
      <c r="Y243" s="50" t="s">
        <v>1425</v>
      </c>
      <c r="Z243" s="86" t="s">
        <v>1</v>
      </c>
      <c r="AA243" s="33" t="str">
        <f t="shared" si="202"/>
        <v>A railroad that crosses a country in a North-South direction.</v>
      </c>
    </row>
    <row r="244" spans="1:27" ht="6.6" customHeight="1" x14ac:dyDescent="0.25">
      <c r="A244" s="31">
        <v>244</v>
      </c>
      <c r="B244" s="38" t="s">
        <v>76</v>
      </c>
      <c r="C244" s="39" t="s">
        <v>886</v>
      </c>
      <c r="D244" s="38" t="s">
        <v>892</v>
      </c>
      <c r="E244" s="38" t="s">
        <v>885</v>
      </c>
      <c r="F244" s="54" t="s">
        <v>286</v>
      </c>
      <c r="G244" s="80" t="s">
        <v>1</v>
      </c>
      <c r="H244" s="80" t="s">
        <v>1</v>
      </c>
      <c r="I244" s="80" t="s">
        <v>1</v>
      </c>
      <c r="J244" s="80" t="s">
        <v>1</v>
      </c>
      <c r="K244" s="80"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1341</v>
      </c>
      <c r="W244" s="88" t="str">
        <f t="shared" si="199"/>
        <v>Key-INF-244</v>
      </c>
      <c r="X244" s="33" t="s">
        <v>1369</v>
      </c>
      <c r="Y244" s="50" t="s">
        <v>1425</v>
      </c>
      <c r="Z244" s="86" t="s">
        <v>1</v>
      </c>
      <c r="AA244" s="33" t="str">
        <f t="shared" si="202"/>
        <v>A railroad that crosses a country in an East-West direction.</v>
      </c>
    </row>
    <row r="245" spans="1:27" ht="6.6" customHeight="1" x14ac:dyDescent="0.25">
      <c r="A245" s="31">
        <v>245</v>
      </c>
      <c r="B245" s="38" t="s">
        <v>76</v>
      </c>
      <c r="C245" s="39" t="s">
        <v>886</v>
      </c>
      <c r="D245" s="38" t="s">
        <v>892</v>
      </c>
      <c r="E245" s="38" t="s">
        <v>885</v>
      </c>
      <c r="F245" s="54" t="s">
        <v>287</v>
      </c>
      <c r="G245" s="80" t="s">
        <v>1</v>
      </c>
      <c r="H245" s="80" t="s">
        <v>1</v>
      </c>
      <c r="I245" s="80" t="s">
        <v>1</v>
      </c>
      <c r="J245" s="80" t="s">
        <v>1</v>
      </c>
      <c r="K245" s="80"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1341</v>
      </c>
      <c r="W245" s="88" t="str">
        <f t="shared" si="199"/>
        <v>Key-INF-245</v>
      </c>
      <c r="X245" s="33" t="s">
        <v>1369</v>
      </c>
      <c r="Y245" s="50" t="s">
        <v>1425</v>
      </c>
      <c r="Z245" s="86" t="s">
        <v>1</v>
      </c>
      <c r="AA245" s="33" t="str">
        <f t="shared" si="202"/>
        <v>A railroad that crosses a country with a northeast-southwest or northwest-southeast orientation.</v>
      </c>
    </row>
    <row r="246" spans="1:27" ht="6.6" customHeight="1" x14ac:dyDescent="0.25">
      <c r="A246" s="31">
        <v>246</v>
      </c>
      <c r="B246" s="38" t="s">
        <v>76</v>
      </c>
      <c r="C246" s="39" t="s">
        <v>886</v>
      </c>
      <c r="D246" s="38" t="s">
        <v>892</v>
      </c>
      <c r="E246" s="38" t="s">
        <v>885</v>
      </c>
      <c r="F246" s="54" t="s">
        <v>288</v>
      </c>
      <c r="G246" s="80" t="s">
        <v>1</v>
      </c>
      <c r="H246" s="80" t="s">
        <v>1</v>
      </c>
      <c r="I246" s="80" t="s">
        <v>1</v>
      </c>
      <c r="J246" s="80" t="s">
        <v>1</v>
      </c>
      <c r="K246" s="80"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1341</v>
      </c>
      <c r="W246" s="88" t="str">
        <f t="shared" si="199"/>
        <v>Key-INF-246</v>
      </c>
      <c r="X246" s="33" t="s">
        <v>1369</v>
      </c>
      <c r="Y246" s="50" t="s">
        <v>1425</v>
      </c>
      <c r="Z246" s="86" t="s">
        <v>1</v>
      </c>
      <c r="AA246" s="33" t="str">
        <f t="shared" si="202"/>
        <v>A railroad that connects railroads to each other or to specific localities.</v>
      </c>
    </row>
    <row r="247" spans="1:27" ht="6.6" customHeight="1" x14ac:dyDescent="0.25">
      <c r="A247" s="31">
        <v>247</v>
      </c>
      <c r="B247" s="38" t="s">
        <v>76</v>
      </c>
      <c r="C247" s="39" t="s">
        <v>886</v>
      </c>
      <c r="D247" s="38" t="s">
        <v>892</v>
      </c>
      <c r="E247" s="38" t="s">
        <v>885</v>
      </c>
      <c r="F247" s="54" t="s">
        <v>766</v>
      </c>
      <c r="G247" s="80" t="s">
        <v>1</v>
      </c>
      <c r="H247" s="80" t="s">
        <v>1</v>
      </c>
      <c r="I247" s="80" t="s">
        <v>1</v>
      </c>
      <c r="J247" s="80" t="s">
        <v>1</v>
      </c>
      <c r="K247" s="80"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1341</v>
      </c>
      <c r="W247" s="88" t="str">
        <f t="shared" si="199"/>
        <v>Key-INF-247</v>
      </c>
      <c r="X247" s="33" t="s">
        <v>1369</v>
      </c>
      <c r="Y247" s="50" t="s">
        <v>1425</v>
      </c>
      <c r="Z247" s="86" t="s">
        <v>1</v>
      </c>
      <c r="AA247" s="33" t="str">
        <f t="shared" si="202"/>
        <v>Urban railway. Usually underground, but may have stretches at the urban level.</v>
      </c>
    </row>
    <row r="248" spans="1:27" ht="6.6" customHeight="1" x14ac:dyDescent="0.25">
      <c r="A248" s="31">
        <v>248</v>
      </c>
      <c r="B248" s="38" t="s">
        <v>76</v>
      </c>
      <c r="C248" s="39" t="s">
        <v>886</v>
      </c>
      <c r="D248" s="38" t="s">
        <v>892</v>
      </c>
      <c r="E248" s="38" t="s">
        <v>885</v>
      </c>
      <c r="F248" s="54" t="s">
        <v>786</v>
      </c>
      <c r="G248" s="80" t="s">
        <v>1</v>
      </c>
      <c r="H248" s="80" t="s">
        <v>1</v>
      </c>
      <c r="I248" s="80" t="s">
        <v>1</v>
      </c>
      <c r="J248" s="80" t="s">
        <v>1</v>
      </c>
      <c r="K248" s="80"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787</v>
      </c>
      <c r="Q248" s="53" t="s">
        <v>788</v>
      </c>
      <c r="R248" s="34" t="s">
        <v>1</v>
      </c>
      <c r="S248" s="35" t="str">
        <f t="shared" ref="S248:S249" si="276">SUBSTITUTE(C248, ".", " ")</f>
        <v>Infraestruturas</v>
      </c>
      <c r="T248" s="35" t="str">
        <f t="shared" ref="T248:T249" si="277">SUBSTITUTE(D248, ".", " ")</f>
        <v>Ferroviárias</v>
      </c>
      <c r="U248" s="35" t="str">
        <f t="shared" si="252"/>
        <v>Ferrovias</v>
      </c>
      <c r="V248" s="34" t="s">
        <v>1341</v>
      </c>
      <c r="W248" s="88" t="str">
        <f t="shared" si="199"/>
        <v>Key-INF-248</v>
      </c>
      <c r="X248" s="33" t="s">
        <v>1369</v>
      </c>
      <c r="Y248" s="50" t="s">
        <v>1425</v>
      </c>
      <c r="Z248" s="86" t="s">
        <v>1</v>
      </c>
      <c r="AA248" s="33" t="str">
        <f t="shared" si="202"/>
        <v>Urban railway to VLT. It operates on the urban surface and meets accessibility requirements.</v>
      </c>
    </row>
    <row r="249" spans="1:27" ht="6.6" customHeight="1" x14ac:dyDescent="0.25">
      <c r="A249" s="31">
        <v>249</v>
      </c>
      <c r="B249" s="38" t="s">
        <v>76</v>
      </c>
      <c r="C249" s="39" t="s">
        <v>886</v>
      </c>
      <c r="D249" s="38" t="s">
        <v>892</v>
      </c>
      <c r="E249" s="38" t="s">
        <v>885</v>
      </c>
      <c r="F249" s="54" t="s">
        <v>362</v>
      </c>
      <c r="G249" s="80" t="s">
        <v>1</v>
      </c>
      <c r="H249" s="80" t="s">
        <v>1</v>
      </c>
      <c r="I249" s="80" t="s">
        <v>1</v>
      </c>
      <c r="J249" s="80" t="s">
        <v>1</v>
      </c>
      <c r="K249" s="80"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1341</v>
      </c>
      <c r="W249" s="88" t="str">
        <f t="shared" si="199"/>
        <v>Key-INF-249</v>
      </c>
      <c r="X249" s="33" t="s">
        <v>1369</v>
      </c>
      <c r="Y249" s="50" t="s">
        <v>1406</v>
      </c>
      <c r="Z249" s="86"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886</v>
      </c>
      <c r="D250" s="38" t="s">
        <v>892</v>
      </c>
      <c r="E250" s="38" t="s">
        <v>885</v>
      </c>
      <c r="F250" s="54" t="s">
        <v>1321</v>
      </c>
      <c r="G250" s="80" t="s">
        <v>1</v>
      </c>
      <c r="H250" s="80" t="s">
        <v>1</v>
      </c>
      <c r="I250" s="80" t="s">
        <v>1</v>
      </c>
      <c r="J250" s="80" t="s">
        <v>1</v>
      </c>
      <c r="K250" s="80"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1319</v>
      </c>
      <c r="Q250" s="53" t="s">
        <v>1320</v>
      </c>
      <c r="R250" s="34" t="s">
        <v>1</v>
      </c>
      <c r="S250" s="35" t="str">
        <f t="shared" ref="S250:S262" si="283">SUBSTITUTE(C250, ".", " ")</f>
        <v>Infraestruturas</v>
      </c>
      <c r="T250" s="35" t="str">
        <f t="shared" ref="T250:T262" si="284">SUBSTITUTE(D250, ".", " ")</f>
        <v>Ferroviárias</v>
      </c>
      <c r="U250" s="35" t="str">
        <f t="shared" si="252"/>
        <v>Ferrovias</v>
      </c>
      <c r="V250" s="34" t="s">
        <v>1341</v>
      </c>
      <c r="W250" s="88" t="str">
        <f t="shared" si="199"/>
        <v>Key-INF-250</v>
      </c>
      <c r="X250" s="33" t="s">
        <v>1360</v>
      </c>
      <c r="Y250" s="50" t="s">
        <v>1406</v>
      </c>
      <c r="Z250" s="86" t="s">
        <v>1</v>
      </c>
      <c r="AA250" s="33" t="str">
        <f t="shared" si="202"/>
        <v>Tunnel for railroad passage.</v>
      </c>
    </row>
    <row r="251" spans="1:27" ht="6.6" customHeight="1" x14ac:dyDescent="0.25">
      <c r="A251" s="31">
        <v>251</v>
      </c>
      <c r="B251" s="38" t="s">
        <v>76</v>
      </c>
      <c r="C251" s="39" t="s">
        <v>886</v>
      </c>
      <c r="D251" s="38" t="s">
        <v>892</v>
      </c>
      <c r="E251" s="38" t="s">
        <v>1306</v>
      </c>
      <c r="F251" s="54" t="s">
        <v>952</v>
      </c>
      <c r="G251" s="80" t="s">
        <v>1</v>
      </c>
      <c r="H251" s="80" t="s">
        <v>1</v>
      </c>
      <c r="I251" s="80" t="s">
        <v>1</v>
      </c>
      <c r="J251" s="80" t="s">
        <v>1</v>
      </c>
      <c r="K251" s="80" t="s">
        <v>1</v>
      </c>
      <c r="L251" s="32" t="str">
        <f t="shared" si="272"/>
        <v>Infraestruturas</v>
      </c>
      <c r="M251" s="32" t="str">
        <f t="shared" si="273"/>
        <v>Ferroviárias</v>
      </c>
      <c r="N251" s="32" t="str">
        <f t="shared" si="282"/>
        <v>Ferrovias Estações</v>
      </c>
      <c r="O251" s="33" t="str">
        <f t="shared" si="274"/>
        <v>Estação.Central</v>
      </c>
      <c r="P251" s="53" t="s">
        <v>953</v>
      </c>
      <c r="Q251" s="53" t="s">
        <v>954</v>
      </c>
      <c r="R251" s="34" t="s">
        <v>1</v>
      </c>
      <c r="S251" s="35" t="str">
        <f t="shared" si="283"/>
        <v>Infraestruturas</v>
      </c>
      <c r="T251" s="35" t="str">
        <f t="shared" si="284"/>
        <v>Ferroviárias</v>
      </c>
      <c r="U251" s="35" t="str">
        <f t="shared" ref="U251" si="285">SUBSTITUTE(E251, ".", " ")</f>
        <v>Ferrovias Estações</v>
      </c>
      <c r="V251" s="34" t="s">
        <v>1341</v>
      </c>
      <c r="W251" s="88" t="str">
        <f t="shared" si="199"/>
        <v>Key-INF-251</v>
      </c>
      <c r="X251" s="33" t="s">
        <v>1360</v>
      </c>
      <c r="Y251" s="50" t="s">
        <v>1406</v>
      </c>
      <c r="Z251" s="86" t="s">
        <v>1</v>
      </c>
      <c r="AA251" s="33" t="str">
        <f t="shared" si="202"/>
        <v>Central station of the line. Large stations such as Central do Brasil, Leopoldina or Retiro.</v>
      </c>
    </row>
    <row r="252" spans="1:27" ht="6.6" customHeight="1" x14ac:dyDescent="0.25">
      <c r="A252" s="31">
        <v>252</v>
      </c>
      <c r="B252" s="38" t="s">
        <v>76</v>
      </c>
      <c r="C252" s="39" t="s">
        <v>886</v>
      </c>
      <c r="D252" s="38" t="s">
        <v>892</v>
      </c>
      <c r="E252" s="38" t="s">
        <v>1306</v>
      </c>
      <c r="F252" s="54" t="s">
        <v>806</v>
      </c>
      <c r="G252" s="80" t="s">
        <v>1</v>
      </c>
      <c r="H252" s="80" t="s">
        <v>1</v>
      </c>
      <c r="I252" s="80" t="s">
        <v>1</v>
      </c>
      <c r="J252" s="80" t="s">
        <v>1</v>
      </c>
      <c r="K252" s="80"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807</v>
      </c>
      <c r="Q252" s="53" t="s">
        <v>808</v>
      </c>
      <c r="R252" s="34" t="s">
        <v>1</v>
      </c>
      <c r="S252" s="35" t="str">
        <f t="shared" ref="S252" si="290">SUBSTITUTE(C252, ".", " ")</f>
        <v>Infraestruturas</v>
      </c>
      <c r="T252" s="35" t="str">
        <f t="shared" ref="T252" si="291">SUBSTITUTE(D252, ".", " ")</f>
        <v>Ferroviárias</v>
      </c>
      <c r="U252" s="35" t="str">
        <f t="shared" si="252"/>
        <v>Ferrovias Estações</v>
      </c>
      <c r="V252" s="34" t="s">
        <v>1341</v>
      </c>
      <c r="W252" s="88" t="str">
        <f t="shared" si="199"/>
        <v>Key-INF-252</v>
      </c>
      <c r="X252" s="33" t="s">
        <v>1360</v>
      </c>
      <c r="Y252" s="50" t="s">
        <v>1406</v>
      </c>
      <c r="Z252" s="86" t="s">
        <v>1</v>
      </c>
      <c r="AA252" s="33" t="str">
        <f t="shared" si="202"/>
        <v>Line terminal station.</v>
      </c>
    </row>
    <row r="253" spans="1:27" ht="6.6" customHeight="1" x14ac:dyDescent="0.25">
      <c r="A253" s="31">
        <v>253</v>
      </c>
      <c r="B253" s="38" t="s">
        <v>76</v>
      </c>
      <c r="C253" s="39" t="s">
        <v>886</v>
      </c>
      <c r="D253" s="38" t="s">
        <v>892</v>
      </c>
      <c r="E253" s="38" t="s">
        <v>1306</v>
      </c>
      <c r="F253" s="54" t="s">
        <v>801</v>
      </c>
      <c r="G253" s="80" t="s">
        <v>1</v>
      </c>
      <c r="H253" s="80" t="s">
        <v>1</v>
      </c>
      <c r="I253" s="80" t="s">
        <v>1</v>
      </c>
      <c r="J253" s="80" t="s">
        <v>1</v>
      </c>
      <c r="K253" s="80" t="s">
        <v>1</v>
      </c>
      <c r="L253" s="32" t="str">
        <f t="shared" si="272"/>
        <v>Infraestruturas</v>
      </c>
      <c r="M253" s="32" t="str">
        <f t="shared" si="273"/>
        <v>Ferroviárias</v>
      </c>
      <c r="N253" s="32" t="str">
        <f t="shared" si="282"/>
        <v>Ferrovias Estações</v>
      </c>
      <c r="O253" s="33" t="str">
        <f t="shared" si="274"/>
        <v>Estação.de.Transferência</v>
      </c>
      <c r="P253" s="53" t="s">
        <v>802</v>
      </c>
      <c r="Q253" s="53" t="s">
        <v>804</v>
      </c>
      <c r="R253" s="34" t="s">
        <v>1</v>
      </c>
      <c r="S253" s="35" t="str">
        <f t="shared" si="283"/>
        <v>Infraestruturas</v>
      </c>
      <c r="T253" s="35" t="str">
        <f t="shared" si="284"/>
        <v>Ferroviárias</v>
      </c>
      <c r="U253" s="35" t="str">
        <f t="shared" si="252"/>
        <v>Ferrovias Estações</v>
      </c>
      <c r="V253" s="34" t="s">
        <v>1341</v>
      </c>
      <c r="W253" s="88" t="str">
        <f t="shared" si="199"/>
        <v>Key-INF-253</v>
      </c>
      <c r="X253" s="33" t="s">
        <v>1360</v>
      </c>
      <c r="Y253" s="50" t="s">
        <v>1406</v>
      </c>
      <c r="Z253" s="86" t="s">
        <v>1</v>
      </c>
      <c r="AA253" s="33" t="str">
        <f t="shared" si="202"/>
        <v>Transfer station of the same modal.</v>
      </c>
    </row>
    <row r="254" spans="1:27" ht="6.6" customHeight="1" x14ac:dyDescent="0.25">
      <c r="A254" s="31">
        <v>254</v>
      </c>
      <c r="B254" s="38" t="s">
        <v>76</v>
      </c>
      <c r="C254" s="39" t="s">
        <v>886</v>
      </c>
      <c r="D254" s="38" t="s">
        <v>892</v>
      </c>
      <c r="E254" s="38" t="s">
        <v>1306</v>
      </c>
      <c r="F254" s="54" t="s">
        <v>809</v>
      </c>
      <c r="G254" s="80" t="s">
        <v>1</v>
      </c>
      <c r="H254" s="80" t="s">
        <v>1</v>
      </c>
      <c r="I254" s="80" t="s">
        <v>1</v>
      </c>
      <c r="J254" s="80" t="s">
        <v>1</v>
      </c>
      <c r="K254" s="80"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803</v>
      </c>
      <c r="Q254" s="53" t="s">
        <v>805</v>
      </c>
      <c r="R254" s="34" t="s">
        <v>1</v>
      </c>
      <c r="S254" s="35" t="str">
        <f t="shared" ref="S254" si="296">SUBSTITUTE(C254, ".", " ")</f>
        <v>Infraestruturas</v>
      </c>
      <c r="T254" s="35" t="str">
        <f t="shared" ref="T254" si="297">SUBSTITUTE(D254, ".", " ")</f>
        <v>Ferroviárias</v>
      </c>
      <c r="U254" s="35" t="str">
        <f t="shared" si="252"/>
        <v>Ferrovias Estações</v>
      </c>
      <c r="V254" s="34" t="s">
        <v>1341</v>
      </c>
      <c r="W254" s="88" t="str">
        <f t="shared" si="199"/>
        <v>Key-INF-254</v>
      </c>
      <c r="X254" s="33" t="s">
        <v>1360</v>
      </c>
      <c r="Y254" s="50" t="s">
        <v>1406</v>
      </c>
      <c r="Z254" s="86" t="s">
        <v>1</v>
      </c>
      <c r="AA254" s="33" t="str">
        <f t="shared" si="202"/>
        <v>Multimodal transfer station.</v>
      </c>
    </row>
    <row r="255" spans="1:27" ht="6.6" customHeight="1" x14ac:dyDescent="0.25">
      <c r="A255" s="31">
        <v>255</v>
      </c>
      <c r="B255" s="38" t="s">
        <v>76</v>
      </c>
      <c r="C255" s="39" t="s">
        <v>886</v>
      </c>
      <c r="D255" s="38" t="s">
        <v>892</v>
      </c>
      <c r="E255" s="38" t="s">
        <v>1306</v>
      </c>
      <c r="F255" s="54" t="s">
        <v>789</v>
      </c>
      <c r="G255" s="80" t="s">
        <v>1</v>
      </c>
      <c r="H255" s="80" t="s">
        <v>1</v>
      </c>
      <c r="I255" s="80" t="s">
        <v>1</v>
      </c>
      <c r="J255" s="80" t="s">
        <v>1</v>
      </c>
      <c r="K255" s="80" t="s">
        <v>1</v>
      </c>
      <c r="L255" s="32" t="str">
        <f t="shared" si="272"/>
        <v>Infraestruturas</v>
      </c>
      <c r="M255" s="32" t="str">
        <f t="shared" si="273"/>
        <v>Ferroviárias</v>
      </c>
      <c r="N255" s="32" t="str">
        <f t="shared" si="282"/>
        <v>Ferrovias Estações</v>
      </c>
      <c r="O255" s="33" t="str">
        <f t="shared" si="274"/>
        <v>Estação.de.Trem</v>
      </c>
      <c r="P255" s="53" t="s">
        <v>793</v>
      </c>
      <c r="Q255" s="53" t="s">
        <v>797</v>
      </c>
      <c r="R255" s="34" t="s">
        <v>1</v>
      </c>
      <c r="S255" s="35" t="str">
        <f t="shared" si="283"/>
        <v>Infraestruturas</v>
      </c>
      <c r="T255" s="35" t="str">
        <f t="shared" si="284"/>
        <v>Ferroviárias</v>
      </c>
      <c r="U255" s="35" t="str">
        <f t="shared" si="252"/>
        <v>Ferrovias Estações</v>
      </c>
      <c r="V255" s="34" t="s">
        <v>1341</v>
      </c>
      <c r="W255" s="88" t="str">
        <f t="shared" si="199"/>
        <v>Key-INF-255</v>
      </c>
      <c r="X255" s="33" t="s">
        <v>1360</v>
      </c>
      <c r="Y255" s="50" t="s">
        <v>1406</v>
      </c>
      <c r="Z255" s="86" t="s">
        <v>1</v>
      </c>
      <c r="AA255" s="33" t="str">
        <f t="shared" si="202"/>
        <v>Train station.</v>
      </c>
    </row>
    <row r="256" spans="1:27" ht="6.6" customHeight="1" x14ac:dyDescent="0.25">
      <c r="A256" s="31">
        <v>256</v>
      </c>
      <c r="B256" s="38" t="s">
        <v>76</v>
      </c>
      <c r="C256" s="39" t="s">
        <v>886</v>
      </c>
      <c r="D256" s="38" t="s">
        <v>892</v>
      </c>
      <c r="E256" s="38" t="s">
        <v>1306</v>
      </c>
      <c r="F256" s="54" t="s">
        <v>790</v>
      </c>
      <c r="G256" s="80" t="s">
        <v>1</v>
      </c>
      <c r="H256" s="80" t="s">
        <v>1</v>
      </c>
      <c r="I256" s="80" t="s">
        <v>1</v>
      </c>
      <c r="J256" s="80" t="s">
        <v>1</v>
      </c>
      <c r="K256" s="80" t="s">
        <v>1</v>
      </c>
      <c r="L256" s="32" t="str">
        <f t="shared" si="272"/>
        <v>Infraestruturas</v>
      </c>
      <c r="M256" s="32" t="str">
        <f t="shared" si="273"/>
        <v>Ferroviárias</v>
      </c>
      <c r="N256" s="32" t="str">
        <f t="shared" si="282"/>
        <v>Ferrovias Estações</v>
      </c>
      <c r="O256" s="33" t="str">
        <f t="shared" si="274"/>
        <v>Estação.de.Metro</v>
      </c>
      <c r="P256" s="53" t="s">
        <v>794</v>
      </c>
      <c r="Q256" s="53" t="s">
        <v>798</v>
      </c>
      <c r="R256" s="34" t="s">
        <v>1</v>
      </c>
      <c r="S256" s="35" t="str">
        <f t="shared" si="283"/>
        <v>Infraestruturas</v>
      </c>
      <c r="T256" s="35" t="str">
        <f t="shared" si="284"/>
        <v>Ferroviárias</v>
      </c>
      <c r="U256" s="35" t="str">
        <f t="shared" si="252"/>
        <v>Ferrovias Estações</v>
      </c>
      <c r="V256" s="34" t="s">
        <v>1341</v>
      </c>
      <c r="W256" s="88" t="str">
        <f t="shared" si="199"/>
        <v>Key-INF-256</v>
      </c>
      <c r="X256" s="33" t="s">
        <v>1360</v>
      </c>
      <c r="Y256" s="50" t="s">
        <v>1406</v>
      </c>
      <c r="Z256" s="86" t="s">
        <v>1</v>
      </c>
      <c r="AA256" s="33" t="str">
        <f t="shared" si="202"/>
        <v>Metro station.</v>
      </c>
    </row>
    <row r="257" spans="1:27" ht="6.6" customHeight="1" x14ac:dyDescent="0.25">
      <c r="A257" s="31">
        <v>257</v>
      </c>
      <c r="B257" s="38" t="s">
        <v>76</v>
      </c>
      <c r="C257" s="39" t="s">
        <v>886</v>
      </c>
      <c r="D257" s="38" t="s">
        <v>892</v>
      </c>
      <c r="E257" s="38" t="s">
        <v>1306</v>
      </c>
      <c r="F257" s="54" t="s">
        <v>791</v>
      </c>
      <c r="G257" s="80" t="s">
        <v>1</v>
      </c>
      <c r="H257" s="80" t="s">
        <v>1</v>
      </c>
      <c r="I257" s="80" t="s">
        <v>1</v>
      </c>
      <c r="J257" s="80" t="s">
        <v>1</v>
      </c>
      <c r="K257" s="80" t="s">
        <v>1</v>
      </c>
      <c r="L257" s="32" t="str">
        <f t="shared" si="272"/>
        <v>Infraestruturas</v>
      </c>
      <c r="M257" s="32" t="str">
        <f t="shared" si="273"/>
        <v>Ferroviárias</v>
      </c>
      <c r="N257" s="32" t="str">
        <f t="shared" si="282"/>
        <v>Ferrovias Estações</v>
      </c>
      <c r="O257" s="33" t="str">
        <f t="shared" si="274"/>
        <v>Estação.de.VLT</v>
      </c>
      <c r="P257" s="53" t="s">
        <v>795</v>
      </c>
      <c r="Q257" s="53" t="s">
        <v>799</v>
      </c>
      <c r="R257" s="34" t="s">
        <v>1</v>
      </c>
      <c r="S257" s="35" t="str">
        <f t="shared" si="283"/>
        <v>Infraestruturas</v>
      </c>
      <c r="T257" s="35" t="str">
        <f t="shared" si="284"/>
        <v>Ferroviárias</v>
      </c>
      <c r="U257" s="35" t="str">
        <f t="shared" si="252"/>
        <v>Ferrovias Estações</v>
      </c>
      <c r="V257" s="34" t="s">
        <v>1341</v>
      </c>
      <c r="W257" s="88" t="str">
        <f t="shared" si="199"/>
        <v>Key-INF-257</v>
      </c>
      <c r="X257" s="33" t="s">
        <v>1360</v>
      </c>
      <c r="Y257" s="50" t="s">
        <v>1406</v>
      </c>
      <c r="Z257" s="86" t="s">
        <v>1</v>
      </c>
      <c r="AA257" s="33" t="str">
        <f t="shared" si="202"/>
        <v>Light rail station.</v>
      </c>
    </row>
    <row r="258" spans="1:27" ht="6.6" customHeight="1" x14ac:dyDescent="0.25">
      <c r="A258" s="31">
        <v>258</v>
      </c>
      <c r="B258" s="38" t="s">
        <v>76</v>
      </c>
      <c r="C258" s="39" t="s">
        <v>886</v>
      </c>
      <c r="D258" s="38" t="s">
        <v>892</v>
      </c>
      <c r="E258" s="38" t="s">
        <v>1306</v>
      </c>
      <c r="F258" s="54" t="s">
        <v>792</v>
      </c>
      <c r="G258" s="80" t="s">
        <v>1</v>
      </c>
      <c r="H258" s="80" t="s">
        <v>1</v>
      </c>
      <c r="I258" s="80" t="s">
        <v>1</v>
      </c>
      <c r="J258" s="80" t="s">
        <v>1</v>
      </c>
      <c r="K258" s="80" t="s">
        <v>1</v>
      </c>
      <c r="L258" s="32" t="str">
        <f t="shared" si="272"/>
        <v>Infraestruturas</v>
      </c>
      <c r="M258" s="32" t="str">
        <f t="shared" si="273"/>
        <v>Ferroviárias</v>
      </c>
      <c r="N258" s="32" t="str">
        <f t="shared" si="282"/>
        <v>Ferrovias Estações</v>
      </c>
      <c r="O258" s="33" t="str">
        <f t="shared" si="274"/>
        <v>Estação.de.Monotrilho</v>
      </c>
      <c r="P258" s="53" t="s">
        <v>796</v>
      </c>
      <c r="Q258" s="53" t="s">
        <v>800</v>
      </c>
      <c r="R258" s="34" t="s">
        <v>1</v>
      </c>
      <c r="S258" s="35" t="str">
        <f t="shared" si="283"/>
        <v>Infraestruturas</v>
      </c>
      <c r="T258" s="35" t="str">
        <f t="shared" si="284"/>
        <v>Ferroviárias</v>
      </c>
      <c r="U258" s="35" t="str">
        <f t="shared" si="252"/>
        <v>Ferrovias Estações</v>
      </c>
      <c r="V258" s="34" t="s">
        <v>1341</v>
      </c>
      <c r="W258" s="88" t="str">
        <f t="shared" si="199"/>
        <v>Key-INF-258</v>
      </c>
      <c r="X258" s="33" t="s">
        <v>1360</v>
      </c>
      <c r="Y258" s="50" t="s">
        <v>1425</v>
      </c>
      <c r="Z258" s="86" t="s">
        <v>1</v>
      </c>
      <c r="AA258" s="33" t="str">
        <f t="shared" si="202"/>
        <v>Monorail station.</v>
      </c>
    </row>
    <row r="259" spans="1:27" ht="6.6" customHeight="1" x14ac:dyDescent="0.25">
      <c r="A259" s="31">
        <v>259</v>
      </c>
      <c r="B259" s="38" t="s">
        <v>76</v>
      </c>
      <c r="C259" s="39" t="s">
        <v>886</v>
      </c>
      <c r="D259" s="38" t="s">
        <v>892</v>
      </c>
      <c r="E259" s="38" t="s">
        <v>903</v>
      </c>
      <c r="F259" s="54" t="s">
        <v>1307</v>
      </c>
      <c r="G259" s="80" t="s">
        <v>1</v>
      </c>
      <c r="H259" s="80" t="s">
        <v>1</v>
      </c>
      <c r="I259" s="80" t="s">
        <v>1</v>
      </c>
      <c r="J259" s="80" t="s">
        <v>1</v>
      </c>
      <c r="K259" s="80" t="s">
        <v>1</v>
      </c>
      <c r="L259" s="32" t="str">
        <f t="shared" si="272"/>
        <v>Infraestruturas</v>
      </c>
      <c r="M259" s="32" t="str">
        <f t="shared" si="273"/>
        <v>Ferroviárias</v>
      </c>
      <c r="N259" s="32" t="str">
        <f t="shared" si="282"/>
        <v>Ferrovias Trilhos</v>
      </c>
      <c r="O259" s="33" t="str">
        <f t="shared" si="274"/>
        <v>Trilho.de.Bitola.Métrica</v>
      </c>
      <c r="P259" s="53" t="s">
        <v>1311</v>
      </c>
      <c r="Q259" s="33" t="s">
        <v>1316</v>
      </c>
      <c r="R259" s="34" t="s">
        <v>1</v>
      </c>
      <c r="S259" s="35" t="str">
        <f t="shared" si="283"/>
        <v>Infraestruturas</v>
      </c>
      <c r="T259" s="35" t="str">
        <f t="shared" si="284"/>
        <v>Ferroviárias</v>
      </c>
      <c r="U259" s="35" t="str">
        <f t="shared" si="252"/>
        <v>Ferrovias Trilhos</v>
      </c>
      <c r="V259" s="34" t="s">
        <v>1341</v>
      </c>
      <c r="W259" s="88" t="str">
        <f t="shared" si="199"/>
        <v>Key-INF-259</v>
      </c>
      <c r="X259" s="33" t="s">
        <v>1369</v>
      </c>
      <c r="Y259" s="50" t="s">
        <v>1425</v>
      </c>
      <c r="Z259" s="86" t="s">
        <v>1</v>
      </c>
      <c r="AA259" s="33" t="str">
        <f t="shared" si="202"/>
        <v>Rail designed with the internal distance between rails of 1000 mm.</v>
      </c>
    </row>
    <row r="260" spans="1:27" ht="6.6" customHeight="1" x14ac:dyDescent="0.25">
      <c r="A260" s="31">
        <v>260</v>
      </c>
      <c r="B260" s="38" t="s">
        <v>76</v>
      </c>
      <c r="C260" s="39" t="s">
        <v>886</v>
      </c>
      <c r="D260" s="38" t="s">
        <v>892</v>
      </c>
      <c r="E260" s="38" t="s">
        <v>903</v>
      </c>
      <c r="F260" s="54" t="s">
        <v>1308</v>
      </c>
      <c r="G260" s="80" t="s">
        <v>1</v>
      </c>
      <c r="H260" s="80" t="s">
        <v>1</v>
      </c>
      <c r="I260" s="80" t="s">
        <v>1</v>
      </c>
      <c r="J260" s="80" t="s">
        <v>1</v>
      </c>
      <c r="K260" s="80" t="s">
        <v>1</v>
      </c>
      <c r="L260" s="32" t="str">
        <f t="shared" si="272"/>
        <v>Infraestruturas</v>
      </c>
      <c r="M260" s="32" t="str">
        <f t="shared" si="273"/>
        <v>Ferroviárias</v>
      </c>
      <c r="N260" s="32" t="str">
        <f t="shared" si="282"/>
        <v>Ferrovias Trilhos</v>
      </c>
      <c r="O260" s="33" t="str">
        <f t="shared" si="274"/>
        <v>Trilho.de.Bitola.Internacional</v>
      </c>
      <c r="P260" s="53" t="s">
        <v>1313</v>
      </c>
      <c r="Q260" s="33" t="s">
        <v>1317</v>
      </c>
      <c r="R260" s="34" t="s">
        <v>1</v>
      </c>
      <c r="S260" s="35" t="str">
        <f t="shared" si="283"/>
        <v>Infraestruturas</v>
      </c>
      <c r="T260" s="35" t="str">
        <f t="shared" si="284"/>
        <v>Ferroviárias</v>
      </c>
      <c r="U260" s="35" t="str">
        <f t="shared" ref="U260:U262" si="298">SUBSTITUTE(E260, ".", " ")</f>
        <v>Ferrovias Trilhos</v>
      </c>
      <c r="V260" s="34" t="s">
        <v>1341</v>
      </c>
      <c r="W260" s="88" t="str">
        <f t="shared" si="199"/>
        <v>Key-INF-260</v>
      </c>
      <c r="X260" s="33" t="s">
        <v>1369</v>
      </c>
      <c r="Y260" s="50" t="s">
        <v>1425</v>
      </c>
      <c r="Z260" s="86" t="s">
        <v>1</v>
      </c>
      <c r="AA260" s="33" t="str">
        <f t="shared" si="202"/>
        <v>Rail designed with the internal distance between rails of 1435 mm.</v>
      </c>
    </row>
    <row r="261" spans="1:27" ht="6.6" customHeight="1" x14ac:dyDescent="0.25">
      <c r="A261" s="31">
        <v>261</v>
      </c>
      <c r="B261" s="38" t="s">
        <v>76</v>
      </c>
      <c r="C261" s="39" t="s">
        <v>886</v>
      </c>
      <c r="D261" s="38" t="s">
        <v>892</v>
      </c>
      <c r="E261" s="38" t="s">
        <v>903</v>
      </c>
      <c r="F261" s="54" t="s">
        <v>1309</v>
      </c>
      <c r="G261" s="80" t="s">
        <v>1</v>
      </c>
      <c r="H261" s="80" t="s">
        <v>1</v>
      </c>
      <c r="I261" s="80" t="s">
        <v>1</v>
      </c>
      <c r="J261" s="80" t="s">
        <v>1</v>
      </c>
      <c r="K261" s="80" t="s">
        <v>1</v>
      </c>
      <c r="L261" s="32" t="str">
        <f t="shared" si="272"/>
        <v>Infraestruturas</v>
      </c>
      <c r="M261" s="32" t="str">
        <f t="shared" si="273"/>
        <v>Ferroviárias</v>
      </c>
      <c r="N261" s="32" t="str">
        <f t="shared" si="282"/>
        <v>Ferrovias Trilhos</v>
      </c>
      <c r="O261" s="33" t="str">
        <f t="shared" si="274"/>
        <v>Trilho.de.Bitola.Irlandesa</v>
      </c>
      <c r="P261" s="53" t="s">
        <v>1312</v>
      </c>
      <c r="Q261" s="33" t="s">
        <v>1318</v>
      </c>
      <c r="R261" s="34" t="s">
        <v>1</v>
      </c>
      <c r="S261" s="35" t="str">
        <f t="shared" si="283"/>
        <v>Infraestruturas</v>
      </c>
      <c r="T261" s="35" t="str">
        <f t="shared" si="284"/>
        <v>Ferroviárias</v>
      </c>
      <c r="U261" s="35" t="str">
        <f t="shared" si="298"/>
        <v>Ferrovias Trilhos</v>
      </c>
      <c r="V261" s="34" t="s">
        <v>1341</v>
      </c>
      <c r="W261" s="88" t="str">
        <f t="shared" si="199"/>
        <v>Key-INF-261</v>
      </c>
      <c r="X261" s="33" t="s">
        <v>1369</v>
      </c>
      <c r="Y261" s="50" t="s">
        <v>1425</v>
      </c>
      <c r="Z261" s="86" t="s">
        <v>1</v>
      </c>
      <c r="AA261" s="33" t="str">
        <f t="shared" si="202"/>
        <v>Rail designed with the internal distance between rails of 1600 mm.</v>
      </c>
    </row>
    <row r="262" spans="1:27" ht="6.6" customHeight="1" x14ac:dyDescent="0.25">
      <c r="A262" s="31">
        <v>262</v>
      </c>
      <c r="B262" s="38" t="s">
        <v>76</v>
      </c>
      <c r="C262" s="39" t="s">
        <v>886</v>
      </c>
      <c r="D262" s="38" t="s">
        <v>892</v>
      </c>
      <c r="E262" s="38" t="s">
        <v>903</v>
      </c>
      <c r="F262" s="54" t="s">
        <v>1310</v>
      </c>
      <c r="G262" s="80" t="s">
        <v>1</v>
      </c>
      <c r="H262" s="80" t="s">
        <v>1</v>
      </c>
      <c r="I262" s="80" t="s">
        <v>1</v>
      </c>
      <c r="J262" s="80" t="s">
        <v>1</v>
      </c>
      <c r="K262" s="80" t="s">
        <v>1</v>
      </c>
      <c r="L262" s="32" t="str">
        <f t="shared" si="272"/>
        <v>Infraestruturas</v>
      </c>
      <c r="M262" s="32" t="str">
        <f t="shared" si="273"/>
        <v>Ferroviárias</v>
      </c>
      <c r="N262" s="32" t="str">
        <f t="shared" si="282"/>
        <v>Ferrovias Trilhos</v>
      </c>
      <c r="O262" s="33" t="str">
        <f t="shared" si="274"/>
        <v>Trilho.de.Bitola.Mista</v>
      </c>
      <c r="P262" s="53" t="s">
        <v>1314</v>
      </c>
      <c r="Q262" s="33" t="s">
        <v>1315</v>
      </c>
      <c r="R262" s="34" t="s">
        <v>1</v>
      </c>
      <c r="S262" s="35" t="str">
        <f t="shared" si="283"/>
        <v>Infraestruturas</v>
      </c>
      <c r="T262" s="35" t="str">
        <f t="shared" si="284"/>
        <v>Ferroviárias</v>
      </c>
      <c r="U262" s="35" t="str">
        <f t="shared" si="298"/>
        <v>Ferrovias Trilhos</v>
      </c>
      <c r="V262" s="34" t="s">
        <v>1341</v>
      </c>
      <c r="W262" s="88" t="str">
        <f t="shared" si="199"/>
        <v>Key-INF-262</v>
      </c>
      <c r="X262" s="33" t="s">
        <v>1369</v>
      </c>
      <c r="Y262" s="50" t="s">
        <v>1426</v>
      </c>
      <c r="Z262" s="86" t="s">
        <v>1</v>
      </c>
      <c r="AA262" s="33" t="str">
        <f t="shared" si="202"/>
        <v>Railway track designed with International and Irish gauge.</v>
      </c>
    </row>
    <row r="263" spans="1:27" ht="6.6" customHeight="1" x14ac:dyDescent="0.25">
      <c r="A263" s="31">
        <v>263</v>
      </c>
      <c r="B263" s="38" t="s">
        <v>76</v>
      </c>
      <c r="C263" s="39" t="s">
        <v>886</v>
      </c>
      <c r="D263" s="38" t="s">
        <v>892</v>
      </c>
      <c r="E263" s="38" t="s">
        <v>903</v>
      </c>
      <c r="F263" s="55" t="s">
        <v>278</v>
      </c>
      <c r="G263" s="80" t="s">
        <v>1</v>
      </c>
      <c r="H263" s="80" t="s">
        <v>1</v>
      </c>
      <c r="I263" s="80" t="s">
        <v>1</v>
      </c>
      <c r="J263" s="80" t="s">
        <v>1</v>
      </c>
      <c r="K263" s="80"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1341</v>
      </c>
      <c r="W263" s="88" t="str">
        <f t="shared" si="199"/>
        <v>Key-INF-263</v>
      </c>
      <c r="X263" s="33" t="s">
        <v>1369</v>
      </c>
      <c r="Y263" s="50" t="s">
        <v>1426</v>
      </c>
      <c r="Z263" s="86" t="s">
        <v>1</v>
      </c>
      <c r="AA263" s="33" t="str">
        <f t="shared" si="202"/>
        <v>The basic component of the railroad on which trains run.</v>
      </c>
    </row>
    <row r="264" spans="1:27" ht="6.6" customHeight="1" x14ac:dyDescent="0.25">
      <c r="A264" s="31">
        <v>264</v>
      </c>
      <c r="B264" s="38" t="s">
        <v>76</v>
      </c>
      <c r="C264" s="39" t="s">
        <v>886</v>
      </c>
      <c r="D264" s="38" t="s">
        <v>892</v>
      </c>
      <c r="E264" s="38" t="s">
        <v>903</v>
      </c>
      <c r="F264" s="55" t="s">
        <v>283</v>
      </c>
      <c r="G264" s="80" t="s">
        <v>1</v>
      </c>
      <c r="H264" s="80" t="s">
        <v>1</v>
      </c>
      <c r="I264" s="80" t="s">
        <v>1</v>
      </c>
      <c r="J264" s="80" t="s">
        <v>1</v>
      </c>
      <c r="K264" s="80"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1341</v>
      </c>
      <c r="W264" s="88" t="str">
        <f t="shared" ref="W264:W327" si="304">CONCATENATE("Key-INF-",A264)</f>
        <v>Key-INF-264</v>
      </c>
      <c r="X264" s="33" t="s">
        <v>1369</v>
      </c>
      <c r="Y264" s="50" t="s">
        <v>1426</v>
      </c>
      <c r="Z264" s="86" t="s">
        <v>1</v>
      </c>
      <c r="AA264" s="33" t="str">
        <f t="shared" si="202"/>
        <v>It can refer to the cutting edge or profile of the rail, used in technical contexts.</v>
      </c>
    </row>
    <row r="265" spans="1:27" ht="6.6" customHeight="1" x14ac:dyDescent="0.25">
      <c r="A265" s="31">
        <v>265</v>
      </c>
      <c r="B265" s="38" t="s">
        <v>76</v>
      </c>
      <c r="C265" s="39" t="s">
        <v>886</v>
      </c>
      <c r="D265" s="38" t="s">
        <v>892</v>
      </c>
      <c r="E265" s="38" t="s">
        <v>903</v>
      </c>
      <c r="F265" s="55" t="s">
        <v>854</v>
      </c>
      <c r="G265" s="80" t="s">
        <v>1</v>
      </c>
      <c r="H265" s="80" t="s">
        <v>1</v>
      </c>
      <c r="I265" s="80" t="s">
        <v>1</v>
      </c>
      <c r="J265" s="80" t="s">
        <v>1</v>
      </c>
      <c r="K265" s="80"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1341</v>
      </c>
      <c r="W265" s="88" t="str">
        <f t="shared" si="304"/>
        <v>Key-INF-265</v>
      </c>
      <c r="X265" s="33" t="s">
        <v>1369</v>
      </c>
      <c r="Y265" s="50" t="s">
        <v>1426</v>
      </c>
      <c r="Z265" s="86"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886</v>
      </c>
      <c r="D266" s="38" t="s">
        <v>892</v>
      </c>
      <c r="E266" s="38" t="s">
        <v>903</v>
      </c>
      <c r="F266" s="55" t="s">
        <v>855</v>
      </c>
      <c r="G266" s="80" t="s">
        <v>1</v>
      </c>
      <c r="H266" s="80" t="s">
        <v>1</v>
      </c>
      <c r="I266" s="80" t="s">
        <v>1</v>
      </c>
      <c r="J266" s="80" t="s">
        <v>1</v>
      </c>
      <c r="K266" s="80"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1341</v>
      </c>
      <c r="W266" s="88" t="str">
        <f t="shared" si="304"/>
        <v>Key-INF-266</v>
      </c>
      <c r="X266" s="33" t="s">
        <v>1369</v>
      </c>
      <c r="Y266" s="50" t="s">
        <v>1426</v>
      </c>
      <c r="Z266" s="86" t="s">
        <v>1</v>
      </c>
      <c r="AA266" s="33" t="str">
        <f t="shared" si="305"/>
        <v>Similar to checkrail, it protects against derailments, especially at bridges and crossings.</v>
      </c>
    </row>
    <row r="267" spans="1:27" ht="6.6" customHeight="1" x14ac:dyDescent="0.25">
      <c r="A267" s="31">
        <v>267</v>
      </c>
      <c r="B267" s="38" t="s">
        <v>76</v>
      </c>
      <c r="C267" s="39" t="s">
        <v>886</v>
      </c>
      <c r="D267" s="38" t="s">
        <v>892</v>
      </c>
      <c r="E267" s="38" t="s">
        <v>903</v>
      </c>
      <c r="F267" s="55" t="s">
        <v>282</v>
      </c>
      <c r="G267" s="80" t="s">
        <v>1</v>
      </c>
      <c r="H267" s="80" t="s">
        <v>1</v>
      </c>
      <c r="I267" s="80" t="s">
        <v>1</v>
      </c>
      <c r="J267" s="80" t="s">
        <v>1</v>
      </c>
      <c r="K267" s="80"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1341</v>
      </c>
      <c r="W267" s="88" t="str">
        <f t="shared" si="304"/>
        <v>Key-INF-267</v>
      </c>
      <c r="X267" s="33" t="s">
        <v>1369</v>
      </c>
      <c r="Y267" s="50" t="s">
        <v>1426</v>
      </c>
      <c r="Z267" s="86" t="s">
        <v>1</v>
      </c>
      <c r="AA267" s="33" t="str">
        <f t="shared" si="305"/>
        <v>Used on cogwheel railways, where locomotives climb steep inclines with gears.</v>
      </c>
    </row>
    <row r="268" spans="1:27" ht="6.6" customHeight="1" x14ac:dyDescent="0.25">
      <c r="A268" s="31">
        <v>268</v>
      </c>
      <c r="B268" s="38" t="s">
        <v>76</v>
      </c>
      <c r="C268" s="39" t="s">
        <v>886</v>
      </c>
      <c r="D268" s="38" t="s">
        <v>892</v>
      </c>
      <c r="E268" s="38" t="s">
        <v>903</v>
      </c>
      <c r="F268" s="55" t="s">
        <v>281</v>
      </c>
      <c r="G268" s="80" t="s">
        <v>1</v>
      </c>
      <c r="H268" s="80" t="s">
        <v>1</v>
      </c>
      <c r="I268" s="80" t="s">
        <v>1</v>
      </c>
      <c r="J268" s="80" t="s">
        <v>1</v>
      </c>
      <c r="K268" s="80"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1341</v>
      </c>
      <c r="W268" s="88" t="str">
        <f t="shared" si="304"/>
        <v>Key-INF-268</v>
      </c>
      <c r="X268" s="33" t="s">
        <v>1369</v>
      </c>
      <c r="Y268" s="50" t="s">
        <v>1427</v>
      </c>
      <c r="Z268" s="86" t="s">
        <v>1</v>
      </c>
      <c r="AA268" s="33" t="str">
        <f t="shared" si="305"/>
        <v>Part of the rail that remains fixed on turnouts, against which the moving rail rests.</v>
      </c>
    </row>
    <row r="269" spans="1:27" ht="6.6" customHeight="1" x14ac:dyDescent="0.25">
      <c r="A269" s="31">
        <v>269</v>
      </c>
      <c r="B269" s="38" t="s">
        <v>76</v>
      </c>
      <c r="C269" s="39" t="s">
        <v>886</v>
      </c>
      <c r="D269" s="38" t="s">
        <v>892</v>
      </c>
      <c r="E269" s="38" t="s">
        <v>903</v>
      </c>
      <c r="F269" s="55" t="s">
        <v>304</v>
      </c>
      <c r="G269" s="80" t="s">
        <v>1</v>
      </c>
      <c r="H269" s="80" t="s">
        <v>1</v>
      </c>
      <c r="I269" s="80" t="s">
        <v>1</v>
      </c>
      <c r="J269" s="80" t="s">
        <v>1</v>
      </c>
      <c r="K269" s="80"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1341</v>
      </c>
      <c r="W269" s="88" t="str">
        <f t="shared" si="304"/>
        <v>Key-INF-269</v>
      </c>
      <c r="X269" s="33" t="s">
        <v>1369</v>
      </c>
      <c r="Y269" s="53" t="s">
        <v>1427</v>
      </c>
      <c r="Z269" s="86" t="s">
        <v>1</v>
      </c>
      <c r="AA269" s="33" t="str">
        <f t="shared" si="305"/>
        <v>A section that allows the train to change tracks, such as at crossings or detours.</v>
      </c>
    </row>
    <row r="270" spans="1:27" ht="6.6" customHeight="1" x14ac:dyDescent="0.25">
      <c r="A270" s="31">
        <v>270</v>
      </c>
      <c r="B270" s="38" t="s">
        <v>76</v>
      </c>
      <c r="C270" s="39" t="s">
        <v>886</v>
      </c>
      <c r="D270" s="38" t="s">
        <v>892</v>
      </c>
      <c r="E270" s="38" t="s">
        <v>903</v>
      </c>
      <c r="F270" s="55" t="s">
        <v>308</v>
      </c>
      <c r="G270" s="80" t="s">
        <v>1</v>
      </c>
      <c r="H270" s="80" t="s">
        <v>1</v>
      </c>
      <c r="I270" s="80" t="s">
        <v>1</v>
      </c>
      <c r="J270" s="80" t="s">
        <v>1</v>
      </c>
      <c r="K270" s="80"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1341</v>
      </c>
      <c r="W270" s="88" t="str">
        <f t="shared" si="304"/>
        <v>Key-INF-270</v>
      </c>
      <c r="X270" s="33" t="s">
        <v>1369</v>
      </c>
      <c r="Y270" s="53" t="s">
        <v>1427</v>
      </c>
      <c r="Z270" s="86" t="s">
        <v>1</v>
      </c>
      <c r="AA270" s="33" t="str">
        <f t="shared" si="305"/>
        <v>Equipment that prevents the movement of trains under certain conditions.</v>
      </c>
    </row>
    <row r="271" spans="1:27" ht="6.6" customHeight="1" x14ac:dyDescent="0.25">
      <c r="A271" s="31">
        <v>271</v>
      </c>
      <c r="B271" s="38" t="s">
        <v>76</v>
      </c>
      <c r="C271" s="39" t="s">
        <v>886</v>
      </c>
      <c r="D271" s="38" t="s">
        <v>892</v>
      </c>
      <c r="E271" s="38" t="s">
        <v>903</v>
      </c>
      <c r="F271" s="55" t="s">
        <v>305</v>
      </c>
      <c r="G271" s="80" t="s">
        <v>1</v>
      </c>
      <c r="H271" s="80" t="s">
        <v>1</v>
      </c>
      <c r="I271" s="80" t="s">
        <v>1</v>
      </c>
      <c r="J271" s="80" t="s">
        <v>1</v>
      </c>
      <c r="K271" s="80"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1341</v>
      </c>
      <c r="W271" s="88" t="str">
        <f t="shared" si="304"/>
        <v>Key-INF-271</v>
      </c>
      <c r="X271" s="33" t="s">
        <v>1369</v>
      </c>
      <c r="Y271" s="53" t="s">
        <v>1427</v>
      </c>
      <c r="Z271" s="86" t="s">
        <v>1</v>
      </c>
      <c r="AA271" s="33" t="str">
        <f t="shared" si="305"/>
        <v>Safety device that forces the train off the tracks in the event of an emergency.</v>
      </c>
    </row>
    <row r="272" spans="1:27" ht="6.6" customHeight="1" x14ac:dyDescent="0.25">
      <c r="A272" s="31">
        <v>272</v>
      </c>
      <c r="B272" s="38" t="s">
        <v>76</v>
      </c>
      <c r="C272" s="39" t="s">
        <v>886</v>
      </c>
      <c r="D272" s="38" t="s">
        <v>892</v>
      </c>
      <c r="E272" s="38" t="s">
        <v>903</v>
      </c>
      <c r="F272" s="55" t="s">
        <v>307</v>
      </c>
      <c r="G272" s="80" t="s">
        <v>1</v>
      </c>
      <c r="H272" s="80" t="s">
        <v>1</v>
      </c>
      <c r="I272" s="80" t="s">
        <v>1</v>
      </c>
      <c r="J272" s="80" t="s">
        <v>1</v>
      </c>
      <c r="K272" s="80"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1341</v>
      </c>
      <c r="W272" s="88" t="str">
        <f t="shared" si="304"/>
        <v>Key-INF-272</v>
      </c>
      <c r="X272" s="33" t="s">
        <v>1369</v>
      </c>
      <c r="Y272" s="53" t="s">
        <v>1427</v>
      </c>
      <c r="Z272" s="86" t="s">
        <v>1</v>
      </c>
      <c r="AA272" s="33" t="str">
        <f t="shared" si="305"/>
        <v>Metal piece where the rails intersect in turnouts.</v>
      </c>
    </row>
    <row r="273" spans="1:27" ht="6.6" customHeight="1" x14ac:dyDescent="0.25">
      <c r="A273" s="31">
        <v>273</v>
      </c>
      <c r="B273" s="38" t="s">
        <v>76</v>
      </c>
      <c r="C273" s="39" t="s">
        <v>886</v>
      </c>
      <c r="D273" s="38" t="s">
        <v>892</v>
      </c>
      <c r="E273" s="38" t="s">
        <v>903</v>
      </c>
      <c r="F273" s="55" t="s">
        <v>309</v>
      </c>
      <c r="G273" s="80" t="s">
        <v>1</v>
      </c>
      <c r="H273" s="80" t="s">
        <v>1</v>
      </c>
      <c r="I273" s="80" t="s">
        <v>1</v>
      </c>
      <c r="J273" s="80" t="s">
        <v>1</v>
      </c>
      <c r="K273" s="80" t="s">
        <v>1</v>
      </c>
      <c r="L273" s="32" t="str">
        <f t="shared" si="301"/>
        <v>Infraestruturas</v>
      </c>
      <c r="M273" s="32" t="str">
        <f t="shared" si="302"/>
        <v>Ferroviárias</v>
      </c>
      <c r="N273" s="32" t="str">
        <f t="shared" si="303"/>
        <v>Ferrovias Trilhos</v>
      </c>
      <c r="O273" s="33" t="str">
        <f t="shared" si="264"/>
        <v>Trilho.Lâmina.Desviadora</v>
      </c>
      <c r="P273" s="56" t="s">
        <v>813</v>
      </c>
      <c r="Q273" s="33" t="s">
        <v>814</v>
      </c>
      <c r="R273" s="34" t="s">
        <v>1</v>
      </c>
      <c r="S273" s="35" t="str">
        <f t="shared" si="251"/>
        <v>Infraestruturas</v>
      </c>
      <c r="T273" s="35" t="str">
        <f t="shared" si="252"/>
        <v>Ferroviárias</v>
      </c>
      <c r="U273" s="35" t="str">
        <f t="shared" si="252"/>
        <v>Ferrovias Trilhos</v>
      </c>
      <c r="V273" s="34" t="s">
        <v>1341</v>
      </c>
      <c r="W273" s="88" t="str">
        <f t="shared" si="304"/>
        <v>Key-INF-273</v>
      </c>
      <c r="X273" s="33" t="s">
        <v>1369</v>
      </c>
      <c r="Y273" s="53" t="s">
        <v>1427</v>
      </c>
      <c r="Z273" s="86" t="s">
        <v>1</v>
      </c>
      <c r="AA273" s="33" t="str">
        <f t="shared" si="305"/>
        <v>Moving part of a Turnout Device (AMV) that directs the train to different tracks.</v>
      </c>
    </row>
    <row r="274" spans="1:27" ht="6.6" customHeight="1" x14ac:dyDescent="0.25">
      <c r="A274" s="31">
        <v>274</v>
      </c>
      <c r="B274" s="38" t="s">
        <v>76</v>
      </c>
      <c r="C274" s="39" t="s">
        <v>886</v>
      </c>
      <c r="D274" s="38" t="s">
        <v>892</v>
      </c>
      <c r="E274" s="38" t="s">
        <v>903</v>
      </c>
      <c r="F274" s="55" t="s">
        <v>306</v>
      </c>
      <c r="G274" s="80" t="s">
        <v>1</v>
      </c>
      <c r="H274" s="80" t="s">
        <v>1</v>
      </c>
      <c r="I274" s="80" t="s">
        <v>1</v>
      </c>
      <c r="J274" s="80" t="s">
        <v>1</v>
      </c>
      <c r="K274" s="80"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1341</v>
      </c>
      <c r="W274" s="88" t="str">
        <f t="shared" si="304"/>
        <v>Key-INF-274</v>
      </c>
      <c r="X274" s="33" t="s">
        <v>1369</v>
      </c>
      <c r="Y274" s="53" t="s">
        <v>1427</v>
      </c>
      <c r="Z274" s="86" t="s">
        <v>1</v>
      </c>
      <c r="AA274" s="33" t="str">
        <f t="shared" si="305"/>
        <v>Transverse piece that supports the rails and distributes the load to the ballast.</v>
      </c>
    </row>
    <row r="275" spans="1:27" s="52" customFormat="1" ht="6.6" customHeight="1" x14ac:dyDescent="0.15">
      <c r="A275" s="31">
        <v>275</v>
      </c>
      <c r="B275" s="38" t="s">
        <v>76</v>
      </c>
      <c r="C275" s="39" t="s">
        <v>886</v>
      </c>
      <c r="D275" s="38" t="s">
        <v>892</v>
      </c>
      <c r="E275" s="38" t="s">
        <v>903</v>
      </c>
      <c r="F275" s="55" t="s">
        <v>856</v>
      </c>
      <c r="G275" s="80" t="s">
        <v>1</v>
      </c>
      <c r="H275" s="80" t="s">
        <v>1</v>
      </c>
      <c r="I275" s="80" t="s">
        <v>1</v>
      </c>
      <c r="J275" s="80" t="s">
        <v>1</v>
      </c>
      <c r="K275" s="80"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1341</v>
      </c>
      <c r="W275" s="88" t="str">
        <f t="shared" si="304"/>
        <v>Key-INF-275</v>
      </c>
      <c r="X275" s="33" t="s">
        <v>1369</v>
      </c>
      <c r="Y275" s="53" t="s">
        <v>1427</v>
      </c>
      <c r="Z275" s="86" t="s">
        <v>1</v>
      </c>
      <c r="AA275" s="33" t="str">
        <f t="shared" si="305"/>
        <v>Equipment that controls the speed of trains, usually via signaling.</v>
      </c>
    </row>
    <row r="276" spans="1:27" s="52" customFormat="1" ht="6.6" customHeight="1" x14ac:dyDescent="0.15">
      <c r="A276" s="31">
        <v>276</v>
      </c>
      <c r="B276" s="38" t="s">
        <v>76</v>
      </c>
      <c r="C276" s="39" t="s">
        <v>886</v>
      </c>
      <c r="D276" s="38" t="s">
        <v>892</v>
      </c>
      <c r="E276" s="38" t="s">
        <v>903</v>
      </c>
      <c r="F276" s="55" t="s">
        <v>359</v>
      </c>
      <c r="G276" s="80" t="s">
        <v>1</v>
      </c>
      <c r="H276" s="80" t="s">
        <v>1</v>
      </c>
      <c r="I276" s="80" t="s">
        <v>1</v>
      </c>
      <c r="J276" s="80" t="s">
        <v>1</v>
      </c>
      <c r="K276" s="80"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1341</v>
      </c>
      <c r="W276" s="88" t="str">
        <f t="shared" si="304"/>
        <v>Key-INF-276</v>
      </c>
      <c r="X276" s="33" t="s">
        <v>1369</v>
      </c>
      <c r="Y276" s="53" t="s">
        <v>1427</v>
      </c>
      <c r="Z276" s="86" t="s">
        <v>1</v>
      </c>
      <c r="AA276" s="33" t="str">
        <f t="shared" si="305"/>
        <v>End point of a railway section, where the route ends.</v>
      </c>
    </row>
    <row r="277" spans="1:27" s="52" customFormat="1" ht="6.6" customHeight="1" x14ac:dyDescent="0.15">
      <c r="A277" s="31">
        <v>277</v>
      </c>
      <c r="B277" s="38" t="s">
        <v>76</v>
      </c>
      <c r="C277" s="39" t="s">
        <v>886</v>
      </c>
      <c r="D277" s="38" t="s">
        <v>892</v>
      </c>
      <c r="E277" s="38" t="s">
        <v>903</v>
      </c>
      <c r="F277" s="55" t="s">
        <v>358</v>
      </c>
      <c r="G277" s="80" t="s">
        <v>1</v>
      </c>
      <c r="H277" s="80" t="s">
        <v>1</v>
      </c>
      <c r="I277" s="80" t="s">
        <v>1</v>
      </c>
      <c r="J277" s="80" t="s">
        <v>1</v>
      </c>
      <c r="K277" s="80"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1341</v>
      </c>
      <c r="W277" s="88" t="str">
        <f t="shared" si="304"/>
        <v>Key-INF-277</v>
      </c>
      <c r="X277" s="33" t="s">
        <v>1369</v>
      </c>
      <c r="Y277" s="53" t="s">
        <v>1428</v>
      </c>
      <c r="Z277" s="86" t="s">
        <v>1</v>
      </c>
      <c r="AA277" s="33" t="str">
        <f t="shared" si="305"/>
        <v>A physical device that prevents movement beyond a safe point.</v>
      </c>
    </row>
    <row r="278" spans="1:27" ht="6.6" customHeight="1" x14ac:dyDescent="0.25">
      <c r="A278" s="31">
        <v>278</v>
      </c>
      <c r="B278" s="38" t="s">
        <v>76</v>
      </c>
      <c r="C278" s="39" t="s">
        <v>886</v>
      </c>
      <c r="D278" s="38" t="s">
        <v>892</v>
      </c>
      <c r="E278" s="38" t="s">
        <v>904</v>
      </c>
      <c r="F278" s="55" t="s">
        <v>326</v>
      </c>
      <c r="G278" s="80" t="s">
        <v>1</v>
      </c>
      <c r="H278" s="80" t="s">
        <v>1</v>
      </c>
      <c r="I278" s="80" t="s">
        <v>1</v>
      </c>
      <c r="J278" s="80" t="s">
        <v>1</v>
      </c>
      <c r="K278" s="80"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1341</v>
      </c>
      <c r="W278" s="88" t="str">
        <f t="shared" si="304"/>
        <v>Key-INF-278</v>
      </c>
      <c r="X278" s="33" t="s">
        <v>1369</v>
      </c>
      <c r="Y278" s="53" t="s">
        <v>1428</v>
      </c>
      <c r="Z278" s="86" t="s">
        <v>1</v>
      </c>
      <c r="AA278" s="33" t="str">
        <f t="shared" si="305"/>
        <v>Individual elements that make up the railroad, such as rails and sleepers.</v>
      </c>
    </row>
    <row r="279" spans="1:27" ht="6.6" customHeight="1" x14ac:dyDescent="0.25">
      <c r="A279" s="31">
        <v>279</v>
      </c>
      <c r="B279" s="38" t="s">
        <v>76</v>
      </c>
      <c r="C279" s="39" t="s">
        <v>886</v>
      </c>
      <c r="D279" s="38" t="s">
        <v>892</v>
      </c>
      <c r="E279" s="38" t="s">
        <v>904</v>
      </c>
      <c r="F279" s="55" t="s">
        <v>815</v>
      </c>
      <c r="G279" s="80" t="s">
        <v>1</v>
      </c>
      <c r="H279" s="80" t="s">
        <v>1</v>
      </c>
      <c r="I279" s="80" t="s">
        <v>1</v>
      </c>
      <c r="J279" s="80" t="s">
        <v>1</v>
      </c>
      <c r="K279" s="80"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816</v>
      </c>
      <c r="Q279" s="33" t="s">
        <v>817</v>
      </c>
      <c r="R279" s="34" t="s">
        <v>1</v>
      </c>
      <c r="S279" s="35" t="str">
        <f t="shared" si="251"/>
        <v>Infraestruturas</v>
      </c>
      <c r="T279" s="35" t="str">
        <f t="shared" si="252"/>
        <v>Ferroviárias</v>
      </c>
      <c r="U279" s="35" t="str">
        <f t="shared" si="252"/>
        <v>Ferrovias Partes</v>
      </c>
      <c r="V279" s="34" t="s">
        <v>1341</v>
      </c>
      <c r="W279" s="88" t="str">
        <f t="shared" si="304"/>
        <v>Key-INF-279</v>
      </c>
      <c r="X279" s="33" t="s">
        <v>1369</v>
      </c>
      <c r="Y279" s="53" t="s">
        <v>1428</v>
      </c>
      <c r="Z279" s="86"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886</v>
      </c>
      <c r="D280" s="38" t="s">
        <v>892</v>
      </c>
      <c r="E280" s="38" t="s">
        <v>904</v>
      </c>
      <c r="F280" s="55" t="s">
        <v>810</v>
      </c>
      <c r="G280" s="80" t="s">
        <v>1</v>
      </c>
      <c r="H280" s="80" t="s">
        <v>1</v>
      </c>
      <c r="I280" s="80" t="s">
        <v>1</v>
      </c>
      <c r="J280" s="80" t="s">
        <v>1</v>
      </c>
      <c r="K280" s="80"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811</v>
      </c>
      <c r="Q280" s="33" t="s">
        <v>812</v>
      </c>
      <c r="R280" s="34" t="s">
        <v>1</v>
      </c>
      <c r="S280" s="35" t="str">
        <f t="shared" si="251"/>
        <v>Infraestruturas</v>
      </c>
      <c r="T280" s="35" t="str">
        <f t="shared" si="252"/>
        <v>Ferroviárias</v>
      </c>
      <c r="U280" s="35" t="str">
        <f t="shared" si="252"/>
        <v>Ferrovias Partes</v>
      </c>
      <c r="V280" s="34" t="s">
        <v>1341</v>
      </c>
      <c r="W280" s="88" t="str">
        <f t="shared" si="304"/>
        <v>Key-INF-280</v>
      </c>
      <c r="X280" s="33" t="s">
        <v>1369</v>
      </c>
      <c r="Y280" s="53" t="s">
        <v>1428</v>
      </c>
      <c r="Z280" s="86" t="s">
        <v>1</v>
      </c>
      <c r="AA280" s="33" t="str">
        <f t="shared" si="305"/>
        <v>Area next to the railroad, where equipment, signaling and infrastructure are located. Service range.</v>
      </c>
    </row>
    <row r="281" spans="1:27" ht="6.6" customHeight="1" x14ac:dyDescent="0.25">
      <c r="A281" s="31">
        <v>281</v>
      </c>
      <c r="B281" s="38" t="s">
        <v>76</v>
      </c>
      <c r="C281" s="39" t="s">
        <v>886</v>
      </c>
      <c r="D281" s="38" t="s">
        <v>892</v>
      </c>
      <c r="E281" s="38" t="s">
        <v>904</v>
      </c>
      <c r="F281" s="55" t="s">
        <v>314</v>
      </c>
      <c r="G281" s="80" t="s">
        <v>1</v>
      </c>
      <c r="H281" s="80" t="s">
        <v>1</v>
      </c>
      <c r="I281" s="80" t="s">
        <v>1</v>
      </c>
      <c r="J281" s="80" t="s">
        <v>1</v>
      </c>
      <c r="K281" s="80"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1341</v>
      </c>
      <c r="W281" s="88" t="str">
        <f t="shared" si="304"/>
        <v>Key-INF-281</v>
      </c>
      <c r="X281" s="33" t="s">
        <v>1369</v>
      </c>
      <c r="Y281" s="53" t="s">
        <v>1428</v>
      </c>
      <c r="Z281" s="86" t="s">
        <v>1</v>
      </c>
      <c r="AA281" s="33" t="str">
        <f t="shared" si="305"/>
        <v>Aerial parts of the railway, such as signallers, electrification of railway wires, etc.</v>
      </c>
    </row>
    <row r="282" spans="1:27" ht="6.6" customHeight="1" x14ac:dyDescent="0.25">
      <c r="A282" s="31">
        <v>282</v>
      </c>
      <c r="B282" s="38" t="s">
        <v>76</v>
      </c>
      <c r="C282" s="39" t="s">
        <v>886</v>
      </c>
      <c r="D282" s="38" t="s">
        <v>892</v>
      </c>
      <c r="E282" s="38" t="s">
        <v>904</v>
      </c>
      <c r="F282" s="55" t="s">
        <v>313</v>
      </c>
      <c r="G282" s="80" t="s">
        <v>1</v>
      </c>
      <c r="H282" s="80" t="s">
        <v>1</v>
      </c>
      <c r="I282" s="80" t="s">
        <v>1</v>
      </c>
      <c r="J282" s="80" t="s">
        <v>1</v>
      </c>
      <c r="K282" s="80"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1341</v>
      </c>
      <c r="W282" s="88" t="str">
        <f t="shared" si="304"/>
        <v>Key-INF-282</v>
      </c>
      <c r="X282" s="33" t="s">
        <v>1369</v>
      </c>
      <c r="Y282" s="53" t="s">
        <v>1428</v>
      </c>
      <c r="Z282" s="86" t="s">
        <v>1</v>
      </c>
      <c r="AA282" s="33" t="str">
        <f t="shared" si="305"/>
        <v>Elements such as poles, signs, control boxes next to the rails.</v>
      </c>
    </row>
    <row r="283" spans="1:27" ht="6.6" customHeight="1" x14ac:dyDescent="0.25">
      <c r="A283" s="31">
        <v>283</v>
      </c>
      <c r="B283" s="38" t="s">
        <v>76</v>
      </c>
      <c r="C283" s="39" t="s">
        <v>886</v>
      </c>
      <c r="D283" s="38" t="s">
        <v>892</v>
      </c>
      <c r="E283" s="38" t="s">
        <v>904</v>
      </c>
      <c r="F283" s="55" t="s">
        <v>312</v>
      </c>
      <c r="G283" s="80" t="s">
        <v>1</v>
      </c>
      <c r="H283" s="80" t="s">
        <v>1</v>
      </c>
      <c r="I283" s="80" t="s">
        <v>1</v>
      </c>
      <c r="J283" s="80" t="s">
        <v>1</v>
      </c>
      <c r="K283" s="80"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1341</v>
      </c>
      <c r="W283" s="88" t="str">
        <f t="shared" si="304"/>
        <v>Key-INF-283</v>
      </c>
      <c r="X283" s="33" t="s">
        <v>1369</v>
      </c>
      <c r="Y283" s="53" t="s">
        <v>1428</v>
      </c>
      <c r="Z283" s="86" t="s">
        <v>1</v>
      </c>
      <c r="AA283" s="33" t="str">
        <f t="shared" si="305"/>
        <v>Railroad base: includes the bed, ballast, and foundations that support the tracks.</v>
      </c>
    </row>
    <row r="284" spans="1:27" ht="6.6" customHeight="1" x14ac:dyDescent="0.25">
      <c r="A284" s="31">
        <v>284</v>
      </c>
      <c r="B284" s="38" t="s">
        <v>76</v>
      </c>
      <c r="C284" s="39" t="s">
        <v>886</v>
      </c>
      <c r="D284" s="38" t="s">
        <v>892</v>
      </c>
      <c r="E284" s="38" t="s">
        <v>904</v>
      </c>
      <c r="F284" s="55" t="s">
        <v>310</v>
      </c>
      <c r="G284" s="80" t="s">
        <v>1</v>
      </c>
      <c r="H284" s="80" t="s">
        <v>1</v>
      </c>
      <c r="I284" s="80" t="s">
        <v>1</v>
      </c>
      <c r="J284" s="80" t="s">
        <v>1</v>
      </c>
      <c r="K284" s="80"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1341</v>
      </c>
      <c r="W284" s="88" t="str">
        <f t="shared" si="304"/>
        <v>Key-INF-284</v>
      </c>
      <c r="X284" s="33" t="s">
        <v>1369</v>
      </c>
      <c r="Y284" s="53" t="s">
        <v>1428</v>
      </c>
      <c r="Z284" s="86" t="s">
        <v>1</v>
      </c>
      <c r="AA284" s="33" t="str">
        <f t="shared" si="305"/>
        <v>Straight and continuous stretch of the railroad, without switches and turnouts.</v>
      </c>
    </row>
    <row r="285" spans="1:27" ht="6.6" customHeight="1" x14ac:dyDescent="0.25">
      <c r="A285" s="31">
        <v>285</v>
      </c>
      <c r="B285" s="38" t="s">
        <v>76</v>
      </c>
      <c r="C285" s="39" t="s">
        <v>886</v>
      </c>
      <c r="D285" s="38" t="s">
        <v>892</v>
      </c>
      <c r="E285" s="38" t="s">
        <v>904</v>
      </c>
      <c r="F285" s="55" t="s">
        <v>311</v>
      </c>
      <c r="G285" s="80" t="s">
        <v>1</v>
      </c>
      <c r="H285" s="80" t="s">
        <v>1</v>
      </c>
      <c r="I285" s="80" t="s">
        <v>1</v>
      </c>
      <c r="J285" s="80" t="s">
        <v>1</v>
      </c>
      <c r="K285" s="80"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1341</v>
      </c>
      <c r="W285" s="88" t="str">
        <f t="shared" si="304"/>
        <v>Key-INF-285</v>
      </c>
      <c r="X285" s="33" t="s">
        <v>1369</v>
      </c>
      <c r="Y285" s="53" t="s">
        <v>1428</v>
      </c>
      <c r="Z285" s="86" t="s">
        <v>1</v>
      </c>
      <c r="AA285" s="33" t="str">
        <f t="shared" si="305"/>
        <v>Complete set of rails, sleepers, fixings and base.</v>
      </c>
    </row>
    <row r="286" spans="1:27" ht="6.6" customHeight="1" x14ac:dyDescent="0.25">
      <c r="A286" s="31">
        <v>286</v>
      </c>
      <c r="B286" s="38" t="s">
        <v>76</v>
      </c>
      <c r="C286" s="39" t="s">
        <v>886</v>
      </c>
      <c r="D286" s="38" t="s">
        <v>892</v>
      </c>
      <c r="E286" s="38" t="s">
        <v>904</v>
      </c>
      <c r="F286" s="55" t="s">
        <v>315</v>
      </c>
      <c r="G286" s="80" t="s">
        <v>1</v>
      </c>
      <c r="H286" s="80" t="s">
        <v>1</v>
      </c>
      <c r="I286" s="80" t="s">
        <v>1</v>
      </c>
      <c r="J286" s="80" t="s">
        <v>1</v>
      </c>
      <c r="K286" s="80"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1341</v>
      </c>
      <c r="W286" s="88" t="str">
        <f t="shared" si="304"/>
        <v>Key-INF-286</v>
      </c>
      <c r="X286" s="33" t="s">
        <v>1369</v>
      </c>
      <c r="Y286" s="53" t="s">
        <v>1429</v>
      </c>
      <c r="Z286" s="86" t="s">
        <v>1</v>
      </c>
      <c r="AA286" s="33" t="str">
        <f t="shared" si="305"/>
        <v>Section with special joints to accommodate the thermal expansion of the rails.</v>
      </c>
    </row>
    <row r="287" spans="1:27" ht="6.6" customHeight="1" x14ac:dyDescent="0.25">
      <c r="A287" s="31">
        <v>287</v>
      </c>
      <c r="B287" s="38" t="s">
        <v>76</v>
      </c>
      <c r="C287" s="39" t="s">
        <v>886</v>
      </c>
      <c r="D287" s="38" t="s">
        <v>893</v>
      </c>
      <c r="E287" s="43" t="s">
        <v>894</v>
      </c>
      <c r="F287" s="45" t="s">
        <v>481</v>
      </c>
      <c r="G287" s="85" t="s">
        <v>1</v>
      </c>
      <c r="H287" s="85" t="s">
        <v>1</v>
      </c>
      <c r="I287" s="85" t="s">
        <v>1</v>
      </c>
      <c r="J287" s="80" t="s">
        <v>1</v>
      </c>
      <c r="K287" s="80"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1341</v>
      </c>
      <c r="W287" s="88" t="str">
        <f t="shared" si="304"/>
        <v>Key-INF-287</v>
      </c>
      <c r="X287" s="35" t="s">
        <v>1385</v>
      </c>
      <c r="Y287" s="35" t="s">
        <v>1429</v>
      </c>
      <c r="Z287" s="86" t="s">
        <v>1</v>
      </c>
      <c r="AA287" s="33" t="str">
        <f t="shared" si="305"/>
        <v>Fixed vertical structure that serves as a navigational mark, to show reefs or other hazards, or to provide.</v>
      </c>
    </row>
    <row r="288" spans="1:27" ht="6.6" customHeight="1" x14ac:dyDescent="0.25">
      <c r="A288" s="31">
        <v>288</v>
      </c>
      <c r="B288" s="38" t="s">
        <v>76</v>
      </c>
      <c r="C288" s="39" t="s">
        <v>886</v>
      </c>
      <c r="D288" s="38" t="s">
        <v>893</v>
      </c>
      <c r="E288" s="43" t="s">
        <v>894</v>
      </c>
      <c r="F288" s="45" t="s">
        <v>484</v>
      </c>
      <c r="G288" s="85" t="s">
        <v>1</v>
      </c>
      <c r="H288" s="85" t="s">
        <v>1</v>
      </c>
      <c r="I288" s="85" t="s">
        <v>1</v>
      </c>
      <c r="J288" s="80" t="s">
        <v>1</v>
      </c>
      <c r="K288" s="80"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1341</v>
      </c>
      <c r="W288" s="88" t="str">
        <f t="shared" si="304"/>
        <v>Key-INF-288</v>
      </c>
      <c r="X288" s="35" t="s">
        <v>1385</v>
      </c>
      <c r="Y288" s="35" t="s">
        <v>1429</v>
      </c>
      <c r="Z288" s="86" t="s">
        <v>1</v>
      </c>
      <c r="AA288" s="33" t="str">
        <f t="shared" si="305"/>
        <v>Anchored floating structure that serves as a navigational mark, to show reefs or other hazards.</v>
      </c>
    </row>
    <row r="289" spans="1:27" ht="6.6" customHeight="1" x14ac:dyDescent="0.25">
      <c r="A289" s="31">
        <v>289</v>
      </c>
      <c r="B289" s="38" t="s">
        <v>76</v>
      </c>
      <c r="C289" s="39" t="s">
        <v>886</v>
      </c>
      <c r="D289" s="38" t="s">
        <v>893</v>
      </c>
      <c r="E289" s="43" t="s">
        <v>894</v>
      </c>
      <c r="F289" s="59" t="s">
        <v>487</v>
      </c>
      <c r="G289" s="85" t="s">
        <v>1</v>
      </c>
      <c r="H289" s="85" t="s">
        <v>1</v>
      </c>
      <c r="I289" s="85" t="s">
        <v>1</v>
      </c>
      <c r="J289" s="80" t="s">
        <v>1</v>
      </c>
      <c r="K289" s="80"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1341</v>
      </c>
      <c r="W289" s="88" t="str">
        <f t="shared" si="304"/>
        <v>Key-INF-289</v>
      </c>
      <c r="X289" s="35" t="s">
        <v>1385</v>
      </c>
      <c r="Y289" s="35" t="s">
        <v>1429</v>
      </c>
      <c r="Z289" s="86"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886</v>
      </c>
      <c r="D290" s="38" t="s">
        <v>893</v>
      </c>
      <c r="E290" s="43" t="s">
        <v>894</v>
      </c>
      <c r="F290" s="59" t="s">
        <v>490</v>
      </c>
      <c r="G290" s="85" t="s">
        <v>1</v>
      </c>
      <c r="H290" s="85" t="s">
        <v>1</v>
      </c>
      <c r="I290" s="85" t="s">
        <v>1</v>
      </c>
      <c r="J290" s="80" t="s">
        <v>1</v>
      </c>
      <c r="K290" s="80"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1341</v>
      </c>
      <c r="W290" s="88" t="str">
        <f t="shared" si="304"/>
        <v>Key-INF-290</v>
      </c>
      <c r="X290" s="35" t="s">
        <v>1361</v>
      </c>
      <c r="Y290" s="35" t="s">
        <v>1429</v>
      </c>
      <c r="Z290" s="86"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886</v>
      </c>
      <c r="D291" s="38" t="s">
        <v>893</v>
      </c>
      <c r="E291" s="43" t="s">
        <v>894</v>
      </c>
      <c r="F291" s="59" t="s">
        <v>493</v>
      </c>
      <c r="G291" s="85" t="s">
        <v>1</v>
      </c>
      <c r="H291" s="85" t="s">
        <v>1</v>
      </c>
      <c r="I291" s="85" t="s">
        <v>1</v>
      </c>
      <c r="J291" s="80" t="s">
        <v>1</v>
      </c>
      <c r="K291" s="80"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1341</v>
      </c>
      <c r="W291" s="88" t="str">
        <f t="shared" si="304"/>
        <v>Key-INF-291</v>
      </c>
      <c r="X291" s="35" t="s">
        <v>1361</v>
      </c>
      <c r="Y291" s="35" t="s">
        <v>1429</v>
      </c>
      <c r="Z291" s="86" t="s">
        <v>1</v>
      </c>
      <c r="AA291" s="33" t="str">
        <f t="shared" si="305"/>
        <v>Longitudinal spatial part of a waterway or port facility that provides facilities for berthing.</v>
      </c>
    </row>
    <row r="292" spans="1:27" ht="6.6" customHeight="1" x14ac:dyDescent="0.25">
      <c r="A292" s="31">
        <v>292</v>
      </c>
      <c r="B292" s="38" t="s">
        <v>76</v>
      </c>
      <c r="C292" s="39" t="s">
        <v>886</v>
      </c>
      <c r="D292" s="38" t="s">
        <v>893</v>
      </c>
      <c r="E292" s="43" t="s">
        <v>894</v>
      </c>
      <c r="F292" s="45" t="s">
        <v>496</v>
      </c>
      <c r="G292" s="85" t="s">
        <v>1</v>
      </c>
      <c r="H292" s="85" t="s">
        <v>1</v>
      </c>
      <c r="I292" s="85" t="s">
        <v>1</v>
      </c>
      <c r="J292" s="80" t="s">
        <v>1</v>
      </c>
      <c r="K292" s="80"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1341</v>
      </c>
      <c r="W292" s="88" t="str">
        <f t="shared" si="304"/>
        <v>Key-INF-292</v>
      </c>
      <c r="X292" s="35" t="s">
        <v>1361</v>
      </c>
      <c r="Y292" s="35" t="s">
        <v>1429</v>
      </c>
      <c r="Z292" s="86" t="s">
        <v>1</v>
      </c>
      <c r="AA292" s="33" t="str">
        <f t="shared" si="305"/>
        <v>Artificial watercourse usually built to join rivers, lakes or seas and often of an appropriate size.</v>
      </c>
    </row>
    <row r="293" spans="1:27" ht="6.6" customHeight="1" x14ac:dyDescent="0.25">
      <c r="A293" s="31">
        <v>293</v>
      </c>
      <c r="B293" s="38" t="s">
        <v>76</v>
      </c>
      <c r="C293" s="39" t="s">
        <v>886</v>
      </c>
      <c r="D293" s="38" t="s">
        <v>893</v>
      </c>
      <c r="E293" s="43" t="s">
        <v>894</v>
      </c>
      <c r="F293" s="59" t="s">
        <v>499</v>
      </c>
      <c r="G293" s="85" t="s">
        <v>1</v>
      </c>
      <c r="H293" s="85" t="s">
        <v>1</v>
      </c>
      <c r="I293" s="85" t="s">
        <v>1</v>
      </c>
      <c r="J293" s="80" t="s">
        <v>1</v>
      </c>
      <c r="K293" s="80"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1341</v>
      </c>
      <c r="W293" s="88" t="str">
        <f t="shared" si="304"/>
        <v>Key-INF-293</v>
      </c>
      <c r="X293" s="35" t="s">
        <v>1361</v>
      </c>
      <c r="Y293" s="35" t="s">
        <v>1429</v>
      </c>
      <c r="Z293" s="86" t="s">
        <v>1</v>
      </c>
      <c r="AA293" s="33" t="str">
        <f t="shared" si="305"/>
        <v>The longitudinal spatial part of a waterway or port facility covering the approach.</v>
      </c>
    </row>
    <row r="294" spans="1:27" ht="6.6" customHeight="1" x14ac:dyDescent="0.25">
      <c r="A294" s="31">
        <v>294</v>
      </c>
      <c r="B294" s="38" t="s">
        <v>76</v>
      </c>
      <c r="C294" s="39" t="s">
        <v>886</v>
      </c>
      <c r="D294" s="38" t="s">
        <v>893</v>
      </c>
      <c r="E294" s="43" t="s">
        <v>894</v>
      </c>
      <c r="F294" s="45" t="s">
        <v>502</v>
      </c>
      <c r="G294" s="85" t="s">
        <v>1</v>
      </c>
      <c r="H294" s="85" t="s">
        <v>1</v>
      </c>
      <c r="I294" s="85" t="s">
        <v>1</v>
      </c>
      <c r="J294" s="80" t="s">
        <v>1</v>
      </c>
      <c r="K294" s="80"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1341</v>
      </c>
      <c r="W294" s="88" t="str">
        <f t="shared" si="304"/>
        <v>Key-INF-294</v>
      </c>
      <c r="X294" s="35" t="s">
        <v>1361</v>
      </c>
      <c r="Y294" s="35" t="s">
        <v>1429</v>
      </c>
      <c r="Z294" s="86" t="s">
        <v>1</v>
      </c>
      <c r="AA294" s="33" t="str">
        <f t="shared" si="305"/>
        <v>Natural navigable watercourse (such as a river) that needs to be managed or have improvements applied.</v>
      </c>
    </row>
    <row r="295" spans="1:27" ht="6.6" customHeight="1" x14ac:dyDescent="0.25">
      <c r="A295" s="31">
        <v>295</v>
      </c>
      <c r="B295" s="38" t="s">
        <v>76</v>
      </c>
      <c r="C295" s="39" t="s">
        <v>886</v>
      </c>
      <c r="D295" s="38" t="s">
        <v>893</v>
      </c>
      <c r="E295" s="43" t="s">
        <v>894</v>
      </c>
      <c r="F295" s="45" t="s">
        <v>505</v>
      </c>
      <c r="G295" s="85" t="s">
        <v>1</v>
      </c>
      <c r="H295" s="85" t="s">
        <v>1</v>
      </c>
      <c r="I295" s="85" t="s">
        <v>1</v>
      </c>
      <c r="J295" s="80" t="s">
        <v>1</v>
      </c>
      <c r="K295" s="80"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1341</v>
      </c>
      <c r="W295" s="88" t="str">
        <f t="shared" si="304"/>
        <v>Key-INF-295</v>
      </c>
      <c r="X295" s="35" t="s">
        <v>1361</v>
      </c>
      <c r="Y295" s="35" t="s">
        <v>1429</v>
      </c>
      <c r="Z295" s="86" t="s">
        <v>1</v>
      </c>
      <c r="AA295" s="33" t="str">
        <f t="shared" si="305"/>
        <v>Subset of facilities that have the primary function of providing a navigable area of water.</v>
      </c>
    </row>
    <row r="296" spans="1:27" ht="6.6" customHeight="1" x14ac:dyDescent="0.25">
      <c r="A296" s="31">
        <v>296</v>
      </c>
      <c r="B296" s="38" t="s">
        <v>76</v>
      </c>
      <c r="C296" s="39" t="s">
        <v>886</v>
      </c>
      <c r="D296" s="38" t="s">
        <v>893</v>
      </c>
      <c r="E296" s="43" t="s">
        <v>894</v>
      </c>
      <c r="F296" s="45" t="s">
        <v>478</v>
      </c>
      <c r="G296" s="85" t="s">
        <v>1</v>
      </c>
      <c r="H296" s="85" t="s">
        <v>1</v>
      </c>
      <c r="I296" s="85" t="s">
        <v>1</v>
      </c>
      <c r="J296" s="80" t="s">
        <v>1</v>
      </c>
      <c r="K296" s="80"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1341</v>
      </c>
      <c r="W296" s="88" t="str">
        <f t="shared" si="304"/>
        <v>Key-INF-296</v>
      </c>
      <c r="X296" s="35" t="s">
        <v>1361</v>
      </c>
      <c r="Y296" s="35" t="s">
        <v>1429</v>
      </c>
      <c r="Z296" s="86" t="s">
        <v>1</v>
      </c>
      <c r="AA296" s="33" t="str">
        <f t="shared" si="305"/>
        <v>A navigation element is an active or passive constructed element whose primary function is to provide navigation.</v>
      </c>
    </row>
    <row r="297" spans="1:27" ht="6.6" customHeight="1" x14ac:dyDescent="0.25">
      <c r="A297" s="31">
        <v>297</v>
      </c>
      <c r="B297" s="38" t="s">
        <v>76</v>
      </c>
      <c r="C297" s="39" t="s">
        <v>886</v>
      </c>
      <c r="D297" s="38" t="s">
        <v>893</v>
      </c>
      <c r="E297" s="38" t="s">
        <v>897</v>
      </c>
      <c r="F297" s="58" t="s">
        <v>857</v>
      </c>
      <c r="G297" s="80" t="s">
        <v>1</v>
      </c>
      <c r="H297" s="80" t="s">
        <v>1</v>
      </c>
      <c r="I297" s="80" t="s">
        <v>1</v>
      </c>
      <c r="J297" s="80" t="s">
        <v>1</v>
      </c>
      <c r="K297" s="80"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1341</v>
      </c>
      <c r="W297" s="88" t="str">
        <f t="shared" si="304"/>
        <v>Key-INF-297</v>
      </c>
      <c r="X297" s="35" t="s">
        <v>1361</v>
      </c>
      <c r="Y297" s="35" t="s">
        <v>1429</v>
      </c>
      <c r="Z297" s="86"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886</v>
      </c>
      <c r="D298" s="38" t="s">
        <v>893</v>
      </c>
      <c r="E298" s="38" t="s">
        <v>897</v>
      </c>
      <c r="F298" s="45" t="s">
        <v>858</v>
      </c>
      <c r="G298" s="85" t="s">
        <v>1</v>
      </c>
      <c r="H298" s="85" t="s">
        <v>1</v>
      </c>
      <c r="I298" s="85" t="s">
        <v>1</v>
      </c>
      <c r="J298" s="80" t="s">
        <v>1</v>
      </c>
      <c r="K298" s="80"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1341</v>
      </c>
      <c r="W298" s="88" t="str">
        <f t="shared" si="304"/>
        <v>Key-INF-298</v>
      </c>
      <c r="X298" s="35" t="s">
        <v>1361</v>
      </c>
      <c r="Y298" s="35" t="s">
        <v>1429</v>
      </c>
      <c r="Z298" s="86" t="s">
        <v>1</v>
      </c>
      <c r="AA298" s="33" t="str">
        <f t="shared" si="305"/>
        <v>Quick release mooring hooks – an active device used to secure a vessel and provide automated release.</v>
      </c>
    </row>
    <row r="299" spans="1:27" ht="6.6" customHeight="1" x14ac:dyDescent="0.25">
      <c r="A299" s="31">
        <v>299</v>
      </c>
      <c r="B299" s="38" t="s">
        <v>76</v>
      </c>
      <c r="C299" s="39" t="s">
        <v>886</v>
      </c>
      <c r="D299" s="38" t="s">
        <v>893</v>
      </c>
      <c r="E299" s="38" t="s">
        <v>897</v>
      </c>
      <c r="F299" s="45" t="s">
        <v>859</v>
      </c>
      <c r="G299" s="85" t="s">
        <v>1</v>
      </c>
      <c r="H299" s="85" t="s">
        <v>1</v>
      </c>
      <c r="I299" s="85" t="s">
        <v>1</v>
      </c>
      <c r="J299" s="80" t="s">
        <v>1</v>
      </c>
      <c r="K299" s="80"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1341</v>
      </c>
      <c r="W299" s="88" t="str">
        <f t="shared" si="304"/>
        <v>Key-INF-299</v>
      </c>
      <c r="X299" s="35" t="s">
        <v>1361</v>
      </c>
      <c r="Y299" s="35" t="s">
        <v>1429</v>
      </c>
      <c r="Z299" s="86"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886</v>
      </c>
      <c r="D300" s="38" t="s">
        <v>893</v>
      </c>
      <c r="E300" s="38" t="s">
        <v>897</v>
      </c>
      <c r="F300" s="45" t="s">
        <v>462</v>
      </c>
      <c r="G300" s="85" t="s">
        <v>1</v>
      </c>
      <c r="H300" s="85" t="s">
        <v>1</v>
      </c>
      <c r="I300" s="85" t="s">
        <v>1</v>
      </c>
      <c r="J300" s="80" t="s">
        <v>1</v>
      </c>
      <c r="K300" s="80"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1341</v>
      </c>
      <c r="W300" s="88" t="str">
        <f t="shared" si="304"/>
        <v>Key-INF-300</v>
      </c>
      <c r="X300" s="35" t="s">
        <v>1361</v>
      </c>
      <c r="Y300" s="35" t="s">
        <v>1429</v>
      </c>
      <c r="Z300" s="86"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886</v>
      </c>
      <c r="D301" s="38" t="s">
        <v>893</v>
      </c>
      <c r="E301" s="38" t="s">
        <v>897</v>
      </c>
      <c r="F301" s="45" t="s">
        <v>465</v>
      </c>
      <c r="G301" s="85" t="s">
        <v>1</v>
      </c>
      <c r="H301" s="85" t="s">
        <v>1</v>
      </c>
      <c r="I301" s="85" t="s">
        <v>1</v>
      </c>
      <c r="J301" s="80" t="s">
        <v>1</v>
      </c>
      <c r="K301" s="80"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1341</v>
      </c>
      <c r="W301" s="88" t="str">
        <f t="shared" si="304"/>
        <v>Key-INF-301</v>
      </c>
      <c r="X301" s="35" t="s">
        <v>1361</v>
      </c>
      <c r="Y301" s="35" t="s">
        <v>1429</v>
      </c>
      <c r="Z301" s="86" t="s">
        <v>1</v>
      </c>
      <c r="AA301" s="33" t="str">
        <f t="shared" si="305"/>
        <v>A mechanical device used to apply a tensioning load to mooring lines to improve the stability of the vessel.</v>
      </c>
    </row>
    <row r="302" spans="1:27" ht="6.6" customHeight="1" x14ac:dyDescent="0.25">
      <c r="A302" s="31">
        <v>302</v>
      </c>
      <c r="B302" s="38" t="s">
        <v>76</v>
      </c>
      <c r="C302" s="39" t="s">
        <v>886</v>
      </c>
      <c r="D302" s="38" t="s">
        <v>893</v>
      </c>
      <c r="E302" s="38" t="s">
        <v>897</v>
      </c>
      <c r="F302" s="45" t="s">
        <v>860</v>
      </c>
      <c r="G302" s="85" t="s">
        <v>1</v>
      </c>
      <c r="H302" s="85" t="s">
        <v>1</v>
      </c>
      <c r="I302" s="85" t="s">
        <v>1</v>
      </c>
      <c r="J302" s="80" t="s">
        <v>1</v>
      </c>
      <c r="K302" s="80"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1341</v>
      </c>
      <c r="W302" s="88" t="str">
        <f t="shared" si="304"/>
        <v>Key-INF-302</v>
      </c>
      <c r="X302" s="35" t="s">
        <v>1361</v>
      </c>
      <c r="Y302" s="35" t="s">
        <v>1429</v>
      </c>
      <c r="Z302" s="86" t="s">
        <v>1</v>
      </c>
      <c r="AA302" s="33" t="str">
        <f t="shared" si="305"/>
        <v>Mooring device that uses vacuum suction as the primary method of securing the vessel.</v>
      </c>
    </row>
    <row r="303" spans="1:27" ht="6.6" customHeight="1" x14ac:dyDescent="0.25">
      <c r="A303" s="31">
        <v>303</v>
      </c>
      <c r="B303" s="38" t="s">
        <v>76</v>
      </c>
      <c r="C303" s="39" t="s">
        <v>886</v>
      </c>
      <c r="D303" s="38" t="s">
        <v>893</v>
      </c>
      <c r="E303" s="38" t="s">
        <v>897</v>
      </c>
      <c r="F303" s="45" t="s">
        <v>470</v>
      </c>
      <c r="G303" s="85" t="s">
        <v>1</v>
      </c>
      <c r="H303" s="85" t="s">
        <v>1</v>
      </c>
      <c r="I303" s="85" t="s">
        <v>1</v>
      </c>
      <c r="J303" s="80" t="s">
        <v>1</v>
      </c>
      <c r="K303" s="80"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1341</v>
      </c>
      <c r="W303" s="88" t="str">
        <f t="shared" si="304"/>
        <v>Key-INF-303</v>
      </c>
      <c r="X303" s="35" t="s">
        <v>1361</v>
      </c>
      <c r="Y303" s="35" t="s">
        <v>1429</v>
      </c>
      <c r="Z303" s="86" t="s">
        <v>1</v>
      </c>
      <c r="AA303" s="33" t="str">
        <f t="shared" si="305"/>
        <v>A mooring device that uses magnets as the primary method of securing the vessel.</v>
      </c>
    </row>
    <row r="304" spans="1:27" ht="6.6" customHeight="1" x14ac:dyDescent="0.25">
      <c r="A304" s="31">
        <v>304</v>
      </c>
      <c r="B304" s="38" t="s">
        <v>76</v>
      </c>
      <c r="C304" s="39" t="s">
        <v>886</v>
      </c>
      <c r="D304" s="38" t="s">
        <v>893</v>
      </c>
      <c r="E304" s="38" t="s">
        <v>897</v>
      </c>
      <c r="F304" s="45" t="s">
        <v>473</v>
      </c>
      <c r="G304" s="85" t="s">
        <v>1</v>
      </c>
      <c r="H304" s="85" t="s">
        <v>1</v>
      </c>
      <c r="I304" s="85" t="s">
        <v>1</v>
      </c>
      <c r="J304" s="80" t="s">
        <v>1</v>
      </c>
      <c r="K304" s="80"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1341</v>
      </c>
      <c r="W304" s="88" t="str">
        <f t="shared" si="304"/>
        <v>Key-INF-304</v>
      </c>
      <c r="X304" s="35" t="s">
        <v>1361</v>
      </c>
      <c r="Y304" s="35" t="s">
        <v>1430</v>
      </c>
      <c r="Z304" s="86"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886</v>
      </c>
      <c r="D305" s="38" t="s">
        <v>893</v>
      </c>
      <c r="E305" s="38" t="s">
        <v>1081</v>
      </c>
      <c r="F305" s="55" t="s">
        <v>508</v>
      </c>
      <c r="G305" s="80" t="s">
        <v>1</v>
      </c>
      <c r="H305" s="80" t="s">
        <v>1</v>
      </c>
      <c r="I305" s="80" t="s">
        <v>1</v>
      </c>
      <c r="J305" s="80" t="s">
        <v>1</v>
      </c>
      <c r="K305" s="80"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1341</v>
      </c>
      <c r="W305" s="88" t="str">
        <f t="shared" si="304"/>
        <v>Key-INF-305</v>
      </c>
      <c r="X305" s="35" t="s">
        <v>1386</v>
      </c>
      <c r="Y305" s="35" t="s">
        <v>1430</v>
      </c>
      <c r="Z305" s="86" t="s">
        <v>1</v>
      </c>
      <c r="AA305" s="33" t="str">
        <f t="shared" si="305"/>
        <v>Level that represents the elevation of the waterline at high tide.</v>
      </c>
    </row>
    <row r="306" spans="1:27" ht="6.6" customHeight="1" x14ac:dyDescent="0.25">
      <c r="A306" s="31">
        <v>306</v>
      </c>
      <c r="B306" s="38" t="s">
        <v>76</v>
      </c>
      <c r="C306" s="39" t="s">
        <v>886</v>
      </c>
      <c r="D306" s="38" t="s">
        <v>893</v>
      </c>
      <c r="E306" s="38" t="s">
        <v>1081</v>
      </c>
      <c r="F306" s="55" t="s">
        <v>511</v>
      </c>
      <c r="G306" s="80" t="s">
        <v>1</v>
      </c>
      <c r="H306" s="80" t="s">
        <v>1</v>
      </c>
      <c r="I306" s="80" t="s">
        <v>1</v>
      </c>
      <c r="J306" s="80" t="s">
        <v>1</v>
      </c>
      <c r="K306" s="80"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1341</v>
      </c>
      <c r="W306" s="88" t="str">
        <f t="shared" si="304"/>
        <v>Key-INF-306</v>
      </c>
      <c r="X306" s="35" t="s">
        <v>1386</v>
      </c>
      <c r="Y306" s="35" t="s">
        <v>1430</v>
      </c>
      <c r="Z306" s="86" t="s">
        <v>1</v>
      </c>
      <c r="AA306" s="33" t="str">
        <f t="shared" si="305"/>
        <v>Level that represents the elevation of the waterline at low tide.</v>
      </c>
    </row>
    <row r="307" spans="1:27" ht="6.6" customHeight="1" x14ac:dyDescent="0.25">
      <c r="A307" s="31">
        <v>307</v>
      </c>
      <c r="B307" s="38" t="s">
        <v>76</v>
      </c>
      <c r="C307" s="39" t="s">
        <v>886</v>
      </c>
      <c r="D307" s="38" t="s">
        <v>893</v>
      </c>
      <c r="E307" s="38" t="s">
        <v>1081</v>
      </c>
      <c r="F307" s="55" t="s">
        <v>514</v>
      </c>
      <c r="G307" s="80" t="s">
        <v>1</v>
      </c>
      <c r="H307" s="80" t="s">
        <v>1</v>
      </c>
      <c r="I307" s="80" t="s">
        <v>1</v>
      </c>
      <c r="J307" s="80" t="s">
        <v>1</v>
      </c>
      <c r="K307" s="80"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1341</v>
      </c>
      <c r="W307" s="88" t="str">
        <f t="shared" si="304"/>
        <v>Key-INF-307</v>
      </c>
      <c r="X307" s="35" t="s">
        <v>1386</v>
      </c>
      <c r="Y307" s="35" t="s">
        <v>1430</v>
      </c>
      <c r="Z307" s="86" t="s">
        <v>1</v>
      </c>
      <c r="AA307" s="33" t="str">
        <f t="shared" si="305"/>
        <v>Level that represents the part above the average waterline defined within the site area.</v>
      </c>
    </row>
    <row r="308" spans="1:27" ht="6.6" customHeight="1" x14ac:dyDescent="0.25">
      <c r="A308" s="31">
        <v>308</v>
      </c>
      <c r="B308" s="38" t="s">
        <v>76</v>
      </c>
      <c r="C308" s="39" t="s">
        <v>886</v>
      </c>
      <c r="D308" s="38" t="s">
        <v>893</v>
      </c>
      <c r="E308" s="38" t="s">
        <v>1081</v>
      </c>
      <c r="F308" s="55" t="s">
        <v>517</v>
      </c>
      <c r="G308" s="80" t="s">
        <v>1</v>
      </c>
      <c r="H308" s="80" t="s">
        <v>1</v>
      </c>
      <c r="I308" s="80" t="s">
        <v>1</v>
      </c>
      <c r="J308" s="80" t="s">
        <v>1</v>
      </c>
      <c r="K308" s="80"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1341</v>
      </c>
      <c r="W308" s="88" t="str">
        <f t="shared" si="304"/>
        <v>Key-INF-308</v>
      </c>
      <c r="X308" s="35" t="s">
        <v>1386</v>
      </c>
      <c r="Y308" s="35" t="s">
        <v>1430</v>
      </c>
      <c r="Z308" s="86" t="s">
        <v>1</v>
      </c>
      <c r="AA308" s="33" t="str">
        <f t="shared" si="305"/>
        <v>Level that represents the part below the average waterline defined within the site area.</v>
      </c>
    </row>
    <row r="309" spans="1:27" ht="6.6" customHeight="1" x14ac:dyDescent="0.25">
      <c r="A309" s="31">
        <v>309</v>
      </c>
      <c r="B309" s="38" t="s">
        <v>76</v>
      </c>
      <c r="C309" s="39" t="s">
        <v>886</v>
      </c>
      <c r="D309" s="38" t="s">
        <v>893</v>
      </c>
      <c r="E309" s="38" t="s">
        <v>1081</v>
      </c>
      <c r="F309" s="55" t="s">
        <v>520</v>
      </c>
      <c r="G309" s="80" t="s">
        <v>1</v>
      </c>
      <c r="H309" s="80" t="s">
        <v>1</v>
      </c>
      <c r="I309" s="80" t="s">
        <v>1</v>
      </c>
      <c r="J309" s="80" t="s">
        <v>1</v>
      </c>
      <c r="K309" s="80"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1341</v>
      </c>
      <c r="W309" s="88" t="str">
        <f t="shared" si="304"/>
        <v>Key-INF-309</v>
      </c>
      <c r="X309" s="35" t="s">
        <v>1386</v>
      </c>
      <c r="Y309" s="35" t="s">
        <v>1430</v>
      </c>
      <c r="Z309" s="86" t="s">
        <v>1</v>
      </c>
      <c r="AA309" s="33" t="str">
        <f t="shared" si="305"/>
        <v>Level that represents the minimum operating depth.</v>
      </c>
    </row>
    <row r="310" spans="1:27" ht="6.6" customHeight="1" x14ac:dyDescent="0.25">
      <c r="A310" s="31">
        <v>310</v>
      </c>
      <c r="B310" s="38" t="s">
        <v>76</v>
      </c>
      <c r="C310" s="39" t="s">
        <v>886</v>
      </c>
      <c r="D310" s="38" t="s">
        <v>893</v>
      </c>
      <c r="E310" s="38" t="s">
        <v>1081</v>
      </c>
      <c r="F310" s="55" t="s">
        <v>1080</v>
      </c>
      <c r="G310" s="80" t="s">
        <v>1</v>
      </c>
      <c r="H310" s="80" t="s">
        <v>1</v>
      </c>
      <c r="I310" s="80" t="s">
        <v>1</v>
      </c>
      <c r="J310" s="80" t="s">
        <v>1</v>
      </c>
      <c r="K310" s="80" t="s">
        <v>1</v>
      </c>
      <c r="L310" s="36" t="str">
        <f t="shared" si="332"/>
        <v>Infraestruturas</v>
      </c>
      <c r="M310" s="32" t="str">
        <f t="shared" si="325"/>
        <v>Hidroviárias</v>
      </c>
      <c r="N310" s="32" t="str">
        <f t="shared" si="326"/>
        <v>Níveis Portuários</v>
      </c>
      <c r="O310" s="33" t="str">
        <f t="shared" si="327"/>
        <v>Nível.de.Piso</v>
      </c>
      <c r="P310" s="33" t="s">
        <v>523</v>
      </c>
      <c r="Q310" s="36" t="s">
        <v>1085</v>
      </c>
      <c r="R310" s="34" t="s">
        <v>1</v>
      </c>
      <c r="S310" s="35" t="str">
        <f t="shared" si="333"/>
        <v>Infraestruturas</v>
      </c>
      <c r="T310" s="35" t="str">
        <f t="shared" si="334"/>
        <v>Hidroviárias</v>
      </c>
      <c r="U310" s="35" t="str">
        <f t="shared" si="334"/>
        <v>Níveis Portuários</v>
      </c>
      <c r="V310" s="34" t="s">
        <v>1341</v>
      </c>
      <c r="W310" s="88" t="str">
        <f t="shared" si="304"/>
        <v>Key-INF-310</v>
      </c>
      <c r="X310" s="35" t="s">
        <v>1386</v>
      </c>
      <c r="Y310" s="35" t="s">
        <v>1430</v>
      </c>
      <c r="Z310" s="86" t="s">
        <v>1</v>
      </c>
      <c r="AA310" s="33" t="str">
        <f t="shared" si="305"/>
        <v>Level that represents the working floor of the pier, where the crane rails and the people working are located.</v>
      </c>
    </row>
    <row r="311" spans="1:27" ht="6.6" customHeight="1" x14ac:dyDescent="0.25">
      <c r="A311" s="31">
        <v>311</v>
      </c>
      <c r="B311" s="38" t="s">
        <v>76</v>
      </c>
      <c r="C311" s="39" t="s">
        <v>886</v>
      </c>
      <c r="D311" s="38" t="s">
        <v>893</v>
      </c>
      <c r="E311" s="38" t="s">
        <v>1081</v>
      </c>
      <c r="F311" s="55" t="s">
        <v>524</v>
      </c>
      <c r="G311" s="80" t="s">
        <v>1</v>
      </c>
      <c r="H311" s="80" t="s">
        <v>1</v>
      </c>
      <c r="I311" s="80" t="s">
        <v>1</v>
      </c>
      <c r="J311" s="80" t="s">
        <v>1</v>
      </c>
      <c r="K311" s="80"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1341</v>
      </c>
      <c r="W311" s="88" t="str">
        <f t="shared" si="304"/>
        <v>Key-INF-311</v>
      </c>
      <c r="X311" s="35" t="s">
        <v>1386</v>
      </c>
      <c r="Y311" s="35" t="s">
        <v>1406</v>
      </c>
      <c r="Z311" s="86" t="s">
        <v>1</v>
      </c>
      <c r="AA311" s="33" t="str">
        <f t="shared" si="305"/>
        <v>Reference level provided by hydrographic survey of the port.</v>
      </c>
    </row>
    <row r="312" spans="1:27" ht="6.6" customHeight="1" x14ac:dyDescent="0.25">
      <c r="A312" s="31">
        <v>312</v>
      </c>
      <c r="B312" s="38" t="s">
        <v>76</v>
      </c>
      <c r="C312" s="39" t="s">
        <v>886</v>
      </c>
      <c r="D312" s="38" t="s">
        <v>893</v>
      </c>
      <c r="E312" s="38" t="s">
        <v>898</v>
      </c>
      <c r="F312" s="58" t="s">
        <v>1082</v>
      </c>
      <c r="G312" s="80" t="s">
        <v>1</v>
      </c>
      <c r="H312" s="80" t="s">
        <v>1</v>
      </c>
      <c r="I312" s="80" t="s">
        <v>1</v>
      </c>
      <c r="J312" s="80" t="s">
        <v>1</v>
      </c>
      <c r="K312" s="80"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1083</v>
      </c>
      <c r="Q312" s="36" t="s">
        <v>555</v>
      </c>
      <c r="R312" s="34" t="s">
        <v>1</v>
      </c>
      <c r="S312" s="35" t="str">
        <f t="shared" si="333"/>
        <v>Infraestruturas</v>
      </c>
      <c r="T312" s="35" t="str">
        <f t="shared" si="334"/>
        <v>Hidroviárias</v>
      </c>
      <c r="U312" s="35" t="str">
        <f t="shared" ref="U312:U313" si="338">SUBSTITUTE(E312, ".", " ")</f>
        <v>Portos</v>
      </c>
      <c r="V312" s="34" t="s">
        <v>1341</v>
      </c>
      <c r="W312" s="88" t="str">
        <f t="shared" si="304"/>
        <v>Key-INF-312</v>
      </c>
      <c r="X312" s="35" t="s">
        <v>1360</v>
      </c>
      <c r="Y312" s="50" t="s">
        <v>1406</v>
      </c>
      <c r="Z312" s="86"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886</v>
      </c>
      <c r="D313" s="38" t="s">
        <v>893</v>
      </c>
      <c r="E313" s="38" t="s">
        <v>898</v>
      </c>
      <c r="F313" s="58" t="s">
        <v>554</v>
      </c>
      <c r="G313" s="80" t="s">
        <v>1</v>
      </c>
      <c r="H313" s="80" t="s">
        <v>1</v>
      </c>
      <c r="I313" s="80" t="s">
        <v>1</v>
      </c>
      <c r="J313" s="80" t="s">
        <v>1</v>
      </c>
      <c r="K313" s="80" t="s">
        <v>1</v>
      </c>
      <c r="L313" s="36" t="str">
        <f t="shared" si="332"/>
        <v>Infraestruturas</v>
      </c>
      <c r="M313" s="32" t="str">
        <f t="shared" si="335"/>
        <v>Hidroviárias</v>
      </c>
      <c r="N313" s="32" t="str">
        <f t="shared" si="336"/>
        <v>Portos</v>
      </c>
      <c r="O313" s="33" t="str">
        <f t="shared" si="337"/>
        <v>Porto.Marítimo</v>
      </c>
      <c r="P313" s="33" t="s">
        <v>1084</v>
      </c>
      <c r="Q313" s="36" t="s">
        <v>555</v>
      </c>
      <c r="R313" s="34" t="s">
        <v>1</v>
      </c>
      <c r="S313" s="35" t="str">
        <f t="shared" si="333"/>
        <v>Infraestruturas</v>
      </c>
      <c r="T313" s="35" t="str">
        <f t="shared" si="334"/>
        <v>Hidroviárias</v>
      </c>
      <c r="U313" s="35" t="str">
        <f t="shared" si="338"/>
        <v>Portos</v>
      </c>
      <c r="V313" s="34" t="s">
        <v>1341</v>
      </c>
      <c r="W313" s="88" t="str">
        <f t="shared" si="304"/>
        <v>Key-INF-313</v>
      </c>
      <c r="X313" s="35" t="s">
        <v>1360</v>
      </c>
      <c r="Y313" s="50" t="s">
        <v>1406</v>
      </c>
      <c r="Z313" s="86" t="s">
        <v>1</v>
      </c>
      <c r="AA313" s="33" t="str">
        <f t="shared" si="305"/>
        <v>Complex/facility for maritime activities, which includes cargo, people and storage.</v>
      </c>
    </row>
    <row r="314" spans="1:27" ht="6.6" customHeight="1" x14ac:dyDescent="0.25">
      <c r="A314" s="31">
        <v>314</v>
      </c>
      <c r="B314" s="38" t="s">
        <v>76</v>
      </c>
      <c r="C314" s="39" t="s">
        <v>886</v>
      </c>
      <c r="D314" s="38" t="s">
        <v>893</v>
      </c>
      <c r="E314" s="38" t="s">
        <v>898</v>
      </c>
      <c r="F314" s="58" t="s">
        <v>1189</v>
      </c>
      <c r="G314" s="80" t="s">
        <v>1</v>
      </c>
      <c r="H314" s="80" t="s">
        <v>1</v>
      </c>
      <c r="I314" s="80" t="s">
        <v>1</v>
      </c>
      <c r="J314" s="80" t="s">
        <v>1</v>
      </c>
      <c r="K314" s="80" t="s">
        <v>1</v>
      </c>
      <c r="L314" s="36" t="str">
        <f t="shared" ref="L314:L315" si="339">_xlfn.CONCAT(C314)</f>
        <v>Infraestruturas</v>
      </c>
      <c r="M314" s="32" t="str">
        <f t="shared" si="325"/>
        <v>Hidroviárias</v>
      </c>
      <c r="N314" s="32" t="str">
        <f t="shared" si="326"/>
        <v>Portos</v>
      </c>
      <c r="O314" s="33" t="str">
        <f t="shared" si="327"/>
        <v>Base.Naval</v>
      </c>
      <c r="P314" s="33" t="s">
        <v>1084</v>
      </c>
      <c r="Q314" s="36" t="s">
        <v>1190</v>
      </c>
      <c r="R314" s="34" t="s">
        <v>1</v>
      </c>
      <c r="S314" s="35" t="str">
        <f t="shared" ref="S314:S315" si="340">SUBSTITUTE(C314, ".", " ")</f>
        <v>Infraestruturas</v>
      </c>
      <c r="T314" s="35" t="str">
        <f t="shared" ref="T314:T315" si="341">SUBSTITUTE(D314, ".", " ")</f>
        <v>Hidroviárias</v>
      </c>
      <c r="U314" s="35" t="str">
        <f t="shared" si="334"/>
        <v>Portos</v>
      </c>
      <c r="V314" s="34" t="s">
        <v>1341</v>
      </c>
      <c r="W314" s="88" t="str">
        <f t="shared" si="304"/>
        <v>Key-INF-314</v>
      </c>
      <c r="X314" s="35" t="s">
        <v>1360</v>
      </c>
      <c r="Y314" s="50" t="s">
        <v>1406</v>
      </c>
      <c r="Z314" s="86" t="s">
        <v>1</v>
      </c>
      <c r="AA314" s="33" t="str">
        <f t="shared" si="305"/>
        <v>Complex/facility for maritime activities, which includes cargo, people and storage.</v>
      </c>
    </row>
    <row r="315" spans="1:27" ht="6.6" customHeight="1" x14ac:dyDescent="0.25">
      <c r="A315" s="31">
        <v>315</v>
      </c>
      <c r="B315" s="38" t="s">
        <v>76</v>
      </c>
      <c r="C315" s="39" t="s">
        <v>886</v>
      </c>
      <c r="D315" s="38" t="s">
        <v>893</v>
      </c>
      <c r="E315" s="38" t="s">
        <v>898</v>
      </c>
      <c r="F315" s="58" t="s">
        <v>556</v>
      </c>
      <c r="G315" s="80" t="s">
        <v>1</v>
      </c>
      <c r="H315" s="80" t="s">
        <v>1</v>
      </c>
      <c r="I315" s="80" t="s">
        <v>1</v>
      </c>
      <c r="J315" s="80" t="s">
        <v>1</v>
      </c>
      <c r="K315" s="80"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1341</v>
      </c>
      <c r="W315" s="88" t="str">
        <f t="shared" si="304"/>
        <v>Key-INF-315</v>
      </c>
      <c r="X315" s="35" t="s">
        <v>1360</v>
      </c>
      <c r="Y315" s="50" t="s">
        <v>1429</v>
      </c>
      <c r="Z315" s="86" t="s">
        <v>1</v>
      </c>
      <c r="AA315" s="33" t="str">
        <f t="shared" si="305"/>
        <v>Complex/facility for river activities, which includes cargo, people and storage.</v>
      </c>
    </row>
    <row r="316" spans="1:27" ht="6.6" customHeight="1" x14ac:dyDescent="0.25">
      <c r="A316" s="31">
        <v>316</v>
      </c>
      <c r="B316" s="38" t="s">
        <v>76</v>
      </c>
      <c r="C316" s="39" t="s">
        <v>886</v>
      </c>
      <c r="D316" s="38" t="s">
        <v>893</v>
      </c>
      <c r="E316" s="38" t="s">
        <v>899</v>
      </c>
      <c r="F316" s="58" t="s">
        <v>527</v>
      </c>
      <c r="G316" s="80" t="s">
        <v>1</v>
      </c>
      <c r="H316" s="80" t="s">
        <v>1</v>
      </c>
      <c r="I316" s="80" t="s">
        <v>1</v>
      </c>
      <c r="J316" s="80" t="s">
        <v>1</v>
      </c>
      <c r="K316" s="80"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1341</v>
      </c>
      <c r="W316" s="88" t="str">
        <f t="shared" si="304"/>
        <v>Key-INF-316</v>
      </c>
      <c r="X316" s="35" t="s">
        <v>1361</v>
      </c>
      <c r="Y316" s="35" t="s">
        <v>1429</v>
      </c>
      <c r="Z316" s="86" t="s">
        <v>1</v>
      </c>
      <c r="AA316" s="33" t="str">
        <f t="shared" si="305"/>
        <v>Line where there is a decrease in the energy of the sea waves.</v>
      </c>
    </row>
    <row r="317" spans="1:27" ht="6.6" customHeight="1" x14ac:dyDescent="0.25">
      <c r="A317" s="31">
        <v>317</v>
      </c>
      <c r="B317" s="38" t="s">
        <v>76</v>
      </c>
      <c r="C317" s="39" t="s">
        <v>886</v>
      </c>
      <c r="D317" s="38" t="s">
        <v>893</v>
      </c>
      <c r="E317" s="38" t="s">
        <v>899</v>
      </c>
      <c r="F317" s="58" t="s">
        <v>530</v>
      </c>
      <c r="G317" s="80" t="s">
        <v>1</v>
      </c>
      <c r="H317" s="80" t="s">
        <v>1</v>
      </c>
      <c r="I317" s="80" t="s">
        <v>1</v>
      </c>
      <c r="J317" s="80" t="s">
        <v>1</v>
      </c>
      <c r="K317" s="80"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1341</v>
      </c>
      <c r="W317" s="88" t="str">
        <f t="shared" si="304"/>
        <v>Key-INF-317</v>
      </c>
      <c r="X317" s="35" t="s">
        <v>1361</v>
      </c>
      <c r="Y317" s="35" t="s">
        <v>1429</v>
      </c>
      <c r="Z317" s="86"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886</v>
      </c>
      <c r="D318" s="38" t="s">
        <v>893</v>
      </c>
      <c r="E318" s="38" t="s">
        <v>899</v>
      </c>
      <c r="F318" s="58" t="s">
        <v>533</v>
      </c>
      <c r="G318" s="80" t="s">
        <v>1</v>
      </c>
      <c r="H318" s="80" t="s">
        <v>1</v>
      </c>
      <c r="I318" s="80" t="s">
        <v>1</v>
      </c>
      <c r="J318" s="80" t="s">
        <v>1</v>
      </c>
      <c r="K318" s="80"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1341</v>
      </c>
      <c r="W318" s="88" t="str">
        <f t="shared" si="304"/>
        <v>Key-INF-318</v>
      </c>
      <c r="X318" s="35" t="s">
        <v>1361</v>
      </c>
      <c r="Y318" s="35" t="s">
        <v>1429</v>
      </c>
      <c r="Z318" s="86" t="s">
        <v>1</v>
      </c>
      <c r="AA318" s="33" t="str">
        <f t="shared" si="305"/>
        <v>Protection device that absorbs the impact between the ship and the quay.</v>
      </c>
    </row>
    <row r="319" spans="1:27" ht="6.6" customHeight="1" x14ac:dyDescent="0.25">
      <c r="A319" s="31">
        <v>319</v>
      </c>
      <c r="B319" s="38" t="s">
        <v>76</v>
      </c>
      <c r="C319" s="39" t="s">
        <v>886</v>
      </c>
      <c r="D319" s="38" t="s">
        <v>893</v>
      </c>
      <c r="E319" s="38" t="s">
        <v>899</v>
      </c>
      <c r="F319" s="58" t="s">
        <v>536</v>
      </c>
      <c r="G319" s="80" t="s">
        <v>1</v>
      </c>
      <c r="H319" s="80" t="s">
        <v>1</v>
      </c>
      <c r="I319" s="80" t="s">
        <v>1</v>
      </c>
      <c r="J319" s="80" t="s">
        <v>1</v>
      </c>
      <c r="K319" s="80"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1341</v>
      </c>
      <c r="W319" s="88" t="str">
        <f t="shared" si="304"/>
        <v>Key-INF-319</v>
      </c>
      <c r="X319" s="35" t="s">
        <v>1361</v>
      </c>
      <c r="Y319" s="35" t="s">
        <v>1429</v>
      </c>
      <c r="Z319" s="86" t="s">
        <v>1</v>
      </c>
      <c r="AA319" s="33" t="str">
        <f t="shared" si="305"/>
        <v>Marine defensive structure made of earthworks, masonry and rocks.</v>
      </c>
    </row>
    <row r="320" spans="1:27" ht="6.6" customHeight="1" x14ac:dyDescent="0.25">
      <c r="A320" s="31">
        <v>320</v>
      </c>
      <c r="B320" s="38" t="s">
        <v>76</v>
      </c>
      <c r="C320" s="39" t="s">
        <v>886</v>
      </c>
      <c r="D320" s="38" t="s">
        <v>893</v>
      </c>
      <c r="E320" s="38" t="s">
        <v>900</v>
      </c>
      <c r="F320" s="58" t="s">
        <v>539</v>
      </c>
      <c r="G320" s="80" t="s">
        <v>1</v>
      </c>
      <c r="H320" s="80" t="s">
        <v>1</v>
      </c>
      <c r="I320" s="80" t="s">
        <v>1</v>
      </c>
      <c r="J320" s="80" t="s">
        <v>1</v>
      </c>
      <c r="K320" s="80"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1341</v>
      </c>
      <c r="W320" s="88" t="str">
        <f t="shared" si="304"/>
        <v>Key-INF-320</v>
      </c>
      <c r="X320" s="35" t="s">
        <v>1361</v>
      </c>
      <c r="Y320" s="35" t="s">
        <v>1429</v>
      </c>
      <c r="Z320" s="86" t="s">
        <v>1</v>
      </c>
      <c r="AA320" s="33" t="str">
        <f t="shared" si="305"/>
        <v>The dry dock is a closed chamber (by gate) that allows the drainage of water into the building.</v>
      </c>
    </row>
    <row r="321" spans="1:27" ht="6.6" customHeight="1" x14ac:dyDescent="0.25">
      <c r="A321" s="31">
        <v>321</v>
      </c>
      <c r="B321" s="38" t="s">
        <v>76</v>
      </c>
      <c r="C321" s="39" t="s">
        <v>886</v>
      </c>
      <c r="D321" s="38" t="s">
        <v>893</v>
      </c>
      <c r="E321" s="38" t="s">
        <v>900</v>
      </c>
      <c r="F321" s="58" t="s">
        <v>542</v>
      </c>
      <c r="G321" s="80" t="s">
        <v>1</v>
      </c>
      <c r="H321" s="80" t="s">
        <v>1</v>
      </c>
      <c r="I321" s="80" t="s">
        <v>1</v>
      </c>
      <c r="J321" s="80" t="s">
        <v>1</v>
      </c>
      <c r="K321" s="80"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1341</v>
      </c>
      <c r="W321" s="88" t="str">
        <f t="shared" si="304"/>
        <v>Key-INF-321</v>
      </c>
      <c r="X321" s="35" t="s">
        <v>1361</v>
      </c>
      <c r="Y321" s="35" t="s">
        <v>1429</v>
      </c>
      <c r="Z321" s="86" t="s">
        <v>1</v>
      </c>
      <c r="AA321" s="33" t="str">
        <f t="shared" si="305"/>
        <v>Space element that encompasses a floating dry dock and lateral support quay auxiliaries.</v>
      </c>
    </row>
    <row r="322" spans="1:27" ht="6.6" customHeight="1" x14ac:dyDescent="0.25">
      <c r="A322" s="31">
        <v>322</v>
      </c>
      <c r="B322" s="38" t="s">
        <v>76</v>
      </c>
      <c r="C322" s="39" t="s">
        <v>886</v>
      </c>
      <c r="D322" s="38" t="s">
        <v>893</v>
      </c>
      <c r="E322" s="38" t="s">
        <v>901</v>
      </c>
      <c r="F322" s="58" t="s">
        <v>545</v>
      </c>
      <c r="G322" s="80" t="s">
        <v>1</v>
      </c>
      <c r="H322" s="80" t="s">
        <v>1</v>
      </c>
      <c r="I322" s="80" t="s">
        <v>1</v>
      </c>
      <c r="J322" s="80" t="s">
        <v>1</v>
      </c>
      <c r="K322" s="80"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1341</v>
      </c>
      <c r="W322" s="88" t="str">
        <f t="shared" si="304"/>
        <v>Key-INF-322</v>
      </c>
      <c r="X322" s="35" t="s">
        <v>1361</v>
      </c>
      <c r="Y322" s="35" t="s">
        <v>1429</v>
      </c>
      <c r="Z322" s="86" t="s">
        <v>1</v>
      </c>
      <c r="AA322" s="33" t="str">
        <f t="shared" si="305"/>
        <v>Marine facility represents any major structure or entity that is specific to ports and waters.</v>
      </c>
    </row>
    <row r="323" spans="1:27" ht="6.6" customHeight="1" x14ac:dyDescent="0.25">
      <c r="A323" s="31">
        <v>323</v>
      </c>
      <c r="B323" s="38" t="s">
        <v>76</v>
      </c>
      <c r="C323" s="39" t="s">
        <v>886</v>
      </c>
      <c r="D323" s="38" t="s">
        <v>893</v>
      </c>
      <c r="E323" s="38" t="s">
        <v>901</v>
      </c>
      <c r="F323" s="58" t="s">
        <v>548</v>
      </c>
      <c r="G323" s="80" t="s">
        <v>1</v>
      </c>
      <c r="H323" s="80" t="s">
        <v>1</v>
      </c>
      <c r="I323" s="80" t="s">
        <v>1</v>
      </c>
      <c r="J323" s="80" t="s">
        <v>1</v>
      </c>
      <c r="K323" s="80"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1341</v>
      </c>
      <c r="W323" s="88" t="str">
        <f t="shared" si="304"/>
        <v>Key-INF-323</v>
      </c>
      <c r="X323" s="35" t="s">
        <v>1361</v>
      </c>
      <c r="Y323" s="35" t="s">
        <v>1429</v>
      </c>
      <c r="Z323" s="86" t="s">
        <v>1</v>
      </c>
      <c r="AA323" s="33" t="str">
        <f t="shared" si="305"/>
        <v>A mountain range of sand that rises slightly above the surface of the sea and runs roughly parallel to the coast.</v>
      </c>
    </row>
    <row r="324" spans="1:27" ht="6.6" customHeight="1" x14ac:dyDescent="0.25">
      <c r="A324" s="31">
        <v>324</v>
      </c>
      <c r="B324" s="38" t="s">
        <v>76</v>
      </c>
      <c r="C324" s="39" t="s">
        <v>886</v>
      </c>
      <c r="D324" s="38" t="s">
        <v>893</v>
      </c>
      <c r="E324" s="38" t="s">
        <v>901</v>
      </c>
      <c r="F324" s="58" t="s">
        <v>551</v>
      </c>
      <c r="G324" s="80" t="s">
        <v>1</v>
      </c>
      <c r="H324" s="80" t="s">
        <v>1</v>
      </c>
      <c r="I324" s="80" t="s">
        <v>1</v>
      </c>
      <c r="J324" s="80" t="s">
        <v>1</v>
      </c>
      <c r="K324" s="80"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1341</v>
      </c>
      <c r="W324" s="88" t="str">
        <f t="shared" si="304"/>
        <v>Key-INF-324</v>
      </c>
      <c r="X324" s="35" t="s">
        <v>1361</v>
      </c>
      <c r="Y324" s="35" t="s">
        <v>1429</v>
      </c>
      <c r="Z324" s="86" t="s">
        <v>1</v>
      </c>
      <c r="AA324" s="33" t="str">
        <f t="shared" si="305"/>
        <v>A type of vessel launch recovery facility, also known as a hydraulic lifting dock, where ships are lifted.</v>
      </c>
    </row>
    <row r="325" spans="1:27" ht="6.6" customHeight="1" x14ac:dyDescent="0.25">
      <c r="A325" s="31">
        <v>325</v>
      </c>
      <c r="B325" s="38" t="s">
        <v>76</v>
      </c>
      <c r="C325" s="39" t="s">
        <v>886</v>
      </c>
      <c r="D325" s="38" t="s">
        <v>893</v>
      </c>
      <c r="E325" s="38" t="s">
        <v>901</v>
      </c>
      <c r="F325" s="58" t="s">
        <v>559</v>
      </c>
      <c r="G325" s="80" t="s">
        <v>1</v>
      </c>
      <c r="H325" s="80" t="s">
        <v>1</v>
      </c>
      <c r="I325" s="80" t="s">
        <v>1</v>
      </c>
      <c r="J325" s="80" t="s">
        <v>1</v>
      </c>
      <c r="K325" s="80"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1341</v>
      </c>
      <c r="W325" s="88" t="str">
        <f t="shared" si="304"/>
        <v>Key-INF-325</v>
      </c>
      <c r="X325" s="35" t="s">
        <v>1361</v>
      </c>
      <c r="Y325" s="35" t="s">
        <v>1429</v>
      </c>
      <c r="Z325" s="86" t="s">
        <v>1</v>
      </c>
      <c r="AA325" s="33" t="str">
        <f t="shared" si="305"/>
        <v>Place for mooring vessels without contact with the shore of the coast.</v>
      </c>
    </row>
    <row r="326" spans="1:27" ht="6.6" customHeight="1" x14ac:dyDescent="0.25">
      <c r="A326" s="31">
        <v>326</v>
      </c>
      <c r="B326" s="38" t="s">
        <v>76</v>
      </c>
      <c r="C326" s="39" t="s">
        <v>886</v>
      </c>
      <c r="D326" s="38" t="s">
        <v>893</v>
      </c>
      <c r="E326" s="38" t="s">
        <v>901</v>
      </c>
      <c r="F326" s="58" t="s">
        <v>562</v>
      </c>
      <c r="G326" s="80" t="s">
        <v>1</v>
      </c>
      <c r="H326" s="80" t="s">
        <v>1</v>
      </c>
      <c r="I326" s="80" t="s">
        <v>1</v>
      </c>
      <c r="J326" s="80" t="s">
        <v>1</v>
      </c>
      <c r="K326" s="80"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1341</v>
      </c>
      <c r="W326" s="88" t="str">
        <f t="shared" si="304"/>
        <v>Key-INF-326</v>
      </c>
      <c r="X326" s="35" t="s">
        <v>1361</v>
      </c>
      <c r="Y326" s="35" t="s">
        <v>1429</v>
      </c>
      <c r="Z326" s="86"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886</v>
      </c>
      <c r="D327" s="38" t="s">
        <v>893</v>
      </c>
      <c r="E327" s="38" t="s">
        <v>901</v>
      </c>
      <c r="F327" s="58" t="s">
        <v>565</v>
      </c>
      <c r="G327" s="80" t="s">
        <v>1</v>
      </c>
      <c r="H327" s="80" t="s">
        <v>1</v>
      </c>
      <c r="I327" s="80" t="s">
        <v>1</v>
      </c>
      <c r="J327" s="80" t="s">
        <v>1</v>
      </c>
      <c r="K327" s="80"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1341</v>
      </c>
      <c r="W327" s="88" t="str">
        <f t="shared" si="304"/>
        <v>Key-INF-327</v>
      </c>
      <c r="X327" s="35" t="s">
        <v>1361</v>
      </c>
      <c r="Y327" s="35" t="s">
        <v>1429</v>
      </c>
      <c r="Z327" s="86"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886</v>
      </c>
      <c r="D328" s="38" t="s">
        <v>893</v>
      </c>
      <c r="E328" s="38" t="s">
        <v>901</v>
      </c>
      <c r="F328" s="55" t="s">
        <v>568</v>
      </c>
      <c r="G328" s="80" t="s">
        <v>1</v>
      </c>
      <c r="H328" s="80" t="s">
        <v>1</v>
      </c>
      <c r="I328" s="80" t="s">
        <v>1</v>
      </c>
      <c r="J328" s="80" t="s">
        <v>1</v>
      </c>
      <c r="K328" s="80"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1341</v>
      </c>
      <c r="W328" s="88" t="str">
        <f t="shared" ref="W328:W391" si="346">CONCATENATE("Key-INF-",A328)</f>
        <v>Key-INF-328</v>
      </c>
      <c r="X328" s="35" t="s">
        <v>1361</v>
      </c>
      <c r="Y328" s="35" t="s">
        <v>1429</v>
      </c>
      <c r="Z328" s="86"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886</v>
      </c>
      <c r="D329" s="38" t="s">
        <v>893</v>
      </c>
      <c r="E329" s="38" t="s">
        <v>901</v>
      </c>
      <c r="F329" s="58" t="s">
        <v>571</v>
      </c>
      <c r="G329" s="80" t="s">
        <v>1</v>
      </c>
      <c r="H329" s="80" t="s">
        <v>1</v>
      </c>
      <c r="I329" s="80" t="s">
        <v>1</v>
      </c>
      <c r="J329" s="80" t="s">
        <v>1</v>
      </c>
      <c r="K329" s="80"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1341</v>
      </c>
      <c r="W329" s="88" t="str">
        <f t="shared" si="346"/>
        <v>Key-INF-329</v>
      </c>
      <c r="X329" s="35" t="s">
        <v>1361</v>
      </c>
      <c r="Y329" s="35" t="s">
        <v>1429</v>
      </c>
      <c r="Z329" s="86"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886</v>
      </c>
      <c r="D330" s="38" t="s">
        <v>893</v>
      </c>
      <c r="E330" s="38" t="s">
        <v>901</v>
      </c>
      <c r="F330" s="58" t="s">
        <v>574</v>
      </c>
      <c r="G330" s="80" t="s">
        <v>1</v>
      </c>
      <c r="H330" s="80" t="s">
        <v>1</v>
      </c>
      <c r="I330" s="80" t="s">
        <v>1</v>
      </c>
      <c r="J330" s="80" t="s">
        <v>1</v>
      </c>
      <c r="K330" s="80"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1341</v>
      </c>
      <c r="W330" s="88" t="str">
        <f t="shared" si="346"/>
        <v>Key-INF-330</v>
      </c>
      <c r="X330" s="35" t="s">
        <v>1361</v>
      </c>
      <c r="Y330" s="35" t="s">
        <v>1429</v>
      </c>
      <c r="Z330" s="86" t="s">
        <v>1</v>
      </c>
      <c r="AA330" s="33" t="str">
        <f t="shared" si="347"/>
        <v>Facility used to raise and lower boats, ships, and other vessels between stretches of water.</v>
      </c>
    </row>
    <row r="331" spans="1:27" ht="6.6" customHeight="1" x14ac:dyDescent="0.25">
      <c r="A331" s="31">
        <v>331</v>
      </c>
      <c r="B331" s="38" t="s">
        <v>76</v>
      </c>
      <c r="C331" s="39" t="s">
        <v>886</v>
      </c>
      <c r="D331" s="38" t="s">
        <v>893</v>
      </c>
      <c r="E331" s="38" t="s">
        <v>901</v>
      </c>
      <c r="F331" s="58" t="s">
        <v>575</v>
      </c>
      <c r="G331" s="80" t="s">
        <v>1</v>
      </c>
      <c r="H331" s="80" t="s">
        <v>1</v>
      </c>
      <c r="I331" s="80" t="s">
        <v>1</v>
      </c>
      <c r="J331" s="80" t="s">
        <v>1</v>
      </c>
      <c r="K331" s="80"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1341</v>
      </c>
      <c r="W331" s="88" t="str">
        <f t="shared" si="346"/>
        <v>Key-INF-331</v>
      </c>
      <c r="X331" s="35" t="s">
        <v>1361</v>
      </c>
      <c r="Y331" s="35" t="s">
        <v>1429</v>
      </c>
      <c r="Z331" s="86" t="s">
        <v>1</v>
      </c>
      <c r="AA331" s="33" t="str">
        <f t="shared" si="347"/>
        <v>Coastal/waterfront facility where ships are built and repaired.</v>
      </c>
    </row>
    <row r="332" spans="1:27" ht="6.6" customHeight="1" x14ac:dyDescent="0.25">
      <c r="A332" s="31">
        <v>332</v>
      </c>
      <c r="B332" s="38" t="s">
        <v>76</v>
      </c>
      <c r="C332" s="39" t="s">
        <v>886</v>
      </c>
      <c r="D332" s="38" t="s">
        <v>893</v>
      </c>
      <c r="E332" s="38" t="s">
        <v>901</v>
      </c>
      <c r="F332" s="58" t="s">
        <v>578</v>
      </c>
      <c r="G332" s="80" t="s">
        <v>1</v>
      </c>
      <c r="H332" s="80" t="s">
        <v>1</v>
      </c>
      <c r="I332" s="80" t="s">
        <v>1</v>
      </c>
      <c r="J332" s="80" t="s">
        <v>1</v>
      </c>
      <c r="K332" s="80"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1341</v>
      </c>
      <c r="W332" s="88" t="str">
        <f t="shared" si="346"/>
        <v>Key-INF-332</v>
      </c>
      <c r="X332" s="35" t="s">
        <v>1361</v>
      </c>
      <c r="Y332" s="35" t="s">
        <v>1429</v>
      </c>
      <c r="Z332" s="86" t="s">
        <v>1</v>
      </c>
      <c r="AA332" s="33" t="str">
        <f t="shared" si="347"/>
        <v>Installation for the dynamic launch or recovery of a vessel using an inclined ramp and gravitation.</v>
      </c>
    </row>
    <row r="333" spans="1:27" ht="6.6" customHeight="1" x14ac:dyDescent="0.25">
      <c r="A333" s="31">
        <v>333</v>
      </c>
      <c r="B333" s="38" t="s">
        <v>76</v>
      </c>
      <c r="C333" s="39" t="s">
        <v>886</v>
      </c>
      <c r="D333" s="38" t="s">
        <v>893</v>
      </c>
      <c r="E333" s="38" t="s">
        <v>901</v>
      </c>
      <c r="F333" s="58" t="s">
        <v>581</v>
      </c>
      <c r="G333" s="80" t="s">
        <v>1</v>
      </c>
      <c r="H333" s="80" t="s">
        <v>1</v>
      </c>
      <c r="I333" s="80" t="s">
        <v>1</v>
      </c>
      <c r="J333" s="80" t="s">
        <v>1</v>
      </c>
      <c r="K333" s="80"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1341</v>
      </c>
      <c r="W333" s="88" t="str">
        <f t="shared" si="346"/>
        <v>Key-INF-333</v>
      </c>
      <c r="X333" s="35" t="s">
        <v>1361</v>
      </c>
      <c r="Y333" s="35" t="s">
        <v>1429</v>
      </c>
      <c r="Z333" s="86" t="s">
        <v>1</v>
      </c>
      <c r="AA333" s="33" t="str">
        <f t="shared" si="347"/>
        <v>Subset of facilities for the ship launching or recovery function.</v>
      </c>
    </row>
    <row r="334" spans="1:27" ht="6.6" customHeight="1" x14ac:dyDescent="0.25">
      <c r="A334" s="31">
        <v>334</v>
      </c>
      <c r="B334" s="38" t="s">
        <v>76</v>
      </c>
      <c r="C334" s="39" t="s">
        <v>886</v>
      </c>
      <c r="D334" s="38" t="s">
        <v>893</v>
      </c>
      <c r="E334" s="38" t="s">
        <v>901</v>
      </c>
      <c r="F334" s="55" t="s">
        <v>584</v>
      </c>
      <c r="G334" s="80" t="s">
        <v>1</v>
      </c>
      <c r="H334" s="80" t="s">
        <v>1</v>
      </c>
      <c r="I334" s="80" t="s">
        <v>1</v>
      </c>
      <c r="J334" s="80" t="s">
        <v>1</v>
      </c>
      <c r="K334" s="80"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1341</v>
      </c>
      <c r="W334" s="88" t="str">
        <f t="shared" si="346"/>
        <v>Key-INF-334</v>
      </c>
      <c r="X334" s="35" t="s">
        <v>1361</v>
      </c>
      <c r="Y334" s="35" t="s">
        <v>1429</v>
      </c>
      <c r="Z334" s="86" t="s">
        <v>1</v>
      </c>
      <c r="AA334" s="33" t="str">
        <f t="shared" si="347"/>
        <v>The longitudinal spatial part of a waterway or port facility that forms the dammed chamber.</v>
      </c>
    </row>
    <row r="335" spans="1:27" ht="6.6" customHeight="1" x14ac:dyDescent="0.25">
      <c r="A335" s="31">
        <v>335</v>
      </c>
      <c r="B335" s="38" t="s">
        <v>76</v>
      </c>
      <c r="C335" s="39" t="s">
        <v>886</v>
      </c>
      <c r="D335" s="38" t="s">
        <v>893</v>
      </c>
      <c r="E335" s="38" t="s">
        <v>901</v>
      </c>
      <c r="F335" s="55" t="s">
        <v>587</v>
      </c>
      <c r="G335" s="80" t="s">
        <v>1</v>
      </c>
      <c r="H335" s="80" t="s">
        <v>1</v>
      </c>
      <c r="I335" s="80" t="s">
        <v>1</v>
      </c>
      <c r="J335" s="80" t="s">
        <v>1</v>
      </c>
      <c r="K335" s="80"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1341</v>
      </c>
      <c r="W335" s="88" t="str">
        <f t="shared" si="346"/>
        <v>Key-INF-335</v>
      </c>
      <c r="X335" s="35" t="s">
        <v>1361</v>
      </c>
      <c r="Y335" s="35" t="s">
        <v>1429</v>
      </c>
      <c r="Z335" s="86" t="s">
        <v>1</v>
      </c>
      <c r="AA335" s="33" t="str">
        <f t="shared" si="347"/>
        <v>A lateral spatial part that subdivides the central structure of a facility, such as a breakwater.</v>
      </c>
    </row>
    <row r="336" spans="1:27" ht="6.6" customHeight="1" x14ac:dyDescent="0.25">
      <c r="A336" s="31">
        <v>336</v>
      </c>
      <c r="B336" s="38" t="s">
        <v>76</v>
      </c>
      <c r="C336" s="39" t="s">
        <v>886</v>
      </c>
      <c r="D336" s="38" t="s">
        <v>893</v>
      </c>
      <c r="E336" s="38" t="s">
        <v>901</v>
      </c>
      <c r="F336" s="55" t="s">
        <v>590</v>
      </c>
      <c r="G336" s="80" t="s">
        <v>1</v>
      </c>
      <c r="H336" s="80" t="s">
        <v>1</v>
      </c>
      <c r="I336" s="80" t="s">
        <v>1</v>
      </c>
      <c r="J336" s="80" t="s">
        <v>1</v>
      </c>
      <c r="K336" s="80"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1341</v>
      </c>
      <c r="W336" s="88" t="str">
        <f t="shared" si="346"/>
        <v>Key-INF-336</v>
      </c>
      <c r="X336" s="35" t="s">
        <v>1361</v>
      </c>
      <c r="Y336" s="35" t="s">
        <v>1429</v>
      </c>
      <c r="Z336" s="86" t="s">
        <v>1</v>
      </c>
      <c r="AA336" s="33" t="str">
        <f t="shared" si="347"/>
        <v>Lateral spatial part that forms the area of the ridge of the breakwater or embankment where additional structures.</v>
      </c>
    </row>
    <row r="337" spans="1:27" ht="6.6" customHeight="1" x14ac:dyDescent="0.25">
      <c r="A337" s="31">
        <v>337</v>
      </c>
      <c r="B337" s="38" t="s">
        <v>76</v>
      </c>
      <c r="C337" s="39" t="s">
        <v>886</v>
      </c>
      <c r="D337" s="38" t="s">
        <v>893</v>
      </c>
      <c r="E337" s="38" t="s">
        <v>901</v>
      </c>
      <c r="F337" s="55" t="s">
        <v>593</v>
      </c>
      <c r="G337" s="80" t="s">
        <v>1</v>
      </c>
      <c r="H337" s="80" t="s">
        <v>1</v>
      </c>
      <c r="I337" s="80" t="s">
        <v>1</v>
      </c>
      <c r="J337" s="80" t="s">
        <v>1</v>
      </c>
      <c r="K337" s="80"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1341</v>
      </c>
      <c r="W337" s="88" t="str">
        <f t="shared" si="346"/>
        <v>Key-INF-337</v>
      </c>
      <c r="X337" s="35" t="s">
        <v>1361</v>
      </c>
      <c r="Y337" s="35" t="s">
        <v>1429</v>
      </c>
      <c r="Z337" s="86" t="s">
        <v>1</v>
      </c>
      <c r="AA337" s="33" t="str">
        <f t="shared" si="347"/>
        <v>The longitudinal spatial part of a waterway or port facility that forms the gate, the supporting structure.</v>
      </c>
    </row>
    <row r="338" spans="1:27" ht="6.6" customHeight="1" x14ac:dyDescent="0.25">
      <c r="A338" s="31">
        <v>338</v>
      </c>
      <c r="B338" s="38" t="s">
        <v>76</v>
      </c>
      <c r="C338" s="39" t="s">
        <v>886</v>
      </c>
      <c r="D338" s="38" t="s">
        <v>893</v>
      </c>
      <c r="E338" s="38" t="s">
        <v>901</v>
      </c>
      <c r="F338" s="18" t="s">
        <v>1095</v>
      </c>
      <c r="G338" s="84" t="s">
        <v>1</v>
      </c>
      <c r="H338" s="84" t="s">
        <v>1</v>
      </c>
      <c r="I338" s="84" t="s">
        <v>1</v>
      </c>
      <c r="J338" s="83" t="s">
        <v>1</v>
      </c>
      <c r="K338" s="83"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1341</v>
      </c>
      <c r="W338" s="88" t="str">
        <f t="shared" si="346"/>
        <v>Key-INF-338</v>
      </c>
      <c r="X338" s="35" t="s">
        <v>1361</v>
      </c>
      <c r="Y338" s="35" t="s">
        <v>1429</v>
      </c>
      <c r="Z338" s="86" t="s">
        <v>1</v>
      </c>
      <c r="AA338" s="33" t="str">
        <f t="shared" si="347"/>
        <v>Standardized metal rectangular structure mainly used for the transportation of goods.</v>
      </c>
    </row>
    <row r="339" spans="1:27" ht="6.6" customHeight="1" x14ac:dyDescent="0.25">
      <c r="A339" s="31">
        <v>339</v>
      </c>
      <c r="B339" s="38" t="s">
        <v>76</v>
      </c>
      <c r="C339" s="39" t="s">
        <v>886</v>
      </c>
      <c r="D339" s="38" t="s">
        <v>893</v>
      </c>
      <c r="E339" s="38" t="s">
        <v>902</v>
      </c>
      <c r="F339" s="55" t="s">
        <v>596</v>
      </c>
      <c r="G339" s="80" t="s">
        <v>1</v>
      </c>
      <c r="H339" s="80" t="s">
        <v>1</v>
      </c>
      <c r="I339" s="80" t="s">
        <v>1</v>
      </c>
      <c r="J339" s="80" t="s">
        <v>1</v>
      </c>
      <c r="K339" s="80"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1341</v>
      </c>
      <c r="W339" s="88" t="str">
        <f t="shared" si="346"/>
        <v>Key-INF-339</v>
      </c>
      <c r="X339" s="35" t="s">
        <v>1361</v>
      </c>
      <c r="Y339" s="35" t="s">
        <v>1429</v>
      </c>
      <c r="Z339" s="86" t="s">
        <v>1</v>
      </c>
      <c r="AA339" s="33" t="str">
        <f t="shared" si="347"/>
        <v>Spatial part of the structure that is on the side exposed to the prevailing wind.</v>
      </c>
    </row>
    <row r="340" spans="1:27" ht="6.6" customHeight="1" x14ac:dyDescent="0.25">
      <c r="A340" s="31">
        <v>340</v>
      </c>
      <c r="B340" s="38" t="s">
        <v>76</v>
      </c>
      <c r="C340" s="39" t="s">
        <v>886</v>
      </c>
      <c r="D340" s="38" t="s">
        <v>893</v>
      </c>
      <c r="E340" s="38" t="s">
        <v>902</v>
      </c>
      <c r="F340" s="55" t="s">
        <v>599</v>
      </c>
      <c r="G340" s="80" t="s">
        <v>1</v>
      </c>
      <c r="H340" s="80" t="s">
        <v>1</v>
      </c>
      <c r="I340" s="80" t="s">
        <v>1</v>
      </c>
      <c r="J340" s="80" t="s">
        <v>1</v>
      </c>
      <c r="K340" s="80"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1341</v>
      </c>
      <c r="W340" s="88" t="str">
        <f t="shared" si="346"/>
        <v>Key-INF-340</v>
      </c>
      <c r="X340" s="35" t="s">
        <v>1361</v>
      </c>
      <c r="Y340" s="35" t="s">
        <v>1431</v>
      </c>
      <c r="Z340" s="86" t="s">
        <v>1</v>
      </c>
      <c r="AA340" s="33" t="str">
        <f t="shared" si="347"/>
        <v>Spatial part of the structure that is protected from the prevailing wind.</v>
      </c>
    </row>
    <row r="341" spans="1:27" ht="6.6" customHeight="1" x14ac:dyDescent="0.25">
      <c r="A341" s="31">
        <v>341</v>
      </c>
      <c r="B341" s="38" t="s">
        <v>76</v>
      </c>
      <c r="C341" s="39" t="s">
        <v>886</v>
      </c>
      <c r="D341" s="38" t="s">
        <v>893</v>
      </c>
      <c r="E341" s="38" t="s">
        <v>902</v>
      </c>
      <c r="F341" s="55" t="s">
        <v>602</v>
      </c>
      <c r="G341" s="80" t="s">
        <v>1</v>
      </c>
      <c r="H341" s="80" t="s">
        <v>1</v>
      </c>
      <c r="I341" s="80" t="s">
        <v>1</v>
      </c>
      <c r="J341" s="80" t="s">
        <v>1</v>
      </c>
      <c r="K341" s="80"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1341</v>
      </c>
      <c r="W341" s="88" t="str">
        <f t="shared" si="346"/>
        <v>Key-INF-341</v>
      </c>
      <c r="X341" s="35" t="s">
        <v>1387</v>
      </c>
      <c r="Y341" s="35" t="s">
        <v>1431</v>
      </c>
      <c r="Z341" s="86" t="s">
        <v>1</v>
      </c>
      <c r="AA341" s="33" t="str">
        <f t="shared" si="347"/>
        <v>Region that covers the water field of a port. It includes navigable and non-navigable canals.</v>
      </c>
    </row>
    <row r="342" spans="1:27" ht="6.6" customHeight="1" x14ac:dyDescent="0.25">
      <c r="A342" s="31">
        <v>342</v>
      </c>
      <c r="B342" s="38" t="s">
        <v>76</v>
      </c>
      <c r="C342" s="39" t="s">
        <v>886</v>
      </c>
      <c r="D342" s="38" t="s">
        <v>893</v>
      </c>
      <c r="E342" s="38" t="s">
        <v>902</v>
      </c>
      <c r="F342" s="55" t="s">
        <v>605</v>
      </c>
      <c r="G342" s="80" t="s">
        <v>1</v>
      </c>
      <c r="H342" s="80" t="s">
        <v>1</v>
      </c>
      <c r="I342" s="80" t="s">
        <v>1</v>
      </c>
      <c r="J342" s="80" t="s">
        <v>1</v>
      </c>
      <c r="K342" s="80"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1341</v>
      </c>
      <c r="W342" s="88" t="str">
        <f t="shared" si="346"/>
        <v>Key-INF-342</v>
      </c>
      <c r="X342" s="35" t="s">
        <v>1387</v>
      </c>
      <c r="Y342" s="35" t="s">
        <v>1431</v>
      </c>
      <c r="Z342" s="86" t="s">
        <v>1</v>
      </c>
      <c r="AA342" s="33" t="str">
        <f t="shared" si="347"/>
        <v>Region or side part of the facility that covers the onshore field of seaside installation, such as a wharf.</v>
      </c>
    </row>
    <row r="343" spans="1:27" ht="6.6" customHeight="1" x14ac:dyDescent="0.25">
      <c r="A343" s="31">
        <v>343</v>
      </c>
      <c r="B343" s="38" t="s">
        <v>76</v>
      </c>
      <c r="C343" s="39" t="s">
        <v>886</v>
      </c>
      <c r="D343" s="38" t="s">
        <v>893</v>
      </c>
      <c r="E343" s="38" t="s">
        <v>902</v>
      </c>
      <c r="F343" s="55" t="s">
        <v>608</v>
      </c>
      <c r="G343" s="80" t="s">
        <v>1</v>
      </c>
      <c r="H343" s="80" t="s">
        <v>1</v>
      </c>
      <c r="I343" s="80" t="s">
        <v>1</v>
      </c>
      <c r="J343" s="80" t="s">
        <v>1</v>
      </c>
      <c r="K343" s="80"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1341</v>
      </c>
      <c r="W343" s="88" t="str">
        <f t="shared" si="346"/>
        <v>Key-INF-343</v>
      </c>
      <c r="X343" s="35" t="s">
        <v>1387</v>
      </c>
      <c r="Y343" s="35" t="s">
        <v>1431</v>
      </c>
      <c r="Z343" s="86" t="s">
        <v>1</v>
      </c>
      <c r="AA343" s="33" t="str">
        <f t="shared" si="347"/>
        <v>Region that covers the water field of the harbor's navigable canals.</v>
      </c>
    </row>
    <row r="344" spans="1:27" ht="6.6" customHeight="1" x14ac:dyDescent="0.25">
      <c r="A344" s="31">
        <v>344</v>
      </c>
      <c r="B344" s="38" t="s">
        <v>76</v>
      </c>
      <c r="C344" s="39" t="s">
        <v>886</v>
      </c>
      <c r="D344" s="38" t="s">
        <v>893</v>
      </c>
      <c r="E344" s="38" t="s">
        <v>902</v>
      </c>
      <c r="F344" s="55" t="s">
        <v>976</v>
      </c>
      <c r="G344" s="80" t="s">
        <v>1</v>
      </c>
      <c r="H344" s="80" t="s">
        <v>1</v>
      </c>
      <c r="I344" s="80" t="s">
        <v>1</v>
      </c>
      <c r="J344" s="80" t="s">
        <v>1</v>
      </c>
      <c r="K344" s="80"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1341</v>
      </c>
      <c r="W344" s="88" t="str">
        <f t="shared" si="346"/>
        <v>Key-INF-344</v>
      </c>
      <c r="X344" s="35" t="s">
        <v>1387</v>
      </c>
      <c r="Y344" s="35" t="s">
        <v>1431</v>
      </c>
      <c r="Z344" s="86" t="s">
        <v>1</v>
      </c>
      <c r="AA344" s="33" t="str">
        <f t="shared" si="347"/>
        <v>Covered space such as shed or storage for cargo storage.</v>
      </c>
    </row>
    <row r="345" spans="1:27" ht="6.6" customHeight="1" x14ac:dyDescent="0.25">
      <c r="A345" s="31">
        <v>345</v>
      </c>
      <c r="B345" s="38" t="s">
        <v>76</v>
      </c>
      <c r="C345" s="39" t="s">
        <v>886</v>
      </c>
      <c r="D345" s="38" t="s">
        <v>893</v>
      </c>
      <c r="E345" s="38" t="s">
        <v>902</v>
      </c>
      <c r="F345" s="55" t="s">
        <v>972</v>
      </c>
      <c r="G345" s="80" t="s">
        <v>1</v>
      </c>
      <c r="H345" s="80" t="s">
        <v>1</v>
      </c>
      <c r="I345" s="80" t="s">
        <v>1</v>
      </c>
      <c r="J345" s="80" t="s">
        <v>1</v>
      </c>
      <c r="K345" s="80"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1341</v>
      </c>
      <c r="W345" s="88" t="str">
        <f t="shared" si="346"/>
        <v>Key-INF-345</v>
      </c>
      <c r="X345" s="35" t="s">
        <v>1387</v>
      </c>
      <c r="Y345" s="35" t="s">
        <v>1431</v>
      </c>
      <c r="Z345" s="86" t="s">
        <v>1</v>
      </c>
      <c r="AA345" s="33" t="str">
        <f t="shared" si="347"/>
        <v>External cargo storage space.</v>
      </c>
    </row>
    <row r="346" spans="1:27" ht="6.6" customHeight="1" x14ac:dyDescent="0.25">
      <c r="A346" s="31">
        <v>346</v>
      </c>
      <c r="B346" s="38" t="s">
        <v>76</v>
      </c>
      <c r="C346" s="39" t="s">
        <v>886</v>
      </c>
      <c r="D346" s="38" t="s">
        <v>893</v>
      </c>
      <c r="E346" s="38" t="s">
        <v>902</v>
      </c>
      <c r="F346" s="55" t="s">
        <v>973</v>
      </c>
      <c r="G346" s="80" t="s">
        <v>1</v>
      </c>
      <c r="H346" s="80" t="s">
        <v>1</v>
      </c>
      <c r="I346" s="80" t="s">
        <v>1</v>
      </c>
      <c r="J346" s="80" t="s">
        <v>1</v>
      </c>
      <c r="K346" s="80"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1341</v>
      </c>
      <c r="W346" s="88" t="str">
        <f t="shared" si="346"/>
        <v>Key-INF-346</v>
      </c>
      <c r="X346" s="35" t="s">
        <v>1387</v>
      </c>
      <c r="Y346" s="35" t="s">
        <v>1431</v>
      </c>
      <c r="Z346" s="86" t="s">
        <v>1</v>
      </c>
      <c r="AA346" s="33" t="str">
        <f t="shared" si="347"/>
        <v>Spatial part of the region that represents a functional division designed for operation.</v>
      </c>
    </row>
    <row r="347" spans="1:27" ht="6.6" customHeight="1" x14ac:dyDescent="0.25">
      <c r="A347" s="31">
        <v>347</v>
      </c>
      <c r="B347" s="38" t="s">
        <v>76</v>
      </c>
      <c r="C347" s="39" t="s">
        <v>886</v>
      </c>
      <c r="D347" s="38" t="s">
        <v>893</v>
      </c>
      <c r="E347" s="38" t="s">
        <v>902</v>
      </c>
      <c r="F347" s="55" t="s">
        <v>974</v>
      </c>
      <c r="G347" s="80" t="s">
        <v>1</v>
      </c>
      <c r="H347" s="80" t="s">
        <v>1</v>
      </c>
      <c r="I347" s="80" t="s">
        <v>1</v>
      </c>
      <c r="J347" s="80" t="s">
        <v>1</v>
      </c>
      <c r="K347" s="80"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1341</v>
      </c>
      <c r="W347" s="88" t="str">
        <f t="shared" si="346"/>
        <v>Key-INF-347</v>
      </c>
      <c r="X347" s="35" t="s">
        <v>1387</v>
      </c>
      <c r="Y347" s="35" t="s">
        <v>1431</v>
      </c>
      <c r="Z347" s="86" t="s">
        <v>1</v>
      </c>
      <c r="AA347" s="33" t="str">
        <f t="shared" si="347"/>
        <v>Spatial part of the region that forms a subdivision of facility for manufacturing purposes.</v>
      </c>
    </row>
    <row r="348" spans="1:27" ht="6.6" customHeight="1" x14ac:dyDescent="0.25">
      <c r="A348" s="31">
        <v>348</v>
      </c>
      <c r="B348" s="38" t="s">
        <v>76</v>
      </c>
      <c r="C348" s="39" t="s">
        <v>886</v>
      </c>
      <c r="D348" s="38" t="s">
        <v>893</v>
      </c>
      <c r="E348" s="38" t="s">
        <v>902</v>
      </c>
      <c r="F348" s="55" t="s">
        <v>975</v>
      </c>
      <c r="G348" s="80" t="s">
        <v>1</v>
      </c>
      <c r="H348" s="80" t="s">
        <v>1</v>
      </c>
      <c r="I348" s="80" t="s">
        <v>1</v>
      </c>
      <c r="J348" s="80" t="s">
        <v>1</v>
      </c>
      <c r="K348" s="80"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1341</v>
      </c>
      <c r="W348" s="88" t="str">
        <f t="shared" si="346"/>
        <v>Key-INF-348</v>
      </c>
      <c r="X348" s="35" t="s">
        <v>1387</v>
      </c>
      <c r="Y348" s="35" t="s">
        <v>1406</v>
      </c>
      <c r="Z348" s="86" t="s">
        <v>1</v>
      </c>
      <c r="AA348" s="33" t="str">
        <f t="shared" si="347"/>
        <v>Spatial part of the region that represents a free area used for the transfer and movement of vessels.</v>
      </c>
    </row>
    <row r="349" spans="1:27" ht="6.6" customHeight="1" x14ac:dyDescent="0.25">
      <c r="A349" s="31">
        <v>349</v>
      </c>
      <c r="B349" s="38" t="s">
        <v>76</v>
      </c>
      <c r="C349" s="39" t="s">
        <v>886</v>
      </c>
      <c r="D349" s="38" t="s">
        <v>1180</v>
      </c>
      <c r="E349" s="38" t="s">
        <v>1237</v>
      </c>
      <c r="F349" s="55" t="s">
        <v>1181</v>
      </c>
      <c r="G349" s="80" t="s">
        <v>1</v>
      </c>
      <c r="H349" s="80" t="s">
        <v>1</v>
      </c>
      <c r="I349" s="80" t="s">
        <v>1</v>
      </c>
      <c r="J349" s="80" t="s">
        <v>1</v>
      </c>
      <c r="K349" s="80"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1186</v>
      </c>
      <c r="Q349" s="33" t="s">
        <v>1280</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1341</v>
      </c>
      <c r="W349" s="88" t="str">
        <f t="shared" si="346"/>
        <v>Key-INF-349</v>
      </c>
      <c r="X349" s="35" t="s">
        <v>1360</v>
      </c>
      <c r="Y349" s="50" t="s">
        <v>1406</v>
      </c>
      <c r="Z349" s="86"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886</v>
      </c>
      <c r="D350" s="38" t="s">
        <v>1180</v>
      </c>
      <c r="E350" s="38" t="s">
        <v>1237</v>
      </c>
      <c r="F350" s="55" t="s">
        <v>1185</v>
      </c>
      <c r="G350" s="80" t="s">
        <v>1</v>
      </c>
      <c r="H350" s="80" t="s">
        <v>1</v>
      </c>
      <c r="I350" s="80" t="s">
        <v>1</v>
      </c>
      <c r="J350" s="80" t="s">
        <v>1</v>
      </c>
      <c r="K350" s="80"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1187</v>
      </c>
      <c r="Q350" s="33" t="s">
        <v>1281</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1341</v>
      </c>
      <c r="W350" s="88" t="str">
        <f t="shared" si="346"/>
        <v>Key-INF-350</v>
      </c>
      <c r="X350" s="35" t="s">
        <v>1360</v>
      </c>
      <c r="Y350" s="50" t="s">
        <v>1406</v>
      </c>
      <c r="Z350" s="86" t="s">
        <v>1</v>
      </c>
      <c r="AA350" s="33" t="str">
        <f t="shared" si="347"/>
        <v>Regional airports serve smaller areas of the territory, connecting medium and small cities to large centers.</v>
      </c>
    </row>
    <row r="351" spans="1:27" ht="6.6" customHeight="1" x14ac:dyDescent="0.25">
      <c r="A351" s="31">
        <v>351</v>
      </c>
      <c r="B351" s="38" t="s">
        <v>76</v>
      </c>
      <c r="C351" s="39" t="s">
        <v>886</v>
      </c>
      <c r="D351" s="38" t="s">
        <v>1180</v>
      </c>
      <c r="E351" s="38" t="s">
        <v>1237</v>
      </c>
      <c r="F351" s="55" t="s">
        <v>1184</v>
      </c>
      <c r="G351" s="80" t="s">
        <v>1</v>
      </c>
      <c r="H351" s="80" t="s">
        <v>1</v>
      </c>
      <c r="I351" s="80" t="s">
        <v>1</v>
      </c>
      <c r="J351" s="80" t="s">
        <v>1</v>
      </c>
      <c r="K351" s="80" t="s">
        <v>1</v>
      </c>
      <c r="L351" s="36" t="str">
        <f t="shared" si="361"/>
        <v>Infraestruturas</v>
      </c>
      <c r="M351" s="32" t="str">
        <f t="shared" si="362"/>
        <v>Aeroportuárias</v>
      </c>
      <c r="N351" s="32" t="str">
        <f t="shared" si="363"/>
        <v>Aeródromos</v>
      </c>
      <c r="O351" s="33" t="str">
        <f t="shared" si="364"/>
        <v>Aeroporto.Doméstico</v>
      </c>
      <c r="P351" s="50" t="s">
        <v>1332</v>
      </c>
      <c r="Q351" s="33" t="s">
        <v>1330</v>
      </c>
      <c r="R351" s="34" t="s">
        <v>1</v>
      </c>
      <c r="S351" s="35" t="str">
        <f t="shared" si="365"/>
        <v>Infraestruturas</v>
      </c>
      <c r="T351" s="35" t="str">
        <f t="shared" si="366"/>
        <v>Aeroportuárias</v>
      </c>
      <c r="U351" s="35" t="str">
        <f t="shared" si="367"/>
        <v>Aeródromos</v>
      </c>
      <c r="V351" s="34" t="s">
        <v>1341</v>
      </c>
      <c r="W351" s="88" t="str">
        <f t="shared" si="346"/>
        <v>Key-INF-351</v>
      </c>
      <c r="X351" s="35" t="s">
        <v>1360</v>
      </c>
      <c r="Y351" s="50" t="s">
        <v>1406</v>
      </c>
      <c r="Z351" s="86" t="s">
        <v>1</v>
      </c>
      <c r="AA351" s="33" t="str">
        <f>_xlfn.TRANSLATE(P351,"pt","en")</f>
        <v>Domestic Airport only serves flights within the national territory.</v>
      </c>
    </row>
    <row r="352" spans="1:27" ht="6.6" customHeight="1" x14ac:dyDescent="0.25">
      <c r="A352" s="31">
        <v>352</v>
      </c>
      <c r="B352" s="38" t="s">
        <v>76</v>
      </c>
      <c r="C352" s="39" t="s">
        <v>886</v>
      </c>
      <c r="D352" s="38" t="s">
        <v>1180</v>
      </c>
      <c r="E352" s="38" t="s">
        <v>1237</v>
      </c>
      <c r="F352" s="55" t="s">
        <v>1188</v>
      </c>
      <c r="G352" s="80" t="s">
        <v>1</v>
      </c>
      <c r="H352" s="80" t="s">
        <v>1</v>
      </c>
      <c r="I352" s="80" t="s">
        <v>1</v>
      </c>
      <c r="J352" s="80" t="s">
        <v>1</v>
      </c>
      <c r="K352" s="80" t="s">
        <v>1</v>
      </c>
      <c r="L352" s="36" t="str">
        <f t="shared" si="354"/>
        <v>Infraestruturas</v>
      </c>
      <c r="M352" s="32" t="str">
        <f t="shared" si="355"/>
        <v>Aeroportuárias</v>
      </c>
      <c r="N352" s="32" t="str">
        <f t="shared" si="356"/>
        <v>Aeródromos</v>
      </c>
      <c r="O352" s="33" t="str">
        <f t="shared" si="357"/>
        <v>Aeroporto.Militar</v>
      </c>
      <c r="P352" s="50" t="s">
        <v>1333</v>
      </c>
      <c r="Q352" s="33" t="s">
        <v>1331</v>
      </c>
      <c r="R352" s="34" t="s">
        <v>1</v>
      </c>
      <c r="S352" s="35" t="str">
        <f t="shared" si="358"/>
        <v>Infraestruturas</v>
      </c>
      <c r="T352" s="35" t="str">
        <f t="shared" si="359"/>
        <v>Aeroportuárias</v>
      </c>
      <c r="U352" s="35" t="str">
        <f t="shared" si="360"/>
        <v>Aeródromos</v>
      </c>
      <c r="V352" s="34" t="s">
        <v>1341</v>
      </c>
      <c r="W352" s="88" t="str">
        <f t="shared" si="346"/>
        <v>Key-INF-352</v>
      </c>
      <c r="X352" s="35" t="s">
        <v>1360</v>
      </c>
      <c r="Y352" s="50" t="s">
        <v>1406</v>
      </c>
      <c r="Z352" s="86"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886</v>
      </c>
      <c r="D353" s="38" t="s">
        <v>1180</v>
      </c>
      <c r="E353" s="38" t="s">
        <v>1237</v>
      </c>
      <c r="F353" s="55" t="s">
        <v>1236</v>
      </c>
      <c r="G353" s="80" t="s">
        <v>1</v>
      </c>
      <c r="H353" s="80" t="s">
        <v>1</v>
      </c>
      <c r="I353" s="80" t="s">
        <v>1</v>
      </c>
      <c r="J353" s="80" t="s">
        <v>1</v>
      </c>
      <c r="K353" s="80" t="s">
        <v>1</v>
      </c>
      <c r="L353" s="36" t="str">
        <f t="shared" si="354"/>
        <v>Infraestruturas</v>
      </c>
      <c r="M353" s="32" t="str">
        <f t="shared" si="355"/>
        <v>Aeroportuárias</v>
      </c>
      <c r="N353" s="32" t="str">
        <f t="shared" si="356"/>
        <v>Aeródromos</v>
      </c>
      <c r="O353" s="33" t="str">
        <f t="shared" si="357"/>
        <v>Aeroclub</v>
      </c>
      <c r="P353" s="50" t="s">
        <v>1238</v>
      </c>
      <c r="Q353" s="33" t="s">
        <v>1282</v>
      </c>
      <c r="R353" s="34" t="s">
        <v>1</v>
      </c>
      <c r="S353" s="35" t="str">
        <f t="shared" si="358"/>
        <v>Infraestruturas</v>
      </c>
      <c r="T353" s="35" t="str">
        <f t="shared" si="359"/>
        <v>Aeroportuárias</v>
      </c>
      <c r="U353" s="35" t="str">
        <f t="shared" si="360"/>
        <v>Aeródromos</v>
      </c>
      <c r="V353" s="34" t="s">
        <v>1341</v>
      </c>
      <c r="W353" s="88" t="str">
        <f t="shared" si="346"/>
        <v>Key-INF-353</v>
      </c>
      <c r="X353" s="35" t="s">
        <v>1360</v>
      </c>
      <c r="Y353" s="50" t="s">
        <v>1406</v>
      </c>
      <c r="Z353" s="86"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886</v>
      </c>
      <c r="D354" s="38" t="s">
        <v>1180</v>
      </c>
      <c r="E354" s="38" t="s">
        <v>1237</v>
      </c>
      <c r="F354" s="55" t="s">
        <v>1240</v>
      </c>
      <c r="G354" s="80" t="s">
        <v>1</v>
      </c>
      <c r="H354" s="80" t="s">
        <v>1</v>
      </c>
      <c r="I354" s="80" t="s">
        <v>1</v>
      </c>
      <c r="J354" s="80" t="s">
        <v>1</v>
      </c>
      <c r="K354" s="80"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1239</v>
      </c>
      <c r="Q354" s="33" t="s">
        <v>1283</v>
      </c>
      <c r="R354" s="34" t="s">
        <v>1</v>
      </c>
      <c r="S354" s="35" t="str">
        <f t="shared" ref="S354" si="372">SUBSTITUTE(C354, ".", " ")</f>
        <v>Infraestruturas</v>
      </c>
      <c r="T354" s="35" t="str">
        <f t="shared" ref="T354" si="373">SUBSTITUTE(D354, ".", " ")</f>
        <v>Aeroportuárias</v>
      </c>
      <c r="U354" s="35" t="str">
        <f t="shared" ref="U354" si="374">SUBSTITUTE(E354, ".", " ")</f>
        <v>Aeródromos</v>
      </c>
      <c r="V354" s="34" t="s">
        <v>1341</v>
      </c>
      <c r="W354" s="88" t="str">
        <f t="shared" si="346"/>
        <v>Key-INF-354</v>
      </c>
      <c r="X354" s="35" t="s">
        <v>1360</v>
      </c>
      <c r="Y354" s="50" t="s">
        <v>1406</v>
      </c>
      <c r="Z354" s="86"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886</v>
      </c>
      <c r="D355" s="38" t="s">
        <v>1180</v>
      </c>
      <c r="E355" s="38" t="s">
        <v>1237</v>
      </c>
      <c r="F355" s="55" t="s">
        <v>1241</v>
      </c>
      <c r="G355" s="80" t="s">
        <v>1</v>
      </c>
      <c r="H355" s="80" t="s">
        <v>1</v>
      </c>
      <c r="I355" s="80" t="s">
        <v>1</v>
      </c>
      <c r="J355" s="80" t="s">
        <v>1</v>
      </c>
      <c r="K355" s="80" t="s">
        <v>1</v>
      </c>
      <c r="L355" s="36" t="str">
        <f t="shared" si="354"/>
        <v>Infraestruturas</v>
      </c>
      <c r="M355" s="32" t="str">
        <f t="shared" si="355"/>
        <v>Aeroportuárias</v>
      </c>
      <c r="N355" s="32" t="str">
        <f t="shared" si="356"/>
        <v>Aeródromos</v>
      </c>
      <c r="O355" s="33" t="str">
        <f t="shared" si="357"/>
        <v>Pista.Auxiliar</v>
      </c>
      <c r="P355" s="50" t="s">
        <v>1242</v>
      </c>
      <c r="Q355" s="33" t="s">
        <v>1284</v>
      </c>
      <c r="R355" s="34" t="s">
        <v>1</v>
      </c>
      <c r="S355" s="35" t="str">
        <f t="shared" si="358"/>
        <v>Infraestruturas</v>
      </c>
      <c r="T355" s="35" t="str">
        <f t="shared" si="359"/>
        <v>Aeroportuárias</v>
      </c>
      <c r="U355" s="35" t="str">
        <f t="shared" si="360"/>
        <v>Aeródromos</v>
      </c>
      <c r="V355" s="34" t="s">
        <v>1341</v>
      </c>
      <c r="W355" s="88" t="str">
        <f t="shared" si="346"/>
        <v>Key-INF-355</v>
      </c>
      <c r="X355" s="35" t="s">
        <v>1360</v>
      </c>
      <c r="Y355" s="50" t="s">
        <v>1406</v>
      </c>
      <c r="Z355" s="86"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886</v>
      </c>
      <c r="D356" s="38" t="s">
        <v>1180</v>
      </c>
      <c r="E356" s="38" t="s">
        <v>1237</v>
      </c>
      <c r="F356" s="55" t="s">
        <v>1182</v>
      </c>
      <c r="G356" s="80" t="s">
        <v>1</v>
      </c>
      <c r="H356" s="80" t="s">
        <v>1</v>
      </c>
      <c r="I356" s="80" t="s">
        <v>1</v>
      </c>
      <c r="J356" s="80" t="s">
        <v>1</v>
      </c>
      <c r="K356" s="80" t="s">
        <v>1</v>
      </c>
      <c r="L356" s="36" t="str">
        <f t="shared" si="354"/>
        <v>Infraestruturas</v>
      </c>
      <c r="M356" s="32" t="str">
        <f t="shared" si="355"/>
        <v>Aeroportuárias</v>
      </c>
      <c r="N356" s="32" t="str">
        <f t="shared" si="356"/>
        <v>Aeródromos</v>
      </c>
      <c r="O356" s="33" t="str">
        <f t="shared" si="357"/>
        <v>Heliporto</v>
      </c>
      <c r="P356" s="33" t="s">
        <v>1234</v>
      </c>
      <c r="Q356" s="33" t="s">
        <v>1285</v>
      </c>
      <c r="R356" s="34" t="s">
        <v>1</v>
      </c>
      <c r="S356" s="35" t="str">
        <f t="shared" si="358"/>
        <v>Infraestruturas</v>
      </c>
      <c r="T356" s="35" t="str">
        <f t="shared" si="359"/>
        <v>Aeroportuárias</v>
      </c>
      <c r="U356" s="35" t="str">
        <f t="shared" si="360"/>
        <v>Aeródromos</v>
      </c>
      <c r="V356" s="34" t="s">
        <v>1341</v>
      </c>
      <c r="W356" s="88" t="str">
        <f t="shared" si="346"/>
        <v>Key-INF-356</v>
      </c>
      <c r="X356" s="35" t="s">
        <v>1360</v>
      </c>
      <c r="Y356" s="50" t="s">
        <v>1406</v>
      </c>
      <c r="Z356" s="86"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886</v>
      </c>
      <c r="D357" s="38" t="s">
        <v>1180</v>
      </c>
      <c r="E357" s="38" t="s">
        <v>1237</v>
      </c>
      <c r="F357" s="55" t="s">
        <v>1183</v>
      </c>
      <c r="G357" s="80" t="s">
        <v>1</v>
      </c>
      <c r="H357" s="80" t="s">
        <v>1</v>
      </c>
      <c r="I357" s="80" t="s">
        <v>1</v>
      </c>
      <c r="J357" s="80" t="s">
        <v>1</v>
      </c>
      <c r="K357" s="80" t="s">
        <v>1</v>
      </c>
      <c r="L357" s="36" t="str">
        <f t="shared" si="354"/>
        <v>Infraestruturas</v>
      </c>
      <c r="M357" s="32" t="str">
        <f t="shared" si="355"/>
        <v>Aeroportuárias</v>
      </c>
      <c r="N357" s="32" t="str">
        <f t="shared" si="356"/>
        <v>Aeródromos</v>
      </c>
      <c r="O357" s="33" t="str">
        <f t="shared" si="357"/>
        <v>Heliponto</v>
      </c>
      <c r="P357" s="33" t="s">
        <v>1233</v>
      </c>
      <c r="Q357" s="33" t="s">
        <v>1235</v>
      </c>
      <c r="R357" s="34" t="s">
        <v>1</v>
      </c>
      <c r="S357" s="35" t="str">
        <f t="shared" si="358"/>
        <v>Infraestruturas</v>
      </c>
      <c r="T357" s="35" t="str">
        <f t="shared" si="359"/>
        <v>Aeroportuárias</v>
      </c>
      <c r="U357" s="35" t="str">
        <f t="shared" si="360"/>
        <v>Aeródromos</v>
      </c>
      <c r="V357" s="34" t="s">
        <v>1341</v>
      </c>
      <c r="W357" s="88" t="str">
        <f t="shared" si="346"/>
        <v>Key-INF-357</v>
      </c>
      <c r="X357" s="35" t="s">
        <v>1360</v>
      </c>
      <c r="Y357" s="50" t="s">
        <v>1432</v>
      </c>
      <c r="Z357" s="86" t="s">
        <v>1</v>
      </c>
      <c r="AA357" s="33" t="str">
        <f t="shared" si="347"/>
        <v>Area intended exclusively for helicopter landing and takeoff.</v>
      </c>
    </row>
    <row r="358" spans="1:27" ht="6.6" customHeight="1" x14ac:dyDescent="0.25">
      <c r="A358" s="31">
        <v>358</v>
      </c>
      <c r="B358" s="38" t="s">
        <v>76</v>
      </c>
      <c r="C358" s="39" t="s">
        <v>1145</v>
      </c>
      <c r="D358" s="38" t="s">
        <v>1165</v>
      </c>
      <c r="E358" s="38" t="s">
        <v>1096</v>
      </c>
      <c r="F358" s="58" t="s">
        <v>1097</v>
      </c>
      <c r="G358" s="80" t="s">
        <v>1</v>
      </c>
      <c r="H358" s="80" t="s">
        <v>1</v>
      </c>
      <c r="I358" s="80" t="s">
        <v>1</v>
      </c>
      <c r="J358" s="80" t="s">
        <v>1</v>
      </c>
      <c r="K358" s="80" t="s">
        <v>1</v>
      </c>
      <c r="L358" s="32" t="str">
        <f t="shared" ref="L358:O384" si="375">SUBSTITUTE(CONCATENATE("", C358), ".", " ")</f>
        <v>Redes</v>
      </c>
      <c r="M358" s="32" t="str">
        <f t="shared" si="375"/>
        <v>Redes de Fluídos</v>
      </c>
      <c r="N358" s="32" t="str">
        <f t="shared" si="375"/>
        <v>Redes Fornecedoras</v>
      </c>
      <c r="O358" s="32" t="str">
        <f t="shared" si="375"/>
        <v>Rede de Agua</v>
      </c>
      <c r="P358" s="33" t="s">
        <v>1277</v>
      </c>
      <c r="Q358" s="33" t="s">
        <v>1278</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1341</v>
      </c>
      <c r="W358" s="88" t="str">
        <f t="shared" si="346"/>
        <v>Key-INF-358</v>
      </c>
      <c r="X358" s="33" t="s">
        <v>1388</v>
      </c>
      <c r="Y358" s="50" t="s">
        <v>1433</v>
      </c>
      <c r="Z358" s="86" t="s">
        <v>1</v>
      </c>
      <c r="AA358" s="33" t="str">
        <f t="shared" si="347"/>
        <v>Drinking water supply network system.</v>
      </c>
    </row>
    <row r="359" spans="1:27" ht="6.6" customHeight="1" x14ac:dyDescent="0.25">
      <c r="A359" s="31">
        <v>359</v>
      </c>
      <c r="B359" s="38" t="s">
        <v>76</v>
      </c>
      <c r="C359" s="39" t="s">
        <v>1145</v>
      </c>
      <c r="D359" s="38" t="s">
        <v>1165</v>
      </c>
      <c r="E359" s="38" t="s">
        <v>1096</v>
      </c>
      <c r="F359" s="58" t="s">
        <v>1098</v>
      </c>
      <c r="G359" s="80" t="s">
        <v>1</v>
      </c>
      <c r="H359" s="80" t="s">
        <v>1</v>
      </c>
      <c r="I359" s="80" t="s">
        <v>1</v>
      </c>
      <c r="J359" s="80" t="s">
        <v>1</v>
      </c>
      <c r="K359" s="80" t="s">
        <v>1</v>
      </c>
      <c r="L359" s="32" t="str">
        <f t="shared" si="375"/>
        <v>Redes</v>
      </c>
      <c r="M359" s="32" t="str">
        <f t="shared" si="375"/>
        <v>Redes de Fluídos</v>
      </c>
      <c r="N359" s="32" t="str">
        <f t="shared" si="375"/>
        <v>Redes Fornecedoras</v>
      </c>
      <c r="O359" s="32" t="str">
        <f t="shared" si="375"/>
        <v>Rede de Substâncias</v>
      </c>
      <c r="P359" s="33" t="s">
        <v>1099</v>
      </c>
      <c r="Q359" s="33" t="s">
        <v>1100</v>
      </c>
      <c r="R359" s="34" t="s">
        <v>1</v>
      </c>
      <c r="S359" s="35" t="str">
        <f t="shared" si="376"/>
        <v>Redes</v>
      </c>
      <c r="T359" s="35" t="str">
        <f t="shared" si="377"/>
        <v>Redes de Fluídos</v>
      </c>
      <c r="U359" s="35" t="str">
        <f t="shared" si="378"/>
        <v>Redes Fornecedoras</v>
      </c>
      <c r="V359" s="34" t="s">
        <v>1341</v>
      </c>
      <c r="W359" s="88" t="str">
        <f t="shared" si="346"/>
        <v>Key-INF-359</v>
      </c>
      <c r="X359" s="33" t="s">
        <v>1388</v>
      </c>
      <c r="Y359" s="50" t="s">
        <v>1434</v>
      </c>
      <c r="Z359" s="86" t="s">
        <v>1</v>
      </c>
      <c r="AA359" s="33" t="str">
        <f t="shared" si="347"/>
        <v>A network system for the supply of substances (e.g. fuels).</v>
      </c>
    </row>
    <row r="360" spans="1:27" ht="6.6" customHeight="1" x14ac:dyDescent="0.25">
      <c r="A360" s="31">
        <v>360</v>
      </c>
      <c r="B360" s="38" t="s">
        <v>76</v>
      </c>
      <c r="C360" s="39" t="s">
        <v>1145</v>
      </c>
      <c r="D360" s="38" t="s">
        <v>1165</v>
      </c>
      <c r="E360" s="38" t="s">
        <v>1096</v>
      </c>
      <c r="F360" s="38" t="s">
        <v>1101</v>
      </c>
      <c r="G360" s="80" t="s">
        <v>1</v>
      </c>
      <c r="H360" s="80" t="s">
        <v>1</v>
      </c>
      <c r="I360" s="80" t="s">
        <v>1</v>
      </c>
      <c r="J360" s="80" t="s">
        <v>1</v>
      </c>
      <c r="K360" s="80"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1276</v>
      </c>
      <c r="Q360" s="33" t="s">
        <v>1102</v>
      </c>
      <c r="R360" s="34" t="s">
        <v>1</v>
      </c>
      <c r="S360" s="35" t="str">
        <f t="shared" ref="S360" si="383">SUBSTITUTE(C360, ".", " ")</f>
        <v>Redes</v>
      </c>
      <c r="T360" s="35" t="str">
        <f t="shared" ref="T360" si="384">SUBSTITUTE(D360, ".", " ")</f>
        <v>Redes de Fluídos</v>
      </c>
      <c r="U360" s="35" t="str">
        <f t="shared" ref="U360" si="385">SUBSTITUTE(E360, ".", " ")</f>
        <v>Redes Fornecedoras</v>
      </c>
      <c r="V360" s="34" t="s">
        <v>1341</v>
      </c>
      <c r="W360" s="88" t="str">
        <f t="shared" si="346"/>
        <v>Key-INF-360</v>
      </c>
      <c r="X360" s="33" t="s">
        <v>1388</v>
      </c>
      <c r="Y360" s="50" t="s">
        <v>1435</v>
      </c>
      <c r="Z360" s="86" t="s">
        <v>1</v>
      </c>
      <c r="AA360" s="33" t="str">
        <f t="shared" si="347"/>
        <v>Fuel supply network system.</v>
      </c>
    </row>
    <row r="361" spans="1:27" ht="6.6" customHeight="1" x14ac:dyDescent="0.25">
      <c r="A361" s="31">
        <v>361</v>
      </c>
      <c r="B361" s="38" t="s">
        <v>76</v>
      </c>
      <c r="C361" s="39" t="s">
        <v>1145</v>
      </c>
      <c r="D361" s="38" t="s">
        <v>1165</v>
      </c>
      <c r="E361" s="38" t="s">
        <v>1096</v>
      </c>
      <c r="F361" s="38" t="s">
        <v>1274</v>
      </c>
      <c r="G361" s="80" t="s">
        <v>1</v>
      </c>
      <c r="H361" s="80" t="s">
        <v>1</v>
      </c>
      <c r="I361" s="80" t="s">
        <v>1</v>
      </c>
      <c r="J361" s="80" t="s">
        <v>1</v>
      </c>
      <c r="K361" s="80" t="s">
        <v>1</v>
      </c>
      <c r="L361" s="32" t="str">
        <f t="shared" si="375"/>
        <v>Redes</v>
      </c>
      <c r="M361" s="32" t="str">
        <f t="shared" si="375"/>
        <v>Redes de Fluídos</v>
      </c>
      <c r="N361" s="32" t="str">
        <f t="shared" si="375"/>
        <v>Redes Fornecedoras</v>
      </c>
      <c r="O361" s="32" t="str">
        <f t="shared" si="375"/>
        <v>Rede de Gás</v>
      </c>
      <c r="P361" s="33" t="s">
        <v>1275</v>
      </c>
      <c r="Q361" s="33" t="s">
        <v>1279</v>
      </c>
      <c r="R361" s="34" t="s">
        <v>1</v>
      </c>
      <c r="S361" s="35" t="str">
        <f t="shared" si="376"/>
        <v>Redes</v>
      </c>
      <c r="T361" s="35" t="str">
        <f t="shared" si="377"/>
        <v>Redes de Fluídos</v>
      </c>
      <c r="U361" s="35" t="str">
        <f t="shared" si="378"/>
        <v>Redes Fornecedoras</v>
      </c>
      <c r="V361" s="34" t="s">
        <v>1341</v>
      </c>
      <c r="W361" s="88" t="str">
        <f t="shared" si="346"/>
        <v>Key-INF-361</v>
      </c>
      <c r="X361" s="33" t="s">
        <v>1388</v>
      </c>
      <c r="Y361" s="50" t="s">
        <v>1436</v>
      </c>
      <c r="Z361" s="86" t="s">
        <v>1</v>
      </c>
      <c r="AA361" s="33" t="str">
        <f t="shared" si="347"/>
        <v>Gas supply network system.</v>
      </c>
    </row>
    <row r="362" spans="1:27" ht="6.6" customHeight="1" x14ac:dyDescent="0.25">
      <c r="A362" s="31">
        <v>362</v>
      </c>
      <c r="B362" s="38" t="s">
        <v>76</v>
      </c>
      <c r="C362" s="39" t="s">
        <v>1145</v>
      </c>
      <c r="D362" s="38" t="s">
        <v>1165</v>
      </c>
      <c r="E362" s="38" t="s">
        <v>1096</v>
      </c>
      <c r="F362" s="58" t="s">
        <v>1103</v>
      </c>
      <c r="G362" s="80" t="s">
        <v>1</v>
      </c>
      <c r="H362" s="80" t="s">
        <v>1</v>
      </c>
      <c r="I362" s="80" t="s">
        <v>1</v>
      </c>
      <c r="J362" s="80" t="s">
        <v>1</v>
      </c>
      <c r="K362" s="80" t="s">
        <v>1</v>
      </c>
      <c r="L362" s="32" t="str">
        <f t="shared" si="375"/>
        <v>Redes</v>
      </c>
      <c r="M362" s="32" t="str">
        <f t="shared" si="375"/>
        <v>Redes de Fluídos</v>
      </c>
      <c r="N362" s="32" t="str">
        <f t="shared" si="375"/>
        <v>Redes Fornecedoras</v>
      </c>
      <c r="O362" s="32" t="str">
        <f t="shared" si="375"/>
        <v>Rede de Operacionalização</v>
      </c>
      <c r="P362" s="33" t="s">
        <v>1104</v>
      </c>
      <c r="Q362" s="33" t="s">
        <v>1105</v>
      </c>
      <c r="R362" s="34" t="s">
        <v>1</v>
      </c>
      <c r="S362" s="35" t="str">
        <f t="shared" si="376"/>
        <v>Redes</v>
      </c>
      <c r="T362" s="35" t="str">
        <f t="shared" si="377"/>
        <v>Redes de Fluídos</v>
      </c>
      <c r="U362" s="35" t="str">
        <f t="shared" si="378"/>
        <v>Redes Fornecedoras</v>
      </c>
      <c r="V362" s="34" t="s">
        <v>1341</v>
      </c>
      <c r="W362" s="88" t="str">
        <f t="shared" si="346"/>
        <v>Key-INF-362</v>
      </c>
      <c r="X362" s="33" t="s">
        <v>1388</v>
      </c>
      <c r="Y362" s="50" t="s">
        <v>1437</v>
      </c>
      <c r="Z362" s="86" t="s">
        <v>1</v>
      </c>
      <c r="AA362" s="33" t="str">
        <f t="shared" si="347"/>
        <v>System of operational substances (fuels, hospital fluids, etc.).</v>
      </c>
    </row>
    <row r="363" spans="1:27" ht="6.6" customHeight="1" x14ac:dyDescent="0.25">
      <c r="A363" s="31">
        <v>363</v>
      </c>
      <c r="B363" s="38" t="s">
        <v>76</v>
      </c>
      <c r="C363" s="39" t="s">
        <v>1145</v>
      </c>
      <c r="D363" s="38" t="s">
        <v>1165</v>
      </c>
      <c r="E363" s="38" t="s">
        <v>1106</v>
      </c>
      <c r="F363" s="58" t="s">
        <v>1107</v>
      </c>
      <c r="G363" s="80" t="s">
        <v>1</v>
      </c>
      <c r="H363" s="80" t="s">
        <v>1</v>
      </c>
      <c r="I363" s="80" t="s">
        <v>1</v>
      </c>
      <c r="J363" s="80" t="s">
        <v>1</v>
      </c>
      <c r="K363" s="80" t="s">
        <v>1</v>
      </c>
      <c r="L363" s="32" t="str">
        <f t="shared" si="375"/>
        <v>Redes</v>
      </c>
      <c r="M363" s="32" t="str">
        <f t="shared" si="375"/>
        <v>Redes de Fluídos</v>
      </c>
      <c r="N363" s="32" t="str">
        <f t="shared" si="375"/>
        <v>Redes Coletoras</v>
      </c>
      <c r="O363" s="32" t="str">
        <f t="shared" si="375"/>
        <v>Rede de Tormenta</v>
      </c>
      <c r="P363" s="33" t="s">
        <v>1108</v>
      </c>
      <c r="Q363" s="33" t="s">
        <v>1109</v>
      </c>
      <c r="R363" s="34" t="s">
        <v>1</v>
      </c>
      <c r="S363" s="35" t="str">
        <f t="shared" si="376"/>
        <v>Redes</v>
      </c>
      <c r="T363" s="35" t="str">
        <f t="shared" si="377"/>
        <v>Redes de Fluídos</v>
      </c>
      <c r="U363" s="35" t="str">
        <f t="shared" si="378"/>
        <v>Redes Coletoras</v>
      </c>
      <c r="V363" s="34" t="s">
        <v>1341</v>
      </c>
      <c r="W363" s="88" t="str">
        <f t="shared" si="346"/>
        <v>Key-INF-363</v>
      </c>
      <c r="X363" s="33" t="s">
        <v>1388</v>
      </c>
      <c r="Y363" s="50" t="s">
        <v>1438</v>
      </c>
      <c r="Z363" s="86" t="s">
        <v>1</v>
      </c>
      <c r="AA363" s="33" t="str">
        <f t="shared" si="347"/>
        <v>Urban rainwater system (storm water that runs across the urban surface).</v>
      </c>
    </row>
    <row r="364" spans="1:27" ht="6.6" customHeight="1" x14ac:dyDescent="0.25">
      <c r="A364" s="31">
        <v>364</v>
      </c>
      <c r="B364" s="38" t="s">
        <v>76</v>
      </c>
      <c r="C364" s="39" t="s">
        <v>1145</v>
      </c>
      <c r="D364" s="38" t="s">
        <v>1165</v>
      </c>
      <c r="E364" s="38" t="s">
        <v>1106</v>
      </c>
      <c r="F364" s="58" t="s">
        <v>1110</v>
      </c>
      <c r="G364" s="80" t="s">
        <v>1</v>
      </c>
      <c r="H364" s="80" t="s">
        <v>1</v>
      </c>
      <c r="I364" s="80" t="s">
        <v>1</v>
      </c>
      <c r="J364" s="80" t="s">
        <v>1</v>
      </c>
      <c r="K364" s="80" t="s">
        <v>1</v>
      </c>
      <c r="L364" s="32" t="str">
        <f t="shared" si="375"/>
        <v>Redes</v>
      </c>
      <c r="M364" s="32" t="str">
        <f t="shared" si="375"/>
        <v>Redes de Fluídos</v>
      </c>
      <c r="N364" s="32" t="str">
        <f t="shared" si="375"/>
        <v>Redes Coletoras</v>
      </c>
      <c r="O364" s="32" t="str">
        <f t="shared" si="375"/>
        <v>Rede de Agua Residual</v>
      </c>
      <c r="P364" s="33" t="s">
        <v>1111</v>
      </c>
      <c r="Q364" s="33" t="s">
        <v>1112</v>
      </c>
      <c r="R364" s="34" t="s">
        <v>1</v>
      </c>
      <c r="S364" s="35" t="str">
        <f t="shared" si="376"/>
        <v>Redes</v>
      </c>
      <c r="T364" s="35" t="str">
        <f t="shared" si="377"/>
        <v>Redes de Fluídos</v>
      </c>
      <c r="U364" s="35" t="str">
        <f t="shared" si="378"/>
        <v>Redes Coletoras</v>
      </c>
      <c r="V364" s="34" t="s">
        <v>1341</v>
      </c>
      <c r="W364" s="88" t="str">
        <f t="shared" si="346"/>
        <v>Key-INF-364</v>
      </c>
      <c r="X364" s="33" t="s">
        <v>1388</v>
      </c>
      <c r="Y364" s="50" t="s">
        <v>1439</v>
      </c>
      <c r="Z364" s="86" t="s">
        <v>1</v>
      </c>
      <c r="AA364" s="33" t="str">
        <f t="shared" si="347"/>
        <v>Recycling water system (water that has been negatively affected by anthropogenic influence).</v>
      </c>
    </row>
    <row r="365" spans="1:27" ht="6.6" customHeight="1" x14ac:dyDescent="0.25">
      <c r="A365" s="31">
        <v>365</v>
      </c>
      <c r="B365" s="38" t="s">
        <v>76</v>
      </c>
      <c r="C365" s="39" t="s">
        <v>1145</v>
      </c>
      <c r="D365" s="38" t="s">
        <v>1165</v>
      </c>
      <c r="E365" s="38" t="s">
        <v>1106</v>
      </c>
      <c r="F365" s="58" t="s">
        <v>1113</v>
      </c>
      <c r="G365" s="80" t="s">
        <v>1</v>
      </c>
      <c r="H365" s="80" t="s">
        <v>1</v>
      </c>
      <c r="I365" s="80" t="s">
        <v>1</v>
      </c>
      <c r="J365" s="80" t="s">
        <v>1</v>
      </c>
      <c r="K365" s="80" t="s">
        <v>1</v>
      </c>
      <c r="L365" s="32" t="str">
        <f t="shared" si="375"/>
        <v>Redes</v>
      </c>
      <c r="M365" s="32" t="str">
        <f t="shared" si="375"/>
        <v>Redes de Fluídos</v>
      </c>
      <c r="N365" s="32" t="str">
        <f t="shared" si="375"/>
        <v>Redes Coletoras</v>
      </c>
      <c r="O365" s="32" t="str">
        <f t="shared" si="375"/>
        <v>Rede de Esgoto</v>
      </c>
      <c r="P365" s="33" t="s">
        <v>1114</v>
      </c>
      <c r="Q365" s="33" t="s">
        <v>1115</v>
      </c>
      <c r="R365" s="34" t="s">
        <v>1</v>
      </c>
      <c r="S365" s="35" t="str">
        <f t="shared" si="376"/>
        <v>Redes</v>
      </c>
      <c r="T365" s="35" t="str">
        <f t="shared" si="377"/>
        <v>Redes de Fluídos</v>
      </c>
      <c r="U365" s="35" t="str">
        <f t="shared" si="378"/>
        <v>Redes Coletoras</v>
      </c>
      <c r="V365" s="34" t="s">
        <v>1341</v>
      </c>
      <c r="W365" s="88" t="str">
        <f t="shared" si="346"/>
        <v>Key-INF-365</v>
      </c>
      <c r="X365" s="33" t="s">
        <v>1388</v>
      </c>
      <c r="Y365" s="50" t="s">
        <v>1440</v>
      </c>
      <c r="Z365" s="86" t="s">
        <v>1</v>
      </c>
      <c r="AA365" s="33" t="str">
        <f t="shared" si="347"/>
        <v>Urban sewage collection system.</v>
      </c>
    </row>
    <row r="366" spans="1:27" ht="6.6" customHeight="1" x14ac:dyDescent="0.25">
      <c r="A366" s="31">
        <v>366</v>
      </c>
      <c r="B366" s="38" t="s">
        <v>76</v>
      </c>
      <c r="C366" s="39" t="s">
        <v>1145</v>
      </c>
      <c r="D366" s="38" t="s">
        <v>1165</v>
      </c>
      <c r="E366" s="38" t="s">
        <v>1106</v>
      </c>
      <c r="F366" s="38" t="s">
        <v>1116</v>
      </c>
      <c r="G366" s="80" t="s">
        <v>1</v>
      </c>
      <c r="H366" s="80" t="s">
        <v>1</v>
      </c>
      <c r="I366" s="80" t="s">
        <v>1</v>
      </c>
      <c r="J366" s="80" t="s">
        <v>1</v>
      </c>
      <c r="K366" s="80" t="s">
        <v>1</v>
      </c>
      <c r="L366" s="32" t="str">
        <f t="shared" si="375"/>
        <v>Redes</v>
      </c>
      <c r="M366" s="32" t="str">
        <f t="shared" si="375"/>
        <v>Redes de Fluídos</v>
      </c>
      <c r="N366" s="32" t="str">
        <f t="shared" si="375"/>
        <v>Redes Coletoras</v>
      </c>
      <c r="O366" s="32" t="str">
        <f t="shared" si="375"/>
        <v>Rede de Descartes</v>
      </c>
      <c r="P366" s="33" t="s">
        <v>1117</v>
      </c>
      <c r="Q366" s="33" t="s">
        <v>1118</v>
      </c>
      <c r="R366" s="34" t="s">
        <v>1</v>
      </c>
      <c r="S366" s="35" t="str">
        <f t="shared" si="376"/>
        <v>Redes</v>
      </c>
      <c r="T366" s="35" t="str">
        <f t="shared" si="377"/>
        <v>Redes de Fluídos</v>
      </c>
      <c r="U366" s="35" t="str">
        <f t="shared" si="378"/>
        <v>Redes Coletoras</v>
      </c>
      <c r="V366" s="34" t="s">
        <v>1341</v>
      </c>
      <c r="W366" s="88" t="str">
        <f t="shared" si="346"/>
        <v>Key-INF-366</v>
      </c>
      <c r="X366" s="33" t="s">
        <v>1388</v>
      </c>
      <c r="Y366" s="50" t="s">
        <v>1441</v>
      </c>
      <c r="Z366" s="86" t="s">
        <v>1</v>
      </c>
      <c r="AA366" s="33" t="str">
        <f t="shared" si="347"/>
        <v>Sewage system for substances (special substances, for example).</v>
      </c>
    </row>
    <row r="367" spans="1:27" ht="6.6" customHeight="1" x14ac:dyDescent="0.25">
      <c r="A367" s="31">
        <v>367</v>
      </c>
      <c r="B367" s="38" t="s">
        <v>76</v>
      </c>
      <c r="C367" s="39" t="s">
        <v>1145</v>
      </c>
      <c r="D367" s="38" t="s">
        <v>1165</v>
      </c>
      <c r="E367" s="38" t="s">
        <v>1106</v>
      </c>
      <c r="F367" s="38" t="s">
        <v>1119</v>
      </c>
      <c r="G367" s="80" t="s">
        <v>1</v>
      </c>
      <c r="H367" s="80" t="s">
        <v>1</v>
      </c>
      <c r="I367" s="80" t="s">
        <v>1</v>
      </c>
      <c r="J367" s="80" t="s">
        <v>1</v>
      </c>
      <c r="K367" s="80" t="s">
        <v>1</v>
      </c>
      <c r="L367" s="32" t="str">
        <f t="shared" si="375"/>
        <v>Redes</v>
      </c>
      <c r="M367" s="32" t="str">
        <f t="shared" si="375"/>
        <v>Redes de Fluídos</v>
      </c>
      <c r="N367" s="32" t="str">
        <f t="shared" si="375"/>
        <v>Redes Coletoras</v>
      </c>
      <c r="O367" s="32" t="str">
        <f t="shared" si="375"/>
        <v>Rede de Hospitalares</v>
      </c>
      <c r="P367" s="33" t="s">
        <v>1120</v>
      </c>
      <c r="Q367" s="33" t="s">
        <v>1121</v>
      </c>
      <c r="R367" s="34" t="s">
        <v>1</v>
      </c>
      <c r="S367" s="35" t="str">
        <f t="shared" si="376"/>
        <v>Redes</v>
      </c>
      <c r="T367" s="35" t="str">
        <f t="shared" si="377"/>
        <v>Redes de Fluídos</v>
      </c>
      <c r="U367" s="35" t="str">
        <f t="shared" si="378"/>
        <v>Redes Coletoras</v>
      </c>
      <c r="V367" s="34" t="s">
        <v>1341</v>
      </c>
      <c r="W367" s="88" t="str">
        <f t="shared" si="346"/>
        <v>Key-INF-367</v>
      </c>
      <c r="X367" s="33" t="s">
        <v>1388</v>
      </c>
      <c r="Y367" s="50" t="s">
        <v>1442</v>
      </c>
      <c r="Z367" s="86" t="s">
        <v>1</v>
      </c>
      <c r="AA367" s="33" t="str">
        <f t="shared" si="347"/>
        <v>Hospital gas or liquid network system.</v>
      </c>
    </row>
    <row r="368" spans="1:27" ht="6.6" customHeight="1" x14ac:dyDescent="0.25">
      <c r="A368" s="31">
        <v>368</v>
      </c>
      <c r="B368" s="38" t="s">
        <v>76</v>
      </c>
      <c r="C368" s="39" t="s">
        <v>1145</v>
      </c>
      <c r="D368" s="38" t="s">
        <v>1122</v>
      </c>
      <c r="E368" s="38" t="s">
        <v>1123</v>
      </c>
      <c r="F368" s="38" t="s">
        <v>1124</v>
      </c>
      <c r="G368" s="80" t="s">
        <v>1</v>
      </c>
      <c r="H368" s="80" t="s">
        <v>1</v>
      </c>
      <c r="I368" s="80" t="s">
        <v>1</v>
      </c>
      <c r="J368" s="80" t="s">
        <v>1</v>
      </c>
      <c r="K368" s="80"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1125</v>
      </c>
      <c r="Q368" s="33" t="s">
        <v>1286</v>
      </c>
      <c r="R368" s="34" t="s">
        <v>1</v>
      </c>
      <c r="S368" s="35" t="str">
        <f t="shared" ref="S368" si="390">SUBSTITUTE(C368, ".", " ")</f>
        <v>Redes</v>
      </c>
      <c r="T368" s="35" t="str">
        <f t="shared" ref="T368" si="391">SUBSTITUTE(D368, ".", " ")</f>
        <v>Redes Elétricas</v>
      </c>
      <c r="U368" s="35" t="str">
        <f t="shared" ref="U368" si="392">SUBSTITUTE(E368, ".", " ")</f>
        <v>Redes de Transmissão</v>
      </c>
      <c r="V368" s="34" t="s">
        <v>1341</v>
      </c>
      <c r="W368" s="88" t="str">
        <f t="shared" si="346"/>
        <v>Key-INF-368</v>
      </c>
      <c r="X368" s="33" t="s">
        <v>1389</v>
      </c>
      <c r="Y368" s="50" t="s">
        <v>1442</v>
      </c>
      <c r="Z368" s="86" t="s">
        <v>1</v>
      </c>
      <c r="AA368" s="33" t="str">
        <f t="shared" si="347"/>
        <v>High Voltage transmission power line with more than 69 kV.</v>
      </c>
    </row>
    <row r="369" spans="1:27" ht="6.6" customHeight="1" x14ac:dyDescent="0.25">
      <c r="A369" s="31">
        <v>369</v>
      </c>
      <c r="B369" s="38" t="s">
        <v>76</v>
      </c>
      <c r="C369" s="39" t="s">
        <v>1145</v>
      </c>
      <c r="D369" s="38" t="s">
        <v>1122</v>
      </c>
      <c r="E369" s="38" t="s">
        <v>1123</v>
      </c>
      <c r="F369" s="38" t="s">
        <v>1251</v>
      </c>
      <c r="G369" s="80" t="s">
        <v>1</v>
      </c>
      <c r="H369" s="80" t="s">
        <v>1</v>
      </c>
      <c r="I369" s="80" t="s">
        <v>1</v>
      </c>
      <c r="J369" s="80" t="s">
        <v>1</v>
      </c>
      <c r="K369" s="80" t="s">
        <v>1</v>
      </c>
      <c r="L369" s="32" t="str">
        <f t="shared" si="375"/>
        <v>Redes</v>
      </c>
      <c r="M369" s="32" t="str">
        <f t="shared" si="375"/>
        <v>Redes Elétricas</v>
      </c>
      <c r="N369" s="32" t="str">
        <f t="shared" si="375"/>
        <v>Redes de Transmissão</v>
      </c>
      <c r="O369" s="32" t="str">
        <f t="shared" si="375"/>
        <v>Torre de Transmissão</v>
      </c>
      <c r="P369" s="33" t="s">
        <v>1252</v>
      </c>
      <c r="Q369" s="33" t="s">
        <v>1287</v>
      </c>
      <c r="R369" s="34" t="s">
        <v>1</v>
      </c>
      <c r="S369" s="35" t="str">
        <f t="shared" si="376"/>
        <v>Redes</v>
      </c>
      <c r="T369" s="35" t="str">
        <f t="shared" si="377"/>
        <v>Redes Elétricas</v>
      </c>
      <c r="U369" s="35" t="str">
        <f t="shared" si="378"/>
        <v>Redes de Transmissão</v>
      </c>
      <c r="V369" s="34" t="s">
        <v>1341</v>
      </c>
      <c r="W369" s="88" t="str">
        <f t="shared" si="346"/>
        <v>Key-INF-369</v>
      </c>
      <c r="X369" s="33" t="s">
        <v>1389</v>
      </c>
      <c r="Y369" s="50" t="s">
        <v>1442</v>
      </c>
      <c r="Z369" s="86" t="s">
        <v>1</v>
      </c>
      <c r="AA369" s="33" t="str">
        <f t="shared" si="347"/>
        <v>Metal support structure of the High Voltage transmission power line with more than 69 kV.</v>
      </c>
    </row>
    <row r="370" spans="1:27" ht="6.6" customHeight="1" x14ac:dyDescent="0.25">
      <c r="A370" s="31">
        <v>370</v>
      </c>
      <c r="B370" s="38" t="s">
        <v>76</v>
      </c>
      <c r="C370" s="39" t="s">
        <v>1145</v>
      </c>
      <c r="D370" s="38" t="s">
        <v>1122</v>
      </c>
      <c r="E370" s="38" t="s">
        <v>1126</v>
      </c>
      <c r="F370" s="38" t="s">
        <v>1253</v>
      </c>
      <c r="G370" s="80" t="s">
        <v>1</v>
      </c>
      <c r="H370" s="80" t="s">
        <v>1</v>
      </c>
      <c r="I370" s="80" t="s">
        <v>1</v>
      </c>
      <c r="J370" s="80" t="s">
        <v>1</v>
      </c>
      <c r="K370" s="80" t="s">
        <v>1</v>
      </c>
      <c r="L370" s="32" t="str">
        <f t="shared" si="375"/>
        <v>Redes</v>
      </c>
      <c r="M370" s="32" t="str">
        <f t="shared" si="375"/>
        <v>Redes Elétricas</v>
      </c>
      <c r="N370" s="32" t="str">
        <f t="shared" si="375"/>
        <v>Redes de Distribuição</v>
      </c>
      <c r="O370" s="32" t="str">
        <f t="shared" si="375"/>
        <v>Rede de MT Nua</v>
      </c>
      <c r="P370" s="33" t="s">
        <v>1258</v>
      </c>
      <c r="Q370" s="33" t="s">
        <v>1288</v>
      </c>
      <c r="R370" s="34" t="s">
        <v>1</v>
      </c>
      <c r="S370" s="35" t="str">
        <f t="shared" si="376"/>
        <v>Redes</v>
      </c>
      <c r="T370" s="35" t="str">
        <f t="shared" si="377"/>
        <v>Redes Elétricas</v>
      </c>
      <c r="U370" s="35" t="str">
        <f t="shared" si="378"/>
        <v>Redes de Distribuição</v>
      </c>
      <c r="V370" s="34" t="s">
        <v>1341</v>
      </c>
      <c r="W370" s="88" t="str">
        <f t="shared" si="346"/>
        <v>Key-INF-370</v>
      </c>
      <c r="X370" s="33" t="s">
        <v>1389</v>
      </c>
      <c r="Y370" s="50" t="s">
        <v>1442</v>
      </c>
      <c r="Z370" s="86"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1145</v>
      </c>
      <c r="D371" s="38" t="s">
        <v>1122</v>
      </c>
      <c r="E371" s="38" t="s">
        <v>1126</v>
      </c>
      <c r="F371" s="38" t="s">
        <v>1254</v>
      </c>
      <c r="G371" s="80" t="s">
        <v>1</v>
      </c>
      <c r="H371" s="80" t="s">
        <v>1</v>
      </c>
      <c r="I371" s="80" t="s">
        <v>1</v>
      </c>
      <c r="J371" s="80" t="s">
        <v>1</v>
      </c>
      <c r="K371" s="80" t="s">
        <v>1</v>
      </c>
      <c r="L371" s="32" t="str">
        <f t="shared" si="375"/>
        <v>Redes</v>
      </c>
      <c r="M371" s="32" t="str">
        <f t="shared" si="375"/>
        <v>Redes Elétricas</v>
      </c>
      <c r="N371" s="32" t="str">
        <f t="shared" si="375"/>
        <v>Redes de Distribuição</v>
      </c>
      <c r="O371" s="32" t="str">
        <f t="shared" si="375"/>
        <v>Rede de MT Multiplex</v>
      </c>
      <c r="P371" s="33" t="s">
        <v>1259</v>
      </c>
      <c r="Q371" s="33" t="s">
        <v>1289</v>
      </c>
      <c r="R371" s="34" t="s">
        <v>1</v>
      </c>
      <c r="S371" s="35" t="str">
        <f t="shared" si="376"/>
        <v>Redes</v>
      </c>
      <c r="T371" s="35" t="str">
        <f t="shared" si="377"/>
        <v>Redes Elétricas</v>
      </c>
      <c r="U371" s="35" t="str">
        <f t="shared" si="378"/>
        <v>Redes de Distribuição</v>
      </c>
      <c r="V371" s="34" t="s">
        <v>1341</v>
      </c>
      <c r="W371" s="88" t="str">
        <f t="shared" si="346"/>
        <v>Key-INF-371</v>
      </c>
      <c r="X371" s="33" t="s">
        <v>1389</v>
      </c>
      <c r="Y371" s="50" t="s">
        <v>1442</v>
      </c>
      <c r="Z371" s="86"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1145</v>
      </c>
      <c r="D372" s="38" t="s">
        <v>1122</v>
      </c>
      <c r="E372" s="38" t="s">
        <v>1126</v>
      </c>
      <c r="F372" s="38" t="s">
        <v>1255</v>
      </c>
      <c r="G372" s="80" t="s">
        <v>1</v>
      </c>
      <c r="H372" s="80" t="s">
        <v>1</v>
      </c>
      <c r="I372" s="80" t="s">
        <v>1</v>
      </c>
      <c r="J372" s="80" t="s">
        <v>1</v>
      </c>
      <c r="K372" s="80"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1271</v>
      </c>
      <c r="Q372" s="33" t="s">
        <v>1290</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1341</v>
      </c>
      <c r="W372" s="88" t="str">
        <f t="shared" si="346"/>
        <v>Key-INF-372</v>
      </c>
      <c r="X372" s="33" t="s">
        <v>1389</v>
      </c>
      <c r="Y372" s="50" t="s">
        <v>1442</v>
      </c>
      <c r="Z372" s="86"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1145</v>
      </c>
      <c r="D373" s="38" t="s">
        <v>1122</v>
      </c>
      <c r="E373" s="38" t="s">
        <v>1126</v>
      </c>
      <c r="F373" s="38" t="s">
        <v>1257</v>
      </c>
      <c r="G373" s="80" t="s">
        <v>1</v>
      </c>
      <c r="H373" s="80" t="s">
        <v>1</v>
      </c>
      <c r="I373" s="80" t="s">
        <v>1</v>
      </c>
      <c r="J373" s="80" t="s">
        <v>1</v>
      </c>
      <c r="K373" s="80" t="s">
        <v>1</v>
      </c>
      <c r="L373" s="32" t="str">
        <f t="shared" si="393"/>
        <v>Redes</v>
      </c>
      <c r="M373" s="32" t="str">
        <f t="shared" si="394"/>
        <v>Redes Elétricas</v>
      </c>
      <c r="N373" s="32" t="str">
        <f t="shared" si="395"/>
        <v>Redes de Distribuição</v>
      </c>
      <c r="O373" s="32" t="str">
        <f t="shared" si="396"/>
        <v>Poste de Concreto Circular</v>
      </c>
      <c r="P373" s="33" t="s">
        <v>1272</v>
      </c>
      <c r="Q373" s="33" t="s">
        <v>1291</v>
      </c>
      <c r="R373" s="34" t="s">
        <v>1</v>
      </c>
      <c r="S373" s="35" t="str">
        <f t="shared" si="397"/>
        <v>Redes</v>
      </c>
      <c r="T373" s="35" t="str">
        <f t="shared" si="398"/>
        <v>Redes Elétricas</v>
      </c>
      <c r="U373" s="35" t="str">
        <f t="shared" si="399"/>
        <v>Redes de Distribuição</v>
      </c>
      <c r="V373" s="34" t="s">
        <v>1341</v>
      </c>
      <c r="W373" s="88" t="str">
        <f t="shared" si="346"/>
        <v>Key-INF-373</v>
      </c>
      <c r="X373" s="33" t="s">
        <v>1389</v>
      </c>
      <c r="Y373" s="50" t="s">
        <v>1442</v>
      </c>
      <c r="Z373" s="86" t="s">
        <v>1</v>
      </c>
      <c r="AA373" s="33" t="str">
        <f t="shared" si="347"/>
        <v>See NBR 8451. Circular section concrete pole to conduct Medium Voltage overhead power grid.</v>
      </c>
    </row>
    <row r="374" spans="1:27" ht="6.6" customHeight="1" x14ac:dyDescent="0.25">
      <c r="A374" s="31">
        <v>374</v>
      </c>
      <c r="B374" s="38" t="s">
        <v>76</v>
      </c>
      <c r="C374" s="39" t="s">
        <v>1145</v>
      </c>
      <c r="D374" s="38" t="s">
        <v>1122</v>
      </c>
      <c r="E374" s="38" t="s">
        <v>1126</v>
      </c>
      <c r="F374" s="38" t="s">
        <v>1256</v>
      </c>
      <c r="G374" s="80" t="s">
        <v>1</v>
      </c>
      <c r="H374" s="80" t="s">
        <v>1</v>
      </c>
      <c r="I374" s="80" t="s">
        <v>1</v>
      </c>
      <c r="J374" s="80" t="s">
        <v>1</v>
      </c>
      <c r="K374" s="80" t="s">
        <v>1</v>
      </c>
      <c r="L374" s="32" t="str">
        <f t="shared" si="375"/>
        <v>Redes</v>
      </c>
      <c r="M374" s="32" t="str">
        <f t="shared" si="375"/>
        <v>Redes Elétricas</v>
      </c>
      <c r="N374" s="32" t="str">
        <f t="shared" si="375"/>
        <v>Redes de Distribuição</v>
      </c>
      <c r="O374" s="32" t="str">
        <f t="shared" si="375"/>
        <v>Poste de Concreto DT</v>
      </c>
      <c r="P374" s="33" t="s">
        <v>1273</v>
      </c>
      <c r="Q374" s="33" t="s">
        <v>1292</v>
      </c>
      <c r="R374" s="34" t="s">
        <v>1</v>
      </c>
      <c r="S374" s="35" t="str">
        <f t="shared" si="376"/>
        <v>Redes</v>
      </c>
      <c r="T374" s="35" t="str">
        <f t="shared" si="377"/>
        <v>Redes Elétricas</v>
      </c>
      <c r="U374" s="35" t="str">
        <f t="shared" si="378"/>
        <v>Redes de Distribuição</v>
      </c>
      <c r="V374" s="34" t="s">
        <v>1341</v>
      </c>
      <c r="W374" s="88" t="str">
        <f t="shared" si="346"/>
        <v>Key-INF-374</v>
      </c>
      <c r="X374" s="33" t="s">
        <v>1389</v>
      </c>
      <c r="Y374" s="50" t="s">
        <v>1442</v>
      </c>
      <c r="Z374" s="86" t="s">
        <v>1</v>
      </c>
      <c r="AA374" s="33" t="str">
        <f t="shared" si="347"/>
        <v>See NBR 8451. Double Tee (DT) section concrete pole to conduct Medium Voltage overhead power grid.</v>
      </c>
    </row>
    <row r="375" spans="1:27" ht="6.6" customHeight="1" x14ac:dyDescent="0.25">
      <c r="A375" s="31">
        <v>375</v>
      </c>
      <c r="B375" s="38" t="s">
        <v>76</v>
      </c>
      <c r="C375" s="39" t="s">
        <v>1145</v>
      </c>
      <c r="D375" s="38" t="s">
        <v>1122</v>
      </c>
      <c r="E375" s="38" t="s">
        <v>1126</v>
      </c>
      <c r="F375" s="38" t="s">
        <v>1127</v>
      </c>
      <c r="G375" s="80" t="s">
        <v>1</v>
      </c>
      <c r="H375" s="80" t="s">
        <v>1</v>
      </c>
      <c r="I375" s="80" t="s">
        <v>1</v>
      </c>
      <c r="J375" s="80" t="s">
        <v>1</v>
      </c>
      <c r="K375" s="80" t="s">
        <v>1</v>
      </c>
      <c r="L375" s="32" t="str">
        <f t="shared" si="375"/>
        <v>Redes</v>
      </c>
      <c r="M375" s="32" t="str">
        <f t="shared" si="375"/>
        <v>Redes Elétricas</v>
      </c>
      <c r="N375" s="32" t="str">
        <f t="shared" si="375"/>
        <v>Redes de Distribuição</v>
      </c>
      <c r="O375" s="32" t="str">
        <f t="shared" si="375"/>
        <v>Rede de MT Subterrânea</v>
      </c>
      <c r="P375" s="33" t="s">
        <v>1128</v>
      </c>
      <c r="Q375" s="33" t="s">
        <v>1293</v>
      </c>
      <c r="R375" s="34" t="s">
        <v>1</v>
      </c>
      <c r="S375" s="35" t="str">
        <f t="shared" si="376"/>
        <v>Redes</v>
      </c>
      <c r="T375" s="35" t="str">
        <f t="shared" si="377"/>
        <v>Redes Elétricas</v>
      </c>
      <c r="U375" s="35" t="str">
        <f t="shared" si="378"/>
        <v>Redes de Distribuição</v>
      </c>
      <c r="V375" s="34" t="s">
        <v>1341</v>
      </c>
      <c r="W375" s="88" t="str">
        <f t="shared" si="346"/>
        <v>Key-INF-375</v>
      </c>
      <c r="X375" s="33" t="s">
        <v>1389</v>
      </c>
      <c r="Y375" s="50" t="s">
        <v>1442</v>
      </c>
      <c r="Z375" s="86" t="s">
        <v>1</v>
      </c>
      <c r="AA375" s="33" t="str">
        <f t="shared" si="347"/>
        <v>Medium Voltage underground electrical network between 1 kV and 69 kV.</v>
      </c>
    </row>
    <row r="376" spans="1:27" ht="6.6" customHeight="1" x14ac:dyDescent="0.25">
      <c r="A376" s="31">
        <v>376</v>
      </c>
      <c r="B376" s="38" t="s">
        <v>76</v>
      </c>
      <c r="C376" s="39" t="s">
        <v>1145</v>
      </c>
      <c r="D376" s="38" t="s">
        <v>1122</v>
      </c>
      <c r="E376" s="38" t="s">
        <v>1126</v>
      </c>
      <c r="F376" s="38" t="s">
        <v>1129</v>
      </c>
      <c r="G376" s="80" t="s">
        <v>1</v>
      </c>
      <c r="H376" s="80" t="s">
        <v>1</v>
      </c>
      <c r="I376" s="80" t="s">
        <v>1</v>
      </c>
      <c r="J376" s="80" t="s">
        <v>1</v>
      </c>
      <c r="K376" s="80" t="s">
        <v>1</v>
      </c>
      <c r="L376" s="32" t="str">
        <f t="shared" si="375"/>
        <v>Redes</v>
      </c>
      <c r="M376" s="32" t="str">
        <f t="shared" si="375"/>
        <v>Redes Elétricas</v>
      </c>
      <c r="N376" s="32" t="str">
        <f t="shared" si="375"/>
        <v>Redes de Distribuição</v>
      </c>
      <c r="O376" s="32" t="str">
        <f t="shared" si="375"/>
        <v>Rede de BT Aérea</v>
      </c>
      <c r="P376" s="33" t="s">
        <v>1130</v>
      </c>
      <c r="Q376" s="33" t="s">
        <v>1294</v>
      </c>
      <c r="R376" s="34" t="s">
        <v>1</v>
      </c>
      <c r="S376" s="35" t="str">
        <f t="shared" si="376"/>
        <v>Redes</v>
      </c>
      <c r="T376" s="35" t="str">
        <f t="shared" si="377"/>
        <v>Redes Elétricas</v>
      </c>
      <c r="U376" s="35" t="str">
        <f t="shared" si="378"/>
        <v>Redes de Distribuição</v>
      </c>
      <c r="V376" s="34" t="s">
        <v>1341</v>
      </c>
      <c r="W376" s="88" t="str">
        <f t="shared" si="346"/>
        <v>Key-INF-376</v>
      </c>
      <c r="X376" s="33" t="s">
        <v>1389</v>
      </c>
      <c r="Y376" s="50" t="s">
        <v>1442</v>
      </c>
      <c r="Z376" s="86" t="s">
        <v>1</v>
      </c>
      <c r="AA376" s="33" t="str">
        <f t="shared" si="347"/>
        <v>Low Voltage overhead power grid up to 1,000 volts (1Kv).</v>
      </c>
    </row>
    <row r="377" spans="1:27" ht="6.6" customHeight="1" x14ac:dyDescent="0.25">
      <c r="A377" s="31">
        <v>377</v>
      </c>
      <c r="B377" s="38" t="s">
        <v>76</v>
      </c>
      <c r="C377" s="39" t="s">
        <v>1145</v>
      </c>
      <c r="D377" s="38" t="s">
        <v>1122</v>
      </c>
      <c r="E377" s="38" t="s">
        <v>1126</v>
      </c>
      <c r="F377" s="38" t="s">
        <v>1131</v>
      </c>
      <c r="G377" s="80" t="s">
        <v>1</v>
      </c>
      <c r="H377" s="80" t="s">
        <v>1</v>
      </c>
      <c r="I377" s="80" t="s">
        <v>1</v>
      </c>
      <c r="J377" s="80" t="s">
        <v>1</v>
      </c>
      <c r="K377" s="80"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1132</v>
      </c>
      <c r="Q377" s="33" t="s">
        <v>1295</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1341</v>
      </c>
      <c r="W377" s="88" t="str">
        <f t="shared" si="346"/>
        <v>Key-INF-377</v>
      </c>
      <c r="X377" s="33" t="s">
        <v>1389</v>
      </c>
      <c r="Y377" s="50" t="s">
        <v>1442</v>
      </c>
      <c r="Z377" s="86" t="s">
        <v>1</v>
      </c>
      <c r="AA377" s="33" t="str">
        <f t="shared" si="347"/>
        <v>Low Voltage underground electrical network up to 1,000 volts (1Kv).</v>
      </c>
    </row>
    <row r="378" spans="1:27" ht="6.6" customHeight="1" x14ac:dyDescent="0.25">
      <c r="A378" s="31">
        <v>378</v>
      </c>
      <c r="B378" s="38" t="s">
        <v>76</v>
      </c>
      <c r="C378" s="39" t="s">
        <v>1145</v>
      </c>
      <c r="D378" s="38" t="s">
        <v>1122</v>
      </c>
      <c r="E378" s="38" t="s">
        <v>1270</v>
      </c>
      <c r="F378" s="38" t="s">
        <v>1260</v>
      </c>
      <c r="G378" s="80" t="s">
        <v>1</v>
      </c>
      <c r="H378" s="80" t="s">
        <v>1</v>
      </c>
      <c r="I378" s="80" t="s">
        <v>1</v>
      </c>
      <c r="J378" s="80" t="s">
        <v>1</v>
      </c>
      <c r="K378" s="80" t="s">
        <v>1</v>
      </c>
      <c r="L378" s="32" t="str">
        <f t="shared" si="400"/>
        <v>Redes</v>
      </c>
      <c r="M378" s="32" t="str">
        <f t="shared" si="401"/>
        <v>Redes Elétricas</v>
      </c>
      <c r="N378" s="32" t="str">
        <f t="shared" si="402"/>
        <v>Conexões de EE</v>
      </c>
      <c r="O378" s="32" t="str">
        <f t="shared" si="403"/>
        <v>Ponto de Entrega</v>
      </c>
      <c r="P378" s="33" t="s">
        <v>1268</v>
      </c>
      <c r="Q378" s="33" t="s">
        <v>1296</v>
      </c>
      <c r="R378" s="34" t="s">
        <v>1</v>
      </c>
      <c r="S378" s="35" t="str">
        <f t="shared" si="404"/>
        <v>Redes</v>
      </c>
      <c r="T378" s="35" t="str">
        <f t="shared" si="405"/>
        <v>Redes Elétricas</v>
      </c>
      <c r="U378" s="35" t="str">
        <f t="shared" si="406"/>
        <v>Conexões de EE</v>
      </c>
      <c r="V378" s="34" t="s">
        <v>1341</v>
      </c>
      <c r="W378" s="88" t="str">
        <f t="shared" si="346"/>
        <v>Key-INF-378</v>
      </c>
      <c r="X378" s="33" t="s">
        <v>1389</v>
      </c>
      <c r="Y378" s="50" t="s">
        <v>1442</v>
      </c>
      <c r="Z378" s="86"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1145</v>
      </c>
      <c r="D379" s="38" t="s">
        <v>1122</v>
      </c>
      <c r="E379" s="38" t="s">
        <v>1270</v>
      </c>
      <c r="F379" s="38" t="s">
        <v>1261</v>
      </c>
      <c r="G379" s="80" t="s">
        <v>1</v>
      </c>
      <c r="H379" s="80" t="s">
        <v>1</v>
      </c>
      <c r="I379" s="80" t="s">
        <v>1</v>
      </c>
      <c r="J379" s="80" t="s">
        <v>1</v>
      </c>
      <c r="K379" s="80" t="s">
        <v>1</v>
      </c>
      <c r="L379" s="32" t="str">
        <f t="shared" si="400"/>
        <v>Redes</v>
      </c>
      <c r="M379" s="32" t="str">
        <f t="shared" si="401"/>
        <v>Redes Elétricas</v>
      </c>
      <c r="N379" s="32" t="str">
        <f t="shared" si="402"/>
        <v>Conexões de EE</v>
      </c>
      <c r="O379" s="32" t="str">
        <f t="shared" si="403"/>
        <v>Ponto de Entrada</v>
      </c>
      <c r="P379" s="33" t="s">
        <v>1269</v>
      </c>
      <c r="Q379" s="33" t="s">
        <v>1297</v>
      </c>
      <c r="R379" s="34" t="s">
        <v>1</v>
      </c>
      <c r="S379" s="35" t="str">
        <f t="shared" si="404"/>
        <v>Redes</v>
      </c>
      <c r="T379" s="35" t="str">
        <f t="shared" si="405"/>
        <v>Redes Elétricas</v>
      </c>
      <c r="U379" s="35" t="str">
        <f t="shared" si="406"/>
        <v>Conexões de EE</v>
      </c>
      <c r="V379" s="34" t="s">
        <v>1341</v>
      </c>
      <c r="W379" s="88" t="str">
        <f t="shared" si="346"/>
        <v>Key-INF-379</v>
      </c>
      <c r="X379" s="33" t="s">
        <v>1389</v>
      </c>
      <c r="Y379" s="50" t="s">
        <v>1442</v>
      </c>
      <c r="Z379" s="86" t="s">
        <v>1</v>
      </c>
      <c r="AA379" s="33" t="str">
        <f t="shared" si="347"/>
        <v>Consult NBR 5410 Standard. Point at which an external line penetrates the building.</v>
      </c>
    </row>
    <row r="380" spans="1:27" ht="6.6" customHeight="1" x14ac:dyDescent="0.25">
      <c r="A380" s="31">
        <v>380</v>
      </c>
      <c r="B380" s="38" t="s">
        <v>76</v>
      </c>
      <c r="C380" s="39" t="s">
        <v>1145</v>
      </c>
      <c r="D380" s="38" t="s">
        <v>1122</v>
      </c>
      <c r="E380" s="38" t="s">
        <v>1270</v>
      </c>
      <c r="F380" s="38" t="s">
        <v>1262</v>
      </c>
      <c r="G380" s="80" t="s">
        <v>1</v>
      </c>
      <c r="H380" s="80" t="s">
        <v>1</v>
      </c>
      <c r="I380" s="80" t="s">
        <v>1</v>
      </c>
      <c r="J380" s="80" t="s">
        <v>1</v>
      </c>
      <c r="K380" s="80" t="s">
        <v>1</v>
      </c>
      <c r="L380" s="32" t="str">
        <f t="shared" si="400"/>
        <v>Redes</v>
      </c>
      <c r="M380" s="32" t="str">
        <f t="shared" si="401"/>
        <v>Redes Elétricas</v>
      </c>
      <c r="N380" s="32" t="str">
        <f t="shared" si="402"/>
        <v>Conexões de EE</v>
      </c>
      <c r="O380" s="32" t="str">
        <f t="shared" si="403"/>
        <v>Esquema TN</v>
      </c>
      <c r="P380" s="33" t="s">
        <v>1265</v>
      </c>
      <c r="Q380" s="33" t="s">
        <v>1298</v>
      </c>
      <c r="R380" s="34" t="s">
        <v>1</v>
      </c>
      <c r="S380" s="35" t="str">
        <f t="shared" si="404"/>
        <v>Redes</v>
      </c>
      <c r="T380" s="35" t="str">
        <f t="shared" si="405"/>
        <v>Redes Elétricas</v>
      </c>
      <c r="U380" s="35" t="str">
        <f t="shared" si="406"/>
        <v>Conexões de EE</v>
      </c>
      <c r="V380" s="34" t="s">
        <v>1341</v>
      </c>
      <c r="W380" s="88" t="str">
        <f t="shared" si="346"/>
        <v>Key-INF-380</v>
      </c>
      <c r="X380" s="33" t="s">
        <v>1389</v>
      </c>
      <c r="Y380" s="50" t="s">
        <v>1442</v>
      </c>
      <c r="Z380" s="86"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1145</v>
      </c>
      <c r="D381" s="38" t="s">
        <v>1122</v>
      </c>
      <c r="E381" s="38" t="s">
        <v>1270</v>
      </c>
      <c r="F381" s="38" t="s">
        <v>1263</v>
      </c>
      <c r="G381" s="80" t="s">
        <v>1</v>
      </c>
      <c r="H381" s="80" t="s">
        <v>1</v>
      </c>
      <c r="I381" s="80" t="s">
        <v>1</v>
      </c>
      <c r="J381" s="80" t="s">
        <v>1</v>
      </c>
      <c r="K381" s="80" t="s">
        <v>1</v>
      </c>
      <c r="L381" s="32" t="str">
        <f t="shared" si="400"/>
        <v>Redes</v>
      </c>
      <c r="M381" s="32" t="str">
        <f t="shared" si="401"/>
        <v>Redes Elétricas</v>
      </c>
      <c r="N381" s="32" t="str">
        <f t="shared" si="402"/>
        <v>Conexões de EE</v>
      </c>
      <c r="O381" s="32" t="str">
        <f t="shared" si="403"/>
        <v>Esquema TT</v>
      </c>
      <c r="P381" s="33" t="s">
        <v>1266</v>
      </c>
      <c r="Q381" s="33" t="s">
        <v>1299</v>
      </c>
      <c r="R381" s="34" t="s">
        <v>1</v>
      </c>
      <c r="S381" s="35" t="str">
        <f t="shared" si="404"/>
        <v>Redes</v>
      </c>
      <c r="T381" s="35" t="str">
        <f t="shared" si="405"/>
        <v>Redes Elétricas</v>
      </c>
      <c r="U381" s="35" t="str">
        <f t="shared" si="406"/>
        <v>Conexões de EE</v>
      </c>
      <c r="V381" s="34" t="s">
        <v>1341</v>
      </c>
      <c r="W381" s="88" t="str">
        <f t="shared" si="346"/>
        <v>Key-INF-381</v>
      </c>
      <c r="X381" s="33" t="s">
        <v>1389</v>
      </c>
      <c r="Y381" s="50" t="s">
        <v>1442</v>
      </c>
      <c r="Z381" s="86"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1145</v>
      </c>
      <c r="D382" s="38" t="s">
        <v>1122</v>
      </c>
      <c r="E382" s="38" t="s">
        <v>1270</v>
      </c>
      <c r="F382" s="38" t="s">
        <v>1264</v>
      </c>
      <c r="G382" s="80" t="s">
        <v>1</v>
      </c>
      <c r="H382" s="80" t="s">
        <v>1</v>
      </c>
      <c r="I382" s="80" t="s">
        <v>1</v>
      </c>
      <c r="J382" s="80" t="s">
        <v>1</v>
      </c>
      <c r="K382" s="80" t="s">
        <v>1</v>
      </c>
      <c r="L382" s="32" t="str">
        <f t="shared" si="375"/>
        <v>Redes</v>
      </c>
      <c r="M382" s="32" t="str">
        <f t="shared" si="375"/>
        <v>Redes Elétricas</v>
      </c>
      <c r="N382" s="32" t="str">
        <f t="shared" si="375"/>
        <v>Conexões de EE</v>
      </c>
      <c r="O382" s="32" t="str">
        <f t="shared" si="375"/>
        <v>Esquema TI</v>
      </c>
      <c r="P382" s="33" t="s">
        <v>1267</v>
      </c>
      <c r="Q382" s="33" t="s">
        <v>1300</v>
      </c>
      <c r="R382" s="34" t="s">
        <v>1</v>
      </c>
      <c r="S382" s="35" t="str">
        <f t="shared" si="376"/>
        <v>Redes</v>
      </c>
      <c r="T382" s="35" t="str">
        <f t="shared" si="377"/>
        <v>Redes Elétricas</v>
      </c>
      <c r="U382" s="35" t="str">
        <f t="shared" si="378"/>
        <v>Conexões de EE</v>
      </c>
      <c r="V382" s="34" t="s">
        <v>1341</v>
      </c>
      <c r="W382" s="88" t="str">
        <f t="shared" si="346"/>
        <v>Key-INF-382</v>
      </c>
      <c r="X382" s="33" t="s">
        <v>1389</v>
      </c>
      <c r="Y382" s="50" t="s">
        <v>1443</v>
      </c>
      <c r="Z382" s="86"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1145</v>
      </c>
      <c r="D383" s="38" t="s">
        <v>1302</v>
      </c>
      <c r="E383" s="38" t="s">
        <v>1133</v>
      </c>
      <c r="F383" s="38" t="s">
        <v>1178</v>
      </c>
      <c r="G383" s="80" t="s">
        <v>1</v>
      </c>
      <c r="H383" s="80" t="s">
        <v>1</v>
      </c>
      <c r="I383" s="80" t="s">
        <v>1</v>
      </c>
      <c r="J383" s="80" t="s">
        <v>1</v>
      </c>
      <c r="K383" s="80" t="s">
        <v>1</v>
      </c>
      <c r="L383" s="32" t="str">
        <f t="shared" si="375"/>
        <v>Redes</v>
      </c>
      <c r="M383" s="32" t="str">
        <f t="shared" si="375"/>
        <v>Redes Iluminação</v>
      </c>
      <c r="N383" s="32" t="str">
        <f t="shared" si="375"/>
        <v>Redes de Iluminação</v>
      </c>
      <c r="O383" s="32" t="str">
        <f t="shared" si="375"/>
        <v>Rede Pública de Iluminação</v>
      </c>
      <c r="P383" s="33" t="s">
        <v>1134</v>
      </c>
      <c r="Q383" s="33" t="s">
        <v>1301</v>
      </c>
      <c r="R383" s="34" t="s">
        <v>1</v>
      </c>
      <c r="S383" s="35" t="str">
        <f t="shared" si="376"/>
        <v>Redes</v>
      </c>
      <c r="T383" s="35" t="str">
        <f t="shared" si="377"/>
        <v>Redes Iluminação</v>
      </c>
      <c r="U383" s="35" t="str">
        <f t="shared" si="378"/>
        <v>Redes de Iluminação</v>
      </c>
      <c r="V383" s="34" t="s">
        <v>1341</v>
      </c>
      <c r="W383" s="88" t="str">
        <f t="shared" si="346"/>
        <v>Key-INF-383</v>
      </c>
      <c r="X383" s="33" t="s">
        <v>1389</v>
      </c>
      <c r="Y383" s="50" t="s">
        <v>1444</v>
      </c>
      <c r="Z383" s="86" t="s">
        <v>1</v>
      </c>
      <c r="AA383" s="33" t="str">
        <f t="shared" si="347"/>
        <v>Urban public lighting electrical network.</v>
      </c>
    </row>
    <row r="384" spans="1:27" ht="6.6" customHeight="1" x14ac:dyDescent="0.25">
      <c r="A384" s="31">
        <v>384</v>
      </c>
      <c r="B384" s="38" t="s">
        <v>76</v>
      </c>
      <c r="C384" s="39" t="s">
        <v>1145</v>
      </c>
      <c r="D384" s="38" t="s">
        <v>1302</v>
      </c>
      <c r="E384" s="38" t="s">
        <v>1133</v>
      </c>
      <c r="F384" s="38" t="s">
        <v>1179</v>
      </c>
      <c r="G384" s="80" t="s">
        <v>1</v>
      </c>
      <c r="H384" s="80" t="s">
        <v>1</v>
      </c>
      <c r="I384" s="80" t="s">
        <v>1</v>
      </c>
      <c r="J384" s="80" t="s">
        <v>1</v>
      </c>
      <c r="K384" s="80" t="s">
        <v>1</v>
      </c>
      <c r="L384" s="32" t="str">
        <f t="shared" si="375"/>
        <v>Redes</v>
      </c>
      <c r="M384" s="32" t="str">
        <f t="shared" si="375"/>
        <v>Redes Iluminação</v>
      </c>
      <c r="N384" s="32" t="str">
        <f t="shared" si="375"/>
        <v>Redes de Iluminação</v>
      </c>
      <c r="O384" s="32" t="str">
        <f t="shared" si="375"/>
        <v>Rede Pública de Sinalização</v>
      </c>
      <c r="P384" s="33" t="s">
        <v>1135</v>
      </c>
      <c r="Q384" s="33" t="s">
        <v>1136</v>
      </c>
      <c r="R384" s="34" t="s">
        <v>1</v>
      </c>
      <c r="S384" s="35" t="str">
        <f t="shared" si="376"/>
        <v>Redes</v>
      </c>
      <c r="T384" s="35" t="str">
        <f t="shared" si="377"/>
        <v>Redes Iluminação</v>
      </c>
      <c r="U384" s="35" t="str">
        <f t="shared" si="378"/>
        <v>Redes de Iluminação</v>
      </c>
      <c r="V384" s="34" t="s">
        <v>1341</v>
      </c>
      <c r="W384" s="88" t="str">
        <f t="shared" si="346"/>
        <v>Key-INF-384</v>
      </c>
      <c r="X384" s="33" t="s">
        <v>1389</v>
      </c>
      <c r="Y384" s="50" t="s">
        <v>1445</v>
      </c>
      <c r="Z384" s="86" t="s">
        <v>1</v>
      </c>
      <c r="AA384" s="33" t="str">
        <f t="shared" si="347"/>
        <v>Urban public signaling electrical network (traffic signals and totems).</v>
      </c>
    </row>
    <row r="385" spans="1:27" ht="6.6" customHeight="1" x14ac:dyDescent="0.25">
      <c r="A385" s="31">
        <v>385</v>
      </c>
      <c r="B385" s="38" t="s">
        <v>76</v>
      </c>
      <c r="C385" s="39" t="s">
        <v>1145</v>
      </c>
      <c r="D385" s="38" t="s">
        <v>1166</v>
      </c>
      <c r="E385" s="38" t="s">
        <v>1175</v>
      </c>
      <c r="F385" s="38" t="s">
        <v>1167</v>
      </c>
      <c r="G385" s="80" t="s">
        <v>1</v>
      </c>
      <c r="H385" s="80" t="s">
        <v>1</v>
      </c>
      <c r="I385" s="80" t="s">
        <v>1</v>
      </c>
      <c r="J385" s="80" t="s">
        <v>1</v>
      </c>
      <c r="K385" s="80"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1137</v>
      </c>
      <c r="Q385" s="33" t="s">
        <v>1225</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1341</v>
      </c>
      <c r="W385" s="88" t="str">
        <f t="shared" si="346"/>
        <v>Key-INF-385</v>
      </c>
      <c r="X385" s="33" t="s">
        <v>1389</v>
      </c>
      <c r="Y385" s="50" t="s">
        <v>1445</v>
      </c>
      <c r="Z385" s="86" t="s">
        <v>1</v>
      </c>
      <c r="AA385" s="33" t="str">
        <f t="shared" si="347"/>
        <v>Aerial Fiber Optic Network.</v>
      </c>
    </row>
    <row r="386" spans="1:27" ht="6.6" customHeight="1" x14ac:dyDescent="0.25">
      <c r="A386" s="31">
        <v>386</v>
      </c>
      <c r="B386" s="38" t="s">
        <v>76</v>
      </c>
      <c r="C386" s="39" t="s">
        <v>1145</v>
      </c>
      <c r="D386" s="38" t="s">
        <v>1166</v>
      </c>
      <c r="E386" s="38" t="s">
        <v>1175</v>
      </c>
      <c r="F386" s="38" t="s">
        <v>1168</v>
      </c>
      <c r="G386" s="80" t="s">
        <v>1</v>
      </c>
      <c r="H386" s="80" t="s">
        <v>1</v>
      </c>
      <c r="I386" s="80" t="s">
        <v>1</v>
      </c>
      <c r="J386" s="80" t="s">
        <v>1</v>
      </c>
      <c r="K386" s="80"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1142</v>
      </c>
      <c r="Q386" s="33" t="s">
        <v>1226</v>
      </c>
      <c r="R386" s="34" t="s">
        <v>1</v>
      </c>
      <c r="S386" s="35" t="str">
        <f t="shared" ref="S386" si="418">SUBSTITUTE(C386, ".", " ")</f>
        <v>Redes</v>
      </c>
      <c r="T386" s="35" t="str">
        <f t="shared" ref="T386" si="419">SUBSTITUTE(D386, ".", " ")</f>
        <v>Redes de Telecom</v>
      </c>
      <c r="U386" s="35" t="str">
        <f t="shared" ref="U386" si="420">SUBSTITUTE(E386, ".", " ")</f>
        <v>Redes de Fibra Ótica</v>
      </c>
      <c r="V386" s="34" t="s">
        <v>1341</v>
      </c>
      <c r="W386" s="88" t="str">
        <f t="shared" si="346"/>
        <v>Key-INF-386</v>
      </c>
      <c r="X386" s="33" t="s">
        <v>1389</v>
      </c>
      <c r="Y386" s="50" t="s">
        <v>1446</v>
      </c>
      <c r="Z386" s="86" t="s">
        <v>1</v>
      </c>
      <c r="AA386" s="33" t="str">
        <f t="shared" si="347"/>
        <v>Underground telephone network.</v>
      </c>
    </row>
    <row r="387" spans="1:27" ht="6.6" customHeight="1" x14ac:dyDescent="0.25">
      <c r="A387" s="31">
        <v>387</v>
      </c>
      <c r="B387" s="38" t="s">
        <v>76</v>
      </c>
      <c r="C387" s="39" t="s">
        <v>1145</v>
      </c>
      <c r="D387" s="38" t="s">
        <v>1166</v>
      </c>
      <c r="E387" s="38" t="s">
        <v>1176</v>
      </c>
      <c r="F387" s="38" t="s">
        <v>1169</v>
      </c>
      <c r="G387" s="80" t="s">
        <v>1</v>
      </c>
      <c r="H387" s="80" t="s">
        <v>1</v>
      </c>
      <c r="I387" s="80" t="s">
        <v>1</v>
      </c>
      <c r="J387" s="80" t="s">
        <v>1</v>
      </c>
      <c r="K387" s="80" t="s">
        <v>1</v>
      </c>
      <c r="L387" s="32" t="str">
        <f t="shared" si="407"/>
        <v>Redes</v>
      </c>
      <c r="M387" s="32" t="str">
        <f t="shared" si="408"/>
        <v>Redes de Telecom</v>
      </c>
      <c r="N387" s="32" t="str">
        <f t="shared" si="409"/>
        <v>Redes de Dados</v>
      </c>
      <c r="O387" s="32" t="str">
        <f t="shared" si="410"/>
        <v>Rede de Dados Aérea</v>
      </c>
      <c r="P387" s="33" t="s">
        <v>1139</v>
      </c>
      <c r="Q387" s="33" t="s">
        <v>1227</v>
      </c>
      <c r="R387" s="34" t="s">
        <v>1</v>
      </c>
      <c r="S387" s="35" t="str">
        <f t="shared" si="411"/>
        <v>Redes</v>
      </c>
      <c r="T387" s="35" t="str">
        <f t="shared" si="412"/>
        <v>Redes de Telecom</v>
      </c>
      <c r="U387" s="35" t="str">
        <f t="shared" si="413"/>
        <v>Redes de Dados</v>
      </c>
      <c r="V387" s="34" t="s">
        <v>1341</v>
      </c>
      <c r="W387" s="88" t="str">
        <f t="shared" si="346"/>
        <v>Key-INF-387</v>
      </c>
      <c r="X387" s="33" t="s">
        <v>1389</v>
      </c>
      <c r="Y387" s="50" t="s">
        <v>1446</v>
      </c>
      <c r="Z387" s="86" t="s">
        <v>1</v>
      </c>
      <c r="AA387" s="33" t="str">
        <f t="shared" si="347"/>
        <v>Network data overhead logic.</v>
      </c>
    </row>
    <row r="388" spans="1:27" ht="6.6" customHeight="1" x14ac:dyDescent="0.25">
      <c r="A388" s="31">
        <v>388</v>
      </c>
      <c r="B388" s="38" t="s">
        <v>76</v>
      </c>
      <c r="C388" s="39" t="s">
        <v>1145</v>
      </c>
      <c r="D388" s="38" t="s">
        <v>1166</v>
      </c>
      <c r="E388" s="38" t="s">
        <v>1176</v>
      </c>
      <c r="F388" s="38" t="s">
        <v>1170</v>
      </c>
      <c r="G388" s="80" t="s">
        <v>1</v>
      </c>
      <c r="H388" s="80" t="s">
        <v>1</v>
      </c>
      <c r="I388" s="80" t="s">
        <v>1</v>
      </c>
      <c r="J388" s="80" t="s">
        <v>1</v>
      </c>
      <c r="K388" s="80"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1143</v>
      </c>
      <c r="Q388" s="33" t="s">
        <v>1228</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1341</v>
      </c>
      <c r="W388" s="88" t="str">
        <f t="shared" si="346"/>
        <v>Key-INF-388</v>
      </c>
      <c r="X388" s="33" t="s">
        <v>1389</v>
      </c>
      <c r="Y388" s="50" t="s">
        <v>1447</v>
      </c>
      <c r="Z388" s="86" t="s">
        <v>1</v>
      </c>
      <c r="AA388" s="33" t="str">
        <f t="shared" si="347"/>
        <v>Network data underground logic.</v>
      </c>
    </row>
    <row r="389" spans="1:27" ht="6.6" customHeight="1" x14ac:dyDescent="0.25">
      <c r="A389" s="31">
        <v>389</v>
      </c>
      <c r="B389" s="38" t="s">
        <v>76</v>
      </c>
      <c r="C389" s="39" t="s">
        <v>1145</v>
      </c>
      <c r="D389" s="38" t="s">
        <v>1166</v>
      </c>
      <c r="E389" s="38" t="s">
        <v>1176</v>
      </c>
      <c r="F389" s="38" t="s">
        <v>1244</v>
      </c>
      <c r="G389" s="80" t="s">
        <v>1</v>
      </c>
      <c r="H389" s="80" t="s">
        <v>1</v>
      </c>
      <c r="I389" s="80" t="s">
        <v>1</v>
      </c>
      <c r="J389" s="80" t="s">
        <v>1</v>
      </c>
      <c r="K389" s="80" t="s">
        <v>1</v>
      </c>
      <c r="L389" s="32" t="str">
        <f t="shared" si="421"/>
        <v>Redes</v>
      </c>
      <c r="M389" s="32" t="str">
        <f t="shared" si="422"/>
        <v>Redes de Telecom</v>
      </c>
      <c r="N389" s="32" t="str">
        <f t="shared" si="423"/>
        <v>Redes de Dados</v>
      </c>
      <c r="O389" s="32" t="str">
        <f t="shared" si="424"/>
        <v>Rede de Dados Ponto de Acesso</v>
      </c>
      <c r="P389" s="33" t="s">
        <v>1141</v>
      </c>
      <c r="Q389" s="33" t="s">
        <v>1231</v>
      </c>
      <c r="R389" s="34" t="s">
        <v>1</v>
      </c>
      <c r="S389" s="35" t="str">
        <f t="shared" si="425"/>
        <v>Redes</v>
      </c>
      <c r="T389" s="35" t="str">
        <f t="shared" si="426"/>
        <v>Redes de Telecom</v>
      </c>
      <c r="U389" s="35" t="str">
        <f t="shared" si="427"/>
        <v>Redes de Dados</v>
      </c>
      <c r="V389" s="34" t="s">
        <v>1341</v>
      </c>
      <c r="W389" s="88" t="str">
        <f t="shared" si="346"/>
        <v>Key-INF-389</v>
      </c>
      <c r="X389" s="33" t="s">
        <v>1389</v>
      </c>
      <c r="Y389" s="50" t="s">
        <v>1448</v>
      </c>
      <c r="Z389" s="86" t="s">
        <v>1</v>
      </c>
      <c r="AA389" s="33" t="str">
        <f t="shared" si="347"/>
        <v>Aerial Mobile Internet Network.</v>
      </c>
    </row>
    <row r="390" spans="1:27" ht="6.6" customHeight="1" x14ac:dyDescent="0.25">
      <c r="A390" s="31">
        <v>390</v>
      </c>
      <c r="B390" s="38" t="s">
        <v>76</v>
      </c>
      <c r="C390" s="39" t="s">
        <v>1145</v>
      </c>
      <c r="D390" s="38" t="s">
        <v>1166</v>
      </c>
      <c r="E390" s="38" t="s">
        <v>1243</v>
      </c>
      <c r="F390" s="38" t="s">
        <v>1171</v>
      </c>
      <c r="G390" s="80" t="s">
        <v>1</v>
      </c>
      <c r="H390" s="80" t="s">
        <v>1</v>
      </c>
      <c r="I390" s="80" t="s">
        <v>1</v>
      </c>
      <c r="J390" s="80" t="s">
        <v>1</v>
      </c>
      <c r="K390" s="80" t="s">
        <v>1</v>
      </c>
      <c r="L390" s="32" t="str">
        <f t="shared" si="407"/>
        <v>Redes</v>
      </c>
      <c r="M390" s="32" t="str">
        <f t="shared" si="408"/>
        <v>Redes de Telecom</v>
      </c>
      <c r="N390" s="32" t="str">
        <f t="shared" si="409"/>
        <v>Redes de Net</v>
      </c>
      <c r="O390" s="32" t="str">
        <f t="shared" si="410"/>
        <v>Rede Net Fixa Aerea</v>
      </c>
      <c r="P390" s="33" t="s">
        <v>1140</v>
      </c>
      <c r="Q390" s="33" t="s">
        <v>1229</v>
      </c>
      <c r="R390" s="34" t="s">
        <v>1</v>
      </c>
      <c r="S390" s="35" t="str">
        <f t="shared" si="411"/>
        <v>Redes</v>
      </c>
      <c r="T390" s="35" t="str">
        <f t="shared" si="412"/>
        <v>Redes de Telecom</v>
      </c>
      <c r="U390" s="35" t="str">
        <f t="shared" si="413"/>
        <v>Redes de Net</v>
      </c>
      <c r="V390" s="34" t="s">
        <v>1341</v>
      </c>
      <c r="W390" s="88" t="str">
        <f t="shared" si="346"/>
        <v>Key-INF-390</v>
      </c>
      <c r="X390" s="33" t="s">
        <v>1389</v>
      </c>
      <c r="Y390" s="50" t="s">
        <v>1448</v>
      </c>
      <c r="Z390" s="86" t="s">
        <v>1</v>
      </c>
      <c r="AA390" s="33" t="str">
        <f t="shared" si="347"/>
        <v>Aerial Fixed Internet Network.</v>
      </c>
    </row>
    <row r="391" spans="1:27" ht="6.6" customHeight="1" x14ac:dyDescent="0.25">
      <c r="A391" s="31">
        <v>391</v>
      </c>
      <c r="B391" s="38" t="s">
        <v>76</v>
      </c>
      <c r="C391" s="39" t="s">
        <v>1145</v>
      </c>
      <c r="D391" s="38" t="s">
        <v>1166</v>
      </c>
      <c r="E391" s="38" t="s">
        <v>1243</v>
      </c>
      <c r="F391" s="38" t="s">
        <v>1172</v>
      </c>
      <c r="G391" s="80" t="s">
        <v>1</v>
      </c>
      <c r="H391" s="80" t="s">
        <v>1</v>
      </c>
      <c r="I391" s="80" t="s">
        <v>1</v>
      </c>
      <c r="J391" s="80" t="s">
        <v>1</v>
      </c>
      <c r="K391" s="80" t="s">
        <v>1</v>
      </c>
      <c r="L391" s="32" t="str">
        <f t="shared" si="407"/>
        <v>Redes</v>
      </c>
      <c r="M391" s="32" t="str">
        <f t="shared" si="408"/>
        <v>Redes de Telecom</v>
      </c>
      <c r="N391" s="32" t="str">
        <f t="shared" si="409"/>
        <v>Redes de Net</v>
      </c>
      <c r="O391" s="32" t="str">
        <f t="shared" si="410"/>
        <v>Rede Net Fixa Subterrânea</v>
      </c>
      <c r="P391" s="33" t="s">
        <v>1144</v>
      </c>
      <c r="Q391" s="33" t="s">
        <v>1230</v>
      </c>
      <c r="R391" s="34" t="s">
        <v>1</v>
      </c>
      <c r="S391" s="35" t="str">
        <f t="shared" si="411"/>
        <v>Redes</v>
      </c>
      <c r="T391" s="35" t="str">
        <f t="shared" si="412"/>
        <v>Redes de Telecom</v>
      </c>
      <c r="U391" s="35" t="str">
        <f t="shared" si="413"/>
        <v>Redes de Net</v>
      </c>
      <c r="V391" s="34" t="s">
        <v>1341</v>
      </c>
      <c r="W391" s="88" t="str">
        <f t="shared" si="346"/>
        <v>Key-INF-391</v>
      </c>
      <c r="X391" s="33" t="s">
        <v>1389</v>
      </c>
      <c r="Y391" s="50" t="s">
        <v>1445</v>
      </c>
      <c r="Z391" s="86" t="s">
        <v>1</v>
      </c>
      <c r="AA391" s="33" t="str">
        <f t="shared" si="347"/>
        <v>Underground Fixed Internet Network.</v>
      </c>
    </row>
    <row r="392" spans="1:27" ht="6.6" customHeight="1" x14ac:dyDescent="0.25">
      <c r="A392" s="31">
        <v>392</v>
      </c>
      <c r="B392" s="38" t="s">
        <v>76</v>
      </c>
      <c r="C392" s="39" t="s">
        <v>1145</v>
      </c>
      <c r="D392" s="38" t="s">
        <v>1166</v>
      </c>
      <c r="E392" s="38" t="s">
        <v>1177</v>
      </c>
      <c r="F392" s="38" t="s">
        <v>1173</v>
      </c>
      <c r="G392" s="80" t="s">
        <v>1</v>
      </c>
      <c r="H392" s="80" t="s">
        <v>1</v>
      </c>
      <c r="I392" s="80" t="s">
        <v>1</v>
      </c>
      <c r="J392" s="80" t="s">
        <v>1</v>
      </c>
      <c r="K392" s="80"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1138</v>
      </c>
      <c r="Q392" s="33" t="s">
        <v>1232</v>
      </c>
      <c r="R392" s="34" t="s">
        <v>1</v>
      </c>
      <c r="S392" s="35" t="str">
        <f t="shared" ref="S392" si="432">SUBSTITUTE(C392, ".", " ")</f>
        <v>Redes</v>
      </c>
      <c r="T392" s="35" t="str">
        <f t="shared" ref="T392" si="433">SUBSTITUTE(D392, ".", " ")</f>
        <v>Redes de Telecom</v>
      </c>
      <c r="U392" s="35" t="str">
        <f t="shared" ref="U392" si="434">SUBSTITUTE(E392, ".", " ")</f>
        <v>Redes de Telefonia</v>
      </c>
      <c r="V392" s="34" t="s">
        <v>1341</v>
      </c>
      <c r="W392" s="88" t="str">
        <f t="shared" ref="W392:W393" si="435">CONCATENATE("Key-INF-",A392)</f>
        <v>Key-INF-392</v>
      </c>
      <c r="X392" s="33" t="s">
        <v>1389</v>
      </c>
      <c r="Y392" s="50" t="s">
        <v>1445</v>
      </c>
      <c r="Z392" s="86" t="s">
        <v>1</v>
      </c>
      <c r="AA392" s="33" t="str">
        <f t="shared" si="347"/>
        <v>Air telephone network.</v>
      </c>
    </row>
    <row r="393" spans="1:27" ht="6.6" customHeight="1" x14ac:dyDescent="0.25">
      <c r="A393" s="31">
        <v>393</v>
      </c>
      <c r="B393" s="38" t="s">
        <v>76</v>
      </c>
      <c r="C393" s="39" t="s">
        <v>1145</v>
      </c>
      <c r="D393" s="38" t="s">
        <v>1166</v>
      </c>
      <c r="E393" s="38" t="s">
        <v>1177</v>
      </c>
      <c r="F393" s="38" t="s">
        <v>1174</v>
      </c>
      <c r="G393" s="80" t="s">
        <v>1</v>
      </c>
      <c r="H393" s="80" t="s">
        <v>1</v>
      </c>
      <c r="I393" s="80" t="s">
        <v>1</v>
      </c>
      <c r="J393" s="80" t="s">
        <v>1</v>
      </c>
      <c r="K393" s="80"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1142</v>
      </c>
      <c r="Q393" s="33" t="s">
        <v>1226</v>
      </c>
      <c r="R393" s="34" t="s">
        <v>1</v>
      </c>
      <c r="S393" s="35" t="str">
        <f t="shared" ref="S393" si="440">SUBSTITUTE(C393, ".", " ")</f>
        <v>Redes</v>
      </c>
      <c r="T393" s="35" t="str">
        <f t="shared" ref="T393" si="441">SUBSTITUTE(D393, ".", " ")</f>
        <v>Redes de Telecom</v>
      </c>
      <c r="U393" s="35" t="str">
        <f t="shared" ref="U393" si="442">SUBSTITUTE(E393, ".", " ")</f>
        <v>Redes de Telefonia</v>
      </c>
      <c r="V393" s="34" t="s">
        <v>1341</v>
      </c>
      <c r="W393" s="88" t="str">
        <f t="shared" si="435"/>
        <v>Key-INF-393</v>
      </c>
      <c r="X393" s="33" t="s">
        <v>1389</v>
      </c>
      <c r="Y393" s="50" t="s">
        <v>1449</v>
      </c>
      <c r="Z393" s="86" t="s">
        <v>1</v>
      </c>
      <c r="AA393" s="33" t="str">
        <f t="shared" ref="AA393" si="443">_xlfn.TRANSLATE(P393,"pt","en")</f>
        <v>Underground telephone network.</v>
      </c>
    </row>
  </sheetData>
  <phoneticPr fontId="1" type="noConversion"/>
  <conditionalFormatting sqref="A2:A393">
    <cfRule type="cellIs" dxfId="6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5" priority="378" operator="equal">
      <formula>"null"</formula>
    </cfRule>
  </conditionalFormatting>
  <conditionalFormatting sqref="F1">
    <cfRule type="duplicateValues" dxfId="64" priority="1416"/>
  </conditionalFormatting>
  <conditionalFormatting sqref="F2:F6">
    <cfRule type="duplicateValues" dxfId="63" priority="1"/>
    <cfRule type="duplicateValues" dxfId="62" priority="3"/>
    <cfRule type="duplicateValues" dxfId="61" priority="4"/>
    <cfRule type="duplicateValues" dxfId="60" priority="5"/>
  </conditionalFormatting>
  <conditionalFormatting sqref="F7:F13">
    <cfRule type="duplicateValues" dxfId="59" priority="19"/>
    <cfRule type="duplicateValues" dxfId="58" priority="20"/>
  </conditionalFormatting>
  <conditionalFormatting sqref="F32:F33">
    <cfRule type="duplicateValues" dxfId="57" priority="88"/>
    <cfRule type="duplicateValues" dxfId="56" priority="89"/>
  </conditionalFormatting>
  <conditionalFormatting sqref="F32:F42">
    <cfRule type="duplicateValues" dxfId="55" priority="955"/>
  </conditionalFormatting>
  <conditionalFormatting sqref="F34:F42">
    <cfRule type="duplicateValues" dxfId="54" priority="957"/>
    <cfRule type="duplicateValues" dxfId="53" priority="958"/>
    <cfRule type="duplicateValues" dxfId="52" priority="959"/>
    <cfRule type="duplicateValues" dxfId="51" priority="960"/>
  </conditionalFormatting>
  <conditionalFormatting sqref="F43:F100 F14:F31">
    <cfRule type="duplicateValues" dxfId="50" priority="1308"/>
  </conditionalFormatting>
  <conditionalFormatting sqref="F43:F348 L43:Q348 B43:D357 AB43:XFD357 S43:U393 B358">
    <cfRule type="cellIs" dxfId="49" priority="21" operator="equal">
      <formula>"null"</formula>
    </cfRule>
  </conditionalFormatting>
  <conditionalFormatting sqref="F101:F110">
    <cfRule type="duplicateValues" dxfId="48" priority="40"/>
    <cfRule type="duplicateValues" dxfId="47" priority="41"/>
  </conditionalFormatting>
  <conditionalFormatting sqref="F118:F121">
    <cfRule type="duplicateValues" dxfId="46" priority="27"/>
    <cfRule type="duplicateValues" dxfId="45" priority="28"/>
  </conditionalFormatting>
  <conditionalFormatting sqref="F145:F163">
    <cfRule type="duplicateValues" dxfId="44" priority="43"/>
  </conditionalFormatting>
  <conditionalFormatting sqref="F145:F179">
    <cfRule type="duplicateValues" dxfId="43" priority="44"/>
  </conditionalFormatting>
  <conditionalFormatting sqref="F164:F179">
    <cfRule type="duplicateValues" dxfId="42" priority="42"/>
  </conditionalFormatting>
  <conditionalFormatting sqref="F180:F189">
    <cfRule type="duplicateValues" dxfId="41" priority="56"/>
  </conditionalFormatting>
  <conditionalFormatting sqref="F190:F211 F111:F117 F122:F144">
    <cfRule type="duplicateValues" dxfId="40" priority="1244"/>
  </conditionalFormatting>
  <conditionalFormatting sqref="F212:F217">
    <cfRule type="duplicateValues" dxfId="39" priority="572"/>
  </conditionalFormatting>
  <conditionalFormatting sqref="F287:F295">
    <cfRule type="duplicateValues" dxfId="38" priority="770"/>
  </conditionalFormatting>
  <conditionalFormatting sqref="F287:F357">
    <cfRule type="duplicateValues" dxfId="37" priority="1622"/>
  </conditionalFormatting>
  <conditionalFormatting sqref="F296">
    <cfRule type="duplicateValues" dxfId="36" priority="353"/>
  </conditionalFormatting>
  <conditionalFormatting sqref="F297">
    <cfRule type="duplicateValues" dxfId="35" priority="447"/>
    <cfRule type="duplicateValues" dxfId="34" priority="448"/>
    <cfRule type="duplicateValues" dxfId="33" priority="449"/>
    <cfRule type="duplicateValues" dxfId="32" priority="450"/>
    <cfRule type="duplicateValues" dxfId="31" priority="451"/>
    <cfRule type="duplicateValues" dxfId="30" priority="452"/>
    <cfRule type="duplicateValues" dxfId="29" priority="453"/>
  </conditionalFormatting>
  <conditionalFormatting sqref="F298:F304">
    <cfRule type="duplicateValues" dxfId="28" priority="741"/>
  </conditionalFormatting>
  <conditionalFormatting sqref="F320:F324 F305:F311 F316:F317">
    <cfRule type="duplicateValues" dxfId="27" priority="455"/>
  </conditionalFormatting>
  <conditionalFormatting sqref="F338">
    <cfRule type="duplicateValues" dxfId="26" priority="25"/>
  </conditionalFormatting>
  <conditionalFormatting sqref="F358:F384">
    <cfRule type="duplicateValues" dxfId="25" priority="1581"/>
    <cfRule type="duplicateValues" dxfId="24" priority="1582"/>
  </conditionalFormatting>
  <conditionalFormatting sqref="F385:F393">
    <cfRule type="duplicateValues" dxfId="23" priority="1656"/>
    <cfRule type="duplicateValues" dxfId="22" priority="1657"/>
  </conditionalFormatting>
  <conditionalFormatting sqref="F394:F1048576 F1 F14:F357">
    <cfRule type="duplicateValues" dxfId="21" priority="81"/>
    <cfRule type="duplicateValues" dxfId="20" priority="82"/>
  </conditionalFormatting>
  <conditionalFormatting sqref="F394:F1048576 F1 F43:F357 F14:F31">
    <cfRule type="duplicateValues" dxfId="19" priority="895"/>
    <cfRule type="duplicateValues" dxfId="18" priority="914"/>
  </conditionalFormatting>
  <conditionalFormatting sqref="F394:F1048576 F1 F101:F117 F122:F144 F190:F286">
    <cfRule type="duplicateValues" dxfId="17" priority="910"/>
  </conditionalFormatting>
  <conditionalFormatting sqref="F394:F1048576 F1 F101:F179 F190:F357">
    <cfRule type="duplicateValues" dxfId="16" priority="898"/>
  </conditionalFormatting>
  <conditionalFormatting sqref="F394:F1048576 F1 F190:F217 F111:F117 F122:F144">
    <cfRule type="duplicateValues" dxfId="15" priority="902"/>
  </conditionalFormatting>
  <conditionalFormatting sqref="F394:F1048576 F1 F190:F240 F101:F117 F122:F144">
    <cfRule type="duplicateValues" dxfId="14" priority="906"/>
  </conditionalFormatting>
  <conditionalFormatting sqref="AA1:AA393">
    <cfRule type="cellIs" dxfId="1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1" t="s">
        <v>671</v>
      </c>
      <c r="C2" s="72" t="s">
        <v>669</v>
      </c>
      <c r="D2" s="72" t="s">
        <v>1</v>
      </c>
    </row>
    <row r="3" spans="1:4" s="52" customFormat="1" ht="6" customHeight="1" x14ac:dyDescent="0.15">
      <c r="A3" s="13">
        <v>3</v>
      </c>
      <c r="B3" s="71" t="s">
        <v>625</v>
      </c>
      <c r="C3" s="72" t="s">
        <v>626</v>
      </c>
      <c r="D3" s="72" t="s">
        <v>1</v>
      </c>
    </row>
    <row r="4" spans="1:4" s="52" customFormat="1" ht="6" customHeight="1" x14ac:dyDescent="0.15">
      <c r="A4" s="13">
        <v>4</v>
      </c>
      <c r="B4" s="71" t="s">
        <v>630</v>
      </c>
      <c r="C4" s="72" t="s">
        <v>631</v>
      </c>
      <c r="D4" s="72" t="s">
        <v>633</v>
      </c>
    </row>
    <row r="5" spans="1:4" s="52" customFormat="1" ht="6" customHeight="1" x14ac:dyDescent="0.15">
      <c r="A5" s="13">
        <v>5</v>
      </c>
      <c r="B5" s="71" t="s">
        <v>58</v>
      </c>
      <c r="C5" s="44" t="s">
        <v>637</v>
      </c>
      <c r="D5" s="44" t="s">
        <v>638</v>
      </c>
    </row>
    <row r="6" spans="1:4" s="52" customFormat="1" ht="6" customHeight="1" x14ac:dyDescent="0.15">
      <c r="A6" s="13">
        <v>6</v>
      </c>
      <c r="B6" s="71" t="s">
        <v>640</v>
      </c>
      <c r="C6" s="44" t="s">
        <v>642</v>
      </c>
      <c r="D6" s="72" t="s">
        <v>1</v>
      </c>
    </row>
    <row r="7" spans="1:4" ht="6" customHeight="1" x14ac:dyDescent="0.25">
      <c r="A7" s="13">
        <v>7</v>
      </c>
      <c r="B7" s="71" t="s">
        <v>542</v>
      </c>
      <c r="C7" s="72" t="s">
        <v>559</v>
      </c>
      <c r="D7" s="72" t="s">
        <v>1</v>
      </c>
    </row>
    <row r="8" spans="1:4" ht="6" customHeight="1" x14ac:dyDescent="0.25">
      <c r="A8" s="13">
        <v>8</v>
      </c>
      <c r="B8" s="73" t="s">
        <v>818</v>
      </c>
      <c r="C8" s="38" t="s">
        <v>154</v>
      </c>
      <c r="D8" s="72" t="s">
        <v>1</v>
      </c>
    </row>
    <row r="9" spans="1:4" ht="6" customHeight="1" x14ac:dyDescent="0.25">
      <c r="A9" s="13">
        <v>9</v>
      </c>
      <c r="B9" s="73" t="s">
        <v>952</v>
      </c>
      <c r="C9" s="38" t="s">
        <v>806</v>
      </c>
      <c r="D9" s="72" t="s">
        <v>1</v>
      </c>
    </row>
    <row r="10" spans="1:4" ht="6" customHeight="1" x14ac:dyDescent="0.25">
      <c r="A10" s="13">
        <v>10</v>
      </c>
      <c r="B10" s="73" t="s">
        <v>960</v>
      </c>
      <c r="C10" s="38" t="s">
        <v>959</v>
      </c>
      <c r="D10" s="72" t="s">
        <v>1</v>
      </c>
    </row>
    <row r="11" spans="1:4" ht="6" customHeight="1" x14ac:dyDescent="0.25">
      <c r="A11" s="13">
        <v>11</v>
      </c>
      <c r="B11" s="73" t="s">
        <v>958</v>
      </c>
      <c r="C11" s="38" t="s">
        <v>957</v>
      </c>
      <c r="D11" s="72" t="s">
        <v>1</v>
      </c>
    </row>
    <row r="12" spans="1:4" ht="6" customHeight="1" x14ac:dyDescent="0.25">
      <c r="A12" s="13">
        <v>12</v>
      </c>
      <c r="B12" s="73" t="s">
        <v>943</v>
      </c>
      <c r="C12" s="38" t="s">
        <v>977</v>
      </c>
      <c r="D12" s="72" t="s">
        <v>978</v>
      </c>
    </row>
    <row r="13" spans="1:4" ht="6" customHeight="1" x14ac:dyDescent="0.25">
      <c r="A13" s="13">
        <v>13</v>
      </c>
      <c r="B13" s="73" t="s">
        <v>981</v>
      </c>
      <c r="C13" s="38" t="s">
        <v>986</v>
      </c>
      <c r="D13" s="72"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zoomScale="175" zoomScaleNormal="175" workbookViewId="0">
      <pane ySplit="1" topLeftCell="A2" activePane="bottomLeft" state="frozen"/>
      <selection pane="bottomLeft" activeCell="B10" sqref="B10"/>
    </sheetView>
  </sheetViews>
  <sheetFormatPr defaultColWidth="9.140625" defaultRowHeight="7.5" customHeight="1" x14ac:dyDescent="0.25"/>
  <cols>
    <col min="1" max="1" width="2.5703125" style="90" bestFit="1" customWidth="1"/>
    <col min="2" max="2" width="11.42578125" style="26" bestFit="1" customWidth="1"/>
    <col min="3" max="3" width="8.5703125" style="26" bestFit="1" customWidth="1"/>
    <col min="4" max="4" width="6.85546875" style="26" bestFit="1" customWidth="1"/>
    <col min="5" max="5" width="8.7109375" style="26" bestFit="1" customWidth="1"/>
    <col min="6" max="6" width="8.85546875" style="26" bestFit="1" customWidth="1"/>
    <col min="7" max="7" width="11.42578125" style="26" bestFit="1" customWidth="1"/>
    <col min="8" max="8" width="9.28515625" style="26" bestFit="1" customWidth="1"/>
    <col min="9" max="9" width="11.42578125" style="26" bestFit="1" customWidth="1"/>
    <col min="10" max="10" width="9.28515625" style="26" bestFit="1" customWidth="1"/>
    <col min="11" max="11" width="11.42578125" style="26" bestFit="1" customWidth="1"/>
    <col min="12" max="12" width="4.28515625" style="26" bestFit="1" customWidth="1"/>
    <col min="13" max="13" width="3.85546875" style="26" bestFit="1" customWidth="1"/>
    <col min="14" max="14" width="6" style="26" bestFit="1" customWidth="1"/>
    <col min="15" max="15" width="32.5703125" style="26" bestFit="1" customWidth="1"/>
    <col min="16" max="17" width="3.85546875" style="26" bestFit="1" customWidth="1"/>
    <col min="18" max="18" width="4.28515625" style="26" bestFit="1" customWidth="1"/>
    <col min="19" max="19" width="13.85546875" style="26" bestFit="1" customWidth="1"/>
    <col min="20" max="20" width="4.28515625" style="26" bestFit="1" customWidth="1"/>
    <col min="21" max="21" width="3.85546875" style="26" bestFit="1" customWidth="1"/>
    <col min="22" max="22" width="4.5703125" style="26" bestFit="1" customWidth="1"/>
    <col min="23" max="23" width="7.28515625" style="26" bestFit="1" customWidth="1"/>
    <col min="24" max="24" width="4.28515625" style="26" bestFit="1" customWidth="1"/>
    <col min="25" max="25" width="3.85546875" style="70" bestFit="1" customWidth="1"/>
    <col min="26" max="26" width="4.28515625" style="26" bestFit="1" customWidth="1"/>
    <col min="27" max="27" width="3.85546875" style="70" bestFit="1" customWidth="1"/>
    <col min="28" max="28" width="4.28515625" style="26" bestFit="1" customWidth="1"/>
    <col min="29" max="29" width="3.85546875" style="70" bestFit="1" customWidth="1"/>
    <col min="30" max="30" width="4.28515625" style="26" bestFit="1" customWidth="1"/>
    <col min="31" max="31" width="3.85546875" style="91" bestFit="1" customWidth="1"/>
    <col min="32" max="32" width="4.28515625" style="26" bestFit="1" customWidth="1"/>
    <col min="33" max="33" width="3.85546875" style="91" bestFit="1" customWidth="1"/>
    <col min="34" max="34" width="4.28515625" style="26" bestFit="1" customWidth="1"/>
    <col min="35" max="35" width="3.85546875" style="91" bestFit="1" customWidth="1"/>
    <col min="36" max="36" width="4.28515625" style="26" bestFit="1" customWidth="1"/>
    <col min="37" max="37" width="3.85546875" style="91"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1" bestFit="1" customWidth="1"/>
    <col min="44" max="44" width="4.28515625" style="26" bestFit="1" customWidth="1"/>
    <col min="45" max="45" width="3.85546875" style="70" bestFit="1" customWidth="1"/>
    <col min="46" max="46" width="4.28515625" style="26" bestFit="1" customWidth="1"/>
    <col min="47" max="47" width="3.85546875" style="70" bestFit="1" customWidth="1"/>
    <col min="48" max="48" width="7.28515625" style="26" bestFit="1" customWidth="1"/>
    <col min="49" max="49" width="10.28515625" style="70" bestFit="1" customWidth="1"/>
    <col min="50" max="50" width="8.42578125" style="26" bestFit="1" customWidth="1"/>
    <col min="51" max="51" width="9.85546875" style="70" bestFit="1" customWidth="1"/>
    <col min="52" max="52" width="5.7109375" style="26" bestFit="1" customWidth="1"/>
    <col min="53" max="53" width="16.28515625" style="70" bestFit="1" customWidth="1"/>
    <col min="54" max="54" width="4.28515625" style="26" bestFit="1" customWidth="1"/>
    <col min="55" max="55" width="5.85546875" style="70" bestFit="1" customWidth="1"/>
    <col min="56" max="56" width="5.28515625" style="26" bestFit="1" customWidth="1"/>
    <col min="57" max="57" width="9.7109375" style="70" bestFit="1" customWidth="1"/>
    <col min="58" max="16384" width="9.140625" style="26"/>
  </cols>
  <sheetData>
    <row r="1" spans="1:57" ht="21" customHeight="1" x14ac:dyDescent="0.25">
      <c r="A1" s="30" t="s">
        <v>74</v>
      </c>
      <c r="B1" s="20" t="s">
        <v>34</v>
      </c>
      <c r="C1" s="20" t="s">
        <v>1467</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3" t="s">
        <v>734</v>
      </c>
      <c r="C2" s="92" t="s">
        <v>1452</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1334</v>
      </c>
      <c r="AY2" s="62" t="s">
        <v>1465</v>
      </c>
      <c r="AZ2" s="46" t="s">
        <v>765</v>
      </c>
      <c r="BA2" s="62" t="s">
        <v>1465</v>
      </c>
      <c r="BB2" s="46" t="s">
        <v>1461</v>
      </c>
      <c r="BC2" s="62" t="s">
        <v>1463</v>
      </c>
      <c r="BD2" s="46" t="s">
        <v>1</v>
      </c>
      <c r="BE2" s="62" t="s">
        <v>1</v>
      </c>
    </row>
    <row r="3" spans="1:57" ht="7.5" customHeight="1" x14ac:dyDescent="0.25">
      <c r="A3" s="60">
        <v>3</v>
      </c>
      <c r="B3" s="93"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1334</v>
      </c>
      <c r="AY3" s="62" t="s">
        <v>1465</v>
      </c>
      <c r="AZ3" s="46" t="s">
        <v>765</v>
      </c>
      <c r="BA3" s="62" t="s">
        <v>1465</v>
      </c>
      <c r="BB3" s="46" t="s">
        <v>1461</v>
      </c>
      <c r="BC3" s="62" t="s">
        <v>1464</v>
      </c>
      <c r="BD3" s="46" t="s">
        <v>1462</v>
      </c>
      <c r="BE3" s="62" t="str">
        <f t="shared" ref="BE3" si="0">_xlfn.CONCAT("""",C3,"""")</f>
        <v>"SubContinente"</v>
      </c>
    </row>
    <row r="4" spans="1:57" ht="7.5" customHeight="1" x14ac:dyDescent="0.25">
      <c r="A4" s="60">
        <v>4</v>
      </c>
      <c r="B4" s="94"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1334</v>
      </c>
      <c r="AY4" s="62" t="s">
        <v>1465</v>
      </c>
      <c r="AZ4" s="46" t="s">
        <v>765</v>
      </c>
      <c r="BA4" s="62" t="s">
        <v>1465</v>
      </c>
      <c r="BB4" s="46" t="s">
        <v>1461</v>
      </c>
      <c r="BC4" s="62" t="s">
        <v>1464</v>
      </c>
      <c r="BD4" s="46" t="s">
        <v>1462</v>
      </c>
      <c r="BE4" s="62" t="str">
        <f t="shared" ref="BE4:BE7" si="1">_xlfn.CONCAT("""",C4,"""")</f>
        <v>"País"</v>
      </c>
    </row>
    <row r="5" spans="1:57" ht="7.5" customHeight="1" x14ac:dyDescent="0.25">
      <c r="A5" s="60">
        <v>5</v>
      </c>
      <c r="B5" s="94" t="s">
        <v>743</v>
      </c>
      <c r="C5" s="54" t="s">
        <v>630</v>
      </c>
      <c r="D5" s="19" t="s">
        <v>737</v>
      </c>
      <c r="E5" s="63" t="s">
        <v>740</v>
      </c>
      <c r="F5" s="19" t="s">
        <v>1</v>
      </c>
      <c r="G5" s="21" t="s">
        <v>1</v>
      </c>
      <c r="H5" s="19" t="s">
        <v>1</v>
      </c>
      <c r="I5" s="21" t="s">
        <v>1</v>
      </c>
      <c r="J5" s="19" t="s">
        <v>1</v>
      </c>
      <c r="K5" s="21" t="s">
        <v>1</v>
      </c>
      <c r="L5" s="19" t="s">
        <v>1</v>
      </c>
      <c r="M5" s="21" t="s">
        <v>1</v>
      </c>
      <c r="N5" s="61" t="s">
        <v>82</v>
      </c>
      <c r="O5" s="40" t="s">
        <v>742</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1334</v>
      </c>
      <c r="AY5" s="62" t="s">
        <v>1465</v>
      </c>
      <c r="AZ5" s="46" t="s">
        <v>765</v>
      </c>
      <c r="BA5" s="62" t="s">
        <v>1465</v>
      </c>
      <c r="BB5" s="46" t="s">
        <v>1461</v>
      </c>
      <c r="BC5" s="62" t="s">
        <v>1464</v>
      </c>
      <c r="BD5" s="46" t="s">
        <v>1462</v>
      </c>
      <c r="BE5" s="62" t="str">
        <f t="shared" si="1"/>
        <v>"Estado"</v>
      </c>
    </row>
    <row r="6" spans="1:57" ht="7.5" customHeight="1" x14ac:dyDescent="0.25">
      <c r="A6" s="60">
        <v>6</v>
      </c>
      <c r="B6" s="95" t="s">
        <v>748</v>
      </c>
      <c r="C6" s="54" t="s">
        <v>635</v>
      </c>
      <c r="D6" s="67" t="s">
        <v>737</v>
      </c>
      <c r="E6" s="68" t="s">
        <v>749</v>
      </c>
      <c r="F6" s="67" t="s">
        <v>737</v>
      </c>
      <c r="G6" s="68" t="s">
        <v>746</v>
      </c>
      <c r="H6" s="67" t="s">
        <v>744</v>
      </c>
      <c r="I6" s="68" t="s">
        <v>747</v>
      </c>
      <c r="J6" s="19" t="s">
        <v>745</v>
      </c>
      <c r="K6" s="63" t="s">
        <v>743</v>
      </c>
      <c r="L6" s="19" t="s">
        <v>1</v>
      </c>
      <c r="M6" s="21" t="s">
        <v>1</v>
      </c>
      <c r="N6" s="61" t="s">
        <v>82</v>
      </c>
      <c r="O6" s="29" t="str">
        <f t="shared" ref="O6" si="2">_xlfn.CONCAT("""É a cidade capital do Estado de ",K6," do Brasil """)</f>
        <v>"É a cidade capital do Estado de São.Paulo do Brasil "</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1474</v>
      </c>
      <c r="AW6" s="62" t="s">
        <v>1475</v>
      </c>
      <c r="AX6" s="46" t="s">
        <v>1334</v>
      </c>
      <c r="AY6" s="62" t="s">
        <v>1476</v>
      </c>
      <c r="AZ6" s="46" t="s">
        <v>765</v>
      </c>
      <c r="BA6" s="62" t="s">
        <v>1477</v>
      </c>
      <c r="BB6" s="46" t="s">
        <v>1461</v>
      </c>
      <c r="BC6" s="62" t="s">
        <v>1464</v>
      </c>
      <c r="BD6" s="46" t="s">
        <v>1462</v>
      </c>
      <c r="BE6" s="62" t="str">
        <f t="shared" si="1"/>
        <v>"Capital"</v>
      </c>
    </row>
    <row r="7" spans="1:57" ht="7.5" customHeight="1" x14ac:dyDescent="0.25">
      <c r="A7" s="60">
        <v>7</v>
      </c>
      <c r="B7" s="95" t="s">
        <v>747</v>
      </c>
      <c r="C7" s="54" t="s">
        <v>628</v>
      </c>
      <c r="D7" s="67" t="s">
        <v>737</v>
      </c>
      <c r="E7" s="68" t="s">
        <v>740</v>
      </c>
      <c r="F7" s="19" t="s">
        <v>1</v>
      </c>
      <c r="G7" s="21" t="s">
        <v>1</v>
      </c>
      <c r="H7" s="19" t="s">
        <v>1</v>
      </c>
      <c r="I7" s="21" t="s">
        <v>1</v>
      </c>
      <c r="J7" s="19" t="s">
        <v>1</v>
      </c>
      <c r="K7" s="21" t="s">
        <v>1</v>
      </c>
      <c r="L7" s="19" t="s">
        <v>1</v>
      </c>
      <c r="M7" s="63" t="s">
        <v>1</v>
      </c>
      <c r="N7" s="61" t="s">
        <v>82</v>
      </c>
      <c r="O7" s="29" t="s">
        <v>752</v>
      </c>
      <c r="P7" s="61" t="s">
        <v>1</v>
      </c>
      <c r="Q7" s="29" t="s">
        <v>1</v>
      </c>
      <c r="R7" s="61" t="s">
        <v>750</v>
      </c>
      <c r="S7" s="29" t="s">
        <v>751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1334</v>
      </c>
      <c r="AY7" s="62" t="s">
        <v>1465</v>
      </c>
      <c r="AZ7" s="46" t="s">
        <v>765</v>
      </c>
      <c r="BA7" s="62" t="s">
        <v>1465</v>
      </c>
      <c r="BB7" s="46" t="s">
        <v>1461</v>
      </c>
      <c r="BC7" s="62" t="s">
        <v>1464</v>
      </c>
      <c r="BD7" s="46" t="s">
        <v>1462</v>
      </c>
      <c r="BE7" s="62" t="str">
        <f t="shared" si="1"/>
        <v>"Região"</v>
      </c>
    </row>
    <row r="8" spans="1:57" ht="7.5" customHeight="1" x14ac:dyDescent="0.25">
      <c r="A8" s="60">
        <v>8</v>
      </c>
      <c r="B8" s="95" t="s">
        <v>746</v>
      </c>
      <c r="C8" s="54" t="s">
        <v>628</v>
      </c>
      <c r="D8" s="67" t="s">
        <v>737</v>
      </c>
      <c r="E8" s="68" t="s">
        <v>740</v>
      </c>
      <c r="F8" s="19" t="s">
        <v>753</v>
      </c>
      <c r="G8" s="68" t="s">
        <v>747</v>
      </c>
      <c r="H8" s="67" t="s">
        <v>754</v>
      </c>
      <c r="I8" s="68" t="s">
        <v>747</v>
      </c>
      <c r="J8" s="19" t="s">
        <v>1</v>
      </c>
      <c r="K8" s="21" t="s">
        <v>1</v>
      </c>
      <c r="L8" s="19" t="s">
        <v>1</v>
      </c>
      <c r="M8" s="63" t="s">
        <v>1</v>
      </c>
      <c r="N8" s="61" t="s">
        <v>82</v>
      </c>
      <c r="O8" s="29" t="s">
        <v>755</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1334</v>
      </c>
      <c r="AY8" s="62" t="s">
        <v>1465</v>
      </c>
      <c r="AZ8" s="46" t="s">
        <v>765</v>
      </c>
      <c r="BA8" s="62" t="s">
        <v>1465</v>
      </c>
      <c r="BB8" s="46" t="s">
        <v>1461</v>
      </c>
      <c r="BC8" s="62" t="s">
        <v>1464</v>
      </c>
      <c r="BD8" s="46" t="s">
        <v>1462</v>
      </c>
      <c r="BE8" s="62" t="str">
        <f t="shared" ref="BE8:BE9" si="3">_xlfn.CONCAT("""",C8,"""")</f>
        <v>"Região"</v>
      </c>
    </row>
    <row r="9" spans="1:57" ht="7.5" customHeight="1" x14ac:dyDescent="0.25">
      <c r="A9" s="60">
        <v>9</v>
      </c>
      <c r="B9" s="95" t="s">
        <v>759</v>
      </c>
      <c r="C9" s="54" t="s">
        <v>631</v>
      </c>
      <c r="D9" s="19" t="s">
        <v>737</v>
      </c>
      <c r="E9" s="63" t="s">
        <v>740</v>
      </c>
      <c r="F9" s="19" t="s">
        <v>1</v>
      </c>
      <c r="G9" s="21" t="s">
        <v>1</v>
      </c>
      <c r="H9" s="19" t="s">
        <v>1</v>
      </c>
      <c r="I9" s="21" t="s">
        <v>1</v>
      </c>
      <c r="J9" s="19" t="s">
        <v>1</v>
      </c>
      <c r="K9" s="21" t="s">
        <v>1</v>
      </c>
      <c r="L9" s="19" t="s">
        <v>1</v>
      </c>
      <c r="M9" s="21" t="s">
        <v>1</v>
      </c>
      <c r="N9" s="61" t="s">
        <v>82</v>
      </c>
      <c r="O9" s="40" t="s">
        <v>1478</v>
      </c>
      <c r="P9" s="61" t="s">
        <v>1</v>
      </c>
      <c r="Q9" s="29" t="s">
        <v>1</v>
      </c>
      <c r="R9" s="61" t="s">
        <v>756</v>
      </c>
      <c r="S9" s="69" t="s">
        <v>760</v>
      </c>
      <c r="T9" s="61" t="s">
        <v>757</v>
      </c>
      <c r="U9" s="64" t="s">
        <v>761</v>
      </c>
      <c r="V9" s="61" t="s">
        <v>758</v>
      </c>
      <c r="W9" s="29" t="s">
        <v>762</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1334</v>
      </c>
      <c r="AY9" s="62" t="s">
        <v>1465</v>
      </c>
      <c r="AZ9" s="46" t="s">
        <v>765</v>
      </c>
      <c r="BA9" s="62" t="s">
        <v>1465</v>
      </c>
      <c r="BB9" s="46" t="s">
        <v>1461</v>
      </c>
      <c r="BC9" s="62" t="s">
        <v>1464</v>
      </c>
      <c r="BD9" s="46" t="s">
        <v>1462</v>
      </c>
      <c r="BE9" s="62" t="str">
        <f t="shared" si="3"/>
        <v>"UF"</v>
      </c>
    </row>
    <row r="10" spans="1:57" ht="7.5" customHeight="1" x14ac:dyDescent="0.25">
      <c r="A10" s="60">
        <v>10</v>
      </c>
      <c r="B10" s="94" t="s">
        <v>749</v>
      </c>
      <c r="C10" s="54" t="s">
        <v>631</v>
      </c>
      <c r="D10" s="19" t="s">
        <v>737</v>
      </c>
      <c r="E10" s="63" t="s">
        <v>740</v>
      </c>
      <c r="F10" s="67" t="s">
        <v>763</v>
      </c>
      <c r="G10" s="68" t="s">
        <v>759</v>
      </c>
      <c r="H10" s="67" t="s">
        <v>763</v>
      </c>
      <c r="I10" s="63" t="s">
        <v>743</v>
      </c>
      <c r="J10" s="67" t="s">
        <v>744</v>
      </c>
      <c r="K10" s="68" t="s">
        <v>747</v>
      </c>
      <c r="L10" s="19" t="s">
        <v>1</v>
      </c>
      <c r="M10" s="21" t="s">
        <v>1</v>
      </c>
      <c r="N10" s="61" t="s">
        <v>82</v>
      </c>
      <c r="O10" s="40" t="s">
        <v>1478</v>
      </c>
      <c r="P10" s="61" t="s">
        <v>1</v>
      </c>
      <c r="Q10" s="29" t="s">
        <v>1</v>
      </c>
      <c r="R10" s="61" t="s">
        <v>756</v>
      </c>
      <c r="S10" s="69" t="s">
        <v>760</v>
      </c>
      <c r="T10" s="61" t="s">
        <v>757</v>
      </c>
      <c r="U10" s="64" t="s">
        <v>761</v>
      </c>
      <c r="V10" s="61" t="s">
        <v>758</v>
      </c>
      <c r="W10" s="29" t="s">
        <v>762</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1334</v>
      </c>
      <c r="AY10" s="62" t="s">
        <v>1465</v>
      </c>
      <c r="AZ10" s="46" t="s">
        <v>765</v>
      </c>
      <c r="BA10" s="62" t="s">
        <v>1465</v>
      </c>
      <c r="BB10" s="46" t="s">
        <v>1461</v>
      </c>
      <c r="BC10" s="62" t="s">
        <v>1464</v>
      </c>
      <c r="BD10" s="46" t="s">
        <v>1462</v>
      </c>
      <c r="BE10" s="62" t="str">
        <f t="shared" ref="BE10" si="4">_xlfn.CONCAT("""",C10,"""")</f>
        <v>"UF"</v>
      </c>
    </row>
  </sheetData>
  <autoFilter ref="F1:F10" xr:uid="{CEF52033-0BF0-4BCC-B911-A6BC1CA10036}"/>
  <phoneticPr fontId="1" type="noConversion"/>
  <conditionalFormatting sqref="G9 G4:G5 G7 H1:XFD1048576 D1:F1048576 G2 A1:B1048576">
    <cfRule type="cellIs" dxfId="0" priority="37" operator="equal">
      <formula>"null"</formula>
    </cfRule>
  </conditionalFormatting>
  <conditionalFormatting sqref="B1:B1048576">
    <cfRule type="duplicateValues" dxfId="1"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2026-07-01T17:10:31Z</dcterms:modified>
</cp:coreProperties>
</file>