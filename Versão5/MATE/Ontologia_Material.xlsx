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MATE\"/>
    </mc:Choice>
  </mc:AlternateContent>
  <xr:revisionPtr revIDLastSave="0" documentId="13_ncr:1_{4EB58D13-4D8A-4036-A7F9-A50463559FD9}"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7" i="37" l="1"/>
  <c r="V127" i="37"/>
  <c r="U127" i="37"/>
  <c r="T127" i="37"/>
  <c r="S127" i="37"/>
  <c r="O127" i="37"/>
  <c r="N127" i="37"/>
  <c r="M127" i="37"/>
  <c r="L127" i="37"/>
  <c r="W126" i="37"/>
  <c r="V126" i="37"/>
  <c r="U126" i="37"/>
  <c r="T126" i="37"/>
  <c r="S126" i="37"/>
  <c r="O126" i="37"/>
  <c r="N126" i="37"/>
  <c r="M126" i="37"/>
  <c r="L126" i="37"/>
  <c r="W125" i="37"/>
  <c r="V125" i="37"/>
  <c r="U125" i="37"/>
  <c r="T125" i="37"/>
  <c r="S125" i="37"/>
  <c r="O125" i="37"/>
  <c r="N125" i="37"/>
  <c r="M125" i="37"/>
  <c r="L125" i="37"/>
  <c r="W124" i="37"/>
  <c r="V124" i="37"/>
  <c r="U124" i="37"/>
  <c r="T124" i="37"/>
  <c r="S124" i="37"/>
  <c r="O124" i="37"/>
  <c r="N124" i="37"/>
  <c r="M124" i="37"/>
  <c r="L124" i="37"/>
  <c r="W123" i="37"/>
  <c r="V123" i="37"/>
  <c r="U123" i="37"/>
  <c r="T123" i="37"/>
  <c r="S123" i="37"/>
  <c r="O123" i="37"/>
  <c r="N123" i="37"/>
  <c r="M123" i="37"/>
  <c r="L123" i="37"/>
  <c r="W122" i="37"/>
  <c r="V122" i="37"/>
  <c r="U122" i="37"/>
  <c r="T122" i="37"/>
  <c r="S122" i="37"/>
  <c r="O122" i="37"/>
  <c r="N122" i="37"/>
  <c r="M122" i="37"/>
  <c r="L122" i="37"/>
  <c r="W88" i="37"/>
  <c r="V88" i="37"/>
  <c r="U88" i="37"/>
  <c r="T88" i="37"/>
  <c r="S88" i="37"/>
  <c r="O88" i="37"/>
  <c r="N88" i="37"/>
  <c r="M88" i="37"/>
  <c r="L88" i="37"/>
  <c r="W87" i="37"/>
  <c r="V87" i="37"/>
  <c r="U87" i="37"/>
  <c r="T87" i="37"/>
  <c r="S87" i="37"/>
  <c r="O87" i="37"/>
  <c r="N87" i="37"/>
  <c r="M87" i="37"/>
  <c r="L87" i="37"/>
  <c r="W86" i="37"/>
  <c r="V86" i="37"/>
  <c r="U86" i="37"/>
  <c r="T86" i="37"/>
  <c r="S86" i="37"/>
  <c r="O86" i="37"/>
  <c r="N86" i="37"/>
  <c r="M86" i="37"/>
  <c r="L86" i="37"/>
  <c r="W85" i="37"/>
  <c r="V85" i="37"/>
  <c r="U85" i="37"/>
  <c r="T85" i="37"/>
  <c r="S85" i="37"/>
  <c r="O85" i="37"/>
  <c r="N85" i="37"/>
  <c r="M85" i="37"/>
  <c r="L85" i="37"/>
  <c r="W84" i="37"/>
  <c r="V84" i="37"/>
  <c r="U84" i="37"/>
  <c r="T84" i="37"/>
  <c r="S84" i="37"/>
  <c r="O84" i="37"/>
  <c r="N84" i="37"/>
  <c r="M84" i="37"/>
  <c r="L84" i="37"/>
  <c r="W83" i="37"/>
  <c r="V83" i="37"/>
  <c r="U83" i="37"/>
  <c r="T83" i="37"/>
  <c r="S83" i="37"/>
  <c r="O83" i="37"/>
  <c r="N83" i="37"/>
  <c r="M83" i="37"/>
  <c r="L83" i="37"/>
  <c r="W82" i="37"/>
  <c r="V82" i="37"/>
  <c r="U82" i="37"/>
  <c r="T82" i="37"/>
  <c r="S82" i="37"/>
  <c r="O82" i="37"/>
  <c r="N82" i="37"/>
  <c r="M82" i="37"/>
  <c r="L82" i="37"/>
  <c r="W81" i="37"/>
  <c r="V81" i="37"/>
  <c r="U81" i="37"/>
  <c r="T81" i="37"/>
  <c r="S81" i="37"/>
  <c r="O81" i="37"/>
  <c r="N81" i="37"/>
  <c r="M81" i="37"/>
  <c r="L81" i="37"/>
  <c r="W80" i="37"/>
  <c r="V80" i="37"/>
  <c r="U80" i="37"/>
  <c r="T80" i="37"/>
  <c r="S80" i="37"/>
  <c r="O80" i="37"/>
  <c r="N80" i="37"/>
  <c r="M80" i="37"/>
  <c r="L80" i="37"/>
  <c r="W79" i="37"/>
  <c r="V79" i="37"/>
  <c r="U79" i="37"/>
  <c r="T79" i="37"/>
  <c r="S79" i="37"/>
  <c r="O79" i="37"/>
  <c r="N79" i="37"/>
  <c r="M79" i="37"/>
  <c r="L79" i="37"/>
  <c r="W78" i="37"/>
  <c r="V78" i="37"/>
  <c r="U78" i="37"/>
  <c r="T78" i="37"/>
  <c r="S78" i="37"/>
  <c r="O78" i="37"/>
  <c r="N78" i="37"/>
  <c r="M78" i="37"/>
  <c r="L78" i="37"/>
  <c r="W72" i="37"/>
  <c r="V72" i="37"/>
  <c r="U72" i="37"/>
  <c r="T72" i="37"/>
  <c r="S72" i="37"/>
  <c r="O72" i="37"/>
  <c r="N72" i="37"/>
  <c r="M72" i="37"/>
  <c r="L72" i="37"/>
  <c r="W71" i="37"/>
  <c r="V71" i="37"/>
  <c r="U71" i="37"/>
  <c r="T71" i="37"/>
  <c r="S71" i="37"/>
  <c r="O71" i="37"/>
  <c r="N71" i="37"/>
  <c r="M71" i="37"/>
  <c r="L71" i="37"/>
  <c r="W73" i="37"/>
  <c r="V73" i="37"/>
  <c r="U73" i="37"/>
  <c r="T73" i="37"/>
  <c r="S73" i="37"/>
  <c r="O73" i="37"/>
  <c r="N73" i="37"/>
  <c r="M73" i="37"/>
  <c r="L73" i="37"/>
  <c r="U150" i="37"/>
  <c r="V150" i="37"/>
  <c r="W150" i="37"/>
  <c r="U151" i="37"/>
  <c r="V151" i="37"/>
  <c r="W151" i="37"/>
  <c r="U152" i="37"/>
  <c r="V152" i="37"/>
  <c r="W152" i="37"/>
  <c r="U153" i="37"/>
  <c r="V153" i="37"/>
  <c r="W153" i="37"/>
  <c r="S150" i="37"/>
  <c r="T150" i="37"/>
  <c r="S151" i="37"/>
  <c r="T151" i="37"/>
  <c r="S152" i="37"/>
  <c r="T152" i="37"/>
  <c r="S153" i="37"/>
  <c r="T153" i="37"/>
  <c r="L152" i="37"/>
  <c r="M152" i="37"/>
  <c r="N152" i="37"/>
  <c r="O152" i="37"/>
  <c r="L153" i="37"/>
  <c r="M153" i="37"/>
  <c r="N153" i="37"/>
  <c r="O153" i="37"/>
  <c r="L150" i="37"/>
  <c r="M150" i="37"/>
  <c r="N150" i="37"/>
  <c r="O150" i="37"/>
  <c r="L151" i="37"/>
  <c r="M151" i="37"/>
  <c r="N151" i="37"/>
  <c r="O151" i="37"/>
  <c r="S130" i="37"/>
  <c r="T130" i="37"/>
  <c r="U130" i="37"/>
  <c r="V130" i="37"/>
  <c r="W130" i="37"/>
  <c r="S131" i="37"/>
  <c r="T131" i="37"/>
  <c r="U131" i="37"/>
  <c r="V131" i="37"/>
  <c r="W131" i="37"/>
  <c r="S132" i="37"/>
  <c r="T132" i="37"/>
  <c r="U132" i="37"/>
  <c r="V132" i="37"/>
  <c r="W132" i="37"/>
  <c r="S133" i="37"/>
  <c r="T133" i="37"/>
  <c r="U133" i="37"/>
  <c r="V133" i="37"/>
  <c r="W133" i="37"/>
  <c r="S134" i="37"/>
  <c r="T134" i="37"/>
  <c r="U134" i="37"/>
  <c r="V134" i="37"/>
  <c r="W134" i="37"/>
  <c r="S135" i="37"/>
  <c r="T135" i="37"/>
  <c r="U135" i="37"/>
  <c r="V135" i="37"/>
  <c r="W135" i="37"/>
  <c r="S136" i="37"/>
  <c r="T136" i="37"/>
  <c r="U136" i="37"/>
  <c r="V136" i="37"/>
  <c r="W136" i="37"/>
  <c r="S137" i="37"/>
  <c r="T137" i="37"/>
  <c r="U137" i="37"/>
  <c r="V137" i="37"/>
  <c r="W137" i="37"/>
  <c r="S138" i="37"/>
  <c r="T138" i="37"/>
  <c r="U138" i="37"/>
  <c r="V138" i="37"/>
  <c r="W138" i="37"/>
  <c r="S139" i="37"/>
  <c r="T139" i="37"/>
  <c r="U139" i="37"/>
  <c r="V139" i="37"/>
  <c r="W139" i="37"/>
  <c r="S140" i="37"/>
  <c r="T140" i="37"/>
  <c r="U140" i="37"/>
  <c r="V140" i="37"/>
  <c r="W140" i="37"/>
  <c r="S141" i="37"/>
  <c r="T141" i="37"/>
  <c r="U141" i="37"/>
  <c r="V141" i="37"/>
  <c r="W141" i="37"/>
  <c r="S142" i="37"/>
  <c r="T142" i="37"/>
  <c r="U142" i="37"/>
  <c r="V142" i="37"/>
  <c r="W142" i="37"/>
  <c r="S143" i="37"/>
  <c r="T143" i="37"/>
  <c r="U143" i="37"/>
  <c r="V143" i="37"/>
  <c r="W143" i="37"/>
  <c r="S144" i="37"/>
  <c r="T144" i="37"/>
  <c r="U144" i="37"/>
  <c r="V144" i="37"/>
  <c r="W144" i="37"/>
  <c r="S145" i="37"/>
  <c r="T145" i="37"/>
  <c r="U145" i="37"/>
  <c r="V145" i="37"/>
  <c r="W145" i="37"/>
  <c r="S146" i="37"/>
  <c r="T146" i="37"/>
  <c r="U146" i="37"/>
  <c r="V146" i="37"/>
  <c r="W146" i="37"/>
  <c r="S147" i="37"/>
  <c r="T147" i="37"/>
  <c r="U147" i="37"/>
  <c r="V147" i="37"/>
  <c r="W147" i="37"/>
  <c r="S148" i="37"/>
  <c r="T148" i="37"/>
  <c r="U148" i="37"/>
  <c r="V148" i="37"/>
  <c r="W148" i="37"/>
  <c r="S149" i="37"/>
  <c r="T149" i="37"/>
  <c r="U149" i="37"/>
  <c r="V149" i="37"/>
  <c r="W149" i="37"/>
  <c r="L130" i="37"/>
  <c r="M130" i="37"/>
  <c r="N130" i="37"/>
  <c r="O130" i="37"/>
  <c r="L131" i="37"/>
  <c r="M131" i="37"/>
  <c r="N131" i="37"/>
  <c r="O131" i="37"/>
  <c r="L132" i="37"/>
  <c r="M132" i="37"/>
  <c r="N132" i="37"/>
  <c r="O132" i="37"/>
  <c r="L133" i="37"/>
  <c r="M133" i="37"/>
  <c r="N133" i="37"/>
  <c r="O133" i="37"/>
  <c r="L134" i="37"/>
  <c r="M134" i="37"/>
  <c r="N134" i="37"/>
  <c r="O134" i="37"/>
  <c r="L135" i="37"/>
  <c r="M135" i="37"/>
  <c r="N135" i="37"/>
  <c r="O135" i="37"/>
  <c r="L136" i="37"/>
  <c r="M136" i="37"/>
  <c r="N136" i="37"/>
  <c r="O136" i="37"/>
  <c r="L137" i="37"/>
  <c r="M137" i="37"/>
  <c r="N137" i="37"/>
  <c r="O137" i="37"/>
  <c r="L138" i="37"/>
  <c r="M138" i="37"/>
  <c r="N138" i="37"/>
  <c r="O138" i="37"/>
  <c r="L139" i="37"/>
  <c r="M139" i="37"/>
  <c r="N139" i="37"/>
  <c r="O139" i="37"/>
  <c r="L140" i="37"/>
  <c r="M140" i="37"/>
  <c r="N140" i="37"/>
  <c r="O140" i="37"/>
  <c r="L141" i="37"/>
  <c r="M141" i="37"/>
  <c r="N141" i="37"/>
  <c r="O141" i="37"/>
  <c r="L142" i="37"/>
  <c r="M142" i="37"/>
  <c r="N142" i="37"/>
  <c r="O142" i="37"/>
  <c r="L143" i="37"/>
  <c r="M143" i="37"/>
  <c r="N143" i="37"/>
  <c r="O143" i="37"/>
  <c r="L144" i="37"/>
  <c r="M144" i="37"/>
  <c r="N144" i="37"/>
  <c r="O144" i="37"/>
  <c r="L145" i="37"/>
  <c r="M145" i="37"/>
  <c r="N145" i="37"/>
  <c r="O145" i="37"/>
  <c r="L146" i="37"/>
  <c r="M146" i="37"/>
  <c r="N146" i="37"/>
  <c r="O146" i="37"/>
  <c r="L147" i="37"/>
  <c r="M147" i="37"/>
  <c r="N147" i="37"/>
  <c r="O147" i="37"/>
  <c r="L148" i="37"/>
  <c r="M148" i="37"/>
  <c r="N148" i="37"/>
  <c r="O148" i="37"/>
  <c r="L149" i="37"/>
  <c r="M149" i="37"/>
  <c r="N149" i="37"/>
  <c r="O149" i="37"/>
  <c r="S94" i="37"/>
  <c r="T94" i="37"/>
  <c r="U94" i="37"/>
  <c r="V94" i="37"/>
  <c r="W94" i="37"/>
  <c r="S95" i="37"/>
  <c r="T95" i="37"/>
  <c r="U95" i="37"/>
  <c r="V95" i="37"/>
  <c r="W95" i="37"/>
  <c r="S96" i="37"/>
  <c r="T96" i="37"/>
  <c r="U96" i="37"/>
  <c r="V96" i="37"/>
  <c r="W96" i="37"/>
  <c r="S97" i="37"/>
  <c r="T97" i="37"/>
  <c r="U97" i="37"/>
  <c r="V97" i="37"/>
  <c r="W97" i="37"/>
  <c r="S98" i="37"/>
  <c r="T98" i="37"/>
  <c r="U98" i="37"/>
  <c r="V98" i="37"/>
  <c r="W98" i="37"/>
  <c r="S99" i="37"/>
  <c r="T99" i="37"/>
  <c r="U99" i="37"/>
  <c r="V99" i="37"/>
  <c r="W99" i="37"/>
  <c r="S100" i="37"/>
  <c r="T100" i="37"/>
  <c r="U100" i="37"/>
  <c r="V100" i="37"/>
  <c r="W100" i="37"/>
  <c r="S101" i="37"/>
  <c r="T101" i="37"/>
  <c r="U101" i="37"/>
  <c r="V101" i="37"/>
  <c r="W101" i="37"/>
  <c r="S102" i="37"/>
  <c r="T102" i="37"/>
  <c r="U102" i="37"/>
  <c r="V102" i="37"/>
  <c r="W102" i="37"/>
  <c r="S103" i="37"/>
  <c r="T103" i="37"/>
  <c r="U103" i="37"/>
  <c r="V103" i="37"/>
  <c r="W103" i="37"/>
  <c r="S104" i="37"/>
  <c r="T104" i="37"/>
  <c r="U104" i="37"/>
  <c r="V104" i="37"/>
  <c r="W104" i="37"/>
  <c r="S105" i="37"/>
  <c r="T105" i="37"/>
  <c r="U105" i="37"/>
  <c r="V105" i="37"/>
  <c r="W105" i="37"/>
  <c r="S106" i="37"/>
  <c r="T106" i="37"/>
  <c r="U106" i="37"/>
  <c r="V106" i="37"/>
  <c r="W106" i="37"/>
  <c r="S107" i="37"/>
  <c r="T107" i="37"/>
  <c r="U107" i="37"/>
  <c r="V107" i="37"/>
  <c r="W107" i="37"/>
  <c r="S108" i="37"/>
  <c r="T108" i="37"/>
  <c r="U108" i="37"/>
  <c r="V108" i="37"/>
  <c r="W108" i="37"/>
  <c r="S109" i="37"/>
  <c r="T109" i="37"/>
  <c r="U109" i="37"/>
  <c r="V109" i="37"/>
  <c r="W109" i="37"/>
  <c r="S110" i="37"/>
  <c r="T110" i="37"/>
  <c r="U110" i="37"/>
  <c r="V110" i="37"/>
  <c r="W110" i="37"/>
  <c r="S111" i="37"/>
  <c r="T111" i="37"/>
  <c r="U111" i="37"/>
  <c r="V111" i="37"/>
  <c r="W111" i="37"/>
  <c r="S112" i="37"/>
  <c r="T112" i="37"/>
  <c r="U112" i="37"/>
  <c r="V112" i="37"/>
  <c r="W112" i="37"/>
  <c r="S113" i="37"/>
  <c r="T113" i="37"/>
  <c r="U113" i="37"/>
  <c r="V113" i="37"/>
  <c r="W113" i="37"/>
  <c r="S114" i="37"/>
  <c r="T114" i="37"/>
  <c r="U114" i="37"/>
  <c r="V114" i="37"/>
  <c r="W114" i="37"/>
  <c r="S115" i="37"/>
  <c r="T115" i="37"/>
  <c r="U115" i="37"/>
  <c r="V115" i="37"/>
  <c r="W115" i="37"/>
  <c r="S116" i="37"/>
  <c r="T116" i="37"/>
  <c r="U116" i="37"/>
  <c r="V116" i="37"/>
  <c r="W116" i="37"/>
  <c r="S117" i="37"/>
  <c r="T117" i="37"/>
  <c r="U117" i="37"/>
  <c r="V117" i="37"/>
  <c r="W117" i="37"/>
  <c r="S118" i="37"/>
  <c r="T118" i="37"/>
  <c r="U118" i="37"/>
  <c r="V118" i="37"/>
  <c r="W118" i="37"/>
  <c r="S119" i="37"/>
  <c r="T119" i="37"/>
  <c r="U119" i="37"/>
  <c r="V119" i="37"/>
  <c r="W119" i="37"/>
  <c r="L94" i="37"/>
  <c r="M94" i="37"/>
  <c r="N94" i="37"/>
  <c r="O94" i="37"/>
  <c r="P94" i="37" s="1"/>
  <c r="L95" i="37"/>
  <c r="M95" i="37"/>
  <c r="N95" i="37"/>
  <c r="O95" i="37"/>
  <c r="P95" i="37" s="1"/>
  <c r="L96" i="37"/>
  <c r="M96" i="37"/>
  <c r="N96" i="37"/>
  <c r="O96" i="37"/>
  <c r="P96" i="37" s="1"/>
  <c r="L97" i="37"/>
  <c r="M97" i="37"/>
  <c r="N97" i="37"/>
  <c r="O97" i="37"/>
  <c r="P97" i="37" s="1"/>
  <c r="L98" i="37"/>
  <c r="M98" i="37"/>
  <c r="N98" i="37"/>
  <c r="O98" i="37"/>
  <c r="P98" i="37" s="1"/>
  <c r="L99" i="37"/>
  <c r="M99" i="37"/>
  <c r="N99" i="37"/>
  <c r="O99" i="37"/>
  <c r="P99" i="37" s="1"/>
  <c r="L100" i="37"/>
  <c r="M100" i="37"/>
  <c r="N100" i="37"/>
  <c r="O100" i="37"/>
  <c r="P100" i="37" s="1"/>
  <c r="L101" i="37"/>
  <c r="M101" i="37"/>
  <c r="N101" i="37"/>
  <c r="O101" i="37"/>
  <c r="P101" i="37" s="1"/>
  <c r="L102" i="37"/>
  <c r="M102" i="37"/>
  <c r="N102" i="37"/>
  <c r="O102" i="37"/>
  <c r="P102" i="37" s="1"/>
  <c r="L103" i="37"/>
  <c r="M103" i="37"/>
  <c r="N103" i="37"/>
  <c r="O103" i="37"/>
  <c r="P103" i="37" s="1"/>
  <c r="L104" i="37"/>
  <c r="M104" i="37"/>
  <c r="N104" i="37"/>
  <c r="O104" i="37"/>
  <c r="P104" i="37" s="1"/>
  <c r="L105" i="37"/>
  <c r="M105" i="37"/>
  <c r="N105" i="37"/>
  <c r="O105" i="37"/>
  <c r="P105" i="37" s="1"/>
  <c r="L106" i="37"/>
  <c r="M106" i="37"/>
  <c r="N106" i="37"/>
  <c r="O106" i="37"/>
  <c r="P106" i="37" s="1"/>
  <c r="L107" i="37"/>
  <c r="M107" i="37"/>
  <c r="N107" i="37"/>
  <c r="O107" i="37"/>
  <c r="P107" i="37" s="1"/>
  <c r="L108" i="37"/>
  <c r="M108" i="37"/>
  <c r="N108" i="37"/>
  <c r="O108" i="37"/>
  <c r="P108" i="37" s="1"/>
  <c r="L109" i="37"/>
  <c r="M109" i="37"/>
  <c r="N109" i="37"/>
  <c r="O109" i="37"/>
  <c r="P109" i="37" s="1"/>
  <c r="L110" i="37"/>
  <c r="M110" i="37"/>
  <c r="N110" i="37"/>
  <c r="O110" i="37"/>
  <c r="P110" i="37" s="1"/>
  <c r="L111" i="37"/>
  <c r="M111" i="37"/>
  <c r="N111" i="37"/>
  <c r="O111" i="37"/>
  <c r="P111" i="37" s="1"/>
  <c r="L112" i="37"/>
  <c r="M112" i="37"/>
  <c r="N112" i="37"/>
  <c r="O112" i="37"/>
  <c r="P112" i="37" s="1"/>
  <c r="L113" i="37"/>
  <c r="M113" i="37"/>
  <c r="N113" i="37"/>
  <c r="O113" i="37"/>
  <c r="P113" i="37" s="1"/>
  <c r="L114" i="37"/>
  <c r="M114" i="37"/>
  <c r="N114" i="37"/>
  <c r="O114" i="37"/>
  <c r="P114" i="37" s="1"/>
  <c r="L115" i="37"/>
  <c r="M115" i="37"/>
  <c r="N115" i="37"/>
  <c r="O115" i="37"/>
  <c r="P115" i="37" s="1"/>
  <c r="L116" i="37"/>
  <c r="M116" i="37"/>
  <c r="N116" i="37"/>
  <c r="O116" i="37"/>
  <c r="P116" i="37" s="1"/>
  <c r="L117" i="37"/>
  <c r="M117" i="37"/>
  <c r="N117" i="37"/>
  <c r="O117" i="37"/>
  <c r="P117" i="37" s="1"/>
  <c r="L118" i="37"/>
  <c r="M118" i="37"/>
  <c r="N118" i="37"/>
  <c r="O118" i="37"/>
  <c r="P118" i="37" s="1"/>
  <c r="L119" i="37"/>
  <c r="M119" i="37"/>
  <c r="N119" i="37"/>
  <c r="O119" i="37"/>
  <c r="P119" i="37" s="1"/>
  <c r="W121" i="37"/>
  <c r="V121" i="37"/>
  <c r="U121" i="37"/>
  <c r="T121" i="37"/>
  <c r="S121" i="37"/>
  <c r="O121" i="37"/>
  <c r="N121" i="37"/>
  <c r="M121" i="37"/>
  <c r="L121" i="37"/>
  <c r="W120" i="37"/>
  <c r="V120" i="37"/>
  <c r="U120" i="37"/>
  <c r="T120" i="37"/>
  <c r="S120" i="37"/>
  <c r="O120" i="37"/>
  <c r="N120" i="37"/>
  <c r="M120" i="37"/>
  <c r="L120" i="37"/>
  <c r="W65" i="37"/>
  <c r="V65" i="37"/>
  <c r="U65" i="37"/>
  <c r="T65" i="37"/>
  <c r="S65" i="37"/>
  <c r="O65" i="37"/>
  <c r="N65" i="37"/>
  <c r="M65" i="37"/>
  <c r="L65" i="37"/>
  <c r="W66" i="37"/>
  <c r="V66" i="37"/>
  <c r="U66" i="37"/>
  <c r="T66" i="37"/>
  <c r="S66" i="37"/>
  <c r="O66" i="37"/>
  <c r="N66" i="37"/>
  <c r="M66" i="37"/>
  <c r="L66" i="37"/>
  <c r="W11" i="37"/>
  <c r="V11" i="37"/>
  <c r="U11" i="37"/>
  <c r="T11" i="37"/>
  <c r="S11" i="37"/>
  <c r="O11" i="37"/>
  <c r="N11" i="37"/>
  <c r="M11" i="37"/>
  <c r="L11" i="37"/>
  <c r="W10" i="37"/>
  <c r="V10" i="37"/>
  <c r="U10" i="37"/>
  <c r="T10" i="37"/>
  <c r="S10" i="37"/>
  <c r="O10" i="37"/>
  <c r="N10" i="37"/>
  <c r="M10" i="37"/>
  <c r="L10" i="37"/>
  <c r="W9" i="37"/>
  <c r="V9" i="37"/>
  <c r="U9" i="37"/>
  <c r="T9" i="37"/>
  <c r="S9" i="37"/>
  <c r="O9" i="37"/>
  <c r="N9" i="37"/>
  <c r="M9" i="37"/>
  <c r="L9" i="37"/>
  <c r="W8" i="37"/>
  <c r="V8" i="37"/>
  <c r="U8" i="37"/>
  <c r="T8" i="37"/>
  <c r="S8" i="37"/>
  <c r="O8" i="37"/>
  <c r="N8" i="37"/>
  <c r="M8" i="37"/>
  <c r="L8" i="37"/>
  <c r="W7" i="37"/>
  <c r="V7" i="37"/>
  <c r="U7" i="37"/>
  <c r="T7" i="37"/>
  <c r="S7" i="37"/>
  <c r="O7" i="37"/>
  <c r="N7" i="37"/>
  <c r="M7" i="37"/>
  <c r="L7" i="37"/>
  <c r="W6" i="37"/>
  <c r="V6" i="37"/>
  <c r="U6" i="37"/>
  <c r="T6" i="37"/>
  <c r="S6" i="37"/>
  <c r="O6" i="37"/>
  <c r="N6" i="37"/>
  <c r="M6" i="37"/>
  <c r="L6" i="37"/>
  <c r="B22" i="26"/>
  <c r="B21" i="26"/>
  <c r="AA127" i="37"/>
  <c r="Q127" i="37"/>
  <c r="AA120" i="37"/>
  <c r="AA143" i="37"/>
  <c r="AA131" i="37"/>
  <c r="AA134" i="37"/>
  <c r="AA136" i="37"/>
  <c r="AA140" i="37"/>
  <c r="AA121" i="37"/>
  <c r="AA144" i="37"/>
  <c r="AA122" i="37"/>
  <c r="AA123" i="37"/>
  <c r="AA146" i="37"/>
  <c r="AA124" i="37"/>
  <c r="AA147" i="37"/>
  <c r="AA125" i="37"/>
  <c r="AA148" i="37"/>
  <c r="AA126" i="37"/>
  <c r="AA149" i="37"/>
  <c r="AA150" i="37"/>
  <c r="AA129" i="37"/>
  <c r="AA152" i="37"/>
  <c r="AA153" i="37"/>
  <c r="AA138" i="37"/>
  <c r="AA142" i="37"/>
  <c r="AA145" i="37"/>
  <c r="AA128" i="37"/>
  <c r="AA151" i="37"/>
  <c r="AA130" i="37"/>
  <c r="AA132" i="37"/>
  <c r="AA133" i="37"/>
  <c r="AA135" i="37"/>
  <c r="AA137" i="37"/>
  <c r="AA139" i="37"/>
  <c r="AA141" i="37"/>
  <c r="Q123" i="37"/>
  <c r="Q126" i="37"/>
  <c r="Q124" i="37"/>
  <c r="Q122" i="37"/>
  <c r="Q125" i="37"/>
  <c r="AA88" i="37"/>
  <c r="AA86" i="37"/>
  <c r="AA84" i="37"/>
  <c r="AA82" i="37"/>
  <c r="AA80" i="37"/>
  <c r="AA78" i="37"/>
  <c r="Q87" i="37"/>
  <c r="Q85" i="37"/>
  <c r="Q81" i="37"/>
  <c r="Q79" i="37"/>
  <c r="Q88" i="37"/>
  <c r="Q86" i="37"/>
  <c r="Q84" i="37"/>
  <c r="Q82" i="37"/>
  <c r="Q80" i="37"/>
  <c r="Q78" i="37"/>
  <c r="AA87" i="37"/>
  <c r="AA85" i="37"/>
  <c r="AA83" i="37"/>
  <c r="AA81" i="37"/>
  <c r="AA79" i="37"/>
  <c r="Q83" i="37"/>
  <c r="AA72" i="37"/>
  <c r="Q71" i="37"/>
  <c r="Q72" i="37"/>
  <c r="AA71" i="37"/>
  <c r="AA73" i="37"/>
  <c r="Q73" i="37"/>
  <c r="Q150" i="37"/>
  <c r="Q153" i="37"/>
  <c r="Q151" i="37"/>
  <c r="Q152" i="37"/>
  <c r="Q130" i="37"/>
  <c r="Q132" i="37"/>
  <c r="Q133" i="37"/>
  <c r="Q134" i="37"/>
  <c r="Q135" i="37"/>
  <c r="Q136" i="37"/>
  <c r="Q137" i="37"/>
  <c r="Q138" i="37"/>
  <c r="Q139" i="37"/>
  <c r="Q140" i="37"/>
  <c r="Q141" i="37"/>
  <c r="Q142" i="37"/>
  <c r="Q143" i="37"/>
  <c r="Q144" i="37"/>
  <c r="Q145" i="37"/>
  <c r="Q146" i="37"/>
  <c r="Q147" i="37"/>
  <c r="Q131" i="37"/>
  <c r="Q149" i="37"/>
  <c r="Q148" i="37"/>
  <c r="AA114" i="37"/>
  <c r="AA93" i="37"/>
  <c r="AA115" i="37"/>
  <c r="AA94" i="37"/>
  <c r="AA116" i="37"/>
  <c r="AA95" i="37"/>
  <c r="AA117" i="37"/>
  <c r="AA96" i="37"/>
  <c r="AA118" i="37"/>
  <c r="AA97" i="37"/>
  <c r="AA119" i="37"/>
  <c r="AA98" i="37"/>
  <c r="AA99" i="37"/>
  <c r="AA100" i="37"/>
  <c r="AA101" i="37"/>
  <c r="AA102" i="37"/>
  <c r="AA103" i="37"/>
  <c r="AA104" i="37"/>
  <c r="AA105" i="37"/>
  <c r="AA106" i="37"/>
  <c r="AA107" i="37"/>
  <c r="AA108" i="37"/>
  <c r="AA109" i="37"/>
  <c r="AA110" i="37"/>
  <c r="AA111" i="37"/>
  <c r="AA112" i="37"/>
  <c r="AA113" i="37"/>
  <c r="Q94" i="37"/>
  <c r="Q116" i="37"/>
  <c r="Q95" i="37"/>
  <c r="Q117" i="37"/>
  <c r="Q107" i="37"/>
  <c r="Q109" i="37"/>
  <c r="Q111" i="37"/>
  <c r="Q113" i="37"/>
  <c r="Q96" i="37"/>
  <c r="Q118" i="37"/>
  <c r="Q99" i="37"/>
  <c r="Q101" i="37"/>
  <c r="Q103" i="37"/>
  <c r="Q106" i="37"/>
  <c r="Q110" i="37"/>
  <c r="Q114" i="37"/>
  <c r="Q97" i="37"/>
  <c r="Q119" i="37"/>
  <c r="Q98" i="37"/>
  <c r="Q100" i="37"/>
  <c r="Q102" i="37"/>
  <c r="Q104" i="37"/>
  <c r="Q105" i="37"/>
  <c r="Q108" i="37"/>
  <c r="Q112" i="37"/>
  <c r="Q115" i="37"/>
  <c r="Q121" i="37"/>
  <c r="Q120" i="37"/>
  <c r="AA65" i="37"/>
  <c r="Q65" i="37"/>
  <c r="AA66" i="37"/>
  <c r="Q66" i="37"/>
  <c r="AA11" i="37"/>
  <c r="AA9" i="37"/>
  <c r="AA7" i="37"/>
  <c r="Q11" i="37"/>
  <c r="Q9" i="37"/>
  <c r="Q7" i="37"/>
  <c r="AA10" i="37"/>
  <c r="AA8" i="37"/>
  <c r="AA6" i="37"/>
  <c r="Q10" i="37"/>
  <c r="Q8" i="37"/>
  <c r="Q6" i="37"/>
  <c r="W24" i="37"/>
  <c r="V24" i="37"/>
  <c r="U24" i="37"/>
  <c r="T24" i="37"/>
  <c r="S24" i="37"/>
  <c r="O24" i="37"/>
  <c r="N24" i="37"/>
  <c r="M24" i="37"/>
  <c r="L24" i="37"/>
  <c r="W23" i="37"/>
  <c r="V23" i="37"/>
  <c r="U23" i="37"/>
  <c r="T23" i="37"/>
  <c r="S23" i="37"/>
  <c r="O23" i="37"/>
  <c r="N23" i="37"/>
  <c r="M23" i="37"/>
  <c r="L23" i="37"/>
  <c r="W36" i="37"/>
  <c r="V36" i="37"/>
  <c r="U36" i="37"/>
  <c r="T36" i="37"/>
  <c r="S36" i="37"/>
  <c r="O36" i="37"/>
  <c r="N36" i="37"/>
  <c r="M36" i="37"/>
  <c r="L36" i="37"/>
  <c r="W35" i="37"/>
  <c r="V35" i="37"/>
  <c r="U35" i="37"/>
  <c r="T35" i="37"/>
  <c r="S35" i="37"/>
  <c r="O35" i="37"/>
  <c r="N35" i="37"/>
  <c r="M35" i="37"/>
  <c r="L35" i="37"/>
  <c r="W34" i="37"/>
  <c r="V34" i="37"/>
  <c r="U34" i="37"/>
  <c r="T34" i="37"/>
  <c r="S34" i="37"/>
  <c r="O34" i="37"/>
  <c r="N34" i="37"/>
  <c r="M34" i="37"/>
  <c r="L34" i="37"/>
  <c r="W33" i="37"/>
  <c r="V33" i="37"/>
  <c r="U33" i="37"/>
  <c r="T33" i="37"/>
  <c r="S33" i="37"/>
  <c r="O33" i="37"/>
  <c r="N33" i="37"/>
  <c r="M33" i="37"/>
  <c r="L33" i="37"/>
  <c r="W32" i="37"/>
  <c r="V32" i="37"/>
  <c r="U32" i="37"/>
  <c r="T32" i="37"/>
  <c r="S32" i="37"/>
  <c r="O32" i="37"/>
  <c r="N32" i="37"/>
  <c r="M32" i="37"/>
  <c r="L32" i="37"/>
  <c r="W31" i="37"/>
  <c r="V31" i="37"/>
  <c r="U31" i="37"/>
  <c r="T31" i="37"/>
  <c r="S31" i="37"/>
  <c r="O31" i="37"/>
  <c r="N31" i="37"/>
  <c r="M31" i="37"/>
  <c r="L31" i="37"/>
  <c r="W30" i="37"/>
  <c r="V30" i="37"/>
  <c r="U30" i="37"/>
  <c r="T30" i="37"/>
  <c r="S30" i="37"/>
  <c r="O30" i="37"/>
  <c r="N30" i="37"/>
  <c r="M30" i="37"/>
  <c r="L30" i="37"/>
  <c r="W29" i="37"/>
  <c r="V29" i="37"/>
  <c r="U29" i="37"/>
  <c r="T29" i="37"/>
  <c r="S29" i="37"/>
  <c r="O29" i="37"/>
  <c r="N29" i="37"/>
  <c r="M29" i="37"/>
  <c r="L29" i="37"/>
  <c r="W28" i="37"/>
  <c r="V28" i="37"/>
  <c r="U28" i="37"/>
  <c r="T28" i="37"/>
  <c r="S28" i="37"/>
  <c r="O28" i="37"/>
  <c r="N28" i="37"/>
  <c r="M28" i="37"/>
  <c r="L28" i="37"/>
  <c r="W27" i="37"/>
  <c r="V27" i="37"/>
  <c r="U27" i="37"/>
  <c r="T27" i="37"/>
  <c r="S27" i="37"/>
  <c r="O27" i="37"/>
  <c r="N27" i="37"/>
  <c r="M27" i="37"/>
  <c r="L27" i="37"/>
  <c r="W26" i="37"/>
  <c r="V26" i="37"/>
  <c r="U26" i="37"/>
  <c r="T26" i="37"/>
  <c r="S26" i="37"/>
  <c r="O26" i="37"/>
  <c r="N26" i="37"/>
  <c r="M26" i="37"/>
  <c r="L26" i="37"/>
  <c r="W25" i="37"/>
  <c r="V25" i="37"/>
  <c r="U25" i="37"/>
  <c r="T25" i="37"/>
  <c r="S25" i="37"/>
  <c r="O25" i="37"/>
  <c r="N25" i="37"/>
  <c r="M25" i="37"/>
  <c r="L25" i="37"/>
  <c r="W91" i="37"/>
  <c r="V91" i="37"/>
  <c r="U91" i="37"/>
  <c r="T91" i="37"/>
  <c r="S91" i="37"/>
  <c r="O91" i="37"/>
  <c r="N91" i="37"/>
  <c r="M91" i="37"/>
  <c r="L91" i="37"/>
  <c r="W90" i="37"/>
  <c r="V90" i="37"/>
  <c r="U90" i="37"/>
  <c r="T90" i="37"/>
  <c r="S90" i="37"/>
  <c r="O90" i="37"/>
  <c r="N90" i="37"/>
  <c r="M90" i="37"/>
  <c r="L90" i="37"/>
  <c r="O64" i="37"/>
  <c r="O55" i="37"/>
  <c r="O54" i="37"/>
  <c r="W54" i="37"/>
  <c r="W55" i="37"/>
  <c r="W56" i="37"/>
  <c r="W57" i="37"/>
  <c r="W58" i="37"/>
  <c r="W59" i="37"/>
  <c r="W60" i="37"/>
  <c r="W61" i="37"/>
  <c r="W62" i="37"/>
  <c r="W63" i="37"/>
  <c r="W64" i="37"/>
  <c r="W67" i="37"/>
  <c r="S54" i="37"/>
  <c r="T54" i="37"/>
  <c r="U54" i="37"/>
  <c r="V54" i="37"/>
  <c r="S55" i="37"/>
  <c r="T55" i="37"/>
  <c r="U55" i="37"/>
  <c r="V55" i="37"/>
  <c r="S56" i="37"/>
  <c r="T56" i="37"/>
  <c r="U56" i="37"/>
  <c r="V56" i="37"/>
  <c r="S57" i="37"/>
  <c r="T57" i="37"/>
  <c r="U57" i="37"/>
  <c r="V57" i="37"/>
  <c r="S58" i="37"/>
  <c r="T58" i="37"/>
  <c r="U58" i="37"/>
  <c r="V58" i="37"/>
  <c r="S59" i="37"/>
  <c r="T59" i="37"/>
  <c r="U59" i="37"/>
  <c r="V59" i="37"/>
  <c r="S60" i="37"/>
  <c r="T60" i="37"/>
  <c r="U60" i="37"/>
  <c r="V60" i="37"/>
  <c r="S61" i="37"/>
  <c r="T61" i="37"/>
  <c r="U61" i="37"/>
  <c r="V61" i="37"/>
  <c r="S62" i="37"/>
  <c r="T62" i="37"/>
  <c r="U62" i="37"/>
  <c r="V62" i="37"/>
  <c r="S63" i="37"/>
  <c r="T63" i="37"/>
  <c r="U63" i="37"/>
  <c r="V63" i="37"/>
  <c r="S64" i="37"/>
  <c r="T64" i="37"/>
  <c r="U64" i="37"/>
  <c r="V64" i="37"/>
  <c r="S67" i="37"/>
  <c r="T67" i="37"/>
  <c r="U67" i="37"/>
  <c r="V67" i="37"/>
  <c r="O60" i="37"/>
  <c r="N60" i="37"/>
  <c r="M60" i="37"/>
  <c r="L60" i="37"/>
  <c r="O59" i="37"/>
  <c r="N59" i="37"/>
  <c r="M59" i="37"/>
  <c r="L59" i="37"/>
  <c r="O58" i="37"/>
  <c r="N58" i="37"/>
  <c r="M58" i="37"/>
  <c r="L58" i="37"/>
  <c r="O56" i="37"/>
  <c r="N56" i="37"/>
  <c r="M56" i="37"/>
  <c r="L56" i="37"/>
  <c r="N55" i="37"/>
  <c r="M55" i="37"/>
  <c r="L55" i="37"/>
  <c r="N54" i="37"/>
  <c r="M54" i="37"/>
  <c r="L54" i="37"/>
  <c r="O67" i="37"/>
  <c r="N67" i="37"/>
  <c r="M67" i="37"/>
  <c r="L67" i="37"/>
  <c r="N64" i="37"/>
  <c r="M64" i="37"/>
  <c r="L64" i="37"/>
  <c r="O63" i="37"/>
  <c r="N63" i="37"/>
  <c r="M63" i="37"/>
  <c r="L63" i="37"/>
  <c r="O62" i="37"/>
  <c r="N62" i="37"/>
  <c r="M62" i="37"/>
  <c r="L62" i="37"/>
  <c r="O61" i="37"/>
  <c r="N61" i="37"/>
  <c r="M61" i="37"/>
  <c r="L61" i="37"/>
  <c r="O57" i="37"/>
  <c r="N57" i="37"/>
  <c r="M57" i="37"/>
  <c r="L57" i="37"/>
  <c r="W5" i="37"/>
  <c r="V5" i="37"/>
  <c r="U5" i="37"/>
  <c r="T5" i="37"/>
  <c r="S5" i="37"/>
  <c r="O5" i="37"/>
  <c r="N5" i="37"/>
  <c r="M5" i="37"/>
  <c r="L5" i="37"/>
  <c r="W4" i="37"/>
  <c r="V4" i="37"/>
  <c r="U4" i="37"/>
  <c r="T4" i="37"/>
  <c r="S4" i="37"/>
  <c r="O4" i="37"/>
  <c r="N4" i="37"/>
  <c r="M4" i="37"/>
  <c r="L4" i="37"/>
  <c r="W3" i="37"/>
  <c r="V3" i="37"/>
  <c r="U3" i="37"/>
  <c r="T3" i="37"/>
  <c r="S3" i="37"/>
  <c r="O3" i="37"/>
  <c r="N3" i="37"/>
  <c r="M3" i="37"/>
  <c r="L3" i="37"/>
  <c r="W22" i="37"/>
  <c r="W37" i="37"/>
  <c r="W38" i="37"/>
  <c r="W39" i="37"/>
  <c r="W40" i="37"/>
  <c r="W41" i="37"/>
  <c r="W42" i="37"/>
  <c r="W43" i="37"/>
  <c r="W44" i="37"/>
  <c r="W45" i="37"/>
  <c r="W46" i="37"/>
  <c r="W47" i="37"/>
  <c r="W48" i="37"/>
  <c r="W49" i="37"/>
  <c r="W50" i="37"/>
  <c r="W51" i="37"/>
  <c r="W52" i="37"/>
  <c r="W53" i="37"/>
  <c r="S37" i="37"/>
  <c r="T37" i="37"/>
  <c r="U37" i="37"/>
  <c r="V37" i="37"/>
  <c r="S38" i="37"/>
  <c r="T38" i="37"/>
  <c r="U38" i="37"/>
  <c r="V38" i="37"/>
  <c r="S39" i="37"/>
  <c r="T39" i="37"/>
  <c r="U39" i="37"/>
  <c r="V39" i="37"/>
  <c r="S40" i="37"/>
  <c r="T40" i="37"/>
  <c r="U40" i="37"/>
  <c r="V40" i="37"/>
  <c r="S41" i="37"/>
  <c r="T41" i="37"/>
  <c r="U41" i="37"/>
  <c r="V41" i="37"/>
  <c r="S42" i="37"/>
  <c r="T42" i="37"/>
  <c r="U42" i="37"/>
  <c r="V42" i="37"/>
  <c r="S43" i="37"/>
  <c r="T43" i="37"/>
  <c r="U43" i="37"/>
  <c r="V43" i="37"/>
  <c r="S44" i="37"/>
  <c r="T44" i="37"/>
  <c r="U44" i="37"/>
  <c r="V44" i="37"/>
  <c r="S45" i="37"/>
  <c r="T45" i="37"/>
  <c r="U45" i="37"/>
  <c r="V45" i="37"/>
  <c r="S46" i="37"/>
  <c r="T46" i="37"/>
  <c r="U46" i="37"/>
  <c r="V46" i="37"/>
  <c r="S47" i="37"/>
  <c r="T47" i="37"/>
  <c r="U47" i="37"/>
  <c r="V47" i="37"/>
  <c r="S48" i="37"/>
  <c r="T48" i="37"/>
  <c r="U48" i="37"/>
  <c r="V48" i="37"/>
  <c r="S49" i="37"/>
  <c r="T49" i="37"/>
  <c r="U49" i="37"/>
  <c r="V49" i="37"/>
  <c r="S50" i="37"/>
  <c r="T50" i="37"/>
  <c r="U50" i="37"/>
  <c r="V50" i="37"/>
  <c r="S51" i="37"/>
  <c r="T51" i="37"/>
  <c r="U51" i="37"/>
  <c r="V51" i="37"/>
  <c r="S52" i="37"/>
  <c r="T52" i="37"/>
  <c r="U52" i="37"/>
  <c r="V52" i="37"/>
  <c r="S53" i="37"/>
  <c r="T53" i="37"/>
  <c r="U53" i="37"/>
  <c r="V53" i="37"/>
  <c r="O41" i="37"/>
  <c r="O42" i="37"/>
  <c r="O43" i="37"/>
  <c r="O44" i="37"/>
  <c r="O45" i="37"/>
  <c r="O46" i="37"/>
  <c r="O47" i="37"/>
  <c r="O48" i="37"/>
  <c r="O49" i="37"/>
  <c r="O50" i="37"/>
  <c r="O51" i="37"/>
  <c r="O52" i="37"/>
  <c r="O53" i="37"/>
  <c r="N41" i="37"/>
  <c r="N42" i="37"/>
  <c r="N43" i="37"/>
  <c r="N44" i="37"/>
  <c r="N45" i="37"/>
  <c r="N46" i="37"/>
  <c r="N47" i="37"/>
  <c r="N48" i="37"/>
  <c r="N49" i="37"/>
  <c r="N50" i="37"/>
  <c r="N51" i="37"/>
  <c r="N52" i="37"/>
  <c r="N53" i="37"/>
  <c r="M41" i="37"/>
  <c r="M42" i="37"/>
  <c r="M43" i="37"/>
  <c r="M44" i="37"/>
  <c r="M45" i="37"/>
  <c r="M46" i="37"/>
  <c r="M47" i="37"/>
  <c r="M48" i="37"/>
  <c r="M49" i="37"/>
  <c r="M50" i="37"/>
  <c r="M51" i="37"/>
  <c r="M52" i="37"/>
  <c r="M53" i="37"/>
  <c r="L41" i="37"/>
  <c r="L42" i="37"/>
  <c r="L43" i="37"/>
  <c r="L44" i="37"/>
  <c r="L45" i="37"/>
  <c r="L46" i="37"/>
  <c r="L47" i="37"/>
  <c r="L48" i="37"/>
  <c r="L49" i="37"/>
  <c r="L50" i="37"/>
  <c r="L51" i="37"/>
  <c r="L52" i="37"/>
  <c r="L53" i="37"/>
  <c r="L37" i="37"/>
  <c r="M37" i="37"/>
  <c r="L38" i="37"/>
  <c r="M38" i="37"/>
  <c r="L39" i="37"/>
  <c r="M39" i="37"/>
  <c r="L40" i="37"/>
  <c r="M40" i="37"/>
  <c r="N38" i="37"/>
  <c r="N39" i="37"/>
  <c r="N40" i="37"/>
  <c r="O40" i="37"/>
  <c r="O39" i="37"/>
  <c r="O38" i="37"/>
  <c r="O37" i="37"/>
  <c r="N37" i="37"/>
  <c r="W12" i="37"/>
  <c r="W13" i="37"/>
  <c r="W14" i="37"/>
  <c r="W15" i="37"/>
  <c r="W16" i="37"/>
  <c r="W17" i="37"/>
  <c r="W18" i="37"/>
  <c r="W19" i="37"/>
  <c r="W20" i="37"/>
  <c r="W21" i="37"/>
  <c r="W68" i="37"/>
  <c r="W69" i="37"/>
  <c r="W70" i="37"/>
  <c r="W74" i="37"/>
  <c r="W75" i="37"/>
  <c r="W76" i="37"/>
  <c r="W77" i="37"/>
  <c r="W89" i="37"/>
  <c r="W92" i="37"/>
  <c r="W93" i="37"/>
  <c r="W128" i="37"/>
  <c r="W129" i="37"/>
  <c r="S12" i="37"/>
  <c r="T12" i="37"/>
  <c r="U12" i="37"/>
  <c r="V12" i="37"/>
  <c r="S13" i="37"/>
  <c r="T13" i="37"/>
  <c r="U13" i="37"/>
  <c r="V13" i="37"/>
  <c r="S14" i="37"/>
  <c r="T14" i="37"/>
  <c r="U14" i="37"/>
  <c r="V14" i="37"/>
  <c r="S15" i="37"/>
  <c r="T15" i="37"/>
  <c r="U15" i="37"/>
  <c r="V15" i="37"/>
  <c r="S16" i="37"/>
  <c r="T16" i="37"/>
  <c r="U16" i="37"/>
  <c r="V16" i="37"/>
  <c r="S17" i="37"/>
  <c r="T17" i="37"/>
  <c r="U17" i="37"/>
  <c r="V17" i="37"/>
  <c r="S18" i="37"/>
  <c r="T18" i="37"/>
  <c r="U18" i="37"/>
  <c r="V18" i="37"/>
  <c r="S19" i="37"/>
  <c r="T19" i="37"/>
  <c r="U19" i="37"/>
  <c r="V19" i="37"/>
  <c r="S20" i="37"/>
  <c r="T20" i="37"/>
  <c r="U20" i="37"/>
  <c r="V20" i="37"/>
  <c r="S21" i="37"/>
  <c r="T21" i="37"/>
  <c r="U21" i="37"/>
  <c r="V21" i="37"/>
  <c r="S22" i="37"/>
  <c r="T22" i="37"/>
  <c r="U22" i="37"/>
  <c r="V22" i="37"/>
  <c r="S68" i="37"/>
  <c r="T68" i="37"/>
  <c r="U68" i="37"/>
  <c r="V68" i="37"/>
  <c r="S69" i="37"/>
  <c r="T69" i="37"/>
  <c r="U69" i="37"/>
  <c r="V69" i="37"/>
  <c r="S70" i="37"/>
  <c r="T70" i="37"/>
  <c r="U70" i="37"/>
  <c r="V70" i="37"/>
  <c r="S74" i="37"/>
  <c r="T74" i="37"/>
  <c r="U74" i="37"/>
  <c r="V74" i="37"/>
  <c r="S75" i="37"/>
  <c r="T75" i="37"/>
  <c r="U75" i="37"/>
  <c r="V75" i="37"/>
  <c r="S76" i="37"/>
  <c r="T76" i="37"/>
  <c r="U76" i="37"/>
  <c r="V76" i="37"/>
  <c r="S77" i="37"/>
  <c r="T77" i="37"/>
  <c r="U77" i="37"/>
  <c r="V77" i="37"/>
  <c r="S89" i="37"/>
  <c r="T89" i="37"/>
  <c r="U89" i="37"/>
  <c r="V89" i="37"/>
  <c r="S92" i="37"/>
  <c r="T92" i="37"/>
  <c r="U92" i="37"/>
  <c r="V92" i="37"/>
  <c r="S93" i="37"/>
  <c r="T93" i="37"/>
  <c r="U93" i="37"/>
  <c r="V93" i="37"/>
  <c r="S128" i="37"/>
  <c r="T128" i="37"/>
  <c r="U128" i="37"/>
  <c r="V128" i="37"/>
  <c r="S129" i="37"/>
  <c r="T129" i="37"/>
  <c r="U129" i="37"/>
  <c r="V129" i="37"/>
  <c r="O12" i="37"/>
  <c r="O13" i="37"/>
  <c r="O14" i="37"/>
  <c r="O15" i="37"/>
  <c r="O16" i="37"/>
  <c r="O17" i="37"/>
  <c r="O18" i="37"/>
  <c r="O19" i="37"/>
  <c r="O20" i="37"/>
  <c r="O21" i="37"/>
  <c r="O22" i="37"/>
  <c r="O68" i="37"/>
  <c r="O69" i="37"/>
  <c r="O70" i="37"/>
  <c r="O74" i="37"/>
  <c r="O75" i="37"/>
  <c r="O76" i="37"/>
  <c r="O77" i="37"/>
  <c r="O89" i="37"/>
  <c r="O92" i="37"/>
  <c r="O93" i="37"/>
  <c r="O128" i="37"/>
  <c r="O129" i="37"/>
  <c r="N12" i="37"/>
  <c r="N13" i="37"/>
  <c r="N14" i="37"/>
  <c r="N15" i="37"/>
  <c r="N16" i="37"/>
  <c r="N17" i="37"/>
  <c r="N18" i="37"/>
  <c r="N19" i="37"/>
  <c r="N20" i="37"/>
  <c r="N21" i="37"/>
  <c r="N22" i="37"/>
  <c r="N68" i="37"/>
  <c r="N69" i="37"/>
  <c r="N70" i="37"/>
  <c r="N74" i="37"/>
  <c r="N75" i="37"/>
  <c r="N76" i="37"/>
  <c r="N77" i="37"/>
  <c r="N89" i="37"/>
  <c r="N92" i="37"/>
  <c r="N93" i="37"/>
  <c r="N128" i="37"/>
  <c r="N129" i="37"/>
  <c r="M12" i="37"/>
  <c r="M13" i="37"/>
  <c r="M14" i="37"/>
  <c r="M15" i="37"/>
  <c r="M16" i="37"/>
  <c r="M17" i="37"/>
  <c r="M18" i="37"/>
  <c r="M19" i="37"/>
  <c r="M20" i="37"/>
  <c r="M21" i="37"/>
  <c r="M22" i="37"/>
  <c r="M68" i="37"/>
  <c r="M69" i="37"/>
  <c r="M70" i="37"/>
  <c r="M74" i="37"/>
  <c r="M75" i="37"/>
  <c r="M76" i="37"/>
  <c r="M77" i="37"/>
  <c r="M89" i="37"/>
  <c r="M92" i="37"/>
  <c r="M93" i="37"/>
  <c r="M128" i="37"/>
  <c r="M129" i="37"/>
  <c r="L12" i="37"/>
  <c r="L13" i="37"/>
  <c r="L14" i="37"/>
  <c r="L15" i="37"/>
  <c r="L16" i="37"/>
  <c r="L17" i="37"/>
  <c r="L18" i="37"/>
  <c r="L19" i="37"/>
  <c r="L20" i="37"/>
  <c r="L21" i="37"/>
  <c r="L22" i="37"/>
  <c r="L68" i="37"/>
  <c r="L69" i="37"/>
  <c r="L70" i="37"/>
  <c r="L74" i="37"/>
  <c r="L75" i="37"/>
  <c r="L76" i="37"/>
  <c r="L77" i="37"/>
  <c r="L89" i="37"/>
  <c r="L92" i="37"/>
  <c r="L93" i="37"/>
  <c r="L128" i="37"/>
  <c r="L129" i="37"/>
  <c r="W2" i="37"/>
  <c r="V2" i="37"/>
  <c r="U2" i="37"/>
  <c r="T2" i="37"/>
  <c r="S2" i="37"/>
  <c r="O2" i="37"/>
  <c r="N2" i="37"/>
  <c r="M2" i="37"/>
  <c r="L2" i="37"/>
  <c r="AA24" i="37"/>
  <c r="AA23" i="37"/>
  <c r="Q24" i="37"/>
  <c r="Q23" i="37"/>
  <c r="AA36" i="37"/>
  <c r="Q36" i="37"/>
  <c r="AA35" i="37"/>
  <c r="Q35" i="37"/>
  <c r="AA34" i="37"/>
  <c r="Q34" i="37"/>
  <c r="AA33" i="37"/>
  <c r="AA31" i="37"/>
  <c r="AA29" i="37"/>
  <c r="AA27" i="37"/>
  <c r="AA25" i="37"/>
  <c r="Q29" i="37"/>
  <c r="AA30" i="37"/>
  <c r="Q28" i="37"/>
  <c r="Q33" i="37"/>
  <c r="AA32" i="37"/>
  <c r="Q26" i="37"/>
  <c r="Q25" i="37"/>
  <c r="AA26" i="37"/>
  <c r="Q32" i="37"/>
  <c r="Q27" i="37"/>
  <c r="AA28" i="37"/>
  <c r="Q31" i="37"/>
  <c r="Q30" i="37"/>
  <c r="AA91" i="37"/>
  <c r="Q91" i="37"/>
  <c r="Q90" i="37"/>
  <c r="AA90" i="37"/>
  <c r="AA56" i="37"/>
  <c r="AA58" i="37"/>
  <c r="AA59" i="37"/>
  <c r="AA60" i="37"/>
  <c r="AA61" i="37"/>
  <c r="AA64" i="37"/>
  <c r="AA67" i="37"/>
  <c r="AA54" i="37"/>
  <c r="AA55" i="37"/>
  <c r="AA57" i="37"/>
  <c r="AA62" i="37"/>
  <c r="AA63" i="37"/>
  <c r="Q55" i="37"/>
  <c r="Q56" i="37"/>
  <c r="Q58" i="37"/>
  <c r="Q61" i="37"/>
  <c r="Q64" i="37"/>
  <c r="Q57" i="37"/>
  <c r="Q60" i="37"/>
  <c r="Q63" i="37"/>
  <c r="Q67" i="37"/>
  <c r="Q59" i="37"/>
  <c r="Q54" i="37"/>
  <c r="Q62" i="37"/>
  <c r="AA4" i="37"/>
  <c r="Q4" i="37"/>
  <c r="AA5" i="37"/>
  <c r="Q5" i="37"/>
  <c r="AA3" i="37"/>
  <c r="Q3" i="37"/>
  <c r="Q37" i="37"/>
  <c r="Q38" i="37"/>
  <c r="Q39" i="37"/>
  <c r="Q40" i="37"/>
  <c r="Q41" i="37"/>
  <c r="Q42" i="37"/>
  <c r="Q47" i="37"/>
  <c r="Q48" i="37"/>
  <c r="Q49" i="37"/>
  <c r="Q50" i="37"/>
  <c r="Q51" i="37"/>
  <c r="Q52" i="37"/>
  <c r="Q53" i="37"/>
  <c r="Q43" i="37"/>
  <c r="Q44" i="37"/>
  <c r="Q45" i="37"/>
  <c r="Q46" i="37"/>
  <c r="AA70" i="37"/>
  <c r="AA75" i="37"/>
  <c r="AA76" i="37"/>
  <c r="AA92" i="37"/>
  <c r="AA68" i="37"/>
  <c r="AA69" i="37"/>
  <c r="AA74" i="37"/>
  <c r="AA77" i="37"/>
  <c r="AA89" i="37"/>
  <c r="AA37" i="37"/>
  <c r="AA53" i="37"/>
  <c r="AA38" i="37"/>
  <c r="AA39" i="37"/>
  <c r="AA41" i="37"/>
  <c r="AA42" i="37"/>
  <c r="AA43" i="37"/>
  <c r="AA44" i="37"/>
  <c r="AA45" i="37"/>
  <c r="AA46" i="37"/>
  <c r="AA47" i="37"/>
  <c r="AA48" i="37"/>
  <c r="AA49" i="37"/>
  <c r="AA50" i="37"/>
  <c r="AA51" i="37"/>
  <c r="AA52" i="37"/>
  <c r="AA40" i="37"/>
  <c r="Q68" i="37"/>
  <c r="Q69" i="37"/>
  <c r="Q129" i="37"/>
  <c r="Q74" i="37"/>
  <c r="Q75" i="37"/>
  <c r="Q76" i="37"/>
  <c r="Q77" i="37"/>
  <c r="Q89" i="37"/>
  <c r="Q92" i="37"/>
  <c r="Q128" i="37"/>
  <c r="Q93" i="37"/>
  <c r="Q70" i="37"/>
  <c r="AA2" i="37"/>
  <c r="Q2" i="37"/>
  <c r="B26" i="26" l="1"/>
  <c r="B27" i="26"/>
  <c r="B18" i="26" l="1"/>
  <c r="B6" i="26" l="1"/>
  <c r="B5" i="26"/>
  <c r="Q12" i="37"/>
  <c r="AA12" i="37"/>
  <c r="Q14" i="37"/>
  <c r="AA14" i="37"/>
  <c r="Q13" i="37"/>
  <c r="AA13" i="37"/>
  <c r="AA22" i="37"/>
  <c r="Q22" i="37"/>
  <c r="AA21" i="37"/>
  <c r="Q21" i="37"/>
  <c r="AA20" i="37"/>
  <c r="Q20" i="37"/>
  <c r="AA19" i="37"/>
  <c r="Q19" i="37"/>
  <c r="AA18" i="37"/>
  <c r="Q18" i="37"/>
  <c r="AA17" i="37"/>
  <c r="Q17" i="37"/>
  <c r="AA16" i="37"/>
  <c r="Q16" i="37"/>
  <c r="AA15" i="37"/>
  <c r="Q15" i="37"/>
</calcChain>
</file>

<file path=xl/sharedStrings.xml><?xml version="1.0" encoding="utf-8"?>
<sst xmlns="http://schemas.openxmlformats.org/spreadsheetml/2006/main" count="2807" uniqueCount="528">
  <si>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</si>
  <si>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</si>
  <si>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</si>
  <si>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</si>
  <si>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</si>
  <si>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</si>
  <si>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</si>
  <si>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</si>
  <si>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</si>
  <si>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</si>
  <si>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</si>
  <si>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</si>
  <si>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</si>
  <si>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</si>
  <si>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</si>
  <si>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</si>
  <si>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</si>
  <si>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</si>
  <si>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</si>
  <si>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</si>
  <si>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</si>
  <si>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</si>
  <si>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</si>
  <si>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</si>
  <si>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</si>
  <si>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</si>
  <si>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</si>
  <si>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</si>
  <si>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</si>
  <si>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</si>
  <si>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</si>
  <si>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</si>
  <si>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</si>
  <si>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</si>
  <si>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</si>
  <si>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</si>
  <si>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</si>
  <si>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</si>
  <si>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</si>
  <si>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</si>
  <si>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</si>
  <si>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</si>
  <si>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</si>
  <si>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</si>
  <si>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</si>
  <si>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</si>
  <si>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</si>
  <si>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</si>
  <si>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</si>
  <si>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</si>
  <si>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</si>
  <si>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</si>
  <si>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</si>
  <si>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</si>
  <si>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</si>
  <si>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</si>
  <si>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</si>
  <si>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</si>
  <si>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</si>
  <si>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</si>
  <si>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</si>
  <si>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</si>
  <si>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</si>
  <si>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</si>
  <si>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</si>
  <si>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</si>
  <si>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</si>
  <si>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</si>
  <si>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</si>
  <si>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</si>
  <si>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</si>
  <si>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</si>
  <si>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</si>
  <si>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</si>
  <si>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</si>
  <si>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</si>
  <si>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</si>
  <si>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Gestão</t>
  </si>
  <si>
    <t>Produzido</t>
  </si>
  <si>
    <t>Informação</t>
  </si>
  <si>
    <t>Contêiner</t>
  </si>
  <si>
    <t>ClasseIFC</t>
  </si>
  <si>
    <t>CategoriaRvt</t>
  </si>
  <si>
    <t>Define um contêiner de informção de acordo à norma NBR 19650-1.</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</si>
  <si>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</si>
  <si>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</si>
  <si>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</si>
  <si>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</si>
  <si>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</si>
  <si>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</si>
  <si>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</si>
  <si>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</si>
  <si>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</si>
  <si>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</si>
  <si>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</si>
  <si>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</si>
  <si>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</si>
  <si>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</si>
  <si>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</si>
  <si>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</si>
  <si>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</si>
  <si>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</si>
  <si>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</si>
  <si>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</si>
  <si>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</si>
  <si>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</si>
  <si>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Materialidade</t>
  </si>
  <si>
    <t>OST_Material</t>
  </si>
  <si>
    <t>IfcMaterial</t>
  </si>
  <si>
    <t>Gesso</t>
  </si>
  <si>
    <t>Madeira</t>
  </si>
  <si>
    <t>Madeiras</t>
  </si>
  <si>
    <t>Pedras</t>
  </si>
  <si>
    <t>Zinco</t>
  </si>
  <si>
    <t>Alumínio</t>
  </si>
  <si>
    <t>Plástico</t>
  </si>
  <si>
    <t>Granito</t>
  </si>
  <si>
    <t>Cal</t>
  </si>
  <si>
    <t>"OST_Material"</t>
  </si>
  <si>
    <t>"IfcMaterial"</t>
  </si>
  <si>
    <t>0M.10.10</t>
  </si>
  <si>
    <t>0M.10.30</t>
  </si>
  <si>
    <t>0M.10.40</t>
  </si>
  <si>
    <t>0M.20.10.01</t>
  </si>
  <si>
    <t>0M.20.10.01.01</t>
  </si>
  <si>
    <t>0M.20.10.01.03</t>
  </si>
  <si>
    <t>0M.20.10.01.05</t>
  </si>
  <si>
    <t>0M.20.10.01.07</t>
  </si>
  <si>
    <t>0M.20.10.01.09</t>
  </si>
  <si>
    <t>0M.20.10.01.11</t>
  </si>
  <si>
    <t>0M.20.10.01.13</t>
  </si>
  <si>
    <t>0M.20.10.01.15</t>
  </si>
  <si>
    <t>0M.20.10.01.17</t>
  </si>
  <si>
    <t>0M.20.10.01.19</t>
  </si>
  <si>
    <t>0M.20.10.01.50</t>
  </si>
  <si>
    <t>0M.20.10.01.50.01</t>
  </si>
  <si>
    <t>0M.20.10.01.50.03</t>
  </si>
  <si>
    <t>0M.20.10.03.03</t>
  </si>
  <si>
    <t>0M.20.10.03.05</t>
  </si>
  <si>
    <t>0M.20.10.03.07</t>
  </si>
  <si>
    <t>0M.20.10.03.09</t>
  </si>
  <si>
    <t>0M.20.10.03.09.03</t>
  </si>
  <si>
    <t>0M.20.10.03.09.07</t>
  </si>
  <si>
    <t>0M.20.10.03.09.09</t>
  </si>
  <si>
    <t>0M.20.10.05.03.01</t>
  </si>
  <si>
    <t>0M.20.10.05.03.01.01</t>
  </si>
  <si>
    <t>0M.20.10.05.03.01.02</t>
  </si>
  <si>
    <t>0M.20.10.05.03.03</t>
  </si>
  <si>
    <t>0M.20.10.05.03.03.01</t>
  </si>
  <si>
    <t>0M.20.10.05.03.03.02</t>
  </si>
  <si>
    <t>0M.20.10.05.03.03.03</t>
  </si>
  <si>
    <t>0M.20.10.05.03.05</t>
  </si>
  <si>
    <t>0M.20.10.05.03.07</t>
  </si>
  <si>
    <t>0M.20.10.05.03.09</t>
  </si>
  <si>
    <t>0M.20.10.05.03.11</t>
  </si>
  <si>
    <t>0M.20.10.05.05.01</t>
  </si>
  <si>
    <t>0M.20.10.05.07</t>
  </si>
  <si>
    <t>0M.20.10.11.01.01</t>
  </si>
  <si>
    <t>0M.20.20.01.07.01</t>
  </si>
  <si>
    <t>0M.20.20.01.07.02</t>
  </si>
  <si>
    <t>0M.20.20.01.07.03</t>
  </si>
  <si>
    <t>0M.20.20.01.07.04</t>
  </si>
  <si>
    <t>0M.20.20.03</t>
  </si>
  <si>
    <t>0M.20.20.05</t>
  </si>
  <si>
    <t>0M.20.20.05.01</t>
  </si>
  <si>
    <t>0M.20.20.05.03</t>
  </si>
  <si>
    <t>0M.20.20.07</t>
  </si>
  <si>
    <t>0M.20.20.07.01.01</t>
  </si>
  <si>
    <t>0M.20.30.03.01</t>
  </si>
  <si>
    <t>0M.20.30.03.01.01</t>
  </si>
  <si>
    <t>0M.20.30.03.01.01.01</t>
  </si>
  <si>
    <t>0M.20.30.03.01.01.02</t>
  </si>
  <si>
    <t>0M.20.30.03.01.01.03</t>
  </si>
  <si>
    <t>0M.20.30.03.01.01.04</t>
  </si>
  <si>
    <t>0M.20.30.03.01.01.05</t>
  </si>
  <si>
    <t>0M.20.30.03.01.01.06</t>
  </si>
  <si>
    <t>0M.20.30.03.01.01.07</t>
  </si>
  <si>
    <t>0M.20.30.03.01.01.08</t>
  </si>
  <si>
    <t>0M.20.30.03.01.01.09</t>
  </si>
  <si>
    <t>0M.20.30.03.01.01.10</t>
  </si>
  <si>
    <t>0M.20.30.03.01.03</t>
  </si>
  <si>
    <t>0M.20.30.03.01.03.01</t>
  </si>
  <si>
    <t>0M.20.30.03.01.03.02</t>
  </si>
  <si>
    <t>0M.20.30.03.01.03.03</t>
  </si>
  <si>
    <t>0M.20.30.03.01.03.04</t>
  </si>
  <si>
    <t>0M.20.30.03.01.03.05</t>
  </si>
  <si>
    <t>0M.20.30.03.01.03.06</t>
  </si>
  <si>
    <t>0M.20.30.03.01.03.07</t>
  </si>
  <si>
    <t>0M.20.30.03.01.03.08</t>
  </si>
  <si>
    <t>0M.20.30.03.01.03.09</t>
  </si>
  <si>
    <t>0M.20.30.03.01.03.10</t>
  </si>
  <si>
    <t>0M.20.30.03.01.03.11</t>
  </si>
  <si>
    <t>0M.20.30.03.01.03.12</t>
  </si>
  <si>
    <t>0M.20.30.03.01.03.13</t>
  </si>
  <si>
    <t>0M.20.30.03.01.03.14</t>
  </si>
  <si>
    <t>0M.20.30.05.01</t>
  </si>
  <si>
    <t>0M.20.30.05.02</t>
  </si>
  <si>
    <t>0M.20.30.05.03</t>
  </si>
  <si>
    <t>0M.20.30.05.04</t>
  </si>
  <si>
    <t>0M.20.30.05.05</t>
  </si>
  <si>
    <t>0M.20.40.01</t>
  </si>
  <si>
    <t>0M.20.40.05</t>
  </si>
  <si>
    <t>0M.20.40.07</t>
  </si>
  <si>
    <t>0M.20.60.07</t>
  </si>
  <si>
    <t>0M.20.60.09</t>
  </si>
  <si>
    <t>0M.20.60.09.01</t>
  </si>
  <si>
    <t>0M.20.60.09.02</t>
  </si>
  <si>
    <t>0M.30</t>
  </si>
  <si>
    <t>0M.40.10.01</t>
  </si>
  <si>
    <t>0M.40.10.03</t>
  </si>
  <si>
    <t>0M.40.10.05</t>
  </si>
  <si>
    <t>0M.40.10.07</t>
  </si>
  <si>
    <t>0M.40.20</t>
  </si>
  <si>
    <t>0M.40.20.01</t>
  </si>
  <si>
    <t>0M.40.20.03</t>
  </si>
  <si>
    <t>0M.40.20.05</t>
  </si>
  <si>
    <t>0M.40.30</t>
  </si>
  <si>
    <t>0M.40.30.01</t>
  </si>
  <si>
    <t>0M.40.30.01.01</t>
  </si>
  <si>
    <t>0M.40.30.01.02</t>
  </si>
  <si>
    <t>0M.40.30.01.03</t>
  </si>
  <si>
    <t>0M.40.30.01.04</t>
  </si>
  <si>
    <t>0M.40.30.01.05</t>
  </si>
  <si>
    <t>0M.40.30.01.06</t>
  </si>
  <si>
    <t>0M.40.30.01.07</t>
  </si>
  <si>
    <t>0M.40.30.01.08</t>
  </si>
  <si>
    <t>0M.40.30.01.09</t>
  </si>
  <si>
    <t>0M.40.30.01.10</t>
  </si>
  <si>
    <t>0M.40.30.01.11</t>
  </si>
  <si>
    <t>0M.40.40.01</t>
  </si>
  <si>
    <t>0M.40.40.01.01</t>
  </si>
  <si>
    <t>0M.40.40.01.02</t>
  </si>
  <si>
    <t>Cimentos</t>
  </si>
  <si>
    <t>Latão</t>
  </si>
  <si>
    <t>Juta</t>
  </si>
  <si>
    <t>Cortiça</t>
  </si>
  <si>
    <t>Líquido</t>
  </si>
  <si>
    <t>Minerais</t>
  </si>
  <si>
    <t>Vídro</t>
  </si>
  <si>
    <t>Vídros</t>
  </si>
  <si>
    <t>Bronzes</t>
  </si>
  <si>
    <t>Cobres</t>
  </si>
  <si>
    <t>Ferros</t>
  </si>
  <si>
    <t>Latões</t>
  </si>
  <si>
    <t>Líquidos</t>
  </si>
  <si>
    <t>Borrachas.Naturais</t>
  </si>
  <si>
    <t>Borracha.Sintética</t>
  </si>
  <si>
    <t>Ligas.Especiais</t>
  </si>
  <si>
    <t>Mármore</t>
  </si>
  <si>
    <t>Ardósia</t>
  </si>
  <si>
    <t xml:space="preserve">Travertino </t>
  </si>
  <si>
    <t>Elementos.Químicos</t>
  </si>
  <si>
    <t>EQ.Gasoso</t>
  </si>
  <si>
    <t>CP.I</t>
  </si>
  <si>
    <t>CP.III</t>
  </si>
  <si>
    <t>CP.IV</t>
  </si>
  <si>
    <t>Argila.Vermelha</t>
  </si>
  <si>
    <t>Argila.Refratária</t>
  </si>
  <si>
    <t>Argilas</t>
  </si>
  <si>
    <t>Matéria.Prima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</si>
  <si>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</si>
  <si>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</si>
  <si>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</si>
  <si>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</si>
  <si>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</si>
  <si>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</si>
  <si>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</si>
  <si>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</si>
  <si>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Material.Complementar</t>
  </si>
  <si>
    <t>Defloculante</t>
  </si>
  <si>
    <t>Pigmento</t>
  </si>
  <si>
    <t>Aditivos</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</si>
  <si>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</si>
  <si>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</si>
  <si>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</si>
  <si>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</si>
  <si>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</si>
  <si>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</si>
  <si>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</si>
  <si>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</si>
  <si>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</si>
  <si>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</si>
  <si>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</si>
  <si>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</si>
  <si>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</si>
  <si>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</si>
  <si>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</si>
  <si>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</si>
  <si>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</si>
  <si>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</si>
  <si>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</si>
  <si>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</si>
  <si>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</si>
  <si>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</si>
  <si>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</si>
  <si>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</si>
  <si>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</si>
  <si>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</si>
  <si>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</si>
  <si>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</si>
  <si>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</si>
  <si>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</si>
  <si>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</si>
  <si>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</si>
  <si>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</si>
  <si>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</si>
  <si>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</si>
  <si>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</si>
  <si>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</si>
  <si>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</si>
  <si>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</si>
  <si>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</si>
  <si>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t>
  </si>
  <si>
    <t>EQ.Sólidos</t>
  </si>
  <si>
    <t>EQ.Gasosos</t>
  </si>
  <si>
    <t>Elemento químico da tabla periódica metálico.</t>
  </si>
  <si>
    <t>Elemento químico da tabla periódica não metálico.</t>
  </si>
  <si>
    <t>Elemento químico da tabla periódica gasoso.</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</si>
  <si>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</si>
  <si>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</si>
  <si>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</si>
  <si>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</si>
  <si>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</si>
  <si>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</si>
  <si>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</si>
  <si>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</si>
  <si>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</si>
  <si>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</si>
  <si>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</si>
  <si>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</si>
  <si>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</si>
  <si>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</si>
  <si>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</si>
  <si>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</si>
  <si>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</si>
  <si>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</si>
  <si>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</si>
  <si>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</si>
  <si>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</si>
  <si>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</si>
  <si>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</si>
  <si>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</si>
  <si>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</si>
  <si>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</si>
  <si>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</si>
  <si>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</si>
  <si>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</si>
  <si>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</si>
  <si>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</si>
  <si>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</si>
  <si>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</si>
  <si>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</si>
  <si>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</si>
  <si>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</si>
  <si>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</si>
  <si>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</si>
  <si>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</si>
  <si>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</si>
  <si>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</si>
  <si>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</si>
  <si>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</si>
  <si>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</si>
  <si>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</si>
  <si>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</si>
  <si>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</si>
  <si>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</si>
  <si>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</si>
  <si>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</si>
  <si>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</si>
  <si>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</si>
  <si>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</si>
  <si>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</si>
  <si>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</si>
  <si>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</si>
  <si>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</si>
  <si>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</si>
  <si>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</si>
  <si>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</si>
  <si>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</si>
  <si>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</si>
  <si>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Materiais.Aditivos</t>
  </si>
  <si>
    <t>Borrachas.Derivadas</t>
  </si>
  <si>
    <t>Cimentos.Aereos</t>
  </si>
  <si>
    <t>Materiais.Orgânicos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</si>
  <si>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</si>
  <si>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</si>
  <si>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</si>
  <si>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</si>
  <si>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</si>
  <si>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</si>
  <si>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</si>
  <si>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</si>
  <si>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</si>
  <si>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</si>
  <si>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</si>
  <si>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EQ.Liquido</t>
  </si>
  <si>
    <t>Materiais líquidos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</si>
  <si>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</si>
  <si>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</si>
  <si>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</si>
  <si>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</si>
  <si>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</si>
  <si>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</si>
  <si>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</si>
  <si>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</si>
  <si>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</si>
  <si>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</si>
  <si>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</si>
  <si>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</si>
  <si>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</si>
  <si>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</si>
  <si>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</si>
  <si>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</si>
  <si>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</si>
  <si>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</si>
  <si>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</si>
  <si>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</si>
  <si>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</si>
  <si>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</si>
  <si>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</si>
  <si>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</si>
  <si>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</si>
  <si>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</si>
  <si>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Origem.Vegetal</t>
  </si>
  <si>
    <t>Material extraído de árvores.</t>
  </si>
  <si>
    <t>Gasosos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</si>
  <si>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</si>
  <si>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</si>
  <si>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</si>
  <si>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</si>
  <si>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</si>
  <si>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</si>
  <si>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</si>
  <si>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</si>
  <si>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</si>
  <si>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</si>
  <si>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</si>
  <si>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</si>
  <si>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</si>
  <si>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</si>
  <si>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</si>
  <si>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</si>
  <si>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</si>
  <si>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</si>
  <si>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</si>
  <si>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</si>
  <si>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</si>
  <si>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</si>
  <si>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</si>
  <si>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</si>
  <si>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</si>
  <si>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</si>
  <si>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</si>
  <si>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</si>
  <si>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</si>
  <si>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</si>
  <si>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</si>
  <si>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</si>
  <si>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</si>
  <si>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</si>
  <si>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</si>
  <si>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</si>
  <si>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</si>
  <si>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</si>
  <si>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</si>
  <si>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</si>
  <si>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</si>
  <si>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</si>
  <si>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</si>
  <si>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</si>
  <si>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</si>
  <si>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</si>
  <si>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</si>
  <si>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</si>
  <si>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</si>
  <si>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</si>
  <si>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Ligas Especiais</t>
  </si>
  <si>
    <t>Zamac</t>
  </si>
  <si>
    <t>Ligas.Zincadas</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</si>
  <si>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</si>
  <si>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</si>
  <si>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</si>
  <si>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</si>
  <si>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</si>
  <si>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</si>
  <si>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</si>
  <si>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</si>
  <si>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</si>
  <si>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</si>
  <si>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</si>
  <si>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</si>
  <si>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</si>
  <si>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</si>
  <si>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</si>
  <si>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</si>
  <si>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</si>
  <si>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</si>
  <si>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</si>
  <si>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</si>
  <si>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</si>
  <si>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</si>
  <si>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</si>
  <si>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</si>
  <si>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</si>
  <si>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"Conteiner de Materiais do projeto"</t>
  </si>
  <si>
    <t>Mat.Cimentos</t>
  </si>
  <si>
    <t>"Conteiner de Cimentos usados no projeto"</t>
  </si>
  <si>
    <t>Mat.Cerâmicos</t>
  </si>
  <si>
    <t>Mat.Madeiras</t>
  </si>
  <si>
    <t>Mat.Vidros</t>
  </si>
  <si>
    <t>Mat.Plásticos</t>
  </si>
  <si>
    <t>"Conteiner de Plásticos usados no projeto"</t>
  </si>
  <si>
    <t>"Conteiner de Vidros usados no projeto"</t>
  </si>
  <si>
    <t>"Conteiner de Cerâmicas usadas no projeto"</t>
  </si>
  <si>
    <t>"Conteiner de Madeiras usadas no projeto"</t>
  </si>
  <si>
    <t>"Conteiner de todas as informações do projeto"</t>
  </si>
  <si>
    <t>é.pertencente.a</t>
  </si>
  <si>
    <t>Materiais.PRJ.01</t>
  </si>
  <si>
    <t>PRJ.01</t>
  </si>
  <si>
    <t>Materiais.Complementares</t>
  </si>
  <si>
    <t>Materiais.Sintéticos</t>
  </si>
  <si>
    <t>Materiais.Vitreos</t>
  </si>
  <si>
    <t>Materiais.Inorgânicos</t>
  </si>
  <si>
    <t>Materiais.Processados</t>
  </si>
  <si>
    <t>Materiais.de.Insumos</t>
  </si>
  <si>
    <t>Origem.Petroquímico</t>
  </si>
  <si>
    <t>Combustível</t>
  </si>
  <si>
    <t>A lista de maiteriais considera a norma ABNT 15965, tabela 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</si>
</sst>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5" tint="0.7999816888943144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7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3" borderId="2" xfId="0" applyFont="1" applyFill="1" applyBorder="1" applyAlignment="1">
      <alignment horizontal="center" vertical="center" wrapText="1"/>
    </xf>
    <xf numFmtId="0" fontId="11" fillId="12" borderId="2" xfId="0" applyFont="1" applyFill="1" applyBorder="1" applyAlignment="1">
      <alignment horizontal="left" vertical="center" wrapText="1"/>
    </xf>
    <xf numFmtId="0" fontId="8" fillId="14" borderId="1" xfId="0" applyFont="1" applyFill="1" applyBorder="1" applyAlignment="1">
      <alignment horizontal="center" vertical="center"/>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2" borderId="3" xfId="0" applyFont="1" applyFill="1" applyBorder="1" applyAlignment="1">
      <alignment horizontal="center" vertical="center" wrapText="1"/>
    </xf>
    <xf numFmtId="0" fontId="6" fillId="10"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6" borderId="1" xfId="0" applyFont="1" applyFill="1" applyBorder="1" applyAlignment="1">
      <alignment horizontal="center" vertical="center"/>
    </xf>
    <xf numFmtId="0" fontId="8" fillId="16" borderId="1" xfId="0" applyFont="1" applyFill="1" applyBorder="1" applyAlignment="1">
      <alignment vertical="center"/>
    </xf>
    <xf numFmtId="0" fontId="7" fillId="16" borderId="1" xfId="0" applyFont="1" applyFill="1" applyBorder="1" applyAlignment="1">
      <alignmen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7"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8" fillId="19" borderId="1" xfId="0" applyFont="1" applyFill="1" applyBorder="1" applyAlignment="1">
      <alignment horizontal="left" vertical="center" wrapText="1"/>
    </xf>
    <xf numFmtId="0" fontId="12" fillId="4" borderId="1" xfId="0" applyFont="1" applyFill="1" applyBorder="1" applyAlignment="1">
      <alignment vertical="center"/>
    </xf>
    <xf numFmtId="0" fontId="11" fillId="12" borderId="3" xfId="0" applyFont="1" applyFill="1" applyBorder="1" applyAlignment="1">
      <alignment vertical="center" wrapText="1"/>
    </xf>
    <xf numFmtId="0" fontId="11" fillId="12" borderId="2" xfId="0" applyFont="1" applyFill="1" applyBorder="1" applyAlignment="1">
      <alignment vertical="center" wrapText="1"/>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6" fillId="6" borderId="1" xfId="0" applyFont="1" applyFill="1" applyBorder="1" applyAlignment="1">
      <alignment vertical="center"/>
    </xf>
    <xf numFmtId="0" fontId="12" fillId="8"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12" fillId="4" borderId="5"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12" fillId="20" borderId="1" xfId="0" applyFont="1" applyFill="1" applyBorder="1" applyAlignment="1">
      <alignment horizontal="left" vertical="center" wrapText="1"/>
    </xf>
    <xf numFmtId="2"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0" fontId="7" fillId="16" borderId="1" xfId="0" applyFont="1" applyFill="1" applyBorder="1" applyAlignment="1">
      <alignment horizontal="left" vertical="center"/>
    </xf>
    <xf numFmtId="0" fontId="10" fillId="13" borderId="3" xfId="0" applyFont="1" applyFill="1" applyBorder="1" applyAlignment="1">
      <alignment vertical="center" wrapText="1"/>
    </xf>
    <xf numFmtId="0" fontId="9" fillId="3" borderId="1" xfId="0" applyFont="1" applyFill="1" applyBorder="1" applyAlignment="1">
      <alignment vertical="center"/>
    </xf>
    <xf numFmtId="0" fontId="7" fillId="23" borderId="1" xfId="0" applyFont="1" applyFill="1" applyBorder="1" applyAlignment="1">
      <alignment vertical="center"/>
    </xf>
    <xf numFmtId="0" fontId="7" fillId="23" borderId="1" xfId="0" applyFont="1" applyFill="1" applyBorder="1" applyAlignment="1">
      <alignment vertical="center" wrapText="1"/>
    </xf>
    <xf numFmtId="0" fontId="8" fillId="23" borderId="1" xfId="0" applyFont="1" applyFill="1" applyBorder="1" applyAlignment="1">
      <alignment horizontal="left" vertical="center"/>
    </xf>
    <xf numFmtId="0" fontId="7" fillId="23" borderId="1" xfId="0" applyFont="1" applyFill="1" applyBorder="1" applyAlignment="1">
      <alignment horizontal="left" vertical="center"/>
    </xf>
    <xf numFmtId="0" fontId="8" fillId="23" borderId="4" xfId="0" applyFont="1" applyFill="1" applyBorder="1" applyAlignment="1">
      <alignment horizontal="left" vertical="center"/>
    </xf>
    <xf numFmtId="0" fontId="8" fillId="23" borderId="1" xfId="0" applyFont="1" applyFill="1" applyBorder="1" applyAlignment="1">
      <alignment horizontal="left" vertical="center" wrapText="1"/>
    </xf>
    <xf numFmtId="0" fontId="7" fillId="0" borderId="0" xfId="0" applyFont="1" applyAlignment="1">
      <alignment horizontal="left" vertical="center"/>
    </xf>
    <xf numFmtId="0" fontId="7" fillId="23" borderId="1" xfId="0" applyFont="1" applyFill="1" applyBorder="1"/>
    <xf numFmtId="0" fontId="7" fillId="16" borderId="1" xfId="0" applyFont="1" applyFill="1" applyBorder="1"/>
    <xf numFmtId="0" fontId="12" fillId="24" borderId="1" xfId="0" applyFont="1" applyFill="1" applyBorder="1" applyAlignment="1">
      <alignment vertical="center"/>
    </xf>
  </cellXfs>
  <cellStyles count="1">
    <cellStyle name="Normal" xfId="0" builtinId="0"/>
  </cellStyles>
  <dxfs count="86">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b val="0"/>
        <i/>
        <color theme="0" tint="-0.499984740745262"/>
      </font>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b val="0"/>
        <i/>
        <color theme="0" tint="-0.499984740745262"/>
      </font>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160" zoomScaleNormal="160" workbookViewId="0">
      <pane ySplit="1" topLeftCell="A9" activePane="bottomLeft" state="frozen"/>
      <selection activeCell="C18" sqref="C18"/>
      <selection pane="bottomLeft" activeCell="B22" sqref="B22"/>
    </sheetView>
  </sheetViews>
  <sheetFormatPr defaultColWidth="3.3046875" defaultRowHeight="9.75" customHeight="1" x14ac:dyDescent="0.4"/>
  <cols>
    <col min="1" max="1" width="10" style="6" customWidth="1"/>
    <col min="2" max="2" width="50.3828125" style="6" customWidth="1"/>
    <col min="3" max="3" width="3.3828125" style="64" bestFit="1" customWidth="1"/>
    <col min="4" max="16384" width="3.3046875" style="6"/>
  </cols>
  <sheetData>
    <row r="1" spans="1:3" ht="49.5" customHeight="1" x14ac:dyDescent="0.4">
      <c r="A1" s="7" t="s">
        <v>35</v>
      </c>
      <c r="B1" s="7" t="s">
        <v>34</v>
      </c>
      <c r="C1" s="25" t="s">
        <v>94</v>
      </c>
    </row>
    <row r="2" spans="1:3" ht="8.25" customHeight="1" x14ac:dyDescent="0.4">
      <c r="A2" s="8" t="s">
        <v>44</v>
      </c>
      <c r="B2" s="8" t="s">
        <v>60</v>
      </c>
      <c r="C2" s="63" t="s">
        <v>95</v>
      </c>
    </row>
    <row r="3" spans="1:3" ht="8.25" customHeight="1" x14ac:dyDescent="0.4">
      <c r="A3" s="8" t="s">
        <v>45</v>
      </c>
      <c r="B3" s="9" t="s">
        <v>103</v>
      </c>
      <c r="C3" s="63" t="s">
        <v>95</v>
      </c>
    </row>
    <row r="4" spans="1:3" ht="8.25" customHeight="1" x14ac:dyDescent="0.4">
      <c r="A4" s="8" t="s">
        <v>36</v>
      </c>
      <c r="B4" s="8" t="s">
        <v>46</v>
      </c>
      <c r="C4" s="63" t="s">
        <v>95</v>
      </c>
    </row>
    <row r="5" spans="1:3" ht="8.25" customHeight="1" x14ac:dyDescent="0.4">
      <c r="A5" s="8" t="s">
        <v>37</v>
      </c>
      <c r="B5" s="8" t="str">
        <f>_xlfn.CONCAT(B4,"Prop")</f>
        <v>BIMProp</v>
      </c>
      <c r="C5" s="63" t="s">
        <v>95</v>
      </c>
    </row>
    <row r="6" spans="1:3" ht="8.25" customHeight="1" x14ac:dyDescent="0.4">
      <c r="A6" s="8" t="s">
        <v>38</v>
      </c>
      <c r="B6" s="8" t="str">
        <f>_xlfn.CONCAT(B4,"Data")</f>
        <v>BIMData</v>
      </c>
      <c r="C6" s="63" t="s">
        <v>95</v>
      </c>
    </row>
    <row r="7" spans="1:3" ht="8.25" customHeight="1" x14ac:dyDescent="0.4">
      <c r="A7" s="8" t="s">
        <v>39</v>
      </c>
      <c r="B7" s="8" t="s">
        <v>47</v>
      </c>
      <c r="C7" s="63" t="s">
        <v>95</v>
      </c>
    </row>
    <row r="8" spans="1:3" ht="8.25" customHeight="1" x14ac:dyDescent="0.4">
      <c r="A8" s="8" t="s">
        <v>40</v>
      </c>
      <c r="B8" s="8" t="s">
        <v>93</v>
      </c>
      <c r="C8" s="63" t="s">
        <v>95</v>
      </c>
    </row>
    <row r="9" spans="1:3" ht="8.25" customHeight="1" x14ac:dyDescent="0.4">
      <c r="A9" s="8" t="s">
        <v>48</v>
      </c>
      <c r="B9" s="8" t="s">
        <v>49</v>
      </c>
      <c r="C9" s="63" t="s">
        <v>95</v>
      </c>
    </row>
    <row r="10" spans="1:3" ht="8.25" customHeight="1" x14ac:dyDescent="0.4">
      <c r="A10" s="8" t="s">
        <v>50</v>
      </c>
      <c r="B10" s="8" t="s">
        <v>23</v>
      </c>
      <c r="C10" s="63" t="s">
        <v>95</v>
      </c>
    </row>
    <row r="11" spans="1:3" ht="8.25" customHeight="1" x14ac:dyDescent="0.4">
      <c r="A11" s="8" t="s">
        <v>41</v>
      </c>
      <c r="B11" s="8" t="s">
        <v>23</v>
      </c>
      <c r="C11" s="63" t="s">
        <v>95</v>
      </c>
    </row>
    <row r="12" spans="1:3" ht="8.25" customHeight="1" x14ac:dyDescent="0.4">
      <c r="A12" s="8" t="s">
        <v>42</v>
      </c>
      <c r="B12" s="8" t="s">
        <v>23</v>
      </c>
      <c r="C12" s="63" t="s">
        <v>95</v>
      </c>
    </row>
    <row r="13" spans="1:3" ht="8.25" customHeight="1" x14ac:dyDescent="0.4">
      <c r="A13" s="8" t="s">
        <v>51</v>
      </c>
      <c r="B13" s="8" t="s">
        <v>23</v>
      </c>
      <c r="C13" s="63" t="s">
        <v>95</v>
      </c>
    </row>
    <row r="14" spans="1:3" ht="8.25" customHeight="1" x14ac:dyDescent="0.4">
      <c r="A14" s="8" t="s">
        <v>52</v>
      </c>
      <c r="B14" s="8" t="s">
        <v>23</v>
      </c>
      <c r="C14" s="63" t="s">
        <v>95</v>
      </c>
    </row>
    <row r="15" spans="1:3" ht="8.25" customHeight="1" x14ac:dyDescent="0.4">
      <c r="A15" s="8" t="s">
        <v>53</v>
      </c>
      <c r="B15" s="8" t="s">
        <v>23</v>
      </c>
      <c r="C15" s="63" t="s">
        <v>95</v>
      </c>
    </row>
    <row r="16" spans="1:3" ht="8.25" customHeight="1" x14ac:dyDescent="0.4">
      <c r="A16" s="8" t="s">
        <v>54</v>
      </c>
      <c r="B16" s="8" t="s">
        <v>23</v>
      </c>
      <c r="C16" s="63" t="s">
        <v>95</v>
      </c>
    </row>
    <row r="17" spans="1:3" ht="8.25" customHeight="1" x14ac:dyDescent="0.4">
      <c r="A17" s="8" t="s">
        <v>43</v>
      </c>
      <c r="B17" s="10" t="s">
        <v>104</v>
      </c>
      <c r="C17" s="63" t="s">
        <v>95</v>
      </c>
    </row>
    <row r="18" spans="1:3" ht="8.25" customHeight="1" x14ac:dyDescent="0.4">
      <c r="A18" s="8" t="s">
        <v>55</v>
      </c>
      <c r="B18" s="53">
        <f ca="1">NOW()</f>
        <v>46007.761457175926</v>
      </c>
      <c r="C18" s="63" t="s">
        <v>95</v>
      </c>
    </row>
    <row r="19" spans="1:3" ht="8.25" customHeight="1" x14ac:dyDescent="0.2">
      <c r="A19" s="8" t="s">
        <v>87</v>
      </c>
      <c r="B19" s="52" t="s">
        <v>23</v>
      </c>
      <c r="C19" s="63" t="s">
        <v>95</v>
      </c>
    </row>
    <row r="20" spans="1:3" ht="14.25" customHeight="1" x14ac:dyDescent="0.4">
      <c r="A20" s="8" t="s">
        <v>101</v>
      </c>
      <c r="B20" s="54" t="s">
        <v>527</v>
      </c>
      <c r="C20" s="63" t="s">
        <v>95</v>
      </c>
    </row>
    <row r="21" spans="1:3" ht="14.25" customHeight="1" x14ac:dyDescent="0.4">
      <c r="A21" s="8" t="s">
        <v>98</v>
      </c>
      <c r="B21" s="54" t="str">
        <f xml:space="preserve"> _xlfn.TRANSLATE(B20,"pt","es")</f>
        <v>La lista de materiales considera la norma ABNT 15965, tabla 0M</v>
      </c>
      <c r="C21" s="63" t="s">
        <v>96</v>
      </c>
    </row>
    <row r="22" spans="1:3" ht="14.25" customHeight="1" x14ac:dyDescent="0.4">
      <c r="A22" s="8" t="s">
        <v>102</v>
      </c>
      <c r="B22" s="54" t="str">
        <f xml:space="preserve"> _xlfn.TRANSLATE(B20,"pt","en")</f>
        <v>The list of materials considers the ABNT 15965 standard, table 0M</v>
      </c>
      <c r="C22" s="63" t="s">
        <v>97</v>
      </c>
    </row>
    <row r="23" spans="1:3" ht="8.25" customHeight="1" x14ac:dyDescent="0.4">
      <c r="A23" s="8" t="s">
        <v>56</v>
      </c>
      <c r="B23" s="8" t="s">
        <v>23</v>
      </c>
      <c r="C23" s="63" t="s">
        <v>95</v>
      </c>
    </row>
    <row r="24" spans="1:3" ht="8.25" customHeight="1" x14ac:dyDescent="0.4">
      <c r="A24" s="8" t="s">
        <v>57</v>
      </c>
      <c r="B24" s="8" t="s">
        <v>23</v>
      </c>
      <c r="C24" s="63" t="s">
        <v>95</v>
      </c>
    </row>
    <row r="25" spans="1:3" ht="8.25" customHeight="1" x14ac:dyDescent="0.4">
      <c r="A25" s="10" t="s">
        <v>58</v>
      </c>
      <c r="B25" s="11" t="s">
        <v>105</v>
      </c>
      <c r="C25" s="63" t="s">
        <v>95</v>
      </c>
    </row>
    <row r="26" spans="1:3" ht="8.25" customHeight="1" x14ac:dyDescent="0.4">
      <c r="A26" s="10" t="s">
        <v>59</v>
      </c>
      <c r="B26" s="11" t="str">
        <f>_xlfn.TRANSLATE(B25,"pt","es")</f>
        <v>Formalizar los conceptos de materialidad.</v>
      </c>
      <c r="C26" s="63" t="s">
        <v>96</v>
      </c>
    </row>
    <row r="27" spans="1:3" ht="9.75" customHeight="1" x14ac:dyDescent="0.4">
      <c r="A27" s="10" t="s">
        <v>92</v>
      </c>
      <c r="B27" s="11" t="str">
        <f>_xlfn.TRANSLATE(B25,"pt","en")</f>
        <v>Formalize concepts of materiality.</v>
      </c>
      <c r="C27" s="63" t="s">
        <v>97</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dimension ref="A1:AA153"/>
  <sheetViews>
    <sheetView topLeftCell="T18" zoomScale="220" zoomScaleNormal="220" workbookViewId="0">
      <selection activeCell="D12" sqref="D12"/>
    </sheetView>
  </sheetViews>
  <sheetFormatPr defaultColWidth="14" defaultRowHeight="7.3" customHeight="1" x14ac:dyDescent="0.4"/>
  <cols>
    <col min="1" max="1" width="2.69140625" customWidth="1"/>
    <col min="2" max="2" width="3.921875" customWidth="1"/>
    <col min="3" max="3" width="6.69140625" customWidth="1"/>
    <col min="4" max="4" width="11.23046875" customWidth="1"/>
    <col min="5" max="5" width="8.69140625" bestFit="1" customWidth="1"/>
    <col min="6" max="6" width="15.84375" customWidth="1"/>
    <col min="7" max="7" width="6.84375" bestFit="1" customWidth="1"/>
    <col min="8" max="11" width="6.4609375" bestFit="1" customWidth="1"/>
    <col min="12" max="12" width="6.69140625" customWidth="1"/>
    <col min="13" max="13" width="11.69140625" customWidth="1"/>
    <col min="14" max="14" width="8.69140625" bestFit="1" customWidth="1"/>
    <col min="15" max="15" width="15.15234375" bestFit="1" customWidth="1"/>
    <col min="16" max="16" width="31.3828125" customWidth="1"/>
    <col min="17" max="17" width="24.23046875" customWidth="1"/>
    <col min="18" max="18" width="3.69140625" customWidth="1"/>
    <col min="19" max="19" width="6.07421875" customWidth="1"/>
    <col min="20" max="20" width="9.3046875" customWidth="1"/>
    <col min="21" max="21" width="8.3046875" customWidth="1"/>
    <col min="22" max="22" width="7.23046875" customWidth="1"/>
    <col min="23" max="23" width="6.15234375" customWidth="1"/>
    <col min="24" max="24" width="8.23046875" customWidth="1"/>
    <col min="25" max="25" width="7.07421875" customWidth="1"/>
    <col min="26" max="26" width="9.765625" customWidth="1"/>
    <col min="27" max="27" width="22.84375" customWidth="1"/>
  </cols>
  <sheetData>
    <row r="1" spans="1:27" ht="35.25" customHeight="1" x14ac:dyDescent="0.4">
      <c r="A1" s="13">
        <v>1</v>
      </c>
      <c r="B1" s="14" t="s">
        <v>64</v>
      </c>
      <c r="C1" s="14" t="s">
        <v>65</v>
      </c>
      <c r="D1" s="14" t="s">
        <v>66</v>
      </c>
      <c r="E1" s="14" t="s">
        <v>67</v>
      </c>
      <c r="F1" s="14" t="s">
        <v>68</v>
      </c>
      <c r="G1" s="67" t="s">
        <v>24</v>
      </c>
      <c r="H1" s="67" t="s">
        <v>25</v>
      </c>
      <c r="I1" s="67" t="s">
        <v>26</v>
      </c>
      <c r="J1" s="67" t="s">
        <v>27</v>
      </c>
      <c r="K1" s="67" t="s">
        <v>28</v>
      </c>
      <c r="L1" s="15" t="s">
        <v>31</v>
      </c>
      <c r="M1" s="15" t="s">
        <v>32</v>
      </c>
      <c r="N1" s="15" t="s">
        <v>30</v>
      </c>
      <c r="O1" s="15" t="s">
        <v>29</v>
      </c>
      <c r="P1" s="15" t="s">
        <v>69</v>
      </c>
      <c r="Q1" s="15" t="s">
        <v>70</v>
      </c>
      <c r="R1" s="24" t="s">
        <v>71</v>
      </c>
      <c r="S1" s="43" t="s">
        <v>61</v>
      </c>
      <c r="T1" s="43" t="s">
        <v>72</v>
      </c>
      <c r="U1" s="44" t="s">
        <v>63</v>
      </c>
      <c r="V1" s="43" t="s">
        <v>62</v>
      </c>
      <c r="W1" s="16" t="s">
        <v>0</v>
      </c>
      <c r="X1" s="17" t="s">
        <v>82</v>
      </c>
      <c r="Y1" s="15" t="s">
        <v>81</v>
      </c>
      <c r="Z1" s="15" t="s">
        <v>90</v>
      </c>
      <c r="AA1" s="62" t="s">
        <v>91</v>
      </c>
    </row>
    <row r="2" spans="1:27" ht="7.3" customHeight="1" x14ac:dyDescent="0.4">
      <c r="A2" s="26">
        <v>2</v>
      </c>
      <c r="B2" s="71" t="s">
        <v>74</v>
      </c>
      <c r="C2" s="73" t="s">
        <v>77</v>
      </c>
      <c r="D2" s="71" t="s">
        <v>78</v>
      </c>
      <c r="E2" s="71" t="s">
        <v>79</v>
      </c>
      <c r="F2" s="74" t="s">
        <v>80</v>
      </c>
      <c r="G2" s="68" t="s">
        <v>1</v>
      </c>
      <c r="H2" s="68" t="s">
        <v>1</v>
      </c>
      <c r="I2" s="68" t="s">
        <v>1</v>
      </c>
      <c r="J2" s="68" t="s">
        <v>1</v>
      </c>
      <c r="K2" s="68" t="s">
        <v>1</v>
      </c>
      <c r="L2" s="27" t="str">
        <f t="shared" ref="L2:O53" si="0">SUBSTITUTE(CONCATENATE("", C2), ".", " ")</f>
        <v>Gestão</v>
      </c>
      <c r="M2" s="27" t="str">
        <f t="shared" si="0"/>
        <v>Produzido</v>
      </c>
      <c r="N2" s="27" t="str">
        <f t="shared" si="0"/>
        <v>Informação</v>
      </c>
      <c r="O2" s="27" t="str">
        <f t="shared" si="0"/>
        <v>Contêiner</v>
      </c>
      <c r="P2" s="28" t="s">
        <v>83</v>
      </c>
      <c r="Q2" s="31" t="str">
        <f>_xlfn.TRANSLATE(P2,"pt","es")</f>
        <v>Define un contenedor de información de acuerdo con la norma NBR 19650-1.</v>
      </c>
      <c r="R2" s="29" t="s">
        <v>1</v>
      </c>
      <c r="S2" s="30" t="str">
        <f>SUBSTITUTE(C2, ".", " ")</f>
        <v>Gestão</v>
      </c>
      <c r="T2" s="30" t="str">
        <f>SUBSTITUTE(D2, ".", " ")</f>
        <v>Produzido</v>
      </c>
      <c r="U2" s="30" t="str">
        <f>SUBSTITUTE(E2, ".", " ")</f>
        <v>Informação</v>
      </c>
      <c r="V2" s="30" t="str">
        <f t="shared" ref="V2:V5" si="1">SUBSTITUTE(C2, ".", " ")</f>
        <v>Gestão</v>
      </c>
      <c r="W2" s="18" t="str">
        <f>CONCATENATE("K.",LEFT(C2,3),".",A2)</f>
        <v>K.Ges.2</v>
      </c>
      <c r="X2" s="28" t="s">
        <v>1</v>
      </c>
      <c r="Y2" s="28" t="s">
        <v>1</v>
      </c>
      <c r="Z2" s="28" t="s">
        <v>1</v>
      </c>
      <c r="AA2" s="28" t="str">
        <f>_xlfn.TRANSLATE(P2,"pt","en")</f>
        <v>Defines an information container in accordance with the NBR 19650-1 standard.</v>
      </c>
    </row>
    <row r="3" spans="1:27" ht="7.3" customHeight="1" x14ac:dyDescent="0.4">
      <c r="A3" s="26">
        <v>3</v>
      </c>
      <c r="B3" s="71" t="s">
        <v>74</v>
      </c>
      <c r="C3" s="69" t="s">
        <v>106</v>
      </c>
      <c r="D3" s="70" t="s">
        <v>251</v>
      </c>
      <c r="E3" s="70" t="s">
        <v>313</v>
      </c>
      <c r="F3" s="70" t="s">
        <v>312</v>
      </c>
      <c r="G3" s="68" t="s">
        <v>1</v>
      </c>
      <c r="H3" s="68" t="s">
        <v>1</v>
      </c>
      <c r="I3" s="68" t="s">
        <v>1</v>
      </c>
      <c r="J3" s="68" t="s">
        <v>1</v>
      </c>
      <c r="K3" s="68" t="s">
        <v>1</v>
      </c>
      <c r="L3" s="27" t="str">
        <f t="shared" si="0"/>
        <v>Materialidade</v>
      </c>
      <c r="M3" s="27" t="str">
        <f t="shared" si="0"/>
        <v>Elementos Químicos</v>
      </c>
      <c r="N3" s="27" t="str">
        <f t="shared" si="0"/>
        <v>EQ Sólidos</v>
      </c>
      <c r="O3" s="27" t="str">
        <f t="shared" si="0"/>
        <v>EQ Sólido</v>
      </c>
      <c r="P3" s="28" t="s">
        <v>315</v>
      </c>
      <c r="Q3" s="31" t="str">
        <f t="shared" ref="Q3:Q5" si="2">_xlfn.TRANSLATE(P3,"pt","es")</f>
        <v>Un elemento químico en la tabla periódica metálica.</v>
      </c>
      <c r="R3" s="29" t="s">
        <v>1</v>
      </c>
      <c r="S3" s="30" t="str">
        <f t="shared" ref="S3:S5" si="3">SUBSTITUTE(C3, ".", " ")</f>
        <v>Materialidade</v>
      </c>
      <c r="T3" s="30" t="str">
        <f t="shared" ref="T3:T5" si="4">SUBSTITUTE(D3, ".", " ")</f>
        <v>Elementos Químicos</v>
      </c>
      <c r="U3" s="30" t="str">
        <f t="shared" ref="U3:U5" si="5">SUBSTITUTE(E3, ".", " ")</f>
        <v>EQ Sólidos</v>
      </c>
      <c r="V3" s="30" t="str">
        <f t="shared" si="1"/>
        <v>Materialidade</v>
      </c>
      <c r="W3" s="18" t="str">
        <f t="shared" ref="W3:W5" si="6">CONCATENATE("K.",LEFT(C3,3),".",A3)</f>
        <v>K.Mat.3</v>
      </c>
      <c r="X3" s="28" t="s">
        <v>107</v>
      </c>
      <c r="Y3" s="28" t="s">
        <v>108</v>
      </c>
      <c r="Z3" s="78" t="s">
        <v>120</v>
      </c>
      <c r="AA3" s="28" t="str">
        <f t="shared" ref="AA3:AA5" si="7">_xlfn.TRANSLATE(P3,"pt","en")</f>
        <v>A chemical element in the metallic periodic table.</v>
      </c>
    </row>
    <row r="4" spans="1:27" ht="7.3" customHeight="1" x14ac:dyDescent="0.4">
      <c r="A4" s="26">
        <v>4</v>
      </c>
      <c r="B4" s="71" t="s">
        <v>74</v>
      </c>
      <c r="C4" s="69" t="s">
        <v>106</v>
      </c>
      <c r="D4" s="70" t="s">
        <v>251</v>
      </c>
      <c r="E4" s="70" t="s">
        <v>394</v>
      </c>
      <c r="F4" s="70" t="s">
        <v>395</v>
      </c>
      <c r="G4" s="68" t="s">
        <v>1</v>
      </c>
      <c r="H4" s="68" t="s">
        <v>1</v>
      </c>
      <c r="I4" s="68" t="s">
        <v>1</v>
      </c>
      <c r="J4" s="68" t="s">
        <v>1</v>
      </c>
      <c r="K4" s="68" t="s">
        <v>1</v>
      </c>
      <c r="L4" s="27" t="str">
        <f t="shared" si="0"/>
        <v>Materialidade</v>
      </c>
      <c r="M4" s="27" t="str">
        <f t="shared" si="0"/>
        <v>Elementos Químicos</v>
      </c>
      <c r="N4" s="27" t="str">
        <f t="shared" si="0"/>
        <v>EQ Liquidos</v>
      </c>
      <c r="O4" s="27" t="str">
        <f t="shared" si="0"/>
        <v>EQ Liquido</v>
      </c>
      <c r="P4" s="28" t="s">
        <v>316</v>
      </c>
      <c r="Q4" s="31" t="str">
        <f t="shared" si="2"/>
        <v>Un elemento químico en la tabla periódica no metálica.</v>
      </c>
      <c r="R4" s="29" t="s">
        <v>1</v>
      </c>
      <c r="S4" s="30" t="str">
        <f t="shared" si="3"/>
        <v>Materialidade</v>
      </c>
      <c r="T4" s="30" t="str">
        <f t="shared" si="4"/>
        <v>Elementos Químicos</v>
      </c>
      <c r="U4" s="30" t="str">
        <f t="shared" si="5"/>
        <v>EQ Liquidos</v>
      </c>
      <c r="V4" s="30" t="str">
        <f t="shared" si="1"/>
        <v>Materialidade</v>
      </c>
      <c r="W4" s="18" t="str">
        <f t="shared" si="6"/>
        <v>K.Mat.4</v>
      </c>
      <c r="X4" s="28" t="s">
        <v>107</v>
      </c>
      <c r="Y4" s="28" t="s">
        <v>108</v>
      </c>
      <c r="Z4" s="78" t="s">
        <v>121</v>
      </c>
      <c r="AA4" s="28" t="str">
        <f t="shared" si="7"/>
        <v>A chemical element in the non-metallic periodic table.</v>
      </c>
    </row>
    <row r="5" spans="1:27" ht="7.3" customHeight="1" x14ac:dyDescent="0.4">
      <c r="A5" s="26">
        <v>5</v>
      </c>
      <c r="B5" s="71" t="s">
        <v>74</v>
      </c>
      <c r="C5" s="69" t="s">
        <v>106</v>
      </c>
      <c r="D5" s="70" t="s">
        <v>251</v>
      </c>
      <c r="E5" s="70" t="s">
        <v>314</v>
      </c>
      <c r="F5" s="70" t="s">
        <v>252</v>
      </c>
      <c r="G5" s="68" t="s">
        <v>1</v>
      </c>
      <c r="H5" s="68" t="s">
        <v>1</v>
      </c>
      <c r="I5" s="68" t="s">
        <v>1</v>
      </c>
      <c r="J5" s="68" t="s">
        <v>1</v>
      </c>
      <c r="K5" s="68" t="s">
        <v>1</v>
      </c>
      <c r="L5" s="27" t="str">
        <f t="shared" si="0"/>
        <v>Materialidade</v>
      </c>
      <c r="M5" s="27" t="str">
        <f t="shared" si="0"/>
        <v>Elementos Químicos</v>
      </c>
      <c r="N5" s="27" t="str">
        <f t="shared" si="0"/>
        <v>EQ Gasosos</v>
      </c>
      <c r="O5" s="27" t="str">
        <f t="shared" si="0"/>
        <v>EQ Gasoso</v>
      </c>
      <c r="P5" s="28" t="s">
        <v>317</v>
      </c>
      <c r="Q5" s="31" t="str">
        <f t="shared" si="2"/>
        <v>Elemento químico de la tabla periódica gaseosa.</v>
      </c>
      <c r="R5" s="29" t="s">
        <v>1</v>
      </c>
      <c r="S5" s="30" t="str">
        <f t="shared" si="3"/>
        <v>Materialidade</v>
      </c>
      <c r="T5" s="30" t="str">
        <f t="shared" si="4"/>
        <v>Elementos Químicos</v>
      </c>
      <c r="U5" s="30" t="str">
        <f t="shared" si="5"/>
        <v>EQ Gasosos</v>
      </c>
      <c r="V5" s="30" t="str">
        <f t="shared" si="1"/>
        <v>Materialidade</v>
      </c>
      <c r="W5" s="18" t="str">
        <f t="shared" si="6"/>
        <v>K.Mat.5</v>
      </c>
      <c r="X5" s="28" t="s">
        <v>107</v>
      </c>
      <c r="Y5" s="28" t="s">
        <v>108</v>
      </c>
      <c r="Z5" s="78" t="s">
        <v>122</v>
      </c>
      <c r="AA5" s="28" t="str">
        <f t="shared" si="7"/>
        <v>Chemical element of gaseous periodic table.</v>
      </c>
    </row>
    <row r="6" spans="1:27" ht="7.3" customHeight="1" x14ac:dyDescent="0.4">
      <c r="A6" s="26">
        <v>6</v>
      </c>
      <c r="B6" s="71" t="s">
        <v>74</v>
      </c>
      <c r="C6" s="69" t="s">
        <v>106</v>
      </c>
      <c r="D6" s="70" t="s">
        <v>259</v>
      </c>
      <c r="E6" s="70" t="s">
        <v>258</v>
      </c>
      <c r="F6" s="72" t="s">
        <v>257</v>
      </c>
      <c r="G6" s="68" t="s">
        <v>1</v>
      </c>
      <c r="H6" s="68" t="s">
        <v>1</v>
      </c>
      <c r="I6" s="68" t="s">
        <v>1</v>
      </c>
      <c r="J6" s="68" t="s">
        <v>1</v>
      </c>
      <c r="K6" s="68" t="s">
        <v>1</v>
      </c>
      <c r="L6" s="27" t="str">
        <f>SUBSTITUTE(CONCATENATE("", C6), ".", " ")</f>
        <v>Materialidade</v>
      </c>
      <c r="M6" s="27" t="str">
        <f>SUBSTITUTE(CONCATENATE("", D6), ".", " ")</f>
        <v>Matéria Prima</v>
      </c>
      <c r="N6" s="27" t="str">
        <f>SUBSTITUTE(CONCATENATE("", E6), ".", " ")</f>
        <v>Argilas</v>
      </c>
      <c r="O6" s="27" t="str">
        <f>SUBSTITUTE(CONCATENATE("", F6), ".", " ")</f>
        <v>Argila Refratária</v>
      </c>
      <c r="P6" s="28" t="s">
        <v>388</v>
      </c>
      <c r="Q6" s="31" t="str">
        <f>_xlfn.TRANSLATE(P6,"pt","es")</f>
        <v>Resiste las altas temperaturas. Se usa para ladrillos refractarios y hornos.</v>
      </c>
      <c r="R6" s="29" t="s">
        <v>1</v>
      </c>
      <c r="S6" s="30" t="str">
        <f>SUBSTITUTE(C6, ".", " ")</f>
        <v>Materialidade</v>
      </c>
      <c r="T6" s="30" t="str">
        <f>SUBSTITUTE(D6, ".", " ")</f>
        <v>Matéria Prima</v>
      </c>
      <c r="U6" s="30" t="str">
        <f>SUBSTITUTE(E6, ".", " ")</f>
        <v>Argilas</v>
      </c>
      <c r="V6" s="30" t="str">
        <f>SUBSTITUTE(C6, ".", " ")</f>
        <v>Materialidade</v>
      </c>
      <c r="W6" s="18" t="str">
        <f>CONCATENATE("K.",LEFT(C6,3),".",A6)</f>
        <v>K.Mat.6</v>
      </c>
      <c r="X6" s="28" t="s">
        <v>107</v>
      </c>
      <c r="Y6" s="28" t="s">
        <v>108</v>
      </c>
      <c r="Z6" s="78" t="s">
        <v>137</v>
      </c>
      <c r="AA6" s="28" t="str">
        <f>_xlfn.TRANSLATE(P6,"pt","en")</f>
        <v>Resists high temperatures. Used for refractory bricks and furnaces.</v>
      </c>
    </row>
    <row r="7" spans="1:27" ht="7.3" customHeight="1" x14ac:dyDescent="0.4">
      <c r="A7" s="26">
        <v>7</v>
      </c>
      <c r="B7" s="71" t="s">
        <v>74</v>
      </c>
      <c r="C7" s="69" t="s">
        <v>106</v>
      </c>
      <c r="D7" s="70" t="s">
        <v>259</v>
      </c>
      <c r="E7" s="70" t="s">
        <v>258</v>
      </c>
      <c r="F7" s="72" t="s">
        <v>385</v>
      </c>
      <c r="G7" s="68" t="s">
        <v>1</v>
      </c>
      <c r="H7" s="68" t="s">
        <v>1</v>
      </c>
      <c r="I7" s="68" t="s">
        <v>1</v>
      </c>
      <c r="J7" s="68" t="s">
        <v>1</v>
      </c>
      <c r="K7" s="68" t="s">
        <v>1</v>
      </c>
      <c r="L7" s="27" t="str">
        <f>SUBSTITUTE(CONCATENATE("", C7), ".", " ")</f>
        <v>Materialidade</v>
      </c>
      <c r="M7" s="27" t="str">
        <f>SUBSTITUTE(CONCATENATE("", D7), ".", " ")</f>
        <v>Matéria Prima</v>
      </c>
      <c r="N7" s="27" t="str">
        <f>SUBSTITUTE(CONCATENATE("", E7), ".", " ")</f>
        <v>Argilas</v>
      </c>
      <c r="O7" s="27" t="str">
        <f>SUBSTITUTE(CONCATENATE("", F7), ".", " ")</f>
        <v>Argila Bentonita</v>
      </c>
      <c r="P7" s="28" t="s">
        <v>391</v>
      </c>
      <c r="Q7" s="31" t="str">
        <f>_xlfn.TRANSLATE(P7,"pt","es")</f>
        <v>Se utiliza en perforaciones de pozos, sellado e impermeabilización.</v>
      </c>
      <c r="R7" s="29" t="s">
        <v>1</v>
      </c>
      <c r="S7" s="30" t="str">
        <f>SUBSTITUTE(C7, ".", " ")</f>
        <v>Materialidade</v>
      </c>
      <c r="T7" s="30" t="str">
        <f>SUBSTITUTE(D7, ".", " ")</f>
        <v>Matéria Prima</v>
      </c>
      <c r="U7" s="30" t="str">
        <f>SUBSTITUTE(E7, ".", " ")</f>
        <v>Argilas</v>
      </c>
      <c r="V7" s="30" t="str">
        <f>SUBSTITUTE(C7, ".", " ")</f>
        <v>Materialidade</v>
      </c>
      <c r="W7" s="18" t="str">
        <f>CONCATENATE("K.",LEFT(C7,3),".",A7)</f>
        <v>K.Mat.7</v>
      </c>
      <c r="X7" s="28" t="s">
        <v>107</v>
      </c>
      <c r="Y7" s="28" t="s">
        <v>108</v>
      </c>
      <c r="Z7" s="78" t="s">
        <v>138</v>
      </c>
      <c r="AA7" s="28" t="str">
        <f>_xlfn.TRANSLATE(P7,"pt","en")</f>
        <v>Used in well drilling, sealing and waterproofing.</v>
      </c>
    </row>
    <row r="8" spans="1:27" ht="7.3" customHeight="1" x14ac:dyDescent="0.4">
      <c r="A8" s="26">
        <v>8</v>
      </c>
      <c r="B8" s="71" t="s">
        <v>74</v>
      </c>
      <c r="C8" s="69" t="s">
        <v>106</v>
      </c>
      <c r="D8" s="70" t="s">
        <v>259</v>
      </c>
      <c r="E8" s="70" t="s">
        <v>258</v>
      </c>
      <c r="F8" s="72" t="s">
        <v>386</v>
      </c>
      <c r="G8" s="68" t="s">
        <v>1</v>
      </c>
      <c r="H8" s="68" t="s">
        <v>1</v>
      </c>
      <c r="I8" s="68" t="s">
        <v>1</v>
      </c>
      <c r="J8" s="68" t="s">
        <v>1</v>
      </c>
      <c r="K8" s="68" t="s">
        <v>1</v>
      </c>
      <c r="L8" s="27" t="str">
        <f>SUBSTITUTE(CONCATENATE("", C8), ".", " ")</f>
        <v>Materialidade</v>
      </c>
      <c r="M8" s="27" t="str">
        <f>SUBSTITUTE(CONCATENATE("", D8), ".", " ")</f>
        <v>Matéria Prima</v>
      </c>
      <c r="N8" s="27" t="str">
        <f>SUBSTITUTE(CONCATENATE("", E8), ".", " ")</f>
        <v>Argilas</v>
      </c>
      <c r="O8" s="27" t="str">
        <f>SUBSTITUTE(CONCATENATE("", F8), ".", " ")</f>
        <v>Argila Expansiva</v>
      </c>
      <c r="P8" s="28" t="s">
        <v>392</v>
      </c>
      <c r="Q8" s="31" t="str">
        <f>_xlfn.TRANSLATE(P8,"pt","es")</f>
        <v>Buena plasticidad y retención de líquidos. Alta capacidad de absorción y expansión.</v>
      </c>
      <c r="R8" s="29" t="s">
        <v>1</v>
      </c>
      <c r="S8" s="30" t="str">
        <f>SUBSTITUTE(C8, ".", " ")</f>
        <v>Materialidade</v>
      </c>
      <c r="T8" s="30" t="str">
        <f>SUBSTITUTE(D8, ".", " ")</f>
        <v>Matéria Prima</v>
      </c>
      <c r="U8" s="30" t="str">
        <f>SUBSTITUTE(E8, ".", " ")</f>
        <v>Argilas</v>
      </c>
      <c r="V8" s="30" t="str">
        <f>SUBSTITUTE(C8, ".", " ")</f>
        <v>Materialidade</v>
      </c>
      <c r="W8" s="18" t="str">
        <f>CONCATENATE("K.",LEFT(C8,3),".",A8)</f>
        <v>K.Mat.8</v>
      </c>
      <c r="X8" s="28" t="s">
        <v>107</v>
      </c>
      <c r="Y8" s="28" t="s">
        <v>108</v>
      </c>
      <c r="Z8" s="78" t="s">
        <v>139</v>
      </c>
      <c r="AA8" s="28" t="str">
        <f>_xlfn.TRANSLATE(P8,"pt","en")</f>
        <v>Good plasticity and water retention. High absorption and expansion capacity.</v>
      </c>
    </row>
    <row r="9" spans="1:27" ht="7.3" customHeight="1" x14ac:dyDescent="0.4">
      <c r="A9" s="26">
        <v>9</v>
      </c>
      <c r="B9" s="71" t="s">
        <v>74</v>
      </c>
      <c r="C9" s="69" t="s">
        <v>106</v>
      </c>
      <c r="D9" s="70" t="s">
        <v>259</v>
      </c>
      <c r="E9" s="70" t="s">
        <v>258</v>
      </c>
      <c r="F9" s="72" t="s">
        <v>256</v>
      </c>
      <c r="G9" s="68" t="s">
        <v>1</v>
      </c>
      <c r="H9" s="68" t="s">
        <v>1</v>
      </c>
      <c r="I9" s="68" t="s">
        <v>1</v>
      </c>
      <c r="J9" s="68" t="s">
        <v>1</v>
      </c>
      <c r="K9" s="68" t="s">
        <v>1</v>
      </c>
      <c r="L9" s="27" t="str">
        <f>SUBSTITUTE(CONCATENATE("", C9), ".", " ")</f>
        <v>Materialidade</v>
      </c>
      <c r="M9" s="27" t="str">
        <f>SUBSTITUTE(CONCATENATE("", D9), ".", " ")</f>
        <v>Matéria Prima</v>
      </c>
      <c r="N9" s="27" t="str">
        <f>SUBSTITUTE(CONCATENATE("", E9), ".", " ")</f>
        <v>Argilas</v>
      </c>
      <c r="O9" s="27" t="str">
        <f>SUBSTITUTE(CONCATENATE("", F9), ".", " ")</f>
        <v>Argila Vermelha</v>
      </c>
      <c r="P9" s="28" t="s">
        <v>389</v>
      </c>
      <c r="Q9" s="31" t="str">
        <f>_xlfn.TRANSLATE(P9,"pt","es")</f>
        <v>Rico en óxidos de hierro, de color rojizo.</v>
      </c>
      <c r="R9" s="29" t="s">
        <v>1</v>
      </c>
      <c r="S9" s="30" t="str">
        <f>SUBSTITUTE(C9, ".", " ")</f>
        <v>Materialidade</v>
      </c>
      <c r="T9" s="30" t="str">
        <f>SUBSTITUTE(D9, ".", " ")</f>
        <v>Matéria Prima</v>
      </c>
      <c r="U9" s="30" t="str">
        <f>SUBSTITUTE(E9, ".", " ")</f>
        <v>Argilas</v>
      </c>
      <c r="V9" s="30" t="str">
        <f>SUBSTITUTE(C9, ".", " ")</f>
        <v>Materialidade</v>
      </c>
      <c r="W9" s="18" t="str">
        <f>CONCATENATE("K.",LEFT(C9,3),".",A9)</f>
        <v>K.Mat.9</v>
      </c>
      <c r="X9" s="28" t="s">
        <v>107</v>
      </c>
      <c r="Y9" s="28" t="s">
        <v>108</v>
      </c>
      <c r="Z9" s="78" t="s">
        <v>140</v>
      </c>
      <c r="AA9" s="28" t="str">
        <f>_xlfn.TRANSLATE(P9,"pt","en")</f>
        <v>Rich in iron oxides, reddish in color.</v>
      </c>
    </row>
    <row r="10" spans="1:27" ht="7.3" customHeight="1" x14ac:dyDescent="0.4">
      <c r="A10" s="26">
        <v>10</v>
      </c>
      <c r="B10" s="71" t="s">
        <v>74</v>
      </c>
      <c r="C10" s="69" t="s">
        <v>106</v>
      </c>
      <c r="D10" s="70" t="s">
        <v>259</v>
      </c>
      <c r="E10" s="70" t="s">
        <v>258</v>
      </c>
      <c r="F10" s="72" t="s">
        <v>387</v>
      </c>
      <c r="G10" s="68" t="s">
        <v>1</v>
      </c>
      <c r="H10" s="68" t="s">
        <v>1</v>
      </c>
      <c r="I10" s="68" t="s">
        <v>1</v>
      </c>
      <c r="J10" s="68" t="s">
        <v>1</v>
      </c>
      <c r="K10" s="68" t="s">
        <v>1</v>
      </c>
      <c r="L10" s="27" t="str">
        <f>SUBSTITUTE(CONCATENATE("", C10), ".", " ")</f>
        <v>Materialidade</v>
      </c>
      <c r="M10" s="27" t="str">
        <f>SUBSTITUTE(CONCATENATE("", D10), ".", " ")</f>
        <v>Matéria Prima</v>
      </c>
      <c r="N10" s="27" t="str">
        <f>SUBSTITUTE(CONCATENATE("", E10), ".", " ")</f>
        <v>Argilas</v>
      </c>
      <c r="O10" s="27" t="str">
        <f>SUBSTITUTE(CONCATENATE("", F10), ".", " ")</f>
        <v>Argila Ilita</v>
      </c>
      <c r="P10" s="28" t="s">
        <v>393</v>
      </c>
      <c r="Q10" s="31" t="str">
        <f>_xlfn.TRANSLATE(P10,"pt","es")</f>
        <v>Contiene mica, buena resistencia mecánica, usada en cerámica roja.</v>
      </c>
      <c r="R10" s="29" t="s">
        <v>1</v>
      </c>
      <c r="S10" s="30" t="str">
        <f>SUBSTITUTE(C10, ".", " ")</f>
        <v>Materialidade</v>
      </c>
      <c r="T10" s="30" t="str">
        <f>SUBSTITUTE(D10, ".", " ")</f>
        <v>Matéria Prima</v>
      </c>
      <c r="U10" s="30" t="str">
        <f>SUBSTITUTE(E10, ".", " ")</f>
        <v>Argilas</v>
      </c>
      <c r="V10" s="30" t="str">
        <f>SUBSTITUTE(C10, ".", " ")</f>
        <v>Materialidade</v>
      </c>
      <c r="W10" s="18" t="str">
        <f>CONCATENATE("K.",LEFT(C10,3),".",A10)</f>
        <v>K.Mat.10</v>
      </c>
      <c r="X10" s="28" t="s">
        <v>107</v>
      </c>
      <c r="Y10" s="28" t="s">
        <v>108</v>
      </c>
      <c r="Z10" s="78" t="s">
        <v>141</v>
      </c>
      <c r="AA10" s="28" t="str">
        <f>_xlfn.TRANSLATE(P10,"pt","en")</f>
        <v>Contains mica, good mechanical resistance, used in red ceramic.</v>
      </c>
    </row>
    <row r="11" spans="1:27" ht="7.3" customHeight="1" x14ac:dyDescent="0.4">
      <c r="A11" s="26">
        <v>11</v>
      </c>
      <c r="B11" s="71" t="s">
        <v>74</v>
      </c>
      <c r="C11" s="69" t="s">
        <v>106</v>
      </c>
      <c r="D11" s="70" t="s">
        <v>259</v>
      </c>
      <c r="E11" s="70" t="s">
        <v>258</v>
      </c>
      <c r="F11" s="72" t="s">
        <v>384</v>
      </c>
      <c r="G11" s="68" t="s">
        <v>1</v>
      </c>
      <c r="H11" s="68" t="s">
        <v>1</v>
      </c>
      <c r="I11" s="68" t="s">
        <v>1</v>
      </c>
      <c r="J11" s="68" t="s">
        <v>1</v>
      </c>
      <c r="K11" s="68" t="s">
        <v>1</v>
      </c>
      <c r="L11" s="27" t="str">
        <f>SUBSTITUTE(CONCATENATE("", C11), ".", " ")</f>
        <v>Materialidade</v>
      </c>
      <c r="M11" s="27" t="str">
        <f>SUBSTITUTE(CONCATENATE("", D11), ".", " ")</f>
        <v>Matéria Prima</v>
      </c>
      <c r="N11" s="27" t="str">
        <f>SUBSTITUTE(CONCATENATE("", E11), ".", " ")</f>
        <v>Argilas</v>
      </c>
      <c r="O11" s="27" t="str">
        <f>SUBSTITUTE(CONCATENATE("", F11), ".", " ")</f>
        <v>Argila Caulim</v>
      </c>
      <c r="P11" s="28" t="s">
        <v>390</v>
      </c>
      <c r="Q11" s="31" t="str">
        <f>_xlfn.TRANSLATE(P11,"pt","es")</f>
        <v>Rico en caolinita, de color blanco. Se utiliza en porcelana, papel y cemento.</v>
      </c>
      <c r="R11" s="29" t="s">
        <v>1</v>
      </c>
      <c r="S11" s="30" t="str">
        <f>SUBSTITUTE(C11, ".", " ")</f>
        <v>Materialidade</v>
      </c>
      <c r="T11" s="30" t="str">
        <f>SUBSTITUTE(D11, ".", " ")</f>
        <v>Matéria Prima</v>
      </c>
      <c r="U11" s="30" t="str">
        <f>SUBSTITUTE(E11, ".", " ")</f>
        <v>Argilas</v>
      </c>
      <c r="V11" s="30" t="str">
        <f>SUBSTITUTE(C11, ".", " ")</f>
        <v>Materialidade</v>
      </c>
      <c r="W11" s="18" t="str">
        <f>CONCATENATE("K.",LEFT(C11,3),".",A11)</f>
        <v>K.Mat.11</v>
      </c>
      <c r="X11" s="28" t="s">
        <v>107</v>
      </c>
      <c r="Y11" s="28" t="s">
        <v>108</v>
      </c>
      <c r="Z11" s="78" t="s">
        <v>142</v>
      </c>
      <c r="AA11" s="28" t="str">
        <f>_xlfn.TRANSLATE(P11,"pt","en")</f>
        <v>Rich in kaolinite, white in color. Used in porcelain, paper and cement.</v>
      </c>
    </row>
    <row r="12" spans="1:27" ht="7.3" customHeight="1" x14ac:dyDescent="0.4">
      <c r="A12" s="26">
        <v>12</v>
      </c>
      <c r="B12" s="71" t="s">
        <v>74</v>
      </c>
      <c r="C12" s="69" t="s">
        <v>106</v>
      </c>
      <c r="D12" s="70" t="s">
        <v>259</v>
      </c>
      <c r="E12" s="70" t="s">
        <v>232</v>
      </c>
      <c r="F12" s="72" t="s">
        <v>253</v>
      </c>
      <c r="G12" s="68" t="s">
        <v>1</v>
      </c>
      <c r="H12" s="68" t="s">
        <v>1</v>
      </c>
      <c r="I12" s="68" t="s">
        <v>1</v>
      </c>
      <c r="J12" s="68" t="s">
        <v>1</v>
      </c>
      <c r="K12" s="68" t="s">
        <v>1</v>
      </c>
      <c r="L12" s="27" t="str">
        <f t="shared" si="0"/>
        <v>Materialidade</v>
      </c>
      <c r="M12" s="27" t="str">
        <f t="shared" si="0"/>
        <v>Matéria Prima</v>
      </c>
      <c r="N12" s="27" t="str">
        <f t="shared" si="0"/>
        <v>Cimentos</v>
      </c>
      <c r="O12" s="27" t="str">
        <f t="shared" si="0"/>
        <v>CP I</v>
      </c>
      <c r="P12" s="66" t="s">
        <v>274</v>
      </c>
      <c r="Q12" s="31" t="str">
        <f t="shared" ref="Q12:Q67" si="8">_xlfn.TRANSLATE(P12,"pt","es")</f>
        <v>Portland Common. Puro, sin añadidos más que yeso. Aplicaciones comunes.</v>
      </c>
      <c r="R12" s="29" t="s">
        <v>1</v>
      </c>
      <c r="S12" s="30" t="str">
        <f t="shared" ref="S12:S129" si="9">SUBSTITUTE(C12, ".", " ")</f>
        <v>Materialidade</v>
      </c>
      <c r="T12" s="30" t="str">
        <f t="shared" ref="T12:T129" si="10">SUBSTITUTE(D12, ".", " ")</f>
        <v>Matéria Prima</v>
      </c>
      <c r="U12" s="30" t="str">
        <f t="shared" ref="U12:U129" si="11">SUBSTITUTE(E12, ".", " ")</f>
        <v>Cimentos</v>
      </c>
      <c r="V12" s="30" t="str">
        <f t="shared" ref="V12:V129" si="12">SUBSTITUTE(C12, ".", " ")</f>
        <v>Materialidade</v>
      </c>
      <c r="W12" s="18" t="str">
        <f t="shared" ref="W12:W129" si="13">CONCATENATE("K.",LEFT(C12,3),".",A12)</f>
        <v>K.Mat.12</v>
      </c>
      <c r="X12" s="28" t="s">
        <v>107</v>
      </c>
      <c r="Y12" s="28" t="s">
        <v>108</v>
      </c>
      <c r="Z12" s="78" t="s">
        <v>144</v>
      </c>
      <c r="AA12" s="28" t="str">
        <f t="shared" ref="AA12:AA53" si="14">_xlfn.TRANSLATE(P12,"pt","en")</f>
        <v>Portland Common. Pure, with no additions other than plaster. Common Applications.</v>
      </c>
    </row>
    <row r="13" spans="1:27" ht="7.3" customHeight="1" x14ac:dyDescent="0.4">
      <c r="A13" s="26">
        <v>13</v>
      </c>
      <c r="B13" s="71" t="s">
        <v>74</v>
      </c>
      <c r="C13" s="69" t="s">
        <v>106</v>
      </c>
      <c r="D13" s="70" t="s">
        <v>259</v>
      </c>
      <c r="E13" s="70" t="s">
        <v>232</v>
      </c>
      <c r="F13" s="72" t="s">
        <v>368</v>
      </c>
      <c r="G13" s="68" t="s">
        <v>1</v>
      </c>
      <c r="H13" s="68" t="s">
        <v>1</v>
      </c>
      <c r="I13" s="68" t="s">
        <v>1</v>
      </c>
      <c r="J13" s="68" t="s">
        <v>1</v>
      </c>
      <c r="K13" s="68" t="s">
        <v>1</v>
      </c>
      <c r="L13" s="27" t="str">
        <f t="shared" si="0"/>
        <v>Materialidade</v>
      </c>
      <c r="M13" s="27" t="str">
        <f t="shared" si="0"/>
        <v>Matéria Prima</v>
      </c>
      <c r="N13" s="27" t="str">
        <f t="shared" si="0"/>
        <v>Cimentos</v>
      </c>
      <c r="O13" s="27" t="str">
        <f t="shared" si="0"/>
        <v>CP IS</v>
      </c>
      <c r="P13" s="66" t="s">
        <v>275</v>
      </c>
      <c r="Q13" s="31" t="str">
        <f t="shared" si="8"/>
        <v>Portland Ordinary con ampliación. Hasta un 5% de material pozzolánico. Obras sencillas, sin exposición agresiva.</v>
      </c>
      <c r="R13" s="29" t="s">
        <v>1</v>
      </c>
      <c r="S13" s="30" t="str">
        <f t="shared" si="9"/>
        <v>Materialidade</v>
      </c>
      <c r="T13" s="30" t="str">
        <f t="shared" si="10"/>
        <v>Matéria Prima</v>
      </c>
      <c r="U13" s="30" t="str">
        <f t="shared" si="11"/>
        <v>Cimentos</v>
      </c>
      <c r="V13" s="30" t="str">
        <f t="shared" si="12"/>
        <v>Materialidade</v>
      </c>
      <c r="W13" s="18" t="str">
        <f t="shared" si="13"/>
        <v>K.Mat.13</v>
      </c>
      <c r="X13" s="28" t="s">
        <v>107</v>
      </c>
      <c r="Y13" s="28" t="s">
        <v>108</v>
      </c>
      <c r="Z13" s="78" t="s">
        <v>145</v>
      </c>
      <c r="AA13" s="28" t="str">
        <f t="shared" si="14"/>
        <v>Portland Ordinary with Addition. Up to 5% pozzolanic material. Simple works, without aggressive exposure.</v>
      </c>
    </row>
    <row r="14" spans="1:27" ht="7.3" customHeight="1" x14ac:dyDescent="0.4">
      <c r="A14" s="26">
        <v>14</v>
      </c>
      <c r="B14" s="71" t="s">
        <v>74</v>
      </c>
      <c r="C14" s="69" t="s">
        <v>106</v>
      </c>
      <c r="D14" s="70" t="s">
        <v>259</v>
      </c>
      <c r="E14" s="70" t="s">
        <v>232</v>
      </c>
      <c r="F14" s="72" t="s">
        <v>369</v>
      </c>
      <c r="G14" s="68" t="s">
        <v>1</v>
      </c>
      <c r="H14" s="68" t="s">
        <v>1</v>
      </c>
      <c r="I14" s="68" t="s">
        <v>1</v>
      </c>
      <c r="J14" s="68" t="s">
        <v>1</v>
      </c>
      <c r="K14" s="68" t="s">
        <v>1</v>
      </c>
      <c r="L14" s="27" t="str">
        <f t="shared" si="0"/>
        <v>Materialidade</v>
      </c>
      <c r="M14" s="27" t="str">
        <f t="shared" si="0"/>
        <v>Matéria Prima</v>
      </c>
      <c r="N14" s="27" t="str">
        <f t="shared" si="0"/>
        <v>Cimentos</v>
      </c>
      <c r="O14" s="27" t="str">
        <f t="shared" si="0"/>
        <v>CP IIE</v>
      </c>
      <c r="P14" s="66" t="s">
        <v>276</v>
      </c>
      <c r="Q14" s="31" t="str">
        <f t="shared" si="8"/>
        <v>Portland con escoria. Escoria granulada de alto horno (6–34%). Estructuras con menor permeabilidad.</v>
      </c>
      <c r="R14" s="29" t="s">
        <v>1</v>
      </c>
      <c r="S14" s="30" t="str">
        <f t="shared" si="9"/>
        <v>Materialidade</v>
      </c>
      <c r="T14" s="30" t="str">
        <f t="shared" si="10"/>
        <v>Matéria Prima</v>
      </c>
      <c r="U14" s="30" t="str">
        <f t="shared" si="11"/>
        <v>Cimentos</v>
      </c>
      <c r="V14" s="30" t="str">
        <f t="shared" si="12"/>
        <v>Materialidade</v>
      </c>
      <c r="W14" s="18" t="str">
        <f t="shared" si="13"/>
        <v>K.Mat.14</v>
      </c>
      <c r="X14" s="28" t="s">
        <v>107</v>
      </c>
      <c r="Y14" s="28" t="s">
        <v>108</v>
      </c>
      <c r="Z14" s="78" t="s">
        <v>146</v>
      </c>
      <c r="AA14" s="28" t="str">
        <f t="shared" si="14"/>
        <v>Portland with Scum. Granulated blast furnace slag (6–34%). Structures with lower permeability.</v>
      </c>
    </row>
    <row r="15" spans="1:27" ht="7.3" customHeight="1" x14ac:dyDescent="0.4">
      <c r="A15" s="26">
        <v>15</v>
      </c>
      <c r="B15" s="71" t="s">
        <v>74</v>
      </c>
      <c r="C15" s="69" t="s">
        <v>106</v>
      </c>
      <c r="D15" s="70" t="s">
        <v>259</v>
      </c>
      <c r="E15" s="70" t="s">
        <v>232</v>
      </c>
      <c r="F15" s="72" t="s">
        <v>370</v>
      </c>
      <c r="G15" s="68" t="s">
        <v>1</v>
      </c>
      <c r="H15" s="68" t="s">
        <v>1</v>
      </c>
      <c r="I15" s="68" t="s">
        <v>1</v>
      </c>
      <c r="J15" s="68" t="s">
        <v>1</v>
      </c>
      <c r="K15" s="68" t="s">
        <v>1</v>
      </c>
      <c r="L15" s="27" t="str">
        <f t="shared" si="0"/>
        <v>Materialidade</v>
      </c>
      <c r="M15" s="27" t="str">
        <f t="shared" si="0"/>
        <v>Matéria Prima</v>
      </c>
      <c r="N15" s="27" t="str">
        <f t="shared" si="0"/>
        <v>Cimentos</v>
      </c>
      <c r="O15" s="27" t="str">
        <f t="shared" si="0"/>
        <v>CP IIZ</v>
      </c>
      <c r="P15" s="66" t="s">
        <v>277</v>
      </c>
      <c r="Q15" s="31" t="str">
        <f t="shared" si="8"/>
        <v>Portland con Pozzolana. 6–14% pozolán. Estructuras que requieren menos calor o hidratación.</v>
      </c>
      <c r="R15" s="29" t="s">
        <v>1</v>
      </c>
      <c r="S15" s="30" t="str">
        <f t="shared" si="9"/>
        <v>Materialidade</v>
      </c>
      <c r="T15" s="30" t="str">
        <f t="shared" si="10"/>
        <v>Matéria Prima</v>
      </c>
      <c r="U15" s="30" t="str">
        <f t="shared" si="11"/>
        <v>Cimentos</v>
      </c>
      <c r="V15" s="30" t="str">
        <f t="shared" si="12"/>
        <v>Materialidade</v>
      </c>
      <c r="W15" s="18" t="str">
        <f t="shared" si="13"/>
        <v>K.Mat.15</v>
      </c>
      <c r="X15" s="28" t="s">
        <v>107</v>
      </c>
      <c r="Y15" s="28" t="s">
        <v>108</v>
      </c>
      <c r="Z15" s="78" t="s">
        <v>147</v>
      </c>
      <c r="AA15" s="28" t="str">
        <f t="shared" si="14"/>
        <v>Portland with Pozzolana. 6–14% pozzolan. Structures that require less heat of hydration.</v>
      </c>
    </row>
    <row r="16" spans="1:27" ht="7.3" customHeight="1" x14ac:dyDescent="0.4">
      <c r="A16" s="26">
        <v>16</v>
      </c>
      <c r="B16" s="71" t="s">
        <v>74</v>
      </c>
      <c r="C16" s="69" t="s">
        <v>106</v>
      </c>
      <c r="D16" s="70" t="s">
        <v>259</v>
      </c>
      <c r="E16" s="70" t="s">
        <v>232</v>
      </c>
      <c r="F16" s="72" t="s">
        <v>371</v>
      </c>
      <c r="G16" s="68" t="s">
        <v>1</v>
      </c>
      <c r="H16" s="68" t="s">
        <v>1</v>
      </c>
      <c r="I16" s="68" t="s">
        <v>1</v>
      </c>
      <c r="J16" s="68" t="s">
        <v>1</v>
      </c>
      <c r="K16" s="68" t="s">
        <v>1</v>
      </c>
      <c r="L16" s="27" t="str">
        <f t="shared" si="0"/>
        <v>Materialidade</v>
      </c>
      <c r="M16" s="27" t="str">
        <f t="shared" si="0"/>
        <v>Matéria Prima</v>
      </c>
      <c r="N16" s="27" t="str">
        <f t="shared" si="0"/>
        <v>Cimentos</v>
      </c>
      <c r="O16" s="27" t="str">
        <f t="shared" si="0"/>
        <v>CP IIF</v>
      </c>
      <c r="P16" s="66" t="s">
        <v>278</v>
      </c>
      <c r="Q16" s="31" t="str">
        <f t="shared" si="8"/>
        <v>Portland con Fíler. Adición de relleno de piedra caliza (hasta un 10%). Obras marítimas, subterráneas e industriales.</v>
      </c>
      <c r="R16" s="29" t="s">
        <v>1</v>
      </c>
      <c r="S16" s="30" t="str">
        <f t="shared" si="9"/>
        <v>Materialidade</v>
      </c>
      <c r="T16" s="30" t="str">
        <f t="shared" si="10"/>
        <v>Matéria Prima</v>
      </c>
      <c r="U16" s="30" t="str">
        <f t="shared" si="11"/>
        <v>Cimentos</v>
      </c>
      <c r="V16" s="30" t="str">
        <f t="shared" si="12"/>
        <v>Materialidade</v>
      </c>
      <c r="W16" s="18" t="str">
        <f t="shared" si="13"/>
        <v>K.Mat.16</v>
      </c>
      <c r="X16" s="28" t="s">
        <v>107</v>
      </c>
      <c r="Y16" s="28" t="s">
        <v>108</v>
      </c>
      <c r="Z16" s="78" t="s">
        <v>148</v>
      </c>
      <c r="AA16" s="28" t="str">
        <f t="shared" si="14"/>
        <v>Portland with Fíler. Addition of limestone filler (up to 10%). Maritime, underground and industrial works.</v>
      </c>
    </row>
    <row r="17" spans="1:27" ht="7.3" customHeight="1" x14ac:dyDescent="0.4">
      <c r="A17" s="26">
        <v>17</v>
      </c>
      <c r="B17" s="71" t="s">
        <v>74</v>
      </c>
      <c r="C17" s="69" t="s">
        <v>106</v>
      </c>
      <c r="D17" s="70" t="s">
        <v>259</v>
      </c>
      <c r="E17" s="70" t="s">
        <v>232</v>
      </c>
      <c r="F17" s="72" t="s">
        <v>254</v>
      </c>
      <c r="G17" s="68" t="s">
        <v>1</v>
      </c>
      <c r="H17" s="68" t="s">
        <v>1</v>
      </c>
      <c r="I17" s="68" t="s">
        <v>1</v>
      </c>
      <c r="J17" s="68" t="s">
        <v>1</v>
      </c>
      <c r="K17" s="68" t="s">
        <v>1</v>
      </c>
      <c r="L17" s="27" t="str">
        <f t="shared" si="0"/>
        <v>Materialidade</v>
      </c>
      <c r="M17" s="27" t="str">
        <f t="shared" si="0"/>
        <v>Matéria Prima</v>
      </c>
      <c r="N17" s="27" t="str">
        <f t="shared" si="0"/>
        <v>Cimentos</v>
      </c>
      <c r="O17" s="27" t="str">
        <f t="shared" si="0"/>
        <v>CP III</v>
      </c>
      <c r="P17" s="66" t="s">
        <v>279</v>
      </c>
      <c r="Q17" s="31" t="str">
        <f t="shared" si="8"/>
        <v>Horno de Alto Aire Portland. Alta proporción de escoria (35–70%). Uso general, más económico.</v>
      </c>
      <c r="R17" s="29" t="s">
        <v>1</v>
      </c>
      <c r="S17" s="30" t="str">
        <f t="shared" si="9"/>
        <v>Materialidade</v>
      </c>
      <c r="T17" s="30" t="str">
        <f t="shared" si="10"/>
        <v>Matéria Prima</v>
      </c>
      <c r="U17" s="30" t="str">
        <f t="shared" si="11"/>
        <v>Cimentos</v>
      </c>
      <c r="V17" s="30" t="str">
        <f t="shared" si="12"/>
        <v>Materialidade</v>
      </c>
      <c r="W17" s="18" t="str">
        <f t="shared" si="13"/>
        <v>K.Mat.17</v>
      </c>
      <c r="X17" s="28" t="s">
        <v>107</v>
      </c>
      <c r="Y17" s="28" t="s">
        <v>108</v>
      </c>
      <c r="Z17" s="78" t="s">
        <v>149</v>
      </c>
      <c r="AA17" s="28" t="str">
        <f t="shared" si="14"/>
        <v>Portland Blast Furnace. High proportion of slag (35–70%). General use, more economical.</v>
      </c>
    </row>
    <row r="18" spans="1:27" ht="7.3" customHeight="1" x14ac:dyDescent="0.4">
      <c r="A18" s="26">
        <v>18</v>
      </c>
      <c r="B18" s="71" t="s">
        <v>74</v>
      </c>
      <c r="C18" s="69" t="s">
        <v>106</v>
      </c>
      <c r="D18" s="70" t="s">
        <v>259</v>
      </c>
      <c r="E18" s="70" t="s">
        <v>232</v>
      </c>
      <c r="F18" s="72" t="s">
        <v>255</v>
      </c>
      <c r="G18" s="68" t="s">
        <v>1</v>
      </c>
      <c r="H18" s="68" t="s">
        <v>1</v>
      </c>
      <c r="I18" s="68" t="s">
        <v>1</v>
      </c>
      <c r="J18" s="68" t="s">
        <v>1</v>
      </c>
      <c r="K18" s="68" t="s">
        <v>1</v>
      </c>
      <c r="L18" s="27" t="str">
        <f t="shared" si="0"/>
        <v>Materialidade</v>
      </c>
      <c r="M18" s="27" t="str">
        <f t="shared" si="0"/>
        <v>Matéria Prima</v>
      </c>
      <c r="N18" s="27" t="str">
        <f t="shared" si="0"/>
        <v>Cimentos</v>
      </c>
      <c r="O18" s="27" t="str">
        <f t="shared" si="0"/>
        <v>CP IV</v>
      </c>
      <c r="P18" s="66" t="s">
        <v>280</v>
      </c>
      <c r="Q18" s="31" t="str">
        <f t="shared" si="8"/>
        <v>Portland Pozzolanic. Alta durabilidad e impermeabilidad. Grandes obras, presas.</v>
      </c>
      <c r="R18" s="29" t="s">
        <v>1</v>
      </c>
      <c r="S18" s="30" t="str">
        <f t="shared" si="9"/>
        <v>Materialidade</v>
      </c>
      <c r="T18" s="30" t="str">
        <f t="shared" si="10"/>
        <v>Matéria Prima</v>
      </c>
      <c r="U18" s="30" t="str">
        <f t="shared" si="11"/>
        <v>Cimentos</v>
      </c>
      <c r="V18" s="30" t="str">
        <f t="shared" si="12"/>
        <v>Materialidade</v>
      </c>
      <c r="W18" s="18" t="str">
        <f t="shared" si="13"/>
        <v>K.Mat.18</v>
      </c>
      <c r="X18" s="28" t="s">
        <v>107</v>
      </c>
      <c r="Y18" s="28" t="s">
        <v>108</v>
      </c>
      <c r="Z18" s="78" t="s">
        <v>150</v>
      </c>
      <c r="AA18" s="28" t="str">
        <f t="shared" si="14"/>
        <v>Portland Pozzolanic. High durability and waterproofness. Large works, dams.</v>
      </c>
    </row>
    <row r="19" spans="1:27" ht="7.3" customHeight="1" x14ac:dyDescent="0.4">
      <c r="A19" s="26">
        <v>19</v>
      </c>
      <c r="B19" s="71" t="s">
        <v>74</v>
      </c>
      <c r="C19" s="69" t="s">
        <v>106</v>
      </c>
      <c r="D19" s="70" t="s">
        <v>259</v>
      </c>
      <c r="E19" s="70" t="s">
        <v>232</v>
      </c>
      <c r="F19" s="72" t="s">
        <v>367</v>
      </c>
      <c r="G19" s="68" t="s">
        <v>1</v>
      </c>
      <c r="H19" s="68" t="s">
        <v>1</v>
      </c>
      <c r="I19" s="68" t="s">
        <v>1</v>
      </c>
      <c r="J19" s="68" t="s">
        <v>1</v>
      </c>
      <c r="K19" s="68" t="s">
        <v>1</v>
      </c>
      <c r="L19" s="27" t="str">
        <f t="shared" si="0"/>
        <v>Materialidade</v>
      </c>
      <c r="M19" s="27" t="str">
        <f t="shared" si="0"/>
        <v>Matéria Prima</v>
      </c>
      <c r="N19" s="27" t="str">
        <f t="shared" si="0"/>
        <v>Cimentos</v>
      </c>
      <c r="O19" s="27" t="str">
        <f t="shared" si="0"/>
        <v>CP VARI</v>
      </c>
      <c r="P19" s="66" t="s">
        <v>281</v>
      </c>
      <c r="Q19" s="31" t="str">
        <f t="shared" si="8"/>
        <v>Alta resistencia inicial. Resistencia rápida en unos días. Trabaja expuesto al agua y a entornos agresivos.</v>
      </c>
      <c r="R19" s="29" t="s">
        <v>1</v>
      </c>
      <c r="S19" s="30" t="str">
        <f t="shared" si="9"/>
        <v>Materialidade</v>
      </c>
      <c r="T19" s="30" t="str">
        <f t="shared" si="10"/>
        <v>Matéria Prima</v>
      </c>
      <c r="U19" s="30" t="str">
        <f t="shared" si="11"/>
        <v>Cimentos</v>
      </c>
      <c r="V19" s="30" t="str">
        <f t="shared" si="12"/>
        <v>Materialidade</v>
      </c>
      <c r="W19" s="18" t="str">
        <f t="shared" si="13"/>
        <v>K.Mat.19</v>
      </c>
      <c r="X19" s="28" t="s">
        <v>107</v>
      </c>
      <c r="Y19" s="28" t="s">
        <v>108</v>
      </c>
      <c r="Z19" s="78" t="s">
        <v>151</v>
      </c>
      <c r="AA19" s="28" t="str">
        <f t="shared" si="14"/>
        <v>High initial resistance. Fast resistance in a few days. Works exposed to water and aggressive environments.</v>
      </c>
    </row>
    <row r="20" spans="1:27" ht="7.3" customHeight="1" x14ac:dyDescent="0.4">
      <c r="A20" s="26">
        <v>20</v>
      </c>
      <c r="B20" s="71" t="s">
        <v>74</v>
      </c>
      <c r="C20" s="69" t="s">
        <v>106</v>
      </c>
      <c r="D20" s="70" t="s">
        <v>259</v>
      </c>
      <c r="E20" s="70" t="s">
        <v>232</v>
      </c>
      <c r="F20" s="72" t="s">
        <v>372</v>
      </c>
      <c r="G20" s="68" t="s">
        <v>1</v>
      </c>
      <c r="H20" s="68" t="s">
        <v>1</v>
      </c>
      <c r="I20" s="68" t="s">
        <v>1</v>
      </c>
      <c r="J20" s="68" t="s">
        <v>1</v>
      </c>
      <c r="K20" s="68" t="s">
        <v>1</v>
      </c>
      <c r="L20" s="27" t="str">
        <f t="shared" si="0"/>
        <v>Materialidade</v>
      </c>
      <c r="M20" s="27" t="str">
        <f t="shared" si="0"/>
        <v>Matéria Prima</v>
      </c>
      <c r="N20" s="27" t="str">
        <f t="shared" si="0"/>
        <v>Cimentos</v>
      </c>
      <c r="O20" s="27" t="str">
        <f t="shared" si="0"/>
        <v>CP RS</v>
      </c>
      <c r="P20" s="66" t="s">
        <v>284</v>
      </c>
      <c r="Q20" s="31" t="str">
        <f t="shared" si="8"/>
        <v>Resistente a los sulfatos. Protección contra ataques químicos. Se usa en prefabricado.</v>
      </c>
      <c r="R20" s="29" t="s">
        <v>1</v>
      </c>
      <c r="S20" s="30" t="str">
        <f t="shared" si="9"/>
        <v>Materialidade</v>
      </c>
      <c r="T20" s="30" t="str">
        <f t="shared" si="10"/>
        <v>Matéria Prima</v>
      </c>
      <c r="U20" s="30" t="str">
        <f t="shared" si="11"/>
        <v>Cimentos</v>
      </c>
      <c r="V20" s="30" t="str">
        <f t="shared" si="12"/>
        <v>Materialidade</v>
      </c>
      <c r="W20" s="18" t="str">
        <f t="shared" si="13"/>
        <v>K.Mat.20</v>
      </c>
      <c r="X20" s="28" t="s">
        <v>107</v>
      </c>
      <c r="Y20" s="28" t="s">
        <v>108</v>
      </c>
      <c r="Z20" s="78" t="s">
        <v>152</v>
      </c>
      <c r="AA20" s="28" t="str">
        <f t="shared" si="14"/>
        <v>Sulfate resistant. Protection against chemical attack. Used in precast.</v>
      </c>
    </row>
    <row r="21" spans="1:27" ht="7.3" customHeight="1" x14ac:dyDescent="0.4">
      <c r="A21" s="26">
        <v>21</v>
      </c>
      <c r="B21" s="71" t="s">
        <v>74</v>
      </c>
      <c r="C21" s="69" t="s">
        <v>106</v>
      </c>
      <c r="D21" s="70" t="s">
        <v>259</v>
      </c>
      <c r="E21" s="70" t="s">
        <v>232</v>
      </c>
      <c r="F21" s="72" t="s">
        <v>373</v>
      </c>
      <c r="G21" s="68" t="s">
        <v>1</v>
      </c>
      <c r="H21" s="68" t="s">
        <v>1</v>
      </c>
      <c r="I21" s="68" t="s">
        <v>1</v>
      </c>
      <c r="J21" s="68" t="s">
        <v>1</v>
      </c>
      <c r="K21" s="68" t="s">
        <v>1</v>
      </c>
      <c r="L21" s="27" t="str">
        <f t="shared" si="0"/>
        <v>Materialidade</v>
      </c>
      <c r="M21" s="27" t="str">
        <f t="shared" si="0"/>
        <v>Matéria Prima</v>
      </c>
      <c r="N21" s="27" t="str">
        <f t="shared" si="0"/>
        <v>Cimentos</v>
      </c>
      <c r="O21" s="27" t="str">
        <f t="shared" si="0"/>
        <v>CP BC</v>
      </c>
      <c r="P21" s="66" t="s">
        <v>282</v>
      </c>
      <c r="Q21" s="31" t="str">
        <f t="shared" si="8"/>
        <v>Hidratación a baja temperatura. Libera menos calor durante el curado. Trabaja en contacto con suelos o aguas sulfatadas.</v>
      </c>
      <c r="R21" s="29" t="s">
        <v>1</v>
      </c>
      <c r="S21" s="30" t="str">
        <f t="shared" si="9"/>
        <v>Materialidade</v>
      </c>
      <c r="T21" s="30" t="str">
        <f t="shared" si="10"/>
        <v>Matéria Prima</v>
      </c>
      <c r="U21" s="30" t="str">
        <f t="shared" si="11"/>
        <v>Cimentos</v>
      </c>
      <c r="V21" s="30" t="str">
        <f t="shared" si="12"/>
        <v>Materialidade</v>
      </c>
      <c r="W21" s="18" t="str">
        <f t="shared" si="13"/>
        <v>K.Mat.21</v>
      </c>
      <c r="X21" s="28" t="s">
        <v>107</v>
      </c>
      <c r="Y21" s="28" t="s">
        <v>108</v>
      </c>
      <c r="Z21" s="78" t="s">
        <v>153</v>
      </c>
      <c r="AA21" s="28" t="str">
        <f t="shared" si="14"/>
        <v>Low Heat Hydration. Releases less heat during curing. Works in contact with soils or sulfated waters.</v>
      </c>
    </row>
    <row r="22" spans="1:27" ht="7.3" customHeight="1" x14ac:dyDescent="0.4">
      <c r="A22" s="26">
        <v>22</v>
      </c>
      <c r="B22" s="71" t="s">
        <v>74</v>
      </c>
      <c r="C22" s="69" t="s">
        <v>106</v>
      </c>
      <c r="D22" s="70" t="s">
        <v>259</v>
      </c>
      <c r="E22" s="70" t="s">
        <v>232</v>
      </c>
      <c r="F22" s="72" t="s">
        <v>374</v>
      </c>
      <c r="G22" s="68" t="s">
        <v>1</v>
      </c>
      <c r="H22" s="68" t="s">
        <v>1</v>
      </c>
      <c r="I22" s="68" t="s">
        <v>1</v>
      </c>
      <c r="J22" s="68" t="s">
        <v>1</v>
      </c>
      <c r="K22" s="68" t="s">
        <v>1</v>
      </c>
      <c r="L22" s="27" t="str">
        <f t="shared" si="0"/>
        <v>Materialidade</v>
      </c>
      <c r="M22" s="27" t="str">
        <f t="shared" si="0"/>
        <v>Matéria Prima</v>
      </c>
      <c r="N22" s="27" t="str">
        <f t="shared" si="0"/>
        <v>Cimentos</v>
      </c>
      <c r="O22" s="27" t="str">
        <f t="shared" si="0"/>
        <v>CP B</v>
      </c>
      <c r="P22" s="66" t="s">
        <v>283</v>
      </c>
      <c r="Q22" s="31" t="str">
        <f t="shared" si="8"/>
        <v>Portland White. Color claro, estética diferenciada. Estructuras masivas como presas.</v>
      </c>
      <c r="R22" s="29" t="s">
        <v>1</v>
      </c>
      <c r="S22" s="30" t="str">
        <f t="shared" si="9"/>
        <v>Materialidade</v>
      </c>
      <c r="T22" s="30" t="str">
        <f t="shared" si="10"/>
        <v>Matéria Prima</v>
      </c>
      <c r="U22" s="30" t="str">
        <f t="shared" si="11"/>
        <v>Cimentos</v>
      </c>
      <c r="V22" s="30" t="str">
        <f t="shared" si="12"/>
        <v>Materialidade</v>
      </c>
      <c r="W22" s="18" t="str">
        <f t="shared" si="13"/>
        <v>K.Mat.22</v>
      </c>
      <c r="X22" s="28" t="s">
        <v>107</v>
      </c>
      <c r="Y22" s="28" t="s">
        <v>108</v>
      </c>
      <c r="Z22" s="78" t="s">
        <v>154</v>
      </c>
      <c r="AA22" s="28" t="str">
        <f t="shared" si="14"/>
        <v>Portland White. Light color, differentiated aesthetics. Massive structures such as dams.</v>
      </c>
    </row>
    <row r="23" spans="1:27" ht="7.3" customHeight="1" x14ac:dyDescent="0.4">
      <c r="A23" s="26">
        <v>23</v>
      </c>
      <c r="B23" s="71" t="s">
        <v>74</v>
      </c>
      <c r="C23" s="69" t="s">
        <v>106</v>
      </c>
      <c r="D23" s="70" t="s">
        <v>259</v>
      </c>
      <c r="E23" s="70" t="s">
        <v>382</v>
      </c>
      <c r="F23" s="70" t="s">
        <v>117</v>
      </c>
      <c r="G23" s="68" t="s">
        <v>1</v>
      </c>
      <c r="H23" s="68" t="s">
        <v>1</v>
      </c>
      <c r="I23" s="68" t="s">
        <v>1</v>
      </c>
      <c r="J23" s="68" t="s">
        <v>1</v>
      </c>
      <c r="K23" s="68" t="s">
        <v>1</v>
      </c>
      <c r="L23" s="27" t="str">
        <f t="shared" ref="L23:L24" si="15">SUBSTITUTE(CONCATENATE("", C23), ".", " ")</f>
        <v>Materialidade</v>
      </c>
      <c r="M23" s="27" t="str">
        <f t="shared" ref="M23:M24" si="16">SUBSTITUTE(CONCATENATE("", D23), ".", " ")</f>
        <v>Matéria Prima</v>
      </c>
      <c r="N23" s="27" t="str">
        <f t="shared" ref="N23:N24" si="17">SUBSTITUTE(CONCATENATE("", E23), ".", " ")</f>
        <v>Cimentos Aereos</v>
      </c>
      <c r="O23" s="27" t="str">
        <f t="shared" ref="O23:O24" si="18">SUBSTITUTE(CONCATENATE("", F23), ".", " ")</f>
        <v>Cal</v>
      </c>
      <c r="P23" s="28" t="s">
        <v>117</v>
      </c>
      <c r="Q23" s="31" t="str">
        <f>_xlfn.TRANSLATE(P23,"pt","es")</f>
        <v>Lima</v>
      </c>
      <c r="R23" s="29" t="s">
        <v>1</v>
      </c>
      <c r="S23" s="30" t="str">
        <f t="shared" si="9"/>
        <v>Materialidade</v>
      </c>
      <c r="T23" s="30" t="str">
        <f t="shared" si="10"/>
        <v>Matéria Prima</v>
      </c>
      <c r="U23" s="30" t="str">
        <f t="shared" si="11"/>
        <v>Cimentos Aereos</v>
      </c>
      <c r="V23" s="30" t="str">
        <f t="shared" si="12"/>
        <v>Materialidade</v>
      </c>
      <c r="W23" s="18" t="str">
        <f t="shared" ref="W23:W24" si="19">CONCATENATE("K.",LEFT(C23,3),".",A23)</f>
        <v>K.Mat.23</v>
      </c>
      <c r="X23" s="28" t="s">
        <v>107</v>
      </c>
      <c r="Y23" s="28" t="s">
        <v>108</v>
      </c>
      <c r="Z23" s="78" t="s">
        <v>155</v>
      </c>
      <c r="AA23" s="28" t="str">
        <f>_xlfn.TRANSLATE(P23,"pt","en")</f>
        <v>Lime</v>
      </c>
    </row>
    <row r="24" spans="1:27" ht="7.3" customHeight="1" x14ac:dyDescent="0.4">
      <c r="A24" s="26">
        <v>24</v>
      </c>
      <c r="B24" s="71" t="s">
        <v>74</v>
      </c>
      <c r="C24" s="69" t="s">
        <v>106</v>
      </c>
      <c r="D24" s="70" t="s">
        <v>259</v>
      </c>
      <c r="E24" s="70" t="s">
        <v>382</v>
      </c>
      <c r="F24" s="70" t="s">
        <v>109</v>
      </c>
      <c r="G24" s="68" t="s">
        <v>1</v>
      </c>
      <c r="H24" s="68" t="s">
        <v>1</v>
      </c>
      <c r="I24" s="68" t="s">
        <v>1</v>
      </c>
      <c r="J24" s="68" t="s">
        <v>1</v>
      </c>
      <c r="K24" s="68" t="s">
        <v>1</v>
      </c>
      <c r="L24" s="27" t="str">
        <f t="shared" si="15"/>
        <v>Materialidade</v>
      </c>
      <c r="M24" s="27" t="str">
        <f t="shared" si="16"/>
        <v>Matéria Prima</v>
      </c>
      <c r="N24" s="27" t="str">
        <f t="shared" si="17"/>
        <v>Cimentos Aereos</v>
      </c>
      <c r="O24" s="27" t="str">
        <f t="shared" si="18"/>
        <v>Gesso</v>
      </c>
      <c r="P24" s="28" t="s">
        <v>109</v>
      </c>
      <c r="Q24" s="31" t="str">
        <f>_xlfn.TRANSLATE(P24,"pt","es")</f>
        <v>Escayola</v>
      </c>
      <c r="R24" s="29" t="s">
        <v>1</v>
      </c>
      <c r="S24" s="30" t="str">
        <f t="shared" ref="S24" si="20">SUBSTITUTE(C24, ".", " ")</f>
        <v>Materialidade</v>
      </c>
      <c r="T24" s="30" t="str">
        <f t="shared" ref="T24" si="21">SUBSTITUTE(D24, ".", " ")</f>
        <v>Matéria Prima</v>
      </c>
      <c r="U24" s="30" t="str">
        <f t="shared" ref="U24" si="22">SUBSTITUTE(E24, ".", " ")</f>
        <v>Cimentos Aereos</v>
      </c>
      <c r="V24" s="30" t="str">
        <f t="shared" ref="V24" si="23">SUBSTITUTE(C24, ".", " ")</f>
        <v>Materialidade</v>
      </c>
      <c r="W24" s="18" t="str">
        <f t="shared" si="19"/>
        <v>K.Mat.24</v>
      </c>
      <c r="X24" s="28" t="s">
        <v>107</v>
      </c>
      <c r="Y24" s="28" t="s">
        <v>108</v>
      </c>
      <c r="Z24" s="78" t="s">
        <v>156</v>
      </c>
      <c r="AA24" s="28" t="str">
        <f>_xlfn.TRANSLATE(P24,"pt","en")</f>
        <v>Plaster</v>
      </c>
    </row>
    <row r="25" spans="1:27" s="75" customFormat="1" ht="7.3" customHeight="1" x14ac:dyDescent="0.2">
      <c r="A25" s="26">
        <v>25</v>
      </c>
      <c r="B25" s="71" t="s">
        <v>74</v>
      </c>
      <c r="C25" s="69" t="s">
        <v>106</v>
      </c>
      <c r="D25" s="70" t="s">
        <v>259</v>
      </c>
      <c r="E25" s="72" t="s">
        <v>245</v>
      </c>
      <c r="F25" s="72" t="s">
        <v>336</v>
      </c>
      <c r="G25" s="68" t="s">
        <v>1</v>
      </c>
      <c r="H25" s="68" t="s">
        <v>1</v>
      </c>
      <c r="I25" s="68" t="s">
        <v>1</v>
      </c>
      <c r="J25" s="68" t="s">
        <v>1</v>
      </c>
      <c r="K25" s="68" t="s">
        <v>1</v>
      </c>
      <c r="L25" s="27" t="str">
        <f t="shared" si="0"/>
        <v>Materialidade</v>
      </c>
      <c r="M25" s="27" t="str">
        <f t="shared" si="0"/>
        <v>Matéria Prima</v>
      </c>
      <c r="N25" s="27" t="str">
        <f t="shared" si="0"/>
        <v>Borrachas Naturais</v>
      </c>
      <c r="O25" s="27" t="str">
        <f t="shared" si="0"/>
        <v>Borracha Látex</v>
      </c>
      <c r="P25" s="77" t="s">
        <v>318</v>
      </c>
      <c r="Q25" s="31" t="str">
        <f t="shared" si="8"/>
        <v>Savia extraída del árbol de caucho (Hevea brasiliensis), la base del caucho natural</v>
      </c>
      <c r="R25" s="29" t="s">
        <v>1</v>
      </c>
      <c r="S25" s="30" t="str">
        <f t="shared" si="9"/>
        <v>Materialidade</v>
      </c>
      <c r="T25" s="30" t="str">
        <f t="shared" si="10"/>
        <v>Matéria Prima</v>
      </c>
      <c r="U25" s="30" t="str">
        <f t="shared" si="11"/>
        <v>Borrachas Naturais</v>
      </c>
      <c r="V25" s="30" t="str">
        <f t="shared" si="12"/>
        <v>Materialidade</v>
      </c>
      <c r="W25" s="18" t="str">
        <f t="shared" ref="W25:W36" si="24">CONCATENATE("K.",LEFT(C25,3),".",A25)</f>
        <v>K.Mat.25</v>
      </c>
      <c r="X25" s="28" t="s">
        <v>107</v>
      </c>
      <c r="Y25" s="28" t="s">
        <v>108</v>
      </c>
      <c r="Z25" s="28" t="s">
        <v>200</v>
      </c>
      <c r="AA25" s="28" t="str">
        <f t="shared" si="14"/>
        <v>Sap extracted from the rubber tree (Hevea brasiliensis), the basis of natural rubber</v>
      </c>
    </row>
    <row r="26" spans="1:27" s="75" customFormat="1" ht="7.3" customHeight="1" x14ac:dyDescent="0.2">
      <c r="A26" s="26">
        <v>26</v>
      </c>
      <c r="B26" s="71" t="s">
        <v>74</v>
      </c>
      <c r="C26" s="69" t="s">
        <v>106</v>
      </c>
      <c r="D26" s="70" t="s">
        <v>259</v>
      </c>
      <c r="E26" s="72" t="s">
        <v>245</v>
      </c>
      <c r="F26" s="72" t="s">
        <v>357</v>
      </c>
      <c r="G26" s="68" t="s">
        <v>1</v>
      </c>
      <c r="H26" s="68" t="s">
        <v>1</v>
      </c>
      <c r="I26" s="68" t="s">
        <v>1</v>
      </c>
      <c r="J26" s="68" t="s">
        <v>1</v>
      </c>
      <c r="K26" s="68" t="s">
        <v>1</v>
      </c>
      <c r="L26" s="27" t="str">
        <f t="shared" si="0"/>
        <v>Materialidade</v>
      </c>
      <c r="M26" s="27" t="str">
        <f t="shared" si="0"/>
        <v>Matéria Prima</v>
      </c>
      <c r="N26" s="27" t="str">
        <f t="shared" si="0"/>
        <v>Borrachas Naturais</v>
      </c>
      <c r="O26" s="27" t="str">
        <f t="shared" si="0"/>
        <v>Borracha Folha</v>
      </c>
      <c r="P26" s="77" t="s">
        <v>334</v>
      </c>
      <c r="Q26" s="31" t="str">
        <f t="shared" si="8"/>
        <v>Láminas ahumadas con caucho natural</v>
      </c>
      <c r="R26" s="29" t="s">
        <v>1</v>
      </c>
      <c r="S26" s="30" t="str">
        <f t="shared" si="9"/>
        <v>Materialidade</v>
      </c>
      <c r="T26" s="30" t="str">
        <f t="shared" si="10"/>
        <v>Matéria Prima</v>
      </c>
      <c r="U26" s="30" t="str">
        <f t="shared" si="11"/>
        <v>Borrachas Naturais</v>
      </c>
      <c r="V26" s="30" t="str">
        <f t="shared" si="12"/>
        <v>Materialidade</v>
      </c>
      <c r="W26" s="18" t="str">
        <f t="shared" si="24"/>
        <v>K.Mat.26</v>
      </c>
      <c r="X26" s="28" t="s">
        <v>107</v>
      </c>
      <c r="Y26" s="28" t="s">
        <v>108</v>
      </c>
      <c r="Z26" s="28" t="s">
        <v>200</v>
      </c>
      <c r="AA26" s="28" t="str">
        <f t="shared" si="14"/>
        <v>Natural rubber smoked sheets</v>
      </c>
    </row>
    <row r="27" spans="1:27" s="75" customFormat="1" ht="7.3" customHeight="1" x14ac:dyDescent="0.2">
      <c r="A27" s="26">
        <v>27</v>
      </c>
      <c r="B27" s="71" t="s">
        <v>74</v>
      </c>
      <c r="C27" s="69" t="s">
        <v>106</v>
      </c>
      <c r="D27" s="70" t="s">
        <v>259</v>
      </c>
      <c r="E27" s="72" t="s">
        <v>245</v>
      </c>
      <c r="F27" s="72" t="s">
        <v>358</v>
      </c>
      <c r="G27" s="68" t="s">
        <v>1</v>
      </c>
      <c r="H27" s="68" t="s">
        <v>1</v>
      </c>
      <c r="I27" s="68" t="s">
        <v>1</v>
      </c>
      <c r="J27" s="68" t="s">
        <v>1</v>
      </c>
      <c r="K27" s="68" t="s">
        <v>1</v>
      </c>
      <c r="L27" s="27" t="str">
        <f t="shared" si="0"/>
        <v>Materialidade</v>
      </c>
      <c r="M27" s="27" t="str">
        <f t="shared" si="0"/>
        <v>Matéria Prima</v>
      </c>
      <c r="N27" s="27" t="str">
        <f t="shared" si="0"/>
        <v>Borrachas Naturais</v>
      </c>
      <c r="O27" s="27" t="str">
        <f t="shared" si="0"/>
        <v>Borracha Crepe</v>
      </c>
      <c r="P27" s="77" t="s">
        <v>319</v>
      </c>
      <c r="Q27" s="31" t="str">
        <f t="shared" si="8"/>
        <v>Goma natural en forma de hojas finas (crepé claro, marrón, etc.)</v>
      </c>
      <c r="R27" s="29" t="s">
        <v>1</v>
      </c>
      <c r="S27" s="30" t="str">
        <f t="shared" si="9"/>
        <v>Materialidade</v>
      </c>
      <c r="T27" s="30" t="str">
        <f t="shared" si="10"/>
        <v>Matéria Prima</v>
      </c>
      <c r="U27" s="30" t="str">
        <f t="shared" si="11"/>
        <v>Borrachas Naturais</v>
      </c>
      <c r="V27" s="30" t="str">
        <f t="shared" si="12"/>
        <v>Materialidade</v>
      </c>
      <c r="W27" s="18" t="str">
        <f t="shared" si="24"/>
        <v>K.Mat.27</v>
      </c>
      <c r="X27" s="28" t="s">
        <v>107</v>
      </c>
      <c r="Y27" s="28" t="s">
        <v>108</v>
      </c>
      <c r="Z27" s="28" t="s">
        <v>200</v>
      </c>
      <c r="AA27" s="28" t="str">
        <f t="shared" si="14"/>
        <v>Natural rubber in the form of thin blades (pale crepe, brown, etc.)</v>
      </c>
    </row>
    <row r="28" spans="1:27" s="75" customFormat="1" ht="7.3" customHeight="1" x14ac:dyDescent="0.2">
      <c r="A28" s="26">
        <v>28</v>
      </c>
      <c r="B28" s="71" t="s">
        <v>74</v>
      </c>
      <c r="C28" s="69" t="s">
        <v>106</v>
      </c>
      <c r="D28" s="70" t="s">
        <v>259</v>
      </c>
      <c r="E28" s="72" t="s">
        <v>245</v>
      </c>
      <c r="F28" s="72" t="s">
        <v>337</v>
      </c>
      <c r="G28" s="68" t="s">
        <v>1</v>
      </c>
      <c r="H28" s="68" t="s">
        <v>1</v>
      </c>
      <c r="I28" s="68" t="s">
        <v>1</v>
      </c>
      <c r="J28" s="68" t="s">
        <v>1</v>
      </c>
      <c r="K28" s="68" t="s">
        <v>1</v>
      </c>
      <c r="L28" s="27" t="str">
        <f t="shared" si="0"/>
        <v>Materialidade</v>
      </c>
      <c r="M28" s="27" t="str">
        <f t="shared" si="0"/>
        <v>Matéria Prima</v>
      </c>
      <c r="N28" s="27" t="str">
        <f t="shared" si="0"/>
        <v>Borrachas Naturais</v>
      </c>
      <c r="O28" s="27" t="str">
        <f t="shared" si="0"/>
        <v>Borracha ADS</v>
      </c>
      <c r="P28" s="77" t="s">
        <v>335</v>
      </c>
      <c r="Q28" s="31" t="str">
        <f t="shared" si="8"/>
        <v>Hojas secas al aire</v>
      </c>
      <c r="R28" s="29" t="s">
        <v>1</v>
      </c>
      <c r="S28" s="30" t="str">
        <f t="shared" si="9"/>
        <v>Materialidade</v>
      </c>
      <c r="T28" s="30" t="str">
        <f t="shared" si="10"/>
        <v>Matéria Prima</v>
      </c>
      <c r="U28" s="30" t="str">
        <f t="shared" si="11"/>
        <v>Borrachas Naturais</v>
      </c>
      <c r="V28" s="30" t="str">
        <f t="shared" si="12"/>
        <v>Materialidade</v>
      </c>
      <c r="W28" s="18" t="str">
        <f t="shared" si="24"/>
        <v>K.Mat.28</v>
      </c>
      <c r="X28" s="28" t="s">
        <v>107</v>
      </c>
      <c r="Y28" s="28" t="s">
        <v>108</v>
      </c>
      <c r="Z28" s="28" t="s">
        <v>200</v>
      </c>
      <c r="AA28" s="28" t="str">
        <f t="shared" si="14"/>
        <v>Air dried leaves</v>
      </c>
    </row>
    <row r="29" spans="1:27" s="75" customFormat="1" ht="7.3" customHeight="1" x14ac:dyDescent="0.2">
      <c r="A29" s="26">
        <v>29</v>
      </c>
      <c r="B29" s="71" t="s">
        <v>74</v>
      </c>
      <c r="C29" s="69" t="s">
        <v>106</v>
      </c>
      <c r="D29" s="70" t="s">
        <v>259</v>
      </c>
      <c r="E29" s="72" t="s">
        <v>245</v>
      </c>
      <c r="F29" s="69" t="s">
        <v>338</v>
      </c>
      <c r="G29" s="68" t="s">
        <v>1</v>
      </c>
      <c r="H29" s="68" t="s">
        <v>1</v>
      </c>
      <c r="I29" s="68" t="s">
        <v>1</v>
      </c>
      <c r="J29" s="68" t="s">
        <v>1</v>
      </c>
      <c r="K29" s="68" t="s">
        <v>1</v>
      </c>
      <c r="L29" s="27" t="str">
        <f t="shared" si="0"/>
        <v>Materialidade</v>
      </c>
      <c r="M29" s="27" t="str">
        <f t="shared" si="0"/>
        <v>Matéria Prima</v>
      </c>
      <c r="N29" s="27" t="str">
        <f t="shared" si="0"/>
        <v>Borrachas Naturais</v>
      </c>
      <c r="O29" s="27" t="str">
        <f t="shared" si="0"/>
        <v>Borracha SMR</v>
      </c>
      <c r="P29" s="77" t="s">
        <v>320</v>
      </c>
      <c r="Q29" s="31" t="str">
        <f t="shared" si="8"/>
        <v>Caucho Natural Estándar de Malasia</v>
      </c>
      <c r="R29" s="29" t="s">
        <v>1</v>
      </c>
      <c r="S29" s="30" t="str">
        <f t="shared" si="9"/>
        <v>Materialidade</v>
      </c>
      <c r="T29" s="30" t="str">
        <f t="shared" si="10"/>
        <v>Matéria Prima</v>
      </c>
      <c r="U29" s="30" t="str">
        <f t="shared" si="11"/>
        <v>Borrachas Naturais</v>
      </c>
      <c r="V29" s="30" t="str">
        <f t="shared" si="12"/>
        <v>Materialidade</v>
      </c>
      <c r="W29" s="18" t="str">
        <f t="shared" si="24"/>
        <v>K.Mat.29</v>
      </c>
      <c r="X29" s="28" t="s">
        <v>107</v>
      </c>
      <c r="Y29" s="28" t="s">
        <v>108</v>
      </c>
      <c r="Z29" s="28" t="s">
        <v>200</v>
      </c>
      <c r="AA29" s="28" t="str">
        <f t="shared" si="14"/>
        <v>Malaysian Standard Natural Rubber</v>
      </c>
    </row>
    <row r="30" spans="1:27" s="75" customFormat="1" ht="7.3" customHeight="1" x14ac:dyDescent="0.2">
      <c r="A30" s="26">
        <v>30</v>
      </c>
      <c r="B30" s="71" t="s">
        <v>74</v>
      </c>
      <c r="C30" s="69" t="s">
        <v>106</v>
      </c>
      <c r="D30" s="70" t="s">
        <v>259</v>
      </c>
      <c r="E30" s="72" t="s">
        <v>245</v>
      </c>
      <c r="F30" s="69" t="s">
        <v>339</v>
      </c>
      <c r="G30" s="68" t="s">
        <v>1</v>
      </c>
      <c r="H30" s="68" t="s">
        <v>1</v>
      </c>
      <c r="I30" s="68" t="s">
        <v>1</v>
      </c>
      <c r="J30" s="68" t="s">
        <v>1</v>
      </c>
      <c r="K30" s="68" t="s">
        <v>1</v>
      </c>
      <c r="L30" s="27" t="str">
        <f t="shared" si="0"/>
        <v>Materialidade</v>
      </c>
      <c r="M30" s="27" t="str">
        <f t="shared" si="0"/>
        <v>Matéria Prima</v>
      </c>
      <c r="N30" s="27" t="str">
        <f t="shared" si="0"/>
        <v>Borrachas Naturais</v>
      </c>
      <c r="O30" s="27" t="str">
        <f t="shared" si="0"/>
        <v>Borracha SIR</v>
      </c>
      <c r="P30" s="77" t="s">
        <v>321</v>
      </c>
      <c r="Q30" s="31" t="str">
        <f t="shared" si="8"/>
        <v>Caucho Natural Estándar de Indonesia</v>
      </c>
      <c r="R30" s="29" t="s">
        <v>1</v>
      </c>
      <c r="S30" s="30" t="str">
        <f t="shared" si="9"/>
        <v>Materialidade</v>
      </c>
      <c r="T30" s="30" t="str">
        <f t="shared" si="10"/>
        <v>Matéria Prima</v>
      </c>
      <c r="U30" s="30" t="str">
        <f t="shared" si="11"/>
        <v>Borrachas Naturais</v>
      </c>
      <c r="V30" s="30" t="str">
        <f t="shared" si="12"/>
        <v>Materialidade</v>
      </c>
      <c r="W30" s="18" t="str">
        <f t="shared" si="24"/>
        <v>K.Mat.30</v>
      </c>
      <c r="X30" s="28" t="s">
        <v>107</v>
      </c>
      <c r="Y30" s="28" t="s">
        <v>108</v>
      </c>
      <c r="Z30" s="28" t="s">
        <v>200</v>
      </c>
      <c r="AA30" s="28" t="str">
        <f t="shared" si="14"/>
        <v>Indonesia Standard Natural Rubber</v>
      </c>
    </row>
    <row r="31" spans="1:27" s="75" customFormat="1" ht="7.3" customHeight="1" x14ac:dyDescent="0.2">
      <c r="A31" s="26">
        <v>31</v>
      </c>
      <c r="B31" s="71" t="s">
        <v>74</v>
      </c>
      <c r="C31" s="69" t="s">
        <v>106</v>
      </c>
      <c r="D31" s="70" t="s">
        <v>259</v>
      </c>
      <c r="E31" s="72" t="s">
        <v>245</v>
      </c>
      <c r="F31" s="69" t="s">
        <v>340</v>
      </c>
      <c r="G31" s="68" t="s">
        <v>1</v>
      </c>
      <c r="H31" s="68" t="s">
        <v>1</v>
      </c>
      <c r="I31" s="68" t="s">
        <v>1</v>
      </c>
      <c r="J31" s="68" t="s">
        <v>1</v>
      </c>
      <c r="K31" s="68" t="s">
        <v>1</v>
      </c>
      <c r="L31" s="27" t="str">
        <f t="shared" si="0"/>
        <v>Materialidade</v>
      </c>
      <c r="M31" s="27" t="str">
        <f t="shared" si="0"/>
        <v>Matéria Prima</v>
      </c>
      <c r="N31" s="27" t="str">
        <f t="shared" si="0"/>
        <v>Borrachas Naturais</v>
      </c>
      <c r="O31" s="27" t="str">
        <f t="shared" si="0"/>
        <v>Borracha STR</v>
      </c>
      <c r="P31" s="77" t="s">
        <v>322</v>
      </c>
      <c r="Q31" s="31" t="str">
        <f t="shared" si="8"/>
        <v>Caucho Natural Estándar de Tailandia</v>
      </c>
      <c r="R31" s="29" t="s">
        <v>1</v>
      </c>
      <c r="S31" s="30" t="str">
        <f t="shared" si="9"/>
        <v>Materialidade</v>
      </c>
      <c r="T31" s="30" t="str">
        <f t="shared" si="10"/>
        <v>Matéria Prima</v>
      </c>
      <c r="U31" s="30" t="str">
        <f t="shared" si="11"/>
        <v>Borrachas Naturais</v>
      </c>
      <c r="V31" s="30" t="str">
        <f t="shared" si="12"/>
        <v>Materialidade</v>
      </c>
      <c r="W31" s="18" t="str">
        <f t="shared" si="24"/>
        <v>K.Mat.31</v>
      </c>
      <c r="X31" s="28" t="s">
        <v>107</v>
      </c>
      <c r="Y31" s="28" t="s">
        <v>108</v>
      </c>
      <c r="Z31" s="28" t="s">
        <v>200</v>
      </c>
      <c r="AA31" s="28" t="str">
        <f t="shared" si="14"/>
        <v>Thailand Standard Natural Rubber</v>
      </c>
    </row>
    <row r="32" spans="1:27" s="75" customFormat="1" ht="7.3" customHeight="1" x14ac:dyDescent="0.2">
      <c r="A32" s="26">
        <v>32</v>
      </c>
      <c r="B32" s="71" t="s">
        <v>74</v>
      </c>
      <c r="C32" s="69" t="s">
        <v>106</v>
      </c>
      <c r="D32" s="70" t="s">
        <v>259</v>
      </c>
      <c r="E32" s="72" t="s">
        <v>245</v>
      </c>
      <c r="F32" s="69" t="s">
        <v>341</v>
      </c>
      <c r="G32" s="68" t="s">
        <v>1</v>
      </c>
      <c r="H32" s="68" t="s">
        <v>1</v>
      </c>
      <c r="I32" s="68" t="s">
        <v>1</v>
      </c>
      <c r="J32" s="68" t="s">
        <v>1</v>
      </c>
      <c r="K32" s="68" t="s">
        <v>1</v>
      </c>
      <c r="L32" s="27" t="str">
        <f t="shared" si="0"/>
        <v>Materialidade</v>
      </c>
      <c r="M32" s="27" t="str">
        <f t="shared" si="0"/>
        <v>Matéria Prima</v>
      </c>
      <c r="N32" s="27" t="str">
        <f t="shared" si="0"/>
        <v>Borrachas Naturais</v>
      </c>
      <c r="O32" s="27" t="str">
        <f t="shared" si="0"/>
        <v>Borracha SR</v>
      </c>
      <c r="P32" s="77" t="s">
        <v>323</v>
      </c>
      <c r="Q32" s="31" t="str">
        <f t="shared" si="8"/>
        <v>Goma Natural Genérica Estándar</v>
      </c>
      <c r="R32" s="29" t="s">
        <v>1</v>
      </c>
      <c r="S32" s="30" t="str">
        <f t="shared" si="9"/>
        <v>Materialidade</v>
      </c>
      <c r="T32" s="30" t="str">
        <f t="shared" si="10"/>
        <v>Matéria Prima</v>
      </c>
      <c r="U32" s="30" t="str">
        <f t="shared" si="11"/>
        <v>Borrachas Naturais</v>
      </c>
      <c r="V32" s="30" t="str">
        <f t="shared" si="12"/>
        <v>Materialidade</v>
      </c>
      <c r="W32" s="18" t="str">
        <f t="shared" si="24"/>
        <v>K.Mat.32</v>
      </c>
      <c r="X32" s="28" t="s">
        <v>107</v>
      </c>
      <c r="Y32" s="28" t="s">
        <v>108</v>
      </c>
      <c r="Z32" s="28" t="s">
        <v>200</v>
      </c>
      <c r="AA32" s="28" t="str">
        <f t="shared" si="14"/>
        <v>Generic Standard Natural Rubber</v>
      </c>
    </row>
    <row r="33" spans="1:27" s="75" customFormat="1" ht="7.3" customHeight="1" x14ac:dyDescent="0.2">
      <c r="A33" s="26">
        <v>33</v>
      </c>
      <c r="B33" s="71" t="s">
        <v>74</v>
      </c>
      <c r="C33" s="69" t="s">
        <v>106</v>
      </c>
      <c r="D33" s="70" t="s">
        <v>259</v>
      </c>
      <c r="E33" s="72" t="s">
        <v>245</v>
      </c>
      <c r="F33" s="69" t="s">
        <v>342</v>
      </c>
      <c r="G33" s="68" t="s">
        <v>1</v>
      </c>
      <c r="H33" s="68" t="s">
        <v>1</v>
      </c>
      <c r="I33" s="68" t="s">
        <v>1</v>
      </c>
      <c r="J33" s="68" t="s">
        <v>1</v>
      </c>
      <c r="K33" s="68" t="s">
        <v>1</v>
      </c>
      <c r="L33" s="27" t="str">
        <f t="shared" si="0"/>
        <v>Materialidade</v>
      </c>
      <c r="M33" s="27" t="str">
        <f t="shared" si="0"/>
        <v>Matéria Prima</v>
      </c>
      <c r="N33" s="27" t="str">
        <f t="shared" si="0"/>
        <v>Borrachas Naturais</v>
      </c>
      <c r="O33" s="27" t="str">
        <f t="shared" si="0"/>
        <v>Borracha SVR</v>
      </c>
      <c r="P33" s="77" t="s">
        <v>324</v>
      </c>
      <c r="Q33" s="31" t="str">
        <f t="shared" si="8"/>
        <v>Caucho natural estándar de Vietnam</v>
      </c>
      <c r="R33" s="29" t="s">
        <v>1</v>
      </c>
      <c r="S33" s="30" t="str">
        <f t="shared" si="9"/>
        <v>Materialidade</v>
      </c>
      <c r="T33" s="30" t="str">
        <f t="shared" si="10"/>
        <v>Matéria Prima</v>
      </c>
      <c r="U33" s="30" t="str">
        <f t="shared" si="11"/>
        <v>Borrachas Naturais</v>
      </c>
      <c r="V33" s="30" t="str">
        <f t="shared" si="12"/>
        <v>Materialidade</v>
      </c>
      <c r="W33" s="18" t="str">
        <f t="shared" si="24"/>
        <v>K.Mat.33</v>
      </c>
      <c r="X33" s="28" t="s">
        <v>107</v>
      </c>
      <c r="Y33" s="28" t="s">
        <v>108</v>
      </c>
      <c r="Z33" s="28" t="s">
        <v>200</v>
      </c>
      <c r="AA33" s="28" t="str">
        <f t="shared" si="14"/>
        <v>Vietnam standard natural rubber</v>
      </c>
    </row>
    <row r="34" spans="1:27" ht="7.3" customHeight="1" x14ac:dyDescent="0.4">
      <c r="A34" s="26">
        <v>34</v>
      </c>
      <c r="B34" s="71" t="s">
        <v>74</v>
      </c>
      <c r="C34" s="69" t="s">
        <v>106</v>
      </c>
      <c r="D34" s="70" t="s">
        <v>380</v>
      </c>
      <c r="E34" s="70" t="s">
        <v>271</v>
      </c>
      <c r="F34" s="72" t="s">
        <v>269</v>
      </c>
      <c r="G34" s="68" t="s">
        <v>1</v>
      </c>
      <c r="H34" s="68" t="s">
        <v>1</v>
      </c>
      <c r="I34" s="68" t="s">
        <v>1</v>
      </c>
      <c r="J34" s="68" t="s">
        <v>1</v>
      </c>
      <c r="K34" s="68" t="s">
        <v>1</v>
      </c>
      <c r="L34" s="27" t="str">
        <f t="shared" si="0"/>
        <v>Materialidade</v>
      </c>
      <c r="M34" s="27" t="str">
        <f t="shared" si="0"/>
        <v>Materiais Aditivos</v>
      </c>
      <c r="N34" s="27" t="str">
        <f t="shared" si="0"/>
        <v>Aditivos</v>
      </c>
      <c r="O34" s="27" t="str">
        <f t="shared" ref="O34:O36" si="25">SUBSTITUTE(CONCATENATE("", F34), ".", " ")</f>
        <v>Defloculante</v>
      </c>
      <c r="P34" s="28" t="s">
        <v>272</v>
      </c>
      <c r="Q34" s="31" t="str">
        <f t="shared" si="8"/>
        <v>Se usa para mejorar la manifiabilidad del material.</v>
      </c>
      <c r="R34" s="29" t="s">
        <v>1</v>
      </c>
      <c r="S34" s="30" t="str">
        <f t="shared" si="9"/>
        <v>Materialidade</v>
      </c>
      <c r="T34" s="30" t="str">
        <f t="shared" si="10"/>
        <v>Materiais Aditivos</v>
      </c>
      <c r="U34" s="30" t="str">
        <f t="shared" si="11"/>
        <v>Aditivos</v>
      </c>
      <c r="V34" s="30" t="str">
        <f t="shared" si="12"/>
        <v>Materialidade</v>
      </c>
      <c r="W34" s="18" t="str">
        <f t="shared" si="24"/>
        <v>K.Mat.34</v>
      </c>
      <c r="X34" s="28" t="s">
        <v>107</v>
      </c>
      <c r="Y34" s="28" t="s">
        <v>108</v>
      </c>
      <c r="Z34" s="28" t="s">
        <v>1</v>
      </c>
      <c r="AA34" s="28" t="str">
        <f t="shared" ref="AA34:AA35" si="26">_xlfn.TRANSLATE(P34,"pt","en")</f>
        <v>Used to improve the workability of the material.</v>
      </c>
    </row>
    <row r="35" spans="1:27" ht="7.3" customHeight="1" x14ac:dyDescent="0.4">
      <c r="A35" s="26">
        <v>35</v>
      </c>
      <c r="B35" s="71" t="s">
        <v>74</v>
      </c>
      <c r="C35" s="69" t="s">
        <v>106</v>
      </c>
      <c r="D35" s="70" t="s">
        <v>380</v>
      </c>
      <c r="E35" s="70" t="s">
        <v>271</v>
      </c>
      <c r="F35" s="72" t="s">
        <v>270</v>
      </c>
      <c r="G35" s="68" t="s">
        <v>1</v>
      </c>
      <c r="H35" s="68" t="s">
        <v>1</v>
      </c>
      <c r="I35" s="68" t="s">
        <v>1</v>
      </c>
      <c r="J35" s="68" t="s">
        <v>1</v>
      </c>
      <c r="K35" s="68" t="s">
        <v>1</v>
      </c>
      <c r="L35" s="27" t="str">
        <f t="shared" si="0"/>
        <v>Materialidade</v>
      </c>
      <c r="M35" s="27" t="str">
        <f t="shared" si="0"/>
        <v>Materiais Aditivos</v>
      </c>
      <c r="N35" s="27" t="str">
        <f t="shared" si="0"/>
        <v>Aditivos</v>
      </c>
      <c r="O35" s="27" t="str">
        <f t="shared" si="25"/>
        <v>Pigmento</v>
      </c>
      <c r="P35" s="28" t="s">
        <v>273</v>
      </c>
      <c r="Q35" s="31" t="str">
        <f t="shared" si="8"/>
        <v>Se usaba para cambiar propiedades cromáticas.</v>
      </c>
      <c r="R35" s="29" t="s">
        <v>1</v>
      </c>
      <c r="S35" s="30" t="str">
        <f t="shared" si="9"/>
        <v>Materialidade</v>
      </c>
      <c r="T35" s="30" t="str">
        <f t="shared" si="10"/>
        <v>Materiais Aditivos</v>
      </c>
      <c r="U35" s="30" t="str">
        <f t="shared" si="11"/>
        <v>Aditivos</v>
      </c>
      <c r="V35" s="30" t="str">
        <f t="shared" si="12"/>
        <v>Materialidade</v>
      </c>
      <c r="W35" s="18" t="str">
        <f t="shared" si="24"/>
        <v>K.Mat.35</v>
      </c>
      <c r="X35" s="28" t="s">
        <v>107</v>
      </c>
      <c r="Y35" s="28" t="s">
        <v>108</v>
      </c>
      <c r="Z35" s="28" t="s">
        <v>1</v>
      </c>
      <c r="AA35" s="28" t="str">
        <f t="shared" si="26"/>
        <v>Used to change chromatic properties.</v>
      </c>
    </row>
    <row r="36" spans="1:27" ht="7.3" customHeight="1" x14ac:dyDescent="0.4">
      <c r="A36" s="26">
        <v>36</v>
      </c>
      <c r="B36" s="71" t="s">
        <v>74</v>
      </c>
      <c r="C36" s="69" t="s">
        <v>106</v>
      </c>
      <c r="D36" s="70" t="s">
        <v>268</v>
      </c>
      <c r="E36" s="70" t="s">
        <v>244</v>
      </c>
      <c r="F36" s="70" t="s">
        <v>236</v>
      </c>
      <c r="G36" s="68" t="s">
        <v>1</v>
      </c>
      <c r="H36" s="68" t="s">
        <v>1</v>
      </c>
      <c r="I36" s="68" t="s">
        <v>1</v>
      </c>
      <c r="J36" s="68" t="s">
        <v>1</v>
      </c>
      <c r="K36" s="68" t="s">
        <v>1</v>
      </c>
      <c r="L36" s="27" t="str">
        <f t="shared" si="0"/>
        <v>Materialidade</v>
      </c>
      <c r="M36" s="27" t="str">
        <f t="shared" si="0"/>
        <v>Material Complementar</v>
      </c>
      <c r="N36" s="27" t="str">
        <f t="shared" si="0"/>
        <v>Líquidos</v>
      </c>
      <c r="O36" s="27" t="str">
        <f t="shared" si="25"/>
        <v>Líquido</v>
      </c>
      <c r="P36" s="28" t="s">
        <v>396</v>
      </c>
      <c r="Q36" s="31" t="str">
        <f>_xlfn.TRANSLATE(P36,"pt","es")</f>
        <v>Materiales líquidos</v>
      </c>
      <c r="R36" s="29" t="s">
        <v>1</v>
      </c>
      <c r="S36" s="30" t="str">
        <f t="shared" ref="S36" si="27">SUBSTITUTE(C36, ".", " ")</f>
        <v>Materialidade</v>
      </c>
      <c r="T36" s="30" t="str">
        <f t="shared" ref="T36" si="28">SUBSTITUTE(D36, ".", " ")</f>
        <v>Material Complementar</v>
      </c>
      <c r="U36" s="30" t="str">
        <f t="shared" ref="U36" si="29">SUBSTITUTE(E36, ".", " ")</f>
        <v>Líquidos</v>
      </c>
      <c r="V36" s="30" t="str">
        <f t="shared" ref="V36" si="30">SUBSTITUTE(C36, ".", " ")</f>
        <v>Materialidade</v>
      </c>
      <c r="W36" s="18" t="str">
        <f t="shared" si="24"/>
        <v>K.Mat.36</v>
      </c>
      <c r="X36" s="28" t="s">
        <v>107</v>
      </c>
      <c r="Y36" s="28" t="s">
        <v>108</v>
      </c>
      <c r="Z36" s="78" t="s">
        <v>207</v>
      </c>
      <c r="AA36" s="28" t="str">
        <f>_xlfn.TRANSLATE(P36,"pt","en")</f>
        <v>Liquid materials</v>
      </c>
    </row>
    <row r="37" spans="1:27" ht="7.3" customHeight="1" x14ac:dyDescent="0.4">
      <c r="A37" s="26">
        <v>37</v>
      </c>
      <c r="B37" s="71" t="s">
        <v>74</v>
      </c>
      <c r="C37" s="69" t="s">
        <v>106</v>
      </c>
      <c r="D37" s="70" t="s">
        <v>519</v>
      </c>
      <c r="E37" s="70" t="s">
        <v>237</v>
      </c>
      <c r="F37" s="72" t="s">
        <v>260</v>
      </c>
      <c r="G37" s="68" t="s">
        <v>1</v>
      </c>
      <c r="H37" s="68" t="s">
        <v>1</v>
      </c>
      <c r="I37" s="68" t="s">
        <v>1</v>
      </c>
      <c r="J37" s="68" t="s">
        <v>1</v>
      </c>
      <c r="K37" s="68" t="s">
        <v>1</v>
      </c>
      <c r="L37" s="27" t="str">
        <f t="shared" ref="L37:L67" si="31">SUBSTITUTE(CONCATENATE("", C37), ".", " ")</f>
        <v>Materialidade</v>
      </c>
      <c r="M37" s="27" t="str">
        <f t="shared" ref="M37:M67" si="32">SUBSTITUTE(CONCATENATE("", D37), ".", " ")</f>
        <v>Materiais Complementares</v>
      </c>
      <c r="N37" s="27" t="str">
        <f t="shared" ref="N37:N67" si="33">SUBSTITUTE(CONCATENATE("", E37), ".", " ")</f>
        <v>Minerais</v>
      </c>
      <c r="O37" s="27" t="str">
        <f t="shared" si="0"/>
        <v>Quartzo</v>
      </c>
      <c r="P37" s="66" t="s">
        <v>264</v>
      </c>
      <c r="Q37" s="31" t="str">
        <f t="shared" si="8"/>
        <v>Complementa aumentando la resistencia mecánica y térmica.</v>
      </c>
      <c r="R37" s="29" t="s">
        <v>1</v>
      </c>
      <c r="S37" s="30" t="str">
        <f t="shared" ref="S37:S53" si="34">SUBSTITUTE(C37, ".", " ")</f>
        <v>Materialidade</v>
      </c>
      <c r="T37" s="30" t="str">
        <f t="shared" ref="T37:T53" si="35">SUBSTITUTE(D37, ".", " ")</f>
        <v>Materiais Complementares</v>
      </c>
      <c r="U37" s="30" t="str">
        <f t="shared" ref="U37:U53" si="36">SUBSTITUTE(E37, ".", " ")</f>
        <v>Minerais</v>
      </c>
      <c r="V37" s="30" t="str">
        <f t="shared" ref="V37:V53" si="37">SUBSTITUTE(C37, ".", " ")</f>
        <v>Materialidade</v>
      </c>
      <c r="W37" s="18" t="str">
        <f t="shared" si="13"/>
        <v>K.Mat.37</v>
      </c>
      <c r="X37" s="28" t="s">
        <v>107</v>
      </c>
      <c r="Y37" s="28" t="s">
        <v>108</v>
      </c>
      <c r="Z37" s="78" t="s">
        <v>135</v>
      </c>
      <c r="AA37" s="28" t="str">
        <f t="shared" si="14"/>
        <v>Complements by increasing mechanical and thermal resistance.</v>
      </c>
    </row>
    <row r="38" spans="1:27" ht="7.3" customHeight="1" x14ac:dyDescent="0.4">
      <c r="A38" s="26">
        <v>38</v>
      </c>
      <c r="B38" s="71" t="s">
        <v>74</v>
      </c>
      <c r="C38" s="69" t="s">
        <v>106</v>
      </c>
      <c r="D38" s="70" t="s">
        <v>519</v>
      </c>
      <c r="E38" s="70" t="s">
        <v>237</v>
      </c>
      <c r="F38" s="72" t="s">
        <v>261</v>
      </c>
      <c r="G38" s="68" t="s">
        <v>1</v>
      </c>
      <c r="H38" s="68" t="s">
        <v>1</v>
      </c>
      <c r="I38" s="68" t="s">
        <v>1</v>
      </c>
      <c r="J38" s="68" t="s">
        <v>1</v>
      </c>
      <c r="K38" s="68" t="s">
        <v>1</v>
      </c>
      <c r="L38" s="27" t="str">
        <f t="shared" si="31"/>
        <v>Materialidade</v>
      </c>
      <c r="M38" s="27" t="str">
        <f t="shared" si="32"/>
        <v>Materiais Complementares</v>
      </c>
      <c r="N38" s="27" t="str">
        <f t="shared" si="33"/>
        <v>Minerais</v>
      </c>
      <c r="O38" s="27" t="str">
        <f t="shared" si="0"/>
        <v>Feldspato</v>
      </c>
      <c r="P38" s="66" t="s">
        <v>265</v>
      </c>
      <c r="Q38" s="31" t="str">
        <f t="shared" si="8"/>
        <v>Complementa su función de fundente, reduce la temperatura de fusión.</v>
      </c>
      <c r="R38" s="29" t="s">
        <v>1</v>
      </c>
      <c r="S38" s="30" t="str">
        <f t="shared" si="34"/>
        <v>Materialidade</v>
      </c>
      <c r="T38" s="30" t="str">
        <f t="shared" si="35"/>
        <v>Materiais Complementares</v>
      </c>
      <c r="U38" s="30" t="str">
        <f t="shared" si="36"/>
        <v>Minerais</v>
      </c>
      <c r="V38" s="30" t="str">
        <f t="shared" si="37"/>
        <v>Materialidade</v>
      </c>
      <c r="W38" s="18" t="str">
        <f t="shared" si="13"/>
        <v>K.Mat.38</v>
      </c>
      <c r="X38" s="28" t="s">
        <v>107</v>
      </c>
      <c r="Y38" s="28" t="s">
        <v>108</v>
      </c>
      <c r="Z38" s="28" t="s">
        <v>1</v>
      </c>
      <c r="AA38" s="28" t="str">
        <f t="shared" si="14"/>
        <v>It complements acting as a flux, reduces the melting temperature.</v>
      </c>
    </row>
    <row r="39" spans="1:27" ht="7.3" customHeight="1" x14ac:dyDescent="0.4">
      <c r="A39" s="26">
        <v>39</v>
      </c>
      <c r="B39" s="71" t="s">
        <v>74</v>
      </c>
      <c r="C39" s="69" t="s">
        <v>106</v>
      </c>
      <c r="D39" s="70" t="s">
        <v>519</v>
      </c>
      <c r="E39" s="70" t="s">
        <v>237</v>
      </c>
      <c r="F39" s="72" t="s">
        <v>262</v>
      </c>
      <c r="G39" s="68" t="s">
        <v>1</v>
      </c>
      <c r="H39" s="68" t="s">
        <v>1</v>
      </c>
      <c r="I39" s="68" t="s">
        <v>1</v>
      </c>
      <c r="J39" s="68" t="s">
        <v>1</v>
      </c>
      <c r="K39" s="68" t="s">
        <v>1</v>
      </c>
      <c r="L39" s="27" t="str">
        <f t="shared" si="31"/>
        <v>Materialidade</v>
      </c>
      <c r="M39" s="27" t="str">
        <f t="shared" si="32"/>
        <v>Materiais Complementares</v>
      </c>
      <c r="N39" s="27" t="str">
        <f t="shared" si="33"/>
        <v>Minerais</v>
      </c>
      <c r="O39" s="27" t="str">
        <f t="shared" si="0"/>
        <v>Carbonato</v>
      </c>
      <c r="P39" s="66" t="s">
        <v>266</v>
      </c>
      <c r="Q39" s="31" t="str">
        <f t="shared" si="8"/>
        <v>Complementa controlando la contracción y la estabilidad.</v>
      </c>
      <c r="R39" s="29" t="s">
        <v>1</v>
      </c>
      <c r="S39" s="30" t="str">
        <f t="shared" si="34"/>
        <v>Materialidade</v>
      </c>
      <c r="T39" s="30" t="str">
        <f t="shared" si="35"/>
        <v>Materiais Complementares</v>
      </c>
      <c r="U39" s="30" t="str">
        <f t="shared" si="36"/>
        <v>Minerais</v>
      </c>
      <c r="V39" s="30" t="str">
        <f t="shared" si="37"/>
        <v>Materialidade</v>
      </c>
      <c r="W39" s="18" t="str">
        <f t="shared" si="13"/>
        <v>K.Mat.39</v>
      </c>
      <c r="X39" s="28" t="s">
        <v>107</v>
      </c>
      <c r="Y39" s="28" t="s">
        <v>108</v>
      </c>
      <c r="Z39" s="28" t="s">
        <v>1</v>
      </c>
      <c r="AA39" s="28" t="str">
        <f t="shared" si="14"/>
        <v>Complements by controlling shrinkage and stability.</v>
      </c>
    </row>
    <row r="40" spans="1:27" ht="7.3" customHeight="1" x14ac:dyDescent="0.4">
      <c r="A40" s="26">
        <v>40</v>
      </c>
      <c r="B40" s="71" t="s">
        <v>74</v>
      </c>
      <c r="C40" s="69" t="s">
        <v>106</v>
      </c>
      <c r="D40" s="70" t="s">
        <v>519</v>
      </c>
      <c r="E40" s="70" t="s">
        <v>237</v>
      </c>
      <c r="F40" s="72" t="s">
        <v>263</v>
      </c>
      <c r="G40" s="68" t="s">
        <v>1</v>
      </c>
      <c r="H40" s="68" t="s">
        <v>1</v>
      </c>
      <c r="I40" s="68" t="s">
        <v>1</v>
      </c>
      <c r="J40" s="68" t="s">
        <v>1</v>
      </c>
      <c r="K40" s="68" t="s">
        <v>1</v>
      </c>
      <c r="L40" s="27" t="str">
        <f t="shared" si="31"/>
        <v>Materialidade</v>
      </c>
      <c r="M40" s="27" t="str">
        <f t="shared" si="32"/>
        <v>Materiais Complementares</v>
      </c>
      <c r="N40" s="27" t="str">
        <f t="shared" si="33"/>
        <v>Minerais</v>
      </c>
      <c r="O40" s="27" t="str">
        <f t="shared" si="0"/>
        <v>Óxido Metálico</v>
      </c>
      <c r="P40" s="66" t="s">
        <v>267</v>
      </c>
      <c r="Q40" s="31" t="str">
        <f t="shared" si="8"/>
        <v>Complementa influyendo en el color y otras propiedades.</v>
      </c>
      <c r="R40" s="29" t="s">
        <v>1</v>
      </c>
      <c r="S40" s="30" t="str">
        <f t="shared" si="34"/>
        <v>Materialidade</v>
      </c>
      <c r="T40" s="30" t="str">
        <f t="shared" si="35"/>
        <v>Materiais Complementares</v>
      </c>
      <c r="U40" s="30" t="str">
        <f t="shared" si="36"/>
        <v>Minerais</v>
      </c>
      <c r="V40" s="30" t="str">
        <f t="shared" si="37"/>
        <v>Materialidade</v>
      </c>
      <c r="W40" s="18" t="str">
        <f t="shared" si="13"/>
        <v>K.Mat.40</v>
      </c>
      <c r="X40" s="28" t="s">
        <v>107</v>
      </c>
      <c r="Y40" s="28" t="s">
        <v>108</v>
      </c>
      <c r="Z40" s="28" t="s">
        <v>1</v>
      </c>
      <c r="AA40" s="28" t="str">
        <f t="shared" si="14"/>
        <v>It complements by influencing color and other properties.</v>
      </c>
    </row>
    <row r="41" spans="1:27" s="35" customFormat="1" ht="7.3" customHeight="1" x14ac:dyDescent="0.2">
      <c r="A41" s="26">
        <v>41</v>
      </c>
      <c r="B41" s="71" t="s">
        <v>74</v>
      </c>
      <c r="C41" s="69" t="s">
        <v>106</v>
      </c>
      <c r="D41" s="76" t="s">
        <v>523</v>
      </c>
      <c r="E41" s="76" t="s">
        <v>285</v>
      </c>
      <c r="F41" s="69" t="s">
        <v>288</v>
      </c>
      <c r="G41" s="68" t="s">
        <v>1</v>
      </c>
      <c r="H41" s="68" t="s">
        <v>1</v>
      </c>
      <c r="I41" s="68" t="s">
        <v>1</v>
      </c>
      <c r="J41" s="68" t="s">
        <v>1</v>
      </c>
      <c r="K41" s="68" t="s">
        <v>1</v>
      </c>
      <c r="L41" s="27" t="str">
        <f t="shared" si="31"/>
        <v>Materialidade</v>
      </c>
      <c r="M41" s="27" t="str">
        <f t="shared" si="32"/>
        <v>Materiais Processados</v>
      </c>
      <c r="N41" s="27" t="str">
        <f t="shared" si="33"/>
        <v>Cerâmicas Vermelhas</v>
      </c>
      <c r="O41" s="27" t="str">
        <f t="shared" si="0"/>
        <v>Tijolo</v>
      </c>
      <c r="P41" s="28" t="s">
        <v>288</v>
      </c>
      <c r="Q41" s="31" t="str">
        <f t="shared" si="8"/>
        <v>Ladrillo</v>
      </c>
      <c r="R41" s="29" t="s">
        <v>1</v>
      </c>
      <c r="S41" s="30" t="str">
        <f t="shared" si="34"/>
        <v>Materialidade</v>
      </c>
      <c r="T41" s="30" t="str">
        <f t="shared" si="35"/>
        <v>Materiais Processados</v>
      </c>
      <c r="U41" s="30" t="str">
        <f t="shared" si="36"/>
        <v>Cerâmicas Vermelhas</v>
      </c>
      <c r="V41" s="30" t="str">
        <f t="shared" si="37"/>
        <v>Materialidade</v>
      </c>
      <c r="W41" s="18" t="str">
        <f t="shared" si="13"/>
        <v>K.Mat.41</v>
      </c>
      <c r="X41" s="28" t="s">
        <v>107</v>
      </c>
      <c r="Y41" s="28" t="s">
        <v>108</v>
      </c>
      <c r="Z41" s="78" t="s">
        <v>140</v>
      </c>
      <c r="AA41" s="28" t="str">
        <f t="shared" si="14"/>
        <v>Brick</v>
      </c>
    </row>
    <row r="42" spans="1:27" s="35" customFormat="1" ht="7.3" customHeight="1" x14ac:dyDescent="0.2">
      <c r="A42" s="26">
        <v>42</v>
      </c>
      <c r="B42" s="71" t="s">
        <v>74</v>
      </c>
      <c r="C42" s="69" t="s">
        <v>106</v>
      </c>
      <c r="D42" s="76" t="s">
        <v>523</v>
      </c>
      <c r="E42" s="76" t="s">
        <v>285</v>
      </c>
      <c r="F42" s="69" t="s">
        <v>289</v>
      </c>
      <c r="G42" s="68" t="s">
        <v>1</v>
      </c>
      <c r="H42" s="68" t="s">
        <v>1</v>
      </c>
      <c r="I42" s="68" t="s">
        <v>1</v>
      </c>
      <c r="J42" s="68" t="s">
        <v>1</v>
      </c>
      <c r="K42" s="68" t="s">
        <v>1</v>
      </c>
      <c r="L42" s="27" t="str">
        <f t="shared" si="31"/>
        <v>Materialidade</v>
      </c>
      <c r="M42" s="27" t="str">
        <f t="shared" si="32"/>
        <v>Materiais Processados</v>
      </c>
      <c r="N42" s="27" t="str">
        <f t="shared" si="33"/>
        <v>Cerâmicas Vermelhas</v>
      </c>
      <c r="O42" s="27" t="str">
        <f t="shared" si="0"/>
        <v>Telha</v>
      </c>
      <c r="P42" s="28" t="s">
        <v>289</v>
      </c>
      <c r="Q42" s="31" t="str">
        <f t="shared" si="8"/>
        <v>Azulejos</v>
      </c>
      <c r="R42" s="29" t="s">
        <v>1</v>
      </c>
      <c r="S42" s="30" t="str">
        <f t="shared" si="34"/>
        <v>Materialidade</v>
      </c>
      <c r="T42" s="30" t="str">
        <f t="shared" si="35"/>
        <v>Materiais Processados</v>
      </c>
      <c r="U42" s="30" t="str">
        <f t="shared" si="36"/>
        <v>Cerâmicas Vermelhas</v>
      </c>
      <c r="V42" s="30" t="str">
        <f t="shared" si="37"/>
        <v>Materialidade</v>
      </c>
      <c r="W42" s="18" t="str">
        <f t="shared" si="13"/>
        <v>K.Mat.42</v>
      </c>
      <c r="X42" s="28" t="s">
        <v>107</v>
      </c>
      <c r="Y42" s="28" t="s">
        <v>108</v>
      </c>
      <c r="Z42" s="78" t="s">
        <v>140</v>
      </c>
      <c r="AA42" s="28" t="str">
        <f t="shared" si="14"/>
        <v>Tile</v>
      </c>
    </row>
    <row r="43" spans="1:27" s="35" customFormat="1" ht="7.3" customHeight="1" x14ac:dyDescent="0.2">
      <c r="A43" s="26">
        <v>43</v>
      </c>
      <c r="B43" s="71" t="s">
        <v>74</v>
      </c>
      <c r="C43" s="69" t="s">
        <v>106</v>
      </c>
      <c r="D43" s="76" t="s">
        <v>523</v>
      </c>
      <c r="E43" s="76" t="s">
        <v>285</v>
      </c>
      <c r="F43" s="69" t="s">
        <v>290</v>
      </c>
      <c r="G43" s="68" t="s">
        <v>1</v>
      </c>
      <c r="H43" s="68" t="s">
        <v>1</v>
      </c>
      <c r="I43" s="68" t="s">
        <v>1</v>
      </c>
      <c r="J43" s="68" t="s">
        <v>1</v>
      </c>
      <c r="K43" s="68" t="s">
        <v>1</v>
      </c>
      <c r="L43" s="27" t="str">
        <f t="shared" si="31"/>
        <v>Materialidade</v>
      </c>
      <c r="M43" s="27" t="str">
        <f t="shared" si="32"/>
        <v>Materiais Processados</v>
      </c>
      <c r="N43" s="27" t="str">
        <f t="shared" si="33"/>
        <v>Cerâmicas Vermelhas</v>
      </c>
      <c r="O43" s="27" t="str">
        <f t="shared" si="0"/>
        <v>Bloco Cerâmico</v>
      </c>
      <c r="P43" s="28" t="s">
        <v>301</v>
      </c>
      <c r="Q43" s="31" t="str">
        <f t="shared" si="8"/>
        <v>Bloque cerámico</v>
      </c>
      <c r="R43" s="29" t="s">
        <v>1</v>
      </c>
      <c r="S43" s="30" t="str">
        <f t="shared" si="34"/>
        <v>Materialidade</v>
      </c>
      <c r="T43" s="30" t="str">
        <f t="shared" si="35"/>
        <v>Materiais Processados</v>
      </c>
      <c r="U43" s="30" t="str">
        <f t="shared" si="36"/>
        <v>Cerâmicas Vermelhas</v>
      </c>
      <c r="V43" s="30" t="str">
        <f t="shared" si="37"/>
        <v>Materialidade</v>
      </c>
      <c r="W43" s="18" t="str">
        <f t="shared" si="13"/>
        <v>K.Mat.43</v>
      </c>
      <c r="X43" s="28" t="s">
        <v>107</v>
      </c>
      <c r="Y43" s="28" t="s">
        <v>108</v>
      </c>
      <c r="Z43" s="78" t="s">
        <v>140</v>
      </c>
      <c r="AA43" s="28" t="str">
        <f t="shared" si="14"/>
        <v>Ceramic Block</v>
      </c>
    </row>
    <row r="44" spans="1:27" s="35" customFormat="1" ht="7.3" customHeight="1" x14ac:dyDescent="0.2">
      <c r="A44" s="26">
        <v>44</v>
      </c>
      <c r="B44" s="71" t="s">
        <v>74</v>
      </c>
      <c r="C44" s="69" t="s">
        <v>106</v>
      </c>
      <c r="D44" s="76" t="s">
        <v>523</v>
      </c>
      <c r="E44" s="76" t="s">
        <v>285</v>
      </c>
      <c r="F44" s="69" t="s">
        <v>291</v>
      </c>
      <c r="G44" s="68" t="s">
        <v>1</v>
      </c>
      <c r="H44" s="68" t="s">
        <v>1</v>
      </c>
      <c r="I44" s="68" t="s">
        <v>1</v>
      </c>
      <c r="J44" s="68" t="s">
        <v>1</v>
      </c>
      <c r="K44" s="68" t="s">
        <v>1</v>
      </c>
      <c r="L44" s="27" t="str">
        <f t="shared" si="31"/>
        <v>Materialidade</v>
      </c>
      <c r="M44" s="27" t="str">
        <f t="shared" si="32"/>
        <v>Materiais Processados</v>
      </c>
      <c r="N44" s="27" t="str">
        <f t="shared" si="33"/>
        <v>Cerâmicas Vermelhas</v>
      </c>
      <c r="O44" s="27" t="str">
        <f t="shared" si="0"/>
        <v>Tubo Cerâmico</v>
      </c>
      <c r="P44" s="28" t="s">
        <v>302</v>
      </c>
      <c r="Q44" s="31" t="str">
        <f t="shared" si="8"/>
        <v>Tubo cerámico</v>
      </c>
      <c r="R44" s="29" t="s">
        <v>1</v>
      </c>
      <c r="S44" s="30" t="str">
        <f t="shared" si="34"/>
        <v>Materialidade</v>
      </c>
      <c r="T44" s="30" t="str">
        <f t="shared" si="35"/>
        <v>Materiais Processados</v>
      </c>
      <c r="U44" s="30" t="str">
        <f t="shared" si="36"/>
        <v>Cerâmicas Vermelhas</v>
      </c>
      <c r="V44" s="30" t="str">
        <f t="shared" si="37"/>
        <v>Materialidade</v>
      </c>
      <c r="W44" s="18" t="str">
        <f t="shared" si="13"/>
        <v>K.Mat.44</v>
      </c>
      <c r="X44" s="28" t="s">
        <v>107</v>
      </c>
      <c r="Y44" s="28" t="s">
        <v>108</v>
      </c>
      <c r="Z44" s="78" t="s">
        <v>140</v>
      </c>
      <c r="AA44" s="28" t="str">
        <f t="shared" si="14"/>
        <v>Ceramic Tube</v>
      </c>
    </row>
    <row r="45" spans="1:27" s="35" customFormat="1" ht="7.3" customHeight="1" x14ac:dyDescent="0.2">
      <c r="A45" s="26">
        <v>45</v>
      </c>
      <c r="B45" s="71" t="s">
        <v>74</v>
      </c>
      <c r="C45" s="69" t="s">
        <v>106</v>
      </c>
      <c r="D45" s="76" t="s">
        <v>523</v>
      </c>
      <c r="E45" s="76" t="s">
        <v>286</v>
      </c>
      <c r="F45" s="69" t="s">
        <v>297</v>
      </c>
      <c r="G45" s="68" t="s">
        <v>1</v>
      </c>
      <c r="H45" s="68" t="s">
        <v>1</v>
      </c>
      <c r="I45" s="68" t="s">
        <v>1</v>
      </c>
      <c r="J45" s="68" t="s">
        <v>1</v>
      </c>
      <c r="K45" s="68" t="s">
        <v>1</v>
      </c>
      <c r="L45" s="27" t="str">
        <f t="shared" si="31"/>
        <v>Materialidade</v>
      </c>
      <c r="M45" s="27" t="str">
        <f t="shared" si="32"/>
        <v>Materiais Processados</v>
      </c>
      <c r="N45" s="27" t="str">
        <f t="shared" si="33"/>
        <v>Cerâmicas Brancas</v>
      </c>
      <c r="O45" s="27" t="str">
        <f t="shared" si="0"/>
        <v>Peça de Porcelana</v>
      </c>
      <c r="P45" s="28" t="s">
        <v>303</v>
      </c>
      <c r="Q45" s="31" t="str">
        <f t="shared" si="8"/>
        <v>Pieza de porcelana</v>
      </c>
      <c r="R45" s="29" t="s">
        <v>1</v>
      </c>
      <c r="S45" s="30" t="str">
        <f t="shared" si="34"/>
        <v>Materialidade</v>
      </c>
      <c r="T45" s="30" t="str">
        <f t="shared" si="35"/>
        <v>Materiais Processados</v>
      </c>
      <c r="U45" s="30" t="str">
        <f t="shared" si="36"/>
        <v>Cerâmicas Brancas</v>
      </c>
      <c r="V45" s="30" t="str">
        <f t="shared" si="37"/>
        <v>Materialidade</v>
      </c>
      <c r="W45" s="18" t="str">
        <f t="shared" si="13"/>
        <v>K.Mat.45</v>
      </c>
      <c r="X45" s="28" t="s">
        <v>107</v>
      </c>
      <c r="Y45" s="28" t="s">
        <v>108</v>
      </c>
      <c r="Z45" s="78" t="s">
        <v>142</v>
      </c>
      <c r="AA45" s="28" t="str">
        <f t="shared" si="14"/>
        <v>Porcelain Piece</v>
      </c>
    </row>
    <row r="46" spans="1:27" s="35" customFormat="1" ht="7.3" customHeight="1" x14ac:dyDescent="0.2">
      <c r="A46" s="26">
        <v>46</v>
      </c>
      <c r="B46" s="71" t="s">
        <v>74</v>
      </c>
      <c r="C46" s="69" t="s">
        <v>106</v>
      </c>
      <c r="D46" s="76" t="s">
        <v>523</v>
      </c>
      <c r="E46" s="76" t="s">
        <v>286</v>
      </c>
      <c r="F46" s="69" t="s">
        <v>298</v>
      </c>
      <c r="G46" s="68" t="s">
        <v>1</v>
      </c>
      <c r="H46" s="68" t="s">
        <v>1</v>
      </c>
      <c r="I46" s="68" t="s">
        <v>1</v>
      </c>
      <c r="J46" s="68" t="s">
        <v>1</v>
      </c>
      <c r="K46" s="68" t="s">
        <v>1</v>
      </c>
      <c r="L46" s="27" t="str">
        <f t="shared" si="31"/>
        <v>Materialidade</v>
      </c>
      <c r="M46" s="27" t="str">
        <f t="shared" si="32"/>
        <v>Materiais Processados</v>
      </c>
      <c r="N46" s="27" t="str">
        <f t="shared" si="33"/>
        <v>Cerâmicas Brancas</v>
      </c>
      <c r="O46" s="27" t="str">
        <f t="shared" si="0"/>
        <v>Peça Sanitária</v>
      </c>
      <c r="P46" s="28" t="s">
        <v>304</v>
      </c>
      <c r="Q46" s="31" t="str">
        <f t="shared" si="8"/>
        <v>Parte sanitaria</v>
      </c>
      <c r="R46" s="29" t="s">
        <v>1</v>
      </c>
      <c r="S46" s="30" t="str">
        <f t="shared" si="34"/>
        <v>Materialidade</v>
      </c>
      <c r="T46" s="30" t="str">
        <f t="shared" si="35"/>
        <v>Materiais Processados</v>
      </c>
      <c r="U46" s="30" t="str">
        <f t="shared" si="36"/>
        <v>Cerâmicas Brancas</v>
      </c>
      <c r="V46" s="30" t="str">
        <f t="shared" si="37"/>
        <v>Materialidade</v>
      </c>
      <c r="W46" s="18" t="str">
        <f t="shared" si="13"/>
        <v>K.Mat.46</v>
      </c>
      <c r="X46" s="28" t="s">
        <v>107</v>
      </c>
      <c r="Y46" s="28" t="s">
        <v>108</v>
      </c>
      <c r="Z46" s="78" t="s">
        <v>143</v>
      </c>
      <c r="AA46" s="28" t="str">
        <f t="shared" si="14"/>
        <v>Sanitary Part</v>
      </c>
    </row>
    <row r="47" spans="1:27" s="35" customFormat="1" ht="7.3" customHeight="1" x14ac:dyDescent="0.2">
      <c r="A47" s="26">
        <v>47</v>
      </c>
      <c r="B47" s="71" t="s">
        <v>74</v>
      </c>
      <c r="C47" s="69" t="s">
        <v>106</v>
      </c>
      <c r="D47" s="76" t="s">
        <v>523</v>
      </c>
      <c r="E47" s="76" t="s">
        <v>286</v>
      </c>
      <c r="F47" s="69" t="s">
        <v>299</v>
      </c>
      <c r="G47" s="68" t="s">
        <v>1</v>
      </c>
      <c r="H47" s="68" t="s">
        <v>1</v>
      </c>
      <c r="I47" s="68" t="s">
        <v>1</v>
      </c>
      <c r="J47" s="68" t="s">
        <v>1</v>
      </c>
      <c r="K47" s="68" t="s">
        <v>1</v>
      </c>
      <c r="L47" s="27" t="str">
        <f t="shared" si="31"/>
        <v>Materialidade</v>
      </c>
      <c r="M47" s="27" t="str">
        <f t="shared" si="32"/>
        <v>Materiais Processados</v>
      </c>
      <c r="N47" s="27" t="str">
        <f t="shared" si="33"/>
        <v>Cerâmicas Brancas</v>
      </c>
      <c r="O47" s="27" t="str">
        <f t="shared" si="0"/>
        <v>Peça Acabamento</v>
      </c>
      <c r="P47" s="28" t="s">
        <v>305</v>
      </c>
      <c r="Q47" s="31" t="str">
        <f t="shared" si="8"/>
        <v>Parte de Finalización</v>
      </c>
      <c r="R47" s="29" t="s">
        <v>1</v>
      </c>
      <c r="S47" s="30" t="str">
        <f t="shared" si="34"/>
        <v>Materialidade</v>
      </c>
      <c r="T47" s="30" t="str">
        <f t="shared" si="35"/>
        <v>Materiais Processados</v>
      </c>
      <c r="U47" s="30" t="str">
        <f t="shared" si="36"/>
        <v>Cerâmicas Brancas</v>
      </c>
      <c r="V47" s="30" t="str">
        <f t="shared" si="37"/>
        <v>Materialidade</v>
      </c>
      <c r="W47" s="18" t="str">
        <f t="shared" si="13"/>
        <v>K.Mat.47</v>
      </c>
      <c r="X47" s="28" t="s">
        <v>107</v>
      </c>
      <c r="Y47" s="28" t="s">
        <v>108</v>
      </c>
      <c r="Z47" s="78" t="s">
        <v>140</v>
      </c>
      <c r="AA47" s="28" t="str">
        <f t="shared" si="14"/>
        <v>Finishing Part</v>
      </c>
    </row>
    <row r="48" spans="1:27" s="35" customFormat="1" ht="7.3" customHeight="1" x14ac:dyDescent="0.2">
      <c r="A48" s="26">
        <v>48</v>
      </c>
      <c r="B48" s="71" t="s">
        <v>74</v>
      </c>
      <c r="C48" s="69" t="s">
        <v>106</v>
      </c>
      <c r="D48" s="76" t="s">
        <v>523</v>
      </c>
      <c r="E48" s="76" t="s">
        <v>286</v>
      </c>
      <c r="F48" s="69" t="s">
        <v>292</v>
      </c>
      <c r="G48" s="68" t="s">
        <v>1</v>
      </c>
      <c r="H48" s="68" t="s">
        <v>1</v>
      </c>
      <c r="I48" s="68" t="s">
        <v>1</v>
      </c>
      <c r="J48" s="68" t="s">
        <v>1</v>
      </c>
      <c r="K48" s="68" t="s">
        <v>1</v>
      </c>
      <c r="L48" s="27" t="str">
        <f t="shared" si="31"/>
        <v>Materialidade</v>
      </c>
      <c r="M48" s="27" t="str">
        <f t="shared" si="32"/>
        <v>Materiais Processados</v>
      </c>
      <c r="N48" s="27" t="str">
        <f t="shared" si="33"/>
        <v>Cerâmicas Brancas</v>
      </c>
      <c r="O48" s="27" t="str">
        <f t="shared" si="0"/>
        <v>Peça Revestimento</v>
      </c>
      <c r="P48" s="28" t="s">
        <v>306</v>
      </c>
      <c r="Q48" s="31" t="str">
        <f t="shared" si="8"/>
        <v>Recubrimiento de piezas</v>
      </c>
      <c r="R48" s="29" t="s">
        <v>1</v>
      </c>
      <c r="S48" s="30" t="str">
        <f t="shared" si="34"/>
        <v>Materialidade</v>
      </c>
      <c r="T48" s="30" t="str">
        <f t="shared" si="35"/>
        <v>Materiais Processados</v>
      </c>
      <c r="U48" s="30" t="str">
        <f t="shared" si="36"/>
        <v>Cerâmicas Brancas</v>
      </c>
      <c r="V48" s="30" t="str">
        <f t="shared" si="37"/>
        <v>Materialidade</v>
      </c>
      <c r="W48" s="18" t="str">
        <f t="shared" si="13"/>
        <v>K.Mat.48</v>
      </c>
      <c r="X48" s="28" t="s">
        <v>107</v>
      </c>
      <c r="Y48" s="28" t="s">
        <v>108</v>
      </c>
      <c r="Z48" s="78" t="s">
        <v>140</v>
      </c>
      <c r="AA48" s="28" t="str">
        <f t="shared" si="14"/>
        <v>Piece Coating</v>
      </c>
    </row>
    <row r="49" spans="1:27" s="35" customFormat="1" ht="7.3" customHeight="1" x14ac:dyDescent="0.2">
      <c r="A49" s="26">
        <v>49</v>
      </c>
      <c r="B49" s="71" t="s">
        <v>74</v>
      </c>
      <c r="C49" s="69" t="s">
        <v>106</v>
      </c>
      <c r="D49" s="76" t="s">
        <v>523</v>
      </c>
      <c r="E49" s="76" t="s">
        <v>286</v>
      </c>
      <c r="F49" s="69" t="s">
        <v>293</v>
      </c>
      <c r="G49" s="68" t="s">
        <v>1</v>
      </c>
      <c r="H49" s="68" t="s">
        <v>1</v>
      </c>
      <c r="I49" s="68" t="s">
        <v>1</v>
      </c>
      <c r="J49" s="68" t="s">
        <v>1</v>
      </c>
      <c r="K49" s="68" t="s">
        <v>1</v>
      </c>
      <c r="L49" s="27" t="str">
        <f t="shared" si="31"/>
        <v>Materialidade</v>
      </c>
      <c r="M49" s="27" t="str">
        <f t="shared" si="32"/>
        <v>Materiais Processados</v>
      </c>
      <c r="N49" s="27" t="str">
        <f t="shared" si="33"/>
        <v>Cerâmicas Brancas</v>
      </c>
      <c r="O49" s="27" t="str">
        <f t="shared" si="0"/>
        <v>Peça Decorativa</v>
      </c>
      <c r="P49" s="28" t="s">
        <v>307</v>
      </c>
      <c r="Q49" s="31" t="str">
        <f t="shared" si="8"/>
        <v>Pieza decorativa</v>
      </c>
      <c r="R49" s="29" t="s">
        <v>1</v>
      </c>
      <c r="S49" s="30" t="str">
        <f t="shared" si="34"/>
        <v>Materialidade</v>
      </c>
      <c r="T49" s="30" t="str">
        <f t="shared" si="35"/>
        <v>Materiais Processados</v>
      </c>
      <c r="U49" s="30" t="str">
        <f t="shared" si="36"/>
        <v>Cerâmicas Brancas</v>
      </c>
      <c r="V49" s="30" t="str">
        <f t="shared" si="37"/>
        <v>Materialidade</v>
      </c>
      <c r="W49" s="18" t="str">
        <f t="shared" si="13"/>
        <v>K.Mat.49</v>
      </c>
      <c r="X49" s="28" t="s">
        <v>107</v>
      </c>
      <c r="Y49" s="28" t="s">
        <v>108</v>
      </c>
      <c r="Z49" s="78" t="s">
        <v>140</v>
      </c>
      <c r="AA49" s="28" t="str">
        <f t="shared" si="14"/>
        <v>Decorative Piece</v>
      </c>
    </row>
    <row r="50" spans="1:27" s="35" customFormat="1" ht="7.3" customHeight="1" x14ac:dyDescent="0.2">
      <c r="A50" s="26">
        <v>50</v>
      </c>
      <c r="B50" s="71" t="s">
        <v>74</v>
      </c>
      <c r="C50" s="69" t="s">
        <v>106</v>
      </c>
      <c r="D50" s="76" t="s">
        <v>523</v>
      </c>
      <c r="E50" s="76" t="s">
        <v>287</v>
      </c>
      <c r="F50" s="69" t="s">
        <v>300</v>
      </c>
      <c r="G50" s="68" t="s">
        <v>1</v>
      </c>
      <c r="H50" s="68" t="s">
        <v>1</v>
      </c>
      <c r="I50" s="68" t="s">
        <v>1</v>
      </c>
      <c r="J50" s="68" t="s">
        <v>1</v>
      </c>
      <c r="K50" s="68" t="s">
        <v>1</v>
      </c>
      <c r="L50" s="27" t="str">
        <f t="shared" si="31"/>
        <v>Materialidade</v>
      </c>
      <c r="M50" s="27" t="str">
        <f t="shared" si="32"/>
        <v>Materiais Processados</v>
      </c>
      <c r="N50" s="27" t="str">
        <f t="shared" si="33"/>
        <v>Cerâmicas Técnicas</v>
      </c>
      <c r="O50" s="27" t="str">
        <f t="shared" si="0"/>
        <v>Peça Refratária</v>
      </c>
      <c r="P50" s="28" t="s">
        <v>308</v>
      </c>
      <c r="Q50" s="31" t="str">
        <f t="shared" si="8"/>
        <v>Parte refractaria</v>
      </c>
      <c r="R50" s="29" t="s">
        <v>1</v>
      </c>
      <c r="S50" s="30" t="str">
        <f t="shared" si="34"/>
        <v>Materialidade</v>
      </c>
      <c r="T50" s="30" t="str">
        <f t="shared" si="35"/>
        <v>Materiais Processados</v>
      </c>
      <c r="U50" s="30" t="str">
        <f t="shared" si="36"/>
        <v>Cerâmicas Técnicas</v>
      </c>
      <c r="V50" s="30" t="str">
        <f t="shared" si="37"/>
        <v>Materialidade</v>
      </c>
      <c r="W50" s="18" t="str">
        <f t="shared" si="13"/>
        <v>K.Mat.50</v>
      </c>
      <c r="X50" s="28" t="s">
        <v>107</v>
      </c>
      <c r="Y50" s="28" t="s">
        <v>108</v>
      </c>
      <c r="Z50" s="78" t="s">
        <v>140</v>
      </c>
      <c r="AA50" s="28" t="str">
        <f t="shared" si="14"/>
        <v>Refractory Part</v>
      </c>
    </row>
    <row r="51" spans="1:27" s="35" customFormat="1" ht="7.3" customHeight="1" x14ac:dyDescent="0.2">
      <c r="A51" s="26">
        <v>51</v>
      </c>
      <c r="B51" s="71" t="s">
        <v>74</v>
      </c>
      <c r="C51" s="69" t="s">
        <v>106</v>
      </c>
      <c r="D51" s="76" t="s">
        <v>523</v>
      </c>
      <c r="E51" s="76" t="s">
        <v>287</v>
      </c>
      <c r="F51" s="69" t="s">
        <v>294</v>
      </c>
      <c r="G51" s="68" t="s">
        <v>1</v>
      </c>
      <c r="H51" s="68" t="s">
        <v>1</v>
      </c>
      <c r="I51" s="68" t="s">
        <v>1</v>
      </c>
      <c r="J51" s="68" t="s">
        <v>1</v>
      </c>
      <c r="K51" s="68" t="s">
        <v>1</v>
      </c>
      <c r="L51" s="27" t="str">
        <f t="shared" si="31"/>
        <v>Materialidade</v>
      </c>
      <c r="M51" s="27" t="str">
        <f t="shared" si="32"/>
        <v>Materiais Processados</v>
      </c>
      <c r="N51" s="27" t="str">
        <f t="shared" si="33"/>
        <v>Cerâmicas Técnicas</v>
      </c>
      <c r="O51" s="27" t="str">
        <f t="shared" si="0"/>
        <v>Peça Isolante</v>
      </c>
      <c r="P51" s="28" t="s">
        <v>309</v>
      </c>
      <c r="Q51" s="31" t="str">
        <f t="shared" si="8"/>
        <v>Parte aislante</v>
      </c>
      <c r="R51" s="29" t="s">
        <v>1</v>
      </c>
      <c r="S51" s="30" t="str">
        <f t="shared" si="34"/>
        <v>Materialidade</v>
      </c>
      <c r="T51" s="30" t="str">
        <f t="shared" si="35"/>
        <v>Materiais Processados</v>
      </c>
      <c r="U51" s="30" t="str">
        <f t="shared" si="36"/>
        <v>Cerâmicas Técnicas</v>
      </c>
      <c r="V51" s="30" t="str">
        <f t="shared" si="37"/>
        <v>Materialidade</v>
      </c>
      <c r="W51" s="18" t="str">
        <f t="shared" si="13"/>
        <v>K.Mat.51</v>
      </c>
      <c r="X51" s="28" t="s">
        <v>107</v>
      </c>
      <c r="Y51" s="28" t="s">
        <v>108</v>
      </c>
      <c r="Z51" s="78" t="s">
        <v>140</v>
      </c>
      <c r="AA51" s="28" t="str">
        <f t="shared" si="14"/>
        <v>Insulating Part</v>
      </c>
    </row>
    <row r="52" spans="1:27" s="35" customFormat="1" ht="7.3" customHeight="1" x14ac:dyDescent="0.2">
      <c r="A52" s="26">
        <v>52</v>
      </c>
      <c r="B52" s="71" t="s">
        <v>74</v>
      </c>
      <c r="C52" s="69" t="s">
        <v>106</v>
      </c>
      <c r="D52" s="76" t="s">
        <v>523</v>
      </c>
      <c r="E52" s="76" t="s">
        <v>287</v>
      </c>
      <c r="F52" s="69" t="s">
        <v>295</v>
      </c>
      <c r="G52" s="68" t="s">
        <v>1</v>
      </c>
      <c r="H52" s="68" t="s">
        <v>1</v>
      </c>
      <c r="I52" s="68" t="s">
        <v>1</v>
      </c>
      <c r="J52" s="68" t="s">
        <v>1</v>
      </c>
      <c r="K52" s="68" t="s">
        <v>1</v>
      </c>
      <c r="L52" s="27" t="str">
        <f t="shared" si="31"/>
        <v>Materialidade</v>
      </c>
      <c r="M52" s="27" t="str">
        <f t="shared" si="32"/>
        <v>Materiais Processados</v>
      </c>
      <c r="N52" s="27" t="str">
        <f t="shared" si="33"/>
        <v>Cerâmicas Técnicas</v>
      </c>
      <c r="O52" s="27" t="str">
        <f t="shared" si="0"/>
        <v>Peça Eletrônica</v>
      </c>
      <c r="P52" s="28" t="s">
        <v>310</v>
      </c>
      <c r="Q52" s="31" t="str">
        <f t="shared" si="8"/>
        <v>Parte electrónica</v>
      </c>
      <c r="R52" s="29" t="s">
        <v>1</v>
      </c>
      <c r="S52" s="30" t="str">
        <f t="shared" si="34"/>
        <v>Materialidade</v>
      </c>
      <c r="T52" s="30" t="str">
        <f t="shared" si="35"/>
        <v>Materiais Processados</v>
      </c>
      <c r="U52" s="30" t="str">
        <f t="shared" si="36"/>
        <v>Cerâmicas Técnicas</v>
      </c>
      <c r="V52" s="30" t="str">
        <f t="shared" si="37"/>
        <v>Materialidade</v>
      </c>
      <c r="W52" s="18" t="str">
        <f t="shared" si="13"/>
        <v>K.Mat.52</v>
      </c>
      <c r="X52" s="28" t="s">
        <v>107</v>
      </c>
      <c r="Y52" s="28" t="s">
        <v>108</v>
      </c>
      <c r="Z52" s="78" t="s">
        <v>140</v>
      </c>
      <c r="AA52" s="28" t="str">
        <f t="shared" si="14"/>
        <v>Electronic Part</v>
      </c>
    </row>
    <row r="53" spans="1:27" s="35" customFormat="1" ht="7.3" customHeight="1" x14ac:dyDescent="0.2">
      <c r="A53" s="26">
        <v>53</v>
      </c>
      <c r="B53" s="71" t="s">
        <v>74</v>
      </c>
      <c r="C53" s="69" t="s">
        <v>106</v>
      </c>
      <c r="D53" s="76" t="s">
        <v>523</v>
      </c>
      <c r="E53" s="76" t="s">
        <v>287</v>
      </c>
      <c r="F53" s="69" t="s">
        <v>296</v>
      </c>
      <c r="G53" s="68" t="s">
        <v>1</v>
      </c>
      <c r="H53" s="68" t="s">
        <v>1</v>
      </c>
      <c r="I53" s="68" t="s">
        <v>1</v>
      </c>
      <c r="J53" s="68" t="s">
        <v>1</v>
      </c>
      <c r="K53" s="68" t="s">
        <v>1</v>
      </c>
      <c r="L53" s="27" t="str">
        <f t="shared" si="31"/>
        <v>Materialidade</v>
      </c>
      <c r="M53" s="27" t="str">
        <f t="shared" si="32"/>
        <v>Materiais Processados</v>
      </c>
      <c r="N53" s="27" t="str">
        <f t="shared" si="33"/>
        <v>Cerâmicas Técnicas</v>
      </c>
      <c r="O53" s="27" t="str">
        <f t="shared" si="0"/>
        <v>Peça Biomédica</v>
      </c>
      <c r="P53" s="28" t="s">
        <v>311</v>
      </c>
      <c r="Q53" s="31" t="str">
        <f t="shared" si="8"/>
        <v>Parte biomédica</v>
      </c>
      <c r="R53" s="29" t="s">
        <v>1</v>
      </c>
      <c r="S53" s="30" t="str">
        <f t="shared" si="34"/>
        <v>Materialidade</v>
      </c>
      <c r="T53" s="30" t="str">
        <f t="shared" si="35"/>
        <v>Materiais Processados</v>
      </c>
      <c r="U53" s="30" t="str">
        <f t="shared" si="36"/>
        <v>Cerâmicas Técnicas</v>
      </c>
      <c r="V53" s="30" t="str">
        <f t="shared" si="37"/>
        <v>Materialidade</v>
      </c>
      <c r="W53" s="18" t="str">
        <f t="shared" si="13"/>
        <v>K.Mat.53</v>
      </c>
      <c r="X53" s="28" t="s">
        <v>107</v>
      </c>
      <c r="Y53" s="28" t="s">
        <v>108</v>
      </c>
      <c r="Z53" s="78" t="s">
        <v>140</v>
      </c>
      <c r="AA53" s="28" t="str">
        <f t="shared" si="14"/>
        <v>Biomedical Part</v>
      </c>
    </row>
    <row r="54" spans="1:27" s="75" customFormat="1" ht="7.3" customHeight="1" x14ac:dyDescent="0.2">
      <c r="A54" s="26">
        <v>54</v>
      </c>
      <c r="B54" s="71" t="s">
        <v>74</v>
      </c>
      <c r="C54" s="69" t="s">
        <v>106</v>
      </c>
      <c r="D54" s="76" t="s">
        <v>523</v>
      </c>
      <c r="E54" s="72" t="s">
        <v>381</v>
      </c>
      <c r="F54" s="69" t="s">
        <v>343</v>
      </c>
      <c r="G54" s="68" t="s">
        <v>1</v>
      </c>
      <c r="H54" s="68" t="s">
        <v>1</v>
      </c>
      <c r="I54" s="68" t="s">
        <v>1</v>
      </c>
      <c r="J54" s="68" t="s">
        <v>1</v>
      </c>
      <c r="K54" s="68" t="s">
        <v>1</v>
      </c>
      <c r="L54" s="27" t="str">
        <f t="shared" ref="L54:L56" si="38">SUBSTITUTE(CONCATENATE("", C54), ".", " ")</f>
        <v>Materialidade</v>
      </c>
      <c r="M54" s="27" t="str">
        <f t="shared" ref="M54:M56" si="39">SUBSTITUTE(CONCATENATE("", D54), ".", " ")</f>
        <v>Materiais Processados</v>
      </c>
      <c r="N54" s="27" t="str">
        <f t="shared" ref="N54:N56" si="40">SUBSTITUTE(CONCATENATE("", E54), ".", " ")</f>
        <v>Borrachas Derivadas</v>
      </c>
      <c r="O54" s="27" t="str">
        <f t="shared" ref="O54:O56" si="41">SUBSTITUTE(CONCATENATE("", F54), ".", " ")</f>
        <v>Borracha DPNR</v>
      </c>
      <c r="P54" s="77" t="s">
        <v>325</v>
      </c>
      <c r="Q54" s="31" t="str">
        <f t="shared" si="8"/>
        <v>Caucho natural desproteicado</v>
      </c>
      <c r="R54" s="29" t="s">
        <v>1</v>
      </c>
      <c r="S54" s="30" t="str">
        <f t="shared" ref="S54:S67" si="42">SUBSTITUTE(C54, ".", " ")</f>
        <v>Materialidade</v>
      </c>
      <c r="T54" s="30" t="str">
        <f t="shared" ref="T54:T67" si="43">SUBSTITUTE(D54, ".", " ")</f>
        <v>Materiais Processados</v>
      </c>
      <c r="U54" s="30" t="str">
        <f t="shared" ref="U54:U67" si="44">SUBSTITUTE(E54, ".", " ")</f>
        <v>Borrachas Derivadas</v>
      </c>
      <c r="V54" s="30" t="str">
        <f t="shared" ref="V54:V67" si="45">SUBSTITUTE(C54, ".", " ")</f>
        <v>Materialidade</v>
      </c>
      <c r="W54" s="18" t="str">
        <f t="shared" si="13"/>
        <v>K.Mat.54</v>
      </c>
      <c r="X54" s="28" t="s">
        <v>107</v>
      </c>
      <c r="Y54" s="28" t="s">
        <v>108</v>
      </c>
      <c r="Z54" s="78" t="s">
        <v>204</v>
      </c>
      <c r="AA54" s="28" t="str">
        <f t="shared" ref="AA54:AA67" si="46">_xlfn.TRANSLATE(P54,"pt","en")</f>
        <v>Deproteinated natural rubber</v>
      </c>
    </row>
    <row r="55" spans="1:27" s="75" customFormat="1" ht="7.3" customHeight="1" x14ac:dyDescent="0.2">
      <c r="A55" s="26">
        <v>55</v>
      </c>
      <c r="B55" s="71" t="s">
        <v>74</v>
      </c>
      <c r="C55" s="69" t="s">
        <v>106</v>
      </c>
      <c r="D55" s="76" t="s">
        <v>523</v>
      </c>
      <c r="E55" s="72" t="s">
        <v>381</v>
      </c>
      <c r="F55" s="69" t="s">
        <v>344</v>
      </c>
      <c r="G55" s="68" t="s">
        <v>1</v>
      </c>
      <c r="H55" s="68" t="s">
        <v>1</v>
      </c>
      <c r="I55" s="68" t="s">
        <v>1</v>
      </c>
      <c r="J55" s="68" t="s">
        <v>1</v>
      </c>
      <c r="K55" s="68" t="s">
        <v>1</v>
      </c>
      <c r="L55" s="27" t="str">
        <f t="shared" si="38"/>
        <v>Materialidade</v>
      </c>
      <c r="M55" s="27" t="str">
        <f t="shared" si="39"/>
        <v>Materiais Processados</v>
      </c>
      <c r="N55" s="27" t="str">
        <f t="shared" si="40"/>
        <v>Borrachas Derivadas</v>
      </c>
      <c r="O55" s="27" t="str">
        <f t="shared" si="41"/>
        <v>Borracha LNR</v>
      </c>
      <c r="P55" s="77" t="s">
        <v>326</v>
      </c>
      <c r="Q55" s="31" t="str">
        <f t="shared" si="8"/>
        <v>Caucho Natural Líquido</v>
      </c>
      <c r="R55" s="29" t="s">
        <v>1</v>
      </c>
      <c r="S55" s="30" t="str">
        <f t="shared" si="42"/>
        <v>Materialidade</v>
      </c>
      <c r="T55" s="30" t="str">
        <f t="shared" si="43"/>
        <v>Materiais Processados</v>
      </c>
      <c r="U55" s="30" t="str">
        <f t="shared" si="44"/>
        <v>Borrachas Derivadas</v>
      </c>
      <c r="V55" s="30" t="str">
        <f t="shared" si="45"/>
        <v>Materialidade</v>
      </c>
      <c r="W55" s="18" t="str">
        <f t="shared" si="13"/>
        <v>K.Mat.55</v>
      </c>
      <c r="X55" s="28" t="s">
        <v>107</v>
      </c>
      <c r="Y55" s="28" t="s">
        <v>108</v>
      </c>
      <c r="Z55" s="78" t="s">
        <v>204</v>
      </c>
      <c r="AA55" s="28" t="str">
        <f t="shared" si="46"/>
        <v>Liquid Natural Rubber</v>
      </c>
    </row>
    <row r="56" spans="1:27" s="75" customFormat="1" ht="7.3" customHeight="1" x14ac:dyDescent="0.2">
      <c r="A56" s="26">
        <v>56</v>
      </c>
      <c r="B56" s="71" t="s">
        <v>74</v>
      </c>
      <c r="C56" s="69" t="s">
        <v>106</v>
      </c>
      <c r="D56" s="76" t="s">
        <v>523</v>
      </c>
      <c r="E56" s="72" t="s">
        <v>381</v>
      </c>
      <c r="F56" s="69" t="s">
        <v>345</v>
      </c>
      <c r="G56" s="68" t="s">
        <v>1</v>
      </c>
      <c r="H56" s="68" t="s">
        <v>1</v>
      </c>
      <c r="I56" s="68" t="s">
        <v>1</v>
      </c>
      <c r="J56" s="68" t="s">
        <v>1</v>
      </c>
      <c r="K56" s="68" t="s">
        <v>1</v>
      </c>
      <c r="L56" s="27" t="str">
        <f t="shared" si="38"/>
        <v>Materialidade</v>
      </c>
      <c r="M56" s="27" t="str">
        <f t="shared" si="39"/>
        <v>Materiais Processados</v>
      </c>
      <c r="N56" s="27" t="str">
        <f t="shared" si="40"/>
        <v>Borrachas Derivadas</v>
      </c>
      <c r="O56" s="27" t="str">
        <f t="shared" si="41"/>
        <v>Borracha SP</v>
      </c>
      <c r="P56" s="77" t="s">
        <v>327</v>
      </c>
      <c r="Q56" s="31" t="str">
        <f t="shared" si="8"/>
        <v>Caucho natural de procesamiento superior</v>
      </c>
      <c r="R56" s="29" t="s">
        <v>1</v>
      </c>
      <c r="S56" s="30" t="str">
        <f t="shared" si="42"/>
        <v>Materialidade</v>
      </c>
      <c r="T56" s="30" t="str">
        <f t="shared" si="43"/>
        <v>Materiais Processados</v>
      </c>
      <c r="U56" s="30" t="str">
        <f t="shared" si="44"/>
        <v>Borrachas Derivadas</v>
      </c>
      <c r="V56" s="30" t="str">
        <f t="shared" si="45"/>
        <v>Materialidade</v>
      </c>
      <c r="W56" s="18" t="str">
        <f t="shared" si="13"/>
        <v>K.Mat.56</v>
      </c>
      <c r="X56" s="28" t="s">
        <v>107</v>
      </c>
      <c r="Y56" s="28" t="s">
        <v>108</v>
      </c>
      <c r="Z56" s="78" t="s">
        <v>204</v>
      </c>
      <c r="AA56" s="28" t="str">
        <f t="shared" si="46"/>
        <v>Superior processing natural rubber</v>
      </c>
    </row>
    <row r="57" spans="1:27" s="75" customFormat="1" ht="7.3" customHeight="1" x14ac:dyDescent="0.2">
      <c r="A57" s="26">
        <v>57</v>
      </c>
      <c r="B57" s="71" t="s">
        <v>74</v>
      </c>
      <c r="C57" s="69" t="s">
        <v>106</v>
      </c>
      <c r="D57" s="76" t="s">
        <v>523</v>
      </c>
      <c r="E57" s="72" t="s">
        <v>381</v>
      </c>
      <c r="F57" s="69" t="s">
        <v>346</v>
      </c>
      <c r="G57" s="68" t="s">
        <v>1</v>
      </c>
      <c r="H57" s="68" t="s">
        <v>1</v>
      </c>
      <c r="I57" s="68" t="s">
        <v>1</v>
      </c>
      <c r="J57" s="68" t="s">
        <v>1</v>
      </c>
      <c r="K57" s="68" t="s">
        <v>1</v>
      </c>
      <c r="L57" s="27" t="str">
        <f t="shared" si="31"/>
        <v>Materialidade</v>
      </c>
      <c r="M57" s="27" t="str">
        <f t="shared" si="32"/>
        <v>Materiais Processados</v>
      </c>
      <c r="N57" s="27" t="str">
        <f t="shared" si="33"/>
        <v>Borrachas Derivadas</v>
      </c>
      <c r="O57" s="27" t="str">
        <f t="shared" ref="O57:O67" si="47">SUBSTITUTE(CONCATENATE("", F57), ".", " ")</f>
        <v>Borracha CV</v>
      </c>
      <c r="P57" s="77" t="s">
        <v>328</v>
      </c>
      <c r="Q57" s="31" t="str">
        <f t="shared" si="8"/>
        <v>Caucho natural con viscosidad controlada</v>
      </c>
      <c r="R57" s="29" t="s">
        <v>1</v>
      </c>
      <c r="S57" s="30" t="str">
        <f t="shared" si="42"/>
        <v>Materialidade</v>
      </c>
      <c r="T57" s="30" t="str">
        <f t="shared" si="43"/>
        <v>Materiais Processados</v>
      </c>
      <c r="U57" s="30" t="str">
        <f t="shared" si="44"/>
        <v>Borrachas Derivadas</v>
      </c>
      <c r="V57" s="30" t="str">
        <f t="shared" si="45"/>
        <v>Materialidade</v>
      </c>
      <c r="W57" s="18" t="str">
        <f t="shared" si="13"/>
        <v>K.Mat.57</v>
      </c>
      <c r="X57" s="28" t="s">
        <v>107</v>
      </c>
      <c r="Y57" s="28" t="s">
        <v>108</v>
      </c>
      <c r="Z57" s="78" t="s">
        <v>204</v>
      </c>
      <c r="AA57" s="28" t="str">
        <f t="shared" si="46"/>
        <v>Controlled viscosity natural rubber</v>
      </c>
    </row>
    <row r="58" spans="1:27" s="75" customFormat="1" ht="7.3" customHeight="1" x14ac:dyDescent="0.2">
      <c r="A58" s="26">
        <v>58</v>
      </c>
      <c r="B58" s="71" t="s">
        <v>74</v>
      </c>
      <c r="C58" s="69" t="s">
        <v>106</v>
      </c>
      <c r="D58" s="76" t="s">
        <v>523</v>
      </c>
      <c r="E58" s="72" t="s">
        <v>381</v>
      </c>
      <c r="F58" s="69" t="s">
        <v>347</v>
      </c>
      <c r="G58" s="68" t="s">
        <v>1</v>
      </c>
      <c r="H58" s="68" t="s">
        <v>1</v>
      </c>
      <c r="I58" s="68" t="s">
        <v>1</v>
      </c>
      <c r="J58" s="68" t="s">
        <v>1</v>
      </c>
      <c r="K58" s="68" t="s">
        <v>1</v>
      </c>
      <c r="L58" s="27" t="str">
        <f t="shared" ref="L58:L60" si="48">SUBSTITUTE(CONCATENATE("", C58), ".", " ")</f>
        <v>Materialidade</v>
      </c>
      <c r="M58" s="27" t="str">
        <f t="shared" ref="M58:M60" si="49">SUBSTITUTE(CONCATENATE("", D58), ".", " ")</f>
        <v>Materiais Processados</v>
      </c>
      <c r="N58" s="27" t="str">
        <f t="shared" ref="N58:N60" si="50">SUBSTITUTE(CONCATENATE("", E58), ".", " ")</f>
        <v>Borrachas Derivadas</v>
      </c>
      <c r="O58" s="27" t="str">
        <f t="shared" ref="O58:O60" si="51">SUBSTITUTE(CONCATENATE("", F58), ".", " ")</f>
        <v>Borracha ENR</v>
      </c>
      <c r="P58" s="77" t="s">
        <v>329</v>
      </c>
      <c r="Q58" s="31" t="str">
        <f t="shared" si="8"/>
        <v>Caucho natural epooxidado</v>
      </c>
      <c r="R58" s="29" t="s">
        <v>1</v>
      </c>
      <c r="S58" s="30" t="str">
        <f t="shared" si="42"/>
        <v>Materialidade</v>
      </c>
      <c r="T58" s="30" t="str">
        <f t="shared" si="43"/>
        <v>Materiais Processados</v>
      </c>
      <c r="U58" s="30" t="str">
        <f t="shared" si="44"/>
        <v>Borrachas Derivadas</v>
      </c>
      <c r="V58" s="30" t="str">
        <f t="shared" si="45"/>
        <v>Materialidade</v>
      </c>
      <c r="W58" s="18" t="str">
        <f t="shared" si="13"/>
        <v>K.Mat.58</v>
      </c>
      <c r="X58" s="28" t="s">
        <v>107</v>
      </c>
      <c r="Y58" s="28" t="s">
        <v>108</v>
      </c>
      <c r="Z58" s="78" t="s">
        <v>204</v>
      </c>
      <c r="AA58" s="28" t="str">
        <f t="shared" si="46"/>
        <v>Epoxidized Natural Rubber</v>
      </c>
    </row>
    <row r="59" spans="1:27" s="75" customFormat="1" ht="7.3" customHeight="1" x14ac:dyDescent="0.2">
      <c r="A59" s="26">
        <v>59</v>
      </c>
      <c r="B59" s="71" t="s">
        <v>74</v>
      </c>
      <c r="C59" s="69" t="s">
        <v>106</v>
      </c>
      <c r="D59" s="76" t="s">
        <v>523</v>
      </c>
      <c r="E59" s="72" t="s">
        <v>381</v>
      </c>
      <c r="F59" s="69" t="s">
        <v>348</v>
      </c>
      <c r="G59" s="68" t="s">
        <v>1</v>
      </c>
      <c r="H59" s="68" t="s">
        <v>1</v>
      </c>
      <c r="I59" s="68" t="s">
        <v>1</v>
      </c>
      <c r="J59" s="68" t="s">
        <v>1</v>
      </c>
      <c r="K59" s="68" t="s">
        <v>1</v>
      </c>
      <c r="L59" s="27" t="str">
        <f t="shared" si="48"/>
        <v>Materialidade</v>
      </c>
      <c r="M59" s="27" t="str">
        <f t="shared" si="49"/>
        <v>Materiais Processados</v>
      </c>
      <c r="N59" s="27" t="str">
        <f t="shared" si="50"/>
        <v>Borrachas Derivadas</v>
      </c>
      <c r="O59" s="27" t="str">
        <f t="shared" si="51"/>
        <v>Borracha MGNR</v>
      </c>
      <c r="P59" s="77" t="s">
        <v>330</v>
      </c>
      <c r="Q59" s="31" t="str">
        <f t="shared" si="8"/>
        <v>Caucho natural injertado con metacrilato</v>
      </c>
      <c r="R59" s="29" t="s">
        <v>1</v>
      </c>
      <c r="S59" s="30" t="str">
        <f t="shared" si="42"/>
        <v>Materialidade</v>
      </c>
      <c r="T59" s="30" t="str">
        <f t="shared" si="43"/>
        <v>Materiais Processados</v>
      </c>
      <c r="U59" s="30" t="str">
        <f t="shared" si="44"/>
        <v>Borrachas Derivadas</v>
      </c>
      <c r="V59" s="30" t="str">
        <f t="shared" si="45"/>
        <v>Materialidade</v>
      </c>
      <c r="W59" s="18" t="str">
        <f t="shared" si="13"/>
        <v>K.Mat.59</v>
      </c>
      <c r="X59" s="28" t="s">
        <v>107</v>
      </c>
      <c r="Y59" s="28" t="s">
        <v>108</v>
      </c>
      <c r="Z59" s="78" t="s">
        <v>204</v>
      </c>
      <c r="AA59" s="28" t="str">
        <f t="shared" si="46"/>
        <v>Natural rubber grafted with methacrylate</v>
      </c>
    </row>
    <row r="60" spans="1:27" s="75" customFormat="1" ht="7.3" customHeight="1" x14ac:dyDescent="0.2">
      <c r="A60" s="26">
        <v>60</v>
      </c>
      <c r="B60" s="71" t="s">
        <v>74</v>
      </c>
      <c r="C60" s="69" t="s">
        <v>106</v>
      </c>
      <c r="D60" s="76" t="s">
        <v>523</v>
      </c>
      <c r="E60" s="72" t="s">
        <v>381</v>
      </c>
      <c r="F60" s="69" t="s">
        <v>349</v>
      </c>
      <c r="G60" s="68" t="s">
        <v>1</v>
      </c>
      <c r="H60" s="68" t="s">
        <v>1</v>
      </c>
      <c r="I60" s="68" t="s">
        <v>1</v>
      </c>
      <c r="J60" s="68" t="s">
        <v>1</v>
      </c>
      <c r="K60" s="68" t="s">
        <v>1</v>
      </c>
      <c r="L60" s="27" t="str">
        <f t="shared" si="48"/>
        <v>Materialidade</v>
      </c>
      <c r="M60" s="27" t="str">
        <f t="shared" si="49"/>
        <v>Materiais Processados</v>
      </c>
      <c r="N60" s="27" t="str">
        <f t="shared" si="50"/>
        <v>Borrachas Derivadas</v>
      </c>
      <c r="O60" s="27" t="str">
        <f t="shared" si="51"/>
        <v>Borracha OENR</v>
      </c>
      <c r="P60" s="77" t="s">
        <v>331</v>
      </c>
      <c r="Q60" s="31" t="str">
        <f t="shared" si="8"/>
        <v>Caucho natural extendido con aceite</v>
      </c>
      <c r="R60" s="29" t="s">
        <v>1</v>
      </c>
      <c r="S60" s="30" t="str">
        <f t="shared" si="42"/>
        <v>Materialidade</v>
      </c>
      <c r="T60" s="30" t="str">
        <f t="shared" si="43"/>
        <v>Materiais Processados</v>
      </c>
      <c r="U60" s="30" t="str">
        <f t="shared" si="44"/>
        <v>Borrachas Derivadas</v>
      </c>
      <c r="V60" s="30" t="str">
        <f t="shared" si="45"/>
        <v>Materialidade</v>
      </c>
      <c r="W60" s="18" t="str">
        <f t="shared" si="13"/>
        <v>K.Mat.60</v>
      </c>
      <c r="X60" s="28" t="s">
        <v>107</v>
      </c>
      <c r="Y60" s="28" t="s">
        <v>108</v>
      </c>
      <c r="Z60" s="78" t="s">
        <v>204</v>
      </c>
      <c r="AA60" s="28" t="str">
        <f t="shared" si="46"/>
        <v>Natural rubber extended with oil</v>
      </c>
    </row>
    <row r="61" spans="1:27" s="75" customFormat="1" ht="7.3" customHeight="1" x14ac:dyDescent="0.2">
      <c r="A61" s="26">
        <v>61</v>
      </c>
      <c r="B61" s="71" t="s">
        <v>74</v>
      </c>
      <c r="C61" s="69" t="s">
        <v>106</v>
      </c>
      <c r="D61" s="76" t="s">
        <v>523</v>
      </c>
      <c r="E61" s="72" t="s">
        <v>381</v>
      </c>
      <c r="F61" s="69" t="s">
        <v>350</v>
      </c>
      <c r="G61" s="68" t="s">
        <v>1</v>
      </c>
      <c r="H61" s="68" t="s">
        <v>1</v>
      </c>
      <c r="I61" s="68" t="s">
        <v>1</v>
      </c>
      <c r="J61" s="68" t="s">
        <v>1</v>
      </c>
      <c r="K61" s="68" t="s">
        <v>1</v>
      </c>
      <c r="L61" s="27" t="str">
        <f t="shared" si="31"/>
        <v>Materialidade</v>
      </c>
      <c r="M61" s="27" t="str">
        <f t="shared" si="32"/>
        <v>Materiais Processados</v>
      </c>
      <c r="N61" s="27" t="str">
        <f t="shared" si="33"/>
        <v>Borrachas Derivadas</v>
      </c>
      <c r="O61" s="27" t="str">
        <f t="shared" si="47"/>
        <v>Borracha TPNR</v>
      </c>
      <c r="P61" s="77" t="s">
        <v>332</v>
      </c>
      <c r="Q61" s="31" t="str">
        <f t="shared" si="8"/>
        <v>Caucho natural termoplástico</v>
      </c>
      <c r="R61" s="29" t="s">
        <v>1</v>
      </c>
      <c r="S61" s="30" t="str">
        <f t="shared" si="42"/>
        <v>Materialidade</v>
      </c>
      <c r="T61" s="30" t="str">
        <f t="shared" si="43"/>
        <v>Materiais Processados</v>
      </c>
      <c r="U61" s="30" t="str">
        <f t="shared" si="44"/>
        <v>Borrachas Derivadas</v>
      </c>
      <c r="V61" s="30" t="str">
        <f t="shared" si="45"/>
        <v>Materialidade</v>
      </c>
      <c r="W61" s="18" t="str">
        <f t="shared" si="13"/>
        <v>K.Mat.61</v>
      </c>
      <c r="X61" s="28" t="s">
        <v>107</v>
      </c>
      <c r="Y61" s="28" t="s">
        <v>108</v>
      </c>
      <c r="Z61" s="78" t="s">
        <v>204</v>
      </c>
      <c r="AA61" s="28" t="str">
        <f t="shared" si="46"/>
        <v>Thermoplastic natural rubber</v>
      </c>
    </row>
    <row r="62" spans="1:27" s="75" customFormat="1" ht="7.3" customHeight="1" x14ac:dyDescent="0.2">
      <c r="A62" s="26">
        <v>62</v>
      </c>
      <c r="B62" s="71" t="s">
        <v>74</v>
      </c>
      <c r="C62" s="69" t="s">
        <v>106</v>
      </c>
      <c r="D62" s="76" t="s">
        <v>523</v>
      </c>
      <c r="E62" s="72" t="s">
        <v>246</v>
      </c>
      <c r="F62" s="72" t="s">
        <v>351</v>
      </c>
      <c r="G62" s="68" t="s">
        <v>1</v>
      </c>
      <c r="H62" s="68" t="s">
        <v>1</v>
      </c>
      <c r="I62" s="68" t="s">
        <v>1</v>
      </c>
      <c r="J62" s="68" t="s">
        <v>1</v>
      </c>
      <c r="K62" s="68" t="s">
        <v>1</v>
      </c>
      <c r="L62" s="27" t="str">
        <f t="shared" si="31"/>
        <v>Materialidade</v>
      </c>
      <c r="M62" s="27" t="str">
        <f t="shared" si="32"/>
        <v>Materiais Processados</v>
      </c>
      <c r="N62" s="27" t="str">
        <f t="shared" si="33"/>
        <v>Borracha Sintética</v>
      </c>
      <c r="O62" s="27" t="str">
        <f t="shared" si="47"/>
        <v>Borracha SBR</v>
      </c>
      <c r="P62" s="77" t="s">
        <v>375</v>
      </c>
      <c r="Q62" s="31" t="str">
        <f t="shared" si="8"/>
        <v>Goma sintética estireno-butadiena (neumáticos)</v>
      </c>
      <c r="R62" s="29" t="s">
        <v>1</v>
      </c>
      <c r="S62" s="30" t="str">
        <f t="shared" si="42"/>
        <v>Materialidade</v>
      </c>
      <c r="T62" s="30" t="str">
        <f t="shared" si="43"/>
        <v>Materiais Processados</v>
      </c>
      <c r="U62" s="30" t="str">
        <f t="shared" si="44"/>
        <v>Borracha Sintética</v>
      </c>
      <c r="V62" s="30" t="str">
        <f t="shared" si="45"/>
        <v>Materialidade</v>
      </c>
      <c r="W62" s="18" t="str">
        <f t="shared" si="13"/>
        <v>K.Mat.62</v>
      </c>
      <c r="X62" s="28" t="s">
        <v>107</v>
      </c>
      <c r="Y62" s="28" t="s">
        <v>108</v>
      </c>
      <c r="Z62" s="78" t="s">
        <v>204</v>
      </c>
      <c r="AA62" s="28" t="str">
        <f t="shared" si="46"/>
        <v>Styrene-butadiene synthetic rubber (tires)</v>
      </c>
    </row>
    <row r="63" spans="1:27" s="75" customFormat="1" ht="7.3" customHeight="1" x14ac:dyDescent="0.2">
      <c r="A63" s="26">
        <v>63</v>
      </c>
      <c r="B63" s="71" t="s">
        <v>74</v>
      </c>
      <c r="C63" s="69" t="s">
        <v>106</v>
      </c>
      <c r="D63" s="76" t="s">
        <v>523</v>
      </c>
      <c r="E63" s="72" t="s">
        <v>246</v>
      </c>
      <c r="F63" s="72" t="s">
        <v>352</v>
      </c>
      <c r="G63" s="68" t="s">
        <v>1</v>
      </c>
      <c r="H63" s="68" t="s">
        <v>1</v>
      </c>
      <c r="I63" s="68" t="s">
        <v>1</v>
      </c>
      <c r="J63" s="68" t="s">
        <v>1</v>
      </c>
      <c r="K63" s="68" t="s">
        <v>1</v>
      </c>
      <c r="L63" s="27" t="str">
        <f t="shared" si="31"/>
        <v>Materialidade</v>
      </c>
      <c r="M63" s="27" t="str">
        <f t="shared" si="32"/>
        <v>Materiais Processados</v>
      </c>
      <c r="N63" s="27" t="str">
        <f t="shared" si="33"/>
        <v>Borracha Sintética</v>
      </c>
      <c r="O63" s="27" t="str">
        <f t="shared" si="47"/>
        <v>Borracha NBR</v>
      </c>
      <c r="P63" s="77" t="s">
        <v>377</v>
      </c>
      <c r="Q63" s="31" t="str">
        <f t="shared" si="8"/>
        <v>Caucho sintético acrilonitrilo-butadieno (resistente al aceite)</v>
      </c>
      <c r="R63" s="29" t="s">
        <v>1</v>
      </c>
      <c r="S63" s="30" t="str">
        <f t="shared" si="42"/>
        <v>Materialidade</v>
      </c>
      <c r="T63" s="30" t="str">
        <f t="shared" si="43"/>
        <v>Materiais Processados</v>
      </c>
      <c r="U63" s="30" t="str">
        <f t="shared" si="44"/>
        <v>Borracha Sintética</v>
      </c>
      <c r="V63" s="30" t="str">
        <f t="shared" si="45"/>
        <v>Materialidade</v>
      </c>
      <c r="W63" s="18" t="str">
        <f t="shared" si="13"/>
        <v>K.Mat.63</v>
      </c>
      <c r="X63" s="28" t="s">
        <v>107</v>
      </c>
      <c r="Y63" s="28" t="s">
        <v>108</v>
      </c>
      <c r="Z63" s="78" t="s">
        <v>204</v>
      </c>
      <c r="AA63" s="28" t="str">
        <f t="shared" si="46"/>
        <v>Acrylonitrile-butadiene synthetic rubber (oil resistant)</v>
      </c>
    </row>
    <row r="64" spans="1:27" s="75" customFormat="1" ht="7.3" customHeight="1" x14ac:dyDescent="0.2">
      <c r="A64" s="26">
        <v>64</v>
      </c>
      <c r="B64" s="71" t="s">
        <v>74</v>
      </c>
      <c r="C64" s="69" t="s">
        <v>106</v>
      </c>
      <c r="D64" s="76" t="s">
        <v>523</v>
      </c>
      <c r="E64" s="72" t="s">
        <v>246</v>
      </c>
      <c r="F64" s="72" t="s">
        <v>353</v>
      </c>
      <c r="G64" s="68" t="s">
        <v>1</v>
      </c>
      <c r="H64" s="68" t="s">
        <v>1</v>
      </c>
      <c r="I64" s="68" t="s">
        <v>1</v>
      </c>
      <c r="J64" s="68" t="s">
        <v>1</v>
      </c>
      <c r="K64" s="68" t="s">
        <v>1</v>
      </c>
      <c r="L64" s="27" t="str">
        <f t="shared" si="31"/>
        <v>Materialidade</v>
      </c>
      <c r="M64" s="27" t="str">
        <f t="shared" si="32"/>
        <v>Materiais Processados</v>
      </c>
      <c r="N64" s="27" t="str">
        <f t="shared" si="33"/>
        <v>Borracha Sintética</v>
      </c>
      <c r="O64" s="27" t="str">
        <f t="shared" si="47"/>
        <v>Borracha EPDM</v>
      </c>
      <c r="P64" s="77" t="s">
        <v>376</v>
      </c>
      <c r="Q64" s="31" t="str">
        <f t="shared" si="8"/>
        <v>Caucho sintético etileno-propileno-dieno (resistente al ozono)</v>
      </c>
      <c r="R64" s="29" t="s">
        <v>1</v>
      </c>
      <c r="S64" s="30" t="str">
        <f t="shared" si="42"/>
        <v>Materialidade</v>
      </c>
      <c r="T64" s="30" t="str">
        <f t="shared" si="43"/>
        <v>Materiais Processados</v>
      </c>
      <c r="U64" s="30" t="str">
        <f t="shared" si="44"/>
        <v>Borracha Sintética</v>
      </c>
      <c r="V64" s="30" t="str">
        <f t="shared" si="45"/>
        <v>Materialidade</v>
      </c>
      <c r="W64" s="18" t="str">
        <f t="shared" si="13"/>
        <v>K.Mat.64</v>
      </c>
      <c r="X64" s="28" t="s">
        <v>107</v>
      </c>
      <c r="Y64" s="28" t="s">
        <v>108</v>
      </c>
      <c r="Z64" s="78" t="s">
        <v>204</v>
      </c>
      <c r="AA64" s="28" t="str">
        <f t="shared" si="46"/>
        <v>Ethylene-propylene-diene synthetic rubber (ozone resistant)</v>
      </c>
    </row>
    <row r="65" spans="1:27" s="75" customFormat="1" ht="7.3" customHeight="1" x14ac:dyDescent="0.2">
      <c r="A65" s="26">
        <v>65</v>
      </c>
      <c r="B65" s="71" t="s">
        <v>74</v>
      </c>
      <c r="C65" s="69" t="s">
        <v>106</v>
      </c>
      <c r="D65" s="76" t="s">
        <v>523</v>
      </c>
      <c r="E65" s="72" t="s">
        <v>246</v>
      </c>
      <c r="F65" s="72" t="s">
        <v>356</v>
      </c>
      <c r="G65" s="68" t="s">
        <v>1</v>
      </c>
      <c r="H65" s="68" t="s">
        <v>1</v>
      </c>
      <c r="I65" s="68" t="s">
        <v>1</v>
      </c>
      <c r="J65" s="68" t="s">
        <v>1</v>
      </c>
      <c r="K65" s="68" t="s">
        <v>1</v>
      </c>
      <c r="L65" s="27" t="str">
        <f t="shared" ref="L65" si="52">SUBSTITUTE(CONCATENATE("", C65), ".", " ")</f>
        <v>Materialidade</v>
      </c>
      <c r="M65" s="27" t="str">
        <f t="shared" ref="M65" si="53">SUBSTITUTE(CONCATENATE("", D65), ".", " ")</f>
        <v>Materiais Processados</v>
      </c>
      <c r="N65" s="27" t="str">
        <f t="shared" ref="N65" si="54">SUBSTITUTE(CONCATENATE("", E65), ".", " ")</f>
        <v>Borracha Sintética</v>
      </c>
      <c r="O65" s="27" t="str">
        <f t="shared" ref="O65" si="55">SUBSTITUTE(CONCATENATE("", F65), ".", " ")</f>
        <v>Borracha PU</v>
      </c>
      <c r="P65" s="77" t="s">
        <v>333</v>
      </c>
      <c r="Q65" s="31" t="str">
        <f t="shared" si="8"/>
        <v>Poliuretano con alta resistencia a la abrasion</v>
      </c>
      <c r="R65" s="29" t="s">
        <v>1</v>
      </c>
      <c r="S65" s="30" t="str">
        <f t="shared" ref="S65" si="56">SUBSTITUTE(C65, ".", " ")</f>
        <v>Materialidade</v>
      </c>
      <c r="T65" s="30" t="str">
        <f t="shared" ref="T65" si="57">SUBSTITUTE(D65, ".", " ")</f>
        <v>Materiais Processados</v>
      </c>
      <c r="U65" s="30" t="str">
        <f t="shared" ref="U65" si="58">SUBSTITUTE(E65, ".", " ")</f>
        <v>Borracha Sintética</v>
      </c>
      <c r="V65" s="30" t="str">
        <f t="shared" ref="V65" si="59">SUBSTITUTE(C65, ".", " ")</f>
        <v>Materialidade</v>
      </c>
      <c r="W65" s="18" t="str">
        <f t="shared" ref="W65" si="60">CONCATENATE("K.",LEFT(C65,3),".",A65)</f>
        <v>K.Mat.65</v>
      </c>
      <c r="X65" s="28" t="s">
        <v>107</v>
      </c>
      <c r="Y65" s="28" t="s">
        <v>108</v>
      </c>
      <c r="Z65" s="78" t="s">
        <v>204</v>
      </c>
      <c r="AA65" s="28" t="str">
        <f t="shared" ref="AA65" si="61">_xlfn.TRANSLATE(P65,"pt","en")</f>
        <v>Polyurethane with high abrasion resistance</v>
      </c>
    </row>
    <row r="66" spans="1:27" s="75" customFormat="1" ht="7.3" customHeight="1" x14ac:dyDescent="0.2">
      <c r="A66" s="26">
        <v>66</v>
      </c>
      <c r="B66" s="71" t="s">
        <v>74</v>
      </c>
      <c r="C66" s="69" t="s">
        <v>106</v>
      </c>
      <c r="D66" s="76" t="s">
        <v>523</v>
      </c>
      <c r="E66" s="72" t="s">
        <v>246</v>
      </c>
      <c r="F66" s="72" t="s">
        <v>355</v>
      </c>
      <c r="G66" s="68" t="s">
        <v>1</v>
      </c>
      <c r="H66" s="68" t="s">
        <v>1</v>
      </c>
      <c r="I66" s="68" t="s">
        <v>1</v>
      </c>
      <c r="J66" s="68" t="s">
        <v>1</v>
      </c>
      <c r="K66" s="68" t="s">
        <v>1</v>
      </c>
      <c r="L66" s="27" t="str">
        <f t="shared" ref="L66" si="62">SUBSTITUTE(CONCATENATE("", C66), ".", " ")</f>
        <v>Materialidade</v>
      </c>
      <c r="M66" s="27" t="str">
        <f t="shared" ref="M66" si="63">SUBSTITUTE(CONCATENATE("", D66), ".", " ")</f>
        <v>Materiais Processados</v>
      </c>
      <c r="N66" s="27" t="str">
        <f t="shared" ref="N66" si="64">SUBSTITUTE(CONCATENATE("", E66), ".", " ")</f>
        <v>Borracha Sintética</v>
      </c>
      <c r="O66" s="27" t="str">
        <f t="shared" ref="O66" si="65">SUBSTITUTE(CONCATENATE("", F66), ".", " ")</f>
        <v>Borracha IIR</v>
      </c>
      <c r="P66" s="77" t="s">
        <v>379</v>
      </c>
      <c r="Q66" s="31" t="str">
        <f t="shared" si="8"/>
        <v>Goma sintética butílica impermeable</v>
      </c>
      <c r="R66" s="29" t="s">
        <v>1</v>
      </c>
      <c r="S66" s="30" t="str">
        <f t="shared" ref="S66" si="66">SUBSTITUTE(C66, ".", " ")</f>
        <v>Materialidade</v>
      </c>
      <c r="T66" s="30" t="str">
        <f t="shared" ref="T66" si="67">SUBSTITUTE(D66, ".", " ")</f>
        <v>Materiais Processados</v>
      </c>
      <c r="U66" s="30" t="str">
        <f t="shared" ref="U66" si="68">SUBSTITUTE(E66, ".", " ")</f>
        <v>Borracha Sintética</v>
      </c>
      <c r="V66" s="30" t="str">
        <f t="shared" ref="V66" si="69">SUBSTITUTE(C66, ".", " ")</f>
        <v>Materialidade</v>
      </c>
      <c r="W66" s="18" t="str">
        <f t="shared" ref="W66" si="70">CONCATENATE("K.",LEFT(C66,3),".",A66)</f>
        <v>K.Mat.66</v>
      </c>
      <c r="X66" s="28" t="s">
        <v>107</v>
      </c>
      <c r="Y66" s="28" t="s">
        <v>108</v>
      </c>
      <c r="Z66" s="28" t="s">
        <v>205</v>
      </c>
      <c r="AA66" s="28" t="str">
        <f t="shared" ref="AA66" si="71">_xlfn.TRANSLATE(P66,"pt","en")</f>
        <v>Waterproof Butyl Synthetic Rubber</v>
      </c>
    </row>
    <row r="67" spans="1:27" s="75" customFormat="1" ht="7.3" customHeight="1" x14ac:dyDescent="0.2">
      <c r="A67" s="26">
        <v>67</v>
      </c>
      <c r="B67" s="71" t="s">
        <v>74</v>
      </c>
      <c r="C67" s="69" t="s">
        <v>106</v>
      </c>
      <c r="D67" s="76" t="s">
        <v>523</v>
      </c>
      <c r="E67" s="72" t="s">
        <v>246</v>
      </c>
      <c r="F67" s="72" t="s">
        <v>354</v>
      </c>
      <c r="G67" s="68" t="s">
        <v>1</v>
      </c>
      <c r="H67" s="68" t="s">
        <v>1</v>
      </c>
      <c r="I67" s="68" t="s">
        <v>1</v>
      </c>
      <c r="J67" s="68" t="s">
        <v>1</v>
      </c>
      <c r="K67" s="68" t="s">
        <v>1</v>
      </c>
      <c r="L67" s="27" t="str">
        <f t="shared" si="31"/>
        <v>Materialidade</v>
      </c>
      <c r="M67" s="27" t="str">
        <f t="shared" si="32"/>
        <v>Materiais Processados</v>
      </c>
      <c r="N67" s="27" t="str">
        <f t="shared" si="33"/>
        <v>Borracha Sintética</v>
      </c>
      <c r="O67" s="27" t="str">
        <f t="shared" si="47"/>
        <v>Borracha CR</v>
      </c>
      <c r="P67" s="77" t="s">
        <v>378</v>
      </c>
      <c r="Q67" s="31" t="str">
        <f t="shared" si="8"/>
        <v>Caucho sintético de cloropreno (neopreno)</v>
      </c>
      <c r="R67" s="29" t="s">
        <v>1</v>
      </c>
      <c r="S67" s="30" t="str">
        <f t="shared" si="42"/>
        <v>Materialidade</v>
      </c>
      <c r="T67" s="30" t="str">
        <f t="shared" si="43"/>
        <v>Materiais Processados</v>
      </c>
      <c r="U67" s="30" t="str">
        <f t="shared" si="44"/>
        <v>Borracha Sintética</v>
      </c>
      <c r="V67" s="30" t="str">
        <f t="shared" si="45"/>
        <v>Materialidade</v>
      </c>
      <c r="W67" s="18" t="str">
        <f t="shared" si="13"/>
        <v>K.Mat.67</v>
      </c>
      <c r="X67" s="28" t="s">
        <v>107</v>
      </c>
      <c r="Y67" s="28" t="s">
        <v>108</v>
      </c>
      <c r="Z67" s="78" t="s">
        <v>206</v>
      </c>
      <c r="AA67" s="28" t="str">
        <f t="shared" si="46"/>
        <v>Synthetic Chloroprene Rubber (Neoprene)</v>
      </c>
    </row>
    <row r="68" spans="1:27" ht="7.3" customHeight="1" x14ac:dyDescent="0.4">
      <c r="A68" s="26">
        <v>68</v>
      </c>
      <c r="B68" s="71" t="s">
        <v>74</v>
      </c>
      <c r="C68" s="69" t="s">
        <v>106</v>
      </c>
      <c r="D68" s="70" t="s">
        <v>522</v>
      </c>
      <c r="E68" s="70" t="s">
        <v>479</v>
      </c>
      <c r="F68" s="70" t="s">
        <v>114</v>
      </c>
      <c r="G68" s="68" t="s">
        <v>1</v>
      </c>
      <c r="H68" s="68" t="s">
        <v>1</v>
      </c>
      <c r="I68" s="68" t="s">
        <v>1</v>
      </c>
      <c r="J68" s="68" t="s">
        <v>1</v>
      </c>
      <c r="K68" s="68" t="s">
        <v>1</v>
      </c>
      <c r="L68" s="27" t="str">
        <f t="shared" ref="L68:O129" si="72">SUBSTITUTE(CONCATENATE("", C68), ".", " ")</f>
        <v>Materialidade</v>
      </c>
      <c r="M68" s="27" t="str">
        <f t="shared" si="72"/>
        <v>Materiais Inorgânicos</v>
      </c>
      <c r="N68" s="27" t="str">
        <f t="shared" si="72"/>
        <v>Alumínios</v>
      </c>
      <c r="O68" s="27" t="str">
        <f t="shared" si="72"/>
        <v>Alumínio</v>
      </c>
      <c r="P68" s="28" t="s">
        <v>114</v>
      </c>
      <c r="Q68" s="31" t="str">
        <f>_xlfn.TRANSLATE(P68,"pt","es")</f>
        <v>Aluminio</v>
      </c>
      <c r="R68" s="29" t="s">
        <v>1</v>
      </c>
      <c r="S68" s="30" t="str">
        <f t="shared" si="9"/>
        <v>Materialidade</v>
      </c>
      <c r="T68" s="30" t="str">
        <f t="shared" si="10"/>
        <v>Materiais Inorgânicos</v>
      </c>
      <c r="U68" s="30" t="str">
        <f t="shared" si="11"/>
        <v>Alumínios</v>
      </c>
      <c r="V68" s="30" t="str">
        <f t="shared" si="12"/>
        <v>Materialidade</v>
      </c>
      <c r="W68" s="18" t="str">
        <f t="shared" si="13"/>
        <v>K.Mat.68</v>
      </c>
      <c r="X68" s="28" t="s">
        <v>107</v>
      </c>
      <c r="Y68" s="28" t="s">
        <v>108</v>
      </c>
      <c r="Z68" s="78" t="s">
        <v>162</v>
      </c>
      <c r="AA68" s="28" t="str">
        <f>_xlfn.TRANSLATE(P68,"pt","en")</f>
        <v>Aluminum</v>
      </c>
    </row>
    <row r="69" spans="1:27" ht="7.3" customHeight="1" x14ac:dyDescent="0.4">
      <c r="A69" s="26">
        <v>69</v>
      </c>
      <c r="B69" s="71" t="s">
        <v>74</v>
      </c>
      <c r="C69" s="69" t="s">
        <v>106</v>
      </c>
      <c r="D69" s="70" t="s">
        <v>522</v>
      </c>
      <c r="E69" s="70" t="s">
        <v>240</v>
      </c>
      <c r="F69" s="70" t="s">
        <v>240</v>
      </c>
      <c r="G69" s="68" t="s">
        <v>1</v>
      </c>
      <c r="H69" s="68" t="s">
        <v>1</v>
      </c>
      <c r="I69" s="68" t="s">
        <v>1</v>
      </c>
      <c r="J69" s="68" t="s">
        <v>1</v>
      </c>
      <c r="K69" s="68" t="s">
        <v>1</v>
      </c>
      <c r="L69" s="27" t="str">
        <f t="shared" si="72"/>
        <v>Materialidade</v>
      </c>
      <c r="M69" s="27" t="str">
        <f t="shared" si="72"/>
        <v>Materiais Inorgânicos</v>
      </c>
      <c r="N69" s="27" t="str">
        <f t="shared" si="72"/>
        <v>Bronzes</v>
      </c>
      <c r="O69" s="27" t="str">
        <f t="shared" si="72"/>
        <v>Bronzes</v>
      </c>
      <c r="P69" s="28" t="s">
        <v>240</v>
      </c>
      <c r="Q69" s="31" t="str">
        <f>_xlfn.TRANSLATE(P69,"pt","es")</f>
        <v>Bronces</v>
      </c>
      <c r="R69" s="29" t="s">
        <v>1</v>
      </c>
      <c r="S69" s="30" t="str">
        <f t="shared" si="9"/>
        <v>Materialidade</v>
      </c>
      <c r="T69" s="30" t="str">
        <f t="shared" si="10"/>
        <v>Materiais Inorgânicos</v>
      </c>
      <c r="U69" s="30" t="str">
        <f t="shared" si="11"/>
        <v>Bronzes</v>
      </c>
      <c r="V69" s="30" t="str">
        <f t="shared" si="12"/>
        <v>Materialidade</v>
      </c>
      <c r="W69" s="18" t="str">
        <f t="shared" si="13"/>
        <v>K.Mat.69</v>
      </c>
      <c r="X69" s="28" t="s">
        <v>107</v>
      </c>
      <c r="Y69" s="28" t="s">
        <v>108</v>
      </c>
      <c r="Z69" s="78" t="s">
        <v>165</v>
      </c>
      <c r="AA69" s="28" t="str">
        <f>_xlfn.TRANSLATE(P69,"pt","en")</f>
        <v>Bronzes</v>
      </c>
    </row>
    <row r="70" spans="1:27" ht="7.3" customHeight="1" x14ac:dyDescent="0.4">
      <c r="A70" s="26">
        <v>70</v>
      </c>
      <c r="B70" s="71" t="s">
        <v>74</v>
      </c>
      <c r="C70" s="69" t="s">
        <v>106</v>
      </c>
      <c r="D70" s="70" t="s">
        <v>522</v>
      </c>
      <c r="E70" s="70" t="s">
        <v>241</v>
      </c>
      <c r="F70" s="70" t="s">
        <v>241</v>
      </c>
      <c r="G70" s="68" t="s">
        <v>1</v>
      </c>
      <c r="H70" s="68" t="s">
        <v>1</v>
      </c>
      <c r="I70" s="68" t="s">
        <v>1</v>
      </c>
      <c r="J70" s="68" t="s">
        <v>1</v>
      </c>
      <c r="K70" s="68" t="s">
        <v>1</v>
      </c>
      <c r="L70" s="27" t="str">
        <f t="shared" si="72"/>
        <v>Materialidade</v>
      </c>
      <c r="M70" s="27" t="str">
        <f t="shared" si="72"/>
        <v>Materiais Inorgânicos</v>
      </c>
      <c r="N70" s="27" t="str">
        <f t="shared" si="72"/>
        <v>Cobres</v>
      </c>
      <c r="O70" s="27" t="str">
        <f t="shared" si="72"/>
        <v>Cobres</v>
      </c>
      <c r="P70" s="28" t="s">
        <v>241</v>
      </c>
      <c r="Q70" s="31" t="str">
        <f>_xlfn.TRANSLATE(P70,"pt","es")</f>
        <v>Cobres</v>
      </c>
      <c r="R70" s="29" t="s">
        <v>1</v>
      </c>
      <c r="S70" s="30" t="str">
        <f t="shared" si="9"/>
        <v>Materialidade</v>
      </c>
      <c r="T70" s="30" t="str">
        <f t="shared" si="10"/>
        <v>Materiais Inorgânicos</v>
      </c>
      <c r="U70" s="30" t="str">
        <f t="shared" si="11"/>
        <v>Cobres</v>
      </c>
      <c r="V70" s="30" t="str">
        <f t="shared" si="12"/>
        <v>Materialidade</v>
      </c>
      <c r="W70" s="18" t="str">
        <f t="shared" si="13"/>
        <v>K.Mat.70</v>
      </c>
      <c r="X70" s="28" t="s">
        <v>107</v>
      </c>
      <c r="Y70" s="28" t="s">
        <v>108</v>
      </c>
      <c r="Z70" s="78" t="s">
        <v>163</v>
      </c>
      <c r="AA70" s="28" t="str">
        <f>_xlfn.TRANSLATE(P70,"pt","en")</f>
        <v>Coppers</v>
      </c>
    </row>
    <row r="71" spans="1:27" ht="7.3" customHeight="1" x14ac:dyDescent="0.4">
      <c r="A71" s="26">
        <v>71</v>
      </c>
      <c r="B71" s="71" t="s">
        <v>74</v>
      </c>
      <c r="C71" s="69" t="s">
        <v>106</v>
      </c>
      <c r="D71" s="70" t="s">
        <v>522</v>
      </c>
      <c r="E71" s="70" t="s">
        <v>242</v>
      </c>
      <c r="F71" s="72" t="s">
        <v>468</v>
      </c>
      <c r="G71" s="68" t="s">
        <v>1</v>
      </c>
      <c r="H71" s="68" t="s">
        <v>1</v>
      </c>
      <c r="I71" s="68" t="s">
        <v>1</v>
      </c>
      <c r="J71" s="68" t="s">
        <v>1</v>
      </c>
      <c r="K71" s="68" t="s">
        <v>1</v>
      </c>
      <c r="L71" s="27" t="str">
        <f t="shared" si="72"/>
        <v>Materialidade</v>
      </c>
      <c r="M71" s="27" t="str">
        <f t="shared" si="72"/>
        <v>Materiais Inorgânicos</v>
      </c>
      <c r="N71" s="27" t="str">
        <f t="shared" si="72"/>
        <v>Ferros</v>
      </c>
      <c r="O71" s="27" t="str">
        <f t="shared" si="72"/>
        <v>Ferro Fundido</v>
      </c>
      <c r="P71" s="28" t="s">
        <v>472</v>
      </c>
      <c r="Q71" s="31" t="str">
        <f>_xlfn.TRANSLATE(P71,"pt","es")</f>
        <v>Hierro fundido</v>
      </c>
      <c r="R71" s="29" t="s">
        <v>1</v>
      </c>
      <c r="S71" s="30" t="str">
        <f t="shared" si="9"/>
        <v>Materialidade</v>
      </c>
      <c r="T71" s="30" t="str">
        <f t="shared" si="10"/>
        <v>Materiais Inorgânicos</v>
      </c>
      <c r="U71" s="30" t="str">
        <f t="shared" si="11"/>
        <v>Ferros</v>
      </c>
      <c r="V71" s="30" t="str">
        <f t="shared" si="12"/>
        <v>Materialidade</v>
      </c>
      <c r="W71" s="18" t="str">
        <f t="shared" si="13"/>
        <v>K.Mat.71</v>
      </c>
      <c r="X71" s="28" t="s">
        <v>107</v>
      </c>
      <c r="Y71" s="28" t="s">
        <v>108</v>
      </c>
      <c r="Z71" s="78" t="s">
        <v>158</v>
      </c>
      <c r="AA71" s="28" t="str">
        <f>_xlfn.TRANSLATE(P71,"pt","en")</f>
        <v>Cast Iron</v>
      </c>
    </row>
    <row r="72" spans="1:27" ht="7.3" customHeight="1" x14ac:dyDescent="0.4">
      <c r="A72" s="26">
        <v>72</v>
      </c>
      <c r="B72" s="71" t="s">
        <v>74</v>
      </c>
      <c r="C72" s="69" t="s">
        <v>106</v>
      </c>
      <c r="D72" s="70" t="s">
        <v>522</v>
      </c>
      <c r="E72" s="70" t="s">
        <v>242</v>
      </c>
      <c r="F72" s="72" t="s">
        <v>469</v>
      </c>
      <c r="G72" s="68" t="s">
        <v>1</v>
      </c>
      <c r="H72" s="68" t="s">
        <v>1</v>
      </c>
      <c r="I72" s="68" t="s">
        <v>1</v>
      </c>
      <c r="J72" s="68" t="s">
        <v>1</v>
      </c>
      <c r="K72" s="68" t="s">
        <v>1</v>
      </c>
      <c r="L72" s="27" t="str">
        <f t="shared" ref="L72" si="73">SUBSTITUTE(CONCATENATE("", C72), ".", " ")</f>
        <v>Materialidade</v>
      </c>
      <c r="M72" s="27" t="str">
        <f t="shared" ref="M72" si="74">SUBSTITUTE(CONCATENATE("", D72), ".", " ")</f>
        <v>Materiais Inorgânicos</v>
      </c>
      <c r="N72" s="27" t="str">
        <f t="shared" ref="N72" si="75">SUBSTITUTE(CONCATENATE("", E72), ".", " ")</f>
        <v>Ferros</v>
      </c>
      <c r="O72" s="27" t="str">
        <f t="shared" ref="O72" si="76">SUBSTITUTE(CONCATENATE("", F72), ".", " ")</f>
        <v>Ferro Forjado</v>
      </c>
      <c r="P72" s="28" t="s">
        <v>473</v>
      </c>
      <c r="Q72" s="31" t="str">
        <f>_xlfn.TRANSLATE(P72,"pt","es")</f>
        <v>Hierro Forjado</v>
      </c>
      <c r="R72" s="29" t="s">
        <v>1</v>
      </c>
      <c r="S72" s="30" t="str">
        <f t="shared" ref="S72" si="77">SUBSTITUTE(C72, ".", " ")</f>
        <v>Materialidade</v>
      </c>
      <c r="T72" s="30" t="str">
        <f t="shared" ref="T72" si="78">SUBSTITUTE(D72, ".", " ")</f>
        <v>Materiais Inorgânicos</v>
      </c>
      <c r="U72" s="30" t="str">
        <f t="shared" ref="U72" si="79">SUBSTITUTE(E72, ".", " ")</f>
        <v>Ferros</v>
      </c>
      <c r="V72" s="30" t="str">
        <f t="shared" ref="V72" si="80">SUBSTITUTE(C72, ".", " ")</f>
        <v>Materialidade</v>
      </c>
      <c r="W72" s="18" t="str">
        <f t="shared" ref="W72" si="81">CONCATENATE("K.",LEFT(C72,3),".",A72)</f>
        <v>K.Mat.72</v>
      </c>
      <c r="X72" s="28" t="s">
        <v>107</v>
      </c>
      <c r="Y72" s="28" t="s">
        <v>108</v>
      </c>
      <c r="Z72" s="78" t="s">
        <v>159</v>
      </c>
      <c r="AA72" s="28" t="str">
        <f>_xlfn.TRANSLATE(P72,"pt","en")</f>
        <v>Wrought Iron</v>
      </c>
    </row>
    <row r="73" spans="1:27" ht="7.3" customHeight="1" x14ac:dyDescent="0.4">
      <c r="A73" s="26">
        <v>73</v>
      </c>
      <c r="B73" s="71" t="s">
        <v>74</v>
      </c>
      <c r="C73" s="69" t="s">
        <v>106</v>
      </c>
      <c r="D73" s="70" t="s">
        <v>522</v>
      </c>
      <c r="E73" s="70" t="s">
        <v>242</v>
      </c>
      <c r="F73" s="72" t="s">
        <v>470</v>
      </c>
      <c r="G73" s="68" t="s">
        <v>1</v>
      </c>
      <c r="H73" s="68" t="s">
        <v>1</v>
      </c>
      <c r="I73" s="68" t="s">
        <v>1</v>
      </c>
      <c r="J73" s="68" t="s">
        <v>1</v>
      </c>
      <c r="K73" s="68" t="s">
        <v>1</v>
      </c>
      <c r="L73" s="27" t="str">
        <f t="shared" ref="L73" si="82">SUBSTITUTE(CONCATENATE("", C73), ".", " ")</f>
        <v>Materialidade</v>
      </c>
      <c r="M73" s="27" t="str">
        <f t="shared" ref="M73" si="83">SUBSTITUTE(CONCATENATE("", D73), ".", " ")</f>
        <v>Materiais Inorgânicos</v>
      </c>
      <c r="N73" s="27" t="str">
        <f t="shared" ref="N73" si="84">SUBSTITUTE(CONCATENATE("", E73), ".", " ")</f>
        <v>Ferros</v>
      </c>
      <c r="O73" s="27" t="str">
        <f t="shared" ref="O73" si="85">SUBSTITUTE(CONCATENATE("", F73), ".", " ")</f>
        <v>Ferro Fundido Dúctil</v>
      </c>
      <c r="P73" s="28" t="s">
        <v>474</v>
      </c>
      <c r="Q73" s="31" t="str">
        <f>_xlfn.TRANSLATE(P73,"pt","es")</f>
        <v>Hierro fundido dúctil</v>
      </c>
      <c r="R73" s="29" t="s">
        <v>1</v>
      </c>
      <c r="S73" s="30" t="str">
        <f t="shared" ref="S73" si="86">SUBSTITUTE(C73, ".", " ")</f>
        <v>Materialidade</v>
      </c>
      <c r="T73" s="30" t="str">
        <f t="shared" ref="T73" si="87">SUBSTITUTE(D73, ".", " ")</f>
        <v>Materiais Inorgânicos</v>
      </c>
      <c r="U73" s="30" t="str">
        <f t="shared" ref="U73" si="88">SUBSTITUTE(E73, ".", " ")</f>
        <v>Ferros</v>
      </c>
      <c r="V73" s="30" t="str">
        <f t="shared" ref="V73" si="89">SUBSTITUTE(C73, ".", " ")</f>
        <v>Materialidade</v>
      </c>
      <c r="W73" s="18" t="str">
        <f t="shared" ref="W73" si="90">CONCATENATE("K.",LEFT(C73,3),".",A73)</f>
        <v>K.Mat.73</v>
      </c>
      <c r="X73" s="28" t="s">
        <v>107</v>
      </c>
      <c r="Y73" s="28" t="s">
        <v>108</v>
      </c>
      <c r="Z73" s="78" t="s">
        <v>160</v>
      </c>
      <c r="AA73" s="28" t="str">
        <f>_xlfn.TRANSLATE(P73,"pt","en")</f>
        <v>Ductile Cast Iron</v>
      </c>
    </row>
    <row r="74" spans="1:27" ht="7.3" customHeight="1" x14ac:dyDescent="0.4">
      <c r="A74" s="26">
        <v>74</v>
      </c>
      <c r="B74" s="71" t="s">
        <v>74</v>
      </c>
      <c r="C74" s="69" t="s">
        <v>106</v>
      </c>
      <c r="D74" s="70" t="s">
        <v>522</v>
      </c>
      <c r="E74" s="70" t="s">
        <v>242</v>
      </c>
      <c r="F74" s="72" t="s">
        <v>471</v>
      </c>
      <c r="G74" s="68" t="s">
        <v>1</v>
      </c>
      <c r="H74" s="68" t="s">
        <v>1</v>
      </c>
      <c r="I74" s="68" t="s">
        <v>1</v>
      </c>
      <c r="J74" s="68" t="s">
        <v>1</v>
      </c>
      <c r="K74" s="68" t="s">
        <v>1</v>
      </c>
      <c r="L74" s="27" t="str">
        <f t="shared" si="72"/>
        <v>Materialidade</v>
      </c>
      <c r="M74" s="27" t="str">
        <f t="shared" si="72"/>
        <v>Materiais Inorgânicos</v>
      </c>
      <c r="N74" s="27" t="str">
        <f t="shared" si="72"/>
        <v>Ferros</v>
      </c>
      <c r="O74" s="27" t="str">
        <f t="shared" si="72"/>
        <v>Ferro Maleável</v>
      </c>
      <c r="P74" s="28" t="s">
        <v>475</v>
      </c>
      <c r="Q74" s="31" t="str">
        <f>_xlfn.TRANSLATE(P74,"pt","es")</f>
        <v>Hierro maleable</v>
      </c>
      <c r="R74" s="29" t="s">
        <v>1</v>
      </c>
      <c r="S74" s="30" t="str">
        <f t="shared" si="9"/>
        <v>Materialidade</v>
      </c>
      <c r="T74" s="30" t="str">
        <f t="shared" si="10"/>
        <v>Materiais Inorgânicos</v>
      </c>
      <c r="U74" s="30" t="str">
        <f t="shared" si="11"/>
        <v>Ferros</v>
      </c>
      <c r="V74" s="30" t="str">
        <f t="shared" si="12"/>
        <v>Materialidade</v>
      </c>
      <c r="W74" s="18" t="str">
        <f t="shared" si="13"/>
        <v>K.Mat.74</v>
      </c>
      <c r="X74" s="28" t="s">
        <v>107</v>
      </c>
      <c r="Y74" s="28" t="s">
        <v>108</v>
      </c>
      <c r="Z74" s="78" t="s">
        <v>161</v>
      </c>
      <c r="AA74" s="28" t="str">
        <f>_xlfn.TRANSLATE(P74,"pt","en")</f>
        <v>Malleable Iron</v>
      </c>
    </row>
    <row r="75" spans="1:27" ht="7.3" customHeight="1" x14ac:dyDescent="0.4">
      <c r="A75" s="26">
        <v>75</v>
      </c>
      <c r="B75" s="71" t="s">
        <v>74</v>
      </c>
      <c r="C75" s="69" t="s">
        <v>106</v>
      </c>
      <c r="D75" s="70" t="s">
        <v>522</v>
      </c>
      <c r="E75" s="70" t="s">
        <v>243</v>
      </c>
      <c r="F75" s="70" t="s">
        <v>233</v>
      </c>
      <c r="G75" s="68" t="s">
        <v>1</v>
      </c>
      <c r="H75" s="68" t="s">
        <v>1</v>
      </c>
      <c r="I75" s="68" t="s">
        <v>1</v>
      </c>
      <c r="J75" s="68" t="s">
        <v>1</v>
      </c>
      <c r="K75" s="68" t="s">
        <v>1</v>
      </c>
      <c r="L75" s="27" t="str">
        <f t="shared" si="72"/>
        <v>Materialidade</v>
      </c>
      <c r="M75" s="27" t="str">
        <f t="shared" si="72"/>
        <v>Materiais Inorgânicos</v>
      </c>
      <c r="N75" s="27" t="str">
        <f t="shared" si="72"/>
        <v>Latões</v>
      </c>
      <c r="O75" s="27" t="str">
        <f t="shared" si="72"/>
        <v>Latão</v>
      </c>
      <c r="P75" s="28" t="s">
        <v>243</v>
      </c>
      <c r="Q75" s="31" t="str">
        <f>_xlfn.TRANSLATE(P75,"pt","es")</f>
        <v>Metales</v>
      </c>
      <c r="R75" s="29" t="s">
        <v>1</v>
      </c>
      <c r="S75" s="30" t="str">
        <f t="shared" si="9"/>
        <v>Materialidade</v>
      </c>
      <c r="T75" s="30" t="str">
        <f t="shared" si="10"/>
        <v>Materiais Inorgânicos</v>
      </c>
      <c r="U75" s="30" t="str">
        <f t="shared" si="11"/>
        <v>Latões</v>
      </c>
      <c r="V75" s="30" t="str">
        <f t="shared" si="12"/>
        <v>Materialidade</v>
      </c>
      <c r="W75" s="18" t="str">
        <f t="shared" si="13"/>
        <v>K.Mat.75</v>
      </c>
      <c r="X75" s="28" t="s">
        <v>107</v>
      </c>
      <c r="Y75" s="28" t="s">
        <v>108</v>
      </c>
      <c r="Z75" s="78" t="s">
        <v>164</v>
      </c>
      <c r="AA75" s="28" t="str">
        <f>_xlfn.TRANSLATE(P75,"pt","en")</f>
        <v>Brass</v>
      </c>
    </row>
    <row r="76" spans="1:27" ht="7.3" customHeight="1" x14ac:dyDescent="0.4">
      <c r="A76" s="26">
        <v>76</v>
      </c>
      <c r="B76" s="71" t="s">
        <v>74</v>
      </c>
      <c r="C76" s="69" t="s">
        <v>106</v>
      </c>
      <c r="D76" s="70" t="s">
        <v>522</v>
      </c>
      <c r="E76" s="70" t="s">
        <v>247</v>
      </c>
      <c r="F76" s="70" t="s">
        <v>477</v>
      </c>
      <c r="G76" s="68" t="s">
        <v>1</v>
      </c>
      <c r="H76" s="68" t="s">
        <v>1</v>
      </c>
      <c r="I76" s="68" t="s">
        <v>1</v>
      </c>
      <c r="J76" s="68" t="s">
        <v>1</v>
      </c>
      <c r="K76" s="68" t="s">
        <v>1</v>
      </c>
      <c r="L76" s="27" t="str">
        <f t="shared" si="72"/>
        <v>Materialidade</v>
      </c>
      <c r="M76" s="27" t="str">
        <f t="shared" si="72"/>
        <v>Materiais Inorgânicos</v>
      </c>
      <c r="N76" s="27" t="str">
        <f t="shared" si="72"/>
        <v>Ligas Especiais</v>
      </c>
      <c r="O76" s="27" t="str">
        <f t="shared" si="72"/>
        <v>Zamac</v>
      </c>
      <c r="P76" s="28" t="s">
        <v>476</v>
      </c>
      <c r="Q76" s="31" t="str">
        <f>_xlfn.TRANSLATE(P76,"pt","es")</f>
        <v>Aleaciones especiales</v>
      </c>
      <c r="R76" s="29" t="s">
        <v>1</v>
      </c>
      <c r="S76" s="30" t="str">
        <f t="shared" si="9"/>
        <v>Materialidade</v>
      </c>
      <c r="T76" s="30" t="str">
        <f t="shared" si="10"/>
        <v>Materiais Inorgânicos</v>
      </c>
      <c r="U76" s="30" t="str">
        <f t="shared" si="11"/>
        <v>Ligas Especiais</v>
      </c>
      <c r="V76" s="30" t="str">
        <f t="shared" si="12"/>
        <v>Materialidade</v>
      </c>
      <c r="W76" s="18" t="str">
        <f t="shared" si="13"/>
        <v>K.Mat.76</v>
      </c>
      <c r="X76" s="28" t="s">
        <v>107</v>
      </c>
      <c r="Y76" s="28" t="s">
        <v>108</v>
      </c>
      <c r="Z76" s="78" t="s">
        <v>167</v>
      </c>
      <c r="AA76" s="28" t="str">
        <f>_xlfn.TRANSLATE(P76,"pt","en")</f>
        <v>Special Alloys</v>
      </c>
    </row>
    <row r="77" spans="1:27" ht="7.3" customHeight="1" x14ac:dyDescent="0.4">
      <c r="A77" s="26">
        <v>77</v>
      </c>
      <c r="B77" s="71" t="s">
        <v>74</v>
      </c>
      <c r="C77" s="69" t="s">
        <v>106</v>
      </c>
      <c r="D77" s="70" t="s">
        <v>522</v>
      </c>
      <c r="E77" s="70" t="s">
        <v>478</v>
      </c>
      <c r="F77" s="70" t="s">
        <v>113</v>
      </c>
      <c r="G77" s="68" t="s">
        <v>1</v>
      </c>
      <c r="H77" s="68" t="s">
        <v>1</v>
      </c>
      <c r="I77" s="68" t="s">
        <v>1</v>
      </c>
      <c r="J77" s="68" t="s">
        <v>1</v>
      </c>
      <c r="K77" s="68" t="s">
        <v>1</v>
      </c>
      <c r="L77" s="27" t="str">
        <f t="shared" si="72"/>
        <v>Materialidade</v>
      </c>
      <c r="M77" s="27" t="str">
        <f t="shared" si="72"/>
        <v>Materiais Inorgânicos</v>
      </c>
      <c r="N77" s="27" t="str">
        <f t="shared" si="72"/>
        <v>Ligas Zincadas</v>
      </c>
      <c r="O77" s="27" t="str">
        <f t="shared" si="72"/>
        <v>Zinco</v>
      </c>
      <c r="P77" s="28" t="s">
        <v>113</v>
      </c>
      <c r="Q77" s="31" t="str">
        <f>_xlfn.TRANSLATE(P77,"pt","es")</f>
        <v>Zinc</v>
      </c>
      <c r="R77" s="29" t="s">
        <v>1</v>
      </c>
      <c r="S77" s="30" t="str">
        <f t="shared" si="9"/>
        <v>Materialidade</v>
      </c>
      <c r="T77" s="30" t="str">
        <f t="shared" si="10"/>
        <v>Materiais Inorgânicos</v>
      </c>
      <c r="U77" s="30" t="str">
        <f t="shared" si="11"/>
        <v>Ligas Zincadas</v>
      </c>
      <c r="V77" s="30" t="str">
        <f t="shared" si="12"/>
        <v>Materialidade</v>
      </c>
      <c r="W77" s="18" t="str">
        <f t="shared" si="13"/>
        <v>K.Mat.77</v>
      </c>
      <c r="X77" s="28" t="s">
        <v>107</v>
      </c>
      <c r="Y77" s="28" t="s">
        <v>108</v>
      </c>
      <c r="Z77" s="78" t="s">
        <v>166</v>
      </c>
      <c r="AA77" s="28" t="str">
        <f>_xlfn.TRANSLATE(P77,"pt","en")</f>
        <v>Zinc</v>
      </c>
    </row>
    <row r="78" spans="1:27" ht="7.3" customHeight="1" x14ac:dyDescent="0.4">
      <c r="A78" s="26">
        <v>78</v>
      </c>
      <c r="B78" s="71" t="s">
        <v>74</v>
      </c>
      <c r="C78" s="69" t="s">
        <v>106</v>
      </c>
      <c r="D78" s="70" t="s">
        <v>522</v>
      </c>
      <c r="E78" s="70" t="s">
        <v>112</v>
      </c>
      <c r="F78" s="72" t="s">
        <v>116</v>
      </c>
      <c r="G78" s="68" t="s">
        <v>1</v>
      </c>
      <c r="H78" s="68" t="s">
        <v>1</v>
      </c>
      <c r="I78" s="68" t="s">
        <v>1</v>
      </c>
      <c r="J78" s="68" t="s">
        <v>1</v>
      </c>
      <c r="K78" s="68" t="s">
        <v>1</v>
      </c>
      <c r="L78" s="27" t="str">
        <f t="shared" si="72"/>
        <v>Materialidade</v>
      </c>
      <c r="M78" s="27" t="str">
        <f t="shared" si="72"/>
        <v>Materiais Inorgânicos</v>
      </c>
      <c r="N78" s="27" t="str">
        <f t="shared" si="72"/>
        <v>Pedras</v>
      </c>
      <c r="O78" s="27" t="str">
        <f t="shared" si="72"/>
        <v>Granito</v>
      </c>
      <c r="P78" s="28" t="s">
        <v>362</v>
      </c>
      <c r="Q78" s="31" t="str">
        <f>_xlfn.TRANSLATE(P78,"pt","es")</f>
        <v>Se originó en roca magmática intrusiva formada por el lento enfriamiento del magma. Compuesto por cuarzo, mica y feldespato. Muy duro, resistente, de colores variados (gris, rosa, negro). Se usa en encimeras, suelos, recubrimientos, fachadas y monumentos.</v>
      </c>
      <c r="R78" s="29" t="s">
        <v>1</v>
      </c>
      <c r="S78" s="30" t="str">
        <f t="shared" si="9"/>
        <v>Materialidade</v>
      </c>
      <c r="T78" s="30" t="str">
        <f t="shared" si="10"/>
        <v>Materiais Inorgânicos</v>
      </c>
      <c r="U78" s="30" t="str">
        <f t="shared" si="11"/>
        <v>Pedras</v>
      </c>
      <c r="V78" s="30" t="str">
        <f t="shared" si="12"/>
        <v>Materialidade</v>
      </c>
      <c r="W78" s="18" t="str">
        <f t="shared" si="13"/>
        <v>K.Mat.78</v>
      </c>
      <c r="X78" s="28" t="s">
        <v>107</v>
      </c>
      <c r="Y78" s="28" t="s">
        <v>108</v>
      </c>
      <c r="Z78" s="78" t="s">
        <v>124</v>
      </c>
      <c r="AA78" s="28" t="str">
        <f>_xlfn.TRANSLATE(P78,"pt","en")</f>
        <v>It originated in intrusive magmatic rock formed by the slow cooling of magma. Composed of Quartz, mica and feldspar. Very hard, resistant, varied colors (gray, pink, black)Used in countertops, floors, coatings, facades and monuments.</v>
      </c>
    </row>
    <row r="79" spans="1:27" ht="7.3" customHeight="1" x14ac:dyDescent="0.4">
      <c r="A79" s="26">
        <v>79</v>
      </c>
      <c r="B79" s="71" t="s">
        <v>74</v>
      </c>
      <c r="C79" s="69" t="s">
        <v>106</v>
      </c>
      <c r="D79" s="70" t="s">
        <v>522</v>
      </c>
      <c r="E79" s="70" t="s">
        <v>112</v>
      </c>
      <c r="F79" s="72" t="s">
        <v>248</v>
      </c>
      <c r="G79" s="68" t="s">
        <v>1</v>
      </c>
      <c r="H79" s="68" t="s">
        <v>1</v>
      </c>
      <c r="I79" s="68" t="s">
        <v>1</v>
      </c>
      <c r="J79" s="68" t="s">
        <v>1</v>
      </c>
      <c r="K79" s="68" t="s">
        <v>1</v>
      </c>
      <c r="L79" s="27" t="str">
        <f t="shared" si="72"/>
        <v>Materialidade</v>
      </c>
      <c r="M79" s="27" t="str">
        <f t="shared" si="72"/>
        <v>Materiais Inorgânicos</v>
      </c>
      <c r="N79" s="27" t="str">
        <f t="shared" si="72"/>
        <v>Pedras</v>
      </c>
      <c r="O79" s="27" t="str">
        <f t="shared" si="72"/>
        <v>Mármore</v>
      </c>
      <c r="P79" s="28" t="s">
        <v>366</v>
      </c>
      <c r="Q79" s="31" t="str">
        <f>_xlfn.TRANSLATE(P79,"pt","es")</f>
        <v>Se originó en calizas sometidas a altas presiones y temperaturas. Compuesto principalmente de calcita. Textura cristalina, vetas decorativas, más porosas que el granito. Se usa en encimeras, suelos, recubrimientos.</v>
      </c>
      <c r="R79" s="29" t="s">
        <v>1</v>
      </c>
      <c r="S79" s="30" t="str">
        <f t="shared" si="9"/>
        <v>Materialidade</v>
      </c>
      <c r="T79" s="30" t="str">
        <f t="shared" si="10"/>
        <v>Materiais Inorgânicos</v>
      </c>
      <c r="U79" s="30" t="str">
        <f t="shared" si="11"/>
        <v>Pedras</v>
      </c>
      <c r="V79" s="30" t="str">
        <f t="shared" si="12"/>
        <v>Materialidade</v>
      </c>
      <c r="W79" s="18" t="str">
        <f t="shared" si="13"/>
        <v>K.Mat.79</v>
      </c>
      <c r="X79" s="28" t="s">
        <v>107</v>
      </c>
      <c r="Y79" s="28" t="s">
        <v>108</v>
      </c>
      <c r="Z79" s="78" t="s">
        <v>125</v>
      </c>
      <c r="AA79" s="28" t="str">
        <f>_xlfn.TRANSLATE(P79,"pt","en")</f>
        <v>Originated in limestones subjected to high pressures and temperatures. Composed mainly of calcite. Crystalline texture, decorative veins, more porous than granite. Used in countertops, floors, coatings.</v>
      </c>
    </row>
    <row r="80" spans="1:27" ht="7.3" customHeight="1" x14ac:dyDescent="0.4">
      <c r="A80" s="26">
        <v>80</v>
      </c>
      <c r="B80" s="71" t="s">
        <v>74</v>
      </c>
      <c r="C80" s="69" t="s">
        <v>106</v>
      </c>
      <c r="D80" s="70" t="s">
        <v>522</v>
      </c>
      <c r="E80" s="70" t="s">
        <v>112</v>
      </c>
      <c r="F80" s="72" t="s">
        <v>487</v>
      </c>
      <c r="G80" s="68" t="s">
        <v>1</v>
      </c>
      <c r="H80" s="68" t="s">
        <v>1</v>
      </c>
      <c r="I80" s="68" t="s">
        <v>1</v>
      </c>
      <c r="J80" s="68" t="s">
        <v>1</v>
      </c>
      <c r="K80" s="68" t="s">
        <v>1</v>
      </c>
      <c r="L80" s="27" t="str">
        <f t="shared" si="72"/>
        <v>Materialidade</v>
      </c>
      <c r="M80" s="27" t="str">
        <f t="shared" si="72"/>
        <v>Materiais Inorgânicos</v>
      </c>
      <c r="N80" s="27" t="str">
        <f t="shared" si="72"/>
        <v>Pedras</v>
      </c>
      <c r="O80" s="27" t="str">
        <f t="shared" si="72"/>
        <v>Pedra Luminária</v>
      </c>
      <c r="P80" s="28" t="s">
        <v>496</v>
      </c>
      <c r="Q80" s="31" t="str">
        <f>_xlfn.TRANSLATE(P80,"pt","es")</f>
        <v>Lámpara Piedra</v>
      </c>
      <c r="R80" s="29" t="s">
        <v>1</v>
      </c>
      <c r="S80" s="30" t="str">
        <f t="shared" si="9"/>
        <v>Materialidade</v>
      </c>
      <c r="T80" s="30" t="str">
        <f t="shared" si="10"/>
        <v>Materiais Inorgânicos</v>
      </c>
      <c r="U80" s="30" t="str">
        <f t="shared" si="11"/>
        <v>Pedras</v>
      </c>
      <c r="V80" s="30" t="str">
        <f t="shared" si="12"/>
        <v>Materialidade</v>
      </c>
      <c r="W80" s="18" t="str">
        <f t="shared" si="13"/>
        <v>K.Mat.80</v>
      </c>
      <c r="X80" s="28" t="s">
        <v>107</v>
      </c>
      <c r="Y80" s="28" t="s">
        <v>108</v>
      </c>
      <c r="Z80" s="78" t="s">
        <v>126</v>
      </c>
      <c r="AA80" s="28" t="str">
        <f>_xlfn.TRANSLATE(P80,"pt","en")</f>
        <v>Lamp Stone</v>
      </c>
    </row>
    <row r="81" spans="1:27" ht="7.3" customHeight="1" x14ac:dyDescent="0.4">
      <c r="A81" s="26">
        <v>81</v>
      </c>
      <c r="B81" s="71" t="s">
        <v>74</v>
      </c>
      <c r="C81" s="69" t="s">
        <v>106</v>
      </c>
      <c r="D81" s="70" t="s">
        <v>522</v>
      </c>
      <c r="E81" s="70" t="s">
        <v>112</v>
      </c>
      <c r="F81" s="72" t="s">
        <v>488</v>
      </c>
      <c r="G81" s="68" t="s">
        <v>1</v>
      </c>
      <c r="H81" s="68" t="s">
        <v>1</v>
      </c>
      <c r="I81" s="68" t="s">
        <v>1</v>
      </c>
      <c r="J81" s="68" t="s">
        <v>1</v>
      </c>
      <c r="K81" s="68" t="s">
        <v>1</v>
      </c>
      <c r="L81" s="27" t="str">
        <f t="shared" si="72"/>
        <v>Materialidade</v>
      </c>
      <c r="M81" s="27" t="str">
        <f t="shared" si="72"/>
        <v>Materiais Inorgânicos</v>
      </c>
      <c r="N81" s="27" t="str">
        <f t="shared" si="72"/>
        <v>Pedras</v>
      </c>
      <c r="O81" s="27" t="str">
        <f t="shared" si="72"/>
        <v>Pedra Mineira</v>
      </c>
      <c r="P81" s="28" t="s">
        <v>482</v>
      </c>
      <c r="Q81" s="31" t="str">
        <f>_xlfn.TRANSLATE(P81,"pt","es")</f>
        <v>Pedra Mineira</v>
      </c>
      <c r="R81" s="29" t="s">
        <v>1</v>
      </c>
      <c r="S81" s="30" t="str">
        <f t="shared" si="9"/>
        <v>Materialidade</v>
      </c>
      <c r="T81" s="30" t="str">
        <f t="shared" si="10"/>
        <v>Materiais Inorgânicos</v>
      </c>
      <c r="U81" s="30" t="str">
        <f t="shared" si="11"/>
        <v>Pedras</v>
      </c>
      <c r="V81" s="30" t="str">
        <f t="shared" si="12"/>
        <v>Materialidade</v>
      </c>
      <c r="W81" s="18" t="str">
        <f t="shared" si="13"/>
        <v>K.Mat.81</v>
      </c>
      <c r="X81" s="28" t="s">
        <v>107</v>
      </c>
      <c r="Y81" s="28" t="s">
        <v>108</v>
      </c>
      <c r="Z81" s="78" t="s">
        <v>127</v>
      </c>
      <c r="AA81" s="28" t="str">
        <f>_xlfn.TRANSLATE(P81,"pt","en")</f>
        <v>Pedra Mineira</v>
      </c>
    </row>
    <row r="82" spans="1:27" ht="7.3" customHeight="1" x14ac:dyDescent="0.4">
      <c r="A82" s="26">
        <v>82</v>
      </c>
      <c r="B82" s="71" t="s">
        <v>74</v>
      </c>
      <c r="C82" s="69" t="s">
        <v>106</v>
      </c>
      <c r="D82" s="70" t="s">
        <v>522</v>
      </c>
      <c r="E82" s="70" t="s">
        <v>112</v>
      </c>
      <c r="F82" s="72" t="s">
        <v>489</v>
      </c>
      <c r="G82" s="68" t="s">
        <v>1</v>
      </c>
      <c r="H82" s="68" t="s">
        <v>1</v>
      </c>
      <c r="I82" s="68" t="s">
        <v>1</v>
      </c>
      <c r="J82" s="68" t="s">
        <v>1</v>
      </c>
      <c r="K82" s="68" t="s">
        <v>1</v>
      </c>
      <c r="L82" s="27" t="str">
        <f t="shared" si="72"/>
        <v>Materialidade</v>
      </c>
      <c r="M82" s="27" t="str">
        <f t="shared" si="72"/>
        <v>Materiais Inorgânicos</v>
      </c>
      <c r="N82" s="27" t="str">
        <f t="shared" si="72"/>
        <v>Pedras</v>
      </c>
      <c r="O82" s="27" t="str">
        <f t="shared" si="72"/>
        <v>Pedra Goiás</v>
      </c>
      <c r="P82" s="28" t="s">
        <v>483</v>
      </c>
      <c r="Q82" s="31" t="str">
        <f>_xlfn.TRANSLATE(P82,"pt","es")</f>
        <v>Piedra de Goiás</v>
      </c>
      <c r="R82" s="29" t="s">
        <v>1</v>
      </c>
      <c r="S82" s="30" t="str">
        <f t="shared" si="9"/>
        <v>Materialidade</v>
      </c>
      <c r="T82" s="30" t="str">
        <f t="shared" si="10"/>
        <v>Materiais Inorgânicos</v>
      </c>
      <c r="U82" s="30" t="str">
        <f t="shared" si="11"/>
        <v>Pedras</v>
      </c>
      <c r="V82" s="30" t="str">
        <f t="shared" si="12"/>
        <v>Materialidade</v>
      </c>
      <c r="W82" s="18" t="str">
        <f t="shared" si="13"/>
        <v>K.Mat.82</v>
      </c>
      <c r="X82" s="28" t="s">
        <v>107</v>
      </c>
      <c r="Y82" s="28" t="s">
        <v>108</v>
      </c>
      <c r="Z82" s="78" t="s">
        <v>128</v>
      </c>
      <c r="AA82" s="28" t="str">
        <f>_xlfn.TRANSLATE(P82,"pt","en")</f>
        <v>Goiás Stone</v>
      </c>
    </row>
    <row r="83" spans="1:27" ht="7.3" customHeight="1" x14ac:dyDescent="0.4">
      <c r="A83" s="26">
        <v>83</v>
      </c>
      <c r="B83" s="71" t="s">
        <v>74</v>
      </c>
      <c r="C83" s="69" t="s">
        <v>106</v>
      </c>
      <c r="D83" s="70" t="s">
        <v>522</v>
      </c>
      <c r="E83" s="70" t="s">
        <v>112</v>
      </c>
      <c r="F83" s="72" t="s">
        <v>490</v>
      </c>
      <c r="G83" s="68" t="s">
        <v>1</v>
      </c>
      <c r="H83" s="68" t="s">
        <v>1</v>
      </c>
      <c r="I83" s="68" t="s">
        <v>1</v>
      </c>
      <c r="J83" s="68" t="s">
        <v>1</v>
      </c>
      <c r="K83" s="68" t="s">
        <v>1</v>
      </c>
      <c r="L83" s="27" t="str">
        <f t="shared" si="72"/>
        <v>Materialidade</v>
      </c>
      <c r="M83" s="27" t="str">
        <f t="shared" si="72"/>
        <v>Materiais Inorgânicos</v>
      </c>
      <c r="N83" s="27" t="str">
        <f t="shared" si="72"/>
        <v>Pedras</v>
      </c>
      <c r="O83" s="27" t="str">
        <f t="shared" si="72"/>
        <v>Pedra Miracema</v>
      </c>
      <c r="P83" s="28" t="s">
        <v>484</v>
      </c>
      <c r="Q83" s="31" t="str">
        <f>_xlfn.TRANSLATE(P83,"pt","es")</f>
        <v>Piedra Miracema</v>
      </c>
      <c r="R83" s="29" t="s">
        <v>1</v>
      </c>
      <c r="S83" s="30" t="str">
        <f t="shared" si="9"/>
        <v>Materialidade</v>
      </c>
      <c r="T83" s="30" t="str">
        <f t="shared" si="10"/>
        <v>Materiais Inorgânicos</v>
      </c>
      <c r="U83" s="30" t="str">
        <f t="shared" si="11"/>
        <v>Pedras</v>
      </c>
      <c r="V83" s="30" t="str">
        <f t="shared" si="12"/>
        <v>Materialidade</v>
      </c>
      <c r="W83" s="18" t="str">
        <f t="shared" si="13"/>
        <v>K.Mat.83</v>
      </c>
      <c r="X83" s="28" t="s">
        <v>107</v>
      </c>
      <c r="Y83" s="28" t="s">
        <v>108</v>
      </c>
      <c r="Z83" s="78" t="s">
        <v>129</v>
      </c>
      <c r="AA83" s="28" t="str">
        <f>_xlfn.TRANSLATE(P83,"pt","en")</f>
        <v>Miracema Stone</v>
      </c>
    </row>
    <row r="84" spans="1:27" ht="7.3" customHeight="1" x14ac:dyDescent="0.4">
      <c r="A84" s="26">
        <v>84</v>
      </c>
      <c r="B84" s="71" t="s">
        <v>74</v>
      </c>
      <c r="C84" s="69" t="s">
        <v>106</v>
      </c>
      <c r="D84" s="70" t="s">
        <v>522</v>
      </c>
      <c r="E84" s="70" t="s">
        <v>112</v>
      </c>
      <c r="F84" s="72" t="s">
        <v>491</v>
      </c>
      <c r="G84" s="68" t="s">
        <v>1</v>
      </c>
      <c r="H84" s="68" t="s">
        <v>1</v>
      </c>
      <c r="I84" s="68" t="s">
        <v>1</v>
      </c>
      <c r="J84" s="68" t="s">
        <v>1</v>
      </c>
      <c r="K84" s="68" t="s">
        <v>1</v>
      </c>
      <c r="L84" s="27" t="str">
        <f t="shared" si="72"/>
        <v>Materialidade</v>
      </c>
      <c r="M84" s="27" t="str">
        <f t="shared" si="72"/>
        <v>Materiais Inorgânicos</v>
      </c>
      <c r="N84" s="27" t="str">
        <f t="shared" si="72"/>
        <v>Pedras</v>
      </c>
      <c r="O84" s="27" t="str">
        <f t="shared" si="72"/>
        <v>Pedra Madeira</v>
      </c>
      <c r="P84" s="28" t="s">
        <v>497</v>
      </c>
      <c r="Q84" s="31" t="str">
        <f>_xlfn.TRANSLATE(P84,"pt","es")</f>
        <v>Madera de piedra</v>
      </c>
      <c r="R84" s="29" t="s">
        <v>1</v>
      </c>
      <c r="S84" s="30" t="str">
        <f t="shared" si="9"/>
        <v>Materialidade</v>
      </c>
      <c r="T84" s="30" t="str">
        <f t="shared" si="10"/>
        <v>Materiais Inorgânicos</v>
      </c>
      <c r="U84" s="30" t="str">
        <f t="shared" si="11"/>
        <v>Pedras</v>
      </c>
      <c r="V84" s="30" t="str">
        <f t="shared" si="12"/>
        <v>Materialidade</v>
      </c>
      <c r="W84" s="18" t="str">
        <f t="shared" si="13"/>
        <v>K.Mat.84</v>
      </c>
      <c r="X84" s="28" t="s">
        <v>107</v>
      </c>
      <c r="Y84" s="28" t="s">
        <v>108</v>
      </c>
      <c r="Z84" s="78" t="s">
        <v>130</v>
      </c>
      <c r="AA84" s="28" t="str">
        <f>_xlfn.TRANSLATE(P84,"pt","en")</f>
        <v>Stone Wood</v>
      </c>
    </row>
    <row r="85" spans="1:27" ht="7.3" customHeight="1" x14ac:dyDescent="0.4">
      <c r="A85" s="26">
        <v>85</v>
      </c>
      <c r="B85" s="71" t="s">
        <v>74</v>
      </c>
      <c r="C85" s="69" t="s">
        <v>106</v>
      </c>
      <c r="D85" s="70" t="s">
        <v>522</v>
      </c>
      <c r="E85" s="70" t="s">
        <v>112</v>
      </c>
      <c r="F85" s="72" t="s">
        <v>492</v>
      </c>
      <c r="G85" s="68" t="s">
        <v>1</v>
      </c>
      <c r="H85" s="68" t="s">
        <v>1</v>
      </c>
      <c r="I85" s="68" t="s">
        <v>1</v>
      </c>
      <c r="J85" s="68" t="s">
        <v>1</v>
      </c>
      <c r="K85" s="68" t="s">
        <v>1</v>
      </c>
      <c r="L85" s="27" t="str">
        <f t="shared" si="72"/>
        <v>Materialidade</v>
      </c>
      <c r="M85" s="27" t="str">
        <f t="shared" si="72"/>
        <v>Materiais Inorgânicos</v>
      </c>
      <c r="N85" s="27" t="str">
        <f t="shared" si="72"/>
        <v>Pedras</v>
      </c>
      <c r="O85" s="27" t="str">
        <f t="shared" si="72"/>
        <v>Pedra Sabão</v>
      </c>
      <c r="P85" s="28" t="s">
        <v>498</v>
      </c>
      <c r="Q85" s="31" t="str">
        <f>_xlfn.TRANSLATE(P85,"pt","es")</f>
        <v>Esteatita</v>
      </c>
      <c r="R85" s="29" t="s">
        <v>1</v>
      </c>
      <c r="S85" s="30" t="str">
        <f t="shared" si="9"/>
        <v>Materialidade</v>
      </c>
      <c r="T85" s="30" t="str">
        <f t="shared" si="10"/>
        <v>Materiais Inorgânicos</v>
      </c>
      <c r="U85" s="30" t="str">
        <f t="shared" si="11"/>
        <v>Pedras</v>
      </c>
      <c r="V85" s="30" t="str">
        <f t="shared" si="12"/>
        <v>Materialidade</v>
      </c>
      <c r="W85" s="18" t="str">
        <f t="shared" si="13"/>
        <v>K.Mat.85</v>
      </c>
      <c r="X85" s="28" t="s">
        <v>107</v>
      </c>
      <c r="Y85" s="28" t="s">
        <v>108</v>
      </c>
      <c r="Z85" s="78" t="s">
        <v>131</v>
      </c>
      <c r="AA85" s="28" t="str">
        <f>_xlfn.TRANSLATE(P85,"pt","en")</f>
        <v>Soapstone</v>
      </c>
    </row>
    <row r="86" spans="1:27" ht="7.3" customHeight="1" x14ac:dyDescent="0.4">
      <c r="A86" s="26">
        <v>86</v>
      </c>
      <c r="B86" s="71" t="s">
        <v>74</v>
      </c>
      <c r="C86" s="69" t="s">
        <v>106</v>
      </c>
      <c r="D86" s="70" t="s">
        <v>522</v>
      </c>
      <c r="E86" s="70" t="s">
        <v>112</v>
      </c>
      <c r="F86" s="72" t="s">
        <v>493</v>
      </c>
      <c r="G86" s="68" t="s">
        <v>1</v>
      </c>
      <c r="H86" s="68" t="s">
        <v>1</v>
      </c>
      <c r="I86" s="68" t="s">
        <v>1</v>
      </c>
      <c r="J86" s="68" t="s">
        <v>1</v>
      </c>
      <c r="K86" s="68" t="s">
        <v>1</v>
      </c>
      <c r="L86" s="27" t="str">
        <f t="shared" si="72"/>
        <v>Materialidade</v>
      </c>
      <c r="M86" s="27" t="str">
        <f t="shared" si="72"/>
        <v>Materiais Inorgânicos</v>
      </c>
      <c r="N86" s="27" t="str">
        <f t="shared" si="72"/>
        <v>Pedras</v>
      </c>
      <c r="O86" s="27" t="str">
        <f t="shared" si="72"/>
        <v>Pedra Lagoa Santa</v>
      </c>
      <c r="P86" s="28" t="s">
        <v>485</v>
      </c>
      <c r="Q86" s="31" t="str">
        <f>_xlfn.TRANSLATE(P86,"pt","es")</f>
        <v>Lagoa Santa Stone</v>
      </c>
      <c r="R86" s="29" t="s">
        <v>1</v>
      </c>
      <c r="S86" s="30" t="str">
        <f t="shared" si="9"/>
        <v>Materialidade</v>
      </c>
      <c r="T86" s="30" t="str">
        <f t="shared" si="10"/>
        <v>Materiais Inorgânicos</v>
      </c>
      <c r="U86" s="30" t="str">
        <f t="shared" si="11"/>
        <v>Pedras</v>
      </c>
      <c r="V86" s="30" t="str">
        <f t="shared" si="12"/>
        <v>Materialidade</v>
      </c>
      <c r="W86" s="18" t="str">
        <f t="shared" si="13"/>
        <v>K.Mat.86</v>
      </c>
      <c r="X86" s="28" t="s">
        <v>107</v>
      </c>
      <c r="Y86" s="28" t="s">
        <v>108</v>
      </c>
      <c r="Z86" s="78" t="s">
        <v>132</v>
      </c>
      <c r="AA86" s="28" t="str">
        <f>_xlfn.TRANSLATE(P86,"pt","en")</f>
        <v>Lagoa Santa Stone</v>
      </c>
    </row>
    <row r="87" spans="1:27" ht="7.3" customHeight="1" x14ac:dyDescent="0.4">
      <c r="A87" s="26">
        <v>87</v>
      </c>
      <c r="B87" s="71" t="s">
        <v>74</v>
      </c>
      <c r="C87" s="69" t="s">
        <v>106</v>
      </c>
      <c r="D87" s="70" t="s">
        <v>522</v>
      </c>
      <c r="E87" s="70" t="s">
        <v>112</v>
      </c>
      <c r="F87" s="72" t="s">
        <v>494</v>
      </c>
      <c r="G87" s="68" t="s">
        <v>1</v>
      </c>
      <c r="H87" s="68" t="s">
        <v>1</v>
      </c>
      <c r="I87" s="68" t="s">
        <v>1</v>
      </c>
      <c r="J87" s="68" t="s">
        <v>1</v>
      </c>
      <c r="K87" s="68" t="s">
        <v>1</v>
      </c>
      <c r="L87" s="27" t="str">
        <f t="shared" si="72"/>
        <v>Materialidade</v>
      </c>
      <c r="M87" s="27" t="str">
        <f t="shared" si="72"/>
        <v>Materiais Inorgânicos</v>
      </c>
      <c r="N87" s="27" t="str">
        <f t="shared" si="72"/>
        <v>Pedras</v>
      </c>
      <c r="O87" s="27" t="str">
        <f t="shared" si="72"/>
        <v>Pedra Cariri</v>
      </c>
      <c r="P87" s="28" t="s">
        <v>486</v>
      </c>
      <c r="Q87" s="31" t="str">
        <f>_xlfn.TRANSLATE(P87,"pt","es")</f>
        <v>Piedra de Cariri</v>
      </c>
      <c r="R87" s="29" t="s">
        <v>1</v>
      </c>
      <c r="S87" s="30" t="str">
        <f t="shared" si="9"/>
        <v>Materialidade</v>
      </c>
      <c r="T87" s="30" t="str">
        <f t="shared" si="10"/>
        <v>Materiais Inorgânicos</v>
      </c>
      <c r="U87" s="30" t="str">
        <f t="shared" si="11"/>
        <v>Pedras</v>
      </c>
      <c r="V87" s="30" t="str">
        <f t="shared" si="12"/>
        <v>Materialidade</v>
      </c>
      <c r="W87" s="18" t="str">
        <f t="shared" si="13"/>
        <v>K.Mat.87</v>
      </c>
      <c r="X87" s="28" t="s">
        <v>107</v>
      </c>
      <c r="Y87" s="28" t="s">
        <v>108</v>
      </c>
      <c r="Z87" s="78" t="s">
        <v>133</v>
      </c>
      <c r="AA87" s="28" t="str">
        <f>_xlfn.TRANSLATE(P87,"pt","en")</f>
        <v>Cariri Stone</v>
      </c>
    </row>
    <row r="88" spans="1:27" ht="7.3" customHeight="1" x14ac:dyDescent="0.4">
      <c r="A88" s="26">
        <v>88</v>
      </c>
      <c r="B88" s="71" t="s">
        <v>74</v>
      </c>
      <c r="C88" s="69" t="s">
        <v>106</v>
      </c>
      <c r="D88" s="70" t="s">
        <v>522</v>
      </c>
      <c r="E88" s="70" t="s">
        <v>112</v>
      </c>
      <c r="F88" s="72" t="s">
        <v>495</v>
      </c>
      <c r="G88" s="68" t="s">
        <v>1</v>
      </c>
      <c r="H88" s="68" t="s">
        <v>1</v>
      </c>
      <c r="I88" s="68" t="s">
        <v>1</v>
      </c>
      <c r="J88" s="68" t="s">
        <v>1</v>
      </c>
      <c r="K88" s="68" t="s">
        <v>1</v>
      </c>
      <c r="L88" s="27" t="str">
        <f t="shared" si="72"/>
        <v>Materialidade</v>
      </c>
      <c r="M88" s="27" t="str">
        <f t="shared" si="72"/>
        <v>Materiais Inorgânicos</v>
      </c>
      <c r="N88" s="27" t="str">
        <f t="shared" si="72"/>
        <v>Pedras</v>
      </c>
      <c r="O88" s="27" t="str">
        <f t="shared" si="72"/>
        <v>Rochas de Quarlzo</v>
      </c>
      <c r="P88" s="28" t="s">
        <v>499</v>
      </c>
      <c r="Q88" s="31" t="str">
        <f>_xlfn.TRANSLATE(P88,"pt","es")</f>
        <v>Rocas de Quarlzo</v>
      </c>
      <c r="R88" s="29" t="s">
        <v>1</v>
      </c>
      <c r="S88" s="30" t="str">
        <f t="shared" si="9"/>
        <v>Materialidade</v>
      </c>
      <c r="T88" s="30" t="str">
        <f t="shared" si="10"/>
        <v>Materiais Inorgânicos</v>
      </c>
      <c r="U88" s="30" t="str">
        <f t="shared" si="11"/>
        <v>Pedras</v>
      </c>
      <c r="V88" s="30" t="str">
        <f t="shared" si="12"/>
        <v>Materialidade</v>
      </c>
      <c r="W88" s="18" t="str">
        <f t="shared" si="13"/>
        <v>K.Mat.88</v>
      </c>
      <c r="X88" s="28" t="s">
        <v>107</v>
      </c>
      <c r="Y88" s="28" t="s">
        <v>108</v>
      </c>
      <c r="Z88" s="78" t="s">
        <v>134</v>
      </c>
      <c r="AA88" s="28" t="str">
        <f>_xlfn.TRANSLATE(P88,"pt","en")</f>
        <v>Rocks of Quarlzo</v>
      </c>
    </row>
    <row r="89" spans="1:27" ht="7.3" customHeight="1" x14ac:dyDescent="0.4">
      <c r="A89" s="26">
        <v>89</v>
      </c>
      <c r="B89" s="71" t="s">
        <v>74</v>
      </c>
      <c r="C89" s="69" t="s">
        <v>106</v>
      </c>
      <c r="D89" s="70" t="s">
        <v>522</v>
      </c>
      <c r="E89" s="70" t="s">
        <v>112</v>
      </c>
      <c r="F89" s="70" t="s">
        <v>249</v>
      </c>
      <c r="G89" s="68" t="s">
        <v>1</v>
      </c>
      <c r="H89" s="68" t="s">
        <v>1</v>
      </c>
      <c r="I89" s="68" t="s">
        <v>1</v>
      </c>
      <c r="J89" s="68" t="s">
        <v>1</v>
      </c>
      <c r="K89" s="68" t="s">
        <v>1</v>
      </c>
      <c r="L89" s="27" t="str">
        <f t="shared" si="72"/>
        <v>Materialidade</v>
      </c>
      <c r="M89" s="27" t="str">
        <f t="shared" si="72"/>
        <v>Materiais Inorgânicos</v>
      </c>
      <c r="N89" s="27" t="str">
        <f t="shared" si="72"/>
        <v>Pedras</v>
      </c>
      <c r="O89" s="27" t="str">
        <f t="shared" si="72"/>
        <v>Ardósia</v>
      </c>
      <c r="P89" s="28" t="s">
        <v>361</v>
      </c>
      <c r="Q89" s="31" t="str">
        <f>_xlfn.TRANSLATE(P89,"pt","es")</f>
        <v>Se originó en arcilla o lutita sometida a metamorfismo de bajo grado. Compuesto de cuarzo, mica, clorita. De grano fino, escote en hojas finas, colores oscuros. Usados, tejados, suelos, fachadas, mesas y pizarras escolares.</v>
      </c>
      <c r="R89" s="29" t="s">
        <v>1</v>
      </c>
      <c r="S89" s="30" t="str">
        <f t="shared" si="9"/>
        <v>Materialidade</v>
      </c>
      <c r="T89" s="30" t="str">
        <f t="shared" si="10"/>
        <v>Materiais Inorgânicos</v>
      </c>
      <c r="U89" s="30" t="str">
        <f t="shared" si="11"/>
        <v>Pedras</v>
      </c>
      <c r="V89" s="30" t="str">
        <f t="shared" si="12"/>
        <v>Materialidade</v>
      </c>
      <c r="W89" s="18" t="str">
        <f t="shared" si="13"/>
        <v>K.Mat.89</v>
      </c>
      <c r="X89" s="28" t="s">
        <v>107</v>
      </c>
      <c r="Y89" s="28" t="s">
        <v>108</v>
      </c>
      <c r="Z89" s="78" t="s">
        <v>134</v>
      </c>
      <c r="AA89" s="28" t="str">
        <f>_xlfn.TRANSLATE(P89,"pt","en")</f>
        <v>Originated in clay or shale subjected to low-grade metamorphism. Composed of quartz, mica, chlorite. Fine-grained, cleavage into thin blades, dark colors. Used and roofs, floors, facades, tables and school blackboards.</v>
      </c>
    </row>
    <row r="90" spans="1:27" ht="7.3" customHeight="1" x14ac:dyDescent="0.4">
      <c r="A90" s="26">
        <v>90</v>
      </c>
      <c r="B90" s="71" t="s">
        <v>74</v>
      </c>
      <c r="C90" s="69" t="s">
        <v>106</v>
      </c>
      <c r="D90" s="70" t="s">
        <v>522</v>
      </c>
      <c r="E90" s="70" t="s">
        <v>112</v>
      </c>
      <c r="F90" s="70" t="s">
        <v>359</v>
      </c>
      <c r="G90" s="68" t="s">
        <v>1</v>
      </c>
      <c r="H90" s="68" t="s">
        <v>1</v>
      </c>
      <c r="I90" s="68" t="s">
        <v>1</v>
      </c>
      <c r="J90" s="68" t="s">
        <v>1</v>
      </c>
      <c r="K90" s="68" t="s">
        <v>1</v>
      </c>
      <c r="L90" s="27" t="str">
        <f t="shared" ref="L90:L91" si="91">SUBSTITUTE(CONCATENATE("", C90), ".", " ")</f>
        <v>Materialidade</v>
      </c>
      <c r="M90" s="27" t="str">
        <f t="shared" ref="M90:M91" si="92">SUBSTITUTE(CONCATENATE("", D90), ".", " ")</f>
        <v>Materiais Inorgânicos</v>
      </c>
      <c r="N90" s="27" t="str">
        <f t="shared" ref="N90:N91" si="93">SUBSTITUTE(CONCATENATE("", E90), ".", " ")</f>
        <v>Pedras</v>
      </c>
      <c r="O90" s="27" t="str">
        <f t="shared" ref="O90:O91" si="94">SUBSTITUTE(CONCATENATE("", F90), ".", " ")</f>
        <v>Arenito</v>
      </c>
      <c r="P90" s="28" t="s">
        <v>363</v>
      </c>
      <c r="Q90" s="31" t="str">
        <f>_xlfn.TRANSLATE(P90,"pt","es")</f>
        <v>Se originó en la compactación y cementación de granos de arena. Compuesto principalmente por cuarzo y feldespato, cementado por sílice, carbonato o óxidos de hierro. Es poroso y de colores variados. Se utiliza en recubrimientos y depósitos de agua y aceite.</v>
      </c>
      <c r="R90" s="29" t="s">
        <v>1</v>
      </c>
      <c r="S90" s="30" t="str">
        <f t="shared" ref="S90:S91" si="95">SUBSTITUTE(C90, ".", " ")</f>
        <v>Materialidade</v>
      </c>
      <c r="T90" s="30" t="str">
        <f t="shared" ref="T90:T91" si="96">SUBSTITUTE(D90, ".", " ")</f>
        <v>Materiais Inorgânicos</v>
      </c>
      <c r="U90" s="30" t="str">
        <f t="shared" ref="U90:U91" si="97">SUBSTITUTE(E90, ".", " ")</f>
        <v>Pedras</v>
      </c>
      <c r="V90" s="30" t="str">
        <f t="shared" ref="V90:V91" si="98">SUBSTITUTE(C90, ".", " ")</f>
        <v>Materialidade</v>
      </c>
      <c r="W90" s="18" t="str">
        <f t="shared" ref="W90:W91" si="99">CONCATENATE("K.",LEFT(C90,3),".",A90)</f>
        <v>K.Mat.90</v>
      </c>
      <c r="X90" s="28" t="s">
        <v>107</v>
      </c>
      <c r="Y90" s="28" t="s">
        <v>108</v>
      </c>
      <c r="Z90" s="78" t="s">
        <v>136</v>
      </c>
      <c r="AA90" s="28" t="str">
        <f>_xlfn.TRANSLATE(P90,"pt","en")</f>
        <v>Originated in compaction and cementation of sand grains. Composed mainly of quartz and feldspar, cemented by silica, carbonate or iron oxides. It is porous and with varied colors. Used in coatings and water and oil reservoirs.</v>
      </c>
    </row>
    <row r="91" spans="1:27" ht="7.3" customHeight="1" x14ac:dyDescent="0.4">
      <c r="A91" s="26">
        <v>91</v>
      </c>
      <c r="B91" s="71" t="s">
        <v>74</v>
      </c>
      <c r="C91" s="69" t="s">
        <v>106</v>
      </c>
      <c r="D91" s="70" t="s">
        <v>522</v>
      </c>
      <c r="E91" s="70" t="s">
        <v>112</v>
      </c>
      <c r="F91" s="70" t="s">
        <v>360</v>
      </c>
      <c r="G91" s="68" t="s">
        <v>1</v>
      </c>
      <c r="H91" s="68" t="s">
        <v>1</v>
      </c>
      <c r="I91" s="68" t="s">
        <v>1</v>
      </c>
      <c r="J91" s="68" t="s">
        <v>1</v>
      </c>
      <c r="K91" s="68" t="s">
        <v>1</v>
      </c>
      <c r="L91" s="27" t="str">
        <f t="shared" si="91"/>
        <v>Materialidade</v>
      </c>
      <c r="M91" s="27" t="str">
        <f t="shared" si="92"/>
        <v>Materiais Inorgânicos</v>
      </c>
      <c r="N91" s="27" t="str">
        <f t="shared" si="93"/>
        <v>Pedras</v>
      </c>
      <c r="O91" s="27" t="str">
        <f t="shared" si="94"/>
        <v>Basalto</v>
      </c>
      <c r="P91" s="28" t="s">
        <v>364</v>
      </c>
      <c r="Q91" s="31" t="str">
        <f>_xlfn.TRANSLATE(P91,"pt","es")</f>
        <v>Se originó en lava volcánica enfriada rápidamente. Compuesto por silicatos de hierro y magnesio. Color oscuro, textura fina, muy resistente. Se utiliza en grava para hormigón, pavimentación y recubrimientos.</v>
      </c>
      <c r="R91" s="29" t="s">
        <v>1</v>
      </c>
      <c r="S91" s="30" t="str">
        <f t="shared" si="95"/>
        <v>Materialidade</v>
      </c>
      <c r="T91" s="30" t="str">
        <f t="shared" si="96"/>
        <v>Materiais Inorgânicos</v>
      </c>
      <c r="U91" s="30" t="str">
        <f t="shared" si="97"/>
        <v>Pedras</v>
      </c>
      <c r="V91" s="30" t="str">
        <f t="shared" si="98"/>
        <v>Materialidade</v>
      </c>
      <c r="W91" s="18" t="str">
        <f t="shared" si="99"/>
        <v>K.Mat.91</v>
      </c>
      <c r="X91" s="28" t="s">
        <v>107</v>
      </c>
      <c r="Y91" s="28" t="s">
        <v>108</v>
      </c>
      <c r="Z91" s="78" t="s">
        <v>123</v>
      </c>
      <c r="AA91" s="28" t="str">
        <f>_xlfn.TRANSLATE(P91,"pt","en")</f>
        <v>Originated in rapidly cooled volcanic lava. Composed of iron and magnesium silicates. Dark color, fine texture, very resistant. Used in gravel for concrete, paving and coatings.</v>
      </c>
    </row>
    <row r="92" spans="1:27" ht="7.3" customHeight="1" x14ac:dyDescent="0.4">
      <c r="A92" s="26">
        <v>92</v>
      </c>
      <c r="B92" s="71" t="s">
        <v>74</v>
      </c>
      <c r="C92" s="69" t="s">
        <v>106</v>
      </c>
      <c r="D92" s="70" t="s">
        <v>522</v>
      </c>
      <c r="E92" s="70" t="s">
        <v>112</v>
      </c>
      <c r="F92" s="70" t="s">
        <v>250</v>
      </c>
      <c r="G92" s="68" t="s">
        <v>1</v>
      </c>
      <c r="H92" s="68" t="s">
        <v>1</v>
      </c>
      <c r="I92" s="68" t="s">
        <v>1</v>
      </c>
      <c r="J92" s="68" t="s">
        <v>1</v>
      </c>
      <c r="K92" s="68" t="s">
        <v>1</v>
      </c>
      <c r="L92" s="27" t="str">
        <f t="shared" si="72"/>
        <v>Materialidade</v>
      </c>
      <c r="M92" s="27" t="str">
        <f t="shared" si="72"/>
        <v>Materiais Inorgânicos</v>
      </c>
      <c r="N92" s="27" t="str">
        <f t="shared" si="72"/>
        <v>Pedras</v>
      </c>
      <c r="O92" s="27" t="str">
        <f t="shared" si="72"/>
        <v xml:space="preserve">Travertino </v>
      </c>
      <c r="P92" s="28" t="s">
        <v>365</v>
      </c>
      <c r="Q92" s="31" t="str">
        <f>_xlfn.TRANSLATE(P92,"pt","es")</f>
        <v>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v>
      </c>
      <c r="R92" s="29" t="s">
        <v>1</v>
      </c>
      <c r="S92" s="30" t="str">
        <f t="shared" si="9"/>
        <v>Materialidade</v>
      </c>
      <c r="T92" s="30" t="str">
        <f t="shared" si="10"/>
        <v>Materiais Inorgânicos</v>
      </c>
      <c r="U92" s="30" t="str">
        <f t="shared" si="11"/>
        <v>Pedras</v>
      </c>
      <c r="V92" s="30" t="str">
        <f t="shared" si="12"/>
        <v>Materialidade</v>
      </c>
      <c r="W92" s="18" t="str">
        <f t="shared" si="13"/>
        <v>K.Mat.92</v>
      </c>
      <c r="X92" s="28" t="s">
        <v>107</v>
      </c>
      <c r="Y92" s="28" t="s">
        <v>108</v>
      </c>
      <c r="Z92" s="78" t="s">
        <v>123</v>
      </c>
      <c r="AA92" s="28" t="str">
        <f>_xlfn.TRANSLATE(P92,"pt","en")</f>
        <v>Originated in precipitation of calcium carbonate in hot springs and cave environments. Composed of calcite, aragonite and limonite. Porous with striking veins, beige to brown tones. Used to enhance internal and external coatings, floors, stairs, columns.</v>
      </c>
    </row>
    <row r="93" spans="1:27" ht="7.3" customHeight="1" x14ac:dyDescent="0.4">
      <c r="A93" s="26">
        <v>93</v>
      </c>
      <c r="B93" s="71" t="s">
        <v>74</v>
      </c>
      <c r="C93" s="69" t="s">
        <v>106</v>
      </c>
      <c r="D93" s="70" t="s">
        <v>383</v>
      </c>
      <c r="E93" s="70" t="s">
        <v>111</v>
      </c>
      <c r="F93" s="70" t="s">
        <v>110</v>
      </c>
      <c r="G93" s="68" t="s">
        <v>1</v>
      </c>
      <c r="H93" s="68" t="s">
        <v>1</v>
      </c>
      <c r="I93" s="68" t="s">
        <v>1</v>
      </c>
      <c r="J93" s="68" t="s">
        <v>1</v>
      </c>
      <c r="K93" s="68" t="s">
        <v>1</v>
      </c>
      <c r="L93" s="27" t="str">
        <f t="shared" si="72"/>
        <v>Materialidade</v>
      </c>
      <c r="M93" s="27" t="str">
        <f t="shared" si="72"/>
        <v>Materiais Orgânicos</v>
      </c>
      <c r="N93" s="27" t="str">
        <f t="shared" si="72"/>
        <v>Madeiras</v>
      </c>
      <c r="O93" s="27" t="str">
        <f t="shared" si="72"/>
        <v>Madeira</v>
      </c>
      <c r="P93" s="28" t="s">
        <v>424</v>
      </c>
      <c r="Q93" s="31" t="str">
        <f>_xlfn.TRANSLATE(P93,"pt","es")</f>
        <v>Material extraído de árboles.</v>
      </c>
      <c r="R93" s="29" t="s">
        <v>1</v>
      </c>
      <c r="S93" s="30" t="str">
        <f t="shared" si="9"/>
        <v>Materialidade</v>
      </c>
      <c r="T93" s="30" t="str">
        <f t="shared" si="10"/>
        <v>Materiais Orgânicos</v>
      </c>
      <c r="U93" s="30" t="str">
        <f t="shared" si="11"/>
        <v>Madeiras</v>
      </c>
      <c r="V93" s="30" t="str">
        <f t="shared" si="12"/>
        <v>Materialidade</v>
      </c>
      <c r="W93" s="18" t="str">
        <f t="shared" si="13"/>
        <v>K.Mat.93</v>
      </c>
      <c r="X93" s="28" t="s">
        <v>107</v>
      </c>
      <c r="Y93" s="28" t="s">
        <v>108</v>
      </c>
      <c r="Z93" s="78" t="s">
        <v>168</v>
      </c>
      <c r="AA93" s="28" t="str">
        <f t="shared" ref="AA93:AA153" si="100">_xlfn.TRANSLATE(P93,"pt","en")</f>
        <v>Material extracted from trees.</v>
      </c>
    </row>
    <row r="94" spans="1:27" ht="7.3" customHeight="1" x14ac:dyDescent="0.4">
      <c r="A94" s="26">
        <v>94</v>
      </c>
      <c r="B94" s="71" t="s">
        <v>74</v>
      </c>
      <c r="C94" s="69" t="s">
        <v>106</v>
      </c>
      <c r="D94" s="70" t="s">
        <v>383</v>
      </c>
      <c r="E94" s="70" t="s">
        <v>111</v>
      </c>
      <c r="F94" s="72" t="s">
        <v>397</v>
      </c>
      <c r="G94" s="68" t="s">
        <v>1</v>
      </c>
      <c r="H94" s="68" t="s">
        <v>1</v>
      </c>
      <c r="I94" s="68" t="s">
        <v>1</v>
      </c>
      <c r="J94" s="68" t="s">
        <v>1</v>
      </c>
      <c r="K94" s="68" t="s">
        <v>1</v>
      </c>
      <c r="L94" s="27" t="str">
        <f t="shared" ref="L94:L119" si="101">SUBSTITUTE(CONCATENATE("", C94), ".", " ")</f>
        <v>Materialidade</v>
      </c>
      <c r="M94" s="27" t="str">
        <f t="shared" ref="M94:M119" si="102">SUBSTITUTE(CONCATENATE("", D94), ".", " ")</f>
        <v>Materiais Orgânicos</v>
      </c>
      <c r="N94" s="27" t="str">
        <f t="shared" ref="N94:N119" si="103">SUBSTITUTE(CONCATENATE("", E94), ".", " ")</f>
        <v>Madeiras</v>
      </c>
      <c r="O94" s="27" t="str">
        <f t="shared" ref="O94:O119" si="104">SUBSTITUTE(CONCATENATE("", F94), ".", " ")</f>
        <v>Madeira Resinosa</v>
      </c>
      <c r="P94" s="28" t="str">
        <f>O94</f>
        <v>Madeira Resinosa</v>
      </c>
      <c r="Q94" s="31" t="str">
        <f t="shared" ref="Q94:Q119" si="105">_xlfn.TRANSLATE(P94,"pt","es")</f>
        <v>Madera blanda</v>
      </c>
      <c r="R94" s="29" t="s">
        <v>1</v>
      </c>
      <c r="S94" s="30" t="str">
        <f t="shared" ref="S94:S119" si="106">SUBSTITUTE(C94, ".", " ")</f>
        <v>Materialidade</v>
      </c>
      <c r="T94" s="30" t="str">
        <f t="shared" ref="T94:T119" si="107">SUBSTITUTE(D94, ".", " ")</f>
        <v>Materiais Orgânicos</v>
      </c>
      <c r="U94" s="30" t="str">
        <f t="shared" ref="U94:U119" si="108">SUBSTITUTE(E94, ".", " ")</f>
        <v>Madeiras</v>
      </c>
      <c r="V94" s="30" t="str">
        <f t="shared" ref="V94:V119" si="109">SUBSTITUTE(C94, ".", " ")</f>
        <v>Materialidade</v>
      </c>
      <c r="W94" s="18" t="str">
        <f t="shared" ref="W94:W119" si="110">CONCATENATE("K.",LEFT(C94,3),".",A94)</f>
        <v>K.Mat.94</v>
      </c>
      <c r="X94" s="28" t="s">
        <v>107</v>
      </c>
      <c r="Y94" s="28" t="s">
        <v>108</v>
      </c>
      <c r="Z94" s="78" t="s">
        <v>169</v>
      </c>
      <c r="AA94" s="28" t="str">
        <f t="shared" si="100"/>
        <v>Softwood</v>
      </c>
    </row>
    <row r="95" spans="1:27" ht="7.3" customHeight="1" x14ac:dyDescent="0.4">
      <c r="A95" s="26">
        <v>95</v>
      </c>
      <c r="B95" s="71" t="s">
        <v>74</v>
      </c>
      <c r="C95" s="69" t="s">
        <v>106</v>
      </c>
      <c r="D95" s="70" t="s">
        <v>383</v>
      </c>
      <c r="E95" s="70" t="s">
        <v>111</v>
      </c>
      <c r="F95" s="72" t="s">
        <v>398</v>
      </c>
      <c r="G95" s="68" t="s">
        <v>1</v>
      </c>
      <c r="H95" s="68" t="s">
        <v>1</v>
      </c>
      <c r="I95" s="68" t="s">
        <v>1</v>
      </c>
      <c r="J95" s="68" t="s">
        <v>1</v>
      </c>
      <c r="K95" s="68" t="s">
        <v>1</v>
      </c>
      <c r="L95" s="27" t="str">
        <f t="shared" si="101"/>
        <v>Materialidade</v>
      </c>
      <c r="M95" s="27" t="str">
        <f t="shared" si="102"/>
        <v>Materiais Orgânicos</v>
      </c>
      <c r="N95" s="27" t="str">
        <f t="shared" si="103"/>
        <v>Madeiras</v>
      </c>
      <c r="O95" s="27" t="str">
        <f t="shared" si="104"/>
        <v>Madeira de Pinus</v>
      </c>
      <c r="P95" s="28" t="str">
        <f t="shared" ref="P95:P119" si="111">O95</f>
        <v>Madeira de Pinus</v>
      </c>
      <c r="Q95" s="31" t="str">
        <f t="shared" si="105"/>
        <v>Pino</v>
      </c>
      <c r="R95" s="29" t="s">
        <v>1</v>
      </c>
      <c r="S95" s="30" t="str">
        <f t="shared" si="106"/>
        <v>Materialidade</v>
      </c>
      <c r="T95" s="30" t="str">
        <f t="shared" si="107"/>
        <v>Materiais Orgânicos</v>
      </c>
      <c r="U95" s="30" t="str">
        <f t="shared" si="108"/>
        <v>Madeiras</v>
      </c>
      <c r="V95" s="30" t="str">
        <f t="shared" si="109"/>
        <v>Materialidade</v>
      </c>
      <c r="W95" s="18" t="str">
        <f t="shared" si="110"/>
        <v>K.Mat.95</v>
      </c>
      <c r="X95" s="28" t="s">
        <v>107</v>
      </c>
      <c r="Y95" s="28" t="s">
        <v>108</v>
      </c>
      <c r="Z95" s="78" t="s">
        <v>170</v>
      </c>
      <c r="AA95" s="28" t="str">
        <f t="shared" si="100"/>
        <v>Pine Wood</v>
      </c>
    </row>
    <row r="96" spans="1:27" ht="7.3" customHeight="1" x14ac:dyDescent="0.4">
      <c r="A96" s="26">
        <v>96</v>
      </c>
      <c r="B96" s="71" t="s">
        <v>74</v>
      </c>
      <c r="C96" s="69" t="s">
        <v>106</v>
      </c>
      <c r="D96" s="70" t="s">
        <v>383</v>
      </c>
      <c r="E96" s="70" t="s">
        <v>111</v>
      </c>
      <c r="F96" s="72" t="s">
        <v>399</v>
      </c>
      <c r="G96" s="68" t="s">
        <v>1</v>
      </c>
      <c r="H96" s="68" t="s">
        <v>1</v>
      </c>
      <c r="I96" s="68" t="s">
        <v>1</v>
      </c>
      <c r="J96" s="68" t="s">
        <v>1</v>
      </c>
      <c r="K96" s="68" t="s">
        <v>1</v>
      </c>
      <c r="L96" s="27" t="str">
        <f t="shared" si="101"/>
        <v>Materialidade</v>
      </c>
      <c r="M96" s="27" t="str">
        <f t="shared" si="102"/>
        <v>Materiais Orgânicos</v>
      </c>
      <c r="N96" s="27" t="str">
        <f t="shared" si="103"/>
        <v>Madeiras</v>
      </c>
      <c r="O96" s="27" t="str">
        <f t="shared" si="104"/>
        <v>Madeira de Peroba</v>
      </c>
      <c r="P96" s="28" t="str">
        <f t="shared" si="111"/>
        <v>Madeira de Peroba</v>
      </c>
      <c r="Q96" s="31" t="str">
        <f t="shared" si="105"/>
        <v>Peroba Wood</v>
      </c>
      <c r="R96" s="29" t="s">
        <v>1</v>
      </c>
      <c r="S96" s="30" t="str">
        <f t="shared" si="106"/>
        <v>Materialidade</v>
      </c>
      <c r="T96" s="30" t="str">
        <f t="shared" si="107"/>
        <v>Materiais Orgânicos</v>
      </c>
      <c r="U96" s="30" t="str">
        <f t="shared" si="108"/>
        <v>Madeiras</v>
      </c>
      <c r="V96" s="30" t="str">
        <f t="shared" si="109"/>
        <v>Materialidade</v>
      </c>
      <c r="W96" s="18" t="str">
        <f t="shared" si="110"/>
        <v>K.Mat.96</v>
      </c>
      <c r="X96" s="28" t="s">
        <v>107</v>
      </c>
      <c r="Y96" s="28" t="s">
        <v>108</v>
      </c>
      <c r="Z96" s="78" t="s">
        <v>171</v>
      </c>
      <c r="AA96" s="28" t="str">
        <f t="shared" si="100"/>
        <v>Peroba Wood</v>
      </c>
    </row>
    <row r="97" spans="1:27" ht="7.3" customHeight="1" x14ac:dyDescent="0.4">
      <c r="A97" s="26">
        <v>97</v>
      </c>
      <c r="B97" s="71" t="s">
        <v>74</v>
      </c>
      <c r="C97" s="69" t="s">
        <v>106</v>
      </c>
      <c r="D97" s="70" t="s">
        <v>383</v>
      </c>
      <c r="E97" s="70" t="s">
        <v>111</v>
      </c>
      <c r="F97" s="72" t="s">
        <v>400</v>
      </c>
      <c r="G97" s="68" t="s">
        <v>1</v>
      </c>
      <c r="H97" s="68" t="s">
        <v>1</v>
      </c>
      <c r="I97" s="68" t="s">
        <v>1</v>
      </c>
      <c r="J97" s="68" t="s">
        <v>1</v>
      </c>
      <c r="K97" s="68" t="s">
        <v>1</v>
      </c>
      <c r="L97" s="27" t="str">
        <f t="shared" si="101"/>
        <v>Materialidade</v>
      </c>
      <c r="M97" s="27" t="str">
        <f t="shared" si="102"/>
        <v>Materiais Orgânicos</v>
      </c>
      <c r="N97" s="27" t="str">
        <f t="shared" si="103"/>
        <v>Madeiras</v>
      </c>
      <c r="O97" s="27" t="str">
        <f t="shared" si="104"/>
        <v>Madeira de Mogno</v>
      </c>
      <c r="P97" s="28" t="str">
        <f t="shared" si="111"/>
        <v>Madeira de Mogno</v>
      </c>
      <c r="Q97" s="31" t="str">
        <f t="shared" si="105"/>
        <v>Madera de caoba</v>
      </c>
      <c r="R97" s="29" t="s">
        <v>1</v>
      </c>
      <c r="S97" s="30" t="str">
        <f t="shared" si="106"/>
        <v>Materialidade</v>
      </c>
      <c r="T97" s="30" t="str">
        <f t="shared" si="107"/>
        <v>Materiais Orgânicos</v>
      </c>
      <c r="U97" s="30" t="str">
        <f t="shared" si="108"/>
        <v>Madeiras</v>
      </c>
      <c r="V97" s="30" t="str">
        <f t="shared" si="109"/>
        <v>Materialidade</v>
      </c>
      <c r="W97" s="18" t="str">
        <f t="shared" si="110"/>
        <v>K.Mat.97</v>
      </c>
      <c r="X97" s="28" t="s">
        <v>107</v>
      </c>
      <c r="Y97" s="28" t="s">
        <v>108</v>
      </c>
      <c r="Z97" s="78" t="s">
        <v>172</v>
      </c>
      <c r="AA97" s="28" t="str">
        <f t="shared" si="100"/>
        <v>Mahogany Wood</v>
      </c>
    </row>
    <row r="98" spans="1:27" ht="7.3" customHeight="1" x14ac:dyDescent="0.4">
      <c r="A98" s="26">
        <v>98</v>
      </c>
      <c r="B98" s="71" t="s">
        <v>74</v>
      </c>
      <c r="C98" s="69" t="s">
        <v>106</v>
      </c>
      <c r="D98" s="70" t="s">
        <v>383</v>
      </c>
      <c r="E98" s="70" t="s">
        <v>111</v>
      </c>
      <c r="F98" s="72" t="s">
        <v>401</v>
      </c>
      <c r="G98" s="68" t="s">
        <v>1</v>
      </c>
      <c r="H98" s="68" t="s">
        <v>1</v>
      </c>
      <c r="I98" s="68" t="s">
        <v>1</v>
      </c>
      <c r="J98" s="68" t="s">
        <v>1</v>
      </c>
      <c r="K98" s="68" t="s">
        <v>1</v>
      </c>
      <c r="L98" s="27" t="str">
        <f t="shared" si="101"/>
        <v>Materialidade</v>
      </c>
      <c r="M98" s="27" t="str">
        <f t="shared" si="102"/>
        <v>Materiais Orgânicos</v>
      </c>
      <c r="N98" s="27" t="str">
        <f t="shared" si="103"/>
        <v>Madeiras</v>
      </c>
      <c r="O98" s="27" t="str">
        <f t="shared" si="104"/>
        <v>Madeira de Cedro Vermelho Ocidental</v>
      </c>
      <c r="P98" s="28" t="str">
        <f t="shared" si="111"/>
        <v>Madeira de Cedro Vermelho Ocidental</v>
      </c>
      <c r="Q98" s="31" t="str">
        <f t="shared" si="105"/>
        <v>Madera de cedro rojo occidental</v>
      </c>
      <c r="R98" s="29" t="s">
        <v>1</v>
      </c>
      <c r="S98" s="30" t="str">
        <f t="shared" si="106"/>
        <v>Materialidade</v>
      </c>
      <c r="T98" s="30" t="str">
        <f t="shared" si="107"/>
        <v>Materiais Orgânicos</v>
      </c>
      <c r="U98" s="30" t="str">
        <f t="shared" si="108"/>
        <v>Madeiras</v>
      </c>
      <c r="V98" s="30" t="str">
        <f t="shared" si="109"/>
        <v>Materialidade</v>
      </c>
      <c r="W98" s="18" t="str">
        <f t="shared" si="110"/>
        <v>K.Mat.98</v>
      </c>
      <c r="X98" s="28" t="s">
        <v>107</v>
      </c>
      <c r="Y98" s="28" t="s">
        <v>108</v>
      </c>
      <c r="Z98" s="78" t="s">
        <v>173</v>
      </c>
      <c r="AA98" s="28" t="str">
        <f t="shared" si="100"/>
        <v>Western Red Cedar Wood</v>
      </c>
    </row>
    <row r="99" spans="1:27" ht="7.3" customHeight="1" x14ac:dyDescent="0.4">
      <c r="A99" s="26">
        <v>99</v>
      </c>
      <c r="B99" s="71" t="s">
        <v>74</v>
      </c>
      <c r="C99" s="69" t="s">
        <v>106</v>
      </c>
      <c r="D99" s="70" t="s">
        <v>383</v>
      </c>
      <c r="E99" s="70" t="s">
        <v>111</v>
      </c>
      <c r="F99" s="72" t="s">
        <v>402</v>
      </c>
      <c r="G99" s="68" t="s">
        <v>1</v>
      </c>
      <c r="H99" s="68" t="s">
        <v>1</v>
      </c>
      <c r="I99" s="68" t="s">
        <v>1</v>
      </c>
      <c r="J99" s="68" t="s">
        <v>1</v>
      </c>
      <c r="K99" s="68" t="s">
        <v>1</v>
      </c>
      <c r="L99" s="27" t="str">
        <f t="shared" si="101"/>
        <v>Materialidade</v>
      </c>
      <c r="M99" s="27" t="str">
        <f t="shared" si="102"/>
        <v>Materiais Orgânicos</v>
      </c>
      <c r="N99" s="27" t="str">
        <f t="shared" si="103"/>
        <v>Madeiras</v>
      </c>
      <c r="O99" s="27" t="str">
        <f t="shared" si="104"/>
        <v>Madeira de Angelim Pedra</v>
      </c>
      <c r="P99" s="28" t="str">
        <f t="shared" si="111"/>
        <v>Madeira de Angelim Pedra</v>
      </c>
      <c r="Q99" s="31" t="str">
        <f t="shared" si="105"/>
        <v>Piedra de madera de Angelim</v>
      </c>
      <c r="R99" s="29" t="s">
        <v>1</v>
      </c>
      <c r="S99" s="30" t="str">
        <f t="shared" si="106"/>
        <v>Materialidade</v>
      </c>
      <c r="T99" s="30" t="str">
        <f t="shared" si="107"/>
        <v>Materiais Orgânicos</v>
      </c>
      <c r="U99" s="30" t="str">
        <f t="shared" si="108"/>
        <v>Madeiras</v>
      </c>
      <c r="V99" s="30" t="str">
        <f t="shared" si="109"/>
        <v>Materialidade</v>
      </c>
      <c r="W99" s="18" t="str">
        <f t="shared" si="110"/>
        <v>K.Mat.99</v>
      </c>
      <c r="X99" s="28" t="s">
        <v>107</v>
      </c>
      <c r="Y99" s="28" t="s">
        <v>108</v>
      </c>
      <c r="Z99" s="78" t="s">
        <v>174</v>
      </c>
      <c r="AA99" s="28" t="str">
        <f t="shared" si="100"/>
        <v>Angelim Wood Stone</v>
      </c>
    </row>
    <row r="100" spans="1:27" ht="7.3" customHeight="1" x14ac:dyDescent="0.4">
      <c r="A100" s="26">
        <v>100</v>
      </c>
      <c r="B100" s="71" t="s">
        <v>74</v>
      </c>
      <c r="C100" s="69" t="s">
        <v>106</v>
      </c>
      <c r="D100" s="70" t="s">
        <v>383</v>
      </c>
      <c r="E100" s="70" t="s">
        <v>111</v>
      </c>
      <c r="F100" s="72" t="s">
        <v>403</v>
      </c>
      <c r="G100" s="68" t="s">
        <v>1</v>
      </c>
      <c r="H100" s="68" t="s">
        <v>1</v>
      </c>
      <c r="I100" s="68" t="s">
        <v>1</v>
      </c>
      <c r="J100" s="68" t="s">
        <v>1</v>
      </c>
      <c r="K100" s="68" t="s">
        <v>1</v>
      </c>
      <c r="L100" s="27" t="str">
        <f t="shared" si="101"/>
        <v>Materialidade</v>
      </c>
      <c r="M100" s="27" t="str">
        <f t="shared" si="102"/>
        <v>Materiais Orgânicos</v>
      </c>
      <c r="N100" s="27" t="str">
        <f t="shared" si="103"/>
        <v>Madeiras</v>
      </c>
      <c r="O100" s="27" t="str">
        <f t="shared" si="104"/>
        <v>Madeira de Cedro</v>
      </c>
      <c r="P100" s="28" t="str">
        <f t="shared" si="111"/>
        <v>Madeira de Cedro</v>
      </c>
      <c r="Q100" s="31" t="str">
        <f t="shared" si="105"/>
        <v>Madera de cedro</v>
      </c>
      <c r="R100" s="29" t="s">
        <v>1</v>
      </c>
      <c r="S100" s="30" t="str">
        <f t="shared" si="106"/>
        <v>Materialidade</v>
      </c>
      <c r="T100" s="30" t="str">
        <f t="shared" si="107"/>
        <v>Materiais Orgânicos</v>
      </c>
      <c r="U100" s="30" t="str">
        <f t="shared" si="108"/>
        <v>Madeiras</v>
      </c>
      <c r="V100" s="30" t="str">
        <f t="shared" si="109"/>
        <v>Materialidade</v>
      </c>
      <c r="W100" s="18" t="str">
        <f t="shared" si="110"/>
        <v>K.Mat.100</v>
      </c>
      <c r="X100" s="28" t="s">
        <v>107</v>
      </c>
      <c r="Y100" s="28" t="s">
        <v>108</v>
      </c>
      <c r="Z100" s="78" t="s">
        <v>175</v>
      </c>
      <c r="AA100" s="28" t="str">
        <f t="shared" si="100"/>
        <v>Cedar Wood</v>
      </c>
    </row>
    <row r="101" spans="1:27" ht="7.3" customHeight="1" x14ac:dyDescent="0.4">
      <c r="A101" s="26">
        <v>101</v>
      </c>
      <c r="B101" s="71" t="s">
        <v>74</v>
      </c>
      <c r="C101" s="69" t="s">
        <v>106</v>
      </c>
      <c r="D101" s="70" t="s">
        <v>383</v>
      </c>
      <c r="E101" s="70" t="s">
        <v>111</v>
      </c>
      <c r="F101" s="72" t="s">
        <v>404</v>
      </c>
      <c r="G101" s="68" t="s">
        <v>1</v>
      </c>
      <c r="H101" s="68" t="s">
        <v>1</v>
      </c>
      <c r="I101" s="68" t="s">
        <v>1</v>
      </c>
      <c r="J101" s="68" t="s">
        <v>1</v>
      </c>
      <c r="K101" s="68" t="s">
        <v>1</v>
      </c>
      <c r="L101" s="27" t="str">
        <f t="shared" si="101"/>
        <v>Materialidade</v>
      </c>
      <c r="M101" s="27" t="str">
        <f t="shared" si="102"/>
        <v>Materiais Orgânicos</v>
      </c>
      <c r="N101" s="27" t="str">
        <f t="shared" si="103"/>
        <v>Madeiras</v>
      </c>
      <c r="O101" s="27" t="str">
        <f t="shared" si="104"/>
        <v>Madeira de Cerejeira</v>
      </c>
      <c r="P101" s="28" t="str">
        <f t="shared" si="111"/>
        <v>Madeira de Cerejeira</v>
      </c>
      <c r="Q101" s="31" t="str">
        <f t="shared" si="105"/>
        <v>Madera de cerezo</v>
      </c>
      <c r="R101" s="29" t="s">
        <v>1</v>
      </c>
      <c r="S101" s="30" t="str">
        <f t="shared" si="106"/>
        <v>Materialidade</v>
      </c>
      <c r="T101" s="30" t="str">
        <f t="shared" si="107"/>
        <v>Materiais Orgânicos</v>
      </c>
      <c r="U101" s="30" t="str">
        <f t="shared" si="108"/>
        <v>Madeiras</v>
      </c>
      <c r="V101" s="30" t="str">
        <f t="shared" si="109"/>
        <v>Materialidade</v>
      </c>
      <c r="W101" s="18" t="str">
        <f t="shared" si="110"/>
        <v>K.Mat.101</v>
      </c>
      <c r="X101" s="28" t="s">
        <v>107</v>
      </c>
      <c r="Y101" s="28" t="s">
        <v>108</v>
      </c>
      <c r="Z101" s="78" t="s">
        <v>176</v>
      </c>
      <c r="AA101" s="28" t="str">
        <f t="shared" si="100"/>
        <v>Cherry Wood</v>
      </c>
    </row>
    <row r="102" spans="1:27" ht="7.3" customHeight="1" x14ac:dyDescent="0.4">
      <c r="A102" s="26">
        <v>102</v>
      </c>
      <c r="B102" s="71" t="s">
        <v>74</v>
      </c>
      <c r="C102" s="69" t="s">
        <v>106</v>
      </c>
      <c r="D102" s="70" t="s">
        <v>383</v>
      </c>
      <c r="E102" s="70" t="s">
        <v>111</v>
      </c>
      <c r="F102" s="72" t="s">
        <v>405</v>
      </c>
      <c r="G102" s="68" t="s">
        <v>1</v>
      </c>
      <c r="H102" s="68" t="s">
        <v>1</v>
      </c>
      <c r="I102" s="68" t="s">
        <v>1</v>
      </c>
      <c r="J102" s="68" t="s">
        <v>1</v>
      </c>
      <c r="K102" s="68" t="s">
        <v>1</v>
      </c>
      <c r="L102" s="27" t="str">
        <f t="shared" si="101"/>
        <v>Materialidade</v>
      </c>
      <c r="M102" s="27" t="str">
        <f t="shared" si="102"/>
        <v>Materiais Orgânicos</v>
      </c>
      <c r="N102" s="27" t="str">
        <f t="shared" si="103"/>
        <v>Madeiras</v>
      </c>
      <c r="O102" s="27" t="str">
        <f t="shared" si="104"/>
        <v>Madeira de Pau Marfim</v>
      </c>
      <c r="P102" s="28" t="str">
        <f t="shared" si="111"/>
        <v>Madeira de Pau Marfim</v>
      </c>
      <c r="Q102" s="31" t="str">
        <f t="shared" si="105"/>
        <v>Madera de marfil</v>
      </c>
      <c r="R102" s="29" t="s">
        <v>1</v>
      </c>
      <c r="S102" s="30" t="str">
        <f t="shared" si="106"/>
        <v>Materialidade</v>
      </c>
      <c r="T102" s="30" t="str">
        <f t="shared" si="107"/>
        <v>Materiais Orgânicos</v>
      </c>
      <c r="U102" s="30" t="str">
        <f t="shared" si="108"/>
        <v>Madeiras</v>
      </c>
      <c r="V102" s="30" t="str">
        <f t="shared" si="109"/>
        <v>Materialidade</v>
      </c>
      <c r="W102" s="18" t="str">
        <f t="shared" si="110"/>
        <v>K.Mat.102</v>
      </c>
      <c r="X102" s="28" t="s">
        <v>107</v>
      </c>
      <c r="Y102" s="28" t="s">
        <v>108</v>
      </c>
      <c r="Z102" s="78" t="s">
        <v>177</v>
      </c>
      <c r="AA102" s="28" t="str">
        <f t="shared" si="100"/>
        <v>Ivory Wood</v>
      </c>
    </row>
    <row r="103" spans="1:27" ht="7.3" customHeight="1" x14ac:dyDescent="0.4">
      <c r="A103" s="26">
        <v>103</v>
      </c>
      <c r="B103" s="71" t="s">
        <v>74</v>
      </c>
      <c r="C103" s="69" t="s">
        <v>106</v>
      </c>
      <c r="D103" s="70" t="s">
        <v>383</v>
      </c>
      <c r="E103" s="70" t="s">
        <v>111</v>
      </c>
      <c r="F103" s="72" t="s">
        <v>406</v>
      </c>
      <c r="G103" s="68" t="s">
        <v>1</v>
      </c>
      <c r="H103" s="68" t="s">
        <v>1</v>
      </c>
      <c r="I103" s="68" t="s">
        <v>1</v>
      </c>
      <c r="J103" s="68" t="s">
        <v>1</v>
      </c>
      <c r="K103" s="68" t="s">
        <v>1</v>
      </c>
      <c r="L103" s="27" t="str">
        <f t="shared" si="101"/>
        <v>Materialidade</v>
      </c>
      <c r="M103" s="27" t="str">
        <f t="shared" si="102"/>
        <v>Materiais Orgânicos</v>
      </c>
      <c r="N103" s="27" t="str">
        <f t="shared" si="103"/>
        <v>Madeiras</v>
      </c>
      <c r="O103" s="27" t="str">
        <f t="shared" si="104"/>
        <v>Madeira de Pequiá</v>
      </c>
      <c r="P103" s="28" t="str">
        <f t="shared" si="111"/>
        <v>Madeira de Pequiá</v>
      </c>
      <c r="Q103" s="31" t="str">
        <f t="shared" si="105"/>
        <v>Madera de Pequiá</v>
      </c>
      <c r="R103" s="29" t="s">
        <v>1</v>
      </c>
      <c r="S103" s="30" t="str">
        <f t="shared" si="106"/>
        <v>Materialidade</v>
      </c>
      <c r="T103" s="30" t="str">
        <f t="shared" si="107"/>
        <v>Materiais Orgânicos</v>
      </c>
      <c r="U103" s="30" t="str">
        <f t="shared" si="108"/>
        <v>Madeiras</v>
      </c>
      <c r="V103" s="30" t="str">
        <f t="shared" si="109"/>
        <v>Materialidade</v>
      </c>
      <c r="W103" s="18" t="str">
        <f t="shared" si="110"/>
        <v>K.Mat.103</v>
      </c>
      <c r="X103" s="28" t="s">
        <v>107</v>
      </c>
      <c r="Y103" s="28" t="s">
        <v>108</v>
      </c>
      <c r="Z103" s="78" t="s">
        <v>178</v>
      </c>
      <c r="AA103" s="28" t="str">
        <f t="shared" si="100"/>
        <v>Pequiá wood</v>
      </c>
    </row>
    <row r="104" spans="1:27" ht="7.3" customHeight="1" x14ac:dyDescent="0.4">
      <c r="A104" s="26">
        <v>104</v>
      </c>
      <c r="B104" s="71" t="s">
        <v>74</v>
      </c>
      <c r="C104" s="69" t="s">
        <v>106</v>
      </c>
      <c r="D104" s="70" t="s">
        <v>383</v>
      </c>
      <c r="E104" s="70" t="s">
        <v>111</v>
      </c>
      <c r="F104" s="72" t="s">
        <v>407</v>
      </c>
      <c r="G104" s="68" t="s">
        <v>1</v>
      </c>
      <c r="H104" s="68" t="s">
        <v>1</v>
      </c>
      <c r="I104" s="68" t="s">
        <v>1</v>
      </c>
      <c r="J104" s="68" t="s">
        <v>1</v>
      </c>
      <c r="K104" s="68" t="s">
        <v>1</v>
      </c>
      <c r="L104" s="27" t="str">
        <f t="shared" si="101"/>
        <v>Materialidade</v>
      </c>
      <c r="M104" s="27" t="str">
        <f t="shared" si="102"/>
        <v>Materiais Orgânicos</v>
      </c>
      <c r="N104" s="27" t="str">
        <f t="shared" si="103"/>
        <v>Madeiras</v>
      </c>
      <c r="O104" s="27" t="str">
        <f t="shared" si="104"/>
        <v>Madeira de Sucupira</v>
      </c>
      <c r="P104" s="28" t="str">
        <f t="shared" si="111"/>
        <v>Madeira de Sucupira</v>
      </c>
      <c r="Q104" s="31" t="str">
        <f t="shared" si="105"/>
        <v>Bosque de Sucupira</v>
      </c>
      <c r="R104" s="29" t="s">
        <v>1</v>
      </c>
      <c r="S104" s="30" t="str">
        <f t="shared" si="106"/>
        <v>Materialidade</v>
      </c>
      <c r="T104" s="30" t="str">
        <f t="shared" si="107"/>
        <v>Materiais Orgânicos</v>
      </c>
      <c r="U104" s="30" t="str">
        <f t="shared" si="108"/>
        <v>Madeiras</v>
      </c>
      <c r="V104" s="30" t="str">
        <f t="shared" si="109"/>
        <v>Materialidade</v>
      </c>
      <c r="W104" s="18" t="str">
        <f t="shared" si="110"/>
        <v>K.Mat.104</v>
      </c>
      <c r="X104" s="28" t="s">
        <v>107</v>
      </c>
      <c r="Y104" s="28" t="s">
        <v>108</v>
      </c>
      <c r="Z104" s="78" t="s">
        <v>179</v>
      </c>
      <c r="AA104" s="28" t="str">
        <f t="shared" si="100"/>
        <v>Sucupira Wood</v>
      </c>
    </row>
    <row r="105" spans="1:27" ht="7.3" customHeight="1" x14ac:dyDescent="0.4">
      <c r="A105" s="26">
        <v>105</v>
      </c>
      <c r="B105" s="71" t="s">
        <v>74</v>
      </c>
      <c r="C105" s="69" t="s">
        <v>106</v>
      </c>
      <c r="D105" s="70" t="s">
        <v>383</v>
      </c>
      <c r="E105" s="70" t="s">
        <v>111</v>
      </c>
      <c r="F105" s="72" t="s">
        <v>408</v>
      </c>
      <c r="G105" s="68" t="s">
        <v>1</v>
      </c>
      <c r="H105" s="68" t="s">
        <v>1</v>
      </c>
      <c r="I105" s="68" t="s">
        <v>1</v>
      </c>
      <c r="J105" s="68" t="s">
        <v>1</v>
      </c>
      <c r="K105" s="68" t="s">
        <v>1</v>
      </c>
      <c r="L105" s="27" t="str">
        <f t="shared" si="101"/>
        <v>Materialidade</v>
      </c>
      <c r="M105" s="27" t="str">
        <f t="shared" si="102"/>
        <v>Materiais Orgânicos</v>
      </c>
      <c r="N105" s="27" t="str">
        <f t="shared" si="103"/>
        <v>Madeiras</v>
      </c>
      <c r="O105" s="27" t="str">
        <f t="shared" si="104"/>
        <v>Madeira de Madeira de Lei</v>
      </c>
      <c r="P105" s="28" t="str">
        <f t="shared" si="111"/>
        <v>Madeira de Madeira de Lei</v>
      </c>
      <c r="Q105" s="31" t="str">
        <f t="shared" si="105"/>
        <v>Madera de hoja dura</v>
      </c>
      <c r="R105" s="29" t="s">
        <v>1</v>
      </c>
      <c r="S105" s="30" t="str">
        <f t="shared" si="106"/>
        <v>Materialidade</v>
      </c>
      <c r="T105" s="30" t="str">
        <f t="shared" si="107"/>
        <v>Materiais Orgânicos</v>
      </c>
      <c r="U105" s="30" t="str">
        <f t="shared" si="108"/>
        <v>Madeiras</v>
      </c>
      <c r="V105" s="30" t="str">
        <f t="shared" si="109"/>
        <v>Materialidade</v>
      </c>
      <c r="W105" s="18" t="str">
        <f t="shared" si="110"/>
        <v>K.Mat.105</v>
      </c>
      <c r="X105" s="28" t="s">
        <v>107</v>
      </c>
      <c r="Y105" s="28" t="s">
        <v>108</v>
      </c>
      <c r="Z105" s="78" t="s">
        <v>180</v>
      </c>
      <c r="AA105" s="28" t="str">
        <f t="shared" si="100"/>
        <v>Hardwood Wood</v>
      </c>
    </row>
    <row r="106" spans="1:27" ht="7.3" customHeight="1" x14ac:dyDescent="0.4">
      <c r="A106" s="26">
        <v>106</v>
      </c>
      <c r="B106" s="71" t="s">
        <v>74</v>
      </c>
      <c r="C106" s="69" t="s">
        <v>106</v>
      </c>
      <c r="D106" s="70" t="s">
        <v>383</v>
      </c>
      <c r="E106" s="70" t="s">
        <v>111</v>
      </c>
      <c r="F106" s="72" t="s">
        <v>409</v>
      </c>
      <c r="G106" s="68" t="s">
        <v>1</v>
      </c>
      <c r="H106" s="68" t="s">
        <v>1</v>
      </c>
      <c r="I106" s="68" t="s">
        <v>1</v>
      </c>
      <c r="J106" s="68" t="s">
        <v>1</v>
      </c>
      <c r="K106" s="68" t="s">
        <v>1</v>
      </c>
      <c r="L106" s="27" t="str">
        <f t="shared" si="101"/>
        <v>Materialidade</v>
      </c>
      <c r="M106" s="27" t="str">
        <f t="shared" si="102"/>
        <v>Materiais Orgânicos</v>
      </c>
      <c r="N106" s="27" t="str">
        <f t="shared" si="103"/>
        <v>Madeiras</v>
      </c>
      <c r="O106" s="27" t="str">
        <f t="shared" si="104"/>
        <v>Madeira de Carvalho Branco</v>
      </c>
      <c r="P106" s="28" t="str">
        <f t="shared" si="111"/>
        <v>Madeira de Carvalho Branco</v>
      </c>
      <c r="Q106" s="31" t="str">
        <f t="shared" si="105"/>
        <v>Madera de Roble Blanco</v>
      </c>
      <c r="R106" s="29" t="s">
        <v>1</v>
      </c>
      <c r="S106" s="30" t="str">
        <f t="shared" si="106"/>
        <v>Materialidade</v>
      </c>
      <c r="T106" s="30" t="str">
        <f t="shared" si="107"/>
        <v>Materiais Orgânicos</v>
      </c>
      <c r="U106" s="30" t="str">
        <f t="shared" si="108"/>
        <v>Madeiras</v>
      </c>
      <c r="V106" s="30" t="str">
        <f t="shared" si="109"/>
        <v>Materialidade</v>
      </c>
      <c r="W106" s="18" t="str">
        <f t="shared" si="110"/>
        <v>K.Mat.106</v>
      </c>
      <c r="X106" s="28" t="s">
        <v>107</v>
      </c>
      <c r="Y106" s="28" t="s">
        <v>108</v>
      </c>
      <c r="Z106" s="78" t="s">
        <v>181</v>
      </c>
      <c r="AA106" s="28" t="str">
        <f t="shared" si="100"/>
        <v>White Oak Wood</v>
      </c>
    </row>
    <row r="107" spans="1:27" ht="7.3" customHeight="1" x14ac:dyDescent="0.4">
      <c r="A107" s="26">
        <v>107</v>
      </c>
      <c r="B107" s="71" t="s">
        <v>74</v>
      </c>
      <c r="C107" s="69" t="s">
        <v>106</v>
      </c>
      <c r="D107" s="70" t="s">
        <v>383</v>
      </c>
      <c r="E107" s="70" t="s">
        <v>111</v>
      </c>
      <c r="F107" s="72" t="s">
        <v>410</v>
      </c>
      <c r="G107" s="68" t="s">
        <v>1</v>
      </c>
      <c r="H107" s="68" t="s">
        <v>1</v>
      </c>
      <c r="I107" s="68" t="s">
        <v>1</v>
      </c>
      <c r="J107" s="68" t="s">
        <v>1</v>
      </c>
      <c r="K107" s="68" t="s">
        <v>1</v>
      </c>
      <c r="L107" s="27" t="str">
        <f t="shared" si="101"/>
        <v>Materialidade</v>
      </c>
      <c r="M107" s="27" t="str">
        <f t="shared" si="102"/>
        <v>Materiais Orgânicos</v>
      </c>
      <c r="N107" s="27" t="str">
        <f t="shared" si="103"/>
        <v>Madeiras</v>
      </c>
      <c r="O107" s="27" t="str">
        <f t="shared" si="104"/>
        <v>Madeira de Carvalho Vermelho</v>
      </c>
      <c r="P107" s="28" t="str">
        <f t="shared" si="111"/>
        <v>Madeira de Carvalho Vermelho</v>
      </c>
      <c r="Q107" s="31" t="str">
        <f t="shared" si="105"/>
        <v>Bosque de Roble Rojo</v>
      </c>
      <c r="R107" s="29" t="s">
        <v>1</v>
      </c>
      <c r="S107" s="30" t="str">
        <f t="shared" si="106"/>
        <v>Materialidade</v>
      </c>
      <c r="T107" s="30" t="str">
        <f t="shared" si="107"/>
        <v>Materiais Orgânicos</v>
      </c>
      <c r="U107" s="30" t="str">
        <f t="shared" si="108"/>
        <v>Madeiras</v>
      </c>
      <c r="V107" s="30" t="str">
        <f t="shared" si="109"/>
        <v>Materialidade</v>
      </c>
      <c r="W107" s="18" t="str">
        <f t="shared" si="110"/>
        <v>K.Mat.107</v>
      </c>
      <c r="X107" s="28" t="s">
        <v>107</v>
      </c>
      <c r="Y107" s="28" t="s">
        <v>108</v>
      </c>
      <c r="Z107" s="78" t="s">
        <v>182</v>
      </c>
      <c r="AA107" s="28" t="str">
        <f t="shared" si="100"/>
        <v>Red Oak Wood</v>
      </c>
    </row>
    <row r="108" spans="1:27" ht="7.3" customHeight="1" x14ac:dyDescent="0.4">
      <c r="A108" s="26">
        <v>108</v>
      </c>
      <c r="B108" s="71" t="s">
        <v>74</v>
      </c>
      <c r="C108" s="69" t="s">
        <v>106</v>
      </c>
      <c r="D108" s="70" t="s">
        <v>383</v>
      </c>
      <c r="E108" s="70" t="s">
        <v>111</v>
      </c>
      <c r="F108" s="72" t="s">
        <v>411</v>
      </c>
      <c r="G108" s="68" t="s">
        <v>1</v>
      </c>
      <c r="H108" s="68" t="s">
        <v>1</v>
      </c>
      <c r="I108" s="68" t="s">
        <v>1</v>
      </c>
      <c r="J108" s="68" t="s">
        <v>1</v>
      </c>
      <c r="K108" s="68" t="s">
        <v>1</v>
      </c>
      <c r="L108" s="27" t="str">
        <f t="shared" si="101"/>
        <v>Materialidade</v>
      </c>
      <c r="M108" s="27" t="str">
        <f t="shared" si="102"/>
        <v>Materiais Orgânicos</v>
      </c>
      <c r="N108" s="27" t="str">
        <f t="shared" si="103"/>
        <v>Madeiras</v>
      </c>
      <c r="O108" s="27" t="str">
        <f t="shared" si="104"/>
        <v>Madeira de Bordo</v>
      </c>
      <c r="P108" s="28" t="str">
        <f t="shared" si="111"/>
        <v>Madeira de Bordo</v>
      </c>
      <c r="Q108" s="31" t="str">
        <f t="shared" si="105"/>
        <v>Madera de arce</v>
      </c>
      <c r="R108" s="29" t="s">
        <v>1</v>
      </c>
      <c r="S108" s="30" t="str">
        <f t="shared" si="106"/>
        <v>Materialidade</v>
      </c>
      <c r="T108" s="30" t="str">
        <f t="shared" si="107"/>
        <v>Materiais Orgânicos</v>
      </c>
      <c r="U108" s="30" t="str">
        <f t="shared" si="108"/>
        <v>Madeiras</v>
      </c>
      <c r="V108" s="30" t="str">
        <f t="shared" si="109"/>
        <v>Materialidade</v>
      </c>
      <c r="W108" s="18" t="str">
        <f t="shared" si="110"/>
        <v>K.Mat.108</v>
      </c>
      <c r="X108" s="28" t="s">
        <v>107</v>
      </c>
      <c r="Y108" s="28" t="s">
        <v>108</v>
      </c>
      <c r="Z108" s="78" t="s">
        <v>183</v>
      </c>
      <c r="AA108" s="28" t="str">
        <f t="shared" si="100"/>
        <v>Maple Wood</v>
      </c>
    </row>
    <row r="109" spans="1:27" ht="7.3" customHeight="1" x14ac:dyDescent="0.4">
      <c r="A109" s="26">
        <v>109</v>
      </c>
      <c r="B109" s="71" t="s">
        <v>74</v>
      </c>
      <c r="C109" s="69" t="s">
        <v>106</v>
      </c>
      <c r="D109" s="70" t="s">
        <v>383</v>
      </c>
      <c r="E109" s="70" t="s">
        <v>111</v>
      </c>
      <c r="F109" s="72" t="s">
        <v>412</v>
      </c>
      <c r="G109" s="68" t="s">
        <v>1</v>
      </c>
      <c r="H109" s="68" t="s">
        <v>1</v>
      </c>
      <c r="I109" s="68" t="s">
        <v>1</v>
      </c>
      <c r="J109" s="68" t="s">
        <v>1</v>
      </c>
      <c r="K109" s="68" t="s">
        <v>1</v>
      </c>
      <c r="L109" s="27" t="str">
        <f t="shared" si="101"/>
        <v>Materialidade</v>
      </c>
      <c r="M109" s="27" t="str">
        <f t="shared" si="102"/>
        <v>Materiais Orgânicos</v>
      </c>
      <c r="N109" s="27" t="str">
        <f t="shared" si="103"/>
        <v>Madeiras</v>
      </c>
      <c r="O109" s="27" t="str">
        <f t="shared" si="104"/>
        <v>Madeira de Curupixá</v>
      </c>
      <c r="P109" s="28" t="str">
        <f t="shared" si="111"/>
        <v>Madeira de Curupixá</v>
      </c>
      <c r="Q109" s="31" t="str">
        <f t="shared" si="105"/>
        <v>Madera de Curupixá</v>
      </c>
      <c r="R109" s="29" t="s">
        <v>1</v>
      </c>
      <c r="S109" s="30" t="str">
        <f t="shared" si="106"/>
        <v>Materialidade</v>
      </c>
      <c r="T109" s="30" t="str">
        <f t="shared" si="107"/>
        <v>Materiais Orgânicos</v>
      </c>
      <c r="U109" s="30" t="str">
        <f t="shared" si="108"/>
        <v>Madeiras</v>
      </c>
      <c r="V109" s="30" t="str">
        <f t="shared" si="109"/>
        <v>Materialidade</v>
      </c>
      <c r="W109" s="18" t="str">
        <f t="shared" si="110"/>
        <v>K.Mat.109</v>
      </c>
      <c r="X109" s="28" t="s">
        <v>107</v>
      </c>
      <c r="Y109" s="28" t="s">
        <v>108</v>
      </c>
      <c r="Z109" s="78" t="s">
        <v>184</v>
      </c>
      <c r="AA109" s="28" t="str">
        <f t="shared" si="100"/>
        <v>Curupixá Wood</v>
      </c>
    </row>
    <row r="110" spans="1:27" ht="7.3" customHeight="1" x14ac:dyDescent="0.4">
      <c r="A110" s="26">
        <v>110</v>
      </c>
      <c r="B110" s="71" t="s">
        <v>74</v>
      </c>
      <c r="C110" s="69" t="s">
        <v>106</v>
      </c>
      <c r="D110" s="70" t="s">
        <v>383</v>
      </c>
      <c r="E110" s="70" t="s">
        <v>111</v>
      </c>
      <c r="F110" s="72" t="s">
        <v>413</v>
      </c>
      <c r="G110" s="68" t="s">
        <v>1</v>
      </c>
      <c r="H110" s="68" t="s">
        <v>1</v>
      </c>
      <c r="I110" s="68" t="s">
        <v>1</v>
      </c>
      <c r="J110" s="68" t="s">
        <v>1</v>
      </c>
      <c r="K110" s="68" t="s">
        <v>1</v>
      </c>
      <c r="L110" s="27" t="str">
        <f t="shared" si="101"/>
        <v>Materialidade</v>
      </c>
      <c r="M110" s="27" t="str">
        <f t="shared" si="102"/>
        <v>Materiais Orgânicos</v>
      </c>
      <c r="N110" s="27" t="str">
        <f t="shared" si="103"/>
        <v>Madeiras</v>
      </c>
      <c r="O110" s="27" t="str">
        <f t="shared" si="104"/>
        <v>Madeira de Goiabão</v>
      </c>
      <c r="P110" s="28" t="str">
        <f t="shared" si="111"/>
        <v>Madeira de Goiabão</v>
      </c>
      <c r="Q110" s="31" t="str">
        <f t="shared" si="105"/>
        <v>Bosque de Guiaba</v>
      </c>
      <c r="R110" s="29" t="s">
        <v>1</v>
      </c>
      <c r="S110" s="30" t="str">
        <f t="shared" si="106"/>
        <v>Materialidade</v>
      </c>
      <c r="T110" s="30" t="str">
        <f t="shared" si="107"/>
        <v>Materiais Orgânicos</v>
      </c>
      <c r="U110" s="30" t="str">
        <f t="shared" si="108"/>
        <v>Madeiras</v>
      </c>
      <c r="V110" s="30" t="str">
        <f t="shared" si="109"/>
        <v>Materialidade</v>
      </c>
      <c r="W110" s="18" t="str">
        <f t="shared" si="110"/>
        <v>K.Mat.110</v>
      </c>
      <c r="X110" s="28" t="s">
        <v>107</v>
      </c>
      <c r="Y110" s="28" t="s">
        <v>108</v>
      </c>
      <c r="Z110" s="78" t="s">
        <v>185</v>
      </c>
      <c r="AA110" s="28" t="str">
        <f t="shared" si="100"/>
        <v>Guava Wood</v>
      </c>
    </row>
    <row r="111" spans="1:27" ht="7.3" customHeight="1" x14ac:dyDescent="0.4">
      <c r="A111" s="26">
        <v>111</v>
      </c>
      <c r="B111" s="71" t="s">
        <v>74</v>
      </c>
      <c r="C111" s="69" t="s">
        <v>106</v>
      </c>
      <c r="D111" s="70" t="s">
        <v>383</v>
      </c>
      <c r="E111" s="70" t="s">
        <v>111</v>
      </c>
      <c r="F111" s="72" t="s">
        <v>414</v>
      </c>
      <c r="G111" s="68" t="s">
        <v>1</v>
      </c>
      <c r="H111" s="68" t="s">
        <v>1</v>
      </c>
      <c r="I111" s="68" t="s">
        <v>1</v>
      </c>
      <c r="J111" s="68" t="s">
        <v>1</v>
      </c>
      <c r="K111" s="68" t="s">
        <v>1</v>
      </c>
      <c r="L111" s="27" t="str">
        <f t="shared" si="101"/>
        <v>Materialidade</v>
      </c>
      <c r="M111" s="27" t="str">
        <f t="shared" si="102"/>
        <v>Materiais Orgânicos</v>
      </c>
      <c r="N111" s="27" t="str">
        <f t="shared" si="103"/>
        <v>Madeiras</v>
      </c>
      <c r="O111" s="27" t="str">
        <f t="shared" si="104"/>
        <v>Madeira de Ipê</v>
      </c>
      <c r="P111" s="28" t="str">
        <f t="shared" si="111"/>
        <v>Madeira de Ipê</v>
      </c>
      <c r="Q111" s="31" t="str">
        <f t="shared" si="105"/>
        <v>Bosque de Ipê</v>
      </c>
      <c r="R111" s="29" t="s">
        <v>1</v>
      </c>
      <c r="S111" s="30" t="str">
        <f t="shared" si="106"/>
        <v>Materialidade</v>
      </c>
      <c r="T111" s="30" t="str">
        <f t="shared" si="107"/>
        <v>Materiais Orgânicos</v>
      </c>
      <c r="U111" s="30" t="str">
        <f t="shared" si="108"/>
        <v>Madeiras</v>
      </c>
      <c r="V111" s="30" t="str">
        <f t="shared" si="109"/>
        <v>Materialidade</v>
      </c>
      <c r="W111" s="18" t="str">
        <f t="shared" si="110"/>
        <v>K.Mat.111</v>
      </c>
      <c r="X111" s="28" t="s">
        <v>107</v>
      </c>
      <c r="Y111" s="28" t="s">
        <v>108</v>
      </c>
      <c r="Z111" s="78" t="s">
        <v>186</v>
      </c>
      <c r="AA111" s="28" t="str">
        <f t="shared" si="100"/>
        <v>Ipê Wood</v>
      </c>
    </row>
    <row r="112" spans="1:27" ht="7.3" customHeight="1" x14ac:dyDescent="0.4">
      <c r="A112" s="26">
        <v>112</v>
      </c>
      <c r="B112" s="71" t="s">
        <v>74</v>
      </c>
      <c r="C112" s="69" t="s">
        <v>106</v>
      </c>
      <c r="D112" s="70" t="s">
        <v>383</v>
      </c>
      <c r="E112" s="70" t="s">
        <v>111</v>
      </c>
      <c r="F112" s="72" t="s">
        <v>415</v>
      </c>
      <c r="G112" s="68" t="s">
        <v>1</v>
      </c>
      <c r="H112" s="68" t="s">
        <v>1</v>
      </c>
      <c r="I112" s="68" t="s">
        <v>1</v>
      </c>
      <c r="J112" s="68" t="s">
        <v>1</v>
      </c>
      <c r="K112" s="68" t="s">
        <v>1</v>
      </c>
      <c r="L112" s="27" t="str">
        <f t="shared" si="101"/>
        <v>Materialidade</v>
      </c>
      <c r="M112" s="27" t="str">
        <f t="shared" si="102"/>
        <v>Materiais Orgânicos</v>
      </c>
      <c r="N112" s="27" t="str">
        <f t="shared" si="103"/>
        <v>Madeiras</v>
      </c>
      <c r="O112" s="27" t="str">
        <f t="shared" si="104"/>
        <v>Madeira de Jatobá</v>
      </c>
      <c r="P112" s="28" t="str">
        <f>O112</f>
        <v>Madeira de Jatobá</v>
      </c>
      <c r="Q112" s="31" t="str">
        <f t="shared" si="105"/>
        <v>Bosque Jatoba</v>
      </c>
      <c r="R112" s="29" t="s">
        <v>1</v>
      </c>
      <c r="S112" s="30" t="str">
        <f t="shared" si="106"/>
        <v>Materialidade</v>
      </c>
      <c r="T112" s="30" t="str">
        <f t="shared" si="107"/>
        <v>Materiais Orgânicos</v>
      </c>
      <c r="U112" s="30" t="str">
        <f t="shared" si="108"/>
        <v>Madeiras</v>
      </c>
      <c r="V112" s="30" t="str">
        <f t="shared" si="109"/>
        <v>Materialidade</v>
      </c>
      <c r="W112" s="18" t="str">
        <f t="shared" si="110"/>
        <v>K.Mat.112</v>
      </c>
      <c r="X112" s="28" t="s">
        <v>107</v>
      </c>
      <c r="Y112" s="28" t="s">
        <v>108</v>
      </c>
      <c r="Z112" s="78" t="s">
        <v>187</v>
      </c>
      <c r="AA112" s="28" t="str">
        <f t="shared" si="100"/>
        <v>Jatoba Wood</v>
      </c>
    </row>
    <row r="113" spans="1:27" ht="7.3" customHeight="1" x14ac:dyDescent="0.4">
      <c r="A113" s="26">
        <v>113</v>
      </c>
      <c r="B113" s="71" t="s">
        <v>74</v>
      </c>
      <c r="C113" s="69" t="s">
        <v>106</v>
      </c>
      <c r="D113" s="70" t="s">
        <v>383</v>
      </c>
      <c r="E113" s="70" t="s">
        <v>111</v>
      </c>
      <c r="F113" s="72" t="s">
        <v>416</v>
      </c>
      <c r="G113" s="68" t="s">
        <v>1</v>
      </c>
      <c r="H113" s="68" t="s">
        <v>1</v>
      </c>
      <c r="I113" s="68" t="s">
        <v>1</v>
      </c>
      <c r="J113" s="68" t="s">
        <v>1</v>
      </c>
      <c r="K113" s="68" t="s">
        <v>1</v>
      </c>
      <c r="L113" s="27" t="str">
        <f t="shared" si="101"/>
        <v>Materialidade</v>
      </c>
      <c r="M113" s="27" t="str">
        <f t="shared" si="102"/>
        <v>Materiais Orgânicos</v>
      </c>
      <c r="N113" s="27" t="str">
        <f t="shared" si="103"/>
        <v>Madeiras</v>
      </c>
      <c r="O113" s="27" t="str">
        <f t="shared" si="104"/>
        <v>Madeira de Louro Vermelho</v>
      </c>
      <c r="P113" s="28" t="str">
        <f t="shared" si="111"/>
        <v>Madeira de Louro Vermelho</v>
      </c>
      <c r="Q113" s="31" t="str">
        <f t="shared" si="105"/>
        <v>Madera de laurel rojo</v>
      </c>
      <c r="R113" s="29" t="s">
        <v>1</v>
      </c>
      <c r="S113" s="30" t="str">
        <f t="shared" si="106"/>
        <v>Materialidade</v>
      </c>
      <c r="T113" s="30" t="str">
        <f t="shared" si="107"/>
        <v>Materiais Orgânicos</v>
      </c>
      <c r="U113" s="30" t="str">
        <f t="shared" si="108"/>
        <v>Madeiras</v>
      </c>
      <c r="V113" s="30" t="str">
        <f t="shared" si="109"/>
        <v>Materialidade</v>
      </c>
      <c r="W113" s="18" t="str">
        <f t="shared" si="110"/>
        <v>K.Mat.113</v>
      </c>
      <c r="X113" s="28" t="s">
        <v>107</v>
      </c>
      <c r="Y113" s="28" t="s">
        <v>108</v>
      </c>
      <c r="Z113" s="78" t="s">
        <v>188</v>
      </c>
      <c r="AA113" s="28" t="str">
        <f t="shared" si="100"/>
        <v>Red Laurel Wood</v>
      </c>
    </row>
    <row r="114" spans="1:27" ht="7.3" customHeight="1" x14ac:dyDescent="0.4">
      <c r="A114" s="26">
        <v>114</v>
      </c>
      <c r="B114" s="71" t="s">
        <v>74</v>
      </c>
      <c r="C114" s="69" t="s">
        <v>106</v>
      </c>
      <c r="D114" s="70" t="s">
        <v>383</v>
      </c>
      <c r="E114" s="70" t="s">
        <v>111</v>
      </c>
      <c r="F114" s="72" t="s">
        <v>417</v>
      </c>
      <c r="G114" s="68" t="s">
        <v>1</v>
      </c>
      <c r="H114" s="68" t="s">
        <v>1</v>
      </c>
      <c r="I114" s="68" t="s">
        <v>1</v>
      </c>
      <c r="J114" s="68" t="s">
        <v>1</v>
      </c>
      <c r="K114" s="68" t="s">
        <v>1</v>
      </c>
      <c r="L114" s="27" t="str">
        <f t="shared" si="101"/>
        <v>Materialidade</v>
      </c>
      <c r="M114" s="27" t="str">
        <f t="shared" si="102"/>
        <v>Materiais Orgânicos</v>
      </c>
      <c r="N114" s="27" t="str">
        <f t="shared" si="103"/>
        <v>Madeiras</v>
      </c>
      <c r="O114" s="27" t="str">
        <f t="shared" si="104"/>
        <v>Madeira de Marupá</v>
      </c>
      <c r="P114" s="28" t="str">
        <f t="shared" si="111"/>
        <v>Madeira de Marupá</v>
      </c>
      <c r="Q114" s="31" t="str">
        <f t="shared" si="105"/>
        <v>Bosque de Marupá</v>
      </c>
      <c r="R114" s="29" t="s">
        <v>1</v>
      </c>
      <c r="S114" s="30" t="str">
        <f t="shared" si="106"/>
        <v>Materialidade</v>
      </c>
      <c r="T114" s="30" t="str">
        <f t="shared" si="107"/>
        <v>Materiais Orgânicos</v>
      </c>
      <c r="U114" s="30" t="str">
        <f t="shared" si="108"/>
        <v>Madeiras</v>
      </c>
      <c r="V114" s="30" t="str">
        <f t="shared" si="109"/>
        <v>Materialidade</v>
      </c>
      <c r="W114" s="18" t="str">
        <f t="shared" si="110"/>
        <v>K.Mat.114</v>
      </c>
      <c r="X114" s="28" t="s">
        <v>107</v>
      </c>
      <c r="Y114" s="28" t="s">
        <v>108</v>
      </c>
      <c r="Z114" s="78" t="s">
        <v>189</v>
      </c>
      <c r="AA114" s="28" t="str">
        <f t="shared" si="100"/>
        <v>Marupá wood</v>
      </c>
    </row>
    <row r="115" spans="1:27" ht="7.3" customHeight="1" x14ac:dyDescent="0.4">
      <c r="A115" s="26">
        <v>115</v>
      </c>
      <c r="B115" s="71" t="s">
        <v>74</v>
      </c>
      <c r="C115" s="69" t="s">
        <v>106</v>
      </c>
      <c r="D115" s="70" t="s">
        <v>383</v>
      </c>
      <c r="E115" s="70" t="s">
        <v>111</v>
      </c>
      <c r="F115" s="72" t="s">
        <v>418</v>
      </c>
      <c r="G115" s="68" t="s">
        <v>1</v>
      </c>
      <c r="H115" s="68" t="s">
        <v>1</v>
      </c>
      <c r="I115" s="68" t="s">
        <v>1</v>
      </c>
      <c r="J115" s="68" t="s">
        <v>1</v>
      </c>
      <c r="K115" s="68" t="s">
        <v>1</v>
      </c>
      <c r="L115" s="27" t="str">
        <f t="shared" si="101"/>
        <v>Materialidade</v>
      </c>
      <c r="M115" s="27" t="str">
        <f t="shared" si="102"/>
        <v>Materiais Orgânicos</v>
      </c>
      <c r="N115" s="27" t="str">
        <f t="shared" si="103"/>
        <v>Madeiras</v>
      </c>
      <c r="O115" s="27" t="str">
        <f t="shared" si="104"/>
        <v>Madeira de Massaranduba</v>
      </c>
      <c r="P115" s="28" t="str">
        <f t="shared" si="111"/>
        <v>Madeira de Massaranduba</v>
      </c>
      <c r="Q115" s="31" t="str">
        <f t="shared" si="105"/>
        <v>Bosque de Massaranduba</v>
      </c>
      <c r="R115" s="29" t="s">
        <v>1</v>
      </c>
      <c r="S115" s="30" t="str">
        <f t="shared" si="106"/>
        <v>Materialidade</v>
      </c>
      <c r="T115" s="30" t="str">
        <f t="shared" si="107"/>
        <v>Materiais Orgânicos</v>
      </c>
      <c r="U115" s="30" t="str">
        <f t="shared" si="108"/>
        <v>Madeiras</v>
      </c>
      <c r="V115" s="30" t="str">
        <f t="shared" si="109"/>
        <v>Materialidade</v>
      </c>
      <c r="W115" s="18" t="str">
        <f t="shared" si="110"/>
        <v>K.Mat.115</v>
      </c>
      <c r="X115" s="28" t="s">
        <v>107</v>
      </c>
      <c r="Y115" s="28" t="s">
        <v>108</v>
      </c>
      <c r="Z115" s="78" t="s">
        <v>190</v>
      </c>
      <c r="AA115" s="28" t="str">
        <f t="shared" si="100"/>
        <v>Massaranduba Wood</v>
      </c>
    </row>
    <row r="116" spans="1:27" ht="7.3" customHeight="1" x14ac:dyDescent="0.4">
      <c r="A116" s="26">
        <v>116</v>
      </c>
      <c r="B116" s="71" t="s">
        <v>74</v>
      </c>
      <c r="C116" s="69" t="s">
        <v>106</v>
      </c>
      <c r="D116" s="70" t="s">
        <v>383</v>
      </c>
      <c r="E116" s="70" t="s">
        <v>111</v>
      </c>
      <c r="F116" s="72" t="s">
        <v>419</v>
      </c>
      <c r="G116" s="68" t="s">
        <v>1</v>
      </c>
      <c r="H116" s="68" t="s">
        <v>1</v>
      </c>
      <c r="I116" s="68" t="s">
        <v>1</v>
      </c>
      <c r="J116" s="68" t="s">
        <v>1</v>
      </c>
      <c r="K116" s="68" t="s">
        <v>1</v>
      </c>
      <c r="L116" s="27" t="str">
        <f t="shared" si="101"/>
        <v>Materialidade</v>
      </c>
      <c r="M116" s="27" t="str">
        <f t="shared" si="102"/>
        <v>Materiais Orgânicos</v>
      </c>
      <c r="N116" s="27" t="str">
        <f t="shared" si="103"/>
        <v>Madeiras</v>
      </c>
      <c r="O116" s="27" t="str">
        <f t="shared" si="104"/>
        <v>Madeira de Muiracatira</v>
      </c>
      <c r="P116" s="28" t="str">
        <f t="shared" si="111"/>
        <v>Madeira de Muiracatira</v>
      </c>
      <c r="Q116" s="31" t="str">
        <f t="shared" si="105"/>
        <v>Bosque de Muiracatira</v>
      </c>
      <c r="R116" s="29" t="s">
        <v>1</v>
      </c>
      <c r="S116" s="30" t="str">
        <f t="shared" si="106"/>
        <v>Materialidade</v>
      </c>
      <c r="T116" s="30" t="str">
        <f t="shared" si="107"/>
        <v>Materiais Orgânicos</v>
      </c>
      <c r="U116" s="30" t="str">
        <f t="shared" si="108"/>
        <v>Madeiras</v>
      </c>
      <c r="V116" s="30" t="str">
        <f t="shared" si="109"/>
        <v>Materialidade</v>
      </c>
      <c r="W116" s="18" t="str">
        <f t="shared" si="110"/>
        <v>K.Mat.116</v>
      </c>
      <c r="X116" s="28" t="s">
        <v>107</v>
      </c>
      <c r="Y116" s="28" t="s">
        <v>108</v>
      </c>
      <c r="Z116" s="78" t="s">
        <v>191</v>
      </c>
      <c r="AA116" s="28" t="str">
        <f t="shared" si="100"/>
        <v>Muiracatira Wood</v>
      </c>
    </row>
    <row r="117" spans="1:27" ht="7.3" customHeight="1" x14ac:dyDescent="0.4">
      <c r="A117" s="26">
        <v>117</v>
      </c>
      <c r="B117" s="71" t="s">
        <v>74</v>
      </c>
      <c r="C117" s="69" t="s">
        <v>106</v>
      </c>
      <c r="D117" s="70" t="s">
        <v>383</v>
      </c>
      <c r="E117" s="70" t="s">
        <v>111</v>
      </c>
      <c r="F117" s="72" t="s">
        <v>420</v>
      </c>
      <c r="G117" s="68" t="s">
        <v>1</v>
      </c>
      <c r="H117" s="68" t="s">
        <v>1</v>
      </c>
      <c r="I117" s="68" t="s">
        <v>1</v>
      </c>
      <c r="J117" s="68" t="s">
        <v>1</v>
      </c>
      <c r="K117" s="68" t="s">
        <v>1</v>
      </c>
      <c r="L117" s="27" t="str">
        <f t="shared" si="101"/>
        <v>Materialidade</v>
      </c>
      <c r="M117" s="27" t="str">
        <f t="shared" si="102"/>
        <v>Materiais Orgânicos</v>
      </c>
      <c r="N117" s="27" t="str">
        <f t="shared" si="103"/>
        <v>Madeiras</v>
      </c>
      <c r="O117" s="27" t="str">
        <f t="shared" si="104"/>
        <v>Madeira de Pau Amarelo</v>
      </c>
      <c r="P117" s="28" t="str">
        <f t="shared" si="111"/>
        <v>Madeira de Pau Amarelo</v>
      </c>
      <c r="Q117" s="31" t="str">
        <f t="shared" si="105"/>
        <v>Yellowwood Wood</v>
      </c>
      <c r="R117" s="29" t="s">
        <v>1</v>
      </c>
      <c r="S117" s="30" t="str">
        <f t="shared" si="106"/>
        <v>Materialidade</v>
      </c>
      <c r="T117" s="30" t="str">
        <f t="shared" si="107"/>
        <v>Materiais Orgânicos</v>
      </c>
      <c r="U117" s="30" t="str">
        <f t="shared" si="108"/>
        <v>Madeiras</v>
      </c>
      <c r="V117" s="30" t="str">
        <f t="shared" si="109"/>
        <v>Materialidade</v>
      </c>
      <c r="W117" s="18" t="str">
        <f t="shared" si="110"/>
        <v>K.Mat.117</v>
      </c>
      <c r="X117" s="28" t="s">
        <v>107</v>
      </c>
      <c r="Y117" s="28" t="s">
        <v>108</v>
      </c>
      <c r="Z117" s="78" t="s">
        <v>192</v>
      </c>
      <c r="AA117" s="28" t="str">
        <f t="shared" si="100"/>
        <v>Yellowwood Wood</v>
      </c>
    </row>
    <row r="118" spans="1:27" ht="7.3" customHeight="1" x14ac:dyDescent="0.4">
      <c r="A118" s="26">
        <v>118</v>
      </c>
      <c r="B118" s="71" t="s">
        <v>74</v>
      </c>
      <c r="C118" s="69" t="s">
        <v>106</v>
      </c>
      <c r="D118" s="70" t="s">
        <v>383</v>
      </c>
      <c r="E118" s="70" t="s">
        <v>111</v>
      </c>
      <c r="F118" s="72" t="s">
        <v>421</v>
      </c>
      <c r="G118" s="68" t="s">
        <v>1</v>
      </c>
      <c r="H118" s="68" t="s">
        <v>1</v>
      </c>
      <c r="I118" s="68" t="s">
        <v>1</v>
      </c>
      <c r="J118" s="68" t="s">
        <v>1</v>
      </c>
      <c r="K118" s="68" t="s">
        <v>1</v>
      </c>
      <c r="L118" s="27" t="str">
        <f t="shared" si="101"/>
        <v>Materialidade</v>
      </c>
      <c r="M118" s="27" t="str">
        <f t="shared" si="102"/>
        <v>Materiais Orgânicos</v>
      </c>
      <c r="N118" s="27" t="str">
        <f t="shared" si="103"/>
        <v>Madeiras</v>
      </c>
      <c r="O118" s="27" t="str">
        <f t="shared" si="104"/>
        <v>Madeira de Cumarú</v>
      </c>
      <c r="P118" s="28" t="str">
        <f t="shared" si="111"/>
        <v>Madeira de Cumarú</v>
      </c>
      <c r="Q118" s="31" t="str">
        <f t="shared" si="105"/>
        <v>Madera de cumarú</v>
      </c>
      <c r="R118" s="29" t="s">
        <v>1</v>
      </c>
      <c r="S118" s="30" t="str">
        <f t="shared" si="106"/>
        <v>Materialidade</v>
      </c>
      <c r="T118" s="30" t="str">
        <f t="shared" si="107"/>
        <v>Materiais Orgânicos</v>
      </c>
      <c r="U118" s="30" t="str">
        <f t="shared" si="108"/>
        <v>Madeiras</v>
      </c>
      <c r="V118" s="30" t="str">
        <f t="shared" si="109"/>
        <v>Materialidade</v>
      </c>
      <c r="W118" s="18" t="str">
        <f t="shared" si="110"/>
        <v>K.Mat.118</v>
      </c>
      <c r="X118" s="28" t="s">
        <v>107</v>
      </c>
      <c r="Y118" s="28" t="s">
        <v>108</v>
      </c>
      <c r="Z118" s="78" t="s">
        <v>193</v>
      </c>
      <c r="AA118" s="28" t="str">
        <f t="shared" si="100"/>
        <v>Cumarú wood</v>
      </c>
    </row>
    <row r="119" spans="1:27" ht="7.3" customHeight="1" x14ac:dyDescent="0.4">
      <c r="A119" s="26">
        <v>119</v>
      </c>
      <c r="B119" s="71" t="s">
        <v>74</v>
      </c>
      <c r="C119" s="69" t="s">
        <v>106</v>
      </c>
      <c r="D119" s="70" t="s">
        <v>383</v>
      </c>
      <c r="E119" s="70" t="s">
        <v>111</v>
      </c>
      <c r="F119" s="72" t="s">
        <v>422</v>
      </c>
      <c r="G119" s="68" t="s">
        <v>1</v>
      </c>
      <c r="H119" s="68" t="s">
        <v>1</v>
      </c>
      <c r="I119" s="68" t="s">
        <v>1</v>
      </c>
      <c r="J119" s="68" t="s">
        <v>1</v>
      </c>
      <c r="K119" s="68" t="s">
        <v>1</v>
      </c>
      <c r="L119" s="27" t="str">
        <f t="shared" si="101"/>
        <v>Materialidade</v>
      </c>
      <c r="M119" s="27" t="str">
        <f t="shared" si="102"/>
        <v>Materiais Orgânicos</v>
      </c>
      <c r="N119" s="27" t="str">
        <f t="shared" si="103"/>
        <v>Madeiras</v>
      </c>
      <c r="O119" s="27" t="str">
        <f t="shared" si="104"/>
        <v>Madeira de Jacarandá</v>
      </c>
      <c r="P119" s="28" t="str">
        <f t="shared" si="111"/>
        <v>Madeira de Jacarandá</v>
      </c>
      <c r="Q119" s="31" t="str">
        <f t="shared" si="105"/>
        <v>Palisandro</v>
      </c>
      <c r="R119" s="29" t="s">
        <v>1</v>
      </c>
      <c r="S119" s="30" t="str">
        <f t="shared" si="106"/>
        <v>Materialidade</v>
      </c>
      <c r="T119" s="30" t="str">
        <f t="shared" si="107"/>
        <v>Materiais Orgânicos</v>
      </c>
      <c r="U119" s="30" t="str">
        <f t="shared" si="108"/>
        <v>Madeiras</v>
      </c>
      <c r="V119" s="30" t="str">
        <f t="shared" si="109"/>
        <v>Materialidade</v>
      </c>
      <c r="W119" s="18" t="str">
        <f t="shared" si="110"/>
        <v>K.Mat.119</v>
      </c>
      <c r="X119" s="28" t="s">
        <v>107</v>
      </c>
      <c r="Y119" s="28" t="s">
        <v>108</v>
      </c>
      <c r="Z119" s="78" t="s">
        <v>194</v>
      </c>
      <c r="AA119" s="28" t="str">
        <f t="shared" si="100"/>
        <v>Rosewood</v>
      </c>
    </row>
    <row r="120" spans="1:27" ht="7.3" customHeight="1" x14ac:dyDescent="0.4">
      <c r="A120" s="26">
        <v>120</v>
      </c>
      <c r="B120" s="71" t="s">
        <v>74</v>
      </c>
      <c r="C120" s="69" t="s">
        <v>106</v>
      </c>
      <c r="D120" s="70" t="s">
        <v>383</v>
      </c>
      <c r="E120" s="70" t="s">
        <v>423</v>
      </c>
      <c r="F120" s="70" t="s">
        <v>234</v>
      </c>
      <c r="G120" s="68" t="s">
        <v>1</v>
      </c>
      <c r="H120" s="68" t="s">
        <v>1</v>
      </c>
      <c r="I120" s="68" t="s">
        <v>1</v>
      </c>
      <c r="J120" s="68" t="s">
        <v>1</v>
      </c>
      <c r="K120" s="68" t="s">
        <v>1</v>
      </c>
      <c r="L120" s="27" t="str">
        <f t="shared" ref="L120:L127" si="112">SUBSTITUTE(CONCATENATE("", C120), ".", " ")</f>
        <v>Materialidade</v>
      </c>
      <c r="M120" s="27" t="str">
        <f t="shared" ref="M120:M127" si="113">SUBSTITUTE(CONCATENATE("", D120), ".", " ")</f>
        <v>Materiais Orgânicos</v>
      </c>
      <c r="N120" s="27" t="str">
        <f t="shared" ref="N120:N127" si="114">SUBSTITUTE(CONCATENATE("", E120), ".", " ")</f>
        <v>Origem Vegetal</v>
      </c>
      <c r="O120" s="27" t="str">
        <f t="shared" ref="O120:P127" si="115">SUBSTITUTE(CONCATENATE("", F120), ".", " ")</f>
        <v>Juta</v>
      </c>
      <c r="P120" s="28" t="s">
        <v>234</v>
      </c>
      <c r="Q120" s="31" t="str">
        <f>_xlfn.TRANSLATE(P120,"pt","es")</f>
        <v>Yute</v>
      </c>
      <c r="R120" s="29" t="s">
        <v>1</v>
      </c>
      <c r="S120" s="30" t="str">
        <f t="shared" ref="S120:S127" si="116">SUBSTITUTE(C120, ".", " ")</f>
        <v>Materialidade</v>
      </c>
      <c r="T120" s="30" t="str">
        <f t="shared" ref="T120:T127" si="117">SUBSTITUTE(D120, ".", " ")</f>
        <v>Materiais Orgânicos</v>
      </c>
      <c r="U120" s="30" t="str">
        <f t="shared" ref="U120:U127" si="118">SUBSTITUTE(E120, ".", " ")</f>
        <v>Origem Vegetal</v>
      </c>
      <c r="V120" s="30" t="str">
        <f t="shared" ref="V120:V127" si="119">SUBSTITUTE(C120, ".", " ")</f>
        <v>Materialidade</v>
      </c>
      <c r="W120" s="18" t="str">
        <f t="shared" ref="W120:W127" si="120">CONCATENATE("K.",LEFT(C120,3),".",A120)</f>
        <v>K.Mat.120</v>
      </c>
      <c r="X120" s="28" t="s">
        <v>107</v>
      </c>
      <c r="Y120" s="28" t="s">
        <v>108</v>
      </c>
      <c r="Z120" s="78" t="s">
        <v>201</v>
      </c>
      <c r="AA120" s="28" t="str">
        <f t="shared" si="100"/>
        <v>Jute</v>
      </c>
    </row>
    <row r="121" spans="1:27" ht="7.3" customHeight="1" x14ac:dyDescent="0.4">
      <c r="A121" s="26">
        <v>121</v>
      </c>
      <c r="B121" s="71" t="s">
        <v>74</v>
      </c>
      <c r="C121" s="69" t="s">
        <v>106</v>
      </c>
      <c r="D121" s="70" t="s">
        <v>383</v>
      </c>
      <c r="E121" s="70" t="s">
        <v>423</v>
      </c>
      <c r="F121" s="70" t="s">
        <v>235</v>
      </c>
      <c r="G121" s="68" t="s">
        <v>1</v>
      </c>
      <c r="H121" s="68" t="s">
        <v>1</v>
      </c>
      <c r="I121" s="68" t="s">
        <v>1</v>
      </c>
      <c r="J121" s="68" t="s">
        <v>1</v>
      </c>
      <c r="K121" s="68" t="s">
        <v>1</v>
      </c>
      <c r="L121" s="27" t="str">
        <f t="shared" si="112"/>
        <v>Materialidade</v>
      </c>
      <c r="M121" s="27" t="str">
        <f t="shared" si="113"/>
        <v>Materiais Orgânicos</v>
      </c>
      <c r="N121" s="27" t="str">
        <f t="shared" si="114"/>
        <v>Origem Vegetal</v>
      </c>
      <c r="O121" s="27" t="str">
        <f t="shared" si="115"/>
        <v>Cortiça</v>
      </c>
      <c r="P121" s="28" t="s">
        <v>235</v>
      </c>
      <c r="Q121" s="31" t="str">
        <f>_xlfn.TRANSLATE(P121,"pt","es")</f>
        <v>Corcho</v>
      </c>
      <c r="R121" s="29" t="s">
        <v>1</v>
      </c>
      <c r="S121" s="30" t="str">
        <f t="shared" si="116"/>
        <v>Materialidade</v>
      </c>
      <c r="T121" s="30" t="str">
        <f t="shared" si="117"/>
        <v>Materiais Orgânicos</v>
      </c>
      <c r="U121" s="30" t="str">
        <f t="shared" si="118"/>
        <v>Origem Vegetal</v>
      </c>
      <c r="V121" s="30" t="str">
        <f t="shared" si="119"/>
        <v>Materialidade</v>
      </c>
      <c r="W121" s="18" t="str">
        <f t="shared" si="120"/>
        <v>K.Mat.121</v>
      </c>
      <c r="X121" s="28" t="s">
        <v>107</v>
      </c>
      <c r="Y121" s="28" t="s">
        <v>108</v>
      </c>
      <c r="Z121" s="78" t="s">
        <v>202</v>
      </c>
      <c r="AA121" s="28" t="str">
        <f t="shared" si="100"/>
        <v>Cork</v>
      </c>
    </row>
    <row r="122" spans="1:27" ht="7.3" customHeight="1" x14ac:dyDescent="0.4">
      <c r="A122" s="26">
        <v>122</v>
      </c>
      <c r="B122" s="71" t="s">
        <v>74</v>
      </c>
      <c r="C122" s="69" t="s">
        <v>106</v>
      </c>
      <c r="D122" s="70" t="s">
        <v>383</v>
      </c>
      <c r="E122" s="70" t="s">
        <v>423</v>
      </c>
      <c r="F122" s="72" t="s">
        <v>89</v>
      </c>
      <c r="G122" s="68" t="s">
        <v>1</v>
      </c>
      <c r="H122" s="68" t="s">
        <v>1</v>
      </c>
      <c r="I122" s="68" t="s">
        <v>1</v>
      </c>
      <c r="J122" s="68" t="s">
        <v>1</v>
      </c>
      <c r="K122" s="68" t="s">
        <v>1</v>
      </c>
      <c r="L122" s="27" t="str">
        <f t="shared" si="112"/>
        <v>Materialidade</v>
      </c>
      <c r="M122" s="27" t="str">
        <f t="shared" si="113"/>
        <v>Materiais Orgânicos</v>
      </c>
      <c r="N122" s="27" t="str">
        <f t="shared" si="114"/>
        <v>Origem Vegetal</v>
      </c>
      <c r="O122" s="27" t="str">
        <f t="shared" si="115"/>
        <v>Bambu</v>
      </c>
      <c r="P122" s="28" t="s">
        <v>89</v>
      </c>
      <c r="Q122" s="31" t="str">
        <f>_xlfn.TRANSLATE(P122,"pt","es")</f>
        <v>Bambú</v>
      </c>
      <c r="R122" s="29" t="s">
        <v>1</v>
      </c>
      <c r="S122" s="30" t="str">
        <f t="shared" si="116"/>
        <v>Materialidade</v>
      </c>
      <c r="T122" s="30" t="str">
        <f t="shared" si="117"/>
        <v>Materiais Orgânicos</v>
      </c>
      <c r="U122" s="30" t="str">
        <f t="shared" si="118"/>
        <v>Origem Vegetal</v>
      </c>
      <c r="V122" s="30" t="str">
        <f t="shared" si="119"/>
        <v>Materialidade</v>
      </c>
      <c r="W122" s="18" t="str">
        <f t="shared" si="120"/>
        <v>K.Mat.122</v>
      </c>
      <c r="X122" s="28" t="s">
        <v>107</v>
      </c>
      <c r="Y122" s="28" t="s">
        <v>108</v>
      </c>
      <c r="Z122" s="78" t="s">
        <v>195</v>
      </c>
      <c r="AA122" s="28" t="str">
        <f t="shared" si="100"/>
        <v>Bamboo</v>
      </c>
    </row>
    <row r="123" spans="1:27" ht="7.3" customHeight="1" x14ac:dyDescent="0.4">
      <c r="A123" s="26">
        <v>123</v>
      </c>
      <c r="B123" s="71" t="s">
        <v>74</v>
      </c>
      <c r="C123" s="69" t="s">
        <v>106</v>
      </c>
      <c r="D123" s="70" t="s">
        <v>383</v>
      </c>
      <c r="E123" s="70" t="s">
        <v>423</v>
      </c>
      <c r="F123" s="72" t="s">
        <v>500</v>
      </c>
      <c r="G123" s="68" t="s">
        <v>1</v>
      </c>
      <c r="H123" s="68" t="s">
        <v>1</v>
      </c>
      <c r="I123" s="68" t="s">
        <v>1</v>
      </c>
      <c r="J123" s="68" t="s">
        <v>1</v>
      </c>
      <c r="K123" s="68" t="s">
        <v>1</v>
      </c>
      <c r="L123" s="27" t="str">
        <f t="shared" si="112"/>
        <v>Materialidade</v>
      </c>
      <c r="M123" s="27" t="str">
        <f t="shared" si="113"/>
        <v>Materiais Orgânicos</v>
      </c>
      <c r="N123" s="27" t="str">
        <f t="shared" si="114"/>
        <v>Origem Vegetal</v>
      </c>
      <c r="O123" s="27" t="str">
        <f t="shared" si="115"/>
        <v>Grama</v>
      </c>
      <c r="P123" s="28" t="s">
        <v>500</v>
      </c>
      <c r="Q123" s="31" t="str">
        <f>_xlfn.TRANSLATE(P123,"pt","es")</f>
        <v>Césped</v>
      </c>
      <c r="R123" s="29" t="s">
        <v>1</v>
      </c>
      <c r="S123" s="30" t="str">
        <f t="shared" si="116"/>
        <v>Materialidade</v>
      </c>
      <c r="T123" s="30" t="str">
        <f t="shared" si="117"/>
        <v>Materiais Orgânicos</v>
      </c>
      <c r="U123" s="30" t="str">
        <f t="shared" si="118"/>
        <v>Origem Vegetal</v>
      </c>
      <c r="V123" s="30" t="str">
        <f t="shared" si="119"/>
        <v>Materialidade</v>
      </c>
      <c r="W123" s="18" t="str">
        <f t="shared" si="120"/>
        <v>K.Mat.123</v>
      </c>
      <c r="X123" s="28" t="s">
        <v>107</v>
      </c>
      <c r="Y123" s="28" t="s">
        <v>108</v>
      </c>
      <c r="Z123" s="78" t="s">
        <v>196</v>
      </c>
      <c r="AA123" s="28" t="str">
        <f t="shared" si="100"/>
        <v>Grass</v>
      </c>
    </row>
    <row r="124" spans="1:27" ht="7.3" customHeight="1" x14ac:dyDescent="0.4">
      <c r="A124" s="26">
        <v>124</v>
      </c>
      <c r="B124" s="71" t="s">
        <v>74</v>
      </c>
      <c r="C124" s="69" t="s">
        <v>106</v>
      </c>
      <c r="D124" s="70" t="s">
        <v>383</v>
      </c>
      <c r="E124" s="70" t="s">
        <v>423</v>
      </c>
      <c r="F124" s="72" t="s">
        <v>501</v>
      </c>
      <c r="G124" s="68" t="s">
        <v>1</v>
      </c>
      <c r="H124" s="68" t="s">
        <v>1</v>
      </c>
      <c r="I124" s="68" t="s">
        <v>1</v>
      </c>
      <c r="J124" s="68" t="s">
        <v>1</v>
      </c>
      <c r="K124" s="68" t="s">
        <v>1</v>
      </c>
      <c r="L124" s="27" t="str">
        <f t="shared" si="112"/>
        <v>Materialidade</v>
      </c>
      <c r="M124" s="27" t="str">
        <f t="shared" si="113"/>
        <v>Materiais Orgânicos</v>
      </c>
      <c r="N124" s="27" t="str">
        <f t="shared" si="114"/>
        <v>Origem Vegetal</v>
      </c>
      <c r="O124" s="27" t="str">
        <f t="shared" si="115"/>
        <v>Linho</v>
      </c>
      <c r="P124" s="28" t="s">
        <v>501</v>
      </c>
      <c r="Q124" s="31" t="str">
        <f>_xlfn.TRANSLATE(P124,"pt","es")</f>
        <v>Lino</v>
      </c>
      <c r="R124" s="29" t="s">
        <v>1</v>
      </c>
      <c r="S124" s="30" t="str">
        <f t="shared" si="116"/>
        <v>Materialidade</v>
      </c>
      <c r="T124" s="30" t="str">
        <f t="shared" si="117"/>
        <v>Materiais Orgânicos</v>
      </c>
      <c r="U124" s="30" t="str">
        <f t="shared" si="118"/>
        <v>Origem Vegetal</v>
      </c>
      <c r="V124" s="30" t="str">
        <f t="shared" si="119"/>
        <v>Materialidade</v>
      </c>
      <c r="W124" s="18" t="str">
        <f t="shared" si="120"/>
        <v>K.Mat.124</v>
      </c>
      <c r="X124" s="28" t="s">
        <v>107</v>
      </c>
      <c r="Y124" s="28" t="s">
        <v>108</v>
      </c>
      <c r="Z124" s="78" t="s">
        <v>197</v>
      </c>
      <c r="AA124" s="28" t="str">
        <f t="shared" si="100"/>
        <v>Linen</v>
      </c>
    </row>
    <row r="125" spans="1:27" ht="7.3" customHeight="1" x14ac:dyDescent="0.4">
      <c r="A125" s="26">
        <v>125</v>
      </c>
      <c r="B125" s="71" t="s">
        <v>74</v>
      </c>
      <c r="C125" s="69" t="s">
        <v>106</v>
      </c>
      <c r="D125" s="70" t="s">
        <v>383</v>
      </c>
      <c r="E125" s="70" t="s">
        <v>423</v>
      </c>
      <c r="F125" s="72" t="s">
        <v>502</v>
      </c>
      <c r="G125" s="68" t="s">
        <v>1</v>
      </c>
      <c r="H125" s="68" t="s">
        <v>1</v>
      </c>
      <c r="I125" s="68" t="s">
        <v>1</v>
      </c>
      <c r="J125" s="68" t="s">
        <v>1</v>
      </c>
      <c r="K125" s="68" t="s">
        <v>1</v>
      </c>
      <c r="L125" s="27" t="str">
        <f t="shared" si="112"/>
        <v>Materialidade</v>
      </c>
      <c r="M125" s="27" t="str">
        <f t="shared" si="113"/>
        <v>Materiais Orgânicos</v>
      </c>
      <c r="N125" s="27" t="str">
        <f t="shared" si="114"/>
        <v>Origem Vegetal</v>
      </c>
      <c r="O125" s="27" t="str">
        <f t="shared" si="115"/>
        <v>Vime</v>
      </c>
      <c r="P125" s="28" t="s">
        <v>502</v>
      </c>
      <c r="Q125" s="31" t="str">
        <f>_xlfn.TRANSLATE(P125,"pt","es")</f>
        <v>Mimbre</v>
      </c>
      <c r="R125" s="29" t="s">
        <v>1</v>
      </c>
      <c r="S125" s="30" t="str">
        <f t="shared" si="116"/>
        <v>Materialidade</v>
      </c>
      <c r="T125" s="30" t="str">
        <f t="shared" si="117"/>
        <v>Materiais Orgânicos</v>
      </c>
      <c r="U125" s="30" t="str">
        <f t="shared" si="118"/>
        <v>Origem Vegetal</v>
      </c>
      <c r="V125" s="30" t="str">
        <f t="shared" si="119"/>
        <v>Materialidade</v>
      </c>
      <c r="W125" s="18" t="str">
        <f t="shared" si="120"/>
        <v>K.Mat.125</v>
      </c>
      <c r="X125" s="28" t="s">
        <v>107</v>
      </c>
      <c r="Y125" s="28" t="s">
        <v>108</v>
      </c>
      <c r="Z125" s="78" t="s">
        <v>198</v>
      </c>
      <c r="AA125" s="28" t="str">
        <f t="shared" si="100"/>
        <v>Wicker</v>
      </c>
    </row>
    <row r="126" spans="1:27" ht="7.3" customHeight="1" x14ac:dyDescent="0.4">
      <c r="A126" s="26">
        <v>126</v>
      </c>
      <c r="B126" s="71" t="s">
        <v>74</v>
      </c>
      <c r="C126" s="69" t="s">
        <v>106</v>
      </c>
      <c r="D126" s="70" t="s">
        <v>383</v>
      </c>
      <c r="E126" s="70" t="s">
        <v>423</v>
      </c>
      <c r="F126" s="72" t="s">
        <v>503</v>
      </c>
      <c r="G126" s="68" t="s">
        <v>1</v>
      </c>
      <c r="H126" s="68" t="s">
        <v>1</v>
      </c>
      <c r="I126" s="68" t="s">
        <v>1</v>
      </c>
      <c r="J126" s="68" t="s">
        <v>1</v>
      </c>
      <c r="K126" s="68" t="s">
        <v>1</v>
      </c>
      <c r="L126" s="27" t="str">
        <f t="shared" si="112"/>
        <v>Materialidade</v>
      </c>
      <c r="M126" s="27" t="str">
        <f t="shared" si="113"/>
        <v>Materiais Orgânicos</v>
      </c>
      <c r="N126" s="27" t="str">
        <f t="shared" si="114"/>
        <v>Origem Vegetal</v>
      </c>
      <c r="O126" s="27" t="str">
        <f t="shared" si="115"/>
        <v>Palha</v>
      </c>
      <c r="P126" s="28" t="s">
        <v>503</v>
      </c>
      <c r="Q126" s="31" t="str">
        <f>_xlfn.TRANSLATE(P126,"pt","es")</f>
        <v>Paja</v>
      </c>
      <c r="R126" s="29" t="s">
        <v>1</v>
      </c>
      <c r="S126" s="30" t="str">
        <f t="shared" si="116"/>
        <v>Materialidade</v>
      </c>
      <c r="T126" s="30" t="str">
        <f t="shared" si="117"/>
        <v>Materiais Orgânicos</v>
      </c>
      <c r="U126" s="30" t="str">
        <f t="shared" si="118"/>
        <v>Origem Vegetal</v>
      </c>
      <c r="V126" s="30" t="str">
        <f t="shared" si="119"/>
        <v>Materialidade</v>
      </c>
      <c r="W126" s="18" t="str">
        <f t="shared" si="120"/>
        <v>K.Mat.126</v>
      </c>
      <c r="X126" s="28" t="s">
        <v>107</v>
      </c>
      <c r="Y126" s="28" t="s">
        <v>108</v>
      </c>
      <c r="Z126" s="78" t="s">
        <v>199</v>
      </c>
      <c r="AA126" s="28" t="str">
        <f t="shared" si="100"/>
        <v>Straw</v>
      </c>
    </row>
    <row r="127" spans="1:27" ht="7.3" customHeight="1" x14ac:dyDescent="0.4">
      <c r="A127" s="26">
        <v>127</v>
      </c>
      <c r="B127" s="71" t="s">
        <v>74</v>
      </c>
      <c r="C127" s="69" t="s">
        <v>106</v>
      </c>
      <c r="D127" s="70" t="s">
        <v>520</v>
      </c>
      <c r="E127" s="70" t="s">
        <v>525</v>
      </c>
      <c r="F127" s="70" t="s">
        <v>526</v>
      </c>
      <c r="G127" s="68" t="s">
        <v>1</v>
      </c>
      <c r="H127" s="68" t="s">
        <v>1</v>
      </c>
      <c r="I127" s="68" t="s">
        <v>1</v>
      </c>
      <c r="J127" s="68" t="s">
        <v>1</v>
      </c>
      <c r="K127" s="68" t="s">
        <v>1</v>
      </c>
      <c r="L127" s="27" t="str">
        <f t="shared" si="112"/>
        <v>Materialidade</v>
      </c>
      <c r="M127" s="27" t="str">
        <f t="shared" si="113"/>
        <v>Materiais Sintéticos</v>
      </c>
      <c r="N127" s="27" t="str">
        <f t="shared" si="114"/>
        <v>Origem Petroquímico</v>
      </c>
      <c r="O127" s="27" t="str">
        <f t="shared" si="115"/>
        <v>Combustível</v>
      </c>
      <c r="P127" s="28" t="s">
        <v>23</v>
      </c>
      <c r="Q127" s="31" t="str">
        <f>_xlfn.TRANSLATE(P127,"pt","es")</f>
        <v>-</v>
      </c>
      <c r="R127" s="29" t="s">
        <v>1</v>
      </c>
      <c r="S127" s="30" t="str">
        <f t="shared" si="116"/>
        <v>Materialidade</v>
      </c>
      <c r="T127" s="30" t="str">
        <f t="shared" si="117"/>
        <v>Materiais Sintéticos</v>
      </c>
      <c r="U127" s="30" t="str">
        <f t="shared" si="118"/>
        <v>Origem Petroquímico</v>
      </c>
      <c r="V127" s="30" t="str">
        <f t="shared" si="119"/>
        <v>Materialidade</v>
      </c>
      <c r="W127" s="18" t="str">
        <f t="shared" si="120"/>
        <v>K.Mat.127</v>
      </c>
      <c r="X127" s="28" t="s">
        <v>107</v>
      </c>
      <c r="Y127" s="28" t="s">
        <v>108</v>
      </c>
      <c r="Z127" s="28" t="s">
        <v>1</v>
      </c>
      <c r="AA127" s="28" t="str">
        <f t="shared" ref="AA127" si="121">_xlfn.TRANSLATE(P127,"pt","en")</f>
        <v>-</v>
      </c>
    </row>
    <row r="128" spans="1:27" ht="7.3" customHeight="1" x14ac:dyDescent="0.4">
      <c r="A128" s="26">
        <v>128</v>
      </c>
      <c r="B128" s="71" t="s">
        <v>74</v>
      </c>
      <c r="C128" s="69" t="s">
        <v>106</v>
      </c>
      <c r="D128" s="70" t="s">
        <v>520</v>
      </c>
      <c r="E128" s="70" t="s">
        <v>525</v>
      </c>
      <c r="F128" s="70" t="s">
        <v>115</v>
      </c>
      <c r="G128" s="68" t="s">
        <v>1</v>
      </c>
      <c r="H128" s="68" t="s">
        <v>1</v>
      </c>
      <c r="I128" s="68" t="s">
        <v>1</v>
      </c>
      <c r="J128" s="68" t="s">
        <v>1</v>
      </c>
      <c r="K128" s="68" t="s">
        <v>1</v>
      </c>
      <c r="L128" s="27" t="str">
        <f t="shared" si="72"/>
        <v>Materialidade</v>
      </c>
      <c r="M128" s="27" t="str">
        <f t="shared" si="72"/>
        <v>Materiais Sintéticos</v>
      </c>
      <c r="N128" s="27" t="str">
        <f t="shared" si="72"/>
        <v>Origem Petroquímico</v>
      </c>
      <c r="O128" s="27" t="str">
        <f t="shared" si="72"/>
        <v>Plástico</v>
      </c>
      <c r="P128" s="28" t="s">
        <v>115</v>
      </c>
      <c r="Q128" s="31" t="str">
        <f>_xlfn.TRANSLATE(P128,"pt","es")</f>
        <v>Plástico</v>
      </c>
      <c r="R128" s="29" t="s">
        <v>1</v>
      </c>
      <c r="S128" s="30" t="str">
        <f t="shared" si="9"/>
        <v>Materialidade</v>
      </c>
      <c r="T128" s="30" t="str">
        <f t="shared" si="10"/>
        <v>Materiais Sintéticos</v>
      </c>
      <c r="U128" s="30" t="str">
        <f t="shared" si="11"/>
        <v>Origem Petroquímico</v>
      </c>
      <c r="V128" s="30" t="str">
        <f t="shared" si="12"/>
        <v>Materialidade</v>
      </c>
      <c r="W128" s="18" t="str">
        <f t="shared" si="13"/>
        <v>K.Mat.128</v>
      </c>
      <c r="X128" s="28" t="s">
        <v>107</v>
      </c>
      <c r="Y128" s="28" t="s">
        <v>108</v>
      </c>
      <c r="Z128" s="78" t="s">
        <v>203</v>
      </c>
      <c r="AA128" s="28" t="str">
        <f t="shared" si="100"/>
        <v>Plastic</v>
      </c>
    </row>
    <row r="129" spans="1:27" ht="7.3" customHeight="1" x14ac:dyDescent="0.4">
      <c r="A129" s="26">
        <v>129</v>
      </c>
      <c r="B129" s="71" t="s">
        <v>74</v>
      </c>
      <c r="C129" s="69" t="s">
        <v>106</v>
      </c>
      <c r="D129" s="70" t="s">
        <v>521</v>
      </c>
      <c r="E129" s="70" t="s">
        <v>239</v>
      </c>
      <c r="F129" s="70" t="s">
        <v>238</v>
      </c>
      <c r="G129" s="68" t="s">
        <v>1</v>
      </c>
      <c r="H129" s="68" t="s">
        <v>1</v>
      </c>
      <c r="I129" s="68" t="s">
        <v>1</v>
      </c>
      <c r="J129" s="68" t="s">
        <v>1</v>
      </c>
      <c r="K129" s="68" t="s">
        <v>1</v>
      </c>
      <c r="L129" s="27" t="str">
        <f t="shared" si="72"/>
        <v>Materialidade</v>
      </c>
      <c r="M129" s="27" t="str">
        <f t="shared" si="72"/>
        <v>Materiais Vitreos</v>
      </c>
      <c r="N129" s="27" t="str">
        <f t="shared" si="72"/>
        <v>Vídros</v>
      </c>
      <c r="O129" s="27" t="str">
        <f t="shared" si="72"/>
        <v>Vídro</v>
      </c>
      <c r="P129" s="28" t="s">
        <v>238</v>
      </c>
      <c r="Q129" s="31" t="str">
        <f>_xlfn.TRANSLATE(P129,"pt","es")</f>
        <v>Vidrio</v>
      </c>
      <c r="R129" s="29" t="s">
        <v>1</v>
      </c>
      <c r="S129" s="30" t="str">
        <f t="shared" si="9"/>
        <v>Materialidade</v>
      </c>
      <c r="T129" s="30" t="str">
        <f t="shared" si="10"/>
        <v>Materiais Vitreos</v>
      </c>
      <c r="U129" s="30" t="str">
        <f t="shared" si="11"/>
        <v>Vídros</v>
      </c>
      <c r="V129" s="30" t="str">
        <f t="shared" si="12"/>
        <v>Materialidade</v>
      </c>
      <c r="W129" s="18" t="str">
        <f t="shared" si="13"/>
        <v>K.Mat.129</v>
      </c>
      <c r="X129" s="28" t="s">
        <v>107</v>
      </c>
      <c r="Y129" s="28" t="s">
        <v>108</v>
      </c>
      <c r="Z129" s="78" t="s">
        <v>157</v>
      </c>
      <c r="AA129" s="28" t="str">
        <f t="shared" si="100"/>
        <v>Glass</v>
      </c>
    </row>
    <row r="130" spans="1:27" ht="7.3" customHeight="1" x14ac:dyDescent="0.4">
      <c r="A130" s="26">
        <v>130</v>
      </c>
      <c r="B130" s="71" t="s">
        <v>74</v>
      </c>
      <c r="C130" s="69" t="s">
        <v>106</v>
      </c>
      <c r="D130" s="70" t="s">
        <v>524</v>
      </c>
      <c r="E130" s="70" t="s">
        <v>425</v>
      </c>
      <c r="F130" s="72" t="s">
        <v>442</v>
      </c>
      <c r="G130" s="68" t="s">
        <v>1</v>
      </c>
      <c r="H130" s="68" t="s">
        <v>1</v>
      </c>
      <c r="I130" s="68" t="s">
        <v>1</v>
      </c>
      <c r="J130" s="68" t="s">
        <v>1</v>
      </c>
      <c r="K130" s="68" t="s">
        <v>1</v>
      </c>
      <c r="L130" s="27" t="str">
        <f t="shared" ref="L130:L149" si="122">SUBSTITUTE(CONCATENATE("", C130), ".", " ")</f>
        <v>Materialidade</v>
      </c>
      <c r="M130" s="27" t="str">
        <f t="shared" ref="M130:M149" si="123">SUBSTITUTE(CONCATENATE("", D130), ".", " ")</f>
        <v>Materiais de Insumos</v>
      </c>
      <c r="N130" s="27" t="str">
        <f t="shared" ref="N130:N149" si="124">SUBSTITUTE(CONCATENATE("", E130), ".", " ")</f>
        <v>Gasosos</v>
      </c>
      <c r="O130" s="27" t="str">
        <f t="shared" ref="O130:O149" si="125">SUBSTITUTE(CONCATENATE("", F130), ".", " ")</f>
        <v>Hidrocarboneto</v>
      </c>
      <c r="P130" s="66" t="s">
        <v>442</v>
      </c>
      <c r="Q130" s="31" t="str">
        <f t="shared" ref="Q130:Q153" si="126">_xlfn.TRANSLATE(P130,"pt","es")</f>
        <v>Hidrocarburos</v>
      </c>
      <c r="R130" s="29" t="s">
        <v>1</v>
      </c>
      <c r="S130" s="30" t="str">
        <f t="shared" ref="S130:S149" si="127">SUBSTITUTE(C130, ".", " ")</f>
        <v>Materialidade</v>
      </c>
      <c r="T130" s="30" t="str">
        <f t="shared" ref="T130:T149" si="128">SUBSTITUTE(D130, ".", " ")</f>
        <v>Materiais de Insumos</v>
      </c>
      <c r="U130" s="30" t="str">
        <f t="shared" ref="U130:U149" si="129">SUBSTITUTE(E130, ".", " ")</f>
        <v>Gasosos</v>
      </c>
      <c r="V130" s="30" t="str">
        <f t="shared" ref="V130:V149" si="130">SUBSTITUTE(C130, ".", " ")</f>
        <v>Materialidade</v>
      </c>
      <c r="W130" s="18" t="str">
        <f t="shared" ref="W130:W149" si="131">CONCATENATE("K.",LEFT(C130,3),".",A130)</f>
        <v>K.Mat.130</v>
      </c>
      <c r="X130" s="28" t="s">
        <v>107</v>
      </c>
      <c r="Y130" s="28" t="s">
        <v>108</v>
      </c>
      <c r="Z130" s="78" t="s">
        <v>212</v>
      </c>
      <c r="AA130" s="28" t="str">
        <f t="shared" si="100"/>
        <v>Hydrocarbon</v>
      </c>
    </row>
    <row r="131" spans="1:27" ht="7.3" customHeight="1" x14ac:dyDescent="0.4">
      <c r="A131" s="26">
        <v>131</v>
      </c>
      <c r="B131" s="71" t="s">
        <v>74</v>
      </c>
      <c r="C131" s="69" t="s">
        <v>106</v>
      </c>
      <c r="D131" s="70" t="s">
        <v>524</v>
      </c>
      <c r="E131" s="70" t="s">
        <v>425</v>
      </c>
      <c r="F131" s="72" t="s">
        <v>480</v>
      </c>
      <c r="G131" s="68" t="s">
        <v>1</v>
      </c>
      <c r="H131" s="68" t="s">
        <v>1</v>
      </c>
      <c r="I131" s="68" t="s">
        <v>1</v>
      </c>
      <c r="J131" s="68" t="s">
        <v>1</v>
      </c>
      <c r="K131" s="68" t="s">
        <v>1</v>
      </c>
      <c r="L131" s="27" t="str">
        <f t="shared" si="122"/>
        <v>Materialidade</v>
      </c>
      <c r="M131" s="27" t="str">
        <f t="shared" si="123"/>
        <v>Materiais de Insumos</v>
      </c>
      <c r="N131" s="27" t="str">
        <f t="shared" si="124"/>
        <v>Gasosos</v>
      </c>
      <c r="O131" s="27" t="str">
        <f t="shared" si="125"/>
        <v>Gas Propano</v>
      </c>
      <c r="P131" s="66" t="s">
        <v>426</v>
      </c>
      <c r="Q131" s="31" t="str">
        <f t="shared" si="126"/>
        <v>Propano</v>
      </c>
      <c r="R131" s="29" t="s">
        <v>1</v>
      </c>
      <c r="S131" s="30" t="str">
        <f t="shared" si="127"/>
        <v>Materialidade</v>
      </c>
      <c r="T131" s="30" t="str">
        <f t="shared" si="128"/>
        <v>Materiais de Insumos</v>
      </c>
      <c r="U131" s="30" t="str">
        <f t="shared" si="129"/>
        <v>Gasosos</v>
      </c>
      <c r="V131" s="30" t="str">
        <f t="shared" si="130"/>
        <v>Materialidade</v>
      </c>
      <c r="W131" s="18" t="str">
        <f t="shared" si="131"/>
        <v>K.Mat.131</v>
      </c>
      <c r="X131" s="28" t="s">
        <v>107</v>
      </c>
      <c r="Y131" s="28" t="s">
        <v>108</v>
      </c>
      <c r="Z131" s="78" t="s">
        <v>213</v>
      </c>
      <c r="AA131" s="28" t="str">
        <f t="shared" si="100"/>
        <v>Propane</v>
      </c>
    </row>
    <row r="132" spans="1:27" ht="7.3" customHeight="1" x14ac:dyDescent="0.4">
      <c r="A132" s="26">
        <v>132</v>
      </c>
      <c r="B132" s="71" t="s">
        <v>74</v>
      </c>
      <c r="C132" s="69" t="s">
        <v>106</v>
      </c>
      <c r="D132" s="70" t="s">
        <v>524</v>
      </c>
      <c r="E132" s="70" t="s">
        <v>425</v>
      </c>
      <c r="F132" s="72" t="s">
        <v>443</v>
      </c>
      <c r="G132" s="68" t="s">
        <v>1</v>
      </c>
      <c r="H132" s="68" t="s">
        <v>1</v>
      </c>
      <c r="I132" s="68" t="s">
        <v>1</v>
      </c>
      <c r="J132" s="68" t="s">
        <v>1</v>
      </c>
      <c r="K132" s="68" t="s">
        <v>1</v>
      </c>
      <c r="L132" s="27" t="str">
        <f t="shared" si="122"/>
        <v>Materialidade</v>
      </c>
      <c r="M132" s="27" t="str">
        <f t="shared" si="123"/>
        <v>Materiais de Insumos</v>
      </c>
      <c r="N132" s="27" t="str">
        <f t="shared" si="124"/>
        <v>Gasosos</v>
      </c>
      <c r="O132" s="27" t="str">
        <f t="shared" si="125"/>
        <v>Gas Butano</v>
      </c>
      <c r="P132" s="66" t="s">
        <v>443</v>
      </c>
      <c r="Q132" s="31" t="str">
        <f t="shared" si="126"/>
        <v>Gas Butano</v>
      </c>
      <c r="R132" s="29" t="s">
        <v>1</v>
      </c>
      <c r="S132" s="30" t="str">
        <f t="shared" si="127"/>
        <v>Materialidade</v>
      </c>
      <c r="T132" s="30" t="str">
        <f t="shared" si="128"/>
        <v>Materiais de Insumos</v>
      </c>
      <c r="U132" s="30" t="str">
        <f t="shared" si="129"/>
        <v>Gasosos</v>
      </c>
      <c r="V132" s="30" t="str">
        <f t="shared" si="130"/>
        <v>Materialidade</v>
      </c>
      <c r="W132" s="18" t="str">
        <f t="shared" si="131"/>
        <v>K.Mat.132</v>
      </c>
      <c r="X132" s="28" t="s">
        <v>107</v>
      </c>
      <c r="Y132" s="28" t="s">
        <v>108</v>
      </c>
      <c r="Z132" s="78" t="s">
        <v>214</v>
      </c>
      <c r="AA132" s="28" t="str">
        <f t="shared" si="100"/>
        <v>Butane Gas</v>
      </c>
    </row>
    <row r="133" spans="1:27" ht="7.3" customHeight="1" x14ac:dyDescent="0.4">
      <c r="A133" s="26">
        <v>133</v>
      </c>
      <c r="B133" s="71" t="s">
        <v>74</v>
      </c>
      <c r="C133" s="69" t="s">
        <v>106</v>
      </c>
      <c r="D133" s="70" t="s">
        <v>524</v>
      </c>
      <c r="E133" s="70" t="s">
        <v>425</v>
      </c>
      <c r="F133" s="72" t="s">
        <v>481</v>
      </c>
      <c r="G133" s="68" t="s">
        <v>1</v>
      </c>
      <c r="H133" s="68" t="s">
        <v>1</v>
      </c>
      <c r="I133" s="68" t="s">
        <v>1</v>
      </c>
      <c r="J133" s="68" t="s">
        <v>1</v>
      </c>
      <c r="K133" s="68" t="s">
        <v>1</v>
      </c>
      <c r="L133" s="27" t="str">
        <f t="shared" si="122"/>
        <v>Materialidade</v>
      </c>
      <c r="M133" s="27" t="str">
        <f t="shared" si="123"/>
        <v>Materiais de Insumos</v>
      </c>
      <c r="N133" s="27" t="str">
        <f t="shared" si="124"/>
        <v>Gasosos</v>
      </c>
      <c r="O133" s="27" t="str">
        <f t="shared" si="125"/>
        <v>Gas GLP</v>
      </c>
      <c r="P133" s="66" t="s">
        <v>427</v>
      </c>
      <c r="Q133" s="31" t="str">
        <f t="shared" si="126"/>
        <v>GLP</v>
      </c>
      <c r="R133" s="29" t="s">
        <v>1</v>
      </c>
      <c r="S133" s="30" t="str">
        <f t="shared" si="127"/>
        <v>Materialidade</v>
      </c>
      <c r="T133" s="30" t="str">
        <f t="shared" si="128"/>
        <v>Materiais de Insumos</v>
      </c>
      <c r="U133" s="30" t="str">
        <f t="shared" si="129"/>
        <v>Gasosos</v>
      </c>
      <c r="V133" s="30" t="str">
        <f t="shared" si="130"/>
        <v>Materialidade</v>
      </c>
      <c r="W133" s="18" t="str">
        <f t="shared" si="131"/>
        <v>K.Mat.133</v>
      </c>
      <c r="X133" s="28" t="s">
        <v>107</v>
      </c>
      <c r="Y133" s="28" t="s">
        <v>108</v>
      </c>
      <c r="Z133" s="78" t="s">
        <v>215</v>
      </c>
      <c r="AA133" s="28" t="str">
        <f t="shared" si="100"/>
        <v>LPG</v>
      </c>
    </row>
    <row r="134" spans="1:27" ht="7.3" customHeight="1" x14ac:dyDescent="0.4">
      <c r="A134" s="26">
        <v>134</v>
      </c>
      <c r="B134" s="71" t="s">
        <v>74</v>
      </c>
      <c r="C134" s="69" t="s">
        <v>106</v>
      </c>
      <c r="D134" s="70" t="s">
        <v>524</v>
      </c>
      <c r="E134" s="70" t="s">
        <v>425</v>
      </c>
      <c r="F134" s="72" t="s">
        <v>444</v>
      </c>
      <c r="G134" s="68" t="s">
        <v>1</v>
      </c>
      <c r="H134" s="68" t="s">
        <v>1</v>
      </c>
      <c r="I134" s="68" t="s">
        <v>1</v>
      </c>
      <c r="J134" s="68" t="s">
        <v>1</v>
      </c>
      <c r="K134" s="68" t="s">
        <v>1</v>
      </c>
      <c r="L134" s="27" t="str">
        <f t="shared" si="122"/>
        <v>Materialidade</v>
      </c>
      <c r="M134" s="27" t="str">
        <f t="shared" si="123"/>
        <v>Materiais de Insumos</v>
      </c>
      <c r="N134" s="27" t="str">
        <f t="shared" si="124"/>
        <v>Gasosos</v>
      </c>
      <c r="O134" s="27" t="str">
        <f t="shared" si="125"/>
        <v>Gas Refrigerante</v>
      </c>
      <c r="P134" s="66" t="s">
        <v>444</v>
      </c>
      <c r="Q134" s="31" t="str">
        <f t="shared" si="126"/>
        <v>Gas. Refrigerante</v>
      </c>
      <c r="R134" s="29" t="s">
        <v>1</v>
      </c>
      <c r="S134" s="30" t="str">
        <f t="shared" si="127"/>
        <v>Materialidade</v>
      </c>
      <c r="T134" s="30" t="str">
        <f t="shared" si="128"/>
        <v>Materiais de Insumos</v>
      </c>
      <c r="U134" s="30" t="str">
        <f t="shared" si="129"/>
        <v>Gasosos</v>
      </c>
      <c r="V134" s="30" t="str">
        <f t="shared" si="130"/>
        <v>Materialidade</v>
      </c>
      <c r="W134" s="18" t="str">
        <f t="shared" si="131"/>
        <v>K.Mat.134</v>
      </c>
      <c r="X134" s="28" t="s">
        <v>107</v>
      </c>
      <c r="Y134" s="28" t="s">
        <v>108</v>
      </c>
      <c r="Z134" s="78" t="s">
        <v>216</v>
      </c>
      <c r="AA134" s="28" t="str">
        <f t="shared" si="100"/>
        <v>Gas.Refrigerant</v>
      </c>
    </row>
    <row r="135" spans="1:27" ht="7.3" customHeight="1" x14ac:dyDescent="0.4">
      <c r="A135" s="26">
        <v>135</v>
      </c>
      <c r="B135" s="71" t="s">
        <v>74</v>
      </c>
      <c r="C135" s="69" t="s">
        <v>106</v>
      </c>
      <c r="D135" s="70" t="s">
        <v>524</v>
      </c>
      <c r="E135" s="70" t="s">
        <v>425</v>
      </c>
      <c r="F135" s="72" t="s">
        <v>445</v>
      </c>
      <c r="G135" s="68" t="s">
        <v>1</v>
      </c>
      <c r="H135" s="68" t="s">
        <v>1</v>
      </c>
      <c r="I135" s="68" t="s">
        <v>1</v>
      </c>
      <c r="J135" s="68" t="s">
        <v>1</v>
      </c>
      <c r="K135" s="68" t="s">
        <v>1</v>
      </c>
      <c r="L135" s="27" t="str">
        <f t="shared" si="122"/>
        <v>Materialidade</v>
      </c>
      <c r="M135" s="27" t="str">
        <f t="shared" si="123"/>
        <v>Materiais de Insumos</v>
      </c>
      <c r="N135" s="27" t="str">
        <f t="shared" si="124"/>
        <v>Gasosos</v>
      </c>
      <c r="O135" s="27" t="str">
        <f t="shared" si="125"/>
        <v>Fluorocarbono</v>
      </c>
      <c r="P135" s="66" t="s">
        <v>445</v>
      </c>
      <c r="Q135" s="31" t="str">
        <f t="shared" si="126"/>
        <v>Fluorocarbono</v>
      </c>
      <c r="R135" s="29" t="s">
        <v>1</v>
      </c>
      <c r="S135" s="30" t="str">
        <f t="shared" si="127"/>
        <v>Materialidade</v>
      </c>
      <c r="T135" s="30" t="str">
        <f t="shared" si="128"/>
        <v>Materiais de Insumos</v>
      </c>
      <c r="U135" s="30" t="str">
        <f t="shared" si="129"/>
        <v>Gasosos</v>
      </c>
      <c r="V135" s="30" t="str">
        <f t="shared" si="130"/>
        <v>Materialidade</v>
      </c>
      <c r="W135" s="18" t="str">
        <f t="shared" si="131"/>
        <v>K.Mat.135</v>
      </c>
      <c r="X135" s="28" t="s">
        <v>107</v>
      </c>
      <c r="Y135" s="28" t="s">
        <v>108</v>
      </c>
      <c r="Z135" s="78" t="s">
        <v>217</v>
      </c>
      <c r="AA135" s="28" t="str">
        <f t="shared" si="100"/>
        <v>Fluorocarbon</v>
      </c>
    </row>
    <row r="136" spans="1:27" ht="7.3" customHeight="1" x14ac:dyDescent="0.4">
      <c r="A136" s="26">
        <v>136</v>
      </c>
      <c r="B136" s="71" t="s">
        <v>74</v>
      </c>
      <c r="C136" s="69" t="s">
        <v>106</v>
      </c>
      <c r="D136" s="70" t="s">
        <v>524</v>
      </c>
      <c r="E136" s="70" t="s">
        <v>425</v>
      </c>
      <c r="F136" s="72" t="s">
        <v>446</v>
      </c>
      <c r="G136" s="68" t="s">
        <v>1</v>
      </c>
      <c r="H136" s="68" t="s">
        <v>1</v>
      </c>
      <c r="I136" s="68" t="s">
        <v>1</v>
      </c>
      <c r="J136" s="68" t="s">
        <v>1</v>
      </c>
      <c r="K136" s="68" t="s">
        <v>1</v>
      </c>
      <c r="L136" s="27" t="str">
        <f t="shared" si="122"/>
        <v>Materialidade</v>
      </c>
      <c r="M136" s="27" t="str">
        <f t="shared" si="123"/>
        <v>Materiais de Insumos</v>
      </c>
      <c r="N136" s="27" t="str">
        <f t="shared" si="124"/>
        <v>Gasosos</v>
      </c>
      <c r="O136" s="27" t="str">
        <f t="shared" si="125"/>
        <v>CFC-11</v>
      </c>
      <c r="P136" s="66" t="s">
        <v>428</v>
      </c>
      <c r="Q136" s="31" t="str">
        <f t="shared" si="126"/>
        <v>Triclorofluorometano (CFC-11)</v>
      </c>
      <c r="R136" s="29" t="s">
        <v>1</v>
      </c>
      <c r="S136" s="30" t="str">
        <f t="shared" si="127"/>
        <v>Materialidade</v>
      </c>
      <c r="T136" s="30" t="str">
        <f t="shared" si="128"/>
        <v>Materiais de Insumos</v>
      </c>
      <c r="U136" s="30" t="str">
        <f t="shared" si="129"/>
        <v>Gasosos</v>
      </c>
      <c r="V136" s="30" t="str">
        <f t="shared" si="130"/>
        <v>Materialidade</v>
      </c>
      <c r="W136" s="18" t="str">
        <f t="shared" si="131"/>
        <v>K.Mat.136</v>
      </c>
      <c r="X136" s="28" t="s">
        <v>107</v>
      </c>
      <c r="Y136" s="28" t="s">
        <v>108</v>
      </c>
      <c r="Z136" s="78" t="s">
        <v>218</v>
      </c>
      <c r="AA136" s="28" t="str">
        <f t="shared" si="100"/>
        <v>Trichlorofluoromethane (CFC-11)</v>
      </c>
    </row>
    <row r="137" spans="1:27" ht="7.3" customHeight="1" x14ac:dyDescent="0.4">
      <c r="A137" s="26">
        <v>137</v>
      </c>
      <c r="B137" s="71" t="s">
        <v>74</v>
      </c>
      <c r="C137" s="69" t="s">
        <v>106</v>
      </c>
      <c r="D137" s="70" t="s">
        <v>524</v>
      </c>
      <c r="E137" s="70" t="s">
        <v>425</v>
      </c>
      <c r="F137" s="72" t="s">
        <v>448</v>
      </c>
      <c r="G137" s="68" t="s">
        <v>1</v>
      </c>
      <c r="H137" s="68" t="s">
        <v>1</v>
      </c>
      <c r="I137" s="68" t="s">
        <v>1</v>
      </c>
      <c r="J137" s="68" t="s">
        <v>1</v>
      </c>
      <c r="K137" s="68" t="s">
        <v>1</v>
      </c>
      <c r="L137" s="27" t="str">
        <f t="shared" si="122"/>
        <v>Materialidade</v>
      </c>
      <c r="M137" s="27" t="str">
        <f t="shared" si="123"/>
        <v>Materiais de Insumos</v>
      </c>
      <c r="N137" s="27" t="str">
        <f t="shared" si="124"/>
        <v>Gasosos</v>
      </c>
      <c r="O137" s="27" t="str">
        <f t="shared" si="125"/>
        <v>CFC-12</v>
      </c>
      <c r="P137" s="66" t="s">
        <v>429</v>
      </c>
      <c r="Q137" s="31" t="str">
        <f t="shared" si="126"/>
        <v>Diclorodifluorometano (CFC-12)</v>
      </c>
      <c r="R137" s="29" t="s">
        <v>1</v>
      </c>
      <c r="S137" s="30" t="str">
        <f t="shared" si="127"/>
        <v>Materialidade</v>
      </c>
      <c r="T137" s="30" t="str">
        <f t="shared" si="128"/>
        <v>Materiais de Insumos</v>
      </c>
      <c r="U137" s="30" t="str">
        <f t="shared" si="129"/>
        <v>Gasosos</v>
      </c>
      <c r="V137" s="30" t="str">
        <f t="shared" si="130"/>
        <v>Materialidade</v>
      </c>
      <c r="W137" s="18" t="str">
        <f t="shared" si="131"/>
        <v>K.Mat.137</v>
      </c>
      <c r="X137" s="28" t="s">
        <v>107</v>
      </c>
      <c r="Y137" s="28" t="s">
        <v>108</v>
      </c>
      <c r="Z137" s="78" t="s">
        <v>219</v>
      </c>
      <c r="AA137" s="28" t="str">
        <f t="shared" si="100"/>
        <v>Dichlorodifluoromethane (CFC-12)</v>
      </c>
    </row>
    <row r="138" spans="1:27" ht="7.3" customHeight="1" x14ac:dyDescent="0.4">
      <c r="A138" s="26">
        <v>138</v>
      </c>
      <c r="B138" s="71" t="s">
        <v>74</v>
      </c>
      <c r="C138" s="69" t="s">
        <v>106</v>
      </c>
      <c r="D138" s="70" t="s">
        <v>524</v>
      </c>
      <c r="E138" s="70" t="s">
        <v>425</v>
      </c>
      <c r="F138" s="72" t="s">
        <v>447</v>
      </c>
      <c r="G138" s="68" t="s">
        <v>1</v>
      </c>
      <c r="H138" s="68" t="s">
        <v>1</v>
      </c>
      <c r="I138" s="68" t="s">
        <v>1</v>
      </c>
      <c r="J138" s="68" t="s">
        <v>1</v>
      </c>
      <c r="K138" s="68" t="s">
        <v>1</v>
      </c>
      <c r="L138" s="27" t="str">
        <f t="shared" si="122"/>
        <v>Materialidade</v>
      </c>
      <c r="M138" s="27" t="str">
        <f t="shared" si="123"/>
        <v>Materiais de Insumos</v>
      </c>
      <c r="N138" s="27" t="str">
        <f t="shared" si="124"/>
        <v>Gasosos</v>
      </c>
      <c r="O138" s="27" t="str">
        <f t="shared" si="125"/>
        <v>CFC-13</v>
      </c>
      <c r="P138" s="66" t="s">
        <v>430</v>
      </c>
      <c r="Q138" s="31" t="str">
        <f t="shared" si="126"/>
        <v>Clorotrifluorometano (CFC-13)</v>
      </c>
      <c r="R138" s="29" t="s">
        <v>1</v>
      </c>
      <c r="S138" s="30" t="str">
        <f t="shared" si="127"/>
        <v>Materialidade</v>
      </c>
      <c r="T138" s="30" t="str">
        <f t="shared" si="128"/>
        <v>Materiais de Insumos</v>
      </c>
      <c r="U138" s="30" t="str">
        <f t="shared" si="129"/>
        <v>Gasosos</v>
      </c>
      <c r="V138" s="30" t="str">
        <f t="shared" si="130"/>
        <v>Materialidade</v>
      </c>
      <c r="W138" s="18" t="str">
        <f t="shared" si="131"/>
        <v>K.Mat.138</v>
      </c>
      <c r="X138" s="28" t="s">
        <v>107</v>
      </c>
      <c r="Y138" s="28" t="s">
        <v>108</v>
      </c>
      <c r="Z138" s="78" t="s">
        <v>220</v>
      </c>
      <c r="AA138" s="28" t="str">
        <f t="shared" si="100"/>
        <v>Chlorotrifluoromethane (CFC-13)</v>
      </c>
    </row>
    <row r="139" spans="1:27" ht="7.3" customHeight="1" x14ac:dyDescent="0.4">
      <c r="A139" s="26">
        <v>139</v>
      </c>
      <c r="B139" s="71" t="s">
        <v>74</v>
      </c>
      <c r="C139" s="69" t="s">
        <v>106</v>
      </c>
      <c r="D139" s="70" t="s">
        <v>524</v>
      </c>
      <c r="E139" s="70" t="s">
        <v>425</v>
      </c>
      <c r="F139" s="72" t="s">
        <v>449</v>
      </c>
      <c r="G139" s="68" t="s">
        <v>1</v>
      </c>
      <c r="H139" s="68" t="s">
        <v>1</v>
      </c>
      <c r="I139" s="68" t="s">
        <v>1</v>
      </c>
      <c r="J139" s="68" t="s">
        <v>1</v>
      </c>
      <c r="K139" s="68" t="s">
        <v>1</v>
      </c>
      <c r="L139" s="27" t="str">
        <f t="shared" si="122"/>
        <v>Materialidade</v>
      </c>
      <c r="M139" s="27" t="str">
        <f t="shared" si="123"/>
        <v>Materiais de Insumos</v>
      </c>
      <c r="N139" s="27" t="str">
        <f t="shared" si="124"/>
        <v>Gasosos</v>
      </c>
      <c r="O139" s="27" t="str">
        <f t="shared" si="125"/>
        <v>HCFC-22</v>
      </c>
      <c r="P139" s="66" t="s">
        <v>431</v>
      </c>
      <c r="Q139" s="31" t="str">
        <f t="shared" si="126"/>
        <v>Clorodifluorometano (HCFC-22)</v>
      </c>
      <c r="R139" s="29" t="s">
        <v>1</v>
      </c>
      <c r="S139" s="30" t="str">
        <f t="shared" si="127"/>
        <v>Materialidade</v>
      </c>
      <c r="T139" s="30" t="str">
        <f t="shared" si="128"/>
        <v>Materiais de Insumos</v>
      </c>
      <c r="U139" s="30" t="str">
        <f t="shared" si="129"/>
        <v>Gasosos</v>
      </c>
      <c r="V139" s="30" t="str">
        <f t="shared" si="130"/>
        <v>Materialidade</v>
      </c>
      <c r="W139" s="18" t="str">
        <f t="shared" si="131"/>
        <v>K.Mat.139</v>
      </c>
      <c r="X139" s="28" t="s">
        <v>107</v>
      </c>
      <c r="Y139" s="28" t="s">
        <v>108</v>
      </c>
      <c r="Z139" s="78" t="s">
        <v>221</v>
      </c>
      <c r="AA139" s="28" t="str">
        <f t="shared" si="100"/>
        <v>Chlorodifluoromethane (HCFC-22)</v>
      </c>
    </row>
    <row r="140" spans="1:27" ht="7.3" customHeight="1" x14ac:dyDescent="0.4">
      <c r="A140" s="26">
        <v>140</v>
      </c>
      <c r="B140" s="71" t="s">
        <v>74</v>
      </c>
      <c r="C140" s="69" t="s">
        <v>106</v>
      </c>
      <c r="D140" s="70" t="s">
        <v>524</v>
      </c>
      <c r="E140" s="70" t="s">
        <v>425</v>
      </c>
      <c r="F140" s="72" t="s">
        <v>450</v>
      </c>
      <c r="G140" s="68" t="s">
        <v>1</v>
      </c>
      <c r="H140" s="68" t="s">
        <v>1</v>
      </c>
      <c r="I140" s="68" t="s">
        <v>1</v>
      </c>
      <c r="J140" s="68" t="s">
        <v>1</v>
      </c>
      <c r="K140" s="68" t="s">
        <v>1</v>
      </c>
      <c r="L140" s="27" t="str">
        <f t="shared" si="122"/>
        <v>Materialidade</v>
      </c>
      <c r="M140" s="27" t="str">
        <f t="shared" si="123"/>
        <v>Materiais de Insumos</v>
      </c>
      <c r="N140" s="27" t="str">
        <f t="shared" si="124"/>
        <v>Gasosos</v>
      </c>
      <c r="O140" s="27" t="str">
        <f t="shared" si="125"/>
        <v>HFC-23</v>
      </c>
      <c r="P140" s="66" t="s">
        <v>432</v>
      </c>
      <c r="Q140" s="31" t="str">
        <f t="shared" si="126"/>
        <v>Trifluorometano (HFC-23)</v>
      </c>
      <c r="R140" s="29" t="s">
        <v>1</v>
      </c>
      <c r="S140" s="30" t="str">
        <f t="shared" si="127"/>
        <v>Materialidade</v>
      </c>
      <c r="T140" s="30" t="str">
        <f t="shared" si="128"/>
        <v>Materiais de Insumos</v>
      </c>
      <c r="U140" s="30" t="str">
        <f t="shared" si="129"/>
        <v>Gasosos</v>
      </c>
      <c r="V140" s="30" t="str">
        <f t="shared" si="130"/>
        <v>Materialidade</v>
      </c>
      <c r="W140" s="18" t="str">
        <f t="shared" si="131"/>
        <v>K.Mat.140</v>
      </c>
      <c r="X140" s="28" t="s">
        <v>107</v>
      </c>
      <c r="Y140" s="28" t="s">
        <v>108</v>
      </c>
      <c r="Z140" s="78" t="s">
        <v>222</v>
      </c>
      <c r="AA140" s="28" t="str">
        <f t="shared" si="100"/>
        <v>Trifluoromethane (HFC-23)</v>
      </c>
    </row>
    <row r="141" spans="1:27" ht="7.3" customHeight="1" x14ac:dyDescent="0.4">
      <c r="A141" s="26">
        <v>141</v>
      </c>
      <c r="B141" s="71" t="s">
        <v>74</v>
      </c>
      <c r="C141" s="69" t="s">
        <v>106</v>
      </c>
      <c r="D141" s="70" t="s">
        <v>524</v>
      </c>
      <c r="E141" s="70" t="s">
        <v>425</v>
      </c>
      <c r="F141" s="72" t="s">
        <v>451</v>
      </c>
      <c r="G141" s="68" t="s">
        <v>1</v>
      </c>
      <c r="H141" s="68" t="s">
        <v>1</v>
      </c>
      <c r="I141" s="68" t="s">
        <v>1</v>
      </c>
      <c r="J141" s="68" t="s">
        <v>1</v>
      </c>
      <c r="K141" s="68" t="s">
        <v>1</v>
      </c>
      <c r="L141" s="27" t="str">
        <f t="shared" si="122"/>
        <v>Materialidade</v>
      </c>
      <c r="M141" s="27" t="str">
        <f t="shared" si="123"/>
        <v>Materiais de Insumos</v>
      </c>
      <c r="N141" s="27" t="str">
        <f t="shared" si="124"/>
        <v>Gasosos</v>
      </c>
      <c r="O141" s="27" t="str">
        <f t="shared" si="125"/>
        <v>CFC-113</v>
      </c>
      <c r="P141" s="66" t="s">
        <v>433</v>
      </c>
      <c r="Q141" s="31" t="str">
        <f t="shared" si="126"/>
        <v>Triclorotrifluoroetano (CFC-113)</v>
      </c>
      <c r="R141" s="29" t="s">
        <v>1</v>
      </c>
      <c r="S141" s="30" t="str">
        <f t="shared" si="127"/>
        <v>Materialidade</v>
      </c>
      <c r="T141" s="30" t="str">
        <f t="shared" si="128"/>
        <v>Materiais de Insumos</v>
      </c>
      <c r="U141" s="30" t="str">
        <f t="shared" si="129"/>
        <v>Gasosos</v>
      </c>
      <c r="V141" s="30" t="str">
        <f t="shared" si="130"/>
        <v>Materialidade</v>
      </c>
      <c r="W141" s="18" t="str">
        <f t="shared" si="131"/>
        <v>K.Mat.141</v>
      </c>
      <c r="X141" s="28" t="s">
        <v>107</v>
      </c>
      <c r="Y141" s="28" t="s">
        <v>108</v>
      </c>
      <c r="Z141" s="78" t="s">
        <v>223</v>
      </c>
      <c r="AA141" s="28" t="str">
        <f t="shared" si="100"/>
        <v>Trichlorotrifluoroethane (CFC-113)</v>
      </c>
    </row>
    <row r="142" spans="1:27" ht="7.3" customHeight="1" x14ac:dyDescent="0.4">
      <c r="A142" s="26">
        <v>142</v>
      </c>
      <c r="B142" s="71" t="s">
        <v>74</v>
      </c>
      <c r="C142" s="69" t="s">
        <v>106</v>
      </c>
      <c r="D142" s="70" t="s">
        <v>524</v>
      </c>
      <c r="E142" s="70" t="s">
        <v>425</v>
      </c>
      <c r="F142" s="72" t="s">
        <v>452</v>
      </c>
      <c r="G142" s="68" t="s">
        <v>1</v>
      </c>
      <c r="H142" s="68" t="s">
        <v>1</v>
      </c>
      <c r="I142" s="68" t="s">
        <v>1</v>
      </c>
      <c r="J142" s="68" t="s">
        <v>1</v>
      </c>
      <c r="K142" s="68" t="s">
        <v>1</v>
      </c>
      <c r="L142" s="27" t="str">
        <f t="shared" si="122"/>
        <v>Materialidade</v>
      </c>
      <c r="M142" s="27" t="str">
        <f t="shared" si="123"/>
        <v>Materiais de Insumos</v>
      </c>
      <c r="N142" s="27" t="str">
        <f t="shared" si="124"/>
        <v>Gasosos</v>
      </c>
      <c r="O142" s="27" t="str">
        <f t="shared" si="125"/>
        <v>CFC-114</v>
      </c>
      <c r="P142" s="66" t="s">
        <v>434</v>
      </c>
      <c r="Q142" s="31" t="str">
        <f t="shared" si="126"/>
        <v>Diclorotetrafluoroetano (CFC-114)</v>
      </c>
      <c r="R142" s="29" t="s">
        <v>1</v>
      </c>
      <c r="S142" s="30" t="str">
        <f t="shared" si="127"/>
        <v>Materialidade</v>
      </c>
      <c r="T142" s="30" t="str">
        <f t="shared" si="128"/>
        <v>Materiais de Insumos</v>
      </c>
      <c r="U142" s="30" t="str">
        <f t="shared" si="129"/>
        <v>Gasosos</v>
      </c>
      <c r="V142" s="30" t="str">
        <f t="shared" si="130"/>
        <v>Materialidade</v>
      </c>
      <c r="W142" s="18" t="str">
        <f t="shared" si="131"/>
        <v>K.Mat.142</v>
      </c>
      <c r="X142" s="28" t="s">
        <v>107</v>
      </c>
      <c r="Y142" s="28" t="s">
        <v>108</v>
      </c>
      <c r="Z142" s="78" t="s">
        <v>224</v>
      </c>
      <c r="AA142" s="28" t="str">
        <f t="shared" si="100"/>
        <v>Dichlorotetrafluoroethane (CFC-114)</v>
      </c>
    </row>
    <row r="143" spans="1:27" ht="7.3" customHeight="1" x14ac:dyDescent="0.4">
      <c r="A143" s="26">
        <v>143</v>
      </c>
      <c r="B143" s="71" t="s">
        <v>74</v>
      </c>
      <c r="C143" s="69" t="s">
        <v>106</v>
      </c>
      <c r="D143" s="70" t="s">
        <v>524</v>
      </c>
      <c r="E143" s="70" t="s">
        <v>425</v>
      </c>
      <c r="F143" s="72" t="s">
        <v>453</v>
      </c>
      <c r="G143" s="68" t="s">
        <v>1</v>
      </c>
      <c r="H143" s="68" t="s">
        <v>1</v>
      </c>
      <c r="I143" s="68" t="s">
        <v>1</v>
      </c>
      <c r="J143" s="68" t="s">
        <v>1</v>
      </c>
      <c r="K143" s="68" t="s">
        <v>1</v>
      </c>
      <c r="L143" s="27" t="str">
        <f t="shared" si="122"/>
        <v>Materialidade</v>
      </c>
      <c r="M143" s="27" t="str">
        <f t="shared" si="123"/>
        <v>Materiais de Insumos</v>
      </c>
      <c r="N143" s="27" t="str">
        <f t="shared" si="124"/>
        <v>Gasosos</v>
      </c>
      <c r="O143" s="27" t="str">
        <f t="shared" si="125"/>
        <v>CFC-115</v>
      </c>
      <c r="P143" s="66" t="s">
        <v>435</v>
      </c>
      <c r="Q143" s="31" t="str">
        <f t="shared" si="126"/>
        <v>Cloropentafluoroetano (CFC-115)</v>
      </c>
      <c r="R143" s="29" t="s">
        <v>1</v>
      </c>
      <c r="S143" s="30" t="str">
        <f t="shared" si="127"/>
        <v>Materialidade</v>
      </c>
      <c r="T143" s="30" t="str">
        <f t="shared" si="128"/>
        <v>Materiais de Insumos</v>
      </c>
      <c r="U143" s="30" t="str">
        <f t="shared" si="129"/>
        <v>Gasosos</v>
      </c>
      <c r="V143" s="30" t="str">
        <f t="shared" si="130"/>
        <v>Materialidade</v>
      </c>
      <c r="W143" s="18" t="str">
        <f t="shared" si="131"/>
        <v>K.Mat.143</v>
      </c>
      <c r="X143" s="28" t="s">
        <v>107</v>
      </c>
      <c r="Y143" s="28" t="s">
        <v>108</v>
      </c>
      <c r="Z143" s="78" t="s">
        <v>225</v>
      </c>
      <c r="AA143" s="28" t="str">
        <f t="shared" si="100"/>
        <v>Chloropentafluoroethane (CFC-115)</v>
      </c>
    </row>
    <row r="144" spans="1:27" ht="7.3" customHeight="1" x14ac:dyDescent="0.4">
      <c r="A144" s="26">
        <v>144</v>
      </c>
      <c r="B144" s="71" t="s">
        <v>74</v>
      </c>
      <c r="C144" s="69" t="s">
        <v>106</v>
      </c>
      <c r="D144" s="70" t="s">
        <v>524</v>
      </c>
      <c r="E144" s="70" t="s">
        <v>425</v>
      </c>
      <c r="F144" s="72" t="s">
        <v>454</v>
      </c>
      <c r="G144" s="68" t="s">
        <v>1</v>
      </c>
      <c r="H144" s="68" t="s">
        <v>1</v>
      </c>
      <c r="I144" s="68" t="s">
        <v>1</v>
      </c>
      <c r="J144" s="68" t="s">
        <v>1</v>
      </c>
      <c r="K144" s="68" t="s">
        <v>1</v>
      </c>
      <c r="L144" s="27" t="str">
        <f t="shared" si="122"/>
        <v>Materialidade</v>
      </c>
      <c r="M144" s="27" t="str">
        <f t="shared" si="123"/>
        <v>Materiais de Insumos</v>
      </c>
      <c r="N144" s="27" t="str">
        <f t="shared" si="124"/>
        <v>Gasosos</v>
      </c>
      <c r="O144" s="27" t="str">
        <f t="shared" si="125"/>
        <v>CFC-116</v>
      </c>
      <c r="P144" s="66" t="s">
        <v>436</v>
      </c>
      <c r="Q144" s="31" t="str">
        <f t="shared" si="126"/>
        <v>Hexafluoroetano (CFC-116)</v>
      </c>
      <c r="R144" s="29" t="s">
        <v>1</v>
      </c>
      <c r="S144" s="30" t="str">
        <f t="shared" si="127"/>
        <v>Materialidade</v>
      </c>
      <c r="T144" s="30" t="str">
        <f t="shared" si="128"/>
        <v>Materiais de Insumos</v>
      </c>
      <c r="U144" s="30" t="str">
        <f t="shared" si="129"/>
        <v>Gasosos</v>
      </c>
      <c r="V144" s="30" t="str">
        <f t="shared" si="130"/>
        <v>Materialidade</v>
      </c>
      <c r="W144" s="18" t="str">
        <f t="shared" si="131"/>
        <v>K.Mat.144</v>
      </c>
      <c r="X144" s="28" t="s">
        <v>107</v>
      </c>
      <c r="Y144" s="28" t="s">
        <v>108</v>
      </c>
      <c r="Z144" s="78" t="s">
        <v>226</v>
      </c>
      <c r="AA144" s="28" t="str">
        <f t="shared" si="100"/>
        <v>Hexafluoroethane (CFC-116)</v>
      </c>
    </row>
    <row r="145" spans="1:27" ht="7.3" customHeight="1" x14ac:dyDescent="0.4">
      <c r="A145" s="26">
        <v>145</v>
      </c>
      <c r="B145" s="71" t="s">
        <v>74</v>
      </c>
      <c r="C145" s="69" t="s">
        <v>106</v>
      </c>
      <c r="D145" s="70" t="s">
        <v>524</v>
      </c>
      <c r="E145" s="70" t="s">
        <v>425</v>
      </c>
      <c r="F145" s="72" t="s">
        <v>455</v>
      </c>
      <c r="G145" s="68" t="s">
        <v>1</v>
      </c>
      <c r="H145" s="68" t="s">
        <v>1</v>
      </c>
      <c r="I145" s="68" t="s">
        <v>1</v>
      </c>
      <c r="J145" s="68" t="s">
        <v>1</v>
      </c>
      <c r="K145" s="68" t="s">
        <v>1</v>
      </c>
      <c r="L145" s="27" t="str">
        <f t="shared" si="122"/>
        <v>Materialidade</v>
      </c>
      <c r="M145" s="27" t="str">
        <f t="shared" si="123"/>
        <v>Materiais de Insumos</v>
      </c>
      <c r="N145" s="27" t="str">
        <f t="shared" si="124"/>
        <v>Gasosos</v>
      </c>
      <c r="O145" s="27" t="str">
        <f t="shared" si="125"/>
        <v>HFC-134a</v>
      </c>
      <c r="P145" s="66" t="s">
        <v>437</v>
      </c>
      <c r="Q145" s="31" t="str">
        <f t="shared" si="126"/>
        <v>Tetrafluoroetano (HFC-134a)</v>
      </c>
      <c r="R145" s="29" t="s">
        <v>1</v>
      </c>
      <c r="S145" s="30" t="str">
        <f t="shared" si="127"/>
        <v>Materialidade</v>
      </c>
      <c r="T145" s="30" t="str">
        <f t="shared" si="128"/>
        <v>Materiais de Insumos</v>
      </c>
      <c r="U145" s="30" t="str">
        <f t="shared" si="129"/>
        <v>Gasosos</v>
      </c>
      <c r="V145" s="30" t="str">
        <f t="shared" si="130"/>
        <v>Materialidade</v>
      </c>
      <c r="W145" s="18" t="str">
        <f t="shared" si="131"/>
        <v>K.Mat.145</v>
      </c>
      <c r="X145" s="28" t="s">
        <v>107</v>
      </c>
      <c r="Y145" s="28" t="s">
        <v>108</v>
      </c>
      <c r="Z145" s="78" t="s">
        <v>227</v>
      </c>
      <c r="AA145" s="28" t="str">
        <f t="shared" si="100"/>
        <v>Tetrafluoroethane (HFC-134a)</v>
      </c>
    </row>
    <row r="146" spans="1:27" ht="7.3" customHeight="1" x14ac:dyDescent="0.4">
      <c r="A146" s="26">
        <v>146</v>
      </c>
      <c r="B146" s="71" t="s">
        <v>74</v>
      </c>
      <c r="C146" s="69" t="s">
        <v>106</v>
      </c>
      <c r="D146" s="70" t="s">
        <v>524</v>
      </c>
      <c r="E146" s="70" t="s">
        <v>425</v>
      </c>
      <c r="F146" s="72" t="s">
        <v>456</v>
      </c>
      <c r="G146" s="68" t="s">
        <v>1</v>
      </c>
      <c r="H146" s="68" t="s">
        <v>1</v>
      </c>
      <c r="I146" s="68" t="s">
        <v>1</v>
      </c>
      <c r="J146" s="68" t="s">
        <v>1</v>
      </c>
      <c r="K146" s="68" t="s">
        <v>1</v>
      </c>
      <c r="L146" s="27" t="str">
        <f t="shared" si="122"/>
        <v>Materialidade</v>
      </c>
      <c r="M146" s="27" t="str">
        <f t="shared" si="123"/>
        <v>Materiais de Insumos</v>
      </c>
      <c r="N146" s="27" t="str">
        <f t="shared" si="124"/>
        <v>Gasosos</v>
      </c>
      <c r="O146" s="27" t="str">
        <f t="shared" si="125"/>
        <v>HFC-227ea</v>
      </c>
      <c r="P146" s="66" t="s">
        <v>438</v>
      </c>
      <c r="Q146" s="31" t="str">
        <f t="shared" si="126"/>
        <v>Heptafluoropropano (HFC-227ea)</v>
      </c>
      <c r="R146" s="29" t="s">
        <v>1</v>
      </c>
      <c r="S146" s="30" t="str">
        <f t="shared" si="127"/>
        <v>Materialidade</v>
      </c>
      <c r="T146" s="30" t="str">
        <f t="shared" si="128"/>
        <v>Materiais de Insumos</v>
      </c>
      <c r="U146" s="30" t="str">
        <f t="shared" si="129"/>
        <v>Gasosos</v>
      </c>
      <c r="V146" s="30" t="str">
        <f t="shared" si="130"/>
        <v>Materialidade</v>
      </c>
      <c r="W146" s="18" t="str">
        <f t="shared" si="131"/>
        <v>K.Mat.146</v>
      </c>
      <c r="X146" s="28" t="s">
        <v>107</v>
      </c>
      <c r="Y146" s="28" t="s">
        <v>108</v>
      </c>
      <c r="Z146" s="78" t="s">
        <v>228</v>
      </c>
      <c r="AA146" s="28" t="str">
        <f t="shared" si="100"/>
        <v>Heptafluoropropane (HFC-227ea)</v>
      </c>
    </row>
    <row r="147" spans="1:27" ht="7.3" customHeight="1" x14ac:dyDescent="0.4">
      <c r="A147" s="26">
        <v>147</v>
      </c>
      <c r="B147" s="71" t="s">
        <v>74</v>
      </c>
      <c r="C147" s="69" t="s">
        <v>106</v>
      </c>
      <c r="D147" s="70" t="s">
        <v>524</v>
      </c>
      <c r="E147" s="70" t="s">
        <v>425</v>
      </c>
      <c r="F147" s="72" t="s">
        <v>439</v>
      </c>
      <c r="G147" s="68" t="s">
        <v>1</v>
      </c>
      <c r="H147" s="68" t="s">
        <v>1</v>
      </c>
      <c r="I147" s="68" t="s">
        <v>1</v>
      </c>
      <c r="J147" s="68" t="s">
        <v>1</v>
      </c>
      <c r="K147" s="68" t="s">
        <v>1</v>
      </c>
      <c r="L147" s="27" t="str">
        <f t="shared" si="122"/>
        <v>Materialidade</v>
      </c>
      <c r="M147" s="27" t="str">
        <f t="shared" si="123"/>
        <v>Materiais de Insumos</v>
      </c>
      <c r="N147" s="27" t="str">
        <f t="shared" si="124"/>
        <v>Gasosos</v>
      </c>
      <c r="O147" s="27" t="str">
        <f t="shared" si="125"/>
        <v>Halon</v>
      </c>
      <c r="P147" s="66" t="s">
        <v>459</v>
      </c>
      <c r="Q147" s="31" t="str">
        <f t="shared" si="126"/>
        <v>Halón de gas</v>
      </c>
      <c r="R147" s="29" t="s">
        <v>1</v>
      </c>
      <c r="S147" s="30" t="str">
        <f t="shared" si="127"/>
        <v>Materialidade</v>
      </c>
      <c r="T147" s="30" t="str">
        <f t="shared" si="128"/>
        <v>Materiais de Insumos</v>
      </c>
      <c r="U147" s="30" t="str">
        <f t="shared" si="129"/>
        <v>Gasosos</v>
      </c>
      <c r="V147" s="30" t="str">
        <f t="shared" si="130"/>
        <v>Materialidade</v>
      </c>
      <c r="W147" s="18" t="str">
        <f t="shared" si="131"/>
        <v>K.Mat.147</v>
      </c>
      <c r="X147" s="28" t="s">
        <v>107</v>
      </c>
      <c r="Y147" s="28" t="s">
        <v>108</v>
      </c>
      <c r="Z147" s="78" t="s">
        <v>229</v>
      </c>
      <c r="AA147" s="28" t="str">
        <f t="shared" si="100"/>
        <v>Gas Halon</v>
      </c>
    </row>
    <row r="148" spans="1:27" ht="7.3" customHeight="1" x14ac:dyDescent="0.4">
      <c r="A148" s="26">
        <v>148</v>
      </c>
      <c r="B148" s="71" t="s">
        <v>74</v>
      </c>
      <c r="C148" s="69" t="s">
        <v>106</v>
      </c>
      <c r="D148" s="70" t="s">
        <v>524</v>
      </c>
      <c r="E148" s="70" t="s">
        <v>425</v>
      </c>
      <c r="F148" s="72" t="s">
        <v>457</v>
      </c>
      <c r="G148" s="68" t="s">
        <v>1</v>
      </c>
      <c r="H148" s="68" t="s">
        <v>1</v>
      </c>
      <c r="I148" s="68" t="s">
        <v>1</v>
      </c>
      <c r="J148" s="68" t="s">
        <v>1</v>
      </c>
      <c r="K148" s="68" t="s">
        <v>1</v>
      </c>
      <c r="L148" s="27" t="str">
        <f t="shared" si="122"/>
        <v>Materialidade</v>
      </c>
      <c r="M148" s="27" t="str">
        <f t="shared" si="123"/>
        <v>Materiais de Insumos</v>
      </c>
      <c r="N148" s="27" t="str">
        <f t="shared" si="124"/>
        <v>Gasosos</v>
      </c>
      <c r="O148" s="27" t="str">
        <f t="shared" si="125"/>
        <v>Halon1211</v>
      </c>
      <c r="P148" s="66" t="s">
        <v>440</v>
      </c>
      <c r="Q148" s="31" t="str">
        <f t="shared" si="126"/>
        <v>Bromoclorodifluorometano (Halón 1211)</v>
      </c>
      <c r="R148" s="29" t="s">
        <v>1</v>
      </c>
      <c r="S148" s="30" t="str">
        <f t="shared" si="127"/>
        <v>Materialidade</v>
      </c>
      <c r="T148" s="30" t="str">
        <f t="shared" si="128"/>
        <v>Materiais de Insumos</v>
      </c>
      <c r="U148" s="30" t="str">
        <f t="shared" si="129"/>
        <v>Gasosos</v>
      </c>
      <c r="V148" s="30" t="str">
        <f t="shared" si="130"/>
        <v>Materialidade</v>
      </c>
      <c r="W148" s="18" t="str">
        <f t="shared" si="131"/>
        <v>K.Mat.148</v>
      </c>
      <c r="X148" s="28" t="s">
        <v>107</v>
      </c>
      <c r="Y148" s="28" t="s">
        <v>108</v>
      </c>
      <c r="Z148" s="78" t="s">
        <v>230</v>
      </c>
      <c r="AA148" s="28" t="str">
        <f t="shared" si="100"/>
        <v>Bromochlorodifluoromethane (Halon 1211)</v>
      </c>
    </row>
    <row r="149" spans="1:27" ht="7.3" customHeight="1" x14ac:dyDescent="0.4">
      <c r="A149" s="26">
        <v>149</v>
      </c>
      <c r="B149" s="71" t="s">
        <v>74</v>
      </c>
      <c r="C149" s="69" t="s">
        <v>106</v>
      </c>
      <c r="D149" s="70" t="s">
        <v>524</v>
      </c>
      <c r="E149" s="70" t="s">
        <v>425</v>
      </c>
      <c r="F149" s="72" t="s">
        <v>458</v>
      </c>
      <c r="G149" s="68" t="s">
        <v>1</v>
      </c>
      <c r="H149" s="68" t="s">
        <v>1</v>
      </c>
      <c r="I149" s="68" t="s">
        <v>1</v>
      </c>
      <c r="J149" s="68" t="s">
        <v>1</v>
      </c>
      <c r="K149" s="68" t="s">
        <v>1</v>
      </c>
      <c r="L149" s="27" t="str">
        <f t="shared" si="122"/>
        <v>Materialidade</v>
      </c>
      <c r="M149" s="27" t="str">
        <f t="shared" si="123"/>
        <v>Materiais de Insumos</v>
      </c>
      <c r="N149" s="27" t="str">
        <f t="shared" si="124"/>
        <v>Gasosos</v>
      </c>
      <c r="O149" s="27" t="str">
        <f t="shared" si="125"/>
        <v>Halon1301</v>
      </c>
      <c r="P149" s="66" t="s">
        <v>441</v>
      </c>
      <c r="Q149" s="31" t="str">
        <f t="shared" si="126"/>
        <v>Bromotrifluorometano (Halón 1301)</v>
      </c>
      <c r="R149" s="29" t="s">
        <v>1</v>
      </c>
      <c r="S149" s="30" t="str">
        <f t="shared" si="127"/>
        <v>Materialidade</v>
      </c>
      <c r="T149" s="30" t="str">
        <f t="shared" si="128"/>
        <v>Materiais de Insumos</v>
      </c>
      <c r="U149" s="30" t="str">
        <f t="shared" si="129"/>
        <v>Gasosos</v>
      </c>
      <c r="V149" s="30" t="str">
        <f t="shared" si="130"/>
        <v>Materialidade</v>
      </c>
      <c r="W149" s="18" t="str">
        <f t="shared" si="131"/>
        <v>K.Mat.149</v>
      </c>
      <c r="X149" s="28" t="s">
        <v>107</v>
      </c>
      <c r="Y149" s="28" t="s">
        <v>108</v>
      </c>
      <c r="Z149" s="78" t="s">
        <v>231</v>
      </c>
      <c r="AA149" s="28" t="str">
        <f t="shared" si="100"/>
        <v>Bromotrifluoromethane (Halon 1301)</v>
      </c>
    </row>
    <row r="150" spans="1:27" ht="7.3" customHeight="1" x14ac:dyDescent="0.4">
      <c r="A150" s="26">
        <v>150</v>
      </c>
      <c r="B150" s="71" t="s">
        <v>74</v>
      </c>
      <c r="C150" s="69" t="s">
        <v>106</v>
      </c>
      <c r="D150" s="70" t="s">
        <v>524</v>
      </c>
      <c r="E150" s="70" t="s">
        <v>425</v>
      </c>
      <c r="F150" s="72" t="s">
        <v>460</v>
      </c>
      <c r="G150" s="68" t="s">
        <v>1</v>
      </c>
      <c r="H150" s="68" t="s">
        <v>1</v>
      </c>
      <c r="I150" s="68" t="s">
        <v>1</v>
      </c>
      <c r="J150" s="68" t="s">
        <v>1</v>
      </c>
      <c r="K150" s="68" t="s">
        <v>1</v>
      </c>
      <c r="L150" s="27" t="str">
        <f t="shared" ref="L150:L152" si="132">SUBSTITUTE(CONCATENATE("", C150), ".", " ")</f>
        <v>Materialidade</v>
      </c>
      <c r="M150" s="27" t="str">
        <f t="shared" ref="M150:M152" si="133">SUBSTITUTE(CONCATENATE("", D150), ".", " ")</f>
        <v>Materiais de Insumos</v>
      </c>
      <c r="N150" s="27" t="str">
        <f t="shared" ref="N150:N152" si="134">SUBSTITUTE(CONCATENATE("", E150), ".", " ")</f>
        <v>Gasosos</v>
      </c>
      <c r="O150" s="27" t="str">
        <f t="shared" ref="O150:O152" si="135">SUBSTITUTE(CONCATENATE("", F150), ".", " ")</f>
        <v>Ar Natural</v>
      </c>
      <c r="P150" s="66" t="s">
        <v>464</v>
      </c>
      <c r="Q150" s="31" t="str">
        <f t="shared" si="126"/>
        <v>Aire natural</v>
      </c>
      <c r="R150" s="29" t="s">
        <v>1</v>
      </c>
      <c r="S150" s="30" t="str">
        <f t="shared" ref="S150:S153" si="136">SUBSTITUTE(C150, ".", " ")</f>
        <v>Materialidade</v>
      </c>
      <c r="T150" s="30" t="str">
        <f t="shared" ref="T150:T153" si="137">SUBSTITUTE(D150, ".", " ")</f>
        <v>Materiais de Insumos</v>
      </c>
      <c r="U150" s="30" t="str">
        <f t="shared" ref="U150:U153" si="138">SUBSTITUTE(E150, ".", " ")</f>
        <v>Gasosos</v>
      </c>
      <c r="V150" s="30" t="str">
        <f t="shared" ref="V150:V153" si="139">SUBSTITUTE(C150, ".", " ")</f>
        <v>Materialidade</v>
      </c>
      <c r="W150" s="18" t="str">
        <f t="shared" ref="W150:W153" si="140">CONCATENATE("K.",LEFT(C150,3),".",A150)</f>
        <v>K.Mat.150</v>
      </c>
      <c r="X150" s="28" t="s">
        <v>107</v>
      </c>
      <c r="Y150" s="28" t="s">
        <v>108</v>
      </c>
      <c r="Z150" s="78" t="s">
        <v>208</v>
      </c>
      <c r="AA150" s="28" t="str">
        <f t="shared" si="100"/>
        <v>Natural Air</v>
      </c>
    </row>
    <row r="151" spans="1:27" ht="7.3" customHeight="1" x14ac:dyDescent="0.4">
      <c r="A151" s="26">
        <v>151</v>
      </c>
      <c r="B151" s="71" t="s">
        <v>74</v>
      </c>
      <c r="C151" s="69" t="s">
        <v>106</v>
      </c>
      <c r="D151" s="70" t="s">
        <v>524</v>
      </c>
      <c r="E151" s="70" t="s">
        <v>425</v>
      </c>
      <c r="F151" s="72" t="s">
        <v>461</v>
      </c>
      <c r="G151" s="68" t="s">
        <v>1</v>
      </c>
      <c r="H151" s="68" t="s">
        <v>1</v>
      </c>
      <c r="I151" s="68" t="s">
        <v>1</v>
      </c>
      <c r="J151" s="68" t="s">
        <v>1</v>
      </c>
      <c r="K151" s="68" t="s">
        <v>1</v>
      </c>
      <c r="L151" s="27" t="str">
        <f t="shared" si="132"/>
        <v>Materialidade</v>
      </c>
      <c r="M151" s="27" t="str">
        <f t="shared" si="133"/>
        <v>Materiais de Insumos</v>
      </c>
      <c r="N151" s="27" t="str">
        <f t="shared" si="134"/>
        <v>Gasosos</v>
      </c>
      <c r="O151" s="27" t="str">
        <f t="shared" si="135"/>
        <v>Dióxido de Carbono</v>
      </c>
      <c r="P151" s="66" t="s">
        <v>465</v>
      </c>
      <c r="Q151" s="31" t="str">
        <f t="shared" si="126"/>
        <v>Dióxido de carbono</v>
      </c>
      <c r="R151" s="29" t="s">
        <v>1</v>
      </c>
      <c r="S151" s="30" t="str">
        <f t="shared" si="136"/>
        <v>Materialidade</v>
      </c>
      <c r="T151" s="30" t="str">
        <f t="shared" si="137"/>
        <v>Materiais de Insumos</v>
      </c>
      <c r="U151" s="30" t="str">
        <f t="shared" si="138"/>
        <v>Gasosos</v>
      </c>
      <c r="V151" s="30" t="str">
        <f t="shared" si="139"/>
        <v>Materialidade</v>
      </c>
      <c r="W151" s="18" t="str">
        <f t="shared" si="140"/>
        <v>K.Mat.151</v>
      </c>
      <c r="X151" s="28" t="s">
        <v>107</v>
      </c>
      <c r="Y151" s="28" t="s">
        <v>108</v>
      </c>
      <c r="Z151" s="78" t="s">
        <v>209</v>
      </c>
      <c r="AA151" s="28" t="str">
        <f t="shared" si="100"/>
        <v>Carbon Dioxide</v>
      </c>
    </row>
    <row r="152" spans="1:27" ht="7.3" customHeight="1" x14ac:dyDescent="0.4">
      <c r="A152" s="26">
        <v>152</v>
      </c>
      <c r="B152" s="71" t="s">
        <v>74</v>
      </c>
      <c r="C152" s="69" t="s">
        <v>106</v>
      </c>
      <c r="D152" s="70" t="s">
        <v>524</v>
      </c>
      <c r="E152" s="70" t="s">
        <v>425</v>
      </c>
      <c r="F152" s="72" t="s">
        <v>462</v>
      </c>
      <c r="G152" s="68" t="s">
        <v>1</v>
      </c>
      <c r="H152" s="68" t="s">
        <v>1</v>
      </c>
      <c r="I152" s="68" t="s">
        <v>1</v>
      </c>
      <c r="J152" s="68" t="s">
        <v>1</v>
      </c>
      <c r="K152" s="68" t="s">
        <v>1</v>
      </c>
      <c r="L152" s="27" t="str">
        <f t="shared" si="132"/>
        <v>Materialidade</v>
      </c>
      <c r="M152" s="27" t="str">
        <f t="shared" si="133"/>
        <v>Materiais de Insumos</v>
      </c>
      <c r="N152" s="27" t="str">
        <f t="shared" si="134"/>
        <v>Gasosos</v>
      </c>
      <c r="O152" s="27" t="str">
        <f t="shared" si="135"/>
        <v>Monóxido de Carbono</v>
      </c>
      <c r="P152" s="66" t="s">
        <v>466</v>
      </c>
      <c r="Q152" s="31" t="str">
        <f t="shared" si="126"/>
        <v>Monóxido de carbono</v>
      </c>
      <c r="R152" s="29" t="s">
        <v>1</v>
      </c>
      <c r="S152" s="30" t="str">
        <f t="shared" si="136"/>
        <v>Materialidade</v>
      </c>
      <c r="T152" s="30" t="str">
        <f t="shared" si="137"/>
        <v>Materiais de Insumos</v>
      </c>
      <c r="U152" s="30" t="str">
        <f t="shared" si="138"/>
        <v>Gasosos</v>
      </c>
      <c r="V152" s="30" t="str">
        <f t="shared" si="139"/>
        <v>Materialidade</v>
      </c>
      <c r="W152" s="18" t="str">
        <f t="shared" si="140"/>
        <v>K.Mat.152</v>
      </c>
      <c r="X152" s="28" t="s">
        <v>107</v>
      </c>
      <c r="Y152" s="28" t="s">
        <v>108</v>
      </c>
      <c r="Z152" s="78" t="s">
        <v>210</v>
      </c>
      <c r="AA152" s="28" t="str">
        <f t="shared" si="100"/>
        <v>Carbon Monoxide</v>
      </c>
    </row>
    <row r="153" spans="1:27" ht="7.3" customHeight="1" x14ac:dyDescent="0.4">
      <c r="A153" s="26">
        <v>153</v>
      </c>
      <c r="B153" s="71" t="s">
        <v>74</v>
      </c>
      <c r="C153" s="69" t="s">
        <v>106</v>
      </c>
      <c r="D153" s="70" t="s">
        <v>524</v>
      </c>
      <c r="E153" s="70" t="s">
        <v>425</v>
      </c>
      <c r="F153" s="72" t="s">
        <v>463</v>
      </c>
      <c r="G153" s="68" t="s">
        <v>1</v>
      </c>
      <c r="H153" s="68" t="s">
        <v>1</v>
      </c>
      <c r="I153" s="68" t="s">
        <v>1</v>
      </c>
      <c r="J153" s="68" t="s">
        <v>1</v>
      </c>
      <c r="K153" s="68" t="s">
        <v>1</v>
      </c>
      <c r="L153" s="27" t="str">
        <f t="shared" ref="L153" si="141">SUBSTITUTE(CONCATENATE("", C153), ".", " ")</f>
        <v>Materialidade</v>
      </c>
      <c r="M153" s="27" t="str">
        <f t="shared" ref="M153" si="142">SUBSTITUTE(CONCATENATE("", D153), ".", " ")</f>
        <v>Materiais de Insumos</v>
      </c>
      <c r="N153" s="27" t="str">
        <f t="shared" ref="N153" si="143">SUBSTITUTE(CONCATENATE("", E153), ".", " ")</f>
        <v>Gasosos</v>
      </c>
      <c r="O153" s="27" t="str">
        <f t="shared" ref="O153" si="144">SUBSTITUTE(CONCATENATE("", F153), ".", " ")</f>
        <v>Vapor de Água</v>
      </c>
      <c r="P153" s="66" t="s">
        <v>467</v>
      </c>
      <c r="Q153" s="31" t="str">
        <f t="shared" si="126"/>
        <v>Vapor de agua</v>
      </c>
      <c r="R153" s="29" t="s">
        <v>1</v>
      </c>
      <c r="S153" s="30" t="str">
        <f t="shared" si="136"/>
        <v>Materialidade</v>
      </c>
      <c r="T153" s="30" t="str">
        <f t="shared" si="137"/>
        <v>Materiais de Insumos</v>
      </c>
      <c r="U153" s="30" t="str">
        <f t="shared" si="138"/>
        <v>Gasosos</v>
      </c>
      <c r="V153" s="30" t="str">
        <f t="shared" si="139"/>
        <v>Materialidade</v>
      </c>
      <c r="W153" s="18" t="str">
        <f t="shared" si="140"/>
        <v>K.Mat.153</v>
      </c>
      <c r="X153" s="28" t="s">
        <v>107</v>
      </c>
      <c r="Y153" s="28" t="s">
        <v>108</v>
      </c>
      <c r="Z153" s="78" t="s">
        <v>211</v>
      </c>
      <c r="AA153" s="28" t="str">
        <f t="shared" si="100"/>
        <v>Water Vapor</v>
      </c>
    </row>
  </sheetData>
  <phoneticPr fontId="1" type="noConversion"/>
  <conditionalFormatting sqref="B2 Q2:R5 X2:Z2 X3:Y5 X12:Y24 X25:Z35 X66:Z66 AB1:XFD1 X67:Y77 Q12:R77 X89:Y121 X41:Y65 X36:Y37 X38:Z40 X128:Y153 Q127:R153 X127:Z127 Q89:R121 G2:K153">
    <cfRule type="cellIs" dxfId="25" priority="49" operator="equal">
      <formula>"null"</formula>
    </cfRule>
  </conditionalFormatting>
  <conditionalFormatting sqref="AA2:AA5 AA12:AA77 AA89:AA153">
    <cfRule type="cellIs" dxfId="24" priority="44" operator="equal">
      <formula>"null"</formula>
    </cfRule>
  </conditionalFormatting>
  <conditionalFormatting sqref="G1:W1 A1:C1 Y1:Z1">
    <cfRule type="cellIs" dxfId="23" priority="39" operator="equal">
      <formula>"null"</formula>
    </cfRule>
  </conditionalFormatting>
  <conditionalFormatting sqref="AA1">
    <cfRule type="cellIs" dxfId="22" priority="37" operator="equal">
      <formula>"null"</formula>
    </cfRule>
  </conditionalFormatting>
  <conditionalFormatting sqref="E3:E5">
    <cfRule type="duplicateValues" dxfId="21" priority="34"/>
  </conditionalFormatting>
  <conditionalFormatting sqref="E3:E5">
    <cfRule type="duplicateValues" dxfId="20" priority="33"/>
  </conditionalFormatting>
  <conditionalFormatting sqref="Q6:R11 X6:Y11">
    <cfRule type="cellIs" dxfId="19" priority="31" operator="equal">
      <formula>"null"</formula>
    </cfRule>
  </conditionalFormatting>
  <conditionalFormatting sqref="AA6:AA11">
    <cfRule type="cellIs" dxfId="18" priority="30" operator="equal">
      <formula>"null"</formula>
    </cfRule>
  </conditionalFormatting>
  <conditionalFormatting sqref="Q78:R83 X78:Y83">
    <cfRule type="cellIs" dxfId="17" priority="21" operator="equal">
      <formula>"null"</formula>
    </cfRule>
  </conditionalFormatting>
  <conditionalFormatting sqref="AA78:AA88">
    <cfRule type="cellIs" dxfId="16" priority="20" operator="equal">
      <formula>"null"</formula>
    </cfRule>
  </conditionalFormatting>
  <conditionalFormatting sqref="Q84:R88 X84:Y88">
    <cfRule type="cellIs" dxfId="15" priority="19" operator="equal">
      <formula>"null"</formula>
    </cfRule>
  </conditionalFormatting>
  <conditionalFormatting sqref="X125:Y126 Q125:R126">
    <cfRule type="cellIs" dxfId="14" priority="9" operator="equal">
      <formula>"null"</formula>
    </cfRule>
  </conditionalFormatting>
  <conditionalFormatting sqref="X124:Y124 Q124:R124">
    <cfRule type="cellIs" dxfId="13" priority="7" operator="equal">
      <formula>"null"</formula>
    </cfRule>
  </conditionalFormatting>
  <conditionalFormatting sqref="X122:Y123 Q122:R123">
    <cfRule type="cellIs" dxfId="12" priority="5" operator="equal">
      <formula>"null"</formula>
    </cfRule>
  </conditionalFormatting>
  <conditionalFormatting sqref="F1:F1048576">
    <cfRule type="duplicateValues" dxfId="1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2">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0"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20">
        <v>1</v>
      </c>
      <c r="B1" s="21" t="s">
        <v>75</v>
      </c>
      <c r="C1" s="21" t="s">
        <v>76</v>
      </c>
      <c r="D1" s="21" t="s">
        <v>76</v>
      </c>
    </row>
    <row r="2" spans="1:4" s="35" customFormat="1" ht="6" customHeight="1" x14ac:dyDescent="0.2">
      <c r="A2" s="12">
        <v>2</v>
      </c>
      <c r="B2" s="40" t="s">
        <v>1</v>
      </c>
      <c r="C2" s="41" t="s">
        <v>1</v>
      </c>
      <c r="D2" s="41" t="s">
        <v>1</v>
      </c>
    </row>
    <row r="3" spans="1:4" s="35" customFormat="1" ht="6" customHeight="1" x14ac:dyDescent="0.2">
      <c r="A3" s="12">
        <v>3</v>
      </c>
      <c r="B3" s="40" t="s">
        <v>1</v>
      </c>
      <c r="C3" s="41" t="s">
        <v>1</v>
      </c>
      <c r="D3" s="41" t="s">
        <v>1</v>
      </c>
    </row>
    <row r="4" spans="1:4" s="35" customFormat="1" ht="6" customHeight="1" x14ac:dyDescent="0.2">
      <c r="A4" s="12">
        <v>4</v>
      </c>
      <c r="B4" s="40" t="s">
        <v>1</v>
      </c>
      <c r="C4" s="41" t="s">
        <v>1</v>
      </c>
      <c r="D4" s="41" t="s">
        <v>1</v>
      </c>
    </row>
    <row r="5" spans="1:4" s="35" customFormat="1" ht="6" customHeight="1" x14ac:dyDescent="0.4">
      <c r="A5"/>
      <c r="B5"/>
      <c r="C5"/>
      <c r="D5"/>
    </row>
    <row r="6" spans="1:4" s="35" customFormat="1" ht="6" customHeight="1" x14ac:dyDescent="0.4">
      <c r="A6"/>
      <c r="B6"/>
      <c r="C6"/>
      <c r="D6"/>
    </row>
  </sheetData>
  <conditionalFormatting sqref="A1:A4">
    <cfRule type="cellIs" dxfId="9"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dimension ref="A1:AY8"/>
  <sheetViews>
    <sheetView tabSelected="1" zoomScale="220" zoomScaleNormal="220" workbookViewId="0">
      <pane ySplit="1" topLeftCell="A2" activePane="bottomLeft" state="frozen"/>
      <selection pane="bottomLeft" activeCell="G18" sqref="G18"/>
    </sheetView>
  </sheetViews>
  <sheetFormatPr defaultRowHeight="8.25" customHeight="1" x14ac:dyDescent="0.4"/>
  <cols>
    <col min="1" max="1" width="2.69140625" customWidth="1"/>
    <col min="2" max="2" width="8" bestFit="1" customWidth="1"/>
    <col min="3" max="3" width="5.61328125" customWidth="1"/>
    <col min="4" max="4" width="7" customWidth="1"/>
    <col min="5" max="5" width="8.61328125" customWidth="1"/>
    <col min="6" max="6" width="2.3828125" bestFit="1" customWidth="1"/>
    <col min="7" max="7" width="2.84375" bestFit="1" customWidth="1"/>
    <col min="8" max="8" width="2.3828125" bestFit="1" customWidth="1"/>
    <col min="9" max="9" width="2.84375" bestFit="1" customWidth="1"/>
    <col min="10" max="10" width="2.3828125" bestFit="1" customWidth="1"/>
    <col min="11" max="11" width="2.84375" bestFit="1" customWidth="1"/>
    <col min="12" max="12" width="2.3828125" bestFit="1" customWidth="1"/>
    <col min="13" max="13" width="2.84375" bestFit="1" customWidth="1"/>
    <col min="14" max="14" width="5.61328125" customWidth="1"/>
    <col min="15" max="15" width="19.69140625" customWidth="1"/>
    <col min="16" max="16" width="3.921875" customWidth="1"/>
    <col min="17" max="17" width="2.84375" bestFit="1" customWidth="1"/>
    <col min="18" max="18" width="2.3828125" bestFit="1" customWidth="1"/>
    <col min="19" max="19" width="2.84375" bestFit="1" customWidth="1"/>
    <col min="20" max="20" width="2.3828125" bestFit="1" customWidth="1"/>
    <col min="21" max="21" width="2.84375" bestFit="1" customWidth="1"/>
    <col min="22" max="22" width="2.3828125" bestFit="1" customWidth="1"/>
    <col min="23" max="24" width="2.23046875" bestFit="1" customWidth="1"/>
    <col min="25" max="25" width="2.84375" bestFit="1" customWidth="1"/>
    <col min="26" max="26" width="2.3828125" bestFit="1" customWidth="1"/>
    <col min="27" max="27" width="2.84375" bestFit="1" customWidth="1"/>
    <col min="28" max="28" width="2.3828125" bestFit="1" customWidth="1"/>
    <col min="29" max="29" width="2.23046875" bestFit="1" customWidth="1"/>
    <col min="30" max="30" width="2.3828125" bestFit="1" customWidth="1"/>
    <col min="31" max="31" width="2.84375" bestFit="1" customWidth="1"/>
    <col min="32" max="32" width="2.3828125" bestFit="1" customWidth="1"/>
    <col min="33" max="33" width="2.84375" bestFit="1" customWidth="1"/>
    <col min="34" max="34" width="2.3828125" bestFit="1" customWidth="1"/>
    <col min="35" max="35" width="2.84375" bestFit="1" customWidth="1"/>
    <col min="36" max="36" width="2.3828125" bestFit="1" customWidth="1"/>
    <col min="37" max="37" width="2.84375" bestFit="1" customWidth="1"/>
    <col min="38" max="38" width="2.3828125" bestFit="1" customWidth="1"/>
    <col min="39" max="39" width="2.84375" bestFit="1" customWidth="1"/>
    <col min="40" max="40" width="2.3828125" bestFit="1" customWidth="1"/>
    <col min="41" max="41" width="2.84375" bestFit="1" customWidth="1"/>
    <col min="42" max="42" width="2.3828125" bestFit="1" customWidth="1"/>
    <col min="43" max="43" width="2.84375" bestFit="1" customWidth="1"/>
    <col min="44" max="44" width="5.765625" bestFit="1" customWidth="1"/>
    <col min="45" max="45" width="7.3828125" customWidth="1"/>
    <col min="46" max="46" width="3.921875" bestFit="1" customWidth="1"/>
    <col min="47" max="47" width="6.765625" customWidth="1"/>
    <col min="48" max="48" width="2.3828125" bestFit="1" customWidth="1"/>
    <col min="49" max="49" width="2.84375" bestFit="1" customWidth="1"/>
    <col min="50" max="50" width="2.3828125" bestFit="1" customWidth="1"/>
    <col min="51" max="51" width="2.84375" bestFit="1" customWidth="1"/>
  </cols>
  <sheetData>
    <row r="1" spans="1:51" ht="34" customHeight="1" x14ac:dyDescent="0.4">
      <c r="A1" s="25">
        <v>1</v>
      </c>
      <c r="B1" s="19" t="s">
        <v>86</v>
      </c>
      <c r="C1" s="55" t="s">
        <v>84</v>
      </c>
      <c r="D1" s="19" t="s">
        <v>33</v>
      </c>
      <c r="E1" s="46" t="s">
        <v>88</v>
      </c>
      <c r="F1" s="50" t="s">
        <v>33</v>
      </c>
      <c r="G1" s="61" t="s">
        <v>88</v>
      </c>
      <c r="H1" s="19" t="s">
        <v>33</v>
      </c>
      <c r="I1" s="61" t="s">
        <v>88</v>
      </c>
      <c r="J1" s="19" t="s">
        <v>33</v>
      </c>
      <c r="K1" s="61" t="s">
        <v>88</v>
      </c>
      <c r="L1" s="19" t="s">
        <v>33</v>
      </c>
      <c r="M1" s="61" t="s">
        <v>88</v>
      </c>
      <c r="N1" s="19" t="s">
        <v>33</v>
      </c>
      <c r="O1" s="46" t="s">
        <v>88</v>
      </c>
      <c r="P1" s="50" t="s">
        <v>33</v>
      </c>
      <c r="Q1" s="46" t="s">
        <v>88</v>
      </c>
      <c r="R1" s="50" t="s">
        <v>33</v>
      </c>
      <c r="S1" s="46" t="s">
        <v>88</v>
      </c>
      <c r="T1" s="19" t="s">
        <v>33</v>
      </c>
      <c r="U1" s="61" t="s">
        <v>88</v>
      </c>
      <c r="V1" s="19" t="s">
        <v>33</v>
      </c>
      <c r="W1" s="61" t="s">
        <v>73</v>
      </c>
      <c r="X1" s="57" t="s">
        <v>33</v>
      </c>
      <c r="Y1" s="46" t="s">
        <v>88</v>
      </c>
      <c r="Z1" s="57" t="s">
        <v>33</v>
      </c>
      <c r="AA1" s="46" t="s">
        <v>88</v>
      </c>
      <c r="AB1" s="57" t="s">
        <v>33</v>
      </c>
      <c r="AC1" s="46" t="s">
        <v>88</v>
      </c>
      <c r="AD1" s="19" t="s">
        <v>33</v>
      </c>
      <c r="AE1" s="46" t="s">
        <v>88</v>
      </c>
      <c r="AF1" s="48" t="s">
        <v>33</v>
      </c>
      <c r="AG1" s="46" t="s">
        <v>88</v>
      </c>
      <c r="AH1" s="19" t="s">
        <v>33</v>
      </c>
      <c r="AI1" s="46" t="s">
        <v>88</v>
      </c>
      <c r="AJ1" s="19" t="s">
        <v>33</v>
      </c>
      <c r="AK1" s="46" t="s">
        <v>88</v>
      </c>
      <c r="AL1" s="19" t="s">
        <v>33</v>
      </c>
      <c r="AM1" s="46" t="s">
        <v>88</v>
      </c>
      <c r="AN1" s="19" t="s">
        <v>33</v>
      </c>
      <c r="AO1" s="46" t="s">
        <v>88</v>
      </c>
      <c r="AP1" s="19" t="s">
        <v>33</v>
      </c>
      <c r="AQ1" s="46" t="s">
        <v>88</v>
      </c>
      <c r="AR1" s="57" t="s">
        <v>33</v>
      </c>
      <c r="AS1" s="46" t="s">
        <v>88</v>
      </c>
      <c r="AT1" s="57" t="s">
        <v>33</v>
      </c>
      <c r="AU1" s="46" t="s">
        <v>88</v>
      </c>
      <c r="AV1" s="57" t="s">
        <v>33</v>
      </c>
      <c r="AW1" s="46" t="s">
        <v>88</v>
      </c>
      <c r="AX1" s="57" t="s">
        <v>33</v>
      </c>
      <c r="AY1" s="46" t="s">
        <v>88</v>
      </c>
    </row>
    <row r="2" spans="1:51" ht="8.25" customHeight="1" x14ac:dyDescent="0.4">
      <c r="A2" s="36">
        <v>2</v>
      </c>
      <c r="B2" s="38" t="s">
        <v>518</v>
      </c>
      <c r="C2" s="33" t="s">
        <v>80</v>
      </c>
      <c r="D2" s="65" t="s">
        <v>1</v>
      </c>
      <c r="E2" s="59" t="s">
        <v>1</v>
      </c>
      <c r="F2" s="65" t="s">
        <v>1</v>
      </c>
      <c r="G2" s="59" t="s">
        <v>1</v>
      </c>
      <c r="H2" s="65" t="s">
        <v>1</v>
      </c>
      <c r="I2" s="59" t="s">
        <v>1</v>
      </c>
      <c r="J2" s="65" t="s">
        <v>1</v>
      </c>
      <c r="K2" s="59" t="s">
        <v>1</v>
      </c>
      <c r="L2" s="65" t="s">
        <v>1</v>
      </c>
      <c r="M2" s="59" t="s">
        <v>1</v>
      </c>
      <c r="N2" s="42" t="s">
        <v>85</v>
      </c>
      <c r="O2" s="32" t="s">
        <v>515</v>
      </c>
      <c r="P2" s="42" t="s">
        <v>1</v>
      </c>
      <c r="Q2" s="32" t="s">
        <v>1</v>
      </c>
      <c r="R2" s="42" t="s">
        <v>1</v>
      </c>
      <c r="S2" s="47" t="s">
        <v>1</v>
      </c>
      <c r="T2" s="34" t="s">
        <v>1</v>
      </c>
      <c r="U2" s="32" t="s">
        <v>1</v>
      </c>
      <c r="V2" s="34" t="s">
        <v>1</v>
      </c>
      <c r="W2" s="32" t="s">
        <v>1</v>
      </c>
      <c r="X2" s="56" t="s">
        <v>1</v>
      </c>
      <c r="Y2" s="47" t="s">
        <v>1</v>
      </c>
      <c r="Z2" s="58" t="s">
        <v>1</v>
      </c>
      <c r="AA2" s="47" t="s">
        <v>1</v>
      </c>
      <c r="AB2" s="34" t="s">
        <v>1</v>
      </c>
      <c r="AC2" s="47" t="s">
        <v>1</v>
      </c>
      <c r="AD2" s="34" t="s">
        <v>1</v>
      </c>
      <c r="AE2" s="47" t="s">
        <v>1</v>
      </c>
      <c r="AF2" s="49" t="s">
        <v>1</v>
      </c>
      <c r="AG2" s="47" t="s">
        <v>1</v>
      </c>
      <c r="AH2" s="34" t="s">
        <v>1</v>
      </c>
      <c r="AI2" s="39" t="s">
        <v>1</v>
      </c>
      <c r="AJ2" s="34" t="s">
        <v>1</v>
      </c>
      <c r="AK2" s="51" t="s">
        <v>1</v>
      </c>
      <c r="AL2" s="34" t="s">
        <v>1</v>
      </c>
      <c r="AM2" s="51" t="s">
        <v>1</v>
      </c>
      <c r="AN2" s="34" t="s">
        <v>1</v>
      </c>
      <c r="AO2" s="39" t="s">
        <v>1</v>
      </c>
      <c r="AP2" s="34" t="s">
        <v>1</v>
      </c>
      <c r="AQ2" s="37" t="s">
        <v>1</v>
      </c>
      <c r="AR2" s="34" t="s">
        <v>99</v>
      </c>
      <c r="AS2" s="39" t="s">
        <v>118</v>
      </c>
      <c r="AT2" s="34" t="s">
        <v>100</v>
      </c>
      <c r="AU2" s="37" t="s">
        <v>119</v>
      </c>
      <c r="AV2" s="34" t="s">
        <v>1</v>
      </c>
      <c r="AW2" s="60" t="s">
        <v>1</v>
      </c>
      <c r="AX2" s="34" t="s">
        <v>1</v>
      </c>
      <c r="AY2" s="32" t="s">
        <v>1</v>
      </c>
    </row>
    <row r="3" spans="1:51" ht="8.25" customHeight="1" x14ac:dyDescent="0.4">
      <c r="A3" s="36">
        <v>3</v>
      </c>
      <c r="B3" s="38" t="s">
        <v>517</v>
      </c>
      <c r="C3" s="33" t="s">
        <v>80</v>
      </c>
      <c r="D3" s="65" t="s">
        <v>516</v>
      </c>
      <c r="E3" s="45" t="s">
        <v>518</v>
      </c>
      <c r="F3" s="65" t="s">
        <v>1</v>
      </c>
      <c r="G3" s="59" t="s">
        <v>1</v>
      </c>
      <c r="H3" s="65" t="s">
        <v>1</v>
      </c>
      <c r="I3" s="59" t="s">
        <v>1</v>
      </c>
      <c r="J3" s="65" t="s">
        <v>1</v>
      </c>
      <c r="K3" s="59" t="s">
        <v>1</v>
      </c>
      <c r="L3" s="65" t="s">
        <v>1</v>
      </c>
      <c r="M3" s="59" t="s">
        <v>1</v>
      </c>
      <c r="N3" s="42" t="s">
        <v>85</v>
      </c>
      <c r="O3" s="32" t="s">
        <v>504</v>
      </c>
      <c r="P3" s="42" t="s">
        <v>1</v>
      </c>
      <c r="Q3" s="32" t="s">
        <v>1</v>
      </c>
      <c r="R3" s="42" t="s">
        <v>1</v>
      </c>
      <c r="S3" s="47" t="s">
        <v>1</v>
      </c>
      <c r="T3" s="34" t="s">
        <v>1</v>
      </c>
      <c r="U3" s="32" t="s">
        <v>1</v>
      </c>
      <c r="V3" s="34" t="s">
        <v>1</v>
      </c>
      <c r="W3" s="32" t="s">
        <v>1</v>
      </c>
      <c r="X3" s="56" t="s">
        <v>1</v>
      </c>
      <c r="Y3" s="47" t="s">
        <v>1</v>
      </c>
      <c r="Z3" s="58" t="s">
        <v>1</v>
      </c>
      <c r="AA3" s="47" t="s">
        <v>1</v>
      </c>
      <c r="AB3" s="34" t="s">
        <v>1</v>
      </c>
      <c r="AC3" s="47" t="s">
        <v>1</v>
      </c>
      <c r="AD3" s="34" t="s">
        <v>1</v>
      </c>
      <c r="AE3" s="47" t="s">
        <v>1</v>
      </c>
      <c r="AF3" s="49" t="s">
        <v>1</v>
      </c>
      <c r="AG3" s="47" t="s">
        <v>1</v>
      </c>
      <c r="AH3" s="34" t="s">
        <v>1</v>
      </c>
      <c r="AI3" s="39" t="s">
        <v>1</v>
      </c>
      <c r="AJ3" s="34" t="s">
        <v>1</v>
      </c>
      <c r="AK3" s="51" t="s">
        <v>1</v>
      </c>
      <c r="AL3" s="34" t="s">
        <v>1</v>
      </c>
      <c r="AM3" s="51" t="s">
        <v>1</v>
      </c>
      <c r="AN3" s="34" t="s">
        <v>1</v>
      </c>
      <c r="AO3" s="39" t="s">
        <v>1</v>
      </c>
      <c r="AP3" s="34" t="s">
        <v>1</v>
      </c>
      <c r="AQ3" s="37" t="s">
        <v>1</v>
      </c>
      <c r="AR3" s="34" t="s">
        <v>99</v>
      </c>
      <c r="AS3" s="39" t="s">
        <v>118</v>
      </c>
      <c r="AT3" s="34" t="s">
        <v>100</v>
      </c>
      <c r="AU3" s="37" t="s">
        <v>119</v>
      </c>
      <c r="AV3" s="34" t="s">
        <v>1</v>
      </c>
      <c r="AW3" s="60" t="s">
        <v>1</v>
      </c>
      <c r="AX3" s="34" t="s">
        <v>1</v>
      </c>
      <c r="AY3" s="32" t="s">
        <v>1</v>
      </c>
    </row>
    <row r="4" spans="1:51" ht="8.25" customHeight="1" x14ac:dyDescent="0.4">
      <c r="A4" s="36">
        <v>4</v>
      </c>
      <c r="B4" s="38" t="s">
        <v>505</v>
      </c>
      <c r="C4" s="33" t="s">
        <v>80</v>
      </c>
      <c r="D4" s="65" t="s">
        <v>516</v>
      </c>
      <c r="E4" s="45" t="s">
        <v>517</v>
      </c>
      <c r="F4" s="65" t="s">
        <v>1</v>
      </c>
      <c r="G4" s="59" t="s">
        <v>1</v>
      </c>
      <c r="H4" s="65" t="s">
        <v>1</v>
      </c>
      <c r="I4" s="59" t="s">
        <v>1</v>
      </c>
      <c r="J4" s="65" t="s">
        <v>1</v>
      </c>
      <c r="K4" s="59" t="s">
        <v>1</v>
      </c>
      <c r="L4" s="65" t="s">
        <v>1</v>
      </c>
      <c r="M4" s="59" t="s">
        <v>1</v>
      </c>
      <c r="N4" s="42" t="s">
        <v>85</v>
      </c>
      <c r="O4" s="32" t="s">
        <v>506</v>
      </c>
      <c r="P4" s="42" t="s">
        <v>1</v>
      </c>
      <c r="Q4" s="32" t="s">
        <v>1</v>
      </c>
      <c r="R4" s="42" t="s">
        <v>1</v>
      </c>
      <c r="S4" s="47" t="s">
        <v>1</v>
      </c>
      <c r="T4" s="34" t="s">
        <v>1</v>
      </c>
      <c r="U4" s="32" t="s">
        <v>1</v>
      </c>
      <c r="V4" s="34" t="s">
        <v>1</v>
      </c>
      <c r="W4" s="32" t="s">
        <v>1</v>
      </c>
      <c r="X4" s="56" t="s">
        <v>1</v>
      </c>
      <c r="Y4" s="47" t="s">
        <v>1</v>
      </c>
      <c r="Z4" s="58" t="s">
        <v>1</v>
      </c>
      <c r="AA4" s="47" t="s">
        <v>1</v>
      </c>
      <c r="AB4" s="34" t="s">
        <v>1</v>
      </c>
      <c r="AC4" s="47" t="s">
        <v>1</v>
      </c>
      <c r="AD4" s="34" t="s">
        <v>1</v>
      </c>
      <c r="AE4" s="47" t="s">
        <v>1</v>
      </c>
      <c r="AF4" s="49" t="s">
        <v>1</v>
      </c>
      <c r="AG4" s="47" t="s">
        <v>1</v>
      </c>
      <c r="AH4" s="34" t="s">
        <v>1</v>
      </c>
      <c r="AI4" s="39" t="s">
        <v>1</v>
      </c>
      <c r="AJ4" s="34" t="s">
        <v>1</v>
      </c>
      <c r="AK4" s="51" t="s">
        <v>1</v>
      </c>
      <c r="AL4" s="34" t="s">
        <v>1</v>
      </c>
      <c r="AM4" s="51" t="s">
        <v>1</v>
      </c>
      <c r="AN4" s="34" t="s">
        <v>1</v>
      </c>
      <c r="AO4" s="39" t="s">
        <v>1</v>
      </c>
      <c r="AP4" s="34" t="s">
        <v>1</v>
      </c>
      <c r="AQ4" s="37" t="s">
        <v>1</v>
      </c>
      <c r="AR4" s="34" t="s">
        <v>99</v>
      </c>
      <c r="AS4" s="39" t="s">
        <v>118</v>
      </c>
      <c r="AT4" s="34" t="s">
        <v>100</v>
      </c>
      <c r="AU4" s="37" t="s">
        <v>119</v>
      </c>
      <c r="AV4" s="34" t="s">
        <v>1</v>
      </c>
      <c r="AW4" s="60" t="s">
        <v>1</v>
      </c>
      <c r="AX4" s="34" t="s">
        <v>1</v>
      </c>
      <c r="AY4" s="32" t="s">
        <v>1</v>
      </c>
    </row>
    <row r="5" spans="1:51" ht="8.25" customHeight="1" x14ac:dyDescent="0.4">
      <c r="A5" s="36">
        <v>5</v>
      </c>
      <c r="B5" s="38" t="s">
        <v>507</v>
      </c>
      <c r="C5" s="33" t="s">
        <v>80</v>
      </c>
      <c r="D5" s="65" t="s">
        <v>516</v>
      </c>
      <c r="E5" s="45" t="s">
        <v>517</v>
      </c>
      <c r="F5" s="65" t="s">
        <v>1</v>
      </c>
      <c r="G5" s="59" t="s">
        <v>1</v>
      </c>
      <c r="H5" s="65" t="s">
        <v>1</v>
      </c>
      <c r="I5" s="59" t="s">
        <v>1</v>
      </c>
      <c r="J5" s="65" t="s">
        <v>1</v>
      </c>
      <c r="K5" s="59" t="s">
        <v>1</v>
      </c>
      <c r="L5" s="65" t="s">
        <v>1</v>
      </c>
      <c r="M5" s="59" t="s">
        <v>1</v>
      </c>
      <c r="N5" s="42" t="s">
        <v>85</v>
      </c>
      <c r="O5" s="32" t="s">
        <v>513</v>
      </c>
      <c r="P5" s="42" t="s">
        <v>1</v>
      </c>
      <c r="Q5" s="32" t="s">
        <v>1</v>
      </c>
      <c r="R5" s="42" t="s">
        <v>1</v>
      </c>
      <c r="S5" s="47" t="s">
        <v>1</v>
      </c>
      <c r="T5" s="34" t="s">
        <v>1</v>
      </c>
      <c r="U5" s="32" t="s">
        <v>1</v>
      </c>
      <c r="V5" s="34" t="s">
        <v>1</v>
      </c>
      <c r="W5" s="32" t="s">
        <v>1</v>
      </c>
      <c r="X5" s="56" t="s">
        <v>1</v>
      </c>
      <c r="Y5" s="47" t="s">
        <v>1</v>
      </c>
      <c r="Z5" s="58" t="s">
        <v>1</v>
      </c>
      <c r="AA5" s="47" t="s">
        <v>1</v>
      </c>
      <c r="AB5" s="34" t="s">
        <v>1</v>
      </c>
      <c r="AC5" s="47" t="s">
        <v>1</v>
      </c>
      <c r="AD5" s="34" t="s">
        <v>1</v>
      </c>
      <c r="AE5" s="47" t="s">
        <v>1</v>
      </c>
      <c r="AF5" s="49" t="s">
        <v>1</v>
      </c>
      <c r="AG5" s="47" t="s">
        <v>1</v>
      </c>
      <c r="AH5" s="34" t="s">
        <v>1</v>
      </c>
      <c r="AI5" s="39" t="s">
        <v>1</v>
      </c>
      <c r="AJ5" s="34" t="s">
        <v>1</v>
      </c>
      <c r="AK5" s="51" t="s">
        <v>1</v>
      </c>
      <c r="AL5" s="34" t="s">
        <v>1</v>
      </c>
      <c r="AM5" s="51" t="s">
        <v>1</v>
      </c>
      <c r="AN5" s="34" t="s">
        <v>1</v>
      </c>
      <c r="AO5" s="39" t="s">
        <v>1</v>
      </c>
      <c r="AP5" s="34" t="s">
        <v>1</v>
      </c>
      <c r="AQ5" s="37" t="s">
        <v>1</v>
      </c>
      <c r="AR5" s="34" t="s">
        <v>99</v>
      </c>
      <c r="AS5" s="39" t="s">
        <v>118</v>
      </c>
      <c r="AT5" s="34" t="s">
        <v>100</v>
      </c>
      <c r="AU5" s="37" t="s">
        <v>119</v>
      </c>
      <c r="AV5" s="34" t="s">
        <v>1</v>
      </c>
      <c r="AW5" s="60" t="s">
        <v>1</v>
      </c>
      <c r="AX5" s="34" t="s">
        <v>1</v>
      </c>
      <c r="AY5" s="32" t="s">
        <v>1</v>
      </c>
    </row>
    <row r="6" spans="1:51" ht="8.25" customHeight="1" x14ac:dyDescent="0.4">
      <c r="A6" s="36">
        <v>6</v>
      </c>
      <c r="B6" s="38" t="s">
        <v>508</v>
      </c>
      <c r="C6" s="33" t="s">
        <v>80</v>
      </c>
      <c r="D6" s="65" t="s">
        <v>516</v>
      </c>
      <c r="E6" s="45" t="s">
        <v>517</v>
      </c>
      <c r="F6" s="65" t="s">
        <v>1</v>
      </c>
      <c r="G6" s="59" t="s">
        <v>1</v>
      </c>
      <c r="H6" s="65" t="s">
        <v>1</v>
      </c>
      <c r="I6" s="59" t="s">
        <v>1</v>
      </c>
      <c r="J6" s="65" t="s">
        <v>1</v>
      </c>
      <c r="K6" s="59" t="s">
        <v>1</v>
      </c>
      <c r="L6" s="65" t="s">
        <v>1</v>
      </c>
      <c r="M6" s="59" t="s">
        <v>1</v>
      </c>
      <c r="N6" s="42" t="s">
        <v>85</v>
      </c>
      <c r="O6" s="32" t="s">
        <v>514</v>
      </c>
      <c r="P6" s="42" t="s">
        <v>1</v>
      </c>
      <c r="Q6" s="32" t="s">
        <v>1</v>
      </c>
      <c r="R6" s="42" t="s">
        <v>1</v>
      </c>
      <c r="S6" s="47" t="s">
        <v>1</v>
      </c>
      <c r="T6" s="34" t="s">
        <v>1</v>
      </c>
      <c r="U6" s="32" t="s">
        <v>1</v>
      </c>
      <c r="V6" s="34" t="s">
        <v>1</v>
      </c>
      <c r="W6" s="32" t="s">
        <v>1</v>
      </c>
      <c r="X6" s="56" t="s">
        <v>1</v>
      </c>
      <c r="Y6" s="47" t="s">
        <v>1</v>
      </c>
      <c r="Z6" s="58" t="s">
        <v>1</v>
      </c>
      <c r="AA6" s="47" t="s">
        <v>1</v>
      </c>
      <c r="AB6" s="34" t="s">
        <v>1</v>
      </c>
      <c r="AC6" s="47" t="s">
        <v>1</v>
      </c>
      <c r="AD6" s="34" t="s">
        <v>1</v>
      </c>
      <c r="AE6" s="47" t="s">
        <v>1</v>
      </c>
      <c r="AF6" s="49" t="s">
        <v>1</v>
      </c>
      <c r="AG6" s="47" t="s">
        <v>1</v>
      </c>
      <c r="AH6" s="34" t="s">
        <v>1</v>
      </c>
      <c r="AI6" s="39" t="s">
        <v>1</v>
      </c>
      <c r="AJ6" s="34" t="s">
        <v>1</v>
      </c>
      <c r="AK6" s="51" t="s">
        <v>1</v>
      </c>
      <c r="AL6" s="34" t="s">
        <v>1</v>
      </c>
      <c r="AM6" s="51" t="s">
        <v>1</v>
      </c>
      <c r="AN6" s="34" t="s">
        <v>1</v>
      </c>
      <c r="AO6" s="39" t="s">
        <v>1</v>
      </c>
      <c r="AP6" s="34" t="s">
        <v>1</v>
      </c>
      <c r="AQ6" s="37" t="s">
        <v>1</v>
      </c>
      <c r="AR6" s="34" t="s">
        <v>99</v>
      </c>
      <c r="AS6" s="39" t="s">
        <v>118</v>
      </c>
      <c r="AT6" s="34" t="s">
        <v>100</v>
      </c>
      <c r="AU6" s="37" t="s">
        <v>119</v>
      </c>
      <c r="AV6" s="34" t="s">
        <v>1</v>
      </c>
      <c r="AW6" s="60" t="s">
        <v>1</v>
      </c>
      <c r="AX6" s="34" t="s">
        <v>1</v>
      </c>
      <c r="AY6" s="32" t="s">
        <v>1</v>
      </c>
    </row>
    <row r="7" spans="1:51" ht="8.25" customHeight="1" x14ac:dyDescent="0.4">
      <c r="A7" s="36">
        <v>7</v>
      </c>
      <c r="B7" s="38" t="s">
        <v>509</v>
      </c>
      <c r="C7" s="33" t="s">
        <v>80</v>
      </c>
      <c r="D7" s="65" t="s">
        <v>516</v>
      </c>
      <c r="E7" s="45" t="s">
        <v>517</v>
      </c>
      <c r="F7" s="65" t="s">
        <v>1</v>
      </c>
      <c r="G7" s="59" t="s">
        <v>1</v>
      </c>
      <c r="H7" s="65" t="s">
        <v>1</v>
      </c>
      <c r="I7" s="59" t="s">
        <v>1</v>
      </c>
      <c r="J7" s="65" t="s">
        <v>1</v>
      </c>
      <c r="K7" s="59" t="s">
        <v>1</v>
      </c>
      <c r="L7" s="65" t="s">
        <v>1</v>
      </c>
      <c r="M7" s="59" t="s">
        <v>1</v>
      </c>
      <c r="N7" s="42" t="s">
        <v>85</v>
      </c>
      <c r="O7" s="32" t="s">
        <v>512</v>
      </c>
      <c r="P7" s="42" t="s">
        <v>1</v>
      </c>
      <c r="Q7" s="32" t="s">
        <v>1</v>
      </c>
      <c r="R7" s="42" t="s">
        <v>1</v>
      </c>
      <c r="S7" s="47" t="s">
        <v>1</v>
      </c>
      <c r="T7" s="34" t="s">
        <v>1</v>
      </c>
      <c r="U7" s="32" t="s">
        <v>1</v>
      </c>
      <c r="V7" s="34" t="s">
        <v>1</v>
      </c>
      <c r="W7" s="32" t="s">
        <v>1</v>
      </c>
      <c r="X7" s="56" t="s">
        <v>1</v>
      </c>
      <c r="Y7" s="47" t="s">
        <v>1</v>
      </c>
      <c r="Z7" s="58" t="s">
        <v>1</v>
      </c>
      <c r="AA7" s="47" t="s">
        <v>1</v>
      </c>
      <c r="AB7" s="34" t="s">
        <v>1</v>
      </c>
      <c r="AC7" s="47" t="s">
        <v>1</v>
      </c>
      <c r="AD7" s="34" t="s">
        <v>1</v>
      </c>
      <c r="AE7" s="47" t="s">
        <v>1</v>
      </c>
      <c r="AF7" s="49" t="s">
        <v>1</v>
      </c>
      <c r="AG7" s="47" t="s">
        <v>1</v>
      </c>
      <c r="AH7" s="34" t="s">
        <v>1</v>
      </c>
      <c r="AI7" s="39" t="s">
        <v>1</v>
      </c>
      <c r="AJ7" s="34" t="s">
        <v>1</v>
      </c>
      <c r="AK7" s="51" t="s">
        <v>1</v>
      </c>
      <c r="AL7" s="34" t="s">
        <v>1</v>
      </c>
      <c r="AM7" s="51" t="s">
        <v>1</v>
      </c>
      <c r="AN7" s="34" t="s">
        <v>1</v>
      </c>
      <c r="AO7" s="39" t="s">
        <v>1</v>
      </c>
      <c r="AP7" s="34" t="s">
        <v>1</v>
      </c>
      <c r="AQ7" s="37" t="s">
        <v>1</v>
      </c>
      <c r="AR7" s="34" t="s">
        <v>99</v>
      </c>
      <c r="AS7" s="39" t="s">
        <v>118</v>
      </c>
      <c r="AT7" s="34" t="s">
        <v>100</v>
      </c>
      <c r="AU7" s="37" t="s">
        <v>119</v>
      </c>
      <c r="AV7" s="34" t="s">
        <v>1</v>
      </c>
      <c r="AW7" s="60" t="s">
        <v>1</v>
      </c>
      <c r="AX7" s="34" t="s">
        <v>1</v>
      </c>
      <c r="AY7" s="32" t="s">
        <v>1</v>
      </c>
    </row>
    <row r="8" spans="1:51" ht="8.25" customHeight="1" x14ac:dyDescent="0.4">
      <c r="A8" s="36">
        <v>8</v>
      </c>
      <c r="B8" s="38" t="s">
        <v>510</v>
      </c>
      <c r="C8" s="33" t="s">
        <v>80</v>
      </c>
      <c r="D8" s="65" t="s">
        <v>516</v>
      </c>
      <c r="E8" s="45" t="s">
        <v>517</v>
      </c>
      <c r="F8" s="65" t="s">
        <v>1</v>
      </c>
      <c r="G8" s="59" t="s">
        <v>1</v>
      </c>
      <c r="H8" s="65" t="s">
        <v>1</v>
      </c>
      <c r="I8" s="59" t="s">
        <v>1</v>
      </c>
      <c r="J8" s="65" t="s">
        <v>1</v>
      </c>
      <c r="K8" s="59" t="s">
        <v>1</v>
      </c>
      <c r="L8" s="65" t="s">
        <v>1</v>
      </c>
      <c r="M8" s="59" t="s">
        <v>1</v>
      </c>
      <c r="N8" s="42" t="s">
        <v>85</v>
      </c>
      <c r="O8" s="32" t="s">
        <v>511</v>
      </c>
      <c r="P8" s="42" t="s">
        <v>1</v>
      </c>
      <c r="Q8" s="32" t="s">
        <v>1</v>
      </c>
      <c r="R8" s="42" t="s">
        <v>1</v>
      </c>
      <c r="S8" s="47" t="s">
        <v>1</v>
      </c>
      <c r="T8" s="34" t="s">
        <v>1</v>
      </c>
      <c r="U8" s="32" t="s">
        <v>1</v>
      </c>
      <c r="V8" s="34" t="s">
        <v>1</v>
      </c>
      <c r="W8" s="32" t="s">
        <v>1</v>
      </c>
      <c r="X8" s="56" t="s">
        <v>1</v>
      </c>
      <c r="Y8" s="47" t="s">
        <v>1</v>
      </c>
      <c r="Z8" s="58" t="s">
        <v>1</v>
      </c>
      <c r="AA8" s="47" t="s">
        <v>1</v>
      </c>
      <c r="AB8" s="34" t="s">
        <v>1</v>
      </c>
      <c r="AC8" s="47" t="s">
        <v>1</v>
      </c>
      <c r="AD8" s="34" t="s">
        <v>1</v>
      </c>
      <c r="AE8" s="47" t="s">
        <v>1</v>
      </c>
      <c r="AF8" s="49" t="s">
        <v>1</v>
      </c>
      <c r="AG8" s="47" t="s">
        <v>1</v>
      </c>
      <c r="AH8" s="34" t="s">
        <v>1</v>
      </c>
      <c r="AI8" s="39" t="s">
        <v>1</v>
      </c>
      <c r="AJ8" s="34" t="s">
        <v>1</v>
      </c>
      <c r="AK8" s="51" t="s">
        <v>1</v>
      </c>
      <c r="AL8" s="34" t="s">
        <v>1</v>
      </c>
      <c r="AM8" s="51" t="s">
        <v>1</v>
      </c>
      <c r="AN8" s="34" t="s">
        <v>1</v>
      </c>
      <c r="AO8" s="39" t="s">
        <v>1</v>
      </c>
      <c r="AP8" s="34" t="s">
        <v>1</v>
      </c>
      <c r="AQ8" s="37" t="s">
        <v>1</v>
      </c>
      <c r="AR8" s="34" t="s">
        <v>99</v>
      </c>
      <c r="AS8" s="39" t="s">
        <v>118</v>
      </c>
      <c r="AT8" s="34" t="s">
        <v>100</v>
      </c>
      <c r="AU8" s="37" t="s">
        <v>119</v>
      </c>
      <c r="AV8" s="34" t="s">
        <v>1</v>
      </c>
      <c r="AW8" s="60" t="s">
        <v>1</v>
      </c>
      <c r="AX8" s="34" t="s">
        <v>1</v>
      </c>
      <c r="AY8" s="32" t="s">
        <v>1</v>
      </c>
    </row>
  </sheetData>
  <phoneticPr fontId="1" type="noConversion"/>
  <conditionalFormatting sqref="A1:D2 D4:D8 F1:AY3 B3:D3 A3:A8">
    <cfRule type="cellIs" dxfId="8" priority="13" operator="equal">
      <formula>"null"</formula>
    </cfRule>
  </conditionalFormatting>
  <conditionalFormatting sqref="B1:B8">
    <cfRule type="duplicateValues" dxfId="7" priority="1934"/>
    <cfRule type="duplicateValues" dxfId="6" priority="1935"/>
  </conditionalFormatting>
  <conditionalFormatting sqref="B4:C4 F4:AY4">
    <cfRule type="cellIs" dxfId="5" priority="11" operator="equal">
      <formula>"null"</formula>
    </cfRule>
  </conditionalFormatting>
  <conditionalFormatting sqref="B5:C5 F5:AY5">
    <cfRule type="cellIs" dxfId="4" priority="10" operator="equal">
      <formula>"null"</formula>
    </cfRule>
  </conditionalFormatting>
  <conditionalFormatting sqref="B6:C6 F6:AY6">
    <cfRule type="cellIs" dxfId="3" priority="9" operator="equal">
      <formula>"null"</formula>
    </cfRule>
  </conditionalFormatting>
  <conditionalFormatting sqref="B7:C7 F7:AY7">
    <cfRule type="cellIs" dxfId="2" priority="8" operator="equal">
      <formula>"null"</formula>
    </cfRule>
  </conditionalFormatting>
  <conditionalFormatting sqref="B8:C8 F8:AY8">
    <cfRule type="cellIs" dxfId="1" priority="7" operator="equal">
      <formula>"null"</formula>
    </cfRule>
  </conditionalFormatting>
  <conditionalFormatting sqref="E2">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2025-12-16T21:17:11Z</dcterms:modified>
</cp:coreProperties>
</file>