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Construtor_Onto\ARQU\"/>
    </mc:Choice>
  </mc:AlternateContent>
  <xr:revisionPtr revIDLastSave="0" documentId="13_ncr:1_{2688CBCA-7F0B-4B91-B7DA-5F566E90983B}" xr6:coauthVersionLast="47" xr6:coauthVersionMax="47" xr10:uidLastSave="{00000000-0000-0000-0000-000000000000}"/>
  <bookViews>
    <workbookView xWindow="-103" yWindow="-103" windowWidth="22149" windowHeight="13200" tabRatio="520" activeTab="3" xr2:uid="{00000000-000D-0000-FFFF-FFFF00000000}"/>
  </bookViews>
  <sheets>
    <sheet name="Projeto" sheetId="13" r:id="rId1"/>
    <sheet name="Classes" sheetId="30" r:id="rId2"/>
    <sheet name="Disjunt" sheetId="3" r:id="rId3"/>
    <sheet name="FatosIn" sheetId="28" r:id="rId4"/>
    <sheet name="Interop" sheetId="16" r:id="rId5"/>
  </sheets>
  <definedNames>
    <definedName name="_xlnm._FilterDatabase" localSheetId="4"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69" i="30" l="1"/>
  <c r="U69" i="30"/>
  <c r="T69" i="30"/>
  <c r="S69" i="30"/>
  <c r="O69" i="30"/>
  <c r="N69" i="30"/>
  <c r="M69" i="30"/>
  <c r="L69" i="30"/>
  <c r="W351" i="30"/>
  <c r="U351" i="30"/>
  <c r="T351" i="30"/>
  <c r="S351" i="30"/>
  <c r="O351" i="30"/>
  <c r="N351" i="30"/>
  <c r="M351" i="30"/>
  <c r="L351" i="30"/>
  <c r="W356" i="30"/>
  <c r="U356" i="30"/>
  <c r="T356" i="30"/>
  <c r="S356" i="30"/>
  <c r="O356" i="30"/>
  <c r="N356" i="30"/>
  <c r="M356" i="30"/>
  <c r="L356" i="30"/>
  <c r="AA69" i="30"/>
  <c r="Q351" i="30"/>
  <c r="AA356" i="30"/>
  <c r="Q356" i="30"/>
  <c r="AA351" i="30"/>
  <c r="W355" i="30" l="1"/>
  <c r="U355" i="30"/>
  <c r="T355" i="30"/>
  <c r="S355" i="30"/>
  <c r="O355" i="30"/>
  <c r="N355" i="30"/>
  <c r="M355" i="30"/>
  <c r="L355" i="30"/>
  <c r="W354" i="30"/>
  <c r="U354" i="30"/>
  <c r="T354" i="30"/>
  <c r="S354" i="30"/>
  <c r="O354" i="30"/>
  <c r="N354" i="30"/>
  <c r="M354" i="30"/>
  <c r="L354" i="30"/>
  <c r="W353" i="30"/>
  <c r="U353" i="30"/>
  <c r="T353" i="30"/>
  <c r="S353" i="30"/>
  <c r="O353" i="30"/>
  <c r="N353" i="30"/>
  <c r="M353" i="30"/>
  <c r="L353" i="30"/>
  <c r="W352" i="30"/>
  <c r="U352" i="30"/>
  <c r="T352" i="30"/>
  <c r="S352" i="30"/>
  <c r="O352" i="30"/>
  <c r="N352" i="30"/>
  <c r="M352" i="30"/>
  <c r="L352" i="30"/>
  <c r="W350" i="30"/>
  <c r="U350" i="30"/>
  <c r="T350" i="30"/>
  <c r="S350" i="30"/>
  <c r="O350" i="30"/>
  <c r="N350" i="30"/>
  <c r="M350" i="30"/>
  <c r="L350" i="30"/>
  <c r="W349" i="30"/>
  <c r="U349" i="30"/>
  <c r="T349" i="30"/>
  <c r="S349" i="30"/>
  <c r="O349" i="30"/>
  <c r="N349" i="30"/>
  <c r="M349" i="30"/>
  <c r="L349" i="30"/>
  <c r="AA350" i="30"/>
  <c r="AA353" i="30"/>
  <c r="AA354" i="30"/>
  <c r="AA349" i="30"/>
  <c r="Q352" i="30"/>
  <c r="AA352" i="30"/>
  <c r="AA355" i="30"/>
  <c r="Q355" i="30"/>
  <c r="Q354" i="30"/>
  <c r="Q353" i="30"/>
  <c r="Q349" i="30"/>
  <c r="Q350" i="30"/>
  <c r="W227" i="30" l="1"/>
  <c r="U227" i="30"/>
  <c r="T227" i="30"/>
  <c r="S227" i="30"/>
  <c r="O227" i="30"/>
  <c r="N227" i="30"/>
  <c r="M227" i="30"/>
  <c r="L227" i="30"/>
  <c r="W3" i="30"/>
  <c r="W4" i="30"/>
  <c r="W5" i="30"/>
  <c r="W6" i="30"/>
  <c r="W7" i="30"/>
  <c r="W8" i="30"/>
  <c r="W9" i="30"/>
  <c r="W10" i="30"/>
  <c r="W11" i="30"/>
  <c r="W12" i="30"/>
  <c r="W13" i="30"/>
  <c r="W14" i="30"/>
  <c r="W15" i="30"/>
  <c r="W16" i="30"/>
  <c r="W17" i="30"/>
  <c r="W18" i="30"/>
  <c r="W19" i="30"/>
  <c r="W20" i="30"/>
  <c r="W21" i="30"/>
  <c r="W22" i="30"/>
  <c r="W23" i="30"/>
  <c r="W24" i="30"/>
  <c r="W25" i="30"/>
  <c r="W26" i="30"/>
  <c r="W27" i="30"/>
  <c r="W28" i="30"/>
  <c r="W29" i="30"/>
  <c r="W30" i="30"/>
  <c r="W31" i="30"/>
  <c r="W32" i="30"/>
  <c r="W33" i="30"/>
  <c r="W34" i="30"/>
  <c r="W35" i="30"/>
  <c r="W36" i="30"/>
  <c r="W37" i="30"/>
  <c r="W38" i="30"/>
  <c r="W39" i="30"/>
  <c r="W40" i="30"/>
  <c r="W41" i="30"/>
  <c r="W42" i="30"/>
  <c r="W43" i="30"/>
  <c r="W44" i="30"/>
  <c r="W45" i="30"/>
  <c r="W46" i="30"/>
  <c r="W47" i="30"/>
  <c r="W48" i="30"/>
  <c r="W49" i="30"/>
  <c r="W50" i="30"/>
  <c r="W51" i="30"/>
  <c r="W52" i="30"/>
  <c r="W53" i="30"/>
  <c r="W54" i="30"/>
  <c r="W55" i="30"/>
  <c r="W56" i="30"/>
  <c r="W57" i="30"/>
  <c r="W58" i="30"/>
  <c r="W59" i="30"/>
  <c r="W60" i="30"/>
  <c r="W61" i="30"/>
  <c r="W62" i="30"/>
  <c r="W63" i="30"/>
  <c r="W64" i="30"/>
  <c r="W65" i="30"/>
  <c r="W66" i="30"/>
  <c r="W67" i="30"/>
  <c r="W68" i="30"/>
  <c r="W70" i="30"/>
  <c r="W71" i="30"/>
  <c r="W72" i="30"/>
  <c r="W73" i="30"/>
  <c r="W74" i="30"/>
  <c r="W75" i="30"/>
  <c r="W76" i="30"/>
  <c r="W77" i="30"/>
  <c r="W78" i="30"/>
  <c r="W79" i="30"/>
  <c r="W80" i="30"/>
  <c r="W81" i="30"/>
  <c r="W82" i="30"/>
  <c r="W83" i="30"/>
  <c r="W84" i="30"/>
  <c r="W85" i="30"/>
  <c r="W86" i="30"/>
  <c r="W87" i="30"/>
  <c r="W88" i="30"/>
  <c r="W89" i="30"/>
  <c r="W90" i="30"/>
  <c r="W91" i="30"/>
  <c r="W92" i="30"/>
  <c r="W93" i="30"/>
  <c r="W94" i="30"/>
  <c r="W95" i="30"/>
  <c r="W96" i="30"/>
  <c r="W97" i="30"/>
  <c r="W98" i="30"/>
  <c r="W99" i="30"/>
  <c r="W100" i="30"/>
  <c r="W101" i="30"/>
  <c r="W102" i="30"/>
  <c r="W103" i="30"/>
  <c r="W104" i="30"/>
  <c r="W105" i="30"/>
  <c r="W106" i="30"/>
  <c r="W107" i="30"/>
  <c r="W108" i="30"/>
  <c r="W109" i="30"/>
  <c r="W110" i="30"/>
  <c r="W111" i="30"/>
  <c r="W112" i="30"/>
  <c r="W113" i="30"/>
  <c r="W114" i="30"/>
  <c r="W115" i="30"/>
  <c r="W116" i="30"/>
  <c r="W117" i="30"/>
  <c r="W118" i="30"/>
  <c r="W119" i="30"/>
  <c r="W120" i="30"/>
  <c r="W121" i="30"/>
  <c r="W122" i="30"/>
  <c r="W123" i="30"/>
  <c r="W124" i="30"/>
  <c r="W125" i="30"/>
  <c r="W126" i="30"/>
  <c r="W127" i="30"/>
  <c r="W128" i="30"/>
  <c r="W129" i="30"/>
  <c r="W130" i="30"/>
  <c r="W131" i="30"/>
  <c r="W132" i="30"/>
  <c r="W133" i="30"/>
  <c r="W134" i="30"/>
  <c r="W135" i="30"/>
  <c r="W136" i="30"/>
  <c r="W137" i="30"/>
  <c r="W138" i="30"/>
  <c r="W139" i="30"/>
  <c r="W140" i="30"/>
  <c r="W141" i="30"/>
  <c r="W142" i="30"/>
  <c r="W143" i="30"/>
  <c r="W144" i="30"/>
  <c r="W145" i="30"/>
  <c r="W146" i="30"/>
  <c r="W147" i="30"/>
  <c r="W148" i="30"/>
  <c r="W149" i="30"/>
  <c r="W150" i="30"/>
  <c r="W151" i="30"/>
  <c r="W152" i="30"/>
  <c r="W153" i="30"/>
  <c r="W154" i="30"/>
  <c r="W155" i="30"/>
  <c r="W156" i="30"/>
  <c r="W157" i="30"/>
  <c r="W158" i="30"/>
  <c r="W159" i="30"/>
  <c r="W160" i="30"/>
  <c r="W161" i="30"/>
  <c r="W162" i="30"/>
  <c r="W163" i="30"/>
  <c r="W164" i="30"/>
  <c r="W165" i="30"/>
  <c r="W166" i="30"/>
  <c r="W167" i="30"/>
  <c r="W168" i="30"/>
  <c r="W169" i="30"/>
  <c r="W170" i="30"/>
  <c r="W171" i="30"/>
  <c r="W172" i="30"/>
  <c r="W173" i="30"/>
  <c r="W174" i="30"/>
  <c r="W175" i="30"/>
  <c r="W176" i="30"/>
  <c r="W177" i="30"/>
  <c r="W178" i="30"/>
  <c r="W179" i="30"/>
  <c r="W180" i="30"/>
  <c r="W181" i="30"/>
  <c r="W182" i="30"/>
  <c r="W183" i="30"/>
  <c r="W184" i="30"/>
  <c r="W185" i="30"/>
  <c r="W186" i="30"/>
  <c r="W187" i="30"/>
  <c r="W188" i="30"/>
  <c r="W189" i="30"/>
  <c r="W190" i="30"/>
  <c r="W191" i="30"/>
  <c r="W192" i="30"/>
  <c r="W193" i="30"/>
  <c r="W194" i="30"/>
  <c r="W195" i="30"/>
  <c r="W196" i="30"/>
  <c r="W197" i="30"/>
  <c r="W198" i="30"/>
  <c r="W199" i="30"/>
  <c r="W200" i="30"/>
  <c r="W201" i="30"/>
  <c r="W202" i="30"/>
  <c r="W203" i="30"/>
  <c r="W204" i="30"/>
  <c r="W205" i="30"/>
  <c r="W206" i="30"/>
  <c r="W207" i="30"/>
  <c r="W208" i="30"/>
  <c r="W209" i="30"/>
  <c r="W210" i="30"/>
  <c r="W211" i="30"/>
  <c r="W212" i="30"/>
  <c r="W213" i="30"/>
  <c r="W214" i="30"/>
  <c r="W215" i="30"/>
  <c r="W216" i="30"/>
  <c r="W217" i="30"/>
  <c r="W218" i="30"/>
  <c r="W219" i="30"/>
  <c r="W220" i="30"/>
  <c r="W221" i="30"/>
  <c r="W222" i="30"/>
  <c r="W223" i="30"/>
  <c r="W224" i="30"/>
  <c r="W225" i="30"/>
  <c r="W226" i="30"/>
  <c r="W228" i="30"/>
  <c r="W229" i="30"/>
  <c r="W230" i="30"/>
  <c r="W231" i="30"/>
  <c r="W232" i="30"/>
  <c r="W233" i="30"/>
  <c r="W234" i="30"/>
  <c r="W235" i="30"/>
  <c r="W236" i="30"/>
  <c r="W237" i="30"/>
  <c r="W238" i="30"/>
  <c r="W239" i="30"/>
  <c r="W240" i="30"/>
  <c r="W241" i="30"/>
  <c r="W242" i="30"/>
  <c r="W243" i="30"/>
  <c r="W244" i="30"/>
  <c r="W245" i="30"/>
  <c r="W246" i="30"/>
  <c r="W247" i="30"/>
  <c r="W248" i="30"/>
  <c r="W249" i="30"/>
  <c r="W250" i="30"/>
  <c r="W251" i="30"/>
  <c r="W252" i="30"/>
  <c r="W253" i="30"/>
  <c r="W254" i="30"/>
  <c r="W255" i="30"/>
  <c r="W256" i="30"/>
  <c r="W257" i="30"/>
  <c r="W258" i="30"/>
  <c r="W259" i="30"/>
  <c r="W260" i="30"/>
  <c r="W261" i="30"/>
  <c r="W262" i="30"/>
  <c r="W263" i="30"/>
  <c r="W264" i="30"/>
  <c r="W265" i="30"/>
  <c r="W266" i="30"/>
  <c r="W267" i="30"/>
  <c r="W268" i="30"/>
  <c r="W269" i="30"/>
  <c r="W270" i="30"/>
  <c r="W271" i="30"/>
  <c r="W272" i="30"/>
  <c r="W273" i="30"/>
  <c r="W274" i="30"/>
  <c r="W275" i="30"/>
  <c r="W276" i="30"/>
  <c r="W277" i="30"/>
  <c r="W278" i="30"/>
  <c r="W279" i="30"/>
  <c r="W280" i="30"/>
  <c r="W281" i="30"/>
  <c r="W282" i="30"/>
  <c r="W283" i="30"/>
  <c r="W284" i="30"/>
  <c r="W285" i="30"/>
  <c r="W286" i="30"/>
  <c r="W287" i="30"/>
  <c r="W288" i="30"/>
  <c r="W289" i="30"/>
  <c r="W290" i="30"/>
  <c r="W291" i="30"/>
  <c r="W292" i="30"/>
  <c r="W293" i="30"/>
  <c r="W294" i="30"/>
  <c r="W295" i="30"/>
  <c r="W296" i="30"/>
  <c r="W297" i="30"/>
  <c r="W298" i="30"/>
  <c r="W299" i="30"/>
  <c r="W300" i="30"/>
  <c r="W301" i="30"/>
  <c r="W302" i="30"/>
  <c r="W303" i="30"/>
  <c r="W304" i="30"/>
  <c r="W305" i="30"/>
  <c r="W306" i="30"/>
  <c r="W307" i="30"/>
  <c r="W308" i="30"/>
  <c r="W309" i="30"/>
  <c r="W310" i="30"/>
  <c r="W311" i="30"/>
  <c r="W312" i="30"/>
  <c r="W313" i="30"/>
  <c r="W314" i="30"/>
  <c r="W315" i="30"/>
  <c r="W316" i="30"/>
  <c r="W317" i="30"/>
  <c r="W318" i="30"/>
  <c r="W319" i="30"/>
  <c r="W320" i="30"/>
  <c r="W321" i="30"/>
  <c r="W322" i="30"/>
  <c r="W323" i="30"/>
  <c r="W324" i="30"/>
  <c r="W325" i="30"/>
  <c r="W326" i="30"/>
  <c r="W327" i="30"/>
  <c r="W328" i="30"/>
  <c r="W329" i="30"/>
  <c r="W330" i="30"/>
  <c r="W331" i="30"/>
  <c r="W332" i="30"/>
  <c r="W333" i="30"/>
  <c r="W334" i="30"/>
  <c r="W335" i="30"/>
  <c r="W336" i="30"/>
  <c r="W337" i="30"/>
  <c r="W338" i="30"/>
  <c r="W339" i="30"/>
  <c r="W340" i="30"/>
  <c r="W341" i="30"/>
  <c r="W342" i="30"/>
  <c r="W343" i="30"/>
  <c r="W344" i="30"/>
  <c r="W345" i="30"/>
  <c r="W346" i="30"/>
  <c r="W347" i="30"/>
  <c r="W348" i="30"/>
  <c r="W2" i="30"/>
  <c r="U85" i="30"/>
  <c r="T85" i="30"/>
  <c r="S85" i="30"/>
  <c r="O85" i="30"/>
  <c r="N85" i="30"/>
  <c r="M85" i="30"/>
  <c r="L85" i="30"/>
  <c r="U84" i="30"/>
  <c r="T84" i="30"/>
  <c r="S84" i="30"/>
  <c r="O84" i="30"/>
  <c r="N84" i="30"/>
  <c r="M84" i="30"/>
  <c r="L84" i="30"/>
  <c r="U94" i="30"/>
  <c r="T94" i="30"/>
  <c r="S94" i="30"/>
  <c r="O94" i="30"/>
  <c r="N94" i="30"/>
  <c r="M94" i="30"/>
  <c r="L94" i="30"/>
  <c r="U93" i="30"/>
  <c r="T93" i="30"/>
  <c r="S93" i="30"/>
  <c r="O93" i="30"/>
  <c r="N93" i="30"/>
  <c r="M93" i="30"/>
  <c r="L93" i="30"/>
  <c r="U92" i="30"/>
  <c r="T92" i="30"/>
  <c r="S92" i="30"/>
  <c r="O92" i="30"/>
  <c r="N92" i="30"/>
  <c r="M92" i="30"/>
  <c r="L92" i="30"/>
  <c r="U91" i="30"/>
  <c r="T91" i="30"/>
  <c r="S91" i="30"/>
  <c r="O91" i="30"/>
  <c r="N91" i="30"/>
  <c r="M91" i="30"/>
  <c r="L91" i="30"/>
  <c r="U90" i="30"/>
  <c r="T90" i="30"/>
  <c r="S90" i="30"/>
  <c r="O90" i="30"/>
  <c r="N90" i="30"/>
  <c r="M90" i="30"/>
  <c r="L90" i="30"/>
  <c r="U89" i="30"/>
  <c r="T89" i="30"/>
  <c r="S89" i="30"/>
  <c r="O89" i="30"/>
  <c r="N89" i="30"/>
  <c r="M89" i="30"/>
  <c r="L89" i="30"/>
  <c r="U88" i="30"/>
  <c r="T88" i="30"/>
  <c r="S88" i="30"/>
  <c r="O88" i="30"/>
  <c r="N88" i="30"/>
  <c r="M88" i="30"/>
  <c r="L88" i="30"/>
  <c r="U87" i="30"/>
  <c r="T87" i="30"/>
  <c r="S87" i="30"/>
  <c r="O87" i="30"/>
  <c r="N87" i="30"/>
  <c r="M87" i="30"/>
  <c r="L87" i="30"/>
  <c r="U86" i="30"/>
  <c r="T86" i="30"/>
  <c r="S86" i="30"/>
  <c r="O86" i="30"/>
  <c r="N86" i="30"/>
  <c r="M86" i="30"/>
  <c r="L86" i="30"/>
  <c r="U83" i="30"/>
  <c r="T83" i="30"/>
  <c r="S83" i="30"/>
  <c r="O83" i="30"/>
  <c r="N83" i="30"/>
  <c r="M83" i="30"/>
  <c r="L83" i="30"/>
  <c r="U82" i="30"/>
  <c r="T82" i="30"/>
  <c r="S82" i="30"/>
  <c r="O82" i="30"/>
  <c r="N82" i="30"/>
  <c r="M82" i="30"/>
  <c r="L82" i="30"/>
  <c r="U81" i="30"/>
  <c r="T81" i="30"/>
  <c r="S81" i="30"/>
  <c r="O81" i="30"/>
  <c r="N81" i="30"/>
  <c r="M81" i="30"/>
  <c r="L81" i="30"/>
  <c r="U80" i="30"/>
  <c r="T80" i="30"/>
  <c r="S80" i="30"/>
  <c r="O80" i="30"/>
  <c r="N80" i="30"/>
  <c r="M80" i="30"/>
  <c r="L80" i="30"/>
  <c r="U79" i="30"/>
  <c r="T79" i="30"/>
  <c r="S79" i="30"/>
  <c r="O79" i="30"/>
  <c r="N79" i="30"/>
  <c r="M79" i="30"/>
  <c r="L79" i="30"/>
  <c r="U78" i="30"/>
  <c r="T78" i="30"/>
  <c r="S78" i="30"/>
  <c r="O78" i="30"/>
  <c r="N78" i="30"/>
  <c r="M78" i="30"/>
  <c r="L78" i="30"/>
  <c r="U77" i="30"/>
  <c r="T77" i="30"/>
  <c r="S77" i="30"/>
  <c r="O77" i="30"/>
  <c r="N77" i="30"/>
  <c r="M77" i="30"/>
  <c r="L77" i="30"/>
  <c r="U76" i="30"/>
  <c r="T76" i="30"/>
  <c r="S76" i="30"/>
  <c r="O76" i="30"/>
  <c r="N76" i="30"/>
  <c r="M76" i="30"/>
  <c r="L76" i="30"/>
  <c r="U75" i="30"/>
  <c r="T75" i="30"/>
  <c r="S75" i="30"/>
  <c r="O75" i="30"/>
  <c r="N75" i="30"/>
  <c r="M75" i="30"/>
  <c r="L75" i="30"/>
  <c r="U74" i="30"/>
  <c r="T74" i="30"/>
  <c r="S74" i="30"/>
  <c r="O74" i="30"/>
  <c r="N74" i="30"/>
  <c r="M74" i="30"/>
  <c r="L74" i="30"/>
  <c r="U73" i="30"/>
  <c r="T73" i="30"/>
  <c r="S73" i="30"/>
  <c r="O73" i="30"/>
  <c r="N73" i="30"/>
  <c r="M73" i="30"/>
  <c r="L73" i="30"/>
  <c r="U72" i="30"/>
  <c r="T72" i="30"/>
  <c r="S72" i="30"/>
  <c r="O72" i="30"/>
  <c r="N72" i="30"/>
  <c r="M72" i="30"/>
  <c r="L72" i="30"/>
  <c r="U71" i="30"/>
  <c r="T71" i="30"/>
  <c r="S71" i="30"/>
  <c r="O71" i="30"/>
  <c r="N71" i="30"/>
  <c r="M71" i="30"/>
  <c r="L71" i="30"/>
  <c r="U70" i="30"/>
  <c r="T70" i="30"/>
  <c r="S70" i="30"/>
  <c r="O70" i="30"/>
  <c r="N70" i="30"/>
  <c r="M70" i="30"/>
  <c r="L70" i="30"/>
  <c r="U68" i="30"/>
  <c r="T68" i="30"/>
  <c r="S68" i="30"/>
  <c r="O68" i="30"/>
  <c r="N68" i="30"/>
  <c r="M68" i="30"/>
  <c r="L68" i="30"/>
  <c r="U67" i="30"/>
  <c r="T67" i="30"/>
  <c r="S67" i="30"/>
  <c r="O67" i="30"/>
  <c r="N67" i="30"/>
  <c r="M67" i="30"/>
  <c r="L67" i="30"/>
  <c r="U66" i="30"/>
  <c r="T66" i="30"/>
  <c r="S66" i="30"/>
  <c r="O66" i="30"/>
  <c r="N66" i="30"/>
  <c r="M66" i="30"/>
  <c r="L66" i="30"/>
  <c r="U294" i="30"/>
  <c r="T294" i="30"/>
  <c r="S294" i="30"/>
  <c r="O294" i="30"/>
  <c r="N294" i="30"/>
  <c r="M294" i="30"/>
  <c r="L294" i="30"/>
  <c r="U293" i="30"/>
  <c r="T293" i="30"/>
  <c r="S293" i="30"/>
  <c r="O293" i="30"/>
  <c r="N293" i="30"/>
  <c r="M293" i="30"/>
  <c r="L293" i="30"/>
  <c r="U292" i="30"/>
  <c r="T292" i="30"/>
  <c r="S292" i="30"/>
  <c r="O292" i="30"/>
  <c r="N292" i="30"/>
  <c r="M292" i="30"/>
  <c r="L292" i="30"/>
  <c r="U291" i="30"/>
  <c r="T291" i="30"/>
  <c r="S291" i="30"/>
  <c r="O291" i="30"/>
  <c r="N291" i="30"/>
  <c r="M291" i="30"/>
  <c r="L291" i="30"/>
  <c r="U290" i="30"/>
  <c r="T290" i="30"/>
  <c r="S290" i="30"/>
  <c r="O290" i="30"/>
  <c r="N290" i="30"/>
  <c r="M290" i="30"/>
  <c r="L290" i="30"/>
  <c r="U289" i="30"/>
  <c r="T289" i="30"/>
  <c r="S289" i="30"/>
  <c r="O289" i="30"/>
  <c r="N289" i="30"/>
  <c r="M289" i="30"/>
  <c r="L289" i="30"/>
  <c r="U288" i="30"/>
  <c r="T288" i="30"/>
  <c r="S288" i="30"/>
  <c r="O288" i="30"/>
  <c r="N288" i="30"/>
  <c r="M288" i="30"/>
  <c r="L288" i="30"/>
  <c r="U233" i="30"/>
  <c r="T233" i="30"/>
  <c r="S233" i="30"/>
  <c r="O233" i="30"/>
  <c r="N233" i="30"/>
  <c r="M233" i="30"/>
  <c r="L233" i="30"/>
  <c r="U232" i="30"/>
  <c r="T232" i="30"/>
  <c r="S232" i="30"/>
  <c r="O232" i="30"/>
  <c r="N232" i="30"/>
  <c r="M232" i="30"/>
  <c r="L232" i="30"/>
  <c r="U231" i="30"/>
  <c r="T231" i="30"/>
  <c r="S231" i="30"/>
  <c r="O231" i="30"/>
  <c r="N231" i="30"/>
  <c r="M231" i="30"/>
  <c r="L231" i="30"/>
  <c r="U230" i="30"/>
  <c r="T230" i="30"/>
  <c r="S230" i="30"/>
  <c r="O230" i="30"/>
  <c r="N230" i="30"/>
  <c r="M230" i="30"/>
  <c r="L230" i="30"/>
  <c r="U229" i="30"/>
  <c r="T229" i="30"/>
  <c r="S229" i="30"/>
  <c r="O229" i="30"/>
  <c r="N229" i="30"/>
  <c r="M229" i="30"/>
  <c r="L229" i="30"/>
  <c r="U228" i="30"/>
  <c r="T228" i="30"/>
  <c r="S228" i="30"/>
  <c r="O228" i="30"/>
  <c r="N228" i="30"/>
  <c r="M228" i="30"/>
  <c r="L228" i="30"/>
  <c r="U65" i="30"/>
  <c r="T65" i="30"/>
  <c r="S65" i="30"/>
  <c r="O65" i="30"/>
  <c r="N65" i="30"/>
  <c r="M65" i="30"/>
  <c r="L65" i="30"/>
  <c r="U64" i="30"/>
  <c r="T64" i="30"/>
  <c r="S64" i="30"/>
  <c r="O64" i="30"/>
  <c r="N64" i="30"/>
  <c r="M64" i="30"/>
  <c r="L64" i="30"/>
  <c r="U63" i="30"/>
  <c r="T63" i="30"/>
  <c r="S63" i="30"/>
  <c r="O63" i="30"/>
  <c r="N63" i="30"/>
  <c r="M63" i="30"/>
  <c r="L63" i="30"/>
  <c r="U62" i="30"/>
  <c r="T62" i="30"/>
  <c r="S62" i="30"/>
  <c r="O62" i="30"/>
  <c r="N62" i="30"/>
  <c r="M62" i="30"/>
  <c r="L62" i="30"/>
  <c r="U61" i="30"/>
  <c r="T61" i="30"/>
  <c r="S61" i="30"/>
  <c r="O61" i="30"/>
  <c r="N61" i="30"/>
  <c r="M61" i="30"/>
  <c r="L61" i="30"/>
  <c r="U60" i="30"/>
  <c r="T60" i="30"/>
  <c r="S60" i="30"/>
  <c r="O60" i="30"/>
  <c r="N60" i="30"/>
  <c r="M60" i="30"/>
  <c r="L60" i="30"/>
  <c r="U59" i="30"/>
  <c r="T59" i="30"/>
  <c r="S59" i="30"/>
  <c r="O59" i="30"/>
  <c r="N59" i="30"/>
  <c r="M59" i="30"/>
  <c r="L59" i="30"/>
  <c r="U58" i="30"/>
  <c r="T58" i="30"/>
  <c r="S58" i="30"/>
  <c r="O58" i="30"/>
  <c r="N58" i="30"/>
  <c r="M58" i="30"/>
  <c r="L58" i="30"/>
  <c r="U57" i="30"/>
  <c r="T57" i="30"/>
  <c r="S57" i="30"/>
  <c r="O57" i="30"/>
  <c r="N57" i="30"/>
  <c r="M57" i="30"/>
  <c r="L57" i="30"/>
  <c r="U56" i="30"/>
  <c r="T56" i="30"/>
  <c r="S56" i="30"/>
  <c r="O56" i="30"/>
  <c r="N56" i="30"/>
  <c r="M56" i="30"/>
  <c r="L56" i="30"/>
  <c r="U55" i="30"/>
  <c r="T55" i="30"/>
  <c r="S55" i="30"/>
  <c r="O55" i="30"/>
  <c r="N55" i="30"/>
  <c r="M55" i="30"/>
  <c r="L55" i="30"/>
  <c r="U54" i="30"/>
  <c r="T54" i="30"/>
  <c r="S54" i="30"/>
  <c r="O54" i="30"/>
  <c r="N54" i="30"/>
  <c r="M54" i="30"/>
  <c r="L54" i="30"/>
  <c r="U53" i="30"/>
  <c r="T53" i="30"/>
  <c r="S53" i="30"/>
  <c r="O53" i="30"/>
  <c r="N53" i="30"/>
  <c r="M53" i="30"/>
  <c r="L53" i="30"/>
  <c r="U52" i="30"/>
  <c r="T52" i="30"/>
  <c r="S52" i="30"/>
  <c r="O52" i="30"/>
  <c r="N52" i="30"/>
  <c r="M52" i="30"/>
  <c r="L52" i="30"/>
  <c r="U51" i="30"/>
  <c r="T51" i="30"/>
  <c r="S51" i="30"/>
  <c r="O51" i="30"/>
  <c r="N51" i="30"/>
  <c r="M51" i="30"/>
  <c r="L51" i="30"/>
  <c r="U50" i="30"/>
  <c r="T50" i="30"/>
  <c r="S50" i="30"/>
  <c r="O50" i="30"/>
  <c r="N50" i="30"/>
  <c r="M50" i="30"/>
  <c r="L50" i="30"/>
  <c r="U49" i="30"/>
  <c r="T49" i="30"/>
  <c r="S49" i="30"/>
  <c r="O49" i="30"/>
  <c r="N49" i="30"/>
  <c r="M49" i="30"/>
  <c r="L49" i="30"/>
  <c r="U48" i="30"/>
  <c r="T48" i="30"/>
  <c r="S48" i="30"/>
  <c r="O48" i="30"/>
  <c r="N48" i="30"/>
  <c r="M48" i="30"/>
  <c r="L48" i="30"/>
  <c r="U47" i="30"/>
  <c r="T47" i="30"/>
  <c r="S47" i="30"/>
  <c r="O47" i="30"/>
  <c r="N47" i="30"/>
  <c r="M47" i="30"/>
  <c r="L47" i="30"/>
  <c r="U46" i="30"/>
  <c r="T46" i="30"/>
  <c r="S46" i="30"/>
  <c r="O46" i="30"/>
  <c r="N46" i="30"/>
  <c r="M46" i="30"/>
  <c r="L46" i="30"/>
  <c r="U45" i="30"/>
  <c r="T45" i="30"/>
  <c r="S45" i="30"/>
  <c r="O45" i="30"/>
  <c r="N45" i="30"/>
  <c r="M45" i="30"/>
  <c r="L45" i="30"/>
  <c r="U44" i="30"/>
  <c r="T44" i="30"/>
  <c r="S44" i="30"/>
  <c r="O44" i="30"/>
  <c r="N44" i="30"/>
  <c r="M44" i="30"/>
  <c r="L44" i="30"/>
  <c r="U43" i="30"/>
  <c r="T43" i="30"/>
  <c r="S43" i="30"/>
  <c r="O43" i="30"/>
  <c r="N43" i="30"/>
  <c r="M43" i="30"/>
  <c r="L43" i="30"/>
  <c r="U42" i="30"/>
  <c r="T42" i="30"/>
  <c r="S42" i="30"/>
  <c r="O42" i="30"/>
  <c r="N42" i="30"/>
  <c r="M42" i="30"/>
  <c r="L42" i="30"/>
  <c r="AA60" i="30"/>
  <c r="AA290" i="30"/>
  <c r="AA87" i="30"/>
  <c r="AA289" i="30"/>
  <c r="AA64" i="30"/>
  <c r="AA291" i="30"/>
  <c r="AA75" i="30"/>
  <c r="AA292" i="30"/>
  <c r="AA72" i="30"/>
  <c r="AA293" i="30"/>
  <c r="AA84" i="30"/>
  <c r="AA51" i="30"/>
  <c r="AA49" i="30"/>
  <c r="AA81" i="30"/>
  <c r="AA65" i="30"/>
  <c r="AA54" i="30"/>
  <c r="AA50" i="30"/>
  <c r="AA47" i="30"/>
  <c r="AA230" i="30"/>
  <c r="AA45" i="30"/>
  <c r="AA233" i="30"/>
  <c r="AA42" i="30"/>
  <c r="AA78" i="30"/>
  <c r="AA55" i="30"/>
  <c r="AA228" i="30"/>
  <c r="AA59" i="30"/>
  <c r="AA92" i="30"/>
  <c r="AA79" i="30"/>
  <c r="AA86" i="30"/>
  <c r="AA232" i="30"/>
  <c r="AA93" i="30"/>
  <c r="AA231" i="30"/>
  <c r="AA46" i="30"/>
  <c r="AA73" i="30"/>
  <c r="AA85" i="30"/>
  <c r="AA76" i="30"/>
  <c r="AA227" i="30"/>
  <c r="AA48" i="30"/>
  <c r="AA294" i="30"/>
  <c r="AA288" i="30"/>
  <c r="AA82" i="30"/>
  <c r="AA91" i="30"/>
  <c r="AA53" i="30"/>
  <c r="AA52" i="30"/>
  <c r="AA88" i="30"/>
  <c r="AA62" i="30"/>
  <c r="AA70" i="30"/>
  <c r="AA94" i="30"/>
  <c r="AA57" i="30"/>
  <c r="AA90" i="30"/>
  <c r="AA74" i="30"/>
  <c r="AA89" i="30"/>
  <c r="AA44" i="30"/>
  <c r="AA77" i="30"/>
  <c r="AA43" i="30"/>
  <c r="AA80" i="30"/>
  <c r="AA229" i="30"/>
  <c r="AA58" i="30"/>
  <c r="AA61" i="30"/>
  <c r="AA63" i="30"/>
  <c r="AA83" i="30"/>
  <c r="AA68" i="30"/>
  <c r="AA56" i="30"/>
  <c r="AA66" i="30"/>
  <c r="AA67" i="30"/>
  <c r="AA71" i="30"/>
  <c r="U6" i="30" l="1"/>
  <c r="T6" i="30"/>
  <c r="S6" i="30"/>
  <c r="O6" i="30"/>
  <c r="N6" i="30"/>
  <c r="M6" i="30"/>
  <c r="L6" i="30"/>
  <c r="U5" i="30"/>
  <c r="T5" i="30"/>
  <c r="S5" i="30"/>
  <c r="O5" i="30"/>
  <c r="N5" i="30"/>
  <c r="M5" i="30"/>
  <c r="L5" i="30"/>
  <c r="U4" i="30"/>
  <c r="T4" i="30"/>
  <c r="S4" i="30"/>
  <c r="O4" i="30"/>
  <c r="N4" i="30"/>
  <c r="M4" i="30"/>
  <c r="L4" i="30"/>
  <c r="U3" i="30"/>
  <c r="T3" i="30"/>
  <c r="S3" i="30"/>
  <c r="O3" i="30"/>
  <c r="N3" i="30"/>
  <c r="M3" i="30"/>
  <c r="L3" i="30"/>
  <c r="U2" i="30"/>
  <c r="T2" i="30"/>
  <c r="S2" i="30"/>
  <c r="O2" i="30"/>
  <c r="N2" i="30"/>
  <c r="M2" i="30"/>
  <c r="L2" i="30"/>
  <c r="M21" i="28"/>
  <c r="M22" i="28"/>
  <c r="M23" i="28"/>
  <c r="M24" i="28"/>
  <c r="M25" i="28"/>
  <c r="M26" i="28"/>
  <c r="M27" i="28"/>
  <c r="M28" i="28"/>
  <c r="M29" i="28"/>
  <c r="M30" i="28"/>
  <c r="M31" i="28"/>
  <c r="M32" i="28"/>
  <c r="M33" i="28"/>
  <c r="M34" i="28"/>
  <c r="M35" i="28"/>
  <c r="M20" i="28"/>
  <c r="B21" i="13"/>
  <c r="B20" i="13"/>
  <c r="B26" i="13"/>
  <c r="AA3" i="30"/>
  <c r="AA5" i="30"/>
  <c r="AA6" i="30"/>
  <c r="AA4" i="30"/>
  <c r="AA2" i="30"/>
  <c r="U333" i="30" l="1"/>
  <c r="T333" i="30"/>
  <c r="S333" i="30"/>
  <c r="O333" i="30"/>
  <c r="N333" i="30"/>
  <c r="M333" i="30"/>
  <c r="L333" i="30"/>
  <c r="U332" i="30"/>
  <c r="T332" i="30"/>
  <c r="S332" i="30"/>
  <c r="O332" i="30"/>
  <c r="N332" i="30"/>
  <c r="M332" i="30"/>
  <c r="L332" i="30"/>
  <c r="AA120" i="30"/>
  <c r="Q331" i="30"/>
  <c r="AA176" i="30"/>
  <c r="AA317" i="30"/>
  <c r="AA168" i="30"/>
  <c r="AA165" i="30"/>
  <c r="AA28" i="30"/>
  <c r="AA215" i="30"/>
  <c r="AA163" i="30"/>
  <c r="AA333" i="30"/>
  <c r="AA109" i="30"/>
  <c r="AA345" i="30"/>
  <c r="AA141" i="30"/>
  <c r="AA217" i="30"/>
  <c r="AA338" i="30"/>
  <c r="AA152" i="30"/>
  <c r="AA283" i="30"/>
  <c r="AA138" i="30"/>
  <c r="AA268" i="30"/>
  <c r="AA193" i="30"/>
  <c r="AA334" i="30"/>
  <c r="AA254" i="30"/>
  <c r="AA270" i="30"/>
  <c r="AA135" i="30"/>
  <c r="AA23" i="30"/>
  <c r="AA33" i="30"/>
  <c r="AA192" i="30"/>
  <c r="AA147" i="30"/>
  <c r="AA305" i="30"/>
  <c r="AA201" i="30"/>
  <c r="AA332" i="30"/>
  <c r="AA241" i="30"/>
  <c r="AA113" i="30"/>
  <c r="AA137" i="30"/>
  <c r="AA284" i="30"/>
  <c r="Q324" i="30"/>
  <c r="AA251" i="30"/>
  <c r="AA336" i="30"/>
  <c r="AA245" i="30"/>
  <c r="AA183" i="30"/>
  <c r="AA175" i="30"/>
  <c r="AA96" i="30"/>
  <c r="AA188" i="30"/>
  <c r="AA258" i="30"/>
  <c r="AA211" i="30"/>
  <c r="AA261" i="30"/>
  <c r="AA154" i="30"/>
  <c r="AA322" i="30"/>
  <c r="AA19" i="30"/>
  <c r="AA319" i="30"/>
  <c r="AA303" i="30"/>
  <c r="AA324" i="30"/>
  <c r="AA153" i="30"/>
  <c r="AA279" i="30"/>
  <c r="AA186" i="30"/>
  <c r="AA243" i="30"/>
  <c r="AA108" i="30"/>
  <c r="AA209" i="30"/>
  <c r="AA7" i="30"/>
  <c r="AA207" i="30"/>
  <c r="AA330" i="30"/>
  <c r="AA11" i="30"/>
  <c r="AA167" i="30"/>
  <c r="AA221" i="30"/>
  <c r="AA119" i="30"/>
  <c r="AA115" i="30"/>
  <c r="AA262" i="30"/>
  <c r="AA273" i="30"/>
  <c r="AA323" i="30"/>
  <c r="AA346" i="30"/>
  <c r="AA271" i="30"/>
  <c r="AA331" i="30"/>
  <c r="AA256" i="30"/>
  <c r="AA315" i="30"/>
  <c r="AA173" i="30"/>
  <c r="AA247" i="30"/>
  <c r="AA344" i="30"/>
  <c r="AA185" i="30"/>
  <c r="AA259" i="30"/>
  <c r="AA299" i="30"/>
  <c r="AA312" i="30"/>
  <c r="Q335" i="30"/>
  <c r="AA274" i="30"/>
  <c r="AA190" i="30"/>
  <c r="AA146" i="30"/>
  <c r="AA320" i="30"/>
  <c r="AA310" i="30"/>
  <c r="AA181" i="30"/>
  <c r="AA301" i="30"/>
  <c r="AA252" i="30"/>
  <c r="AA287" i="30"/>
  <c r="AA139" i="30"/>
  <c r="AA125" i="30"/>
  <c r="AA131" i="30"/>
  <c r="Q336" i="30"/>
  <c r="AA177" i="30"/>
  <c r="AA18" i="30"/>
  <c r="AA348" i="30"/>
  <c r="AA140" i="30"/>
  <c r="AA321" i="30"/>
  <c r="AA184" i="30"/>
  <c r="AA208" i="30"/>
  <c r="AA276" i="30"/>
  <c r="Q326" i="30"/>
  <c r="Q332" i="30"/>
  <c r="AA128" i="30"/>
  <c r="AA24" i="30"/>
  <c r="AA223" i="30"/>
  <c r="AA225" i="30"/>
  <c r="AA244" i="30"/>
  <c r="AA104" i="30"/>
  <c r="AA174" i="30"/>
  <c r="AA234" i="30"/>
  <c r="AA250" i="30"/>
  <c r="AA204" i="30"/>
  <c r="AA106" i="30"/>
  <c r="AA12" i="30"/>
  <c r="AA30" i="30"/>
  <c r="AA123" i="30"/>
  <c r="AA339" i="30"/>
  <c r="AA103" i="30"/>
  <c r="AA105" i="30"/>
  <c r="AA15" i="30"/>
  <c r="AA178" i="30"/>
  <c r="AA203" i="30"/>
  <c r="AA164" i="30"/>
  <c r="AA170" i="30"/>
  <c r="AA306" i="30"/>
  <c r="AA32" i="30"/>
  <c r="AA308" i="30"/>
  <c r="AA196" i="30"/>
  <c r="AA311" i="30"/>
  <c r="AA257" i="30"/>
  <c r="AA179" i="30"/>
  <c r="AA318" i="30"/>
  <c r="AA16" i="30"/>
  <c r="AA282" i="30"/>
  <c r="AA144" i="30"/>
  <c r="AA340" i="30"/>
  <c r="AA272" i="30"/>
  <c r="AA8" i="30"/>
  <c r="AA100" i="30"/>
  <c r="AA150" i="30"/>
  <c r="AA9" i="30"/>
  <c r="AA337" i="30"/>
  <c r="AA20" i="30"/>
  <c r="AA158" i="30"/>
  <c r="AA304" i="30"/>
  <c r="AA253" i="30"/>
  <c r="AA162" i="30"/>
  <c r="AA212" i="30"/>
  <c r="AA242" i="30"/>
  <c r="AA307" i="30"/>
  <c r="AA17" i="30"/>
  <c r="AA114" i="30"/>
  <c r="Q333" i="30"/>
  <c r="AA200" i="30"/>
  <c r="Q330" i="30"/>
  <c r="AA342" i="30"/>
  <c r="AA198" i="30"/>
  <c r="AA116" i="30"/>
  <c r="AA117" i="30"/>
  <c r="AA112" i="30"/>
  <c r="AA36" i="30"/>
  <c r="AA260" i="30"/>
  <c r="AA255" i="30"/>
  <c r="AA222" i="30"/>
  <c r="AA298" i="30"/>
  <c r="AA10" i="30"/>
  <c r="AA224" i="30"/>
  <c r="AA237" i="30"/>
  <c r="AA126" i="30"/>
  <c r="AA118" i="30"/>
  <c r="AA182" i="30"/>
  <c r="AA213" i="30"/>
  <c r="AA335" i="30"/>
  <c r="AA101" i="30"/>
  <c r="AA329" i="30"/>
  <c r="AA99" i="30"/>
  <c r="AA27" i="30"/>
  <c r="AA246" i="30"/>
  <c r="Q325" i="30"/>
  <c r="AA295" i="30"/>
  <c r="AA218" i="30"/>
  <c r="AA214" i="30"/>
  <c r="AA95" i="30"/>
  <c r="AA199" i="30"/>
  <c r="AA187" i="30"/>
  <c r="AA191" i="30"/>
  <c r="AA226" i="30"/>
  <c r="Q328" i="30"/>
  <c r="AA156" i="30"/>
  <c r="AA22" i="30"/>
  <c r="AA202" i="30"/>
  <c r="AA316" i="30"/>
  <c r="AA266" i="30"/>
  <c r="AA267" i="30"/>
  <c r="AA157" i="30"/>
  <c r="AA127" i="30"/>
  <c r="AA166" i="30"/>
  <c r="AA236" i="30"/>
  <c r="AA34" i="30"/>
  <c r="AA102" i="30"/>
  <c r="AA265" i="30"/>
  <c r="AA296" i="30"/>
  <c r="AA160" i="30"/>
  <c r="Q334" i="30"/>
  <c r="AA129" i="30"/>
  <c r="AA111" i="30"/>
  <c r="AA240" i="30"/>
  <c r="AA205" i="30"/>
  <c r="AA297" i="30"/>
  <c r="AA281" i="30"/>
  <c r="AA172" i="30"/>
  <c r="AA286" i="30"/>
  <c r="AA26" i="30"/>
  <c r="AA280" i="30"/>
  <c r="AA300" i="30"/>
  <c r="Q327" i="30"/>
  <c r="AA149" i="30"/>
  <c r="AA341" i="30"/>
  <c r="AA124" i="30"/>
  <c r="AA328" i="30"/>
  <c r="AA326" i="30"/>
  <c r="AA132" i="30"/>
  <c r="AA325" i="30"/>
  <c r="AA14" i="30"/>
  <c r="AA197" i="30"/>
  <c r="AA151" i="30"/>
  <c r="AA216" i="30"/>
  <c r="AA248" i="30"/>
  <c r="AA142" i="30"/>
  <c r="AA264" i="30"/>
  <c r="AA39" i="30"/>
  <c r="AA195" i="30"/>
  <c r="AA133" i="30"/>
  <c r="AA38" i="30"/>
  <c r="AA161" i="30"/>
  <c r="AA145" i="30"/>
  <c r="AA327" i="30"/>
  <c r="AA159" i="30"/>
  <c r="AA263" i="30"/>
  <c r="AA314" i="30"/>
  <c r="AA238" i="30"/>
  <c r="AA277" i="30"/>
  <c r="AA40" i="30"/>
  <c r="AA278" i="30"/>
  <c r="AA302" i="30"/>
  <c r="AA130" i="30"/>
  <c r="AA29" i="30"/>
  <c r="AA136" i="30"/>
  <c r="AA309" i="30"/>
  <c r="AA180" i="30"/>
  <c r="AA41" i="30"/>
  <c r="AA97" i="30"/>
  <c r="AA37" i="30"/>
  <c r="AA110" i="30"/>
  <c r="AA275" i="30"/>
  <c r="AA189" i="30"/>
  <c r="AA347" i="30"/>
  <c r="AA25" i="30"/>
  <c r="AA269" i="30"/>
  <c r="AA169" i="30"/>
  <c r="AA121" i="30"/>
  <c r="AA148" i="30"/>
  <c r="AA98" i="30"/>
  <c r="AA155" i="30"/>
  <c r="AA122" i="30"/>
  <c r="AA249" i="30"/>
  <c r="AA31" i="30"/>
  <c r="Q329" i="30"/>
  <c r="AA107" i="30"/>
  <c r="AA21" i="30"/>
  <c r="AA134" i="30"/>
  <c r="AA343" i="30"/>
  <c r="AA206" i="30"/>
  <c r="AA143" i="30"/>
  <c r="AA219" i="30"/>
  <c r="AA35" i="30"/>
  <c r="AA239" i="30"/>
  <c r="AA171" i="30"/>
  <c r="AA13" i="30"/>
  <c r="AA194" i="30"/>
  <c r="AA220" i="30"/>
  <c r="AA210" i="30"/>
  <c r="AA285" i="30"/>
  <c r="AA235" i="30"/>
  <c r="AA313" i="30"/>
  <c r="O7" i="30" l="1"/>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37" i="30"/>
  <c r="O38" i="30"/>
  <c r="O39" i="30"/>
  <c r="O40" i="30"/>
  <c r="O41" i="30"/>
  <c r="O95" i="30"/>
  <c r="O96" i="30"/>
  <c r="O97" i="30"/>
  <c r="O98" i="30"/>
  <c r="O99" i="30"/>
  <c r="O100" i="30"/>
  <c r="O101" i="30"/>
  <c r="O102" i="30"/>
  <c r="O103" i="30"/>
  <c r="O104" i="30"/>
  <c r="O105" i="30"/>
  <c r="O106" i="30"/>
  <c r="O107" i="30"/>
  <c r="O108" i="30"/>
  <c r="O109" i="30"/>
  <c r="O110" i="30"/>
  <c r="O111" i="30"/>
  <c r="O112" i="30"/>
  <c r="O113" i="30"/>
  <c r="O114" i="30"/>
  <c r="O115" i="30"/>
  <c r="O116" i="30"/>
  <c r="O117" i="30"/>
  <c r="O118" i="30"/>
  <c r="O119" i="30"/>
  <c r="O120" i="30"/>
  <c r="O121" i="30"/>
  <c r="O122" i="30"/>
  <c r="O123" i="30"/>
  <c r="O124" i="30"/>
  <c r="O125" i="30"/>
  <c r="O126" i="30"/>
  <c r="O127" i="30"/>
  <c r="O128" i="30"/>
  <c r="O129" i="30"/>
  <c r="O130" i="30"/>
  <c r="O131" i="30"/>
  <c r="O132" i="30"/>
  <c r="O133" i="30"/>
  <c r="O134" i="30"/>
  <c r="O135" i="30"/>
  <c r="O136" i="30"/>
  <c r="O137" i="30"/>
  <c r="O138" i="30"/>
  <c r="O139" i="30"/>
  <c r="O140" i="30"/>
  <c r="O141" i="30"/>
  <c r="O142" i="30"/>
  <c r="O143" i="30"/>
  <c r="O144" i="30"/>
  <c r="O145" i="30"/>
  <c r="O146" i="30"/>
  <c r="O147" i="30"/>
  <c r="O148" i="30"/>
  <c r="O149" i="30"/>
  <c r="O150" i="30"/>
  <c r="O151" i="30"/>
  <c r="O152" i="30"/>
  <c r="O153" i="30"/>
  <c r="O154" i="30"/>
  <c r="O155" i="30"/>
  <c r="O156" i="30"/>
  <c r="O157" i="30"/>
  <c r="O158" i="30"/>
  <c r="O159" i="30"/>
  <c r="O160" i="30"/>
  <c r="O161" i="30"/>
  <c r="O162" i="30"/>
  <c r="O163" i="30"/>
  <c r="O164" i="30"/>
  <c r="O165" i="30"/>
  <c r="O166" i="30"/>
  <c r="O167" i="30"/>
  <c r="O168" i="30"/>
  <c r="O169" i="30"/>
  <c r="O170" i="30"/>
  <c r="O171" i="30"/>
  <c r="O172" i="30"/>
  <c r="O173" i="30"/>
  <c r="O174" i="30"/>
  <c r="O175" i="30"/>
  <c r="O176" i="30"/>
  <c r="O177" i="30"/>
  <c r="O178"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0" i="30"/>
  <c r="O221" i="30"/>
  <c r="O222" i="30"/>
  <c r="O223" i="30"/>
  <c r="O224" i="30"/>
  <c r="O225" i="30"/>
  <c r="O226"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1" i="30"/>
  <c r="O282" i="30"/>
  <c r="O283" i="30"/>
  <c r="O284" i="30"/>
  <c r="O285" i="30"/>
  <c r="O286" i="30"/>
  <c r="O287"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5" i="30"/>
  <c r="O326" i="30"/>
  <c r="O327" i="30"/>
  <c r="O328" i="30"/>
  <c r="O329" i="30"/>
  <c r="O330" i="30"/>
  <c r="O331" i="30"/>
  <c r="O334" i="30"/>
  <c r="O335" i="30"/>
  <c r="O336" i="30"/>
  <c r="O337" i="30"/>
  <c r="O338" i="30"/>
  <c r="O339" i="30"/>
  <c r="O340" i="30"/>
  <c r="O341" i="30"/>
  <c r="O342" i="30"/>
  <c r="O343" i="30"/>
  <c r="O344" i="30"/>
  <c r="O345" i="30"/>
  <c r="O346" i="30"/>
  <c r="O347" i="30"/>
  <c r="O348" i="30"/>
  <c r="U280" i="30"/>
  <c r="T280" i="30"/>
  <c r="S280" i="30"/>
  <c r="N280" i="30"/>
  <c r="M280" i="30"/>
  <c r="L280" i="30"/>
  <c r="U277" i="30"/>
  <c r="T277" i="30"/>
  <c r="S277" i="30"/>
  <c r="N277" i="30"/>
  <c r="M277" i="30"/>
  <c r="L277" i="30"/>
  <c r="S281" i="30"/>
  <c r="T281" i="30"/>
  <c r="U281" i="30"/>
  <c r="S282" i="30"/>
  <c r="T282" i="30"/>
  <c r="U282" i="30"/>
  <c r="S283" i="30"/>
  <c r="T283" i="30"/>
  <c r="U283" i="30"/>
  <c r="S284" i="30"/>
  <c r="T284" i="30"/>
  <c r="U284" i="30"/>
  <c r="S285" i="30"/>
  <c r="T285" i="30"/>
  <c r="U285" i="30"/>
  <c r="S286" i="30"/>
  <c r="T286" i="30"/>
  <c r="U286" i="30"/>
  <c r="S287" i="30"/>
  <c r="T287" i="30"/>
  <c r="U287" i="30"/>
  <c r="S295" i="30"/>
  <c r="T295" i="30"/>
  <c r="U295" i="30"/>
  <c r="S296" i="30"/>
  <c r="T296" i="30"/>
  <c r="U296" i="30"/>
  <c r="S297" i="30"/>
  <c r="T297" i="30"/>
  <c r="U297" i="30"/>
  <c r="S298" i="30"/>
  <c r="T298" i="30"/>
  <c r="U298" i="30"/>
  <c r="S299" i="30"/>
  <c r="T299" i="30"/>
  <c r="U299" i="30"/>
  <c r="S300" i="30"/>
  <c r="T300" i="30"/>
  <c r="U300" i="30"/>
  <c r="S301" i="30"/>
  <c r="T301" i="30"/>
  <c r="U301" i="30"/>
  <c r="S302" i="30"/>
  <c r="T302" i="30"/>
  <c r="U302" i="30"/>
  <c r="S303" i="30"/>
  <c r="T303" i="30"/>
  <c r="U303" i="30"/>
  <c r="S304" i="30"/>
  <c r="T304" i="30"/>
  <c r="U304" i="30"/>
  <c r="S305" i="30"/>
  <c r="T305" i="30"/>
  <c r="U305" i="30"/>
  <c r="S306" i="30"/>
  <c r="T306" i="30"/>
  <c r="U306" i="30"/>
  <c r="S307" i="30"/>
  <c r="T307" i="30"/>
  <c r="U307" i="30"/>
  <c r="S308" i="30"/>
  <c r="T308" i="30"/>
  <c r="U308" i="30"/>
  <c r="S309" i="30"/>
  <c r="T309" i="30"/>
  <c r="U309" i="30"/>
  <c r="S310" i="30"/>
  <c r="T310" i="30"/>
  <c r="U310" i="30"/>
  <c r="S311" i="30"/>
  <c r="T311" i="30"/>
  <c r="U311" i="30"/>
  <c r="S312" i="30"/>
  <c r="T312" i="30"/>
  <c r="U312" i="30"/>
  <c r="S313" i="30"/>
  <c r="T313" i="30"/>
  <c r="U313" i="30"/>
  <c r="S314" i="30"/>
  <c r="T314" i="30"/>
  <c r="U314" i="30"/>
  <c r="S315" i="30"/>
  <c r="T315" i="30"/>
  <c r="U315" i="30"/>
  <c r="S316" i="30"/>
  <c r="T316" i="30"/>
  <c r="U316" i="30"/>
  <c r="S317" i="30"/>
  <c r="T317" i="30"/>
  <c r="U317" i="30"/>
  <c r="S318" i="30"/>
  <c r="T318" i="30"/>
  <c r="U318" i="30"/>
  <c r="S319" i="30"/>
  <c r="T319" i="30"/>
  <c r="U319" i="30"/>
  <c r="S320" i="30"/>
  <c r="T320" i="30"/>
  <c r="U320" i="30"/>
  <c r="S321" i="30"/>
  <c r="T321" i="30"/>
  <c r="U321" i="30"/>
  <c r="S322" i="30"/>
  <c r="T322" i="30"/>
  <c r="U322" i="30"/>
  <c r="S323" i="30"/>
  <c r="T323" i="30"/>
  <c r="U323" i="30"/>
  <c r="S324" i="30"/>
  <c r="T324" i="30"/>
  <c r="U324" i="30"/>
  <c r="S325" i="30"/>
  <c r="T325" i="30"/>
  <c r="U325" i="30"/>
  <c r="S326" i="30"/>
  <c r="T326" i="30"/>
  <c r="U326" i="30"/>
  <c r="S327" i="30"/>
  <c r="T327" i="30"/>
  <c r="U327" i="30"/>
  <c r="S328" i="30"/>
  <c r="T328" i="30"/>
  <c r="U328" i="30"/>
  <c r="S329" i="30"/>
  <c r="T329" i="30"/>
  <c r="U329" i="30"/>
  <c r="S330" i="30"/>
  <c r="T330" i="30"/>
  <c r="U330" i="30"/>
  <c r="S331" i="30"/>
  <c r="T331" i="30"/>
  <c r="U331" i="30"/>
  <c r="S334" i="30"/>
  <c r="T334" i="30"/>
  <c r="U334" i="30"/>
  <c r="S335" i="30"/>
  <c r="T335" i="30"/>
  <c r="U335" i="30"/>
  <c r="S336" i="30"/>
  <c r="T336" i="30"/>
  <c r="U336" i="30"/>
  <c r="S337" i="30"/>
  <c r="T337" i="30"/>
  <c r="U337" i="30"/>
  <c r="S338" i="30"/>
  <c r="T338" i="30"/>
  <c r="U338" i="30"/>
  <c r="S339" i="30"/>
  <c r="T339" i="30"/>
  <c r="U339" i="30"/>
  <c r="S340" i="30"/>
  <c r="T340" i="30"/>
  <c r="U340" i="30"/>
  <c r="S341" i="30"/>
  <c r="T341" i="30"/>
  <c r="U341" i="30"/>
  <c r="S342" i="30"/>
  <c r="T342" i="30"/>
  <c r="U342" i="30"/>
  <c r="S343" i="30"/>
  <c r="T343" i="30"/>
  <c r="U343" i="30"/>
  <c r="S344" i="30"/>
  <c r="T344" i="30"/>
  <c r="U344" i="30"/>
  <c r="S345" i="30"/>
  <c r="T345" i="30"/>
  <c r="U345" i="30"/>
  <c r="S346" i="30"/>
  <c r="T346" i="30"/>
  <c r="U346" i="30"/>
  <c r="S347" i="30"/>
  <c r="T347" i="30"/>
  <c r="U347" i="30"/>
  <c r="S348" i="30"/>
  <c r="T348" i="30"/>
  <c r="U348" i="30"/>
  <c r="N287" i="30"/>
  <c r="M287" i="30"/>
  <c r="L287" i="30"/>
  <c r="U28" i="30"/>
  <c r="T28" i="30"/>
  <c r="S28" i="30"/>
  <c r="N28" i="30"/>
  <c r="M28" i="30"/>
  <c r="L28" i="30"/>
  <c r="U27" i="30"/>
  <c r="T27" i="30"/>
  <c r="S27" i="30"/>
  <c r="N27" i="30"/>
  <c r="M27" i="30"/>
  <c r="L27" i="30"/>
  <c r="U26" i="30"/>
  <c r="T26" i="30"/>
  <c r="S26" i="30"/>
  <c r="N26" i="30"/>
  <c r="M26" i="30"/>
  <c r="L26" i="30"/>
  <c r="U25" i="30"/>
  <c r="T25" i="30"/>
  <c r="S25" i="30"/>
  <c r="N25" i="30"/>
  <c r="M25" i="30"/>
  <c r="L25" i="30"/>
  <c r="U24" i="30"/>
  <c r="T24" i="30"/>
  <c r="S24" i="30"/>
  <c r="N24" i="30"/>
  <c r="M24" i="30"/>
  <c r="L24" i="30"/>
  <c r="U30" i="30"/>
  <c r="T30" i="30"/>
  <c r="S30" i="30"/>
  <c r="N30" i="30"/>
  <c r="M30" i="30"/>
  <c r="L30" i="30"/>
  <c r="U29" i="30"/>
  <c r="T29" i="30"/>
  <c r="S29" i="30"/>
  <c r="N29" i="30"/>
  <c r="M29" i="30"/>
  <c r="L29" i="30"/>
  <c r="U38" i="30"/>
  <c r="T38" i="30"/>
  <c r="S38" i="30"/>
  <c r="N38" i="30"/>
  <c r="M38" i="30"/>
  <c r="L38" i="30"/>
  <c r="U32" i="30"/>
  <c r="T32" i="30"/>
  <c r="S32" i="30"/>
  <c r="N32" i="30"/>
  <c r="M32" i="30"/>
  <c r="L32" i="30"/>
  <c r="U31" i="30"/>
  <c r="T31" i="30"/>
  <c r="S31" i="30"/>
  <c r="N31" i="30"/>
  <c r="M31" i="30"/>
  <c r="L31" i="30"/>
  <c r="U41" i="30"/>
  <c r="T41" i="30"/>
  <c r="S41" i="30"/>
  <c r="N41" i="30"/>
  <c r="M41" i="30"/>
  <c r="L41" i="30"/>
  <c r="U40" i="30"/>
  <c r="T40" i="30"/>
  <c r="S40" i="30"/>
  <c r="N40" i="30"/>
  <c r="M40" i="30"/>
  <c r="L40" i="30"/>
  <c r="U39" i="30"/>
  <c r="T39" i="30"/>
  <c r="S39" i="30"/>
  <c r="N39" i="30"/>
  <c r="M39" i="30"/>
  <c r="L39" i="30"/>
  <c r="U37" i="30"/>
  <c r="T37" i="30"/>
  <c r="S37" i="30"/>
  <c r="N37" i="30"/>
  <c r="M37" i="30"/>
  <c r="L37" i="30"/>
  <c r="U36" i="30"/>
  <c r="T36" i="30"/>
  <c r="S36" i="30"/>
  <c r="N36" i="30"/>
  <c r="M36" i="30"/>
  <c r="L36" i="30"/>
  <c r="U35" i="30"/>
  <c r="T35" i="30"/>
  <c r="S35" i="30"/>
  <c r="N35" i="30"/>
  <c r="M35" i="30"/>
  <c r="L35" i="30"/>
  <c r="U34" i="30"/>
  <c r="T34" i="30"/>
  <c r="S34" i="30"/>
  <c r="N34" i="30"/>
  <c r="M34" i="30"/>
  <c r="L34" i="30"/>
  <c r="U33" i="30"/>
  <c r="T33" i="30"/>
  <c r="S33" i="30"/>
  <c r="N33" i="30"/>
  <c r="M33" i="30"/>
  <c r="L33" i="30"/>
  <c r="U23" i="30"/>
  <c r="T23" i="30"/>
  <c r="S23" i="30"/>
  <c r="N23" i="30"/>
  <c r="M23" i="30"/>
  <c r="L23" i="30"/>
  <c r="U22" i="30"/>
  <c r="T22" i="30"/>
  <c r="S22" i="30"/>
  <c r="N22" i="30"/>
  <c r="M22" i="30"/>
  <c r="L22" i="30"/>
  <c r="U21" i="30" l="1"/>
  <c r="T21" i="30"/>
  <c r="S21" i="30"/>
  <c r="N21" i="30"/>
  <c r="M21" i="30"/>
  <c r="L21" i="30"/>
  <c r="U20" i="30"/>
  <c r="T20" i="30"/>
  <c r="S20" i="30"/>
  <c r="N20" i="30"/>
  <c r="M20" i="30"/>
  <c r="L20" i="30"/>
  <c r="U19" i="30"/>
  <c r="T19" i="30"/>
  <c r="S19" i="30"/>
  <c r="N19" i="30"/>
  <c r="M19" i="30"/>
  <c r="L19" i="30"/>
  <c r="S7" i="30"/>
  <c r="T7" i="30"/>
  <c r="U7" i="30"/>
  <c r="S8" i="30"/>
  <c r="T8" i="30"/>
  <c r="U8" i="30"/>
  <c r="S9" i="30"/>
  <c r="T9" i="30"/>
  <c r="U9" i="30"/>
  <c r="S10" i="30"/>
  <c r="T10" i="30"/>
  <c r="U10" i="30"/>
  <c r="S11" i="30"/>
  <c r="T11" i="30"/>
  <c r="U11" i="30"/>
  <c r="S12" i="30"/>
  <c r="T12" i="30"/>
  <c r="U12" i="30"/>
  <c r="S13" i="30"/>
  <c r="T13" i="30"/>
  <c r="U13" i="30"/>
  <c r="S14" i="30"/>
  <c r="T14" i="30"/>
  <c r="U14" i="30"/>
  <c r="S15" i="30"/>
  <c r="T15" i="30"/>
  <c r="U15" i="30"/>
  <c r="S16" i="30"/>
  <c r="T16" i="30"/>
  <c r="U16" i="30"/>
  <c r="S17" i="30"/>
  <c r="T17" i="30"/>
  <c r="U17" i="30"/>
  <c r="S18" i="30"/>
  <c r="T18" i="30"/>
  <c r="U18" i="30"/>
  <c r="S95" i="30"/>
  <c r="T95" i="30"/>
  <c r="U95" i="30"/>
  <c r="S96" i="30"/>
  <c r="T96" i="30"/>
  <c r="U96" i="30"/>
  <c r="S97" i="30"/>
  <c r="T97" i="30"/>
  <c r="U97" i="30"/>
  <c r="S98" i="30"/>
  <c r="T98" i="30"/>
  <c r="U98" i="30"/>
  <c r="S99" i="30"/>
  <c r="T99" i="30"/>
  <c r="U99" i="30"/>
  <c r="S100" i="30"/>
  <c r="T100" i="30"/>
  <c r="U100" i="30"/>
  <c r="S101" i="30"/>
  <c r="T101" i="30"/>
  <c r="U101" i="30"/>
  <c r="S102" i="30"/>
  <c r="T102" i="30"/>
  <c r="U102" i="30"/>
  <c r="S103" i="30"/>
  <c r="T103" i="30"/>
  <c r="U103" i="30"/>
  <c r="S104" i="30"/>
  <c r="T104" i="30"/>
  <c r="U104" i="30"/>
  <c r="S105" i="30"/>
  <c r="T105" i="30"/>
  <c r="U105" i="30"/>
  <c r="S106" i="30"/>
  <c r="T106" i="30"/>
  <c r="U106" i="30"/>
  <c r="S107" i="30"/>
  <c r="T107" i="30"/>
  <c r="U107" i="30"/>
  <c r="S108" i="30"/>
  <c r="T108" i="30"/>
  <c r="U108" i="30"/>
  <c r="S109" i="30"/>
  <c r="T109" i="30"/>
  <c r="U109" i="30"/>
  <c r="S110" i="30"/>
  <c r="T110" i="30"/>
  <c r="U110" i="30"/>
  <c r="S111" i="30"/>
  <c r="T111" i="30"/>
  <c r="U111" i="30"/>
  <c r="S112" i="30"/>
  <c r="T112" i="30"/>
  <c r="U112" i="30"/>
  <c r="S113" i="30"/>
  <c r="T113" i="30"/>
  <c r="U113" i="30"/>
  <c r="S114" i="30"/>
  <c r="T114" i="30"/>
  <c r="U114" i="30"/>
  <c r="S115" i="30"/>
  <c r="T115" i="30"/>
  <c r="U115" i="30"/>
  <c r="S116" i="30"/>
  <c r="T116" i="30"/>
  <c r="U116" i="30"/>
  <c r="S117" i="30"/>
  <c r="T117" i="30"/>
  <c r="U117" i="30"/>
  <c r="S118" i="30"/>
  <c r="T118" i="30"/>
  <c r="U118" i="30"/>
  <c r="S119" i="30"/>
  <c r="T119" i="30"/>
  <c r="U119" i="30"/>
  <c r="S120" i="30"/>
  <c r="T120" i="30"/>
  <c r="U120" i="30"/>
  <c r="S121" i="30"/>
  <c r="T121" i="30"/>
  <c r="U121" i="30"/>
  <c r="S122" i="30"/>
  <c r="T122" i="30"/>
  <c r="U122" i="30"/>
  <c r="S123" i="30"/>
  <c r="T123" i="30"/>
  <c r="U123" i="30"/>
  <c r="S124" i="30"/>
  <c r="T124" i="30"/>
  <c r="U124" i="30"/>
  <c r="S125" i="30"/>
  <c r="T125" i="30"/>
  <c r="U125" i="30"/>
  <c r="S126" i="30"/>
  <c r="T126" i="30"/>
  <c r="U126" i="30"/>
  <c r="S127" i="30"/>
  <c r="T127" i="30"/>
  <c r="U127" i="30"/>
  <c r="S128" i="30"/>
  <c r="T128" i="30"/>
  <c r="U128" i="30"/>
  <c r="S129" i="30"/>
  <c r="T129" i="30"/>
  <c r="U129" i="30"/>
  <c r="S130" i="30"/>
  <c r="T130" i="30"/>
  <c r="U130" i="30"/>
  <c r="S131" i="30"/>
  <c r="T131" i="30"/>
  <c r="U131" i="30"/>
  <c r="S132" i="30"/>
  <c r="T132" i="30"/>
  <c r="U132" i="30"/>
  <c r="S133" i="30"/>
  <c r="T133" i="30"/>
  <c r="U133" i="30"/>
  <c r="S134" i="30"/>
  <c r="T134" i="30"/>
  <c r="U134" i="30"/>
  <c r="S135" i="30"/>
  <c r="T135" i="30"/>
  <c r="U135" i="30"/>
  <c r="S136" i="30"/>
  <c r="T136" i="30"/>
  <c r="U136" i="30"/>
  <c r="S137" i="30"/>
  <c r="T137" i="30"/>
  <c r="U137" i="30"/>
  <c r="S138" i="30"/>
  <c r="T138" i="30"/>
  <c r="U138" i="30"/>
  <c r="S139" i="30"/>
  <c r="T139" i="30"/>
  <c r="U139" i="30"/>
  <c r="S140" i="30"/>
  <c r="T140" i="30"/>
  <c r="U140" i="30"/>
  <c r="S141" i="30"/>
  <c r="T141" i="30"/>
  <c r="U141" i="30"/>
  <c r="S142" i="30"/>
  <c r="T142" i="30"/>
  <c r="U142" i="30"/>
  <c r="S143" i="30"/>
  <c r="T143" i="30"/>
  <c r="U143" i="30"/>
  <c r="S144" i="30"/>
  <c r="T144" i="30"/>
  <c r="U144" i="30"/>
  <c r="S145" i="30"/>
  <c r="T145" i="30"/>
  <c r="U145" i="30"/>
  <c r="S146" i="30"/>
  <c r="T146" i="30"/>
  <c r="U146" i="30"/>
  <c r="S147" i="30"/>
  <c r="T147" i="30"/>
  <c r="U147" i="30"/>
  <c r="S148" i="30"/>
  <c r="T148" i="30"/>
  <c r="U148" i="30"/>
  <c r="S149" i="30"/>
  <c r="T149" i="30"/>
  <c r="U149" i="30"/>
  <c r="S150" i="30"/>
  <c r="T150" i="30"/>
  <c r="U150" i="30"/>
  <c r="S151" i="30"/>
  <c r="T151" i="30"/>
  <c r="U151" i="30"/>
  <c r="S152" i="30"/>
  <c r="T152" i="30"/>
  <c r="U152" i="30"/>
  <c r="S153" i="30"/>
  <c r="T153" i="30"/>
  <c r="U153" i="30"/>
  <c r="S154" i="30"/>
  <c r="T154" i="30"/>
  <c r="U154" i="30"/>
  <c r="S155" i="30"/>
  <c r="T155" i="30"/>
  <c r="U155" i="30"/>
  <c r="S156" i="30"/>
  <c r="T156" i="30"/>
  <c r="U156" i="30"/>
  <c r="S157" i="30"/>
  <c r="T157" i="30"/>
  <c r="U157" i="30"/>
  <c r="S158" i="30"/>
  <c r="T158" i="30"/>
  <c r="U158" i="30"/>
  <c r="S159" i="30"/>
  <c r="T159" i="30"/>
  <c r="U159" i="30"/>
  <c r="S160" i="30"/>
  <c r="T160" i="30"/>
  <c r="U160" i="30"/>
  <c r="S161" i="30"/>
  <c r="T161" i="30"/>
  <c r="U161" i="30"/>
  <c r="S162" i="30"/>
  <c r="T162" i="30"/>
  <c r="U162" i="30"/>
  <c r="S163" i="30"/>
  <c r="T163" i="30"/>
  <c r="U163" i="30"/>
  <c r="S164" i="30"/>
  <c r="T164" i="30"/>
  <c r="U164" i="30"/>
  <c r="S165" i="30"/>
  <c r="T165" i="30"/>
  <c r="U165" i="30"/>
  <c r="S166" i="30"/>
  <c r="T166" i="30"/>
  <c r="U166" i="30"/>
  <c r="S167" i="30"/>
  <c r="T167" i="30"/>
  <c r="U167" i="30"/>
  <c r="S168" i="30"/>
  <c r="T168" i="30"/>
  <c r="U168" i="30"/>
  <c r="S169" i="30"/>
  <c r="T169" i="30"/>
  <c r="U169" i="30"/>
  <c r="S170" i="30"/>
  <c r="T170" i="30"/>
  <c r="U170" i="30"/>
  <c r="S171" i="30"/>
  <c r="T171" i="30"/>
  <c r="U171" i="30"/>
  <c r="S172" i="30"/>
  <c r="T172" i="30"/>
  <c r="U172" i="30"/>
  <c r="S173" i="30"/>
  <c r="T173" i="30"/>
  <c r="U173" i="30"/>
  <c r="S174" i="30"/>
  <c r="T174" i="30"/>
  <c r="U174" i="30"/>
  <c r="S175" i="30"/>
  <c r="T175" i="30"/>
  <c r="U175" i="30"/>
  <c r="S176" i="30"/>
  <c r="T176" i="30"/>
  <c r="U176" i="30"/>
  <c r="S177" i="30"/>
  <c r="T177" i="30"/>
  <c r="U177" i="30"/>
  <c r="S178" i="30"/>
  <c r="T178" i="30"/>
  <c r="U178" i="30"/>
  <c r="S179" i="30"/>
  <c r="T179" i="30"/>
  <c r="U179" i="30"/>
  <c r="S180" i="30"/>
  <c r="T180" i="30"/>
  <c r="U180" i="30"/>
  <c r="S181" i="30"/>
  <c r="T181" i="30"/>
  <c r="U181" i="30"/>
  <c r="S182" i="30"/>
  <c r="T182" i="30"/>
  <c r="U182" i="30"/>
  <c r="S183" i="30"/>
  <c r="T183" i="30"/>
  <c r="U183" i="30"/>
  <c r="S184" i="30"/>
  <c r="T184" i="30"/>
  <c r="U184" i="30"/>
  <c r="S185" i="30"/>
  <c r="T185" i="30"/>
  <c r="U185" i="30"/>
  <c r="S186" i="30"/>
  <c r="T186" i="30"/>
  <c r="U186" i="30"/>
  <c r="S187" i="30"/>
  <c r="T187" i="30"/>
  <c r="U187" i="30"/>
  <c r="S188" i="30"/>
  <c r="T188" i="30"/>
  <c r="U188" i="30"/>
  <c r="S189" i="30"/>
  <c r="T189" i="30"/>
  <c r="U189" i="30"/>
  <c r="S190" i="30"/>
  <c r="T190" i="30"/>
  <c r="U190" i="30"/>
  <c r="S191" i="30"/>
  <c r="T191" i="30"/>
  <c r="U191" i="30"/>
  <c r="S192" i="30"/>
  <c r="T192" i="30"/>
  <c r="U192" i="30"/>
  <c r="S193" i="30"/>
  <c r="T193" i="30"/>
  <c r="U193" i="30"/>
  <c r="S194" i="30"/>
  <c r="T194" i="30"/>
  <c r="U194" i="30"/>
  <c r="S195" i="30"/>
  <c r="T195" i="30"/>
  <c r="U195" i="30"/>
  <c r="S196" i="30"/>
  <c r="T196" i="30"/>
  <c r="U196" i="30"/>
  <c r="S197" i="30"/>
  <c r="T197" i="30"/>
  <c r="U197" i="30"/>
  <c r="S198" i="30"/>
  <c r="T198" i="30"/>
  <c r="U198" i="30"/>
  <c r="S199" i="30"/>
  <c r="T199" i="30"/>
  <c r="U199" i="30"/>
  <c r="S200" i="30"/>
  <c r="T200" i="30"/>
  <c r="U200" i="30"/>
  <c r="S201" i="30"/>
  <c r="T201" i="30"/>
  <c r="U201" i="30"/>
  <c r="S202" i="30"/>
  <c r="T202" i="30"/>
  <c r="U202" i="30"/>
  <c r="S203" i="30"/>
  <c r="T203" i="30"/>
  <c r="U203" i="30"/>
  <c r="S204" i="30"/>
  <c r="T204" i="30"/>
  <c r="U204" i="30"/>
  <c r="S205" i="30"/>
  <c r="T205" i="30"/>
  <c r="U205" i="30"/>
  <c r="S206" i="30"/>
  <c r="T206" i="30"/>
  <c r="U206" i="30"/>
  <c r="S207" i="30"/>
  <c r="T207" i="30"/>
  <c r="U207" i="30"/>
  <c r="S208" i="30"/>
  <c r="T208" i="30"/>
  <c r="U208" i="30"/>
  <c r="S209" i="30"/>
  <c r="T209" i="30"/>
  <c r="U209" i="30"/>
  <c r="S210" i="30"/>
  <c r="T210" i="30"/>
  <c r="U210" i="30"/>
  <c r="S211" i="30"/>
  <c r="T211" i="30"/>
  <c r="U211" i="30"/>
  <c r="S212" i="30"/>
  <c r="T212" i="30"/>
  <c r="U212" i="30"/>
  <c r="S213" i="30"/>
  <c r="T213" i="30"/>
  <c r="U213" i="30"/>
  <c r="S214" i="30"/>
  <c r="T214" i="30"/>
  <c r="U214" i="30"/>
  <c r="S215" i="30"/>
  <c r="T215" i="30"/>
  <c r="U215" i="30"/>
  <c r="S216" i="30"/>
  <c r="T216" i="30"/>
  <c r="U216" i="30"/>
  <c r="S217" i="30"/>
  <c r="T217" i="30"/>
  <c r="U217" i="30"/>
  <c r="S218" i="30"/>
  <c r="T218" i="30"/>
  <c r="U218" i="30"/>
  <c r="S219" i="30"/>
  <c r="T219" i="30"/>
  <c r="U219" i="30"/>
  <c r="S220" i="30"/>
  <c r="T220" i="30"/>
  <c r="U220" i="30"/>
  <c r="S221" i="30"/>
  <c r="T221" i="30"/>
  <c r="U221" i="30"/>
  <c r="S222" i="30"/>
  <c r="T222" i="30"/>
  <c r="U222" i="30"/>
  <c r="S223" i="30"/>
  <c r="T223" i="30"/>
  <c r="U223" i="30"/>
  <c r="S224" i="30"/>
  <c r="T224" i="30"/>
  <c r="U224" i="30"/>
  <c r="S225" i="30"/>
  <c r="T225" i="30"/>
  <c r="U225" i="30"/>
  <c r="S226" i="30"/>
  <c r="T226" i="30"/>
  <c r="U226" i="30"/>
  <c r="S234" i="30"/>
  <c r="T234" i="30"/>
  <c r="U234" i="30"/>
  <c r="S235" i="30"/>
  <c r="T235" i="30"/>
  <c r="U235" i="30"/>
  <c r="S236" i="30"/>
  <c r="T236" i="30"/>
  <c r="U236" i="30"/>
  <c r="S237" i="30"/>
  <c r="T237" i="30"/>
  <c r="U237" i="30"/>
  <c r="S238" i="30"/>
  <c r="T238" i="30"/>
  <c r="U238" i="30"/>
  <c r="S239" i="30"/>
  <c r="T239" i="30"/>
  <c r="U239" i="30"/>
  <c r="S240" i="30"/>
  <c r="T240" i="30"/>
  <c r="U240" i="30"/>
  <c r="S241" i="30"/>
  <c r="T241" i="30"/>
  <c r="U241" i="30"/>
  <c r="S242" i="30"/>
  <c r="T242" i="30"/>
  <c r="U242" i="30"/>
  <c r="S243" i="30"/>
  <c r="T243" i="30"/>
  <c r="U243" i="30"/>
  <c r="S244" i="30"/>
  <c r="T244" i="30"/>
  <c r="U244" i="30"/>
  <c r="S245" i="30"/>
  <c r="T245" i="30"/>
  <c r="U245" i="30"/>
  <c r="S246" i="30"/>
  <c r="T246" i="30"/>
  <c r="U246" i="30"/>
  <c r="S247" i="30"/>
  <c r="T247" i="30"/>
  <c r="U247" i="30"/>
  <c r="S248" i="30"/>
  <c r="T248" i="30"/>
  <c r="U248" i="30"/>
  <c r="S249" i="30"/>
  <c r="T249" i="30"/>
  <c r="U249" i="30"/>
  <c r="S250" i="30"/>
  <c r="T250" i="30"/>
  <c r="U250" i="30"/>
  <c r="S251" i="30"/>
  <c r="T251" i="30"/>
  <c r="U251" i="30"/>
  <c r="S252" i="30"/>
  <c r="T252" i="30"/>
  <c r="U252" i="30"/>
  <c r="S253" i="30"/>
  <c r="T253" i="30"/>
  <c r="U253" i="30"/>
  <c r="S254" i="30"/>
  <c r="T254" i="30"/>
  <c r="U254" i="30"/>
  <c r="S255" i="30"/>
  <c r="T255" i="30"/>
  <c r="U255" i="30"/>
  <c r="S256" i="30"/>
  <c r="T256" i="30"/>
  <c r="U256" i="30"/>
  <c r="S257" i="30"/>
  <c r="T257" i="30"/>
  <c r="U257" i="30"/>
  <c r="S258" i="30"/>
  <c r="T258" i="30"/>
  <c r="U258" i="30"/>
  <c r="S259" i="30"/>
  <c r="T259" i="30"/>
  <c r="U259" i="30"/>
  <c r="S260" i="30"/>
  <c r="T260" i="30"/>
  <c r="U260" i="30"/>
  <c r="S261" i="30"/>
  <c r="T261" i="30"/>
  <c r="U261" i="30"/>
  <c r="S262" i="30"/>
  <c r="T262" i="30"/>
  <c r="U262" i="30"/>
  <c r="S263" i="30"/>
  <c r="T263" i="30"/>
  <c r="U263" i="30"/>
  <c r="S264" i="30"/>
  <c r="T264" i="30"/>
  <c r="U264" i="30"/>
  <c r="S265" i="30"/>
  <c r="T265" i="30"/>
  <c r="U265" i="30"/>
  <c r="S266" i="30"/>
  <c r="T266" i="30"/>
  <c r="U266" i="30"/>
  <c r="S267" i="30"/>
  <c r="T267" i="30"/>
  <c r="U267" i="30"/>
  <c r="S268" i="30"/>
  <c r="T268" i="30"/>
  <c r="U268" i="30"/>
  <c r="S269" i="30"/>
  <c r="T269" i="30"/>
  <c r="U269" i="30"/>
  <c r="S270" i="30"/>
  <c r="T270" i="30"/>
  <c r="U270" i="30"/>
  <c r="S271" i="30"/>
  <c r="T271" i="30"/>
  <c r="U271" i="30"/>
  <c r="S272" i="30"/>
  <c r="T272" i="30"/>
  <c r="U272" i="30"/>
  <c r="S273" i="30"/>
  <c r="T273" i="30"/>
  <c r="U273" i="30"/>
  <c r="S274" i="30"/>
  <c r="T274" i="30"/>
  <c r="U274" i="30"/>
  <c r="S275" i="30"/>
  <c r="T275" i="30"/>
  <c r="U275" i="30"/>
  <c r="S276" i="30"/>
  <c r="T276" i="30"/>
  <c r="U276" i="30"/>
  <c r="S278" i="30"/>
  <c r="T278" i="30"/>
  <c r="U278" i="30"/>
  <c r="S279" i="30"/>
  <c r="T279" i="30"/>
  <c r="U279" i="30"/>
  <c r="L7" i="30"/>
  <c r="M7" i="30"/>
  <c r="N7" i="30"/>
  <c r="L8" i="30"/>
  <c r="M8" i="30"/>
  <c r="N8" i="30"/>
  <c r="L9" i="30"/>
  <c r="M9" i="30"/>
  <c r="N9" i="30"/>
  <c r="L10" i="30"/>
  <c r="M10" i="30"/>
  <c r="N10" i="30"/>
  <c r="L11" i="30"/>
  <c r="M11" i="30"/>
  <c r="N11" i="30"/>
  <c r="L12" i="30"/>
  <c r="M12" i="30"/>
  <c r="N12" i="30"/>
  <c r="L13" i="30"/>
  <c r="M13" i="30"/>
  <c r="N13" i="30"/>
  <c r="L14" i="30"/>
  <c r="M14" i="30"/>
  <c r="N14" i="30"/>
  <c r="L15" i="30"/>
  <c r="M15" i="30"/>
  <c r="N15" i="30"/>
  <c r="L16" i="30"/>
  <c r="M16" i="30"/>
  <c r="N16" i="30"/>
  <c r="L17" i="30"/>
  <c r="M17" i="30"/>
  <c r="N17" i="30"/>
  <c r="L18" i="30"/>
  <c r="M18" i="30"/>
  <c r="N18" i="30"/>
  <c r="L95" i="30"/>
  <c r="M95" i="30"/>
  <c r="N95" i="30"/>
  <c r="L96" i="30"/>
  <c r="M96" i="30"/>
  <c r="N96" i="30"/>
  <c r="L97" i="30"/>
  <c r="M97" i="30"/>
  <c r="N97" i="30"/>
  <c r="L98" i="30"/>
  <c r="M98" i="30"/>
  <c r="N98" i="30"/>
  <c r="L99" i="30"/>
  <c r="M99" i="30"/>
  <c r="N99" i="30"/>
  <c r="L100" i="30"/>
  <c r="M100" i="30"/>
  <c r="N100" i="30"/>
  <c r="L101" i="30"/>
  <c r="M101" i="30"/>
  <c r="N101" i="30"/>
  <c r="L102" i="30"/>
  <c r="M102" i="30"/>
  <c r="N102" i="30"/>
  <c r="L103" i="30"/>
  <c r="M103" i="30"/>
  <c r="N103" i="30"/>
  <c r="L104" i="30"/>
  <c r="M104" i="30"/>
  <c r="N104" i="30"/>
  <c r="L105" i="30"/>
  <c r="M105" i="30"/>
  <c r="N105" i="30"/>
  <c r="L106" i="30"/>
  <c r="M106" i="30"/>
  <c r="N106" i="30"/>
  <c r="L107" i="30"/>
  <c r="M107" i="30"/>
  <c r="N107" i="30"/>
  <c r="L108" i="30"/>
  <c r="M108" i="30"/>
  <c r="N108" i="30"/>
  <c r="L109" i="30"/>
  <c r="M109" i="30"/>
  <c r="N109" i="30"/>
  <c r="L110" i="30"/>
  <c r="M110" i="30"/>
  <c r="N110" i="30"/>
  <c r="L111" i="30"/>
  <c r="M111" i="30"/>
  <c r="N111" i="30"/>
  <c r="L112" i="30"/>
  <c r="M112" i="30"/>
  <c r="N112" i="30"/>
  <c r="L113" i="30"/>
  <c r="M113" i="30"/>
  <c r="N113" i="30"/>
  <c r="L114" i="30"/>
  <c r="M114" i="30"/>
  <c r="N114" i="30"/>
  <c r="L115" i="30"/>
  <c r="M115" i="30"/>
  <c r="N115" i="30"/>
  <c r="L116" i="30"/>
  <c r="M116" i="30"/>
  <c r="N116" i="30"/>
  <c r="L117" i="30"/>
  <c r="M117" i="30"/>
  <c r="N117" i="30"/>
  <c r="L118" i="30"/>
  <c r="M118" i="30"/>
  <c r="N118" i="30"/>
  <c r="L119" i="30"/>
  <c r="M119" i="30"/>
  <c r="N119" i="30"/>
  <c r="L120" i="30"/>
  <c r="M120" i="30"/>
  <c r="N120" i="30"/>
  <c r="L121" i="30"/>
  <c r="M121" i="30"/>
  <c r="N121" i="30"/>
  <c r="L122" i="30"/>
  <c r="M122" i="30"/>
  <c r="N122" i="30"/>
  <c r="L123" i="30"/>
  <c r="M123" i="30"/>
  <c r="N123" i="30"/>
  <c r="L124" i="30"/>
  <c r="M124" i="30"/>
  <c r="N124" i="30"/>
  <c r="L125" i="30"/>
  <c r="M125" i="30"/>
  <c r="N125" i="30"/>
  <c r="L126" i="30"/>
  <c r="M126" i="30"/>
  <c r="N126" i="30"/>
  <c r="L127" i="30"/>
  <c r="M127" i="30"/>
  <c r="N127" i="30"/>
  <c r="L128" i="30"/>
  <c r="M128" i="30"/>
  <c r="N128" i="30"/>
  <c r="L129" i="30"/>
  <c r="M129" i="30"/>
  <c r="N129" i="30"/>
  <c r="L130" i="30"/>
  <c r="M130" i="30"/>
  <c r="N130" i="30"/>
  <c r="L131" i="30"/>
  <c r="M131" i="30"/>
  <c r="N131" i="30"/>
  <c r="L132" i="30"/>
  <c r="M132" i="30"/>
  <c r="N132" i="30"/>
  <c r="L133" i="30"/>
  <c r="M133" i="30"/>
  <c r="N133" i="30"/>
  <c r="L134" i="30"/>
  <c r="M134" i="30"/>
  <c r="N134" i="30"/>
  <c r="L135" i="30"/>
  <c r="M135" i="30"/>
  <c r="N135"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3" i="30"/>
  <c r="M153" i="30"/>
  <c r="N153" i="30"/>
  <c r="L154" i="30"/>
  <c r="M154" i="30"/>
  <c r="N154" i="30"/>
  <c r="L155" i="30"/>
  <c r="M155" i="30"/>
  <c r="N155" i="30"/>
  <c r="L156" i="30"/>
  <c r="M156" i="30"/>
  <c r="N156" i="30"/>
  <c r="L157" i="30"/>
  <c r="M157" i="30"/>
  <c r="N157"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69" i="30"/>
  <c r="M169" i="30"/>
  <c r="N169" i="30"/>
  <c r="L170" i="30"/>
  <c r="M170" i="30"/>
  <c r="N170" i="30"/>
  <c r="L171" i="30"/>
  <c r="M171" i="30"/>
  <c r="N171" i="30"/>
  <c r="L172" i="30"/>
  <c r="M172" i="30"/>
  <c r="N172" i="30"/>
  <c r="L173" i="30"/>
  <c r="M173" i="30"/>
  <c r="N173" i="30"/>
  <c r="L174" i="30"/>
  <c r="M174" i="30"/>
  <c r="N174" i="30"/>
  <c r="L175" i="30"/>
  <c r="M175" i="30"/>
  <c r="N175" i="30"/>
  <c r="L176" i="30"/>
  <c r="M176" i="30"/>
  <c r="N176" i="30"/>
  <c r="L177" i="30"/>
  <c r="M177" i="30"/>
  <c r="N177" i="30"/>
  <c r="L178" i="30"/>
  <c r="M178" i="30"/>
  <c r="N178"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0" i="30"/>
  <c r="M220" i="30"/>
  <c r="N220" i="30"/>
  <c r="L221" i="30"/>
  <c r="M221" i="30"/>
  <c r="N221" i="30"/>
  <c r="L222" i="30"/>
  <c r="M222" i="30"/>
  <c r="N222" i="30"/>
  <c r="L223" i="30"/>
  <c r="M223" i="30"/>
  <c r="N223" i="30"/>
  <c r="L224" i="30"/>
  <c r="M224" i="30"/>
  <c r="N224" i="30"/>
  <c r="L225" i="30"/>
  <c r="M225" i="30"/>
  <c r="N225" i="30"/>
  <c r="L226" i="30"/>
  <c r="M226" i="30"/>
  <c r="N226"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0" i="30"/>
  <c r="M270" i="30"/>
  <c r="N270" i="30"/>
  <c r="L271" i="30"/>
  <c r="M271" i="30"/>
  <c r="N271" i="30"/>
  <c r="L272" i="30"/>
  <c r="M272" i="30"/>
  <c r="N272" i="30"/>
  <c r="L273" i="30"/>
  <c r="M273" i="30"/>
  <c r="N273" i="30"/>
  <c r="L274" i="30"/>
  <c r="M274" i="30"/>
  <c r="N274" i="30"/>
  <c r="L275" i="30"/>
  <c r="M275" i="30"/>
  <c r="N275" i="30"/>
  <c r="L276" i="30"/>
  <c r="M276" i="30"/>
  <c r="N276" i="30"/>
  <c r="L278" i="30"/>
  <c r="M278" i="30"/>
  <c r="N278" i="30"/>
  <c r="L279" i="30"/>
  <c r="M279" i="30"/>
  <c r="N279" i="30"/>
  <c r="L281" i="30"/>
  <c r="M281" i="30"/>
  <c r="N281" i="30"/>
  <c r="L282" i="30"/>
  <c r="M282" i="30"/>
  <c r="N282" i="30"/>
  <c r="L283" i="30"/>
  <c r="M283" i="30"/>
  <c r="N283" i="30"/>
  <c r="L284" i="30"/>
  <c r="M284" i="30"/>
  <c r="N284" i="30"/>
  <c r="L285" i="30"/>
  <c r="M285" i="30"/>
  <c r="N285" i="30"/>
  <c r="L286" i="30"/>
  <c r="M286" i="30"/>
  <c r="N286"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5" i="30"/>
  <c r="M315" i="30"/>
  <c r="N315" i="30"/>
  <c r="L316" i="30"/>
  <c r="M316" i="30"/>
  <c r="N316" i="30"/>
  <c r="L317" i="30"/>
  <c r="M317" i="30"/>
  <c r="N317" i="30"/>
  <c r="L318" i="30"/>
  <c r="M318" i="30"/>
  <c r="N318" i="30"/>
  <c r="L319" i="30"/>
  <c r="M319" i="30"/>
  <c r="N319" i="30"/>
  <c r="L320" i="30"/>
  <c r="M320" i="30"/>
  <c r="N320" i="30"/>
  <c r="L321" i="30"/>
  <c r="M321" i="30"/>
  <c r="N321" i="30"/>
  <c r="L322" i="30"/>
  <c r="M322" i="30"/>
  <c r="N322" i="30"/>
  <c r="L323" i="30"/>
  <c r="M323" i="30"/>
  <c r="N323" i="30"/>
  <c r="L324" i="30"/>
  <c r="M324" i="30"/>
  <c r="N324" i="30"/>
  <c r="L325" i="30"/>
  <c r="M325" i="30"/>
  <c r="N325" i="30"/>
  <c r="L326" i="30"/>
  <c r="M326" i="30"/>
  <c r="N326" i="30"/>
  <c r="L327" i="30"/>
  <c r="M327" i="30"/>
  <c r="N327" i="30"/>
  <c r="L328" i="30"/>
  <c r="M328" i="30"/>
  <c r="N328" i="30"/>
  <c r="L329" i="30"/>
  <c r="M329" i="30"/>
  <c r="N329" i="30"/>
  <c r="L330" i="30"/>
  <c r="M330" i="30"/>
  <c r="N330" i="30"/>
  <c r="L331" i="30"/>
  <c r="M331" i="30"/>
  <c r="N331"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L342" i="30"/>
  <c r="M342" i="30"/>
  <c r="N342" i="30"/>
  <c r="L343" i="30"/>
  <c r="M343" i="30"/>
  <c r="N343" i="30"/>
  <c r="L344" i="30"/>
  <c r="M344" i="30"/>
  <c r="N344" i="30"/>
  <c r="L345" i="30"/>
  <c r="M345" i="30"/>
  <c r="N345" i="30"/>
  <c r="L346" i="30"/>
  <c r="M346" i="30"/>
  <c r="N346" i="30"/>
  <c r="L347" i="30"/>
  <c r="M347" i="30"/>
  <c r="N347" i="30"/>
  <c r="L348" i="30"/>
  <c r="M348" i="30"/>
  <c r="N348" i="30"/>
  <c r="B18" i="13" l="1"/>
  <c r="B6" i="13"/>
  <c r="B5" i="13"/>
</calcChain>
</file>

<file path=xl/sharedStrings.xml><?xml version="1.0" encoding="utf-8"?>
<sst xmlns="http://schemas.openxmlformats.org/spreadsheetml/2006/main" count="11853" uniqueCount="1654">
  <si>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</si>
  <si>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</si>
  <si>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</si>
  <si>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</si>
  <si>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</si>
  <si>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</si>
  <si>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</si>
  <si>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</si>
  <si>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</si>
  <si>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</si>
  <si>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</si>
  <si>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</si>
  <si>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</si>
  <si>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</si>
  <si>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</si>
  <si>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</si>
  <si>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</si>
  <si>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</si>
  <si>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</si>
  <si>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</si>
  <si>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</si>
  <si>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</si>
  <si>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</si>
  <si>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</si>
  <si>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</si>
  <si>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</si>
  <si>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</si>
  <si>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</si>
  <si>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</si>
  <si>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</si>
  <si>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</si>
  <si>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</si>
  <si>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</si>
  <si>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</si>
  <si>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</si>
  <si>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</si>
  <si>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</si>
  <si>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</si>
  <si>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</si>
  <si>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</si>
  <si>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</si>
  <si>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</si>
  <si>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</si>
  <si>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</si>
  <si>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</si>
  <si>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</si>
  <si>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</si>
  <si>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</si>
  <si>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</si>
  <si>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</si>
  <si>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</si>
  <si>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</si>
  <si>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</si>
  <si>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</si>
  <si>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</si>
  <si>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</si>
  <si>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</si>
  <si>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</si>
  <si>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</si>
  <si>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</si>
  <si>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</si>
  <si>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</si>
  <si>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</si>
  <si>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</si>
  <si>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</si>
  <si>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</si>
  <si>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</si>
  <si>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</si>
  <si>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</si>
  <si>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</si>
  <si>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</si>
  <si>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</si>
  <si>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</si>
  <si>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</si>
  <si>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</si>
  <si>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</si>
  <si>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</si>
  <si>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</si>
  <si>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</si>
  <si>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</si>
  <si>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</si>
  <si>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Gestão</t>
  </si>
  <si>
    <t>Informação</t>
  </si>
  <si>
    <t>Contêiner</t>
  </si>
  <si>
    <t>Define un contenedor de información de acuerdo con la norma NBR 19650-1.</t>
  </si>
  <si>
    <t>Arquitetura</t>
  </si>
  <si>
    <t>descrição</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</si>
  <si>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</si>
  <si>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</si>
  <si>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</si>
  <si>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</si>
  <si>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</si>
  <si>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</si>
  <si>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</si>
  <si>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</si>
  <si>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Niveladora</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</si>
  <si>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</si>
  <si>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</si>
  <si>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</si>
  <si>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</si>
  <si>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</si>
  <si>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</si>
  <si>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</si>
  <si>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</si>
  <si>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</si>
  <si>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</si>
  <si>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</si>
  <si>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</si>
  <si>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</si>
  <si>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</si>
  <si>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</si>
  <si>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</si>
  <si>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</si>
  <si>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</si>
  <si>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</si>
  <si>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</si>
  <si>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</si>
  <si>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</si>
  <si>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</si>
  <si>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</si>
  <si>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</si>
  <si>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</si>
  <si>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</si>
  <si>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</si>
  <si>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</si>
  <si>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</si>
  <si>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</si>
  <si>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</si>
  <si>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Argamassa para assentamento de tijolos e blocos.</t>
  </si>
  <si>
    <t>Mortero para la colocación de ladrillos y bloques.</t>
  </si>
  <si>
    <t>Chapisco</t>
  </si>
  <si>
    <t>Emboço</t>
  </si>
  <si>
    <t>Reboco</t>
  </si>
  <si>
    <t>Argamassa para os contrapisos.</t>
  </si>
  <si>
    <t>categoria.revit</t>
  </si>
  <si>
    <t>classe.ifc</t>
  </si>
  <si>
    <t>"Peça de taco para pisos de madeira."</t>
  </si>
  <si>
    <t>"Salas"</t>
  </si>
  <si>
    <t>"Madipé"</t>
  </si>
  <si>
    <t>"Cola para assentar tacos de madeira."</t>
  </si>
  <si>
    <t>CategoriaRvt</t>
  </si>
  <si>
    <t>ClasseIfc</t>
  </si>
  <si>
    <t>Gesso</t>
  </si>
  <si>
    <t>Forro de gesso aplicado sobre o teto.</t>
  </si>
  <si>
    <t>Gesso.Emplacado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</si>
  <si>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</si>
  <si>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</si>
  <si>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</si>
  <si>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</si>
  <si>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</si>
  <si>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</si>
  <si>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</si>
  <si>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</si>
  <si>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</si>
  <si>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</si>
  <si>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</si>
  <si>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</si>
  <si>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</si>
  <si>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</si>
  <si>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</si>
  <si>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</si>
  <si>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</si>
  <si>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</si>
  <si>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</si>
  <si>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</si>
  <si>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</si>
  <si>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</si>
  <si>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</si>
  <si>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</si>
  <si>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</si>
  <si>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</si>
  <si>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</si>
  <si>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</si>
  <si>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</si>
  <si>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</si>
  <si>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</si>
  <si>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</si>
  <si>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</si>
  <si>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</si>
  <si>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</si>
  <si>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</si>
  <si>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</si>
  <si>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</si>
  <si>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</si>
  <si>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</si>
  <si>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</si>
  <si>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</si>
  <si>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"Escrotório"</t>
  </si>
  <si>
    <t>"Armstrong"</t>
  </si>
  <si>
    <t>NAC.120x120</t>
  </si>
  <si>
    <t>"Nuvem acústica quadrada da Divisystem suspenso tipo linear para absorção sonora cor branca."</t>
  </si>
  <si>
    <t>NAC.120</t>
  </si>
  <si>
    <t>"Nuvem acústica circular da Divisystem suspenso tipo linear para absorção sonora cor branca."</t>
  </si>
  <si>
    <t>FOR.01</t>
  </si>
  <si>
    <t>"Forro do escritório de placas modulares."</t>
  </si>
  <si>
    <t>"Escritório"</t>
  </si>
  <si>
    <t>é.montado.com</t>
  </si>
  <si>
    <t>Paredes</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</si>
  <si>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</si>
  <si>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</si>
  <si>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</si>
  <si>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</si>
  <si>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</si>
  <si>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</si>
  <si>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</si>
  <si>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</si>
  <si>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</si>
  <si>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</si>
  <si>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</si>
  <si>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</si>
  <si>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</si>
  <si>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</si>
  <si>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</si>
  <si>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</si>
  <si>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</si>
  <si>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</si>
  <si>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</si>
  <si>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</si>
  <si>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</si>
  <si>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</si>
  <si>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</si>
  <si>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</si>
  <si>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</si>
  <si>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</si>
  <si>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</si>
  <si>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</si>
  <si>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</si>
  <si>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</si>
  <si>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</si>
  <si>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</si>
  <si>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</si>
  <si>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</si>
  <si>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</si>
  <si>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</si>
  <si>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</si>
  <si>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</si>
  <si>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</si>
  <si>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</si>
  <si>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</si>
  <si>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</si>
  <si>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</si>
  <si>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</si>
  <si>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</si>
  <si>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</si>
  <si>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</si>
  <si>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</si>
  <si>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</si>
  <si>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</si>
  <si>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</si>
  <si>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</si>
  <si>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</si>
  <si>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</si>
  <si>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</si>
  <si>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</si>
  <si>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</si>
  <si>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</si>
  <si>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</si>
  <si>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</si>
  <si>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</si>
  <si>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</si>
  <si>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</si>
  <si>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</si>
  <si>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</si>
  <si>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</si>
  <si>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</si>
  <si>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</si>
  <si>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</si>
  <si>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</si>
  <si>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</si>
  <si>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</si>
  <si>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</si>
  <si>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</si>
  <si>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</si>
  <si>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</si>
  <si>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</si>
  <si>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</si>
  <si>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</si>
  <si>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</si>
  <si>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</si>
  <si>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</si>
  <si>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</si>
  <si>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</si>
  <si>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</si>
  <si>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</si>
  <si>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</si>
  <si>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</si>
  <si>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</si>
  <si>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</si>
  <si>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</si>
  <si>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</si>
  <si>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</si>
  <si>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</si>
  <si>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</si>
  <si>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</si>
  <si>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</si>
  <si>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</si>
  <si>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</si>
  <si>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</si>
  <si>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</si>
  <si>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</si>
  <si>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</si>
  <si>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</si>
  <si>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</si>
  <si>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</si>
  <si>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</si>
  <si>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</si>
  <si>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</si>
  <si>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</si>
  <si>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</si>
  <si>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</si>
  <si>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</si>
  <si>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</si>
  <si>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</si>
  <si>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</si>
  <si>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</si>
  <si>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</si>
  <si>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</si>
  <si>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</si>
  <si>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</si>
  <si>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</si>
  <si>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</si>
  <si>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</si>
  <si>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</si>
  <si>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</si>
  <si>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</si>
  <si>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</si>
  <si>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</si>
  <si>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</si>
  <si>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</si>
  <si>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</si>
  <si>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</si>
  <si>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</si>
  <si>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</si>
  <si>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</si>
  <si>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</si>
  <si>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</si>
  <si>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</si>
  <si>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</si>
  <si>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</si>
  <si>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</si>
  <si>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</si>
  <si>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</si>
  <si>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</si>
  <si>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</si>
  <si>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</si>
  <si>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</si>
  <si>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</si>
  <si>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</si>
  <si>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</si>
  <si>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</si>
  <si>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 xml:space="preserve">Formalizar elementos de arquitetura - Pisos - Paredes - Divisórias e Tetos em projeto BIM. Ontologia orientativa da relação de correspondência entre Classes IFC e categorias Revit. </t>
  </si>
  <si>
    <t>Formalizar elementos arquitectónicos - Suelos - Paredes - Tabiques y Techos en proyecto BIM. Ontología guía de la relación de correspondencia entre las clases IFC y las categorías de Revit.</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</si>
  <si>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</si>
  <si>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</si>
  <si>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</si>
  <si>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</si>
  <si>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</si>
  <si>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</si>
  <si>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</si>
  <si>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</si>
  <si>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</si>
  <si>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</si>
  <si>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</si>
  <si>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</si>
  <si>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</si>
  <si>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</si>
  <si>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</si>
  <si>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</si>
  <si>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</si>
  <si>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</si>
  <si>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</si>
  <si>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</si>
  <si>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</si>
  <si>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</si>
  <si>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</si>
  <si>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</si>
  <si>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</si>
  <si>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</si>
  <si>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</si>
  <si>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</si>
  <si>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</si>
  <si>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</si>
  <si>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</si>
  <si>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</si>
  <si>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</si>
  <si>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</si>
  <si>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</si>
  <si>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</si>
  <si>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</si>
  <si>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</si>
  <si>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</si>
  <si>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</si>
  <si>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</si>
  <si>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</si>
  <si>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</si>
  <si>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</si>
  <si>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</si>
  <si>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</si>
  <si>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</si>
  <si>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</si>
  <si>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</si>
  <si>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</si>
  <si>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</si>
  <si>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</si>
  <si>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</si>
  <si>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</si>
  <si>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</si>
  <si>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</si>
  <si>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</si>
  <si>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</si>
  <si>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</si>
  <si>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</si>
  <si>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</si>
  <si>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</si>
  <si>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</si>
  <si>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</si>
  <si>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</si>
  <si>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</si>
  <si>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</si>
  <si>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</si>
  <si>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</si>
  <si>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</si>
  <si>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</si>
  <si>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</si>
  <si>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</si>
  <si>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</si>
  <si>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</si>
  <si>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</si>
  <si>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</si>
  <si>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</si>
  <si>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</si>
  <si>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</si>
  <si>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</si>
  <si>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</si>
  <si>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</si>
  <si>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</si>
  <si>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</si>
  <si>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</si>
  <si>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</si>
  <si>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</si>
  <si>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</si>
  <si>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</si>
  <si>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</si>
  <si>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</si>
  <si>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</si>
  <si>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</si>
  <si>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</si>
  <si>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</si>
  <si>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</si>
  <si>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</si>
  <si>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</si>
  <si>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</si>
  <si>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</si>
  <si>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</si>
  <si>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</si>
  <si>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</si>
  <si>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</si>
  <si>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</si>
  <si>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</si>
  <si>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</si>
  <si>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</si>
  <si>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</si>
  <si>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</si>
  <si>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</si>
  <si>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</si>
  <si>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</si>
  <si>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</si>
  <si>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</si>
  <si>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</si>
  <si>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</si>
  <si>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é.meia.vez</t>
  </si>
  <si>
    <t>é.revestida.com</t>
  </si>
  <si>
    <t>resistência.ao.fogo</t>
  </si>
  <si>
    <t>Parede.02</t>
  </si>
  <si>
    <t>"Parede de tijolo comúm com tijolos assentados uma vez (assentamento tição)."</t>
  </si>
  <si>
    <t>é.uma.vez</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</si>
  <si>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</si>
  <si>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</si>
  <si>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</si>
  <si>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</si>
  <si>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</si>
  <si>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</si>
  <si>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</si>
  <si>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</si>
  <si>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</si>
  <si>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</si>
  <si>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</si>
  <si>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</si>
  <si>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</si>
  <si>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</si>
  <si>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</si>
  <si>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"Contêiner de elementos de pisos."</t>
  </si>
  <si>
    <t>"Contêiner de elementos de paredes e divisórias."</t>
  </si>
  <si>
    <t>"Contêiner de elementos de forros."</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</si>
  <si>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</si>
  <si>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</si>
  <si>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</si>
  <si>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</si>
  <si>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</si>
  <si>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</si>
  <si>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</si>
  <si>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</si>
  <si>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</si>
  <si>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</si>
  <si>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</si>
  <si>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</si>
  <si>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</si>
  <si>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</si>
  <si>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</si>
  <si>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</si>
  <si>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</si>
  <si>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</si>
  <si>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</si>
  <si>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</si>
  <si>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</si>
  <si>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</si>
  <si>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</si>
  <si>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</si>
  <si>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</si>
  <si>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</si>
  <si>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</si>
  <si>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Adesivo especialmente formulado para metais.</t>
  </si>
  <si>
    <t>Adesivo especialmente formulado para texteis.</t>
  </si>
  <si>
    <t>Adesivo especialmente formulado para espumas.</t>
  </si>
  <si>
    <t>Adesivo especialmente formulado para louças.</t>
  </si>
  <si>
    <t>Pegamento especialmente formulado para metales.</t>
  </si>
  <si>
    <t>Pegamento especialmente formulado para textiles.</t>
  </si>
  <si>
    <t>Pegamento especialmente formulado para espumas.</t>
  </si>
  <si>
    <t>Pegamento especialmente formulado para porcelanas.</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</si>
  <si>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</si>
  <si>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</si>
  <si>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</si>
  <si>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</si>
  <si>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</si>
  <si>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</si>
  <si>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</si>
  <si>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</si>
  <si>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</si>
  <si>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</si>
  <si>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</si>
  <si>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</si>
  <si>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</si>
  <si>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</si>
  <si>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</si>
  <si>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</si>
  <si>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</si>
  <si>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</si>
  <si>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</si>
  <si>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</si>
  <si>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</si>
  <si>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</si>
  <si>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</si>
  <si>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</si>
  <si>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</si>
  <si>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</si>
  <si>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</si>
  <si>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</si>
  <si>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</si>
  <si>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</si>
  <si>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</si>
  <si>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</si>
  <si>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</si>
  <si>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</si>
  <si>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</si>
  <si>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</si>
  <si>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</si>
  <si>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</si>
  <si>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</si>
  <si>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</si>
  <si>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</si>
  <si>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</si>
  <si>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</si>
  <si>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</si>
  <si>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</si>
  <si>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</si>
  <si>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</si>
  <si>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</si>
  <si>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</si>
  <si>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</si>
  <si>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</si>
  <si>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</si>
  <si>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</si>
  <si>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</si>
  <si>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</si>
  <si>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</si>
  <si>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</si>
  <si>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</si>
  <si>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</si>
  <si>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</si>
  <si>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</si>
  <si>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</si>
  <si>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</si>
  <si>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</si>
  <si>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</si>
  <si>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</si>
  <si>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</si>
  <si>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</si>
  <si>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</si>
  <si>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</si>
  <si>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</si>
  <si>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</si>
  <si>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</si>
  <si>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</si>
  <si>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</si>
  <si>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</si>
  <si>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</si>
  <si>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</si>
  <si>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</si>
  <si>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</si>
  <si>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</si>
  <si>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</si>
  <si>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</si>
  <si>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</si>
  <si>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</si>
  <si>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</si>
  <si>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</si>
  <si>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</si>
  <si>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</si>
  <si>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</si>
  <si>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</si>
  <si>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</si>
  <si>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</si>
  <si>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</si>
  <si>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</si>
  <si>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</si>
  <si>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</si>
  <si>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</si>
  <si>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</si>
  <si>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</si>
  <si>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</si>
  <si>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</si>
  <si>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</si>
  <si>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</si>
  <si>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</si>
  <si>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</si>
  <si>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</si>
  <si>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</si>
  <si>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</si>
  <si>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</si>
  <si>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</si>
  <si>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</si>
  <si>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</si>
  <si>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</si>
  <si>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</si>
  <si>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</si>
  <si>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</si>
  <si>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</si>
  <si>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</si>
  <si>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</si>
  <si>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</si>
  <si>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</si>
  <si>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</si>
  <si>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</si>
  <si>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Parede.Interna.Alta</t>
  </si>
  <si>
    <t>Parede.Interna.Baixa</t>
  </si>
  <si>
    <t>Parede.Externa.Alta</t>
  </si>
  <si>
    <t>Parede.Externa.Baixa</t>
  </si>
  <si>
    <t>Drywall</t>
  </si>
  <si>
    <t>Drywall.Acústico</t>
  </si>
  <si>
    <t>Divisória.Pedra</t>
  </si>
  <si>
    <t>Divisória.Gesso</t>
  </si>
  <si>
    <t>Divisória.Vidro</t>
  </si>
  <si>
    <t>De.Piso.Polimérica</t>
  </si>
  <si>
    <t>De.Piso.Baritada</t>
  </si>
  <si>
    <t>De.Piso.Colante</t>
  </si>
  <si>
    <t>De.Parede.Colante</t>
  </si>
  <si>
    <t>Assentamento.De.Parede</t>
  </si>
  <si>
    <t>De.Parede.Polimérica</t>
  </si>
  <si>
    <t>De.Parede.Baritada</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</si>
  <si>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</si>
  <si>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</si>
  <si>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</si>
  <si>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</si>
  <si>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</si>
  <si>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</si>
  <si>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</si>
  <si>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</si>
  <si>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</si>
  <si>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</si>
  <si>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</si>
  <si>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</si>
  <si>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</si>
  <si>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</si>
  <si>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</si>
  <si>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</si>
  <si>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</si>
  <si>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</si>
  <si>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Argamassa para colar peças cerámicas ou porcelanatos em pisos.</t>
  </si>
  <si>
    <t>Mortero para pegar piezas cerámicas o porcelanatos en paredes.</t>
  </si>
  <si>
    <t>Mortero para pegar piezas cerámicas o porcelanatos en pisos.</t>
  </si>
  <si>
    <t>Mortero polimérico para capas aislantes de pisos.</t>
  </si>
  <si>
    <t>Argamassa utilizada para proteção radiológica. Usar em paredes de salas de radioterapia, radiologia, medicina nuclear de centros de saúde.</t>
  </si>
  <si>
    <t>Argamassa utilizada para proteção radiológica. Usar em pisos de salas de radioterapia, radiologia, medicina nuclear de centros de saúde.</t>
  </si>
  <si>
    <t>Mortero utilizado para protección radiológica. Usar en paredes de salas de radioterapia, radiología, medicina nuclear de centros de salud.</t>
  </si>
  <si>
    <t>Mortero utilizado para protección radiológica. Usar en pisos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</si>
  <si>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</si>
  <si>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</si>
  <si>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</si>
  <si>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</si>
  <si>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</si>
  <si>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</si>
  <si>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</si>
  <si>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</si>
  <si>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</si>
  <si>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</si>
  <si>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</si>
  <si>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</si>
  <si>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</si>
  <si>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</si>
  <si>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Adesivo especialmente formulado para madeiras.</t>
  </si>
  <si>
    <t>Pegamento especialmente formulado para maderas.</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</si>
  <si>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</si>
  <si>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</si>
  <si>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</si>
  <si>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</si>
  <si>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</si>
  <si>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</si>
  <si>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</si>
  <si>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</si>
  <si>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</si>
  <si>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</si>
  <si>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</si>
  <si>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</si>
  <si>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</si>
  <si>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</si>
  <si>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</si>
  <si>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</si>
  <si>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</si>
  <si>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</si>
  <si>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</si>
  <si>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</si>
  <si>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</si>
  <si>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</si>
  <si>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</si>
  <si>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</si>
  <si>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</si>
  <si>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</si>
  <si>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</si>
  <si>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</si>
  <si>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</si>
  <si>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</si>
  <si>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</si>
  <si>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</si>
  <si>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</si>
  <si>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</si>
  <si>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</si>
  <si>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</si>
  <si>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</si>
  <si>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</si>
  <si>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</si>
  <si>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</si>
  <si>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</si>
  <si>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</si>
  <si>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</si>
  <si>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</si>
  <si>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</si>
  <si>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</si>
  <si>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</si>
  <si>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</si>
  <si>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</si>
  <si>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</si>
  <si>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</si>
  <si>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</si>
  <si>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</si>
  <si>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</si>
  <si>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</si>
  <si>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</si>
  <si>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</si>
  <si>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</si>
  <si>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</si>
  <si>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</si>
  <si>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</si>
  <si>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</si>
  <si>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</si>
  <si>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</si>
  <si>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</si>
  <si>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</si>
  <si>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</si>
  <si>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</si>
  <si>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</si>
  <si>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</si>
  <si>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</si>
  <si>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</si>
  <si>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</si>
  <si>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</si>
  <si>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</si>
  <si>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</si>
  <si>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</si>
  <si>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</si>
  <si>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</si>
  <si>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</si>
  <si>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</si>
  <si>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</si>
  <si>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</si>
  <si>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</si>
  <si>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</si>
  <si>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</si>
  <si>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</si>
  <si>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</si>
  <si>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</si>
  <si>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</si>
  <si>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</si>
  <si>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</si>
  <si>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</si>
  <si>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</si>
  <si>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</si>
  <si>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</si>
  <si>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</si>
  <si>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</si>
  <si>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</si>
  <si>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</si>
  <si>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</si>
  <si>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</si>
  <si>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</si>
  <si>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</si>
  <si>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</si>
  <si>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</si>
  <si>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</si>
  <si>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</si>
  <si>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</si>
  <si>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</si>
  <si>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</si>
  <si>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</si>
  <si>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</si>
  <si>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</si>
  <si>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</si>
  <si>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</si>
  <si>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</si>
  <si>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</si>
  <si>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</si>
  <si>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</si>
  <si>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</si>
  <si>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</si>
  <si>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</si>
  <si>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</si>
  <si>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</si>
  <si>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</si>
  <si>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</si>
  <si>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</si>
  <si>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</si>
  <si>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</si>
  <si>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</si>
  <si>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</si>
  <si>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</si>
  <si>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</si>
  <si>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</si>
  <si>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</si>
  <si>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</si>
  <si>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</si>
  <si>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</si>
  <si>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</si>
  <si>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</si>
  <si>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</si>
  <si>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</si>
  <si>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</si>
  <si>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</si>
  <si>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</si>
  <si>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</si>
  <si>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</si>
  <si>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</si>
  <si>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</si>
  <si>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</si>
  <si>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</si>
  <si>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</si>
  <si>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</si>
  <si>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</si>
  <si>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</si>
  <si>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</si>
  <si>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</si>
  <si>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</si>
  <si>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</si>
  <si>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</si>
  <si>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Banheira</t>
  </si>
  <si>
    <t>Aparelho sanitário para imersão do corpo humano ou partes dele.</t>
  </si>
  <si>
    <t>Aparatos sanitarios para la inmersión del cuerpo humano o partes del mismo.</t>
  </si>
  <si>
    <t>Terminal sanitário que fornece um jato de água de baixa pressão para uma finalidade específica.</t>
  </si>
  <si>
    <t>Terminal sanitaria que proporciona un chorro de agua a baja presión para un fin específico.</t>
  </si>
  <si>
    <t>Bidet</t>
  </si>
  <si>
    <t>Aparelho de águas residuais para lavar os órgãos excretores enquanto está sentado montado na bacia sanitária.</t>
  </si>
  <si>
    <t>Aparato de aguas residuales para enjuagar los órganos excretores mientras se está sentado, montado en el inodoro.</t>
  </si>
  <si>
    <t>Chuveiro</t>
  </si>
  <si>
    <t>Instalação ou aparelho de águas residuais que emite um jato de água para lavar o corpo humano.</t>
  </si>
  <si>
    <t>Una instalación o aparato de aguas residuales que emite un chorro de agua para lavar el cuerpo humano.</t>
  </si>
  <si>
    <t>Aparelho de águas residuais para lavar as partes superiores do corpo.</t>
  </si>
  <si>
    <t>Aparato de aguas residuales para lavar las partes superiores del cuerpo.</t>
  </si>
  <si>
    <t>Mictório</t>
  </si>
  <si>
    <t>Aparelho de solo que recebe a urina e a direciona para uma saída de resíduos.</t>
  </si>
  <si>
    <t>Aparato de tierra que recibe la orina y la dirige a una salida de desechos.</t>
  </si>
  <si>
    <t>Pia</t>
  </si>
  <si>
    <t>Aparelho de águas residuais para recebimento, retenção ou eliminação de aparelhos domésticos, culinários, laboratoriais.</t>
  </si>
  <si>
    <t>Aparatos para aguas residuales para recibir, retener o eliminar aparatos domésticos, culinarios, de laboratorio.</t>
  </si>
  <si>
    <t>Terminal sanitário é um aparelho fixo ou terminal geralmente abastecido com água e usado para beber.</t>
  </si>
  <si>
    <t>Terminal sanitario es un aparato fijo o terminal que generalmente se suministra con agua y se utiliza para beber.</t>
  </si>
  <si>
    <t>Vaso.Sanitário</t>
  </si>
  <si>
    <t>Aparelho de solo para eliminação de excrementos.</t>
  </si>
  <si>
    <t>Aparato de suelo para la eliminación de excrementos.</t>
  </si>
  <si>
    <t>Vaso.Sanitário.Assento</t>
  </si>
  <si>
    <t>Assento articulado obsoleto que se encaixa no topo de uma panela de vaso sanitário (wc).</t>
  </si>
  <si>
    <t>Asiento abatible obsoleto que se coloca encima de una bandeja de inodoro (inodoro).</t>
  </si>
  <si>
    <t>Unidade de armazenamento de água conectada a um terminal sanitário equipado com um dispositivo, operado automaticamente.</t>
  </si>
  <si>
    <t>Unidad de almacenamiento de agua conectada a una terminal sanitaria equipada con un dispositivo, operada automáticamente.</t>
  </si>
  <si>
    <t>Bancada.Banheiro</t>
  </si>
  <si>
    <t>Bancada.Cozinha</t>
  </si>
  <si>
    <t>Bancada.Laboratório</t>
  </si>
  <si>
    <t>Peça.Sanitária</t>
  </si>
  <si>
    <t>Móveis definem móveis completos, como mesa, escrivaninha, cadeira ou armário.</t>
  </si>
  <si>
    <t>Los muebles definen muebles completos, como una mesa, un escritorio, una silla o un armario.</t>
  </si>
  <si>
    <t>Móveis para sentar uma única pessoa.</t>
  </si>
  <si>
    <t>Móveis com bancada e gavetas opcionais para uma única pessoa.</t>
  </si>
  <si>
    <t>Móveis para guardar livros ou outros itens.</t>
  </si>
  <si>
    <t>Móveis com bancada para várias pessoas.</t>
  </si>
  <si>
    <t>Móvel</t>
  </si>
  <si>
    <t>Cadeira</t>
  </si>
  <si>
    <t>Escribania</t>
  </si>
  <si>
    <t>Prateleira</t>
  </si>
  <si>
    <t>Mesa</t>
  </si>
  <si>
    <t>Móvel.Sistema</t>
  </si>
  <si>
    <t>Telhado</t>
  </si>
  <si>
    <t>Telhado ou teto com forma semicilíndrica.</t>
  </si>
  <si>
    <t>Telhado hemisférico.</t>
  </si>
  <si>
    <t>Telhado sem inclinação ou com apenas uma ligeira inclinação para drenar a água de chuva.</t>
  </si>
  <si>
    <t>Telhado na forma livre.</t>
  </si>
  <si>
    <t>Telhado inclinado para baixo em duas partes a partir de uma cumeeira central, de modo a formar uma empena em cada extremidade.</t>
  </si>
  <si>
    <t>Telhado com extremidades inclinadas e lados que se encontram numa projeção inclinada.</t>
  </si>
  <si>
    <t>Telhado com uma extremidade de quatro águas truncando uma empena.</t>
  </si>
  <si>
    <t>Telhado com de cada lado parte inferior mais íngreme e parte superior mais rasa.</t>
  </si>
  <si>
    <t>Telhado de quadril piramidal.</t>
  </si>
  <si>
    <t>Telhado de duas águas em forma de amplo arco gótico, com superfícies convexas e levemente inclinadas.</t>
  </si>
  <si>
    <t>Telhado com uma única inclinação.</t>
  </si>
  <si>
    <t>Telhados: acabamento do beiral.</t>
  </si>
  <si>
    <t>Alero del tejado: terminación.</t>
  </si>
  <si>
    <t>Telhados: aberturas.</t>
  </si>
  <si>
    <t>Tejados y cubiertas:: aperturas.</t>
  </si>
  <si>
    <t>Telhados: arestas interiores.</t>
  </si>
  <si>
    <t>Tejados y cubiertas: aristas interiores.</t>
  </si>
  <si>
    <t>Telhados: forro interno do beiral.</t>
  </si>
  <si>
    <t>Alero del tejado: cielorraso interno.</t>
  </si>
  <si>
    <t>Telhados: projeção.</t>
  </si>
  <si>
    <t>Tejados y cubiertas: projeção.</t>
  </si>
  <si>
    <t>Telhados: núcleo.</t>
  </si>
  <si>
    <t>Tejados y cubiertas: núcleo.</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</si>
  <si>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</si>
  <si>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</si>
  <si>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</si>
  <si>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</si>
  <si>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</si>
  <si>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</si>
  <si>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</si>
  <si>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</si>
  <si>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</si>
  <si>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</si>
  <si>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</si>
  <si>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</si>
  <si>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</si>
  <si>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</si>
  <si>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</si>
  <si>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Armário.de.Livros</t>
  </si>
  <si>
    <t>Armário.de.Ferramentas</t>
  </si>
  <si>
    <t>Telhado.Projeção</t>
  </si>
  <si>
    <t>Telhado.Núcleo</t>
  </si>
  <si>
    <t>Telhado.Substrato</t>
  </si>
  <si>
    <t>Dispositivo.Médico</t>
  </si>
  <si>
    <t>Dispositivo médico está ligado a sistema de tubulação médica e opera sobre gases medicinais.</t>
  </si>
  <si>
    <t>El dispositivo médico está conectado al sistema de tuberías médicas y funciona con gases medicinales.</t>
  </si>
  <si>
    <t>Dispositivo que proporciona ar médico purificado, composto por um compressor aéreo.</t>
  </si>
  <si>
    <t>Dispositivo que proporciona aire medicinal purificado, compuesto por un compresor aéreo.</t>
  </si>
  <si>
    <t>Dispositivo que alimenta um gerador de oxigênio, composto por um compressor de ar, linha de tratamento de ar.</t>
  </si>
  <si>
    <t>Dispositivo que alimenta un generador de oxígeno, que consta de un compresor de aire, línea de tratamiento de aire.</t>
  </si>
  <si>
    <t>Dispositivo que gera oxigênio do ar.</t>
  </si>
  <si>
    <t>Un dispositivo que genera oxígeno a partir del aire.</t>
  </si>
  <si>
    <t>Dispositivo que combina uma unidade de ar de alimentação, gerador de oxigênio e backup de cilindros.</t>
  </si>
  <si>
    <t>Dispositivo que combina una unidad de suministro de aire, un generador de oxígeno y cilindros de respaldo.</t>
  </si>
  <si>
    <t>Dispositivo que fornece sucção, composto por uma bomba de vácuo e linha de filtração bacteriana.</t>
  </si>
  <si>
    <t>Dispositivo que proporciona succión, compuesto por una bomba de vacío y una línea de filtración bacteriana.</t>
  </si>
  <si>
    <t>Dispositivo para chamar à enfermagem.</t>
  </si>
  <si>
    <t>Dispositivo para llamar a la enfermería.</t>
  </si>
  <si>
    <t>Ar.Medicinal.Alimentador</t>
  </si>
  <si>
    <t>Ar.Medicinal.Estação</t>
  </si>
  <si>
    <t>Oxigênio.Gerador</t>
  </si>
  <si>
    <t>Oxigênio.Usina</t>
  </si>
  <si>
    <t>Vácuo.Medicinal.Estação</t>
  </si>
  <si>
    <t>Chamada.Enfermagem</t>
  </si>
  <si>
    <t>Bancada.Química</t>
  </si>
  <si>
    <t>Bancada.Biológica</t>
  </si>
  <si>
    <t>Bancada de apóio para equipamento sanitário.</t>
  </si>
  <si>
    <t>Bancada de apóio para equipamento de cozinhas e copas.</t>
  </si>
  <si>
    <t>Bancada de apóio para equipamento de laboratório simples.</t>
  </si>
  <si>
    <t>Bancada de apóio para equipamento de laboratório de química que pode necessitar desagues e instalações especiais.</t>
  </si>
  <si>
    <t>Bancada de apóio para equipamento de laboratório biológico que pode necessitar instalações especiais.</t>
  </si>
  <si>
    <t>Bancada de apoyo para equipos sanitarios.</t>
  </si>
  <si>
    <t>Bancada de apoyo para equipos de cocina y despensa.</t>
  </si>
  <si>
    <t>Bancada de apoyo para equipos de laboratorio simples.</t>
  </si>
  <si>
    <t>Bancada de apoyo para equipos de laboratorio de química que pueden requerir drenajes e instalaciones especiales.</t>
  </si>
  <si>
    <t>Bancada de apoyo para equipos de laboratorio biológico que pueden requerir instalaciones especiales.</t>
  </si>
  <si>
    <t>Telhado.Livre</t>
  </si>
  <si>
    <t>Beiral.Forro</t>
  </si>
  <si>
    <t>Beiral.Frente</t>
  </si>
  <si>
    <t>Telhado.Verde</t>
  </si>
  <si>
    <t>Guias</t>
  </si>
  <si>
    <t>Placas</t>
  </si>
  <si>
    <t>Vidros</t>
  </si>
  <si>
    <t>Colas</t>
  </si>
  <si>
    <t>Mantas</t>
  </si>
  <si>
    <t>Puxadores</t>
  </si>
  <si>
    <t>Cabides</t>
  </si>
  <si>
    <t>Dobradiças</t>
  </si>
  <si>
    <t>Janelas</t>
  </si>
  <si>
    <t>Claraboias</t>
  </si>
  <si>
    <t>Grelhas</t>
  </si>
  <si>
    <t>Visores</t>
  </si>
  <si>
    <t>Portas</t>
  </si>
  <si>
    <t>Portões</t>
  </si>
  <si>
    <t>PassThroughs</t>
  </si>
  <si>
    <t>Persianas</t>
  </si>
  <si>
    <t>Brises</t>
  </si>
  <si>
    <t>Cavidades</t>
  </si>
  <si>
    <t>Telhados</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</si>
  <si>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</si>
  <si>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</si>
  <si>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</si>
  <si>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</si>
  <si>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</si>
  <si>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</si>
  <si>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</si>
  <si>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</si>
  <si>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</si>
  <si>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</si>
  <si>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</si>
  <si>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</si>
  <si>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</si>
  <si>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</si>
  <si>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</si>
  <si>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Muebles completos, como una mesa, un escritorio, una silla o un armario.</t>
  </si>
  <si>
    <t>Mueble para guardar libros u otros artículos.</t>
  </si>
  <si>
    <t>Sofá.2.Lugares</t>
  </si>
  <si>
    <t>Sofá.3.Lugares</t>
  </si>
  <si>
    <t>Poltrona</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</si>
  <si>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</si>
  <si>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</si>
  <si>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</si>
  <si>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</si>
  <si>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</si>
  <si>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</si>
  <si>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</si>
  <si>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</si>
  <si>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</si>
  <si>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</si>
  <si>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</si>
  <si>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</si>
  <si>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</si>
  <si>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</si>
  <si>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</si>
  <si>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</si>
  <si>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</si>
  <si>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</si>
  <si>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</si>
  <si>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</si>
  <si>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</si>
  <si>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</si>
  <si>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</si>
  <si>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</si>
  <si>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</si>
  <si>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</si>
  <si>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</si>
  <si>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</si>
  <si>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</si>
  <si>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</si>
  <si>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</si>
  <si>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</si>
  <si>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</si>
  <si>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</si>
  <si>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</si>
  <si>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</si>
  <si>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</si>
  <si>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</si>
  <si>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</si>
  <si>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</si>
  <si>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</si>
  <si>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</si>
  <si>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</si>
  <si>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</si>
  <si>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</si>
  <si>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</si>
  <si>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</si>
  <si>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Mesa para computador.</t>
  </si>
  <si>
    <t>Prateleira para libros.</t>
  </si>
  <si>
    <t>Mesa para computadora.</t>
  </si>
  <si>
    <t>Mesa para desenho.</t>
  </si>
  <si>
    <t>Cadeira para sala de aula.</t>
  </si>
  <si>
    <t>Camada.de.Telhado</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</si>
  <si>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</si>
  <si>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</si>
  <si>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</si>
  <si>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</si>
  <si>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</si>
  <si>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</si>
  <si>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</si>
  <si>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</si>
  <si>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</si>
  <si>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</si>
  <si>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</si>
  <si>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</si>
  <si>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</si>
  <si>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</si>
  <si>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</si>
  <si>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</si>
  <si>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</si>
  <si>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</si>
  <si>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</si>
  <si>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</si>
  <si>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</si>
  <si>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</si>
  <si>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</si>
  <si>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</si>
  <si>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</si>
  <si>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</si>
  <si>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</si>
  <si>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</si>
  <si>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</si>
  <si>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</si>
  <si>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</si>
  <si>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</si>
  <si>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Shaft.Instalação</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</si>
  <si>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</si>
  <si>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</si>
  <si>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</si>
  <si>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</si>
  <si>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</si>
  <si>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</si>
  <si>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</si>
  <si>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</si>
  <si>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</si>
  <si>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Shaft.Lógico</t>
  </si>
  <si>
    <t>Passagens verticais tipo shaft exclusivas para instalações de rede de dados.</t>
  </si>
  <si>
    <t>Pasaje vertical tipo shaft exclusivas para instalaciones de rede de datos.</t>
  </si>
  <si>
    <t>Aparelho.Saúde</t>
  </si>
  <si>
    <t>00Super
Class
5</t>
  </si>
  <si>
    <t>Automática</t>
  </si>
  <si>
    <t>Bebedouro</t>
  </si>
  <si>
    <t>Lavatório</t>
  </si>
  <si>
    <t>Vaso.Sanitário.Caixa</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</si>
  <si>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</si>
  <si>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</si>
  <si>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</si>
  <si>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</si>
  <si>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</si>
  <si>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</si>
  <si>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</si>
  <si>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</si>
  <si>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</si>
  <si>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</si>
  <si>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</si>
  <si>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</si>
  <si>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</si>
  <si>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</si>
  <si>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</si>
  <si>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</si>
  <si>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</si>
  <si>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</si>
  <si>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Cola.Madeira</t>
  </si>
  <si>
    <t>Cola.Espuma</t>
  </si>
  <si>
    <t>Cola.Textil</t>
  </si>
  <si>
    <t>Cola.Metal</t>
  </si>
  <si>
    <t>Cola.Louça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</si>
  <si>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</si>
  <si>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</si>
  <si>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</si>
  <si>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</si>
  <si>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</si>
  <si>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</si>
  <si>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</si>
  <si>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</si>
  <si>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</si>
  <si>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</si>
  <si>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</si>
  <si>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</si>
  <si>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</si>
  <si>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</si>
  <si>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</si>
  <si>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</si>
  <si>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</si>
  <si>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</si>
  <si>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</si>
  <si>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</si>
  <si>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</si>
  <si>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</si>
  <si>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</si>
  <si>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</si>
  <si>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</si>
  <si>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</si>
  <si>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</si>
  <si>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</si>
  <si>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Gradil.de.Arame</t>
  </si>
  <si>
    <t>Gradil.de.Barra</t>
  </si>
  <si>
    <t>Alçapões</t>
  </si>
  <si>
    <t>Portão.Garagem</t>
  </si>
  <si>
    <t>Portão.Seccional</t>
  </si>
  <si>
    <t>Shaft.Inespecífico</t>
  </si>
  <si>
    <t>Shaft.Laje</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</si>
  <si>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</si>
  <si>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</si>
  <si>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</si>
  <si>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</si>
  <si>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</si>
  <si>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</si>
  <si>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</si>
  <si>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</si>
  <si>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</si>
  <si>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</si>
  <si>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</si>
  <si>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</si>
  <si>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</si>
  <si>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</si>
  <si>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</si>
  <si>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</si>
  <si>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</si>
  <si>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</si>
  <si>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</si>
  <si>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</si>
  <si>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Cama.Solteirx</t>
  </si>
  <si>
    <t>Cama.Viuvx</t>
  </si>
  <si>
    <t>Telhado.Agua.Furtada</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</si>
  <si>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</si>
  <si>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</si>
  <si>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</si>
  <si>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</si>
  <si>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</si>
  <si>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</si>
  <si>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</si>
  <si>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</si>
  <si>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</si>
  <si>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</si>
  <si>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</si>
  <si>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</si>
  <si>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Mob.Residenciais</t>
  </si>
  <si>
    <t>Mob.Ensino</t>
  </si>
  <si>
    <t>Bancada de apoyo para equipos de bares.</t>
  </si>
  <si>
    <t>Bancada de apóio para equipamento de bares.</t>
  </si>
  <si>
    <t>Bancada.Bar</t>
  </si>
  <si>
    <t>Camadas.Acústicas</t>
  </si>
  <si>
    <t>Placa.Cimentícia</t>
  </si>
  <si>
    <t>Placa.Metálica</t>
  </si>
  <si>
    <t>Placa.Eucatex</t>
  </si>
  <si>
    <t>Placa.Alumínio.Composto</t>
  </si>
  <si>
    <t>Placa.Laminada.TS</t>
  </si>
  <si>
    <t>Placa.Gesso.Acartonado</t>
  </si>
  <si>
    <t>Placa.Pedra</t>
  </si>
  <si>
    <t>Fixadores</t>
  </si>
  <si>
    <t>De.Banheiros</t>
  </si>
  <si>
    <t>Elemento de mobiliário do sistema define componentes de móveis modulares que não são colocados diretamente.</t>
  </si>
  <si>
    <t>El sistema de elementos de mobiliario define los componentes de los muebles modulares que no se colocan directamente.</t>
  </si>
  <si>
    <t>Painel vertical usado para dividir espaços de trabalho.</t>
  </si>
  <si>
    <t>Panel vertical utilizado para dividir espacios de trabajo.</t>
  </si>
  <si>
    <t>Subrack é parte do gabinete técnico que é usado para armazenar e montar subunidades elétricas conectáveis.</t>
  </si>
  <si>
    <t>Forma parte del armario técnico que se utiliza para almacenar y montar subunidades eléctricas enchufables.</t>
  </si>
  <si>
    <t>Bancada da estação de trabalho.</t>
  </si>
  <si>
    <t>Banco de trabajo de la estación de trabajo.</t>
  </si>
  <si>
    <t>Móvel.Sistema.Painel</t>
  </si>
  <si>
    <t>Móvel.Sistema.Modulo</t>
  </si>
  <si>
    <t>Móvel.Sistema.Tampo</t>
  </si>
  <si>
    <t>Móvel.Sistema.Elemento</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</si>
  <si>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</si>
  <si>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</si>
  <si>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</si>
  <si>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</si>
  <si>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</si>
  <si>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</si>
  <si>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</si>
  <si>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</si>
  <si>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</si>
  <si>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</si>
  <si>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Massa: massa de substração.</t>
  </si>
  <si>
    <t>Masa: masa que resta.</t>
  </si>
  <si>
    <t>Massa: parede externa.</t>
  </si>
  <si>
    <t>Masa: pared externa.</t>
  </si>
  <si>
    <t>Massa: parede externa subsolos.</t>
  </si>
  <si>
    <t>Masa: pared exterior del subsuelo.</t>
  </si>
  <si>
    <t>Massa: divisor de faces.</t>
  </si>
  <si>
    <t>Masa: separador de faces.</t>
  </si>
  <si>
    <t>Massa: piso.</t>
  </si>
  <si>
    <t>Masa: piso.</t>
  </si>
  <si>
    <t>Massa: todos os pisos.</t>
  </si>
  <si>
    <t>Misa: todos los pisos.</t>
  </si>
  <si>
    <t>Massa: forma da massa.</t>
  </si>
  <si>
    <t>Masa: forma de la masa.</t>
  </si>
  <si>
    <t>Massa: envidraçado.</t>
  </si>
  <si>
    <t>Masa: ventanas de vidrio.</t>
  </si>
  <si>
    <t>Massa: todos os envidraçados.</t>
  </si>
  <si>
    <t>Masa: todss las ventanas de vidrio.</t>
  </si>
  <si>
    <t>Massa: massa.</t>
  </si>
  <si>
    <t>Masa: masa.</t>
  </si>
  <si>
    <t>Massa: contornos de corte.</t>
  </si>
  <si>
    <t>Masa: corte de contornos.</t>
  </si>
  <si>
    <t>Masa: paredes interiores.</t>
  </si>
  <si>
    <t>Massa: aberturas.</t>
  </si>
  <si>
    <t>Masa: aberturas.</t>
  </si>
  <si>
    <t>Massa: telhados.</t>
  </si>
  <si>
    <t>Masa: techos.</t>
  </si>
  <si>
    <t>Massa: brises.</t>
  </si>
  <si>
    <t>Masa: para-soles.</t>
  </si>
  <si>
    <t>Massa: claraboias.</t>
  </si>
  <si>
    <t>Masa: claraboyas.</t>
  </si>
  <si>
    <t>Massa: lajes.</t>
  </si>
  <si>
    <t>Masa: losas.</t>
  </si>
  <si>
    <t>Misa: todas las paredes.</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</si>
  <si>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</si>
  <si>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</si>
  <si>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</si>
  <si>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</si>
  <si>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</si>
  <si>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</si>
  <si>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</si>
  <si>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</si>
  <si>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</si>
  <si>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</si>
  <si>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</si>
  <si>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</si>
  <si>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</si>
  <si>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</si>
  <si>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</si>
  <si>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</si>
  <si>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</si>
  <si>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</si>
  <si>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</si>
  <si>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</si>
  <si>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</si>
  <si>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</si>
  <si>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</si>
  <si>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</si>
  <si>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</si>
  <si>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</si>
  <si>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Una cubierta de lona u otro material que se extiende sobre una puerta, desde la parte superior de una ventana.</t>
  </si>
  <si>
    <t>Persiana enrollable con lamas horizontales orientables para admitir luz y aire.</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</si>
  <si>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</si>
  <si>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</si>
  <si>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</si>
  <si>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</si>
  <si>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</si>
  <si>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</si>
  <si>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</si>
  <si>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</si>
  <si>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</si>
  <si>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</si>
  <si>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</si>
  <si>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</si>
  <si>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</si>
  <si>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</si>
  <si>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</si>
  <si>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</si>
  <si>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ABNT</t>
  </si>
  <si>
    <t>000 Translate Classe 5</t>
  </si>
  <si>
    <t>Armário.de.Roupas</t>
  </si>
  <si>
    <t>Armário.de.Cozinha</t>
  </si>
  <si>
    <t>Armário para elementos de cozinha, pode ser alto ou baixo bancada.</t>
  </si>
  <si>
    <t>Armário com gavetas deslizantes e espaços para pendurar cabides de guardar roupas.</t>
  </si>
  <si>
    <t>Armário técnico é uma peça de mobiliário para segurar, exibir e proteger aparelhos técnicos.</t>
  </si>
  <si>
    <t>Armário aberto para guardar livros.</t>
  </si>
  <si>
    <t>Explanation</t>
  </si>
  <si>
    <t>Prof. José Luis Menegotto - DEG/POLI/UFRJ</t>
  </si>
  <si>
    <t>Idioma</t>
  </si>
  <si>
    <t>pt</t>
  </si>
  <si>
    <t>es</t>
  </si>
  <si>
    <t>en</t>
  </si>
  <si>
    <t>"-"</t>
  </si>
  <si>
    <t>Aviso</t>
  </si>
  <si>
    <t xml:space="preserve">Traduções ao espanhol e ao inglês incorporadas - As traduções devem ser constantemente revisadas </t>
  </si>
  <si>
    <t>Alert</t>
  </si>
  <si>
    <t>Advertência</t>
  </si>
  <si>
    <t>[ 3E.20 ]</t>
  </si>
  <si>
    <t>Definida</t>
  </si>
  <si>
    <t>Define um contêiner de informação de acordo à norma NBR 19650-1. Definição do Projeto.</t>
  </si>
  <si>
    <t>Requerida</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</si>
  <si>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</si>
  <si>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</si>
  <si>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</si>
  <si>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</si>
  <si>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</si>
  <si>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</si>
  <si>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</si>
  <si>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</si>
  <si>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No.Projeto</t>
  </si>
  <si>
    <t>Elementos.Camadas</t>
  </si>
  <si>
    <t>Elementos.Emplacados</t>
  </si>
  <si>
    <t>Arquitetônico</t>
  </si>
  <si>
    <t>Elementos.de.Vedação</t>
  </si>
  <si>
    <t>Divisórias.Fixas</t>
  </si>
  <si>
    <t>Divisórias.Articuladas</t>
  </si>
  <si>
    <t>Engradados</t>
  </si>
  <si>
    <t>Paredes.Moldadas</t>
  </si>
  <si>
    <t>Paredes.Assentadas</t>
  </si>
  <si>
    <t>Elementos.de.Massas</t>
  </si>
  <si>
    <t>Estudos.de.Arquitetura</t>
  </si>
  <si>
    <t>Camadas.Acessíveis</t>
  </si>
  <si>
    <t>Camadas.Resistentes</t>
  </si>
  <si>
    <t>Camadas.Drenantes</t>
  </si>
  <si>
    <t>Camadas.Paginadas</t>
  </si>
  <si>
    <t>Camadas.Contínuas</t>
  </si>
  <si>
    <t>Camadas.Lisas</t>
  </si>
  <si>
    <t>Camadas.Moduladas</t>
  </si>
  <si>
    <t>Elementos.Ferragens</t>
  </si>
  <si>
    <t>Elementos.de.Bancadas</t>
  </si>
  <si>
    <t>Elementos.de.Esquadrias</t>
  </si>
  <si>
    <t>Elementos.de.Passagens</t>
  </si>
  <si>
    <t>Elementos.Sanitários</t>
  </si>
  <si>
    <t>Elementos.Hospitalares</t>
  </si>
  <si>
    <t>Elementos.de.Mobiliário</t>
  </si>
  <si>
    <t>Calhas.de.Telhados</t>
  </si>
  <si>
    <t>Beiral.do.Telhado</t>
  </si>
  <si>
    <t>Frisos.de.Paredes</t>
  </si>
  <si>
    <t>Mob.Composto</t>
  </si>
  <si>
    <t>Mob.Hospitalar</t>
  </si>
  <si>
    <t>[ IfcSlab ]</t>
  </si>
  <si>
    <t>[ IfcCovering ]</t>
  </si>
  <si>
    <t>[ IfcDoor ]</t>
  </si>
  <si>
    <t>[ IfcWindow ]</t>
  </si>
  <si>
    <t>[ IfcBuildingElementProxy ]</t>
  </si>
  <si>
    <t>[ IfcWall ]</t>
  </si>
  <si>
    <t>[ IfcRailingFENCE ]</t>
  </si>
  <si>
    <t>[ IfcOpeningElementRECESS ]</t>
  </si>
  <si>
    <t>[ IfcRoof ]</t>
  </si>
  <si>
    <t>[ IfcRoofBARREL_ROOF ]</t>
  </si>
  <si>
    <t>[ IfcRoofBUTTERFLY_ROOF ]</t>
  </si>
  <si>
    <t>[ IfcRoofDOME_ROOF ]</t>
  </si>
  <si>
    <t>[ IfcRoofFLAT_ROOF ]</t>
  </si>
  <si>
    <t>[ IfcRoofFREEFORM ]</t>
  </si>
  <si>
    <t>[ IfcRoofSHED_ROOF ]</t>
  </si>
  <si>
    <t>[ IfcRoofGABLE_ROOF ]</t>
  </si>
  <si>
    <t>[ IfcRoofHIP_ROOF ]</t>
  </si>
  <si>
    <t>[ IfcRoofHIPPED_GABLE_ROOF ]</t>
  </si>
  <si>
    <t>[ IfcRoofMANSARD_ROOF ]</t>
  </si>
  <si>
    <t>[ IfcRoofGAMBREL_ROOF ]</t>
  </si>
  <si>
    <t>[ IfcRoofPAVILION_ROOF ]</t>
  </si>
  <si>
    <t>[ IfcRoofRAINBOW_ROOF ]</t>
  </si>
  <si>
    <t>[ IfcCoveringMEMBRANE ]</t>
  </si>
  <si>
    <t>[ IfcCoveringINSULATION ]</t>
  </si>
  <si>
    <t>[ IfcCoveringTOPPING ]</t>
  </si>
  <si>
    <t>[ IfcFastener ]</t>
  </si>
  <si>
    <t>[ IfcCoveringFLOORING ]</t>
  </si>
  <si>
    <t>[ IfcCoveringSKIRTINGBOARD ]</t>
  </si>
  <si>
    <t>[ IfcCoveringCLADDING ]</t>
  </si>
  <si>
    <t>[ IfcCoveringCOPING ]</t>
  </si>
  <si>
    <t>[ IfcCoveringCEILING ]</t>
  </si>
  <si>
    <t>[ IfcDiscreteAccessory ]</t>
  </si>
  <si>
    <t>[ IfcSanitaryTerminal ]</t>
  </si>
  <si>
    <t>[ IfcWindowLIGHTDOME ]</t>
  </si>
  <si>
    <t>[ IfcWindowSKYLIGHT ]</t>
  </si>
  <si>
    <t>[ IfcShadingDeviceJALOUSIE ]</t>
  </si>
  <si>
    <t>[ IfcShadingDeviceAWNING ]</t>
  </si>
  <si>
    <t>[ IfcShadingDeviceSHUTTER ]</t>
  </si>
  <si>
    <t>[ IfcOpeningElement ]</t>
  </si>
  <si>
    <t>[ IfcOpeningElementOPENING ]</t>
  </si>
  <si>
    <t>[ IfcSanitaryTerminalBATH ]</t>
  </si>
  <si>
    <t>[ IfcSanitaryTerminalSANITARYFOUNTAIN ]</t>
  </si>
  <si>
    <t>[ IfcSanitaryTerminalBIDET ]</t>
  </si>
  <si>
    <t>[ IfcSanitaryTerminalSHOWER ]</t>
  </si>
  <si>
    <t>[ IfcSanitaryTerminalWASHHANDBASIN ]</t>
  </si>
  <si>
    <t>[ IfcSanitaryTerminalURINAL ]</t>
  </si>
  <si>
    <t>[ IfcSanitaryTerminalSINK ]</t>
  </si>
  <si>
    <t>[ IfcSanitaryTerminalTOILETPAN ]</t>
  </si>
  <si>
    <t>[ IfcSanitaryTerminalWCSEAT ]</t>
  </si>
  <si>
    <t>[ IfcSanitaryTerminalCISTERN ]</t>
  </si>
  <si>
    <t>[ IfcMedicalDevice ]</t>
  </si>
  <si>
    <t>[ IfcMedicalDeviceAIRSTATION ]</t>
  </si>
  <si>
    <t>[ IfcMedicalDeviceFEEDAIRUNIT ]</t>
  </si>
  <si>
    <t>[ IfcMedicalDeviceVACUUMSTATION ]</t>
  </si>
  <si>
    <t>[ IfcMedicalDeviceOXYGENGENERATOR ]</t>
  </si>
  <si>
    <t>[ IfcMedicalDeviceOXYGENPLANT ]</t>
  </si>
  <si>
    <t>[ IfcDistributionSystemTELEPHONE ]</t>
  </si>
  <si>
    <t>[ IfcSystemFurnitureElement ]</t>
  </si>
  <si>
    <t>[ IfcSystemFurnitureElementPANEL ]</t>
  </si>
  <si>
    <t>[ IfcSystemFurnitureElementSUBRACK ]</t>
  </si>
  <si>
    <t>[ IfcSystemFurnitureElementWORKSURFACE ]</t>
  </si>
  <si>
    <t>[ IfcFurniture ]</t>
  </si>
  <si>
    <t>[ IfcFurnitureBED ]</t>
  </si>
  <si>
    <t>[ IfcFurnitureCHAIR ]</t>
  </si>
  <si>
    <t>[ IfcFurnitureDESK ]</t>
  </si>
  <si>
    <t>[ IfcFurnitureSOFA ]</t>
  </si>
  <si>
    <t>[ IfcFurnitureTABLE ]</t>
  </si>
  <si>
    <t>[ IfcFurnitureFILECABINET ]</t>
  </si>
  <si>
    <t>[ IfcFurnitureTECHNICALCABINET ]</t>
  </si>
  <si>
    <t>[ IfcFurnitureSHELF ]</t>
  </si>
  <si>
    <t>[ OST_Floors ]</t>
  </si>
  <si>
    <t>[ OST_Walls ]</t>
  </si>
  <si>
    <t>[ OST_Ceilings ]</t>
  </si>
  <si>
    <t>[ OST_Doors ]</t>
  </si>
  <si>
    <t>[ OST_Windows ]</t>
  </si>
  <si>
    <t>[ OST_Mass  ]</t>
  </si>
  <si>
    <t>[ OST_MassForm ]</t>
  </si>
  <si>
    <t>[ OST_Massing ]</t>
  </si>
  <si>
    <t>[ OST_MassZone ]</t>
  </si>
  <si>
    <t>[ OST_MassCutter ]</t>
  </si>
  <si>
    <t>[ OST_MassFaceSplitter ]</t>
  </si>
  <si>
    <t>[ OST_MassingCutOutlines ]</t>
  </si>
  <si>
    <t>[ OST_MassingProjectionOutlines ]</t>
  </si>
  <si>
    <t>[ OST_MassFloor ]</t>
  </si>
  <si>
    <t>[ OST_MassFloorsAll ]</t>
  </si>
  <si>
    <t>[ OST_MassExteriorWall ]</t>
  </si>
  <si>
    <t>[ OST_MassExteriorWallUnderground ]</t>
  </si>
  <si>
    <t>[ OST_MassGlazing ]</t>
  </si>
  <si>
    <t>[ OST_MassGlazingAll ]</t>
  </si>
  <si>
    <t>[ OST_MassInteriorWall ]</t>
  </si>
  <si>
    <t>[ OST_MassWallsAll ]</t>
  </si>
  <si>
    <t>[ OST_MassOpening ]</t>
  </si>
  <si>
    <t>[ OST_MassSlab ]</t>
  </si>
  <si>
    <t>[ OST_MassRoof ]</t>
  </si>
  <si>
    <t>[ OST_MassShade ]</t>
  </si>
  <si>
    <t>[ OST_MassSkylights ]</t>
  </si>
  <si>
    <t>[ OST_Curtain_Systems ]</t>
  </si>
  <si>
    <t>[ OST_Cornices ]</t>
  </si>
  <si>
    <t>[ OST_EdgeSlab ]</t>
  </si>
  <si>
    <t>[ OST_Reveals ]</t>
  </si>
  <si>
    <t>[ OST_Roofs ]</t>
  </si>
  <si>
    <t>[ OST_RoofOpening ]</t>
  </si>
  <si>
    <t>[ OST_RoofsInteriorEdges ]</t>
  </si>
  <si>
    <t>[ OST_Fascia ]</t>
  </si>
  <si>
    <t>[ OST_RoofSoffit ]</t>
  </si>
  <si>
    <t>[ OST_Gutter ]</t>
  </si>
  <si>
    <t>[ OST_RoofsProjection ]</t>
  </si>
  <si>
    <t>[ OST_RoofsStructure ]</t>
  </si>
  <si>
    <t>[ OST_RoofsSubstrate ]</t>
  </si>
  <si>
    <t>[ OST_WallCoreLayer , OST_Parts ]</t>
  </si>
  <si>
    <t>[ OST_WallsSubstrate , OST_Parts  ]</t>
  </si>
  <si>
    <t>[ OST_WallsInsulation , OST_Parts  ]</t>
  </si>
  <si>
    <t>[ OST_FloorsSubstrate , OST_Parts  ]</t>
  </si>
  <si>
    <t>[ OST_FloorsInsulation , OST_Parts  ]</t>
  </si>
  <si>
    <t>[ OST_FloorsSubstrate , OST_WallsSubstrate , OST_CeilingsSubstrate , OST_Parts  ]</t>
  </si>
  <si>
    <t>[ OST_FloorsMembrane , OST_Parts  ]</t>
  </si>
  <si>
    <t>[ OST_FloorsFinish1 , OST_FloorsFinish2 , OST_Parts  ]</t>
  </si>
  <si>
    <t>[ OST_WallsFinish1 , OST_WallsFinish2 , OST_Parts  ]</t>
  </si>
  <si>
    <t>[ OST_CeilingsFinish1 , OST_CeilingsFinish2 , OST_Parts  ]</t>
  </si>
  <si>
    <t>[ OST_Curtain_Systems , OST_CurtainWallPanels ]</t>
  </si>
  <si>
    <t>[ OST_Curtain_Systems , OST_CurtainWallMullions ]</t>
  </si>
  <si>
    <t>[ OST_MEPAncillaryFraming ]</t>
  </si>
  <si>
    <t>[ OST_Entourage ]</t>
  </si>
  <si>
    <t>[ OST_PlumbingFixtures , OST_PlumbingEquipment ]</t>
  </si>
  <si>
    <t>[ OST_Curtain_Systems , OST_CurtainWallPanels ,  OST_CurtainWallMullions ]</t>
  </si>
  <si>
    <t>[ OST_IOSOpening ]</t>
  </si>
  <si>
    <t>[ OST_ShaftOpening ]</t>
  </si>
  <si>
    <t>[ OST_MedicalEquipment ]</t>
  </si>
  <si>
    <t>[ OST_NurseCallDevices ]</t>
  </si>
  <si>
    <t>[ OST_FurnitureSystems ]</t>
  </si>
  <si>
    <t>[ OST_Furniture ]</t>
  </si>
  <si>
    <t>[ ST_Casework ]</t>
  </si>
  <si>
    <t>Núcleo.da.Parede</t>
  </si>
  <si>
    <t>Argamassa.da.Parede</t>
  </si>
  <si>
    <t>Bancadas.Residenciais</t>
  </si>
  <si>
    <t>Bancadas.Laboratoriais</t>
  </si>
  <si>
    <t>Ontologia para descrever elementos Arquitetônicos - Pisos - Paredes - Divisórias e Tetos, Esquadrias, Bancadas...</t>
  </si>
  <si>
    <t>Telha_PO</t>
  </si>
  <si>
    <t>classe</t>
  </si>
  <si>
    <t>"PO"</t>
  </si>
  <si>
    <t>"Telhado de fibrocimento de Pequenas ondas"</t>
  </si>
  <si>
    <t>altura.nominal.da.onda</t>
  </si>
  <si>
    <t>"15 ≤    h ≤ 25"</t>
  </si>
  <si>
    <t>espessura.nominal</t>
  </si>
  <si>
    <t>carga.mínima.ruptura.saturada</t>
  </si>
  <si>
    <t>carga.mínima.ruptura.seca</t>
  </si>
  <si>
    <t>norma</t>
  </si>
  <si>
    <t>Telha_MO4</t>
  </si>
  <si>
    <t>"MO4"</t>
  </si>
  <si>
    <t>"Telhado de fibrocimento de Médias ondas"</t>
  </si>
  <si>
    <t>"25 &lt;    h ≤ 40"</t>
  </si>
  <si>
    <t>Telha_MO5</t>
  </si>
  <si>
    <t>"MO5"</t>
  </si>
  <si>
    <t>Telha_GO5</t>
  </si>
  <si>
    <t>"GO5"</t>
  </si>
  <si>
    <t>"Telhado de fibrocimento de Grandes ondas"</t>
  </si>
  <si>
    <t>"40 &lt;    h ≤ 105"</t>
  </si>
  <si>
    <t>Telha_GO6</t>
  </si>
  <si>
    <t>"GO6"</t>
  </si>
  <si>
    <t>Telha_GO7</t>
  </si>
  <si>
    <t>"GO7"</t>
  </si>
  <si>
    <t>Telha_GO8</t>
  </si>
  <si>
    <t>"GO8"</t>
  </si>
  <si>
    <t>Telha_GG6</t>
  </si>
  <si>
    <t>"GG6"</t>
  </si>
  <si>
    <t>"Telhado de fibrocimento de Ondas Muito Grandes"</t>
  </si>
  <si>
    <t>"105 &lt; h ≤ 150"</t>
  </si>
  <si>
    <t>Telha_GG7</t>
  </si>
  <si>
    <t>"GG7"</t>
  </si>
  <si>
    <t>Telha_GG8</t>
  </si>
  <si>
    <t>"GG8"</t>
  </si>
  <si>
    <t>Telha_TE7</t>
  </si>
  <si>
    <t>"TE7"</t>
  </si>
  <si>
    <t>"Telhado de fibrocimento de Telha Estrutural L &lt; 0.7"</t>
  </si>
  <si>
    <t>"150 &lt; h"</t>
  </si>
  <si>
    <t>"NE"</t>
  </si>
  <si>
    <t>Telha_TE8</t>
  </si>
  <si>
    <t>"TE8"</t>
  </si>
  <si>
    <t>"Telhado de fibrocimento de Telha Estrutural L &gt;=0.7"</t>
  </si>
  <si>
    <t>"Eternit"</t>
  </si>
  <si>
    <t>"Aplica a NBR 15210-1:2025"</t>
  </si>
  <si>
    <t>Janela.Abertura</t>
  </si>
  <si>
    <t>Porta.Abertura</t>
  </si>
  <si>
    <t>diâmetro</t>
  </si>
  <si>
    <t>é.emplacada.com</t>
  </si>
  <si>
    <t>Projeto_01</t>
  </si>
  <si>
    <t>é.usado.em</t>
  </si>
  <si>
    <t>"Projeto de teste para formalização ontológica"</t>
  </si>
  <si>
    <t>projeto.nome</t>
  </si>
  <si>
    <t>projeto.etapa</t>
  </si>
  <si>
    <t>"Estudo preliminar"</t>
  </si>
  <si>
    <t>projeto.código</t>
  </si>
  <si>
    <t>quem.fabricou</t>
  </si>
  <si>
    <t>Conceito</t>
  </si>
  <si>
    <t>0 Val</t>
  </si>
  <si>
    <t>"Definição de um Indivíduo de Classe Conceitual. Não tem existência no projeto se não houver um Indivíduo da classe Projeto."</t>
  </si>
  <si>
    <t>"Definição de um Indivíduo de Classe Conceitual. Não tem existência no projeto se não estiver representado por um Indivíduo da classe Projeto."</t>
  </si>
  <si>
    <t>Projeto_A</t>
  </si>
  <si>
    <t>"[ Nome do projeto  ]"</t>
  </si>
  <si>
    <t>"[ OST_Floors  ]"</t>
  </si>
  <si>
    <t>"[ -  ]"</t>
  </si>
  <si>
    <t>"[ OST_Walls  ]"</t>
  </si>
  <si>
    <t>"[ OST_Roofs  ]"</t>
  </si>
  <si>
    <t>"[ OST_Mass  ]"</t>
  </si>
  <si>
    <t>"[ PRJ001  ]"</t>
  </si>
  <si>
    <t>"[ IfcWall  ]"</t>
  </si>
  <si>
    <t>"[ IfcRoof  ]"</t>
  </si>
  <si>
    <t>"[ IfcBuildingElementProxy ]"</t>
  </si>
  <si>
    <t>Projetado Circulação</t>
  </si>
  <si>
    <t>Telhado_A</t>
  </si>
  <si>
    <t>"Telhado projetado para o Predio A projetado"</t>
  </si>
  <si>
    <t>"Predio projetado denominado Predio A"</t>
  </si>
  <si>
    <t>código.abnt</t>
  </si>
  <si>
    <t>"[ - ]"</t>
  </si>
  <si>
    <t>é.projeto.de</t>
  </si>
  <si>
    <t>"Indivíduo Concreto de um projeto de arquitetura. É um tipo de classe Projeto que representa um indivíduo Conceitual através de uma propriedade de objeto (ex. é.projeto.de Projeto_01)"</t>
  </si>
  <si>
    <t>é.revestido.com</t>
  </si>
  <si>
    <t>Piso_Salas_01</t>
  </si>
  <si>
    <t>Piso_Sanit_01</t>
  </si>
  <si>
    <t>"Acabamentos de pisos projetados para os Sanitarios"</t>
  </si>
  <si>
    <t>"Acabamentos de pisos projetados para as Salas"</t>
  </si>
  <si>
    <t>Telhado.</t>
  </si>
  <si>
    <t>Tejado.</t>
  </si>
  <si>
    <t>De.Arquitetura</t>
  </si>
  <si>
    <t>Tipos</t>
  </si>
  <si>
    <t>Elementos.Projetados</t>
  </si>
  <si>
    <t>Projeto.de.Edifício</t>
  </si>
  <si>
    <t>Projeto.de.Parede</t>
  </si>
  <si>
    <t>Projeto.de.Telhado</t>
  </si>
  <si>
    <t>Projeto.de.Piso</t>
  </si>
  <si>
    <t>Projeto.de.Acesso</t>
  </si>
  <si>
    <t>Projeto.de.Layout</t>
  </si>
  <si>
    <t>Projeto.de.Acabamento</t>
  </si>
  <si>
    <t>Projeto de Edifício</t>
  </si>
  <si>
    <t>Projeto de Telhado</t>
  </si>
  <si>
    <t>Projeto de Parede</t>
  </si>
  <si>
    <t>Projeto de Piso</t>
  </si>
  <si>
    <t>Projeto de Acesso</t>
  </si>
  <si>
    <t>Projeto de Layout</t>
  </si>
  <si>
    <t>Projeto de Acabamento</t>
  </si>
  <si>
    <t>Projeto.de.Circulação</t>
  </si>
  <si>
    <t>quem.fabrica</t>
  </si>
  <si>
    <t>"Portobello"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</si>
</sst>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sz val="5"/>
      <color rgb="FF000000"/>
      <name val="Arial Nova Cond Light"/>
      <family val="2"/>
    </font>
    <font>
      <b/>
      <sz val="11"/>
      <color theme="1"/>
      <name val="Aptos Narrow"/>
      <family val="2"/>
      <scheme val="minor"/>
    </font>
    <font>
      <sz val="6"/>
      <color theme="1"/>
      <name val="Arial Nova Cond"/>
      <family val="2"/>
    </font>
    <font>
      <i/>
      <sz val="5"/>
      <name val="Arial Nova Cond Light"/>
      <family val="2"/>
    </font>
    <font>
      <i/>
      <sz val="11"/>
      <color rgb="FF000000"/>
      <name val="Aptos Narrow"/>
      <family val="2"/>
      <charset val="1"/>
    </font>
    <font>
      <b/>
      <sz val="5"/>
      <color rgb="FF000000"/>
      <name val="Arial Nova Cond Light"/>
      <family val="2"/>
    </font>
    <font>
      <b/>
      <sz val="6"/>
      <color theme="1"/>
      <name val="Arial Nova Cond Light"/>
      <family val="2"/>
    </font>
    <font>
      <sz val="8"/>
      <color theme="1"/>
      <name val="Arial Nova Cond Light"/>
      <family val="2"/>
    </font>
    <font>
      <sz val="5"/>
      <name val="Arial Nova Cond Light"/>
      <family val="2"/>
    </font>
  </fonts>
  <fills count="25">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rgb="FFFFC000"/>
        <bgColor indexed="64"/>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8" tint="0.79998168889431442"/>
        <bgColor indexed="64"/>
      </patternFill>
    </fill>
    <fill>
      <patternFill patternType="solid">
        <fgColor theme="8" tint="0.79998168889431442"/>
        <bgColor rgb="FFFFFFCC"/>
      </patternFill>
    </fill>
  </fills>
  <borders count="8">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1">
    <xf numFmtId="0" fontId="0" fillId="0" borderId="0"/>
  </cellStyleXfs>
  <cellXfs count="89">
    <xf numFmtId="0" fontId="0" fillId="0" borderId="0" xfId="0"/>
    <xf numFmtId="0" fontId="2" fillId="5" borderId="4" xfId="0" applyFont="1" applyFill="1" applyBorder="1" applyAlignment="1">
      <alignment horizontal="left" vertical="center"/>
    </xf>
    <xf numFmtId="0" fontId="7" fillId="4" borderId="6"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2" borderId="5"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2" borderId="4" xfId="0" applyFont="1" applyFill="1" applyBorder="1" applyAlignment="1">
      <alignment horizontal="left" vertical="center" wrapText="1"/>
    </xf>
    <xf numFmtId="0" fontId="3" fillId="13" borderId="4" xfId="0" applyFont="1" applyFill="1" applyBorder="1" applyAlignment="1">
      <alignment horizontal="left" vertical="center" wrapText="1"/>
    </xf>
    <xf numFmtId="0" fontId="2" fillId="14" borderId="4" xfId="0" applyFont="1" applyFill="1" applyBorder="1" applyAlignment="1">
      <alignment horizontal="left" vertical="center"/>
    </xf>
    <xf numFmtId="0" fontId="3" fillId="12"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5" borderId="1" xfId="0" applyFont="1" applyFill="1" applyBorder="1" applyAlignment="1">
      <alignment horizontal="left" vertical="center"/>
    </xf>
    <xf numFmtId="0" fontId="2" fillId="5"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2" fillId="14" borderId="4" xfId="0" applyFont="1" applyFill="1" applyBorder="1" applyAlignment="1">
      <alignment vertical="center"/>
    </xf>
    <xf numFmtId="0" fontId="8" fillId="2" borderId="4" xfId="0" applyFont="1" applyFill="1" applyBorder="1" applyAlignment="1">
      <alignment horizontal="center" vertical="center" wrapText="1"/>
    </xf>
    <xf numFmtId="0" fontId="8" fillId="2" borderId="4" xfId="0" applyFont="1" applyFill="1" applyBorder="1" applyAlignment="1">
      <alignment horizontal="left" vertical="center" wrapText="1"/>
    </xf>
    <xf numFmtId="0" fontId="8" fillId="3" borderId="4" xfId="0" applyFont="1" applyFill="1" applyBorder="1" applyAlignment="1">
      <alignment horizontal="left" vertical="center" wrapText="1"/>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4" borderId="4" xfId="0" applyFont="1" applyFill="1" applyBorder="1" applyAlignment="1">
      <alignment horizontal="left" vertical="center"/>
    </xf>
    <xf numFmtId="0" fontId="2" fillId="14" borderId="4" xfId="0" applyFont="1" applyFill="1" applyBorder="1" applyAlignment="1">
      <alignment horizontal="left" vertical="center" wrapText="1"/>
    </xf>
    <xf numFmtId="0" fontId="5" fillId="8" borderId="4" xfId="0" applyFont="1" applyFill="1" applyBorder="1" applyAlignment="1">
      <alignment horizontal="center" vertical="center"/>
    </xf>
    <xf numFmtId="0" fontId="5" fillId="8" borderId="4" xfId="0" applyFont="1" applyFill="1" applyBorder="1" applyAlignment="1">
      <alignment horizontal="left" vertical="center"/>
    </xf>
    <xf numFmtId="0" fontId="2" fillId="5" borderId="4" xfId="0" applyFont="1" applyFill="1" applyBorder="1" applyAlignment="1">
      <alignment vertical="center"/>
    </xf>
    <xf numFmtId="0" fontId="8" fillId="3" borderId="4" xfId="0" applyFont="1" applyFill="1" applyBorder="1" applyAlignment="1">
      <alignment vertical="center" wrapText="1"/>
    </xf>
    <xf numFmtId="0" fontId="4" fillId="10" borderId="4" xfId="0" applyFont="1" applyFill="1" applyBorder="1" applyAlignment="1">
      <alignment horizontal="center" vertical="center"/>
    </xf>
    <xf numFmtId="0" fontId="3" fillId="3" borderId="7" xfId="0" applyFont="1" applyFill="1" applyBorder="1" applyAlignment="1">
      <alignment horizontal="left" vertical="center" wrapText="1"/>
    </xf>
    <xf numFmtId="0" fontId="2" fillId="17" borderId="4" xfId="0" applyFont="1" applyFill="1" applyBorder="1" applyAlignment="1">
      <alignment horizontal="left" vertical="center"/>
    </xf>
    <xf numFmtId="0" fontId="2" fillId="10" borderId="4" xfId="0" applyFont="1" applyFill="1" applyBorder="1" applyAlignment="1">
      <alignment horizontal="left" vertical="center"/>
    </xf>
    <xf numFmtId="0" fontId="6" fillId="10" borderId="4" xfId="0" applyFont="1" applyFill="1" applyBorder="1" applyAlignment="1">
      <alignment horizontal="center" vertical="center"/>
    </xf>
    <xf numFmtId="0" fontId="4" fillId="20" borderId="4" xfId="0" applyFont="1" applyFill="1" applyBorder="1" applyAlignment="1">
      <alignment horizontal="left" vertical="center"/>
    </xf>
    <xf numFmtId="0" fontId="4" fillId="10" borderId="4" xfId="0" applyFont="1" applyFill="1" applyBorder="1" applyAlignment="1">
      <alignment horizontal="left" vertical="center"/>
    </xf>
    <xf numFmtId="0" fontId="4" fillId="17" borderId="4" xfId="0" applyFont="1" applyFill="1" applyBorder="1" applyAlignment="1">
      <alignment horizontal="left" vertical="center" wrapText="1"/>
    </xf>
    <xf numFmtId="0" fontId="2" fillId="10" borderId="4" xfId="0" applyFont="1" applyFill="1" applyBorder="1" applyAlignment="1">
      <alignment horizontal="left" vertical="center" wrapText="1"/>
    </xf>
    <xf numFmtId="0" fontId="2" fillId="17" borderId="4" xfId="0" applyFont="1" applyFill="1" applyBorder="1" applyAlignment="1">
      <alignment horizontal="left" vertical="center" wrapText="1"/>
    </xf>
    <xf numFmtId="0" fontId="10" fillId="0" borderId="0" xfId="0" applyFont="1" applyAlignment="1">
      <alignment horizontal="center" vertical="center"/>
    </xf>
    <xf numFmtId="0" fontId="10" fillId="0" borderId="0" xfId="0" applyFont="1" applyAlignment="1">
      <alignment horizontal="left" vertical="center"/>
    </xf>
    <xf numFmtId="0" fontId="8" fillId="3" borderId="4" xfId="0" applyFont="1" applyFill="1" applyBorder="1" applyAlignment="1">
      <alignment horizontal="center" vertical="center" wrapText="1"/>
    </xf>
    <xf numFmtId="0" fontId="2" fillId="14" borderId="4" xfId="0" applyFont="1" applyFill="1" applyBorder="1" applyAlignment="1">
      <alignment horizontal="center" vertical="center"/>
    </xf>
    <xf numFmtId="0" fontId="11" fillId="2" borderId="4" xfId="0" applyFont="1" applyFill="1" applyBorder="1" applyAlignment="1">
      <alignment horizontal="center" vertical="center" wrapText="1"/>
    </xf>
    <xf numFmtId="0" fontId="7" fillId="2" borderId="4" xfId="0" applyFont="1" applyFill="1" applyBorder="1" applyAlignment="1">
      <alignment horizontal="center" vertical="center"/>
    </xf>
    <xf numFmtId="0" fontId="12" fillId="0" borderId="0" xfId="0" applyFont="1"/>
    <xf numFmtId="0" fontId="4" fillId="2" borderId="4" xfId="0" applyFont="1" applyFill="1" applyBorder="1" applyAlignment="1">
      <alignment horizontal="center" vertical="center"/>
    </xf>
    <xf numFmtId="0" fontId="13" fillId="3" borderId="4" xfId="0" applyFont="1" applyFill="1" applyBorder="1" applyAlignment="1">
      <alignment horizontal="left" vertical="center" wrapText="1"/>
    </xf>
    <xf numFmtId="0" fontId="14" fillId="21" borderId="4" xfId="0" applyFont="1" applyFill="1" applyBorder="1" applyAlignment="1">
      <alignment horizontal="center" vertical="center"/>
    </xf>
    <xf numFmtId="0" fontId="6" fillId="0" borderId="4" xfId="0" applyFont="1" applyBorder="1" applyAlignment="1">
      <alignment horizontal="center" vertical="center"/>
    </xf>
    <xf numFmtId="0" fontId="15" fillId="0" borderId="0" xfId="0" applyFont="1" applyAlignment="1">
      <alignment vertical="center"/>
    </xf>
    <xf numFmtId="0" fontId="4" fillId="11" borderId="4" xfId="0" applyFont="1" applyFill="1" applyBorder="1" applyAlignment="1">
      <alignment horizontal="left" vertical="center"/>
    </xf>
    <xf numFmtId="0" fontId="4" fillId="18" borderId="4" xfId="0" applyFont="1" applyFill="1" applyBorder="1" applyAlignment="1">
      <alignment horizontal="left" vertical="center" wrapText="1"/>
    </xf>
    <xf numFmtId="0" fontId="6" fillId="11" borderId="4" xfId="0" applyFont="1" applyFill="1" applyBorder="1" applyAlignment="1">
      <alignment horizontal="left" vertical="center"/>
    </xf>
    <xf numFmtId="0" fontId="6" fillId="10" borderId="4" xfId="0" applyFont="1" applyFill="1" applyBorder="1" applyAlignment="1">
      <alignment horizontal="left" vertical="center"/>
    </xf>
    <xf numFmtId="0" fontId="4" fillId="18" borderId="4" xfId="0" applyFont="1" applyFill="1" applyBorder="1" applyAlignment="1">
      <alignment horizontal="left" vertical="center"/>
    </xf>
    <xf numFmtId="0" fontId="5" fillId="8" borderId="4" xfId="0" applyFont="1" applyFill="1" applyBorder="1" applyAlignment="1">
      <alignment horizontal="left" vertical="center" wrapText="1"/>
    </xf>
    <xf numFmtId="0" fontId="16" fillId="2" borderId="4" xfId="0" applyFont="1" applyFill="1" applyBorder="1" applyAlignment="1">
      <alignment horizontal="center" vertical="center" wrapText="1"/>
    </xf>
    <xf numFmtId="0" fontId="2" fillId="23" borderId="4" xfId="0" applyFont="1" applyFill="1" applyBorder="1" applyAlignment="1">
      <alignment horizontal="left" vertical="center"/>
    </xf>
    <xf numFmtId="0" fontId="4" fillId="24" borderId="4" xfId="0" applyFont="1" applyFill="1" applyBorder="1" applyAlignment="1">
      <alignment horizontal="left" vertical="center"/>
    </xf>
    <xf numFmtId="0" fontId="6" fillId="23" borderId="4" xfId="0" applyFont="1" applyFill="1" applyBorder="1" applyAlignment="1">
      <alignment horizontal="left" vertical="center"/>
    </xf>
    <xf numFmtId="0" fontId="2" fillId="22" borderId="4" xfId="0" applyFont="1" applyFill="1" applyBorder="1" applyAlignment="1">
      <alignment horizontal="left" vertical="center"/>
    </xf>
    <xf numFmtId="0" fontId="0" fillId="0" borderId="0" xfId="0" applyAlignment="1">
      <alignment horizontal="left"/>
    </xf>
    <xf numFmtId="0" fontId="3" fillId="3" borderId="7" xfId="0" applyFont="1" applyFill="1" applyBorder="1" applyAlignment="1">
      <alignment horizontal="center" vertical="center" wrapText="1"/>
    </xf>
    <xf numFmtId="0" fontId="0" fillId="0" borderId="0" xfId="0" applyAlignment="1">
      <alignment horizontal="center"/>
    </xf>
    <xf numFmtId="0" fontId="2" fillId="10" borderId="4" xfId="0" applyFont="1" applyFill="1" applyBorder="1" applyAlignment="1">
      <alignment horizontal="center" vertical="center"/>
    </xf>
    <xf numFmtId="0" fontId="9" fillId="0" borderId="0" xfId="0" applyFont="1" applyAlignment="1">
      <alignment horizontal="left" vertical="center"/>
    </xf>
    <xf numFmtId="0" fontId="0" fillId="0" borderId="0" xfId="0" applyAlignment="1">
      <alignment horizontal="left" vertical="center"/>
    </xf>
    <xf numFmtId="47" fontId="4" fillId="20" borderId="4" xfId="0" applyNumberFormat="1" applyFont="1" applyFill="1" applyBorder="1" applyAlignment="1">
      <alignment horizontal="left" vertical="center"/>
    </xf>
    <xf numFmtId="0" fontId="2" fillId="19" borderId="4" xfId="0" applyFont="1" applyFill="1" applyBorder="1" applyAlignment="1">
      <alignment horizontal="left" vertical="center"/>
    </xf>
    <xf numFmtId="0" fontId="6" fillId="19" borderId="4" xfId="0" applyFont="1" applyFill="1" applyBorder="1" applyAlignment="1">
      <alignment horizontal="left" vertical="center"/>
    </xf>
    <xf numFmtId="0" fontId="6" fillId="17" borderId="4" xfId="0" applyFont="1" applyFill="1" applyBorder="1" applyAlignment="1">
      <alignment horizontal="left" vertical="center"/>
    </xf>
    <xf numFmtId="0" fontId="6" fillId="0" borderId="0" xfId="0" applyFont="1" applyAlignment="1">
      <alignment horizontal="left" vertical="center"/>
    </xf>
    <xf numFmtId="0" fontId="5" fillId="8" borderId="4" xfId="0" applyFont="1" applyFill="1" applyBorder="1" applyAlignment="1">
      <alignment horizontal="right" vertical="center"/>
    </xf>
    <xf numFmtId="0" fontId="4" fillId="9" borderId="4" xfId="0" applyFont="1" applyFill="1" applyBorder="1" applyAlignment="1">
      <alignment horizontal="right" vertical="center"/>
    </xf>
    <xf numFmtId="0" fontId="10" fillId="0" borderId="0" xfId="0" applyFont="1" applyAlignment="1">
      <alignment horizontal="right" vertical="center"/>
    </xf>
    <xf numFmtId="0" fontId="14" fillId="8" borderId="4" xfId="0" applyFont="1" applyFill="1" applyBorder="1" applyAlignment="1">
      <alignment horizontal="left" vertical="center"/>
    </xf>
    <xf numFmtId="2" fontId="14" fillId="8" borderId="4" xfId="0" applyNumberFormat="1" applyFont="1" applyFill="1" applyBorder="1" applyAlignment="1">
      <alignment horizontal="center" vertical="center"/>
    </xf>
    <xf numFmtId="0" fontId="3" fillId="3" borderId="7" xfId="0" applyFont="1" applyFill="1" applyBorder="1" applyAlignment="1">
      <alignment vertical="center" wrapText="1"/>
    </xf>
  </cellXfs>
  <cellStyles count="1">
    <cellStyle name="Normal" xfId="0" builtinId="0"/>
  </cellStyles>
  <dxfs count="35">
    <dxf>
      <font>
        <b val="0"/>
        <i/>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3"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C26"/>
  <sheetViews>
    <sheetView zoomScale="160" zoomScaleNormal="160" workbookViewId="0">
      <pane ySplit="1" topLeftCell="A2" activePane="bottomLeft" state="frozen"/>
      <selection pane="bottomLeft" activeCell="B18" sqref="B18"/>
    </sheetView>
  </sheetViews>
  <sheetFormatPr defaultColWidth="9.15234375" defaultRowHeight="9.65" customHeight="1" x14ac:dyDescent="0.4"/>
  <cols>
    <col min="1" max="1" width="9.3046875" style="30" customWidth="1"/>
    <col min="2" max="2" width="73.84375" style="30" bestFit="1" customWidth="1"/>
    <col min="3" max="3" width="3.3828125" style="60" bestFit="1" customWidth="1"/>
    <col min="4" max="16384" width="9.15234375" style="30"/>
  </cols>
  <sheetData>
    <row r="1" spans="1:3" ht="9.65" customHeight="1" x14ac:dyDescent="0.4">
      <c r="A1" s="12" t="s">
        <v>44</v>
      </c>
      <c r="B1" s="12" t="s">
        <v>45</v>
      </c>
      <c r="C1" s="58" t="s">
        <v>1359</v>
      </c>
    </row>
    <row r="2" spans="1:3" ht="9.65" customHeight="1" x14ac:dyDescent="0.4">
      <c r="A2" s="13" t="s">
        <v>46</v>
      </c>
      <c r="B2" s="13" t="s">
        <v>47</v>
      </c>
      <c r="C2" s="59" t="s">
        <v>1360</v>
      </c>
    </row>
    <row r="3" spans="1:3" ht="9.65" customHeight="1" x14ac:dyDescent="0.4">
      <c r="A3" s="13" t="s">
        <v>48</v>
      </c>
      <c r="B3" s="13" t="s">
        <v>1383</v>
      </c>
      <c r="C3" s="59" t="s">
        <v>1360</v>
      </c>
    </row>
    <row r="4" spans="1:3" ht="9.65" customHeight="1" x14ac:dyDescent="0.4">
      <c r="A4" s="14" t="s">
        <v>49</v>
      </c>
      <c r="B4" s="14" t="s">
        <v>32</v>
      </c>
      <c r="C4" s="59" t="s">
        <v>1360</v>
      </c>
    </row>
    <row r="5" spans="1:3" ht="9.65" customHeight="1" x14ac:dyDescent="0.4">
      <c r="A5" s="14" t="s">
        <v>50</v>
      </c>
      <c r="B5" s="14" t="str">
        <f>_xlfn.CONCAT(B4,"Prop")</f>
        <v>BIMProp</v>
      </c>
      <c r="C5" s="59" t="s">
        <v>1360</v>
      </c>
    </row>
    <row r="6" spans="1:3" ht="9.65" customHeight="1" x14ac:dyDescent="0.4">
      <c r="A6" s="14" t="s">
        <v>51</v>
      </c>
      <c r="B6" s="14" t="str">
        <f>_xlfn.CONCAT(B4,"Data")</f>
        <v>BIMData</v>
      </c>
      <c r="C6" s="59" t="s">
        <v>1360</v>
      </c>
    </row>
    <row r="7" spans="1:3" ht="9.65" customHeight="1" x14ac:dyDescent="0.4">
      <c r="A7" s="14" t="s">
        <v>52</v>
      </c>
      <c r="B7" s="14" t="s">
        <v>53</v>
      </c>
      <c r="C7" s="59" t="s">
        <v>1360</v>
      </c>
    </row>
    <row r="8" spans="1:3" customFormat="1" ht="9" customHeight="1" x14ac:dyDescent="0.4">
      <c r="A8" s="14" t="s">
        <v>54</v>
      </c>
      <c r="B8" s="14" t="s">
        <v>1358</v>
      </c>
      <c r="C8" s="59" t="s">
        <v>1360</v>
      </c>
    </row>
    <row r="9" spans="1:3" ht="9.65" customHeight="1" x14ac:dyDescent="0.4">
      <c r="A9" s="14" t="s">
        <v>55</v>
      </c>
      <c r="B9" s="14" t="s">
        <v>56</v>
      </c>
      <c r="C9" s="59" t="s">
        <v>1360</v>
      </c>
    </row>
    <row r="10" spans="1:3" ht="9.65" customHeight="1" x14ac:dyDescent="0.4">
      <c r="A10" s="14" t="s">
        <v>57</v>
      </c>
      <c r="B10" s="14" t="s">
        <v>58</v>
      </c>
      <c r="C10" s="59" t="s">
        <v>1360</v>
      </c>
    </row>
    <row r="11" spans="1:3" ht="9.65" customHeight="1" x14ac:dyDescent="0.4">
      <c r="A11" s="14" t="s">
        <v>59</v>
      </c>
      <c r="B11" s="14" t="s">
        <v>58</v>
      </c>
      <c r="C11" s="59" t="s">
        <v>1360</v>
      </c>
    </row>
    <row r="12" spans="1:3" ht="9.65" customHeight="1" x14ac:dyDescent="0.4">
      <c r="A12" s="14" t="s">
        <v>60</v>
      </c>
      <c r="B12" s="14" t="s">
        <v>58</v>
      </c>
      <c r="C12" s="59" t="s">
        <v>1360</v>
      </c>
    </row>
    <row r="13" spans="1:3" ht="9.65" customHeight="1" x14ac:dyDescent="0.4">
      <c r="A13" s="14" t="s">
        <v>61</v>
      </c>
      <c r="B13" s="14" t="s">
        <v>58</v>
      </c>
      <c r="C13" s="59" t="s">
        <v>1360</v>
      </c>
    </row>
    <row r="14" spans="1:3" ht="9.65" customHeight="1" x14ac:dyDescent="0.4">
      <c r="A14" s="14" t="s">
        <v>62</v>
      </c>
      <c r="B14" s="14" t="s">
        <v>58</v>
      </c>
      <c r="C14" s="59" t="s">
        <v>1360</v>
      </c>
    </row>
    <row r="15" spans="1:3" ht="9.65" customHeight="1" x14ac:dyDescent="0.4">
      <c r="A15" s="14" t="s">
        <v>63</v>
      </c>
      <c r="B15" s="14" t="s">
        <v>58</v>
      </c>
      <c r="C15" s="59" t="s">
        <v>1360</v>
      </c>
    </row>
    <row r="16" spans="1:3" ht="9.65" customHeight="1" x14ac:dyDescent="0.4">
      <c r="A16" s="14" t="s">
        <v>64</v>
      </c>
      <c r="B16" s="14" t="s">
        <v>58</v>
      </c>
      <c r="C16" s="59" t="s">
        <v>1360</v>
      </c>
    </row>
    <row r="17" spans="1:3" ht="9.65" customHeight="1" x14ac:dyDescent="0.4">
      <c r="A17" s="14" t="s">
        <v>65</v>
      </c>
      <c r="B17" s="14" t="s">
        <v>1547</v>
      </c>
      <c r="C17" s="59" t="s">
        <v>1360</v>
      </c>
    </row>
    <row r="18" spans="1:3" ht="9.65" customHeight="1" x14ac:dyDescent="0.4">
      <c r="A18" s="14" t="s">
        <v>66</v>
      </c>
      <c r="B18" s="32">
        <f ca="1">NOW()</f>
        <v>46215.746641782411</v>
      </c>
      <c r="C18" s="59" t="s">
        <v>1360</v>
      </c>
    </row>
    <row r="19" spans="1:3" ht="9.65" customHeight="1" x14ac:dyDescent="0.4">
      <c r="A19" s="14" t="s">
        <v>1367</v>
      </c>
      <c r="B19" s="31" t="s">
        <v>1365</v>
      </c>
      <c r="C19" s="59" t="s">
        <v>1360</v>
      </c>
    </row>
    <row r="20" spans="1:3" ht="9.65" customHeight="1" x14ac:dyDescent="0.4">
      <c r="A20" s="14" t="s">
        <v>1364</v>
      </c>
      <c r="B20" s="31" t="str">
        <f>_xlfn.TRANSLATE(B19,"pt","es")</f>
        <v>Traducciones integradas al español e inglés - Las traducciones deben revisarse constantemente</v>
      </c>
      <c r="C20" s="59" t="s">
        <v>1361</v>
      </c>
    </row>
    <row r="21" spans="1:3" ht="9.65" customHeight="1" x14ac:dyDescent="0.4">
      <c r="A21" s="14" t="s">
        <v>1366</v>
      </c>
      <c r="B21" s="31" t="str">
        <f>_xlfn.TRANSLATE(B19,"pt","en")</f>
        <v>Built-in Spanish and English Translations - Translations must be constantly reviewed</v>
      </c>
      <c r="C21" s="59" t="s">
        <v>1362</v>
      </c>
    </row>
    <row r="22" spans="1:3" ht="9.65" customHeight="1" x14ac:dyDescent="0.4">
      <c r="A22" s="14" t="s">
        <v>67</v>
      </c>
      <c r="B22" s="14" t="s">
        <v>58</v>
      </c>
      <c r="C22" s="59" t="s">
        <v>1360</v>
      </c>
    </row>
    <row r="23" spans="1:3" ht="9.65" customHeight="1" x14ac:dyDescent="0.4">
      <c r="A23" s="14" t="s">
        <v>68</v>
      </c>
      <c r="B23" s="14" t="s">
        <v>58</v>
      </c>
      <c r="C23" s="59" t="s">
        <v>1360</v>
      </c>
    </row>
    <row r="24" spans="1:3" ht="9.65" customHeight="1" x14ac:dyDescent="0.4">
      <c r="A24" s="14" t="s">
        <v>69</v>
      </c>
      <c r="B24" s="15" t="s">
        <v>350</v>
      </c>
      <c r="C24" s="59" t="s">
        <v>1360</v>
      </c>
    </row>
    <row r="25" spans="1:3" ht="9.65" customHeight="1" x14ac:dyDescent="0.4">
      <c r="A25" s="14" t="s">
        <v>70</v>
      </c>
      <c r="B25" s="15" t="s">
        <v>351</v>
      </c>
      <c r="C25" s="59" t="s">
        <v>1361</v>
      </c>
    </row>
    <row r="26" spans="1:3" customFormat="1" ht="9" customHeight="1" x14ac:dyDescent="0.4">
      <c r="A26" s="14" t="s">
        <v>1357</v>
      </c>
      <c r="B26" s="15" t="str">
        <f>_xlfn.TRANSLATE(B24,"pt","en")</f>
        <v>Formalize architectural elements - Floors - Walls - Partitions and Ceilings in BIM project. Guiding ontology of the correspondence relationship between IFC Classes and Revit categories.</v>
      </c>
      <c r="C26" s="59" t="s">
        <v>1362</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A356"/>
  <sheetViews>
    <sheetView zoomScale="235" zoomScaleNormal="235" workbookViewId="0">
      <pane ySplit="1" topLeftCell="A175" activePane="bottomLeft" state="frozen"/>
      <selection pane="bottomLeft" activeCell="A349" sqref="A349:XFD356"/>
    </sheetView>
  </sheetViews>
  <sheetFormatPr defaultRowHeight="6" customHeight="1" x14ac:dyDescent="0.4"/>
  <cols>
    <col min="1" max="1" width="2.69140625" bestFit="1" customWidth="1"/>
    <col min="2" max="2" width="4.3828125" bestFit="1" customWidth="1"/>
    <col min="3" max="3" width="7.3828125" customWidth="1"/>
    <col min="4" max="4" width="10.84375" customWidth="1"/>
    <col min="5" max="5" width="11" customWidth="1"/>
    <col min="6" max="6" width="11.3046875" bestFit="1" customWidth="1"/>
    <col min="7" max="7" width="5.69140625" bestFit="1" customWidth="1"/>
    <col min="8" max="9" width="5.15234375" style="55" bestFit="1" customWidth="1"/>
    <col min="10" max="10" width="4.84375" bestFit="1" customWidth="1"/>
    <col min="11" max="11" width="4.69140625" bestFit="1" customWidth="1"/>
    <col min="12" max="12" width="6.69140625" customWidth="1"/>
    <col min="13" max="13" width="14" bestFit="1" customWidth="1"/>
    <col min="14" max="14" width="8.84375" bestFit="1" customWidth="1"/>
    <col min="15" max="15" width="11.3828125" bestFit="1" customWidth="1"/>
    <col min="16" max="16" width="139.15234375" bestFit="1" customWidth="1"/>
    <col min="17" max="17" width="88.84375" bestFit="1" customWidth="1"/>
    <col min="18" max="18" width="3.84375" bestFit="1" customWidth="1"/>
    <col min="19" max="19" width="6.84375" customWidth="1"/>
    <col min="20" max="20" width="10.3828125" customWidth="1"/>
    <col min="21" max="21" width="8.84375" bestFit="1" customWidth="1"/>
    <col min="22" max="22" width="6.3828125" style="72" bestFit="1" customWidth="1"/>
    <col min="23" max="23" width="6.53515625" style="72" customWidth="1"/>
    <col min="24" max="24" width="33.69140625" bestFit="1" customWidth="1"/>
    <col min="25" max="25" width="18.15234375" bestFit="1" customWidth="1"/>
    <col min="26" max="26" width="5.3046875" style="74" customWidth="1"/>
    <col min="27" max="27" width="15.3046875" customWidth="1"/>
  </cols>
  <sheetData>
    <row r="1" spans="1:27" ht="36.65" customHeight="1" x14ac:dyDescent="0.4">
      <c r="A1" s="27">
        <v>1</v>
      </c>
      <c r="B1" s="28" t="s">
        <v>41</v>
      </c>
      <c r="C1" s="28" t="s">
        <v>39</v>
      </c>
      <c r="D1" s="28" t="s">
        <v>40</v>
      </c>
      <c r="E1" s="28" t="s">
        <v>38</v>
      </c>
      <c r="F1" s="28" t="s">
        <v>1136</v>
      </c>
      <c r="G1" s="67" t="s">
        <v>0</v>
      </c>
      <c r="H1" s="53" t="s">
        <v>1</v>
      </c>
      <c r="I1" s="53" t="s">
        <v>2</v>
      </c>
      <c r="J1" s="67" t="s">
        <v>3</v>
      </c>
      <c r="K1" s="67" t="s">
        <v>4</v>
      </c>
      <c r="L1" s="29" t="s">
        <v>5</v>
      </c>
      <c r="M1" s="29" t="s">
        <v>6</v>
      </c>
      <c r="N1" s="29" t="s">
        <v>79</v>
      </c>
      <c r="O1" s="29" t="s">
        <v>7</v>
      </c>
      <c r="P1" s="29" t="s">
        <v>36</v>
      </c>
      <c r="Q1" s="29" t="s">
        <v>42</v>
      </c>
      <c r="R1" s="51" t="s">
        <v>80</v>
      </c>
      <c r="S1" s="38" t="s">
        <v>33</v>
      </c>
      <c r="T1" s="38" t="s">
        <v>37</v>
      </c>
      <c r="U1" s="38" t="s">
        <v>35</v>
      </c>
      <c r="V1" s="29" t="s">
        <v>34</v>
      </c>
      <c r="W1" s="28" t="s">
        <v>8</v>
      </c>
      <c r="X1" s="40" t="s">
        <v>140</v>
      </c>
      <c r="Y1" s="88" t="s">
        <v>141</v>
      </c>
      <c r="Z1" s="73" t="s">
        <v>1349</v>
      </c>
      <c r="AA1" s="57" t="s">
        <v>1350</v>
      </c>
    </row>
    <row r="2" spans="1:27" ht="6.65" customHeight="1" x14ac:dyDescent="0.4">
      <c r="A2" s="22">
        <v>2</v>
      </c>
      <c r="B2" s="1" t="s">
        <v>81</v>
      </c>
      <c r="C2" s="24" t="s">
        <v>83</v>
      </c>
      <c r="D2" s="1" t="s">
        <v>82</v>
      </c>
      <c r="E2" s="1" t="s">
        <v>1369</v>
      </c>
      <c r="F2" s="24" t="s">
        <v>1380</v>
      </c>
      <c r="G2" s="56" t="s">
        <v>9</v>
      </c>
      <c r="H2" s="56" t="s">
        <v>9</v>
      </c>
      <c r="I2" s="56" t="s">
        <v>9</v>
      </c>
      <c r="J2" s="56" t="s">
        <v>9</v>
      </c>
      <c r="K2" s="56" t="s">
        <v>9</v>
      </c>
      <c r="L2" s="25" t="str">
        <f t="shared" ref="L2:M6" si="0">CONCATENATE("", C2)</f>
        <v>Contêiner</v>
      </c>
      <c r="M2" s="25" t="str">
        <f t="shared" si="0"/>
        <v>Informação</v>
      </c>
      <c r="N2" s="25" t="str">
        <f t="shared" ref="N2:O6" si="1">(SUBSTITUTE(SUBSTITUTE(CONCATENATE("",E2),"."," ")," De "," de "))</f>
        <v>Definida</v>
      </c>
      <c r="O2" s="25" t="str">
        <f t="shared" si="1"/>
        <v>No Projeto</v>
      </c>
      <c r="P2" s="20" t="s">
        <v>1370</v>
      </c>
      <c r="Q2" s="20" t="s">
        <v>84</v>
      </c>
      <c r="R2" s="52" t="s">
        <v>9</v>
      </c>
      <c r="S2" s="26" t="str">
        <f t="shared" ref="S2:U6" si="2">SUBSTITUTE(C2, ".", " ")</f>
        <v>Contêiner</v>
      </c>
      <c r="T2" s="26" t="str">
        <f t="shared" si="2"/>
        <v>Informação</v>
      </c>
      <c r="U2" s="26" t="str">
        <f t="shared" si="2"/>
        <v>Definida</v>
      </c>
      <c r="V2" s="20" t="s">
        <v>85</v>
      </c>
      <c r="W2" s="71" t="str">
        <f>CONCATENATE("Key-ARQ-",A2)</f>
        <v>Key-ARQ-2</v>
      </c>
      <c r="X2" s="20" t="s">
        <v>9</v>
      </c>
      <c r="Y2" s="26" t="s">
        <v>9</v>
      </c>
      <c r="Z2" s="52" t="s">
        <v>9</v>
      </c>
      <c r="AA2" s="20" t="str">
        <f t="shared" ref="AA2:AA6" si="3">_xlfn.TRANSLATE(P2,"pt","en")</f>
        <v>Defines an information container in accordance with the NBR 19650-1 standard. Project Definition.</v>
      </c>
    </row>
    <row r="3" spans="1:27" ht="6.65" customHeight="1" x14ac:dyDescent="0.4">
      <c r="A3" s="22">
        <v>3</v>
      </c>
      <c r="B3" s="1" t="s">
        <v>81</v>
      </c>
      <c r="C3" s="24" t="s">
        <v>83</v>
      </c>
      <c r="D3" s="1" t="s">
        <v>82</v>
      </c>
      <c r="E3" s="1" t="s">
        <v>1371</v>
      </c>
      <c r="F3" s="24" t="s">
        <v>1372</v>
      </c>
      <c r="G3" s="56" t="s">
        <v>9</v>
      </c>
      <c r="H3" s="56" t="s">
        <v>9</v>
      </c>
      <c r="I3" s="56" t="s">
        <v>9</v>
      </c>
      <c r="J3" s="56" t="s">
        <v>9</v>
      </c>
      <c r="K3" s="56" t="s">
        <v>9</v>
      </c>
      <c r="L3" s="25" t="str">
        <f t="shared" si="0"/>
        <v>Contêiner</v>
      </c>
      <c r="M3" s="25" t="str">
        <f t="shared" si="0"/>
        <v>Informação</v>
      </c>
      <c r="N3" s="25" t="str">
        <f t="shared" si="1"/>
        <v>Requerida</v>
      </c>
      <c r="O3" s="25" t="str">
        <f t="shared" si="1"/>
        <v>Requisito Espacial</v>
      </c>
      <c r="P3" s="20" t="s">
        <v>1373</v>
      </c>
      <c r="Q3" s="20" t="s">
        <v>84</v>
      </c>
      <c r="R3" s="52" t="s">
        <v>9</v>
      </c>
      <c r="S3" s="26" t="str">
        <f t="shared" si="2"/>
        <v>Contêiner</v>
      </c>
      <c r="T3" s="26" t="str">
        <f t="shared" si="2"/>
        <v>Informação</v>
      </c>
      <c r="U3" s="26" t="str">
        <f t="shared" si="2"/>
        <v>Requerida</v>
      </c>
      <c r="V3" s="20" t="s">
        <v>85</v>
      </c>
      <c r="W3" s="71" t="str">
        <f t="shared" ref="W3:W66" si="4">CONCATENATE("Key-ARQ-",A3)</f>
        <v>Key-ARQ-3</v>
      </c>
      <c r="X3" s="20" t="s">
        <v>9</v>
      </c>
      <c r="Y3" s="26" t="s">
        <v>9</v>
      </c>
      <c r="Z3" s="52" t="s">
        <v>9</v>
      </c>
      <c r="AA3" s="20" t="str">
        <f t="shared" si="3"/>
        <v>Defines an information container in accordance with the NBR 19650-1 standard. Spatial Requirements for the Project.</v>
      </c>
    </row>
    <row r="4" spans="1:27" ht="6.65" customHeight="1" x14ac:dyDescent="0.4">
      <c r="A4" s="22">
        <v>4</v>
      </c>
      <c r="B4" s="1" t="s">
        <v>81</v>
      </c>
      <c r="C4" s="24" t="s">
        <v>83</v>
      </c>
      <c r="D4" s="1" t="s">
        <v>82</v>
      </c>
      <c r="E4" s="1" t="s">
        <v>1371</v>
      </c>
      <c r="F4" s="24" t="s">
        <v>1374</v>
      </c>
      <c r="G4" s="56" t="s">
        <v>9</v>
      </c>
      <c r="H4" s="56" t="s">
        <v>9</v>
      </c>
      <c r="I4" s="56" t="s">
        <v>9</v>
      </c>
      <c r="J4" s="56" t="s">
        <v>9</v>
      </c>
      <c r="K4" s="56" t="s">
        <v>9</v>
      </c>
      <c r="L4" s="25" t="str">
        <f t="shared" si="0"/>
        <v>Contêiner</v>
      </c>
      <c r="M4" s="25" t="str">
        <f t="shared" si="0"/>
        <v>Informação</v>
      </c>
      <c r="N4" s="25" t="str">
        <f t="shared" si="1"/>
        <v>Requerida</v>
      </c>
      <c r="O4" s="25" t="str">
        <f t="shared" si="1"/>
        <v>Requisito Mobiliário</v>
      </c>
      <c r="P4" s="20" t="s">
        <v>1375</v>
      </c>
      <c r="Q4" s="20" t="s">
        <v>84</v>
      </c>
      <c r="R4" s="52" t="s">
        <v>9</v>
      </c>
      <c r="S4" s="26" t="str">
        <f t="shared" si="2"/>
        <v>Contêiner</v>
      </c>
      <c r="T4" s="26" t="str">
        <f t="shared" si="2"/>
        <v>Informação</v>
      </c>
      <c r="U4" s="26" t="str">
        <f t="shared" si="2"/>
        <v>Requerida</v>
      </c>
      <c r="V4" s="20" t="s">
        <v>85</v>
      </c>
      <c r="W4" s="71" t="str">
        <f t="shared" si="4"/>
        <v>Key-ARQ-4</v>
      </c>
      <c r="X4" s="20" t="s">
        <v>9</v>
      </c>
      <c r="Y4" s="26" t="s">
        <v>9</v>
      </c>
      <c r="Z4" s="52" t="s">
        <v>9</v>
      </c>
      <c r="AA4" s="20" t="str">
        <f t="shared" si="3"/>
        <v>Defines an information container in accordance with the NBR 19650-1 standard. Furniture Requirements for the Project.</v>
      </c>
    </row>
    <row r="5" spans="1:27" ht="6.65" customHeight="1" x14ac:dyDescent="0.4">
      <c r="A5" s="22">
        <v>5</v>
      </c>
      <c r="B5" s="1" t="s">
        <v>81</v>
      </c>
      <c r="C5" s="24" t="s">
        <v>83</v>
      </c>
      <c r="D5" s="1" t="s">
        <v>82</v>
      </c>
      <c r="E5" s="1" t="s">
        <v>1371</v>
      </c>
      <c r="F5" s="24" t="s">
        <v>1376</v>
      </c>
      <c r="G5" s="56" t="s">
        <v>9</v>
      </c>
      <c r="H5" s="56" t="s">
        <v>9</v>
      </c>
      <c r="I5" s="56" t="s">
        <v>9</v>
      </c>
      <c r="J5" s="56" t="s">
        <v>9</v>
      </c>
      <c r="K5" s="56" t="s">
        <v>9</v>
      </c>
      <c r="L5" s="25" t="str">
        <f t="shared" si="0"/>
        <v>Contêiner</v>
      </c>
      <c r="M5" s="25" t="str">
        <f t="shared" si="0"/>
        <v>Informação</v>
      </c>
      <c r="N5" s="25" t="str">
        <f t="shared" si="1"/>
        <v>Requerida</v>
      </c>
      <c r="O5" s="25" t="str">
        <f t="shared" si="1"/>
        <v>Requisito Equipamento</v>
      </c>
      <c r="P5" s="20" t="s">
        <v>1377</v>
      </c>
      <c r="Q5" s="20" t="s">
        <v>84</v>
      </c>
      <c r="R5" s="52" t="s">
        <v>9</v>
      </c>
      <c r="S5" s="26" t="str">
        <f t="shared" si="2"/>
        <v>Contêiner</v>
      </c>
      <c r="T5" s="26" t="str">
        <f t="shared" si="2"/>
        <v>Informação</v>
      </c>
      <c r="U5" s="26" t="str">
        <f t="shared" si="2"/>
        <v>Requerida</v>
      </c>
      <c r="V5" s="20" t="s">
        <v>85</v>
      </c>
      <c r="W5" s="71" t="str">
        <f t="shared" si="4"/>
        <v>Key-ARQ-5</v>
      </c>
      <c r="X5" s="20" t="s">
        <v>9</v>
      </c>
      <c r="Y5" s="26" t="s">
        <v>9</v>
      </c>
      <c r="Z5" s="52" t="s">
        <v>9</v>
      </c>
      <c r="AA5" s="20" t="str">
        <f t="shared" si="3"/>
        <v>Defines an information container in accordance with the NBR 19650-1 standard. Equipment Requirements for the Project.</v>
      </c>
    </row>
    <row r="6" spans="1:27" ht="6.65" customHeight="1" x14ac:dyDescent="0.4">
      <c r="A6" s="22">
        <v>6</v>
      </c>
      <c r="B6" s="1" t="s">
        <v>81</v>
      </c>
      <c r="C6" s="24" t="s">
        <v>83</v>
      </c>
      <c r="D6" s="1" t="s">
        <v>82</v>
      </c>
      <c r="E6" s="1" t="s">
        <v>1371</v>
      </c>
      <c r="F6" s="24" t="s">
        <v>1378</v>
      </c>
      <c r="G6" s="56" t="s">
        <v>9</v>
      </c>
      <c r="H6" s="56" t="s">
        <v>9</v>
      </c>
      <c r="I6" s="56" t="s">
        <v>9</v>
      </c>
      <c r="J6" s="56" t="s">
        <v>9</v>
      </c>
      <c r="K6" s="56" t="s">
        <v>9</v>
      </c>
      <c r="L6" s="25" t="str">
        <f t="shared" si="0"/>
        <v>Contêiner</v>
      </c>
      <c r="M6" s="25" t="str">
        <f t="shared" si="0"/>
        <v>Informação</v>
      </c>
      <c r="N6" s="25" t="str">
        <f t="shared" si="1"/>
        <v>Requerida</v>
      </c>
      <c r="O6" s="25" t="str">
        <f t="shared" si="1"/>
        <v>Requisito Sistemas</v>
      </c>
      <c r="P6" s="20" t="s">
        <v>1379</v>
      </c>
      <c r="Q6" s="20" t="s">
        <v>84</v>
      </c>
      <c r="R6" s="52" t="s">
        <v>9</v>
      </c>
      <c r="S6" s="26" t="str">
        <f t="shared" si="2"/>
        <v>Contêiner</v>
      </c>
      <c r="T6" s="26" t="str">
        <f t="shared" si="2"/>
        <v>Informação</v>
      </c>
      <c r="U6" s="26" t="str">
        <f t="shared" si="2"/>
        <v>Requerida</v>
      </c>
      <c r="V6" s="20" t="s">
        <v>85</v>
      </c>
      <c r="W6" s="71" t="str">
        <f t="shared" si="4"/>
        <v>Key-ARQ-6</v>
      </c>
      <c r="X6" s="20" t="s">
        <v>9</v>
      </c>
      <c r="Y6" s="26" t="s">
        <v>9</v>
      </c>
      <c r="Z6" s="52" t="s">
        <v>9</v>
      </c>
      <c r="AA6" s="20" t="str">
        <f t="shared" si="3"/>
        <v>Defines an information container in accordance with the NBR 19650-1 standard. Building Systems Requirements for the Project.</v>
      </c>
    </row>
    <row r="7" spans="1:27" ht="6" customHeight="1" x14ac:dyDescent="0.4">
      <c r="A7" s="22">
        <v>7</v>
      </c>
      <c r="B7" s="1" t="s">
        <v>1604</v>
      </c>
      <c r="C7" s="1" t="s">
        <v>1383</v>
      </c>
      <c r="D7" s="1" t="s">
        <v>1391</v>
      </c>
      <c r="E7" s="1" t="s">
        <v>711</v>
      </c>
      <c r="F7" s="24" t="s">
        <v>612</v>
      </c>
      <c r="G7" s="56" t="s">
        <v>9</v>
      </c>
      <c r="H7" s="54" t="s">
        <v>9</v>
      </c>
      <c r="I7" s="54" t="s">
        <v>9</v>
      </c>
      <c r="J7" s="56" t="s">
        <v>9</v>
      </c>
      <c r="K7" s="56" t="s">
        <v>9</v>
      </c>
      <c r="L7" s="25" t="str">
        <f t="shared" ref="L7:L18" si="5">CONCATENATE("", C7)</f>
        <v>Arquitetônico</v>
      </c>
      <c r="M7" s="25" t="str">
        <f t="shared" ref="M7:M18" si="6">CONCATENATE("", D7)</f>
        <v>Estudos.de.Arquitetura</v>
      </c>
      <c r="N7" s="25" t="str">
        <f t="shared" ref="N7:N18" si="7">(SUBSTITUTE(SUBSTITUTE(CONCATENATE("",E7),"."," ")," De "," de "))</f>
        <v>Preliminar</v>
      </c>
      <c r="O7" s="25" t="str">
        <f t="shared" ref="O7:O21" si="8">(SUBSTITUTE(SUBSTITUTE(CONCATENATE("",F7),"."," ")," De "," de "))</f>
        <v>100 Piso</v>
      </c>
      <c r="P7" s="34" t="s">
        <v>695</v>
      </c>
      <c r="Q7" s="34" t="s">
        <v>699</v>
      </c>
      <c r="R7" s="52" t="s">
        <v>9</v>
      </c>
      <c r="S7" s="26" t="str">
        <f t="shared" ref="S7:S18" si="9">SUBSTITUTE(C7, ".", " ")</f>
        <v>Arquitetônico</v>
      </c>
      <c r="T7" s="26" t="str">
        <f t="shared" ref="T7:T18" si="10">SUBSTITUTE(D7, ".", " ")</f>
        <v>Estudos de Arquitetura</v>
      </c>
      <c r="U7" s="26" t="str">
        <f t="shared" ref="U7:U18" si="11">SUBSTITUTE(E7, ".", " ")</f>
        <v>Preliminar</v>
      </c>
      <c r="V7" s="20" t="s">
        <v>85</v>
      </c>
      <c r="W7" s="71" t="str">
        <f t="shared" si="4"/>
        <v>Key-ARQ-7</v>
      </c>
      <c r="X7" s="20" t="s">
        <v>1481</v>
      </c>
      <c r="Y7" s="26" t="s">
        <v>1411</v>
      </c>
      <c r="Z7" s="52" t="s">
        <v>9</v>
      </c>
      <c r="AA7" s="20" t="str">
        <f t="shared" ref="AA7:AA70" si="12">_xlfn.TRANSLATE(P7,"pt","en")</f>
        <v>Floor defined in the early stages of the project. Level of detail, development or information 100.</v>
      </c>
    </row>
    <row r="8" spans="1:27" ht="6" customHeight="1" x14ac:dyDescent="0.4">
      <c r="A8" s="22">
        <v>8</v>
      </c>
      <c r="B8" s="1" t="s">
        <v>1604</v>
      </c>
      <c r="C8" s="1" t="s">
        <v>1383</v>
      </c>
      <c r="D8" s="1" t="s">
        <v>1391</v>
      </c>
      <c r="E8" s="1" t="s">
        <v>711</v>
      </c>
      <c r="F8" s="24" t="s">
        <v>613</v>
      </c>
      <c r="G8" s="56" t="s">
        <v>9</v>
      </c>
      <c r="H8" s="54" t="s">
        <v>9</v>
      </c>
      <c r="I8" s="54" t="s">
        <v>9</v>
      </c>
      <c r="J8" s="56" t="s">
        <v>9</v>
      </c>
      <c r="K8" s="56" t="s">
        <v>9</v>
      </c>
      <c r="L8" s="25" t="str">
        <f t="shared" si="5"/>
        <v>Arquitetônico</v>
      </c>
      <c r="M8" s="25" t="str">
        <f t="shared" si="6"/>
        <v>Estudos.de.Arquitetura</v>
      </c>
      <c r="N8" s="25" t="str">
        <f t="shared" si="7"/>
        <v>Preliminar</v>
      </c>
      <c r="O8" s="25" t="str">
        <f t="shared" si="8"/>
        <v>100 Parede</v>
      </c>
      <c r="P8" s="34" t="s">
        <v>696</v>
      </c>
      <c r="Q8" s="34" t="s">
        <v>720</v>
      </c>
      <c r="R8" s="52" t="s">
        <v>9</v>
      </c>
      <c r="S8" s="26" t="str">
        <f t="shared" si="9"/>
        <v>Arquitetônico</v>
      </c>
      <c r="T8" s="26" t="str">
        <f t="shared" si="10"/>
        <v>Estudos de Arquitetura</v>
      </c>
      <c r="U8" s="26" t="str">
        <f t="shared" si="11"/>
        <v>Preliminar</v>
      </c>
      <c r="V8" s="20" t="s">
        <v>85</v>
      </c>
      <c r="W8" s="71" t="str">
        <f t="shared" si="4"/>
        <v>Key-ARQ-8</v>
      </c>
      <c r="X8" s="20" t="s">
        <v>1482</v>
      </c>
      <c r="Y8" s="26" t="s">
        <v>1412</v>
      </c>
      <c r="Z8" s="52" t="s">
        <v>9</v>
      </c>
      <c r="AA8" s="20" t="str">
        <f t="shared" si="12"/>
        <v>Walls defined in early stages of the project. Level of detail, development or information 100.</v>
      </c>
    </row>
    <row r="9" spans="1:27" ht="6" customHeight="1" x14ac:dyDescent="0.4">
      <c r="A9" s="22">
        <v>9</v>
      </c>
      <c r="B9" s="1" t="s">
        <v>1604</v>
      </c>
      <c r="C9" s="1" t="s">
        <v>1383</v>
      </c>
      <c r="D9" s="1" t="s">
        <v>1391</v>
      </c>
      <c r="E9" s="1" t="s">
        <v>711</v>
      </c>
      <c r="F9" s="24" t="s">
        <v>614</v>
      </c>
      <c r="G9" s="56" t="s">
        <v>9</v>
      </c>
      <c r="H9" s="54" t="s">
        <v>9</v>
      </c>
      <c r="I9" s="54" t="s">
        <v>9</v>
      </c>
      <c r="J9" s="56" t="s">
        <v>9</v>
      </c>
      <c r="K9" s="56" t="s">
        <v>9</v>
      </c>
      <c r="L9" s="25" t="str">
        <f t="shared" si="5"/>
        <v>Arquitetônico</v>
      </c>
      <c r="M9" s="25" t="str">
        <f t="shared" si="6"/>
        <v>Estudos.de.Arquitetura</v>
      </c>
      <c r="N9" s="25" t="str">
        <f t="shared" si="7"/>
        <v>Preliminar</v>
      </c>
      <c r="O9" s="25" t="str">
        <f t="shared" si="8"/>
        <v>100 Divisória</v>
      </c>
      <c r="P9" s="34" t="s">
        <v>697</v>
      </c>
      <c r="Q9" s="34" t="s">
        <v>719</v>
      </c>
      <c r="R9" s="52" t="s">
        <v>9</v>
      </c>
      <c r="S9" s="26" t="str">
        <f t="shared" si="9"/>
        <v>Arquitetônico</v>
      </c>
      <c r="T9" s="26" t="str">
        <f t="shared" si="10"/>
        <v>Estudos de Arquitetura</v>
      </c>
      <c r="U9" s="26" t="str">
        <f t="shared" si="11"/>
        <v>Preliminar</v>
      </c>
      <c r="V9" s="20" t="s">
        <v>85</v>
      </c>
      <c r="W9" s="71" t="str">
        <f t="shared" si="4"/>
        <v>Key-ARQ-9</v>
      </c>
      <c r="X9" s="20" t="s">
        <v>1482</v>
      </c>
      <c r="Y9" s="26" t="s">
        <v>1412</v>
      </c>
      <c r="Z9" s="52" t="s">
        <v>9</v>
      </c>
      <c r="AA9" s="20" t="str">
        <f t="shared" si="12"/>
        <v>A partition defined in the early stages of the project. Level of detail, development or information 100.</v>
      </c>
    </row>
    <row r="10" spans="1:27" ht="6" customHeight="1" x14ac:dyDescent="0.4">
      <c r="A10" s="22">
        <v>10</v>
      </c>
      <c r="B10" s="1" t="s">
        <v>1604</v>
      </c>
      <c r="C10" s="1" t="s">
        <v>1383</v>
      </c>
      <c r="D10" s="1" t="s">
        <v>1391</v>
      </c>
      <c r="E10" s="1" t="s">
        <v>711</v>
      </c>
      <c r="F10" s="24" t="s">
        <v>615</v>
      </c>
      <c r="G10" s="56" t="s">
        <v>9</v>
      </c>
      <c r="H10" s="54" t="s">
        <v>9</v>
      </c>
      <c r="I10" s="54" t="s">
        <v>9</v>
      </c>
      <c r="J10" s="56" t="s">
        <v>9</v>
      </c>
      <c r="K10" s="56" t="s">
        <v>9</v>
      </c>
      <c r="L10" s="25" t="str">
        <f t="shared" si="5"/>
        <v>Arquitetônico</v>
      </c>
      <c r="M10" s="25" t="str">
        <f t="shared" si="6"/>
        <v>Estudos.de.Arquitetura</v>
      </c>
      <c r="N10" s="25" t="str">
        <f t="shared" si="7"/>
        <v>Preliminar</v>
      </c>
      <c r="O10" s="25" t="str">
        <f t="shared" si="8"/>
        <v>100 Forro</v>
      </c>
      <c r="P10" s="34" t="s">
        <v>698</v>
      </c>
      <c r="Q10" s="34" t="s">
        <v>700</v>
      </c>
      <c r="R10" s="52" t="s">
        <v>9</v>
      </c>
      <c r="S10" s="26" t="str">
        <f t="shared" si="9"/>
        <v>Arquitetônico</v>
      </c>
      <c r="T10" s="26" t="str">
        <f t="shared" si="10"/>
        <v>Estudos de Arquitetura</v>
      </c>
      <c r="U10" s="26" t="str">
        <f t="shared" si="11"/>
        <v>Preliminar</v>
      </c>
      <c r="V10" s="20" t="s">
        <v>85</v>
      </c>
      <c r="W10" s="71" t="str">
        <f t="shared" si="4"/>
        <v>Key-ARQ-10</v>
      </c>
      <c r="X10" s="20" t="s">
        <v>1483</v>
      </c>
      <c r="Y10" s="26" t="s">
        <v>1412</v>
      </c>
      <c r="Z10" s="52" t="s">
        <v>9</v>
      </c>
      <c r="AA10" s="20" t="str">
        <f t="shared" si="12"/>
        <v>Ceiling defined in the early stages of the project. Level of detail, development or information 100.</v>
      </c>
    </row>
    <row r="11" spans="1:27" ht="6" customHeight="1" x14ac:dyDescent="0.4">
      <c r="A11" s="22">
        <v>11</v>
      </c>
      <c r="B11" s="1" t="s">
        <v>1604</v>
      </c>
      <c r="C11" s="1" t="s">
        <v>1383</v>
      </c>
      <c r="D11" s="1" t="s">
        <v>1391</v>
      </c>
      <c r="E11" s="1" t="s">
        <v>711</v>
      </c>
      <c r="F11" s="24" t="s">
        <v>820</v>
      </c>
      <c r="G11" s="56" t="s">
        <v>9</v>
      </c>
      <c r="H11" s="54" t="s">
        <v>9</v>
      </c>
      <c r="I11" s="54" t="s">
        <v>9</v>
      </c>
      <c r="J11" s="56" t="s">
        <v>9</v>
      </c>
      <c r="K11" s="56" t="s">
        <v>9</v>
      </c>
      <c r="L11" s="25" t="str">
        <f t="shared" si="5"/>
        <v>Arquitetônico</v>
      </c>
      <c r="M11" s="25" t="str">
        <f t="shared" si="6"/>
        <v>Estudos.de.Arquitetura</v>
      </c>
      <c r="N11" s="25" t="str">
        <f t="shared" si="7"/>
        <v>Preliminar</v>
      </c>
      <c r="O11" s="25" t="str">
        <f t="shared" si="8"/>
        <v>100 Porta</v>
      </c>
      <c r="P11" s="34" t="s">
        <v>822</v>
      </c>
      <c r="Q11" s="34" t="s">
        <v>824</v>
      </c>
      <c r="R11" s="52" t="s">
        <v>9</v>
      </c>
      <c r="S11" s="26" t="str">
        <f t="shared" si="9"/>
        <v>Arquitetônico</v>
      </c>
      <c r="T11" s="26" t="str">
        <f t="shared" si="10"/>
        <v>Estudos de Arquitetura</v>
      </c>
      <c r="U11" s="26" t="str">
        <f t="shared" si="11"/>
        <v>Preliminar</v>
      </c>
      <c r="V11" s="20" t="s">
        <v>85</v>
      </c>
      <c r="W11" s="71" t="str">
        <f t="shared" si="4"/>
        <v>Key-ARQ-11</v>
      </c>
      <c r="X11" s="20" t="s">
        <v>1484</v>
      </c>
      <c r="Y11" s="26" t="s">
        <v>1413</v>
      </c>
      <c r="Z11" s="52" t="s">
        <v>9</v>
      </c>
      <c r="AA11" s="20" t="str">
        <f t="shared" si="12"/>
        <v>Door. Level of detail, development or information 200.</v>
      </c>
    </row>
    <row r="12" spans="1:27" ht="6" customHeight="1" x14ac:dyDescent="0.4">
      <c r="A12" s="22">
        <v>12</v>
      </c>
      <c r="B12" s="1" t="s">
        <v>1604</v>
      </c>
      <c r="C12" s="1" t="s">
        <v>1383</v>
      </c>
      <c r="D12" s="1" t="s">
        <v>1391</v>
      </c>
      <c r="E12" s="1" t="s">
        <v>711</v>
      </c>
      <c r="F12" s="24" t="s">
        <v>821</v>
      </c>
      <c r="G12" s="56" t="s">
        <v>9</v>
      </c>
      <c r="H12" s="54" t="s">
        <v>9</v>
      </c>
      <c r="I12" s="54" t="s">
        <v>9</v>
      </c>
      <c r="J12" s="56" t="s">
        <v>9</v>
      </c>
      <c r="K12" s="56" t="s">
        <v>9</v>
      </c>
      <c r="L12" s="25" t="str">
        <f t="shared" si="5"/>
        <v>Arquitetônico</v>
      </c>
      <c r="M12" s="25" t="str">
        <f t="shared" si="6"/>
        <v>Estudos.de.Arquitetura</v>
      </c>
      <c r="N12" s="25" t="str">
        <f t="shared" si="7"/>
        <v>Preliminar</v>
      </c>
      <c r="O12" s="25" t="str">
        <f t="shared" si="8"/>
        <v>100 Janela</v>
      </c>
      <c r="P12" s="34" t="s">
        <v>823</v>
      </c>
      <c r="Q12" s="34" t="s">
        <v>825</v>
      </c>
      <c r="R12" s="52" t="s">
        <v>9</v>
      </c>
      <c r="S12" s="26" t="str">
        <f t="shared" si="9"/>
        <v>Arquitetônico</v>
      </c>
      <c r="T12" s="26" t="str">
        <f t="shared" si="10"/>
        <v>Estudos de Arquitetura</v>
      </c>
      <c r="U12" s="26" t="str">
        <f t="shared" si="11"/>
        <v>Preliminar</v>
      </c>
      <c r="V12" s="20" t="s">
        <v>85</v>
      </c>
      <c r="W12" s="71" t="str">
        <f t="shared" si="4"/>
        <v>Key-ARQ-12</v>
      </c>
      <c r="X12" s="20" t="s">
        <v>1485</v>
      </c>
      <c r="Y12" s="26" t="s">
        <v>1414</v>
      </c>
      <c r="Z12" s="52" t="s">
        <v>9</v>
      </c>
      <c r="AA12" s="20" t="str">
        <f t="shared" si="12"/>
        <v>Window. Level of detail, development or information 200.</v>
      </c>
    </row>
    <row r="13" spans="1:27" ht="6" customHeight="1" x14ac:dyDescent="0.4">
      <c r="A13" s="22">
        <v>13</v>
      </c>
      <c r="B13" s="1" t="s">
        <v>1604</v>
      </c>
      <c r="C13" s="1" t="s">
        <v>1383</v>
      </c>
      <c r="D13" s="1" t="s">
        <v>1391</v>
      </c>
      <c r="E13" s="1" t="s">
        <v>701</v>
      </c>
      <c r="F13" s="24" t="s">
        <v>616</v>
      </c>
      <c r="G13" s="56" t="s">
        <v>9</v>
      </c>
      <c r="H13" s="54" t="s">
        <v>9</v>
      </c>
      <c r="I13" s="54" t="s">
        <v>9</v>
      </c>
      <c r="J13" s="56" t="s">
        <v>9</v>
      </c>
      <c r="K13" s="56" t="s">
        <v>9</v>
      </c>
      <c r="L13" s="25" t="str">
        <f t="shared" si="5"/>
        <v>Arquitetônico</v>
      </c>
      <c r="M13" s="25" t="str">
        <f t="shared" si="6"/>
        <v>Estudos.de.Arquitetura</v>
      </c>
      <c r="N13" s="25" t="str">
        <f t="shared" si="7"/>
        <v>AnteProjeto</v>
      </c>
      <c r="O13" s="25" t="str">
        <f t="shared" si="8"/>
        <v>200 Piso</v>
      </c>
      <c r="P13" s="34" t="s">
        <v>713</v>
      </c>
      <c r="Q13" s="34" t="s">
        <v>716</v>
      </c>
      <c r="R13" s="52" t="s">
        <v>9</v>
      </c>
      <c r="S13" s="26" t="str">
        <f t="shared" si="9"/>
        <v>Arquitetônico</v>
      </c>
      <c r="T13" s="26" t="str">
        <f t="shared" si="10"/>
        <v>Estudos de Arquitetura</v>
      </c>
      <c r="U13" s="26" t="str">
        <f t="shared" si="11"/>
        <v>AnteProjeto</v>
      </c>
      <c r="V13" s="20" t="s">
        <v>85</v>
      </c>
      <c r="W13" s="71" t="str">
        <f t="shared" si="4"/>
        <v>Key-ARQ-13</v>
      </c>
      <c r="X13" s="20" t="s">
        <v>1481</v>
      </c>
      <c r="Y13" s="26" t="s">
        <v>1411</v>
      </c>
      <c r="Z13" s="52" t="s">
        <v>9</v>
      </c>
      <c r="AA13" s="20" t="str">
        <f t="shared" si="12"/>
        <v>Floor defined in the preliminary design or basic design stage. Level of detail, development or information 200.</v>
      </c>
    </row>
    <row r="14" spans="1:27" ht="6" customHeight="1" x14ac:dyDescent="0.4">
      <c r="A14" s="22">
        <v>14</v>
      </c>
      <c r="B14" s="1" t="s">
        <v>1604</v>
      </c>
      <c r="C14" s="1" t="s">
        <v>1383</v>
      </c>
      <c r="D14" s="1" t="s">
        <v>1391</v>
      </c>
      <c r="E14" s="1" t="s">
        <v>701</v>
      </c>
      <c r="F14" s="24" t="s">
        <v>617</v>
      </c>
      <c r="G14" s="56" t="s">
        <v>9</v>
      </c>
      <c r="H14" s="54" t="s">
        <v>9</v>
      </c>
      <c r="I14" s="54" t="s">
        <v>9</v>
      </c>
      <c r="J14" s="56" t="s">
        <v>9</v>
      </c>
      <c r="K14" s="56" t="s">
        <v>9</v>
      </c>
      <c r="L14" s="25" t="str">
        <f t="shared" si="5"/>
        <v>Arquitetônico</v>
      </c>
      <c r="M14" s="25" t="str">
        <f t="shared" si="6"/>
        <v>Estudos.de.Arquitetura</v>
      </c>
      <c r="N14" s="25" t="str">
        <f t="shared" si="7"/>
        <v>AnteProjeto</v>
      </c>
      <c r="O14" s="25" t="str">
        <f t="shared" si="8"/>
        <v>200 Parede</v>
      </c>
      <c r="P14" s="34" t="s">
        <v>712</v>
      </c>
      <c r="Q14" s="34" t="s">
        <v>717</v>
      </c>
      <c r="R14" s="52" t="s">
        <v>9</v>
      </c>
      <c r="S14" s="26" t="str">
        <f t="shared" si="9"/>
        <v>Arquitetônico</v>
      </c>
      <c r="T14" s="26" t="str">
        <f t="shared" si="10"/>
        <v>Estudos de Arquitetura</v>
      </c>
      <c r="U14" s="26" t="str">
        <f t="shared" si="11"/>
        <v>AnteProjeto</v>
      </c>
      <c r="V14" s="20" t="s">
        <v>85</v>
      </c>
      <c r="W14" s="71" t="str">
        <f t="shared" si="4"/>
        <v>Key-ARQ-14</v>
      </c>
      <c r="X14" s="20" t="s">
        <v>1482</v>
      </c>
      <c r="Y14" s="26" t="s">
        <v>1412</v>
      </c>
      <c r="Z14" s="52" t="s">
        <v>9</v>
      </c>
      <c r="AA14" s="20" t="str">
        <f t="shared" si="12"/>
        <v>Walls defined in the preliminary design or basic design stage. Level of detail, development or information 200.</v>
      </c>
    </row>
    <row r="15" spans="1:27" ht="6" customHeight="1" x14ac:dyDescent="0.4">
      <c r="A15" s="22">
        <v>15</v>
      </c>
      <c r="B15" s="1" t="s">
        <v>1604</v>
      </c>
      <c r="C15" s="1" t="s">
        <v>1383</v>
      </c>
      <c r="D15" s="1" t="s">
        <v>1391</v>
      </c>
      <c r="E15" s="1" t="s">
        <v>701</v>
      </c>
      <c r="F15" s="24" t="s">
        <v>618</v>
      </c>
      <c r="G15" s="56" t="s">
        <v>9</v>
      </c>
      <c r="H15" s="54" t="s">
        <v>9</v>
      </c>
      <c r="I15" s="54" t="s">
        <v>9</v>
      </c>
      <c r="J15" s="56" t="s">
        <v>9</v>
      </c>
      <c r="K15" s="56" t="s">
        <v>9</v>
      </c>
      <c r="L15" s="25" t="str">
        <f t="shared" si="5"/>
        <v>Arquitetônico</v>
      </c>
      <c r="M15" s="25" t="str">
        <f t="shared" si="6"/>
        <v>Estudos.de.Arquitetura</v>
      </c>
      <c r="N15" s="25" t="str">
        <f t="shared" si="7"/>
        <v>AnteProjeto</v>
      </c>
      <c r="O15" s="25" t="str">
        <f t="shared" si="8"/>
        <v>200 Divisória</v>
      </c>
      <c r="P15" s="34" t="s">
        <v>714</v>
      </c>
      <c r="Q15" s="34" t="s">
        <v>718</v>
      </c>
      <c r="R15" s="52" t="s">
        <v>9</v>
      </c>
      <c r="S15" s="26" t="str">
        <f t="shared" si="9"/>
        <v>Arquitetônico</v>
      </c>
      <c r="T15" s="26" t="str">
        <f t="shared" si="10"/>
        <v>Estudos de Arquitetura</v>
      </c>
      <c r="U15" s="26" t="str">
        <f t="shared" si="11"/>
        <v>AnteProjeto</v>
      </c>
      <c r="V15" s="20" t="s">
        <v>85</v>
      </c>
      <c r="W15" s="71" t="str">
        <f t="shared" si="4"/>
        <v>Key-ARQ-15</v>
      </c>
      <c r="X15" s="20" t="s">
        <v>1482</v>
      </c>
      <c r="Y15" s="26" t="s">
        <v>1412</v>
      </c>
      <c r="Z15" s="52" t="s">
        <v>9</v>
      </c>
      <c r="AA15" s="20" t="str">
        <f t="shared" si="12"/>
        <v>Partition defined in the preliminary design or basic design stage. Level of detail, development or information 200.</v>
      </c>
    </row>
    <row r="16" spans="1:27" ht="6" customHeight="1" x14ac:dyDescent="0.4">
      <c r="A16" s="22">
        <v>16</v>
      </c>
      <c r="B16" s="1" t="s">
        <v>1604</v>
      </c>
      <c r="C16" s="1" t="s">
        <v>1383</v>
      </c>
      <c r="D16" s="1" t="s">
        <v>1391</v>
      </c>
      <c r="E16" s="1" t="s">
        <v>701</v>
      </c>
      <c r="F16" s="24" t="s">
        <v>619</v>
      </c>
      <c r="G16" s="56" t="s">
        <v>9</v>
      </c>
      <c r="H16" s="54" t="s">
        <v>9</v>
      </c>
      <c r="I16" s="54" t="s">
        <v>9</v>
      </c>
      <c r="J16" s="56" t="s">
        <v>9</v>
      </c>
      <c r="K16" s="56" t="s">
        <v>9</v>
      </c>
      <c r="L16" s="25" t="str">
        <f t="shared" si="5"/>
        <v>Arquitetônico</v>
      </c>
      <c r="M16" s="25" t="str">
        <f t="shared" si="6"/>
        <v>Estudos.de.Arquitetura</v>
      </c>
      <c r="N16" s="25" t="str">
        <f t="shared" si="7"/>
        <v>AnteProjeto</v>
      </c>
      <c r="O16" s="25" t="str">
        <f t="shared" si="8"/>
        <v>200 Forro</v>
      </c>
      <c r="P16" s="34" t="s">
        <v>715</v>
      </c>
      <c r="Q16" s="34" t="s">
        <v>721</v>
      </c>
      <c r="R16" s="52" t="s">
        <v>9</v>
      </c>
      <c r="S16" s="26" t="str">
        <f t="shared" si="9"/>
        <v>Arquitetônico</v>
      </c>
      <c r="T16" s="26" t="str">
        <f t="shared" si="10"/>
        <v>Estudos de Arquitetura</v>
      </c>
      <c r="U16" s="26" t="str">
        <f t="shared" si="11"/>
        <v>AnteProjeto</v>
      </c>
      <c r="V16" s="20" t="s">
        <v>85</v>
      </c>
      <c r="W16" s="71" t="str">
        <f t="shared" si="4"/>
        <v>Key-ARQ-16</v>
      </c>
      <c r="X16" s="20" t="s">
        <v>1483</v>
      </c>
      <c r="Y16" s="26" t="s">
        <v>1412</v>
      </c>
      <c r="Z16" s="52" t="s">
        <v>9</v>
      </c>
      <c r="AA16" s="20" t="str">
        <f t="shared" si="12"/>
        <v>Ceiling defined in the preliminary design or basic design stage. Level of detail, development or information 200.</v>
      </c>
    </row>
    <row r="17" spans="1:27" ht="6" customHeight="1" x14ac:dyDescent="0.4">
      <c r="A17" s="22">
        <v>17</v>
      </c>
      <c r="B17" s="1" t="s">
        <v>1604</v>
      </c>
      <c r="C17" s="1" t="s">
        <v>1383</v>
      </c>
      <c r="D17" s="1" t="s">
        <v>1391</v>
      </c>
      <c r="E17" s="1" t="s">
        <v>701</v>
      </c>
      <c r="F17" s="24" t="s">
        <v>818</v>
      </c>
      <c r="G17" s="56" t="s">
        <v>9</v>
      </c>
      <c r="H17" s="54" t="s">
        <v>9</v>
      </c>
      <c r="I17" s="54" t="s">
        <v>9</v>
      </c>
      <c r="J17" s="56" t="s">
        <v>9</v>
      </c>
      <c r="K17" s="56" t="s">
        <v>9</v>
      </c>
      <c r="L17" s="25" t="str">
        <f t="shared" si="5"/>
        <v>Arquitetônico</v>
      </c>
      <c r="M17" s="25" t="str">
        <f t="shared" si="6"/>
        <v>Estudos.de.Arquitetura</v>
      </c>
      <c r="N17" s="25" t="str">
        <f t="shared" si="7"/>
        <v>AnteProjeto</v>
      </c>
      <c r="O17" s="25" t="str">
        <f t="shared" si="8"/>
        <v>200 Porta</v>
      </c>
      <c r="P17" s="34" t="s">
        <v>822</v>
      </c>
      <c r="Q17" s="34" t="s">
        <v>826</v>
      </c>
      <c r="R17" s="52" t="s">
        <v>9</v>
      </c>
      <c r="S17" s="26" t="str">
        <f t="shared" si="9"/>
        <v>Arquitetônico</v>
      </c>
      <c r="T17" s="26" t="str">
        <f t="shared" si="10"/>
        <v>Estudos de Arquitetura</v>
      </c>
      <c r="U17" s="26" t="str">
        <f t="shared" si="11"/>
        <v>AnteProjeto</v>
      </c>
      <c r="V17" s="20" t="s">
        <v>85</v>
      </c>
      <c r="W17" s="71" t="str">
        <f t="shared" si="4"/>
        <v>Key-ARQ-17</v>
      </c>
      <c r="X17" s="20" t="s">
        <v>1484</v>
      </c>
      <c r="Y17" s="26" t="s">
        <v>1413</v>
      </c>
      <c r="Z17" s="52" t="s">
        <v>9</v>
      </c>
      <c r="AA17" s="20" t="str">
        <f t="shared" si="12"/>
        <v>Door. Level of detail, development or information 200.</v>
      </c>
    </row>
    <row r="18" spans="1:27" ht="6" customHeight="1" x14ac:dyDescent="0.4">
      <c r="A18" s="22">
        <v>18</v>
      </c>
      <c r="B18" s="1" t="s">
        <v>1604</v>
      </c>
      <c r="C18" s="1" t="s">
        <v>1383</v>
      </c>
      <c r="D18" s="1" t="s">
        <v>1391</v>
      </c>
      <c r="E18" s="1" t="s">
        <v>701</v>
      </c>
      <c r="F18" s="24" t="s">
        <v>819</v>
      </c>
      <c r="G18" s="56" t="s">
        <v>9</v>
      </c>
      <c r="H18" s="54" t="s">
        <v>9</v>
      </c>
      <c r="I18" s="54" t="s">
        <v>9</v>
      </c>
      <c r="J18" s="56" t="s">
        <v>9</v>
      </c>
      <c r="K18" s="56" t="s">
        <v>9</v>
      </c>
      <c r="L18" s="25" t="str">
        <f t="shared" si="5"/>
        <v>Arquitetônico</v>
      </c>
      <c r="M18" s="25" t="str">
        <f t="shared" si="6"/>
        <v>Estudos.de.Arquitetura</v>
      </c>
      <c r="N18" s="25" t="str">
        <f t="shared" si="7"/>
        <v>AnteProjeto</v>
      </c>
      <c r="O18" s="25" t="str">
        <f t="shared" si="8"/>
        <v>200 Janela</v>
      </c>
      <c r="P18" s="34" t="s">
        <v>823</v>
      </c>
      <c r="Q18" s="34" t="s">
        <v>827</v>
      </c>
      <c r="R18" s="52" t="s">
        <v>9</v>
      </c>
      <c r="S18" s="26" t="str">
        <f t="shared" si="9"/>
        <v>Arquitetônico</v>
      </c>
      <c r="T18" s="26" t="str">
        <f t="shared" si="10"/>
        <v>Estudos de Arquitetura</v>
      </c>
      <c r="U18" s="26" t="str">
        <f t="shared" si="11"/>
        <v>AnteProjeto</v>
      </c>
      <c r="V18" s="20" t="s">
        <v>85</v>
      </c>
      <c r="W18" s="71" t="str">
        <f t="shared" si="4"/>
        <v>Key-ARQ-18</v>
      </c>
      <c r="X18" s="20" t="s">
        <v>1485</v>
      </c>
      <c r="Y18" s="26" t="s">
        <v>1414</v>
      </c>
      <c r="Z18" s="52" t="s">
        <v>9</v>
      </c>
      <c r="AA18" s="20" t="str">
        <f t="shared" si="12"/>
        <v>Window. Level of detail, development or information 200.</v>
      </c>
    </row>
    <row r="19" spans="1:27" ht="6" customHeight="1" x14ac:dyDescent="0.4">
      <c r="A19" s="22">
        <v>19</v>
      </c>
      <c r="B19" s="1" t="s">
        <v>1604</v>
      </c>
      <c r="C19" s="1" t="s">
        <v>1383</v>
      </c>
      <c r="D19" s="1" t="s">
        <v>1391</v>
      </c>
      <c r="E19" s="1" t="s">
        <v>1330</v>
      </c>
      <c r="F19" s="24" t="s">
        <v>1262</v>
      </c>
      <c r="G19" s="56" t="s">
        <v>9</v>
      </c>
      <c r="H19" s="54" t="s">
        <v>9</v>
      </c>
      <c r="I19" s="54" t="s">
        <v>9</v>
      </c>
      <c r="J19" s="56" t="s">
        <v>9</v>
      </c>
      <c r="K19" s="56" t="s">
        <v>9</v>
      </c>
      <c r="L19" s="25" t="str">
        <f t="shared" ref="L19:L21" si="13">CONCATENATE("", C19)</f>
        <v>Arquitetônico</v>
      </c>
      <c r="M19" s="25" t="str">
        <f t="shared" ref="M19:M21" si="14">CONCATENATE("", D19)</f>
        <v>Estudos.de.Arquitetura</v>
      </c>
      <c r="N19" s="25" t="str">
        <f t="shared" ref="N19:N21" si="15">(SUBSTITUTE(SUBSTITUTE(CONCATENATE("",E19),"."," ")," De "," de "))</f>
        <v>Volumetrias</v>
      </c>
      <c r="O19" s="25" t="str">
        <f t="shared" si="8"/>
        <v>Bloco Principal</v>
      </c>
      <c r="P19" s="20" t="s">
        <v>1265</v>
      </c>
      <c r="Q19" s="20" t="s">
        <v>1268</v>
      </c>
      <c r="R19" s="52" t="s">
        <v>9</v>
      </c>
      <c r="S19" s="26" t="str">
        <f t="shared" ref="S19:S82" si="16">SUBSTITUTE(C19, ".", " ")</f>
        <v>Arquitetônico</v>
      </c>
      <c r="T19" s="26" t="str">
        <f t="shared" ref="T19:T82" si="17">SUBSTITUTE(D19, ".", " ")</f>
        <v>Estudos de Arquitetura</v>
      </c>
      <c r="U19" s="26" t="str">
        <f t="shared" ref="U19:U82" si="18">SUBSTITUTE(E19, ".", " ")</f>
        <v>Volumetrias</v>
      </c>
      <c r="V19" s="20" t="s">
        <v>85</v>
      </c>
      <c r="W19" s="71" t="str">
        <f t="shared" si="4"/>
        <v>Key-ARQ-19</v>
      </c>
      <c r="X19" s="20" t="s">
        <v>1486</v>
      </c>
      <c r="Y19" s="26" t="s">
        <v>1415</v>
      </c>
      <c r="Z19" s="52" t="s">
        <v>9</v>
      </c>
      <c r="AA19" s="20" t="str">
        <f t="shared" si="12"/>
        <v>It is the volumetric mass of the main block of the project.</v>
      </c>
    </row>
    <row r="20" spans="1:27" ht="6" customHeight="1" x14ac:dyDescent="0.4">
      <c r="A20" s="22">
        <v>20</v>
      </c>
      <c r="B20" s="1" t="s">
        <v>1604</v>
      </c>
      <c r="C20" s="1" t="s">
        <v>1383</v>
      </c>
      <c r="D20" s="1" t="s">
        <v>1391</v>
      </c>
      <c r="E20" s="1" t="s">
        <v>1330</v>
      </c>
      <c r="F20" s="24" t="s">
        <v>1263</v>
      </c>
      <c r="G20" s="56" t="s">
        <v>9</v>
      </c>
      <c r="H20" s="54" t="s">
        <v>9</v>
      </c>
      <c r="I20" s="54" t="s">
        <v>9</v>
      </c>
      <c r="J20" s="56" t="s">
        <v>9</v>
      </c>
      <c r="K20" s="56" t="s">
        <v>9</v>
      </c>
      <c r="L20" s="25" t="str">
        <f t="shared" si="13"/>
        <v>Arquitetônico</v>
      </c>
      <c r="M20" s="25" t="str">
        <f t="shared" si="14"/>
        <v>Estudos.de.Arquitetura</v>
      </c>
      <c r="N20" s="25" t="str">
        <f t="shared" si="15"/>
        <v>Volumetrias</v>
      </c>
      <c r="O20" s="25" t="str">
        <f t="shared" si="8"/>
        <v>Bloco Secundário</v>
      </c>
      <c r="P20" s="20" t="s">
        <v>1266</v>
      </c>
      <c r="Q20" s="20" t="s">
        <v>1269</v>
      </c>
      <c r="R20" s="52" t="s">
        <v>9</v>
      </c>
      <c r="S20" s="26" t="str">
        <f t="shared" si="16"/>
        <v>Arquitetônico</v>
      </c>
      <c r="T20" s="26" t="str">
        <f t="shared" si="17"/>
        <v>Estudos de Arquitetura</v>
      </c>
      <c r="U20" s="26" t="str">
        <f t="shared" si="18"/>
        <v>Volumetrias</v>
      </c>
      <c r="V20" s="20" t="s">
        <v>85</v>
      </c>
      <c r="W20" s="71" t="str">
        <f t="shared" si="4"/>
        <v>Key-ARQ-20</v>
      </c>
      <c r="X20" s="20" t="s">
        <v>1486</v>
      </c>
      <c r="Y20" s="26" t="s">
        <v>1415</v>
      </c>
      <c r="Z20" s="52" t="s">
        <v>9</v>
      </c>
      <c r="AA20" s="20" t="str">
        <f t="shared" si="12"/>
        <v>It is the volumetric mass of the secondary block of the project.</v>
      </c>
    </row>
    <row r="21" spans="1:27" ht="6" customHeight="1" x14ac:dyDescent="0.4">
      <c r="A21" s="22">
        <v>21</v>
      </c>
      <c r="B21" s="1" t="s">
        <v>1604</v>
      </c>
      <c r="C21" s="1" t="s">
        <v>1383</v>
      </c>
      <c r="D21" s="1" t="s">
        <v>1391</v>
      </c>
      <c r="E21" s="1" t="s">
        <v>1330</v>
      </c>
      <c r="F21" s="24" t="s">
        <v>1264</v>
      </c>
      <c r="G21" s="56" t="s">
        <v>9</v>
      </c>
      <c r="H21" s="54" t="s">
        <v>9</v>
      </c>
      <c r="I21" s="54" t="s">
        <v>9</v>
      </c>
      <c r="J21" s="56" t="s">
        <v>9</v>
      </c>
      <c r="K21" s="56" t="s">
        <v>9</v>
      </c>
      <c r="L21" s="25" t="str">
        <f t="shared" si="13"/>
        <v>Arquitetônico</v>
      </c>
      <c r="M21" s="25" t="str">
        <f t="shared" si="14"/>
        <v>Estudos.de.Arquitetura</v>
      </c>
      <c r="N21" s="25" t="str">
        <f t="shared" si="15"/>
        <v>Volumetrias</v>
      </c>
      <c r="O21" s="25" t="str">
        <f t="shared" si="8"/>
        <v>Bloco Excêntrico</v>
      </c>
      <c r="P21" s="20" t="s">
        <v>1267</v>
      </c>
      <c r="Q21" s="20" t="s">
        <v>1270</v>
      </c>
      <c r="R21" s="52" t="s">
        <v>9</v>
      </c>
      <c r="S21" s="26" t="str">
        <f t="shared" si="16"/>
        <v>Arquitetônico</v>
      </c>
      <c r="T21" s="26" t="str">
        <f t="shared" si="17"/>
        <v>Estudos de Arquitetura</v>
      </c>
      <c r="U21" s="26" t="str">
        <f t="shared" si="18"/>
        <v>Volumetrias</v>
      </c>
      <c r="V21" s="20" t="s">
        <v>85</v>
      </c>
      <c r="W21" s="71" t="str">
        <f t="shared" si="4"/>
        <v>Key-ARQ-21</v>
      </c>
      <c r="X21" s="20" t="s">
        <v>1486</v>
      </c>
      <c r="Y21" s="26" t="s">
        <v>1415</v>
      </c>
      <c r="Z21" s="52" t="s">
        <v>9</v>
      </c>
      <c r="AA21" s="20" t="str">
        <f t="shared" si="12"/>
        <v>It is the volumetric mass of an eccentric block of the main block of the project.</v>
      </c>
    </row>
    <row r="22" spans="1:27" ht="6.65" customHeight="1" x14ac:dyDescent="0.4">
      <c r="A22" s="22">
        <v>22</v>
      </c>
      <c r="B22" s="1" t="s">
        <v>1604</v>
      </c>
      <c r="C22" s="1" t="s">
        <v>1383</v>
      </c>
      <c r="D22" s="1" t="s">
        <v>1390</v>
      </c>
      <c r="E22" s="1" t="s">
        <v>1261</v>
      </c>
      <c r="F22" s="37" t="s">
        <v>1311</v>
      </c>
      <c r="G22" s="56" t="s">
        <v>9</v>
      </c>
      <c r="H22" s="56" t="s">
        <v>9</v>
      </c>
      <c r="I22" s="56" t="s">
        <v>9</v>
      </c>
      <c r="J22" s="56" t="s">
        <v>9</v>
      </c>
      <c r="K22" s="56" t="s">
        <v>9</v>
      </c>
      <c r="L22" s="25" t="str">
        <f t="shared" ref="L22:L87" si="19">CONCATENATE("", C22)</f>
        <v>Arquitetônico</v>
      </c>
      <c r="M22" s="25" t="str">
        <f t="shared" ref="M22:M87" si="20">CONCATENATE("", D22)</f>
        <v>Elementos.de.Massas</v>
      </c>
      <c r="N22" s="25" t="str">
        <f t="shared" ref="N22:O41" si="21">(SUBSTITUTE(SUBSTITUTE(CONCATENATE("",E22),"."," ")," De "," de "))</f>
        <v>Massas</v>
      </c>
      <c r="O22" s="25" t="str">
        <f t="shared" si="21"/>
        <v>Volume Formal</v>
      </c>
      <c r="P22" s="20" t="s">
        <v>1283</v>
      </c>
      <c r="Q22" s="20" t="s">
        <v>1284</v>
      </c>
      <c r="R22" s="52" t="s">
        <v>9</v>
      </c>
      <c r="S22" s="26" t="str">
        <f t="shared" si="16"/>
        <v>Arquitetônico</v>
      </c>
      <c r="T22" s="26" t="str">
        <f t="shared" si="17"/>
        <v>Elementos de Massas</v>
      </c>
      <c r="U22" s="26" t="str">
        <f t="shared" si="18"/>
        <v>Massas</v>
      </c>
      <c r="V22" s="20" t="s">
        <v>85</v>
      </c>
      <c r="W22" s="71" t="str">
        <f t="shared" si="4"/>
        <v>Key-ARQ-22</v>
      </c>
      <c r="X22" s="20" t="s">
        <v>1487</v>
      </c>
      <c r="Y22" s="26" t="s">
        <v>1415</v>
      </c>
      <c r="Z22" s="52" t="s">
        <v>9</v>
      </c>
      <c r="AA22" s="20" t="str">
        <f t="shared" si="12"/>
        <v>Dough: shape of the dough.</v>
      </c>
    </row>
    <row r="23" spans="1:27" ht="6.65" customHeight="1" x14ac:dyDescent="0.4">
      <c r="A23" s="22">
        <v>23</v>
      </c>
      <c r="B23" s="1" t="s">
        <v>1604</v>
      </c>
      <c r="C23" s="1" t="s">
        <v>1383</v>
      </c>
      <c r="D23" s="1" t="s">
        <v>1390</v>
      </c>
      <c r="E23" s="1" t="s">
        <v>1261</v>
      </c>
      <c r="F23" s="37" t="s">
        <v>1314</v>
      </c>
      <c r="G23" s="56" t="s">
        <v>9</v>
      </c>
      <c r="H23" s="56" t="s">
        <v>9</v>
      </c>
      <c r="I23" s="56" t="s">
        <v>9</v>
      </c>
      <c r="J23" s="56" t="s">
        <v>9</v>
      </c>
      <c r="K23" s="56" t="s">
        <v>9</v>
      </c>
      <c r="L23" s="25" t="str">
        <f t="shared" si="19"/>
        <v>Arquitetônico</v>
      </c>
      <c r="M23" s="25" t="str">
        <f t="shared" si="20"/>
        <v>Elementos.de.Massas</v>
      </c>
      <c r="N23" s="25" t="str">
        <f t="shared" si="21"/>
        <v>Massas</v>
      </c>
      <c r="O23" s="25" t="str">
        <f t="shared" si="21"/>
        <v>Volume Massas</v>
      </c>
      <c r="P23" s="20" t="s">
        <v>1289</v>
      </c>
      <c r="Q23" s="20" t="s">
        <v>1290</v>
      </c>
      <c r="R23" s="52" t="s">
        <v>9</v>
      </c>
      <c r="S23" s="26" t="str">
        <f t="shared" si="16"/>
        <v>Arquitetônico</v>
      </c>
      <c r="T23" s="26" t="str">
        <f t="shared" si="17"/>
        <v>Elementos de Massas</v>
      </c>
      <c r="U23" s="26" t="str">
        <f t="shared" si="18"/>
        <v>Massas</v>
      </c>
      <c r="V23" s="20" t="s">
        <v>85</v>
      </c>
      <c r="W23" s="71" t="str">
        <f t="shared" si="4"/>
        <v>Key-ARQ-23</v>
      </c>
      <c r="X23" s="20" t="s">
        <v>1488</v>
      </c>
      <c r="Y23" s="26" t="s">
        <v>1415</v>
      </c>
      <c r="Z23" s="52" t="s">
        <v>9</v>
      </c>
      <c r="AA23" s="20" t="str">
        <f t="shared" si="12"/>
        <v>Dough: dough.</v>
      </c>
    </row>
    <row r="24" spans="1:27" ht="6.65" customHeight="1" x14ac:dyDescent="0.4">
      <c r="A24" s="22">
        <v>24</v>
      </c>
      <c r="B24" s="1" t="s">
        <v>1604</v>
      </c>
      <c r="C24" s="1" t="s">
        <v>1383</v>
      </c>
      <c r="D24" s="1" t="s">
        <v>1390</v>
      </c>
      <c r="E24" s="1" t="s">
        <v>1261</v>
      </c>
      <c r="F24" s="37" t="s">
        <v>1322</v>
      </c>
      <c r="G24" s="56" t="s">
        <v>9</v>
      </c>
      <c r="H24" s="56" t="s">
        <v>9</v>
      </c>
      <c r="I24" s="56" t="s">
        <v>9</v>
      </c>
      <c r="J24" s="56" t="s">
        <v>9</v>
      </c>
      <c r="K24" s="56" t="s">
        <v>9</v>
      </c>
      <c r="L24" s="25" t="str">
        <f t="shared" si="19"/>
        <v>Arquitetônico</v>
      </c>
      <c r="M24" s="25" t="str">
        <f t="shared" si="20"/>
        <v>Elementos.de.Massas</v>
      </c>
      <c r="N24" s="25" t="str">
        <f t="shared" si="21"/>
        <v>Massas</v>
      </c>
      <c r="O24" s="25" t="str">
        <f t="shared" si="21"/>
        <v>Massas Zonas</v>
      </c>
      <c r="P24" s="20" t="s">
        <v>1305</v>
      </c>
      <c r="Q24" s="20" t="s">
        <v>1306</v>
      </c>
      <c r="R24" s="52" t="s">
        <v>9</v>
      </c>
      <c r="S24" s="26" t="str">
        <f t="shared" ref="S24:S28" si="22">SUBSTITUTE(C24, ".", " ")</f>
        <v>Arquitetônico</v>
      </c>
      <c r="T24" s="26" t="str">
        <f t="shared" ref="T24:T28" si="23">SUBSTITUTE(D24, ".", " ")</f>
        <v>Elementos de Massas</v>
      </c>
      <c r="U24" s="26" t="str">
        <f t="shared" ref="U24:U28" si="24">SUBSTITUTE(E24, ".", " ")</f>
        <v>Massas</v>
      </c>
      <c r="V24" s="20" t="s">
        <v>85</v>
      </c>
      <c r="W24" s="71" t="str">
        <f t="shared" si="4"/>
        <v>Key-ARQ-24</v>
      </c>
      <c r="X24" s="20" t="s">
        <v>1489</v>
      </c>
      <c r="Y24" s="26" t="s">
        <v>1415</v>
      </c>
      <c r="Z24" s="52" t="s">
        <v>9</v>
      </c>
      <c r="AA24" s="20" t="str">
        <f t="shared" si="12"/>
        <v>Mass: zones.</v>
      </c>
    </row>
    <row r="25" spans="1:27" ht="6.65" customHeight="1" x14ac:dyDescent="0.4">
      <c r="A25" s="22">
        <v>25</v>
      </c>
      <c r="B25" s="1" t="s">
        <v>1604</v>
      </c>
      <c r="C25" s="1" t="s">
        <v>1383</v>
      </c>
      <c r="D25" s="1" t="s">
        <v>1390</v>
      </c>
      <c r="E25" s="1" t="s">
        <v>1261</v>
      </c>
      <c r="F25" s="37" t="s">
        <v>1325</v>
      </c>
      <c r="G25" s="56" t="s">
        <v>9</v>
      </c>
      <c r="H25" s="56" t="s">
        <v>9</v>
      </c>
      <c r="I25" s="56" t="s">
        <v>9</v>
      </c>
      <c r="J25" s="56" t="s">
        <v>9</v>
      </c>
      <c r="K25" s="56" t="s">
        <v>9</v>
      </c>
      <c r="L25" s="25" t="str">
        <f t="shared" si="19"/>
        <v>Arquitetônico</v>
      </c>
      <c r="M25" s="25" t="str">
        <f t="shared" si="20"/>
        <v>Elementos.de.Massas</v>
      </c>
      <c r="N25" s="25" t="str">
        <f t="shared" si="21"/>
        <v>Massas</v>
      </c>
      <c r="O25" s="25" t="str">
        <f t="shared" si="21"/>
        <v>Massa Void</v>
      </c>
      <c r="P25" s="20" t="s">
        <v>1271</v>
      </c>
      <c r="Q25" s="20" t="s">
        <v>1272</v>
      </c>
      <c r="R25" s="52" t="s">
        <v>9</v>
      </c>
      <c r="S25" s="26" t="str">
        <f t="shared" si="22"/>
        <v>Arquitetônico</v>
      </c>
      <c r="T25" s="26" t="str">
        <f t="shared" si="23"/>
        <v>Elementos de Massas</v>
      </c>
      <c r="U25" s="26" t="str">
        <f t="shared" si="24"/>
        <v>Massas</v>
      </c>
      <c r="V25" s="20" t="s">
        <v>85</v>
      </c>
      <c r="W25" s="71" t="str">
        <f t="shared" si="4"/>
        <v>Key-ARQ-25</v>
      </c>
      <c r="X25" s="20" t="s">
        <v>1490</v>
      </c>
      <c r="Y25" s="26" t="s">
        <v>1415</v>
      </c>
      <c r="Z25" s="52" t="s">
        <v>9</v>
      </c>
      <c r="AA25" s="20" t="str">
        <f t="shared" si="12"/>
        <v>Mass: mass of subtraction.</v>
      </c>
    </row>
    <row r="26" spans="1:27" ht="6.65" customHeight="1" x14ac:dyDescent="0.4">
      <c r="A26" s="22">
        <v>26</v>
      </c>
      <c r="B26" s="1" t="s">
        <v>1604</v>
      </c>
      <c r="C26" s="1" t="s">
        <v>1383</v>
      </c>
      <c r="D26" s="1" t="s">
        <v>1390</v>
      </c>
      <c r="E26" s="1" t="s">
        <v>1261</v>
      </c>
      <c r="F26" s="37" t="s">
        <v>1326</v>
      </c>
      <c r="G26" s="56" t="s">
        <v>9</v>
      </c>
      <c r="H26" s="56" t="s">
        <v>9</v>
      </c>
      <c r="I26" s="56" t="s">
        <v>9</v>
      </c>
      <c r="J26" s="56" t="s">
        <v>9</v>
      </c>
      <c r="K26" s="56" t="s">
        <v>9</v>
      </c>
      <c r="L26" s="25" t="str">
        <f t="shared" si="19"/>
        <v>Arquitetônico</v>
      </c>
      <c r="M26" s="25" t="str">
        <f t="shared" si="20"/>
        <v>Elementos.de.Massas</v>
      </c>
      <c r="N26" s="25" t="str">
        <f t="shared" si="21"/>
        <v>Massas</v>
      </c>
      <c r="O26" s="25" t="str">
        <f t="shared" si="21"/>
        <v>Massa Divisor de Face</v>
      </c>
      <c r="P26" s="20" t="s">
        <v>1277</v>
      </c>
      <c r="Q26" s="20" t="s">
        <v>1278</v>
      </c>
      <c r="R26" s="52" t="s">
        <v>9</v>
      </c>
      <c r="S26" s="26" t="str">
        <f t="shared" si="22"/>
        <v>Arquitetônico</v>
      </c>
      <c r="T26" s="26" t="str">
        <f t="shared" si="23"/>
        <v>Elementos de Massas</v>
      </c>
      <c r="U26" s="26" t="str">
        <f t="shared" si="24"/>
        <v>Massas</v>
      </c>
      <c r="V26" s="20" t="s">
        <v>85</v>
      </c>
      <c r="W26" s="71" t="str">
        <f t="shared" si="4"/>
        <v>Key-ARQ-26</v>
      </c>
      <c r="X26" s="20" t="s">
        <v>1491</v>
      </c>
      <c r="Y26" s="26" t="s">
        <v>1415</v>
      </c>
      <c r="Z26" s="52" t="s">
        <v>9</v>
      </c>
      <c r="AA26" s="20" t="str">
        <f t="shared" si="12"/>
        <v>Mass: face divider.</v>
      </c>
    </row>
    <row r="27" spans="1:27" ht="6.65" customHeight="1" x14ac:dyDescent="0.4">
      <c r="A27" s="22">
        <v>27</v>
      </c>
      <c r="B27" s="1" t="s">
        <v>1604</v>
      </c>
      <c r="C27" s="1" t="s">
        <v>1383</v>
      </c>
      <c r="D27" s="1" t="s">
        <v>1390</v>
      </c>
      <c r="E27" s="1" t="s">
        <v>1261</v>
      </c>
      <c r="F27" s="37" t="s">
        <v>1327</v>
      </c>
      <c r="G27" s="56" t="s">
        <v>9</v>
      </c>
      <c r="H27" s="56" t="s">
        <v>9</v>
      </c>
      <c r="I27" s="56" t="s">
        <v>9</v>
      </c>
      <c r="J27" s="56" t="s">
        <v>9</v>
      </c>
      <c r="K27" s="56" t="s">
        <v>9</v>
      </c>
      <c r="L27" s="25" t="str">
        <f t="shared" si="19"/>
        <v>Arquitetônico</v>
      </c>
      <c r="M27" s="25" t="str">
        <f t="shared" si="20"/>
        <v>Elementos.de.Massas</v>
      </c>
      <c r="N27" s="25" t="str">
        <f t="shared" si="21"/>
        <v>Massas</v>
      </c>
      <c r="O27" s="25" t="str">
        <f t="shared" si="21"/>
        <v>Massa Contorno</v>
      </c>
      <c r="P27" s="20" t="s">
        <v>1291</v>
      </c>
      <c r="Q27" s="20" t="s">
        <v>1292</v>
      </c>
      <c r="R27" s="52" t="s">
        <v>9</v>
      </c>
      <c r="S27" s="26" t="str">
        <f t="shared" si="22"/>
        <v>Arquitetônico</v>
      </c>
      <c r="T27" s="26" t="str">
        <f t="shared" si="23"/>
        <v>Elementos de Massas</v>
      </c>
      <c r="U27" s="26" t="str">
        <f t="shared" si="24"/>
        <v>Massas</v>
      </c>
      <c r="V27" s="20" t="s">
        <v>85</v>
      </c>
      <c r="W27" s="71" t="str">
        <f t="shared" si="4"/>
        <v>Key-ARQ-27</v>
      </c>
      <c r="X27" s="20" t="s">
        <v>1492</v>
      </c>
      <c r="Y27" s="26" t="s">
        <v>1415</v>
      </c>
      <c r="Z27" s="52" t="s">
        <v>9</v>
      </c>
      <c r="AA27" s="20" t="str">
        <f t="shared" si="12"/>
        <v>Dough: cutting contours.</v>
      </c>
    </row>
    <row r="28" spans="1:27" ht="6.65" customHeight="1" x14ac:dyDescent="0.4">
      <c r="A28" s="22">
        <v>28</v>
      </c>
      <c r="B28" s="1" t="s">
        <v>1604</v>
      </c>
      <c r="C28" s="1" t="s">
        <v>1383</v>
      </c>
      <c r="D28" s="1" t="s">
        <v>1390</v>
      </c>
      <c r="E28" s="1" t="s">
        <v>1261</v>
      </c>
      <c r="F28" s="37" t="s">
        <v>1328</v>
      </c>
      <c r="G28" s="56" t="s">
        <v>9</v>
      </c>
      <c r="H28" s="56" t="s">
        <v>9</v>
      </c>
      <c r="I28" s="56" t="s">
        <v>9</v>
      </c>
      <c r="J28" s="56" t="s">
        <v>9</v>
      </c>
      <c r="K28" s="56" t="s">
        <v>9</v>
      </c>
      <c r="L28" s="25" t="str">
        <f t="shared" si="19"/>
        <v>Arquitetônico</v>
      </c>
      <c r="M28" s="25" t="str">
        <f t="shared" si="20"/>
        <v>Elementos.de.Massas</v>
      </c>
      <c r="N28" s="25" t="str">
        <f t="shared" si="21"/>
        <v>Massas</v>
      </c>
      <c r="O28" s="25" t="str">
        <f t="shared" si="21"/>
        <v>Massa Projeção</v>
      </c>
      <c r="P28" s="20" t="s">
        <v>1291</v>
      </c>
      <c r="Q28" s="20" t="s">
        <v>1292</v>
      </c>
      <c r="R28" s="52" t="s">
        <v>9</v>
      </c>
      <c r="S28" s="26" t="str">
        <f t="shared" si="22"/>
        <v>Arquitetônico</v>
      </c>
      <c r="T28" s="26" t="str">
        <f t="shared" si="23"/>
        <v>Elementos de Massas</v>
      </c>
      <c r="U28" s="26" t="str">
        <f t="shared" si="24"/>
        <v>Massas</v>
      </c>
      <c r="V28" s="20" t="s">
        <v>85</v>
      </c>
      <c r="W28" s="71" t="str">
        <f t="shared" si="4"/>
        <v>Key-ARQ-28</v>
      </c>
      <c r="X28" s="20" t="s">
        <v>1493</v>
      </c>
      <c r="Y28" s="26" t="s">
        <v>1415</v>
      </c>
      <c r="Z28" s="52" t="s">
        <v>9</v>
      </c>
      <c r="AA28" s="20" t="str">
        <f t="shared" si="12"/>
        <v>Dough: cutting contours.</v>
      </c>
    </row>
    <row r="29" spans="1:27" ht="6.65" customHeight="1" x14ac:dyDescent="0.4">
      <c r="A29" s="22">
        <v>29</v>
      </c>
      <c r="B29" s="1" t="s">
        <v>1604</v>
      </c>
      <c r="C29" s="1" t="s">
        <v>1383</v>
      </c>
      <c r="D29" s="1" t="s">
        <v>1390</v>
      </c>
      <c r="E29" s="1" t="s">
        <v>1329</v>
      </c>
      <c r="F29" s="37" t="s">
        <v>1309</v>
      </c>
      <c r="G29" s="56" t="s">
        <v>9</v>
      </c>
      <c r="H29" s="56" t="s">
        <v>9</v>
      </c>
      <c r="I29" s="56" t="s">
        <v>9</v>
      </c>
      <c r="J29" s="56" t="s">
        <v>9</v>
      </c>
      <c r="K29" s="56" t="s">
        <v>9</v>
      </c>
      <c r="L29" s="25" t="str">
        <f t="shared" si="19"/>
        <v>Arquitetônico</v>
      </c>
      <c r="M29" s="25" t="str">
        <f t="shared" si="20"/>
        <v>Elementos.de.Massas</v>
      </c>
      <c r="N29" s="25" t="str">
        <f t="shared" si="21"/>
        <v>Superfícies</v>
      </c>
      <c r="O29" s="25" t="str">
        <f t="shared" si="21"/>
        <v>Plano de Laje</v>
      </c>
      <c r="P29" s="20" t="s">
        <v>1279</v>
      </c>
      <c r="Q29" s="20" t="s">
        <v>1280</v>
      </c>
      <c r="R29" s="52" t="s">
        <v>9</v>
      </c>
      <c r="S29" s="26" t="str">
        <f t="shared" ref="S29:S30" si="25">SUBSTITUTE(C29, ".", " ")</f>
        <v>Arquitetônico</v>
      </c>
      <c r="T29" s="26" t="str">
        <f t="shared" ref="T29:T30" si="26">SUBSTITUTE(D29, ".", " ")</f>
        <v>Elementos de Massas</v>
      </c>
      <c r="U29" s="26" t="str">
        <f t="shared" ref="U29:U30" si="27">SUBSTITUTE(E29, ".", " ")</f>
        <v>Superfícies</v>
      </c>
      <c r="V29" s="20" t="s">
        <v>85</v>
      </c>
      <c r="W29" s="71" t="str">
        <f t="shared" si="4"/>
        <v>Key-ARQ-29</v>
      </c>
      <c r="X29" s="20" t="s">
        <v>1494</v>
      </c>
      <c r="Y29" s="26" t="s">
        <v>1415</v>
      </c>
      <c r="Z29" s="52" t="s">
        <v>9</v>
      </c>
      <c r="AA29" s="20" t="str">
        <f t="shared" si="12"/>
        <v>Dough: floor.</v>
      </c>
    </row>
    <row r="30" spans="1:27" ht="6.65" customHeight="1" x14ac:dyDescent="0.4">
      <c r="A30" s="22">
        <v>30</v>
      </c>
      <c r="B30" s="1" t="s">
        <v>1604</v>
      </c>
      <c r="C30" s="1" t="s">
        <v>1383</v>
      </c>
      <c r="D30" s="1" t="s">
        <v>1390</v>
      </c>
      <c r="E30" s="1" t="s">
        <v>1329</v>
      </c>
      <c r="F30" s="37" t="s">
        <v>1310</v>
      </c>
      <c r="G30" s="56" t="s">
        <v>9</v>
      </c>
      <c r="H30" s="56" t="s">
        <v>9</v>
      </c>
      <c r="I30" s="56" t="s">
        <v>9</v>
      </c>
      <c r="J30" s="56" t="s">
        <v>9</v>
      </c>
      <c r="K30" s="56" t="s">
        <v>9</v>
      </c>
      <c r="L30" s="25" t="str">
        <f t="shared" si="19"/>
        <v>Arquitetônico</v>
      </c>
      <c r="M30" s="25" t="str">
        <f t="shared" si="20"/>
        <v>Elementos.de.Massas</v>
      </c>
      <c r="N30" s="25" t="str">
        <f t="shared" si="21"/>
        <v>Superfícies</v>
      </c>
      <c r="O30" s="25" t="str">
        <f t="shared" si="21"/>
        <v>Planos das Lajes</v>
      </c>
      <c r="P30" s="20" t="s">
        <v>1281</v>
      </c>
      <c r="Q30" s="20" t="s">
        <v>1282</v>
      </c>
      <c r="R30" s="52" t="s">
        <v>9</v>
      </c>
      <c r="S30" s="26" t="str">
        <f t="shared" si="25"/>
        <v>Arquitetônico</v>
      </c>
      <c r="T30" s="26" t="str">
        <f t="shared" si="26"/>
        <v>Elementos de Massas</v>
      </c>
      <c r="U30" s="26" t="str">
        <f t="shared" si="27"/>
        <v>Superfícies</v>
      </c>
      <c r="V30" s="20" t="s">
        <v>85</v>
      </c>
      <c r="W30" s="71" t="str">
        <f t="shared" si="4"/>
        <v>Key-ARQ-30</v>
      </c>
      <c r="X30" s="20" t="s">
        <v>1495</v>
      </c>
      <c r="Y30" s="26" t="s">
        <v>1415</v>
      </c>
      <c r="Z30" s="52" t="s">
        <v>9</v>
      </c>
      <c r="AA30" s="20" t="str">
        <f t="shared" si="12"/>
        <v>Mass: all floors.</v>
      </c>
    </row>
    <row r="31" spans="1:27" ht="6.65" customHeight="1" x14ac:dyDescent="0.4">
      <c r="A31" s="22">
        <v>31</v>
      </c>
      <c r="B31" s="1" t="s">
        <v>1604</v>
      </c>
      <c r="C31" s="1" t="s">
        <v>1383</v>
      </c>
      <c r="D31" s="1" t="s">
        <v>1390</v>
      </c>
      <c r="E31" s="1" t="s">
        <v>1329</v>
      </c>
      <c r="F31" s="37" t="s">
        <v>1308</v>
      </c>
      <c r="G31" s="56" t="s">
        <v>9</v>
      </c>
      <c r="H31" s="56" t="s">
        <v>9</v>
      </c>
      <c r="I31" s="56" t="s">
        <v>9</v>
      </c>
      <c r="J31" s="56" t="s">
        <v>9</v>
      </c>
      <c r="K31" s="56" t="s">
        <v>9</v>
      </c>
      <c r="L31" s="25" t="str">
        <f t="shared" si="19"/>
        <v>Arquitetônico</v>
      </c>
      <c r="M31" s="25" t="str">
        <f t="shared" si="20"/>
        <v>Elementos.de.Massas</v>
      </c>
      <c r="N31" s="25" t="str">
        <f t="shared" si="21"/>
        <v>Superfícies</v>
      </c>
      <c r="O31" s="25" t="str">
        <f t="shared" si="21"/>
        <v>Envoltória</v>
      </c>
      <c r="P31" s="20" t="s">
        <v>1273</v>
      </c>
      <c r="Q31" s="20" t="s">
        <v>1274</v>
      </c>
      <c r="R31" s="52" t="s">
        <v>9</v>
      </c>
      <c r="S31" s="26" t="str">
        <f t="shared" ref="S31:S32" si="28">SUBSTITUTE(C31, ".", " ")</f>
        <v>Arquitetônico</v>
      </c>
      <c r="T31" s="26" t="str">
        <f t="shared" ref="T31:T32" si="29">SUBSTITUTE(D31, ".", " ")</f>
        <v>Elementos de Massas</v>
      </c>
      <c r="U31" s="26" t="str">
        <f t="shared" ref="U31:U32" si="30">SUBSTITUTE(E31, ".", " ")</f>
        <v>Superfícies</v>
      </c>
      <c r="V31" s="20" t="s">
        <v>85</v>
      </c>
      <c r="W31" s="71" t="str">
        <f t="shared" si="4"/>
        <v>Key-ARQ-31</v>
      </c>
      <c r="X31" s="20" t="s">
        <v>1496</v>
      </c>
      <c r="Y31" s="26" t="s">
        <v>1415</v>
      </c>
      <c r="Z31" s="52" t="s">
        <v>9</v>
      </c>
      <c r="AA31" s="20" t="str">
        <f t="shared" si="12"/>
        <v>Mass: external wall.</v>
      </c>
    </row>
    <row r="32" spans="1:27" ht="6.65" customHeight="1" x14ac:dyDescent="0.4">
      <c r="A32" s="22">
        <v>32</v>
      </c>
      <c r="B32" s="1" t="s">
        <v>1604</v>
      </c>
      <c r="C32" s="1" t="s">
        <v>1383</v>
      </c>
      <c r="D32" s="1" t="s">
        <v>1390</v>
      </c>
      <c r="E32" s="1" t="s">
        <v>1329</v>
      </c>
      <c r="F32" s="37" t="s">
        <v>1307</v>
      </c>
      <c r="G32" s="56" t="s">
        <v>9</v>
      </c>
      <c r="H32" s="56" t="s">
        <v>9</v>
      </c>
      <c r="I32" s="56" t="s">
        <v>9</v>
      </c>
      <c r="J32" s="56" t="s">
        <v>9</v>
      </c>
      <c r="K32" s="56" t="s">
        <v>9</v>
      </c>
      <c r="L32" s="25" t="str">
        <f t="shared" si="19"/>
        <v>Arquitetônico</v>
      </c>
      <c r="M32" s="25" t="str">
        <f t="shared" si="20"/>
        <v>Elementos.de.Massas</v>
      </c>
      <c r="N32" s="25" t="str">
        <f t="shared" si="21"/>
        <v>Superfícies</v>
      </c>
      <c r="O32" s="25" t="str">
        <f t="shared" si="21"/>
        <v>Envoltória Subsolos</v>
      </c>
      <c r="P32" s="20" t="s">
        <v>1275</v>
      </c>
      <c r="Q32" s="20" t="s">
        <v>1276</v>
      </c>
      <c r="R32" s="52" t="s">
        <v>9</v>
      </c>
      <c r="S32" s="26" t="str">
        <f t="shared" si="28"/>
        <v>Arquitetônico</v>
      </c>
      <c r="T32" s="26" t="str">
        <f t="shared" si="29"/>
        <v>Elementos de Massas</v>
      </c>
      <c r="U32" s="26" t="str">
        <f t="shared" si="30"/>
        <v>Superfícies</v>
      </c>
      <c r="V32" s="20" t="s">
        <v>85</v>
      </c>
      <c r="W32" s="71" t="str">
        <f t="shared" si="4"/>
        <v>Key-ARQ-32</v>
      </c>
      <c r="X32" s="20" t="s">
        <v>1497</v>
      </c>
      <c r="Y32" s="26" t="s">
        <v>1415</v>
      </c>
      <c r="Z32" s="52" t="s">
        <v>9</v>
      </c>
      <c r="AA32" s="20" t="str">
        <f t="shared" si="12"/>
        <v>Mass: external wall basements.</v>
      </c>
    </row>
    <row r="33" spans="1:27" ht="6.65" customHeight="1" x14ac:dyDescent="0.4">
      <c r="A33" s="22">
        <v>33</v>
      </c>
      <c r="B33" s="1" t="s">
        <v>1604</v>
      </c>
      <c r="C33" s="1" t="s">
        <v>1383</v>
      </c>
      <c r="D33" s="1" t="s">
        <v>1390</v>
      </c>
      <c r="E33" s="1" t="s">
        <v>1329</v>
      </c>
      <c r="F33" s="37" t="s">
        <v>1312</v>
      </c>
      <c r="G33" s="56" t="s">
        <v>9</v>
      </c>
      <c r="H33" s="56" t="s">
        <v>9</v>
      </c>
      <c r="I33" s="56" t="s">
        <v>9</v>
      </c>
      <c r="J33" s="56" t="s">
        <v>9</v>
      </c>
      <c r="K33" s="56" t="s">
        <v>9</v>
      </c>
      <c r="L33" s="25" t="str">
        <f t="shared" si="19"/>
        <v>Arquitetônico</v>
      </c>
      <c r="M33" s="25" t="str">
        <f t="shared" si="20"/>
        <v>Elementos.de.Massas</v>
      </c>
      <c r="N33" s="25" t="str">
        <f t="shared" si="21"/>
        <v>Superfícies</v>
      </c>
      <c r="O33" s="25" t="str">
        <f t="shared" si="21"/>
        <v>Fachada Envidraçada</v>
      </c>
      <c r="P33" s="20" t="s">
        <v>1285</v>
      </c>
      <c r="Q33" s="20" t="s">
        <v>1286</v>
      </c>
      <c r="R33" s="52" t="s">
        <v>9</v>
      </c>
      <c r="S33" s="26" t="str">
        <f t="shared" si="16"/>
        <v>Arquitetônico</v>
      </c>
      <c r="T33" s="26" t="str">
        <f t="shared" si="17"/>
        <v>Elementos de Massas</v>
      </c>
      <c r="U33" s="26" t="str">
        <f t="shared" si="18"/>
        <v>Superfícies</v>
      </c>
      <c r="V33" s="20" t="s">
        <v>85</v>
      </c>
      <c r="W33" s="71" t="str">
        <f t="shared" si="4"/>
        <v>Key-ARQ-33</v>
      </c>
      <c r="X33" s="20" t="s">
        <v>1498</v>
      </c>
      <c r="Y33" s="26" t="s">
        <v>1415</v>
      </c>
      <c r="Z33" s="52" t="s">
        <v>9</v>
      </c>
      <c r="AA33" s="20" t="str">
        <f t="shared" si="12"/>
        <v>Dough: glazed.</v>
      </c>
    </row>
    <row r="34" spans="1:27" ht="6.65" customHeight="1" x14ac:dyDescent="0.4">
      <c r="A34" s="22">
        <v>34</v>
      </c>
      <c r="B34" s="1" t="s">
        <v>1604</v>
      </c>
      <c r="C34" s="1" t="s">
        <v>1383</v>
      </c>
      <c r="D34" s="1" t="s">
        <v>1390</v>
      </c>
      <c r="E34" s="1" t="s">
        <v>1329</v>
      </c>
      <c r="F34" s="37" t="s">
        <v>1313</v>
      </c>
      <c r="G34" s="56" t="s">
        <v>9</v>
      </c>
      <c r="H34" s="56" t="s">
        <v>9</v>
      </c>
      <c r="I34" s="56" t="s">
        <v>9</v>
      </c>
      <c r="J34" s="56" t="s">
        <v>9</v>
      </c>
      <c r="K34" s="56" t="s">
        <v>9</v>
      </c>
      <c r="L34" s="25" t="str">
        <f t="shared" si="19"/>
        <v>Arquitetônico</v>
      </c>
      <c r="M34" s="25" t="str">
        <f t="shared" si="20"/>
        <v>Elementos.de.Massas</v>
      </c>
      <c r="N34" s="25" t="str">
        <f t="shared" si="21"/>
        <v>Superfícies</v>
      </c>
      <c r="O34" s="25" t="str">
        <f t="shared" si="21"/>
        <v>Fachadas Envidraçadas</v>
      </c>
      <c r="P34" s="20" t="s">
        <v>1287</v>
      </c>
      <c r="Q34" s="20" t="s">
        <v>1288</v>
      </c>
      <c r="R34" s="52" t="s">
        <v>9</v>
      </c>
      <c r="S34" s="26" t="str">
        <f t="shared" si="16"/>
        <v>Arquitetônico</v>
      </c>
      <c r="T34" s="26" t="str">
        <f t="shared" si="17"/>
        <v>Elementos de Massas</v>
      </c>
      <c r="U34" s="26" t="str">
        <f t="shared" si="18"/>
        <v>Superfícies</v>
      </c>
      <c r="V34" s="20" t="s">
        <v>85</v>
      </c>
      <c r="W34" s="71" t="str">
        <f t="shared" si="4"/>
        <v>Key-ARQ-34</v>
      </c>
      <c r="X34" s="20" t="s">
        <v>1499</v>
      </c>
      <c r="Y34" s="26" t="s">
        <v>1415</v>
      </c>
      <c r="Z34" s="52" t="s">
        <v>9</v>
      </c>
      <c r="AA34" s="20" t="str">
        <f t="shared" si="12"/>
        <v>Mass: all glazing.</v>
      </c>
    </row>
    <row r="35" spans="1:27" ht="6.65" customHeight="1" x14ac:dyDescent="0.4">
      <c r="A35" s="22">
        <v>35</v>
      </c>
      <c r="B35" s="1" t="s">
        <v>1604</v>
      </c>
      <c r="C35" s="1" t="s">
        <v>1383</v>
      </c>
      <c r="D35" s="1" t="s">
        <v>1390</v>
      </c>
      <c r="E35" s="1" t="s">
        <v>1329</v>
      </c>
      <c r="F35" s="37" t="s">
        <v>1316</v>
      </c>
      <c r="G35" s="56" t="s">
        <v>9</v>
      </c>
      <c r="H35" s="56" t="s">
        <v>9</v>
      </c>
      <c r="I35" s="56" t="s">
        <v>9</v>
      </c>
      <c r="J35" s="56" t="s">
        <v>9</v>
      </c>
      <c r="K35" s="56" t="s">
        <v>9</v>
      </c>
      <c r="L35" s="25" t="str">
        <f t="shared" si="19"/>
        <v>Arquitetônico</v>
      </c>
      <c r="M35" s="25" t="str">
        <f t="shared" si="20"/>
        <v>Elementos.de.Massas</v>
      </c>
      <c r="N35" s="25" t="str">
        <f t="shared" si="21"/>
        <v>Superfícies</v>
      </c>
      <c r="O35" s="25" t="str">
        <f t="shared" si="21"/>
        <v>Massas Paredes Internas</v>
      </c>
      <c r="P35" s="20" t="s">
        <v>1324</v>
      </c>
      <c r="Q35" s="20" t="s">
        <v>1293</v>
      </c>
      <c r="R35" s="52" t="s">
        <v>9</v>
      </c>
      <c r="S35" s="26" t="str">
        <f t="shared" si="16"/>
        <v>Arquitetônico</v>
      </c>
      <c r="T35" s="26" t="str">
        <f t="shared" si="17"/>
        <v>Elementos de Massas</v>
      </c>
      <c r="U35" s="26" t="str">
        <f t="shared" si="18"/>
        <v>Superfícies</v>
      </c>
      <c r="V35" s="20" t="s">
        <v>85</v>
      </c>
      <c r="W35" s="71" t="str">
        <f t="shared" si="4"/>
        <v>Key-ARQ-35</v>
      </c>
      <c r="X35" s="20" t="s">
        <v>1500</v>
      </c>
      <c r="Y35" s="26" t="s">
        <v>1415</v>
      </c>
      <c r="Z35" s="52" t="s">
        <v>9</v>
      </c>
      <c r="AA35" s="20" t="str">
        <f t="shared" si="12"/>
        <v>Mass: the interior walls.</v>
      </c>
    </row>
    <row r="36" spans="1:27" ht="6.65" customHeight="1" x14ac:dyDescent="0.4">
      <c r="A36" s="22">
        <v>36</v>
      </c>
      <c r="B36" s="1" t="s">
        <v>1604</v>
      </c>
      <c r="C36" s="1" t="s">
        <v>1383</v>
      </c>
      <c r="D36" s="1" t="s">
        <v>1390</v>
      </c>
      <c r="E36" s="1" t="s">
        <v>1329</v>
      </c>
      <c r="F36" s="37" t="s">
        <v>1321</v>
      </c>
      <c r="G36" s="56" t="s">
        <v>9</v>
      </c>
      <c r="H36" s="56" t="s">
        <v>9</v>
      </c>
      <c r="I36" s="56" t="s">
        <v>9</v>
      </c>
      <c r="J36" s="56" t="s">
        <v>9</v>
      </c>
      <c r="K36" s="56" t="s">
        <v>9</v>
      </c>
      <c r="L36" s="25" t="str">
        <f t="shared" si="19"/>
        <v>Arquitetônico</v>
      </c>
      <c r="M36" s="25" t="str">
        <f t="shared" si="20"/>
        <v>Elementos.de.Massas</v>
      </c>
      <c r="N36" s="25" t="str">
        <f t="shared" si="21"/>
        <v>Superfícies</v>
      </c>
      <c r="O36" s="25" t="str">
        <f t="shared" si="21"/>
        <v>Massas Paredes</v>
      </c>
      <c r="P36" s="20" t="s">
        <v>1323</v>
      </c>
      <c r="Q36" s="20" t="s">
        <v>1304</v>
      </c>
      <c r="R36" s="52" t="s">
        <v>9</v>
      </c>
      <c r="S36" s="26" t="str">
        <f t="shared" si="16"/>
        <v>Arquitetônico</v>
      </c>
      <c r="T36" s="26" t="str">
        <f t="shared" si="17"/>
        <v>Elementos de Massas</v>
      </c>
      <c r="U36" s="26" t="str">
        <f t="shared" si="18"/>
        <v>Superfícies</v>
      </c>
      <c r="V36" s="20" t="s">
        <v>85</v>
      </c>
      <c r="W36" s="71" t="str">
        <f t="shared" si="4"/>
        <v>Key-ARQ-36</v>
      </c>
      <c r="X36" s="20" t="s">
        <v>1501</v>
      </c>
      <c r="Y36" s="26" t="s">
        <v>1415</v>
      </c>
      <c r="Z36" s="52" t="s">
        <v>9</v>
      </c>
      <c r="AA36" s="20" t="str">
        <f t="shared" si="12"/>
        <v>Dough: all walls.</v>
      </c>
    </row>
    <row r="37" spans="1:27" ht="6.65" customHeight="1" x14ac:dyDescent="0.4">
      <c r="A37" s="22">
        <v>37</v>
      </c>
      <c r="B37" s="1" t="s">
        <v>1604</v>
      </c>
      <c r="C37" s="1" t="s">
        <v>1383</v>
      </c>
      <c r="D37" s="1" t="s">
        <v>1390</v>
      </c>
      <c r="E37" s="1" t="s">
        <v>1329</v>
      </c>
      <c r="F37" s="37" t="s">
        <v>1315</v>
      </c>
      <c r="G37" s="56" t="s">
        <v>9</v>
      </c>
      <c r="H37" s="56" t="s">
        <v>9</v>
      </c>
      <c r="I37" s="56" t="s">
        <v>9</v>
      </c>
      <c r="J37" s="56" t="s">
        <v>9</v>
      </c>
      <c r="K37" s="56" t="s">
        <v>9</v>
      </c>
      <c r="L37" s="25" t="str">
        <f t="shared" si="19"/>
        <v>Arquitetônico</v>
      </c>
      <c r="M37" s="25" t="str">
        <f t="shared" si="20"/>
        <v>Elementos.de.Massas</v>
      </c>
      <c r="N37" s="25" t="str">
        <f t="shared" si="21"/>
        <v>Superfícies</v>
      </c>
      <c r="O37" s="25" t="str">
        <f t="shared" si="21"/>
        <v>Massas Aberturas</v>
      </c>
      <c r="P37" s="20" t="s">
        <v>1294</v>
      </c>
      <c r="Q37" s="20" t="s">
        <v>1295</v>
      </c>
      <c r="R37" s="52" t="s">
        <v>9</v>
      </c>
      <c r="S37" s="26" t="str">
        <f t="shared" si="16"/>
        <v>Arquitetônico</v>
      </c>
      <c r="T37" s="26" t="str">
        <f t="shared" si="17"/>
        <v>Elementos de Massas</v>
      </c>
      <c r="U37" s="26" t="str">
        <f t="shared" si="18"/>
        <v>Superfícies</v>
      </c>
      <c r="V37" s="20" t="s">
        <v>85</v>
      </c>
      <c r="W37" s="71" t="str">
        <f t="shared" si="4"/>
        <v>Key-ARQ-37</v>
      </c>
      <c r="X37" s="20" t="s">
        <v>1502</v>
      </c>
      <c r="Y37" s="26" t="s">
        <v>1415</v>
      </c>
      <c r="Z37" s="52" t="s">
        <v>9</v>
      </c>
      <c r="AA37" s="20" t="str">
        <f t="shared" si="12"/>
        <v>Dough: openings.</v>
      </c>
    </row>
    <row r="38" spans="1:27" ht="6.65" customHeight="1" x14ac:dyDescent="0.4">
      <c r="A38" s="22">
        <v>38</v>
      </c>
      <c r="B38" s="1" t="s">
        <v>1604</v>
      </c>
      <c r="C38" s="1" t="s">
        <v>1383</v>
      </c>
      <c r="D38" s="1" t="s">
        <v>1390</v>
      </c>
      <c r="E38" s="1" t="s">
        <v>1329</v>
      </c>
      <c r="F38" s="37" t="s">
        <v>1320</v>
      </c>
      <c r="G38" s="56" t="s">
        <v>9</v>
      </c>
      <c r="H38" s="56" t="s">
        <v>9</v>
      </c>
      <c r="I38" s="56" t="s">
        <v>9</v>
      </c>
      <c r="J38" s="56" t="s">
        <v>9</v>
      </c>
      <c r="K38" s="56" t="s">
        <v>9</v>
      </c>
      <c r="L38" s="25" t="str">
        <f t="shared" si="19"/>
        <v>Arquitetônico</v>
      </c>
      <c r="M38" s="25" t="str">
        <f t="shared" si="20"/>
        <v>Elementos.de.Massas</v>
      </c>
      <c r="N38" s="25" t="str">
        <f t="shared" si="21"/>
        <v>Superfícies</v>
      </c>
      <c r="O38" s="25" t="str">
        <f t="shared" si="21"/>
        <v>Massas Lajes</v>
      </c>
      <c r="P38" s="20" t="s">
        <v>1302</v>
      </c>
      <c r="Q38" s="20" t="s">
        <v>1303</v>
      </c>
      <c r="R38" s="52" t="s">
        <v>9</v>
      </c>
      <c r="S38" s="26" t="str">
        <f t="shared" ref="S38" si="31">SUBSTITUTE(C38, ".", " ")</f>
        <v>Arquitetônico</v>
      </c>
      <c r="T38" s="26" t="str">
        <f t="shared" ref="T38" si="32">SUBSTITUTE(D38, ".", " ")</f>
        <v>Elementos de Massas</v>
      </c>
      <c r="U38" s="26" t="str">
        <f t="shared" ref="U38" si="33">SUBSTITUTE(E38, ".", " ")</f>
        <v>Superfícies</v>
      </c>
      <c r="V38" s="20" t="s">
        <v>85</v>
      </c>
      <c r="W38" s="71" t="str">
        <f t="shared" si="4"/>
        <v>Key-ARQ-38</v>
      </c>
      <c r="X38" s="20" t="s">
        <v>1503</v>
      </c>
      <c r="Y38" s="26" t="s">
        <v>1415</v>
      </c>
      <c r="Z38" s="52" t="s">
        <v>9</v>
      </c>
      <c r="AA38" s="20" t="str">
        <f t="shared" si="12"/>
        <v>Mass: slabs.</v>
      </c>
    </row>
    <row r="39" spans="1:27" ht="6.65" customHeight="1" x14ac:dyDescent="0.4">
      <c r="A39" s="22">
        <v>39</v>
      </c>
      <c r="B39" s="1" t="s">
        <v>1604</v>
      </c>
      <c r="C39" s="1" t="s">
        <v>1383</v>
      </c>
      <c r="D39" s="1" t="s">
        <v>1390</v>
      </c>
      <c r="E39" s="1" t="s">
        <v>1329</v>
      </c>
      <c r="F39" s="37" t="s">
        <v>1317</v>
      </c>
      <c r="G39" s="56" t="s">
        <v>9</v>
      </c>
      <c r="H39" s="56" t="s">
        <v>9</v>
      </c>
      <c r="I39" s="56" t="s">
        <v>9</v>
      </c>
      <c r="J39" s="56" t="s">
        <v>9</v>
      </c>
      <c r="K39" s="56" t="s">
        <v>9</v>
      </c>
      <c r="L39" s="25" t="str">
        <f t="shared" si="19"/>
        <v>Arquitetônico</v>
      </c>
      <c r="M39" s="25" t="str">
        <f t="shared" si="20"/>
        <v>Elementos.de.Massas</v>
      </c>
      <c r="N39" s="25" t="str">
        <f t="shared" si="21"/>
        <v>Superfícies</v>
      </c>
      <c r="O39" s="25" t="str">
        <f t="shared" si="21"/>
        <v>Massas Telhados</v>
      </c>
      <c r="P39" s="20" t="s">
        <v>1296</v>
      </c>
      <c r="Q39" s="20" t="s">
        <v>1297</v>
      </c>
      <c r="R39" s="52" t="s">
        <v>9</v>
      </c>
      <c r="S39" s="26" t="str">
        <f t="shared" si="16"/>
        <v>Arquitetônico</v>
      </c>
      <c r="T39" s="26" t="str">
        <f t="shared" si="17"/>
        <v>Elementos de Massas</v>
      </c>
      <c r="U39" s="26" t="str">
        <f t="shared" si="18"/>
        <v>Superfícies</v>
      </c>
      <c r="V39" s="20" t="s">
        <v>85</v>
      </c>
      <c r="W39" s="71" t="str">
        <f t="shared" si="4"/>
        <v>Key-ARQ-39</v>
      </c>
      <c r="X39" s="20" t="s">
        <v>1504</v>
      </c>
      <c r="Y39" s="26" t="s">
        <v>1415</v>
      </c>
      <c r="Z39" s="52" t="s">
        <v>9</v>
      </c>
      <c r="AA39" s="20" t="str">
        <f t="shared" si="12"/>
        <v>Dough: roofs.</v>
      </c>
    </row>
    <row r="40" spans="1:27" ht="6.65" customHeight="1" x14ac:dyDescent="0.4">
      <c r="A40" s="22">
        <v>40</v>
      </c>
      <c r="B40" s="1" t="s">
        <v>1604</v>
      </c>
      <c r="C40" s="1" t="s">
        <v>1383</v>
      </c>
      <c r="D40" s="1" t="s">
        <v>1390</v>
      </c>
      <c r="E40" s="1" t="s">
        <v>1329</v>
      </c>
      <c r="F40" s="37" t="s">
        <v>1318</v>
      </c>
      <c r="G40" s="56" t="s">
        <v>9</v>
      </c>
      <c r="H40" s="56" t="s">
        <v>9</v>
      </c>
      <c r="I40" s="56" t="s">
        <v>9</v>
      </c>
      <c r="J40" s="56" t="s">
        <v>9</v>
      </c>
      <c r="K40" s="56" t="s">
        <v>9</v>
      </c>
      <c r="L40" s="25" t="str">
        <f t="shared" si="19"/>
        <v>Arquitetônico</v>
      </c>
      <c r="M40" s="25" t="str">
        <f t="shared" si="20"/>
        <v>Elementos.de.Massas</v>
      </c>
      <c r="N40" s="25" t="str">
        <f t="shared" si="21"/>
        <v>Superfícies</v>
      </c>
      <c r="O40" s="25" t="str">
        <f t="shared" si="21"/>
        <v>Massas Brises</v>
      </c>
      <c r="P40" s="20" t="s">
        <v>1298</v>
      </c>
      <c r="Q40" s="20" t="s">
        <v>1299</v>
      </c>
      <c r="R40" s="52" t="s">
        <v>9</v>
      </c>
      <c r="S40" s="26" t="str">
        <f t="shared" si="16"/>
        <v>Arquitetônico</v>
      </c>
      <c r="T40" s="26" t="str">
        <f t="shared" si="17"/>
        <v>Elementos de Massas</v>
      </c>
      <c r="U40" s="26" t="str">
        <f t="shared" si="18"/>
        <v>Superfícies</v>
      </c>
      <c r="V40" s="20" t="s">
        <v>85</v>
      </c>
      <c r="W40" s="71" t="str">
        <f t="shared" si="4"/>
        <v>Key-ARQ-40</v>
      </c>
      <c r="X40" s="20" t="s">
        <v>1505</v>
      </c>
      <c r="Y40" s="26" t="s">
        <v>1415</v>
      </c>
      <c r="Z40" s="52" t="s">
        <v>9</v>
      </c>
      <c r="AA40" s="20" t="str">
        <f t="shared" si="12"/>
        <v>Dough: brises.</v>
      </c>
    </row>
    <row r="41" spans="1:27" ht="6.65" customHeight="1" x14ac:dyDescent="0.4">
      <c r="A41" s="22">
        <v>41</v>
      </c>
      <c r="B41" s="1" t="s">
        <v>1604</v>
      </c>
      <c r="C41" s="1" t="s">
        <v>1383</v>
      </c>
      <c r="D41" s="1" t="s">
        <v>1390</v>
      </c>
      <c r="E41" s="1" t="s">
        <v>1329</v>
      </c>
      <c r="F41" s="37" t="s">
        <v>1319</v>
      </c>
      <c r="G41" s="56" t="s">
        <v>9</v>
      </c>
      <c r="H41" s="56" t="s">
        <v>9</v>
      </c>
      <c r="I41" s="56" t="s">
        <v>9</v>
      </c>
      <c r="J41" s="56" t="s">
        <v>9</v>
      </c>
      <c r="K41" s="56" t="s">
        <v>9</v>
      </c>
      <c r="L41" s="25" t="str">
        <f t="shared" si="19"/>
        <v>Arquitetônico</v>
      </c>
      <c r="M41" s="25" t="str">
        <f t="shared" si="20"/>
        <v>Elementos.de.Massas</v>
      </c>
      <c r="N41" s="25" t="str">
        <f t="shared" si="21"/>
        <v>Superfícies</v>
      </c>
      <c r="O41" s="25" t="str">
        <f t="shared" si="21"/>
        <v>Massas Claraboias</v>
      </c>
      <c r="P41" s="20" t="s">
        <v>1300</v>
      </c>
      <c r="Q41" s="20" t="s">
        <v>1301</v>
      </c>
      <c r="R41" s="52" t="s">
        <v>9</v>
      </c>
      <c r="S41" s="26" t="str">
        <f t="shared" si="16"/>
        <v>Arquitetônico</v>
      </c>
      <c r="T41" s="26" t="str">
        <f t="shared" si="17"/>
        <v>Elementos de Massas</v>
      </c>
      <c r="U41" s="26" t="str">
        <f t="shared" si="18"/>
        <v>Superfícies</v>
      </c>
      <c r="V41" s="20" t="s">
        <v>85</v>
      </c>
      <c r="W41" s="71" t="str">
        <f t="shared" si="4"/>
        <v>Key-ARQ-41</v>
      </c>
      <c r="X41" s="20" t="s">
        <v>1506</v>
      </c>
      <c r="Y41" s="26" t="s">
        <v>1415</v>
      </c>
      <c r="Z41" s="52" t="s">
        <v>9</v>
      </c>
      <c r="AA41" s="20" t="str">
        <f t="shared" si="12"/>
        <v>Dough: skylights.</v>
      </c>
    </row>
    <row r="42" spans="1:27" ht="6" customHeight="1" x14ac:dyDescent="0.4">
      <c r="A42" s="22">
        <v>42</v>
      </c>
      <c r="B42" s="1" t="s">
        <v>1604</v>
      </c>
      <c r="C42" s="1" t="s">
        <v>1383</v>
      </c>
      <c r="D42" s="23" t="s">
        <v>1384</v>
      </c>
      <c r="E42" s="1" t="s">
        <v>1388</v>
      </c>
      <c r="F42" s="24" t="s">
        <v>641</v>
      </c>
      <c r="G42" s="56" t="s">
        <v>9</v>
      </c>
      <c r="H42" s="54" t="s">
        <v>9</v>
      </c>
      <c r="I42" s="54" t="s">
        <v>9</v>
      </c>
      <c r="J42" s="56" t="s">
        <v>9</v>
      </c>
      <c r="K42" s="56" t="s">
        <v>9</v>
      </c>
      <c r="L42" s="25" t="str">
        <f t="shared" si="19"/>
        <v>Arquitetônico</v>
      </c>
      <c r="M42" s="25" t="str">
        <f t="shared" si="20"/>
        <v>Elementos.de.Vedação</v>
      </c>
      <c r="N42" s="25" t="str">
        <f t="shared" ref="N42:N94" si="34">(SUBSTITUTE(SUBSTITUTE(CONCATENATE("",E42),"."," ")," De "," de "))</f>
        <v>Paredes Moldadas</v>
      </c>
      <c r="O42" s="25" t="str">
        <f t="shared" ref="O42:O94" si="35">(SUBSTITUTE(SUBSTITUTE(CONCATENATE("",F42),"."," ")," De "," de "))</f>
        <v>Muro Interno Alto</v>
      </c>
      <c r="P42" s="34" t="s">
        <v>645</v>
      </c>
      <c r="Q42" s="34" t="s">
        <v>652</v>
      </c>
      <c r="R42" s="52" t="s">
        <v>9</v>
      </c>
      <c r="S42" s="26" t="str">
        <f t="shared" si="16"/>
        <v>Arquitetônico</v>
      </c>
      <c r="T42" s="26" t="str">
        <f t="shared" si="17"/>
        <v>Elementos de Vedação</v>
      </c>
      <c r="U42" s="26" t="str">
        <f t="shared" si="18"/>
        <v>Paredes Moldadas</v>
      </c>
      <c r="V42" s="20" t="s">
        <v>85</v>
      </c>
      <c r="W42" s="71" t="str">
        <f t="shared" si="4"/>
        <v>Key-ARQ-42</v>
      </c>
      <c r="X42" s="20" t="s">
        <v>1482</v>
      </c>
      <c r="Y42" s="26" t="s">
        <v>1416</v>
      </c>
      <c r="Z42" s="52" t="s">
        <v>9</v>
      </c>
      <c r="AA42" s="20" t="str">
        <f t="shared" si="12"/>
        <v>High interior wall molded In Loco with formwork in moldable materials.</v>
      </c>
    </row>
    <row r="43" spans="1:27" ht="6" customHeight="1" x14ac:dyDescent="0.4">
      <c r="A43" s="22">
        <v>43</v>
      </c>
      <c r="B43" s="1" t="s">
        <v>1604</v>
      </c>
      <c r="C43" s="1" t="s">
        <v>1383</v>
      </c>
      <c r="D43" s="23" t="s">
        <v>1384</v>
      </c>
      <c r="E43" s="1" t="s">
        <v>1388</v>
      </c>
      <c r="F43" s="24" t="s">
        <v>642</v>
      </c>
      <c r="G43" s="56" t="s">
        <v>9</v>
      </c>
      <c r="H43" s="54" t="s">
        <v>9</v>
      </c>
      <c r="I43" s="54" t="s">
        <v>9</v>
      </c>
      <c r="J43" s="56" t="s">
        <v>9</v>
      </c>
      <c r="K43" s="56" t="s">
        <v>9</v>
      </c>
      <c r="L43" s="25" t="str">
        <f t="shared" si="19"/>
        <v>Arquitetônico</v>
      </c>
      <c r="M43" s="25" t="str">
        <f t="shared" si="20"/>
        <v>Elementos.de.Vedação</v>
      </c>
      <c r="N43" s="25" t="str">
        <f t="shared" si="34"/>
        <v>Paredes Moldadas</v>
      </c>
      <c r="O43" s="25" t="str">
        <f t="shared" si="35"/>
        <v>Muro Interno Baixo</v>
      </c>
      <c r="P43" s="34" t="s">
        <v>646</v>
      </c>
      <c r="Q43" s="34" t="s">
        <v>649</v>
      </c>
      <c r="R43" s="52" t="s">
        <v>9</v>
      </c>
      <c r="S43" s="26" t="str">
        <f t="shared" si="16"/>
        <v>Arquitetônico</v>
      </c>
      <c r="T43" s="26" t="str">
        <f t="shared" si="17"/>
        <v>Elementos de Vedação</v>
      </c>
      <c r="U43" s="26" t="str">
        <f t="shared" si="18"/>
        <v>Paredes Moldadas</v>
      </c>
      <c r="V43" s="20" t="s">
        <v>85</v>
      </c>
      <c r="W43" s="71" t="str">
        <f t="shared" si="4"/>
        <v>Key-ARQ-43</v>
      </c>
      <c r="X43" s="20" t="s">
        <v>1482</v>
      </c>
      <c r="Y43" s="26" t="s">
        <v>1416</v>
      </c>
      <c r="Z43" s="52" t="s">
        <v>9</v>
      </c>
      <c r="AA43" s="20" t="str">
        <f t="shared" si="12"/>
        <v>Low interior wall moulded In Loco with mouldable moulding moulds.</v>
      </c>
    </row>
    <row r="44" spans="1:27" ht="6" customHeight="1" x14ac:dyDescent="0.4">
      <c r="A44" s="22">
        <v>44</v>
      </c>
      <c r="B44" s="1" t="s">
        <v>1604</v>
      </c>
      <c r="C44" s="1" t="s">
        <v>1383</v>
      </c>
      <c r="D44" s="23" t="s">
        <v>1384</v>
      </c>
      <c r="E44" s="1" t="s">
        <v>1388</v>
      </c>
      <c r="F44" s="24" t="s">
        <v>643</v>
      </c>
      <c r="G44" s="56" t="s">
        <v>9</v>
      </c>
      <c r="H44" s="54" t="s">
        <v>9</v>
      </c>
      <c r="I44" s="54" t="s">
        <v>9</v>
      </c>
      <c r="J44" s="56" t="s">
        <v>9</v>
      </c>
      <c r="K44" s="56" t="s">
        <v>9</v>
      </c>
      <c r="L44" s="25" t="str">
        <f t="shared" si="19"/>
        <v>Arquitetônico</v>
      </c>
      <c r="M44" s="25" t="str">
        <f t="shared" si="20"/>
        <v>Elementos.de.Vedação</v>
      </c>
      <c r="N44" s="25" t="str">
        <f t="shared" si="34"/>
        <v>Paredes Moldadas</v>
      </c>
      <c r="O44" s="25" t="str">
        <f t="shared" si="35"/>
        <v>Muro Externo Alto</v>
      </c>
      <c r="P44" s="34" t="s">
        <v>647</v>
      </c>
      <c r="Q44" s="34" t="s">
        <v>650</v>
      </c>
      <c r="R44" s="52" t="s">
        <v>9</v>
      </c>
      <c r="S44" s="26" t="str">
        <f t="shared" si="16"/>
        <v>Arquitetônico</v>
      </c>
      <c r="T44" s="26" t="str">
        <f t="shared" si="17"/>
        <v>Elementos de Vedação</v>
      </c>
      <c r="U44" s="26" t="str">
        <f t="shared" si="18"/>
        <v>Paredes Moldadas</v>
      </c>
      <c r="V44" s="20" t="s">
        <v>85</v>
      </c>
      <c r="W44" s="71" t="str">
        <f t="shared" si="4"/>
        <v>Key-ARQ-44</v>
      </c>
      <c r="X44" s="20" t="s">
        <v>1482</v>
      </c>
      <c r="Y44" s="26" t="s">
        <v>1416</v>
      </c>
      <c r="Z44" s="52" t="s">
        <v>9</v>
      </c>
      <c r="AA44" s="20" t="str">
        <f t="shared" si="12"/>
        <v>High exterior wall molded In Loco with moldable molds.</v>
      </c>
    </row>
    <row r="45" spans="1:27" ht="6" customHeight="1" x14ac:dyDescent="0.4">
      <c r="A45" s="22">
        <v>45</v>
      </c>
      <c r="B45" s="1" t="s">
        <v>1604</v>
      </c>
      <c r="C45" s="1" t="s">
        <v>1383</v>
      </c>
      <c r="D45" s="23" t="s">
        <v>1384</v>
      </c>
      <c r="E45" s="1" t="s">
        <v>1388</v>
      </c>
      <c r="F45" s="24" t="s">
        <v>644</v>
      </c>
      <c r="G45" s="56" t="s">
        <v>9</v>
      </c>
      <c r="H45" s="54" t="s">
        <v>9</v>
      </c>
      <c r="I45" s="54" t="s">
        <v>9</v>
      </c>
      <c r="J45" s="56" t="s">
        <v>9</v>
      </c>
      <c r="K45" s="56" t="s">
        <v>9</v>
      </c>
      <c r="L45" s="25" t="str">
        <f t="shared" si="19"/>
        <v>Arquitetônico</v>
      </c>
      <c r="M45" s="25" t="str">
        <f t="shared" si="20"/>
        <v>Elementos.de.Vedação</v>
      </c>
      <c r="N45" s="25" t="str">
        <f t="shared" si="34"/>
        <v>Paredes Moldadas</v>
      </c>
      <c r="O45" s="25" t="str">
        <f t="shared" si="35"/>
        <v>Muro Externo Baixo</v>
      </c>
      <c r="P45" s="34" t="s">
        <v>648</v>
      </c>
      <c r="Q45" s="34" t="s">
        <v>651</v>
      </c>
      <c r="R45" s="52" t="s">
        <v>9</v>
      </c>
      <c r="S45" s="26" t="str">
        <f t="shared" si="16"/>
        <v>Arquitetônico</v>
      </c>
      <c r="T45" s="26" t="str">
        <f t="shared" si="17"/>
        <v>Elementos de Vedação</v>
      </c>
      <c r="U45" s="26" t="str">
        <f t="shared" si="18"/>
        <v>Paredes Moldadas</v>
      </c>
      <c r="V45" s="20" t="s">
        <v>85</v>
      </c>
      <c r="W45" s="71" t="str">
        <f t="shared" si="4"/>
        <v>Key-ARQ-45</v>
      </c>
      <c r="X45" s="20" t="s">
        <v>1482</v>
      </c>
      <c r="Y45" s="26" t="s">
        <v>1416</v>
      </c>
      <c r="Z45" s="52" t="s">
        <v>9</v>
      </c>
      <c r="AA45" s="20" t="str">
        <f t="shared" si="12"/>
        <v>Low exterior wall moulded In Loco with mouldable moulding moulds.</v>
      </c>
    </row>
    <row r="46" spans="1:27" ht="6" customHeight="1" x14ac:dyDescent="0.4">
      <c r="A46" s="22">
        <v>46</v>
      </c>
      <c r="B46" s="1" t="s">
        <v>1604</v>
      </c>
      <c r="C46" s="1" t="s">
        <v>1383</v>
      </c>
      <c r="D46" s="23" t="s">
        <v>1384</v>
      </c>
      <c r="E46" s="1" t="s">
        <v>1389</v>
      </c>
      <c r="F46" s="24" t="s">
        <v>653</v>
      </c>
      <c r="G46" s="56" t="s">
        <v>9</v>
      </c>
      <c r="H46" s="54" t="s">
        <v>9</v>
      </c>
      <c r="I46" s="54" t="s">
        <v>9</v>
      </c>
      <c r="J46" s="56" t="s">
        <v>9</v>
      </c>
      <c r="K46" s="56" t="s">
        <v>9</v>
      </c>
      <c r="L46" s="25" t="str">
        <f t="shared" si="19"/>
        <v>Arquitetônico</v>
      </c>
      <c r="M46" s="25" t="str">
        <f t="shared" si="20"/>
        <v>Elementos.de.Vedação</v>
      </c>
      <c r="N46" s="25" t="str">
        <f t="shared" si="34"/>
        <v>Paredes Assentadas</v>
      </c>
      <c r="O46" s="25" t="str">
        <f t="shared" si="35"/>
        <v>Parede Interna Alta</v>
      </c>
      <c r="P46" s="34" t="s">
        <v>510</v>
      </c>
      <c r="Q46" s="34" t="s">
        <v>513</v>
      </c>
      <c r="R46" s="52" t="s">
        <v>9</v>
      </c>
      <c r="S46" s="26" t="str">
        <f t="shared" si="16"/>
        <v>Arquitetônico</v>
      </c>
      <c r="T46" s="26" t="str">
        <f t="shared" si="17"/>
        <v>Elementos de Vedação</v>
      </c>
      <c r="U46" s="26" t="str">
        <f t="shared" si="18"/>
        <v>Paredes Assentadas</v>
      </c>
      <c r="V46" s="20" t="s">
        <v>85</v>
      </c>
      <c r="W46" s="71" t="str">
        <f t="shared" si="4"/>
        <v>Key-ARQ-46</v>
      </c>
      <c r="X46" s="20" t="s">
        <v>1482</v>
      </c>
      <c r="Y46" s="26" t="s">
        <v>1416</v>
      </c>
      <c r="Z46" s="52" t="s">
        <v>9</v>
      </c>
      <c r="AA46" s="20" t="str">
        <f t="shared" si="12"/>
        <v>Tall interior walls (floor-ceiling) raised by overlapping unitary elements such as blocks or bricks.</v>
      </c>
    </row>
    <row r="47" spans="1:27" ht="6" customHeight="1" x14ac:dyDescent="0.4">
      <c r="A47" s="22">
        <v>47</v>
      </c>
      <c r="B47" s="1" t="s">
        <v>1604</v>
      </c>
      <c r="C47" s="1" t="s">
        <v>1383</v>
      </c>
      <c r="D47" s="23" t="s">
        <v>1384</v>
      </c>
      <c r="E47" s="1" t="s">
        <v>1389</v>
      </c>
      <c r="F47" s="24" t="s">
        <v>654</v>
      </c>
      <c r="G47" s="56" t="s">
        <v>9</v>
      </c>
      <c r="H47" s="54" t="s">
        <v>9</v>
      </c>
      <c r="I47" s="54" t="s">
        <v>9</v>
      </c>
      <c r="J47" s="56" t="s">
        <v>9</v>
      </c>
      <c r="K47" s="56" t="s">
        <v>9</v>
      </c>
      <c r="L47" s="25" t="str">
        <f t="shared" si="19"/>
        <v>Arquitetônico</v>
      </c>
      <c r="M47" s="25" t="str">
        <f t="shared" si="20"/>
        <v>Elementos.de.Vedação</v>
      </c>
      <c r="N47" s="25" t="str">
        <f t="shared" si="34"/>
        <v>Paredes Assentadas</v>
      </c>
      <c r="O47" s="25" t="str">
        <f t="shared" si="35"/>
        <v>Parede Interna Baixa</v>
      </c>
      <c r="P47" s="34" t="s">
        <v>512</v>
      </c>
      <c r="Q47" s="34" t="s">
        <v>514</v>
      </c>
      <c r="R47" s="52" t="s">
        <v>9</v>
      </c>
      <c r="S47" s="26" t="str">
        <f t="shared" si="16"/>
        <v>Arquitetônico</v>
      </c>
      <c r="T47" s="26" t="str">
        <f t="shared" si="17"/>
        <v>Elementos de Vedação</v>
      </c>
      <c r="U47" s="26" t="str">
        <f t="shared" si="18"/>
        <v>Paredes Assentadas</v>
      </c>
      <c r="V47" s="20" t="s">
        <v>85</v>
      </c>
      <c r="W47" s="71" t="str">
        <f t="shared" si="4"/>
        <v>Key-ARQ-47</v>
      </c>
      <c r="X47" s="20" t="s">
        <v>1482</v>
      </c>
      <c r="Y47" s="26" t="s">
        <v>1416</v>
      </c>
      <c r="Z47" s="52" t="s">
        <v>9</v>
      </c>
      <c r="AA47" s="20" t="str">
        <f t="shared" si="12"/>
        <v>Low wall-like interior walls raised by overlapping unitary elements such as blocks or bricks.</v>
      </c>
    </row>
    <row r="48" spans="1:27" ht="6" customHeight="1" x14ac:dyDescent="0.4">
      <c r="A48" s="22">
        <v>48</v>
      </c>
      <c r="B48" s="1" t="s">
        <v>1604</v>
      </c>
      <c r="C48" s="1" t="s">
        <v>1383</v>
      </c>
      <c r="D48" s="23" t="s">
        <v>1384</v>
      </c>
      <c r="E48" s="1" t="s">
        <v>1389</v>
      </c>
      <c r="F48" s="24" t="s">
        <v>655</v>
      </c>
      <c r="G48" s="56" t="s">
        <v>9</v>
      </c>
      <c r="H48" s="54" t="s">
        <v>9</v>
      </c>
      <c r="I48" s="54" t="s">
        <v>9</v>
      </c>
      <c r="J48" s="56" t="s">
        <v>9</v>
      </c>
      <c r="K48" s="56" t="s">
        <v>9</v>
      </c>
      <c r="L48" s="25" t="str">
        <f t="shared" si="19"/>
        <v>Arquitetônico</v>
      </c>
      <c r="M48" s="25" t="str">
        <f t="shared" si="20"/>
        <v>Elementos.de.Vedação</v>
      </c>
      <c r="N48" s="25" t="str">
        <f t="shared" si="34"/>
        <v>Paredes Assentadas</v>
      </c>
      <c r="O48" s="25" t="str">
        <f t="shared" si="35"/>
        <v>Parede Externa Alta</v>
      </c>
      <c r="P48" s="34" t="s">
        <v>639</v>
      </c>
      <c r="Q48" s="34" t="s">
        <v>640</v>
      </c>
      <c r="R48" s="52" t="s">
        <v>9</v>
      </c>
      <c r="S48" s="26" t="str">
        <f t="shared" si="16"/>
        <v>Arquitetônico</v>
      </c>
      <c r="T48" s="26" t="str">
        <f t="shared" si="17"/>
        <v>Elementos de Vedação</v>
      </c>
      <c r="U48" s="26" t="str">
        <f t="shared" si="18"/>
        <v>Paredes Assentadas</v>
      </c>
      <c r="V48" s="20" t="s">
        <v>85</v>
      </c>
      <c r="W48" s="71" t="str">
        <f t="shared" si="4"/>
        <v>Key-ARQ-48</v>
      </c>
      <c r="X48" s="20" t="s">
        <v>1482</v>
      </c>
      <c r="Y48" s="26" t="s">
        <v>1416</v>
      </c>
      <c r="Z48" s="52" t="s">
        <v>9</v>
      </c>
      <c r="AA48" s="20" t="str">
        <f t="shared" si="12"/>
        <v>High exterior walls like boundary wall of unitary elements such as blocks or bricks.</v>
      </c>
    </row>
    <row r="49" spans="1:27" ht="6" customHeight="1" x14ac:dyDescent="0.4">
      <c r="A49" s="22">
        <v>49</v>
      </c>
      <c r="B49" s="1" t="s">
        <v>1604</v>
      </c>
      <c r="C49" s="1" t="s">
        <v>1383</v>
      </c>
      <c r="D49" s="23" t="s">
        <v>1384</v>
      </c>
      <c r="E49" s="1" t="s">
        <v>1389</v>
      </c>
      <c r="F49" s="24" t="s">
        <v>656</v>
      </c>
      <c r="G49" s="56" t="s">
        <v>9</v>
      </c>
      <c r="H49" s="54" t="s">
        <v>9</v>
      </c>
      <c r="I49" s="54" t="s">
        <v>9</v>
      </c>
      <c r="J49" s="56" t="s">
        <v>9</v>
      </c>
      <c r="K49" s="56" t="s">
        <v>9</v>
      </c>
      <c r="L49" s="25" t="str">
        <f t="shared" si="19"/>
        <v>Arquitetônico</v>
      </c>
      <c r="M49" s="25" t="str">
        <f t="shared" si="20"/>
        <v>Elementos.de.Vedação</v>
      </c>
      <c r="N49" s="25" t="str">
        <f t="shared" si="34"/>
        <v>Paredes Assentadas</v>
      </c>
      <c r="O49" s="25" t="str">
        <f t="shared" si="35"/>
        <v>Parede Externa Baixa</v>
      </c>
      <c r="P49" s="34" t="s">
        <v>511</v>
      </c>
      <c r="Q49" s="34" t="s">
        <v>515</v>
      </c>
      <c r="R49" s="52" t="s">
        <v>9</v>
      </c>
      <c r="S49" s="26" t="str">
        <f t="shared" si="16"/>
        <v>Arquitetônico</v>
      </c>
      <c r="T49" s="26" t="str">
        <f t="shared" si="17"/>
        <v>Elementos de Vedação</v>
      </c>
      <c r="U49" s="26" t="str">
        <f t="shared" si="18"/>
        <v>Paredes Assentadas</v>
      </c>
      <c r="V49" s="20" t="s">
        <v>85</v>
      </c>
      <c r="W49" s="71" t="str">
        <f t="shared" si="4"/>
        <v>Key-ARQ-49</v>
      </c>
      <c r="X49" s="20" t="s">
        <v>1482</v>
      </c>
      <c r="Y49" s="26" t="s">
        <v>1416</v>
      </c>
      <c r="Z49" s="52" t="s">
        <v>9</v>
      </c>
      <c r="AA49" s="20" t="str">
        <f t="shared" si="12"/>
        <v>Low wall-like exterior walls raised by the overlapping of unitary elements such as blocks or bricks.</v>
      </c>
    </row>
    <row r="50" spans="1:27" ht="6" customHeight="1" x14ac:dyDescent="0.4">
      <c r="A50" s="22">
        <v>50</v>
      </c>
      <c r="B50" s="1" t="s">
        <v>1604</v>
      </c>
      <c r="C50" s="1" t="s">
        <v>1383</v>
      </c>
      <c r="D50" s="23" t="s">
        <v>1384</v>
      </c>
      <c r="E50" s="1" t="s">
        <v>1385</v>
      </c>
      <c r="F50" s="1" t="s">
        <v>657</v>
      </c>
      <c r="G50" s="56" t="s">
        <v>9</v>
      </c>
      <c r="H50" s="54" t="s">
        <v>9</v>
      </c>
      <c r="I50" s="54" t="s">
        <v>9</v>
      </c>
      <c r="J50" s="56" t="s">
        <v>9</v>
      </c>
      <c r="K50" s="56" t="s">
        <v>9</v>
      </c>
      <c r="L50" s="25" t="str">
        <f t="shared" si="19"/>
        <v>Arquitetônico</v>
      </c>
      <c r="M50" s="25" t="str">
        <f t="shared" si="20"/>
        <v>Elementos.de.Vedação</v>
      </c>
      <c r="N50" s="25" t="str">
        <f t="shared" si="34"/>
        <v>Divisórias Fixas</v>
      </c>
      <c r="O50" s="25" t="str">
        <f t="shared" si="35"/>
        <v>Drywall</v>
      </c>
      <c r="P50" s="20" t="s">
        <v>258</v>
      </c>
      <c r="Q50" s="33" t="s">
        <v>259</v>
      </c>
      <c r="R50" s="52" t="s">
        <v>9</v>
      </c>
      <c r="S50" s="26" t="str">
        <f t="shared" si="16"/>
        <v>Arquitetônico</v>
      </c>
      <c r="T50" s="26" t="str">
        <f t="shared" si="17"/>
        <v>Elementos de Vedação</v>
      </c>
      <c r="U50" s="26" t="str">
        <f t="shared" si="18"/>
        <v>Divisórias Fixas</v>
      </c>
      <c r="V50" s="20" t="s">
        <v>85</v>
      </c>
      <c r="W50" s="71" t="str">
        <f t="shared" si="4"/>
        <v>Key-ARQ-50</v>
      </c>
      <c r="X50" s="20" t="s">
        <v>1482</v>
      </c>
      <c r="Y50" s="26" t="s">
        <v>1416</v>
      </c>
      <c r="Z50" s="52" t="s">
        <v>9</v>
      </c>
      <c r="AA50" s="20" t="str">
        <f t="shared" si="12"/>
        <v>DryWall type partition.</v>
      </c>
    </row>
    <row r="51" spans="1:27" ht="6" customHeight="1" x14ac:dyDescent="0.4">
      <c r="A51" s="22">
        <v>51</v>
      </c>
      <c r="B51" s="1" t="s">
        <v>1604</v>
      </c>
      <c r="C51" s="1" t="s">
        <v>1383</v>
      </c>
      <c r="D51" s="23" t="s">
        <v>1384</v>
      </c>
      <c r="E51" s="1" t="s">
        <v>1385</v>
      </c>
      <c r="F51" s="1" t="s">
        <v>658</v>
      </c>
      <c r="G51" s="56" t="s">
        <v>9</v>
      </c>
      <c r="H51" s="54" t="s">
        <v>9</v>
      </c>
      <c r="I51" s="54" t="s">
        <v>9</v>
      </c>
      <c r="J51" s="56" t="s">
        <v>9</v>
      </c>
      <c r="K51" s="56" t="s">
        <v>9</v>
      </c>
      <c r="L51" s="25" t="str">
        <f t="shared" si="19"/>
        <v>Arquitetônico</v>
      </c>
      <c r="M51" s="25" t="str">
        <f t="shared" si="20"/>
        <v>Elementos.de.Vedação</v>
      </c>
      <c r="N51" s="25" t="str">
        <f t="shared" si="34"/>
        <v>Divisórias Fixas</v>
      </c>
      <c r="O51" s="25" t="str">
        <f t="shared" si="35"/>
        <v>Drywall Acústico</v>
      </c>
      <c r="P51" s="20" t="s">
        <v>260</v>
      </c>
      <c r="Q51" s="33" t="s">
        <v>261</v>
      </c>
      <c r="R51" s="52" t="s">
        <v>9</v>
      </c>
      <c r="S51" s="26" t="str">
        <f t="shared" si="16"/>
        <v>Arquitetônico</v>
      </c>
      <c r="T51" s="26" t="str">
        <f t="shared" si="17"/>
        <v>Elementos de Vedação</v>
      </c>
      <c r="U51" s="26" t="str">
        <f t="shared" si="18"/>
        <v>Divisórias Fixas</v>
      </c>
      <c r="V51" s="20" t="s">
        <v>85</v>
      </c>
      <c r="W51" s="71" t="str">
        <f t="shared" si="4"/>
        <v>Key-ARQ-51</v>
      </c>
      <c r="X51" s="20" t="s">
        <v>1482</v>
      </c>
      <c r="Y51" s="26" t="s">
        <v>1416</v>
      </c>
      <c r="Z51" s="52" t="s">
        <v>9</v>
      </c>
      <c r="AA51" s="20" t="str">
        <f t="shared" si="12"/>
        <v>DryWall partition reinforced with acoustic sheets and glass wool insulation.</v>
      </c>
    </row>
    <row r="52" spans="1:27" ht="6" customHeight="1" x14ac:dyDescent="0.4">
      <c r="A52" s="22">
        <v>52</v>
      </c>
      <c r="B52" s="1" t="s">
        <v>1604</v>
      </c>
      <c r="C52" s="1" t="s">
        <v>1383</v>
      </c>
      <c r="D52" s="23" t="s">
        <v>1384</v>
      </c>
      <c r="E52" s="1" t="s">
        <v>1385</v>
      </c>
      <c r="F52" s="1" t="s">
        <v>661</v>
      </c>
      <c r="G52" s="56" t="s">
        <v>9</v>
      </c>
      <c r="H52" s="54" t="s">
        <v>9</v>
      </c>
      <c r="I52" s="54" t="s">
        <v>9</v>
      </c>
      <c r="J52" s="56" t="s">
        <v>9</v>
      </c>
      <c r="K52" s="56" t="s">
        <v>9</v>
      </c>
      <c r="L52" s="25" t="str">
        <f t="shared" si="19"/>
        <v>Arquitetônico</v>
      </c>
      <c r="M52" s="25" t="str">
        <f t="shared" si="20"/>
        <v>Elementos.de.Vedação</v>
      </c>
      <c r="N52" s="25" t="str">
        <f t="shared" si="34"/>
        <v>Divisórias Fixas</v>
      </c>
      <c r="O52" s="25" t="str">
        <f t="shared" si="35"/>
        <v>Divisória Vidro</v>
      </c>
      <c r="P52" s="20" t="s">
        <v>262</v>
      </c>
      <c r="Q52" s="33" t="s">
        <v>263</v>
      </c>
      <c r="R52" s="52" t="s">
        <v>9</v>
      </c>
      <c r="S52" s="26" t="str">
        <f t="shared" si="16"/>
        <v>Arquitetônico</v>
      </c>
      <c r="T52" s="26" t="str">
        <f t="shared" si="17"/>
        <v>Elementos de Vedação</v>
      </c>
      <c r="U52" s="26" t="str">
        <f t="shared" si="18"/>
        <v>Divisórias Fixas</v>
      </c>
      <c r="V52" s="20" t="s">
        <v>85</v>
      </c>
      <c r="W52" s="71" t="str">
        <f t="shared" si="4"/>
        <v>Key-ARQ-52</v>
      </c>
      <c r="X52" s="20" t="s">
        <v>1482</v>
      </c>
      <c r="Y52" s="26" t="s">
        <v>1416</v>
      </c>
      <c r="Z52" s="52" t="s">
        <v>9</v>
      </c>
      <c r="AA52" s="20" t="str">
        <f t="shared" si="12"/>
        <v>Glass partition.</v>
      </c>
    </row>
    <row r="53" spans="1:27" ht="6" customHeight="1" x14ac:dyDescent="0.4">
      <c r="A53" s="22">
        <v>53</v>
      </c>
      <c r="B53" s="1" t="s">
        <v>1604</v>
      </c>
      <c r="C53" s="1" t="s">
        <v>1383</v>
      </c>
      <c r="D53" s="23" t="s">
        <v>1384</v>
      </c>
      <c r="E53" s="1" t="s">
        <v>1385</v>
      </c>
      <c r="F53" s="1" t="s">
        <v>660</v>
      </c>
      <c r="G53" s="56" t="s">
        <v>9</v>
      </c>
      <c r="H53" s="54" t="s">
        <v>9</v>
      </c>
      <c r="I53" s="54" t="s">
        <v>9</v>
      </c>
      <c r="J53" s="56" t="s">
        <v>9</v>
      </c>
      <c r="K53" s="56" t="s">
        <v>9</v>
      </c>
      <c r="L53" s="25" t="str">
        <f t="shared" si="19"/>
        <v>Arquitetônico</v>
      </c>
      <c r="M53" s="25" t="str">
        <f t="shared" si="20"/>
        <v>Elementos.de.Vedação</v>
      </c>
      <c r="N53" s="25" t="str">
        <f t="shared" si="34"/>
        <v>Divisórias Fixas</v>
      </c>
      <c r="O53" s="25" t="str">
        <f t="shared" si="35"/>
        <v>Divisória Gesso</v>
      </c>
      <c r="P53" s="20" t="s">
        <v>264</v>
      </c>
      <c r="Q53" s="33" t="s">
        <v>265</v>
      </c>
      <c r="R53" s="52" t="s">
        <v>9</v>
      </c>
      <c r="S53" s="26" t="str">
        <f t="shared" si="16"/>
        <v>Arquitetônico</v>
      </c>
      <c r="T53" s="26" t="str">
        <f t="shared" si="17"/>
        <v>Elementos de Vedação</v>
      </c>
      <c r="U53" s="26" t="str">
        <f t="shared" si="18"/>
        <v>Divisórias Fixas</v>
      </c>
      <c r="V53" s="20" t="s">
        <v>85</v>
      </c>
      <c r="W53" s="71" t="str">
        <f t="shared" si="4"/>
        <v>Key-ARQ-53</v>
      </c>
      <c r="X53" s="20" t="s">
        <v>1482</v>
      </c>
      <c r="Y53" s="26" t="s">
        <v>1416</v>
      </c>
      <c r="Z53" s="52" t="s">
        <v>9</v>
      </c>
      <c r="AA53" s="20" t="str">
        <f t="shared" si="12"/>
        <v>Plaster partition.</v>
      </c>
    </row>
    <row r="54" spans="1:27" ht="6" customHeight="1" x14ac:dyDescent="0.4">
      <c r="A54" s="22">
        <v>54</v>
      </c>
      <c r="B54" s="1" t="s">
        <v>1604</v>
      </c>
      <c r="C54" s="1" t="s">
        <v>1383</v>
      </c>
      <c r="D54" s="23" t="s">
        <v>1384</v>
      </c>
      <c r="E54" s="1" t="s">
        <v>1385</v>
      </c>
      <c r="F54" s="1" t="s">
        <v>722</v>
      </c>
      <c r="G54" s="56" t="s">
        <v>9</v>
      </c>
      <c r="H54" s="54" t="s">
        <v>9</v>
      </c>
      <c r="I54" s="54" t="s">
        <v>9</v>
      </c>
      <c r="J54" s="56" t="s">
        <v>9</v>
      </c>
      <c r="K54" s="56" t="s">
        <v>9</v>
      </c>
      <c r="L54" s="25" t="str">
        <f t="shared" si="19"/>
        <v>Arquitetônico</v>
      </c>
      <c r="M54" s="25" t="str">
        <f t="shared" si="20"/>
        <v>Elementos.de.Vedação</v>
      </c>
      <c r="N54" s="25" t="str">
        <f t="shared" si="34"/>
        <v>Divisórias Fixas</v>
      </c>
      <c r="O54" s="25" t="str">
        <f t="shared" si="35"/>
        <v>Divisória Naval</v>
      </c>
      <c r="P54" s="20" t="s">
        <v>723</v>
      </c>
      <c r="Q54" s="33" t="s">
        <v>724</v>
      </c>
      <c r="R54" s="52" t="s">
        <v>9</v>
      </c>
      <c r="S54" s="26" t="str">
        <f t="shared" si="16"/>
        <v>Arquitetônico</v>
      </c>
      <c r="T54" s="26" t="str">
        <f t="shared" si="17"/>
        <v>Elementos de Vedação</v>
      </c>
      <c r="U54" s="26" t="str">
        <f t="shared" si="18"/>
        <v>Divisórias Fixas</v>
      </c>
      <c r="V54" s="20" t="s">
        <v>85</v>
      </c>
      <c r="W54" s="71" t="str">
        <f t="shared" si="4"/>
        <v>Key-ARQ-54</v>
      </c>
      <c r="X54" s="20" t="s">
        <v>1482</v>
      </c>
      <c r="Y54" s="26" t="s">
        <v>1416</v>
      </c>
      <c r="Z54" s="52" t="s">
        <v>9</v>
      </c>
      <c r="AA54" s="20" t="str">
        <f t="shared" si="12"/>
        <v>Light naval type partition with plates of 1.20 x 2.10 m and thickness of 3.5 cm.</v>
      </c>
    </row>
    <row r="55" spans="1:27" ht="6" customHeight="1" x14ac:dyDescent="0.4">
      <c r="A55" s="22">
        <v>55</v>
      </c>
      <c r="B55" s="1" t="s">
        <v>1604</v>
      </c>
      <c r="C55" s="1" t="s">
        <v>1383</v>
      </c>
      <c r="D55" s="23" t="s">
        <v>1384</v>
      </c>
      <c r="E55" s="1" t="s">
        <v>1385</v>
      </c>
      <c r="F55" s="1" t="s">
        <v>727</v>
      </c>
      <c r="G55" s="56" t="s">
        <v>9</v>
      </c>
      <c r="H55" s="54" t="s">
        <v>9</v>
      </c>
      <c r="I55" s="54" t="s">
        <v>9</v>
      </c>
      <c r="J55" s="56" t="s">
        <v>9</v>
      </c>
      <c r="K55" s="56" t="s">
        <v>9</v>
      </c>
      <c r="L55" s="25" t="str">
        <f t="shared" si="19"/>
        <v>Arquitetônico</v>
      </c>
      <c r="M55" s="25" t="str">
        <f t="shared" si="20"/>
        <v>Elementos.de.Vedação</v>
      </c>
      <c r="N55" s="25" t="str">
        <f t="shared" si="34"/>
        <v>Divisórias Fixas</v>
      </c>
      <c r="O55" s="25" t="str">
        <f t="shared" si="35"/>
        <v>Divisória Laminada</v>
      </c>
      <c r="P55" s="20" t="s">
        <v>728</v>
      </c>
      <c r="Q55" s="33" t="s">
        <v>729</v>
      </c>
      <c r="R55" s="52" t="s">
        <v>9</v>
      </c>
      <c r="S55" s="26" t="str">
        <f t="shared" si="16"/>
        <v>Arquitetônico</v>
      </c>
      <c r="T55" s="26" t="str">
        <f t="shared" si="17"/>
        <v>Elementos de Vedação</v>
      </c>
      <c r="U55" s="26" t="str">
        <f t="shared" si="18"/>
        <v>Divisórias Fixas</v>
      </c>
      <c r="V55" s="20" t="s">
        <v>85</v>
      </c>
      <c r="W55" s="71" t="str">
        <f t="shared" si="4"/>
        <v>Key-ARQ-55</v>
      </c>
      <c r="X55" s="20" t="s">
        <v>1482</v>
      </c>
      <c r="Y55" s="26" t="s">
        <v>1416</v>
      </c>
      <c r="Z55" s="52" t="s">
        <v>9</v>
      </c>
      <c r="AA55" s="20" t="str">
        <f t="shared" si="12"/>
        <v>TS structural laminate board partition for sanitary boxes.</v>
      </c>
    </row>
    <row r="56" spans="1:27" ht="6" customHeight="1" x14ac:dyDescent="0.4">
      <c r="A56" s="22">
        <v>56</v>
      </c>
      <c r="B56" s="1" t="s">
        <v>1604</v>
      </c>
      <c r="C56" s="1" t="s">
        <v>1383</v>
      </c>
      <c r="D56" s="23" t="s">
        <v>1384</v>
      </c>
      <c r="E56" s="1" t="s">
        <v>1385</v>
      </c>
      <c r="F56" s="1" t="s">
        <v>659</v>
      </c>
      <c r="G56" s="56" t="s">
        <v>9</v>
      </c>
      <c r="H56" s="54" t="s">
        <v>9</v>
      </c>
      <c r="I56" s="54" t="s">
        <v>9</v>
      </c>
      <c r="J56" s="56" t="s">
        <v>9</v>
      </c>
      <c r="K56" s="56" t="s">
        <v>9</v>
      </c>
      <c r="L56" s="25" t="str">
        <f t="shared" si="19"/>
        <v>Arquitetônico</v>
      </c>
      <c r="M56" s="25" t="str">
        <f t="shared" si="20"/>
        <v>Elementos.de.Vedação</v>
      </c>
      <c r="N56" s="25" t="str">
        <f t="shared" si="34"/>
        <v>Divisórias Fixas</v>
      </c>
      <c r="O56" s="25" t="str">
        <f t="shared" si="35"/>
        <v>Divisória Pedra</v>
      </c>
      <c r="P56" s="20" t="s">
        <v>725</v>
      </c>
      <c r="Q56" s="33" t="s">
        <v>726</v>
      </c>
      <c r="R56" s="52" t="s">
        <v>9</v>
      </c>
      <c r="S56" s="26" t="str">
        <f t="shared" si="16"/>
        <v>Arquitetônico</v>
      </c>
      <c r="T56" s="26" t="str">
        <f t="shared" si="17"/>
        <v>Elementos de Vedação</v>
      </c>
      <c r="U56" s="26" t="str">
        <f t="shared" si="18"/>
        <v>Divisórias Fixas</v>
      </c>
      <c r="V56" s="20" t="s">
        <v>85</v>
      </c>
      <c r="W56" s="71" t="str">
        <f t="shared" si="4"/>
        <v>Key-ARQ-56</v>
      </c>
      <c r="X56" s="20" t="s">
        <v>1482</v>
      </c>
      <c r="Y56" s="26" t="s">
        <v>1416</v>
      </c>
      <c r="Z56" s="52" t="s">
        <v>9</v>
      </c>
      <c r="AA56" s="20" t="str">
        <f t="shared" si="12"/>
        <v>Granilite plate divider for sanitary boxes.</v>
      </c>
    </row>
    <row r="57" spans="1:27" ht="6" customHeight="1" x14ac:dyDescent="0.4">
      <c r="A57" s="22">
        <v>57</v>
      </c>
      <c r="B57" s="1" t="s">
        <v>1604</v>
      </c>
      <c r="C57" s="1" t="s">
        <v>1383</v>
      </c>
      <c r="D57" s="23" t="s">
        <v>1384</v>
      </c>
      <c r="E57" s="1" t="s">
        <v>1385</v>
      </c>
      <c r="F57" s="1" t="s">
        <v>266</v>
      </c>
      <c r="G57" s="56" t="s">
        <v>9</v>
      </c>
      <c r="H57" s="54" t="s">
        <v>9</v>
      </c>
      <c r="I57" s="54" t="s">
        <v>9</v>
      </c>
      <c r="J57" s="56" t="s">
        <v>9</v>
      </c>
      <c r="K57" s="56" t="s">
        <v>9</v>
      </c>
      <c r="L57" s="25" t="str">
        <f t="shared" si="19"/>
        <v>Arquitetônico</v>
      </c>
      <c r="M57" s="25" t="str">
        <f t="shared" si="20"/>
        <v>Elementos.de.Vedação</v>
      </c>
      <c r="N57" s="25" t="str">
        <f t="shared" si="34"/>
        <v>Divisórias Fixas</v>
      </c>
      <c r="O57" s="25" t="str">
        <f t="shared" si="35"/>
        <v>Divisória Acústica</v>
      </c>
      <c r="P57" s="34" t="s">
        <v>267</v>
      </c>
      <c r="Q57" s="33" t="s">
        <v>268</v>
      </c>
      <c r="R57" s="52" t="s">
        <v>9</v>
      </c>
      <c r="S57" s="26" t="str">
        <f t="shared" si="16"/>
        <v>Arquitetônico</v>
      </c>
      <c r="T57" s="26" t="str">
        <f t="shared" si="17"/>
        <v>Elementos de Vedação</v>
      </c>
      <c r="U57" s="26" t="str">
        <f t="shared" si="18"/>
        <v>Divisórias Fixas</v>
      </c>
      <c r="V57" s="20" t="s">
        <v>85</v>
      </c>
      <c r="W57" s="71" t="str">
        <f t="shared" si="4"/>
        <v>Key-ARQ-57</v>
      </c>
      <c r="X57" s="20" t="s">
        <v>1482</v>
      </c>
      <c r="Y57" s="26" t="s">
        <v>1416</v>
      </c>
      <c r="Z57" s="52" t="s">
        <v>9</v>
      </c>
      <c r="AA57" s="20" t="str">
        <f t="shared" si="12"/>
        <v>Acoustic fixed mounted partition</v>
      </c>
    </row>
    <row r="58" spans="1:27" ht="6" customHeight="1" x14ac:dyDescent="0.4">
      <c r="A58" s="22">
        <v>58</v>
      </c>
      <c r="B58" s="1" t="s">
        <v>1604</v>
      </c>
      <c r="C58" s="1" t="s">
        <v>1383</v>
      </c>
      <c r="D58" s="23" t="s">
        <v>1384</v>
      </c>
      <c r="E58" s="1" t="s">
        <v>1385</v>
      </c>
      <c r="F58" s="1" t="s">
        <v>269</v>
      </c>
      <c r="G58" s="56" t="s">
        <v>9</v>
      </c>
      <c r="H58" s="54" t="s">
        <v>9</v>
      </c>
      <c r="I58" s="54" t="s">
        <v>9</v>
      </c>
      <c r="J58" s="56" t="s">
        <v>9</v>
      </c>
      <c r="K58" s="56" t="s">
        <v>9</v>
      </c>
      <c r="L58" s="25" t="str">
        <f t="shared" si="19"/>
        <v>Arquitetônico</v>
      </c>
      <c r="M58" s="25" t="str">
        <f t="shared" si="20"/>
        <v>Elementos.de.Vedação</v>
      </c>
      <c r="N58" s="25" t="str">
        <f t="shared" si="34"/>
        <v>Divisórias Fixas</v>
      </c>
      <c r="O58" s="25" t="str">
        <f t="shared" si="35"/>
        <v>Divisória Cega</v>
      </c>
      <c r="P58" s="34" t="s">
        <v>270</v>
      </c>
      <c r="Q58" s="33" t="s">
        <v>271</v>
      </c>
      <c r="R58" s="52" t="s">
        <v>9</v>
      </c>
      <c r="S58" s="26" t="str">
        <f t="shared" si="16"/>
        <v>Arquitetônico</v>
      </c>
      <c r="T58" s="26" t="str">
        <f t="shared" si="17"/>
        <v>Elementos de Vedação</v>
      </c>
      <c r="U58" s="26" t="str">
        <f t="shared" si="18"/>
        <v>Divisórias Fixas</v>
      </c>
      <c r="V58" s="20" t="s">
        <v>85</v>
      </c>
      <c r="W58" s="71" t="str">
        <f t="shared" si="4"/>
        <v>Key-ARQ-58</v>
      </c>
      <c r="X58" s="20" t="s">
        <v>1482</v>
      </c>
      <c r="Y58" s="26" t="s">
        <v>1416</v>
      </c>
      <c r="Z58" s="52" t="s">
        <v>9</v>
      </c>
      <c r="AA58" s="20" t="str">
        <f t="shared" si="12"/>
        <v>Blind fixed mounted partition</v>
      </c>
    </row>
    <row r="59" spans="1:27" ht="6" customHeight="1" x14ac:dyDescent="0.4">
      <c r="A59" s="22">
        <v>59</v>
      </c>
      <c r="B59" s="1" t="s">
        <v>1604</v>
      </c>
      <c r="C59" s="1" t="s">
        <v>1383</v>
      </c>
      <c r="D59" s="23" t="s">
        <v>1384</v>
      </c>
      <c r="E59" s="1" t="s">
        <v>1385</v>
      </c>
      <c r="F59" s="1" t="s">
        <v>272</v>
      </c>
      <c r="G59" s="56" t="s">
        <v>9</v>
      </c>
      <c r="H59" s="54" t="s">
        <v>9</v>
      </c>
      <c r="I59" s="54" t="s">
        <v>9</v>
      </c>
      <c r="J59" s="56" t="s">
        <v>9</v>
      </c>
      <c r="K59" s="56" t="s">
        <v>9</v>
      </c>
      <c r="L59" s="25" t="str">
        <f t="shared" si="19"/>
        <v>Arquitetônico</v>
      </c>
      <c r="M59" s="25" t="str">
        <f t="shared" si="20"/>
        <v>Elementos.de.Vedação</v>
      </c>
      <c r="N59" s="25" t="str">
        <f t="shared" si="34"/>
        <v>Divisórias Fixas</v>
      </c>
      <c r="O59" s="25" t="str">
        <f t="shared" si="35"/>
        <v>Divisória Com Visor</v>
      </c>
      <c r="P59" s="34" t="s">
        <v>273</v>
      </c>
      <c r="Q59" s="33" t="s">
        <v>274</v>
      </c>
      <c r="R59" s="52" t="s">
        <v>9</v>
      </c>
      <c r="S59" s="26" t="str">
        <f t="shared" si="16"/>
        <v>Arquitetônico</v>
      </c>
      <c r="T59" s="26" t="str">
        <f t="shared" si="17"/>
        <v>Elementos de Vedação</v>
      </c>
      <c r="U59" s="26" t="str">
        <f t="shared" si="18"/>
        <v>Divisórias Fixas</v>
      </c>
      <c r="V59" s="20" t="s">
        <v>85</v>
      </c>
      <c r="W59" s="71" t="str">
        <f t="shared" si="4"/>
        <v>Key-ARQ-59</v>
      </c>
      <c r="X59" s="20" t="s">
        <v>1482</v>
      </c>
      <c r="Y59" s="26" t="s">
        <v>1416</v>
      </c>
      <c r="Z59" s="52" t="s">
        <v>9</v>
      </c>
      <c r="AA59" s="20" t="str">
        <f t="shared" si="12"/>
        <v>Fixed mounted partition with display</v>
      </c>
    </row>
    <row r="60" spans="1:27" ht="6" customHeight="1" x14ac:dyDescent="0.4">
      <c r="A60" s="22">
        <v>60</v>
      </c>
      <c r="B60" s="1" t="s">
        <v>1604</v>
      </c>
      <c r="C60" s="1" t="s">
        <v>1383</v>
      </c>
      <c r="D60" s="23" t="s">
        <v>1384</v>
      </c>
      <c r="E60" s="1" t="s">
        <v>1386</v>
      </c>
      <c r="F60" s="1" t="s">
        <v>275</v>
      </c>
      <c r="G60" s="56" t="s">
        <v>9</v>
      </c>
      <c r="H60" s="54" t="s">
        <v>9</v>
      </c>
      <c r="I60" s="54" t="s">
        <v>9</v>
      </c>
      <c r="J60" s="56" t="s">
        <v>9</v>
      </c>
      <c r="K60" s="56" t="s">
        <v>9</v>
      </c>
      <c r="L60" s="25" t="str">
        <f t="shared" si="19"/>
        <v>Arquitetônico</v>
      </c>
      <c r="M60" s="25" t="str">
        <f t="shared" si="20"/>
        <v>Elementos.de.Vedação</v>
      </c>
      <c r="N60" s="25" t="str">
        <f t="shared" si="34"/>
        <v>Divisórias Articuladas</v>
      </c>
      <c r="O60" s="25" t="str">
        <f t="shared" si="35"/>
        <v>Divisória Deslizante</v>
      </c>
      <c r="P60" s="34" t="s">
        <v>276</v>
      </c>
      <c r="Q60" s="33" t="s">
        <v>277</v>
      </c>
      <c r="R60" s="52" t="s">
        <v>9</v>
      </c>
      <c r="S60" s="26" t="str">
        <f t="shared" si="16"/>
        <v>Arquitetônico</v>
      </c>
      <c r="T60" s="26" t="str">
        <f t="shared" si="17"/>
        <v>Elementos de Vedação</v>
      </c>
      <c r="U60" s="26" t="str">
        <f t="shared" si="18"/>
        <v>Divisórias Articuladas</v>
      </c>
      <c r="V60" s="20" t="s">
        <v>85</v>
      </c>
      <c r="W60" s="71" t="str">
        <f t="shared" si="4"/>
        <v>Key-ARQ-60</v>
      </c>
      <c r="X60" s="20" t="s">
        <v>1482</v>
      </c>
      <c r="Y60" s="26" t="s">
        <v>1416</v>
      </c>
      <c r="Z60" s="52" t="s">
        <v>9</v>
      </c>
      <c r="AA60" s="20" t="str">
        <f t="shared" si="12"/>
        <v>Sliding hinged mounted partition</v>
      </c>
    </row>
    <row r="61" spans="1:27" ht="6" customHeight="1" x14ac:dyDescent="0.4">
      <c r="A61" s="22">
        <v>61</v>
      </c>
      <c r="B61" s="1" t="s">
        <v>1604</v>
      </c>
      <c r="C61" s="1" t="s">
        <v>1383</v>
      </c>
      <c r="D61" s="23" t="s">
        <v>1384</v>
      </c>
      <c r="E61" s="1" t="s">
        <v>1386</v>
      </c>
      <c r="F61" s="1" t="s">
        <v>278</v>
      </c>
      <c r="G61" s="56" t="s">
        <v>9</v>
      </c>
      <c r="H61" s="54" t="s">
        <v>9</v>
      </c>
      <c r="I61" s="54" t="s">
        <v>9</v>
      </c>
      <c r="J61" s="56" t="s">
        <v>9</v>
      </c>
      <c r="K61" s="56" t="s">
        <v>9</v>
      </c>
      <c r="L61" s="25" t="str">
        <f t="shared" si="19"/>
        <v>Arquitetônico</v>
      </c>
      <c r="M61" s="25" t="str">
        <f t="shared" si="20"/>
        <v>Elementos.de.Vedação</v>
      </c>
      <c r="N61" s="25" t="str">
        <f t="shared" si="34"/>
        <v>Divisórias Articuladas</v>
      </c>
      <c r="O61" s="25" t="str">
        <f t="shared" si="35"/>
        <v>Divisória Retratil</v>
      </c>
      <c r="P61" s="34" t="s">
        <v>279</v>
      </c>
      <c r="Q61" s="33" t="s">
        <v>280</v>
      </c>
      <c r="R61" s="52" t="s">
        <v>9</v>
      </c>
      <c r="S61" s="26" t="str">
        <f t="shared" si="16"/>
        <v>Arquitetônico</v>
      </c>
      <c r="T61" s="26" t="str">
        <f t="shared" si="17"/>
        <v>Elementos de Vedação</v>
      </c>
      <c r="U61" s="26" t="str">
        <f t="shared" si="18"/>
        <v>Divisórias Articuladas</v>
      </c>
      <c r="V61" s="20" t="s">
        <v>85</v>
      </c>
      <c r="W61" s="71" t="str">
        <f t="shared" si="4"/>
        <v>Key-ARQ-61</v>
      </c>
      <c r="X61" s="20" t="s">
        <v>1482</v>
      </c>
      <c r="Y61" s="26" t="s">
        <v>1416</v>
      </c>
      <c r="Z61" s="52" t="s">
        <v>9</v>
      </c>
      <c r="AA61" s="20" t="str">
        <f t="shared" si="12"/>
        <v>Retractable hinged mounted partition</v>
      </c>
    </row>
    <row r="62" spans="1:27" ht="6" customHeight="1" x14ac:dyDescent="0.4">
      <c r="A62" s="22">
        <v>62</v>
      </c>
      <c r="B62" s="1" t="s">
        <v>1604</v>
      </c>
      <c r="C62" s="1" t="s">
        <v>1383</v>
      </c>
      <c r="D62" s="23" t="s">
        <v>1384</v>
      </c>
      <c r="E62" s="1" t="s">
        <v>1386</v>
      </c>
      <c r="F62" s="1" t="s">
        <v>281</v>
      </c>
      <c r="G62" s="56" t="s">
        <v>9</v>
      </c>
      <c r="H62" s="54" t="s">
        <v>9</v>
      </c>
      <c r="I62" s="54" t="s">
        <v>9</v>
      </c>
      <c r="J62" s="56" t="s">
        <v>9</v>
      </c>
      <c r="K62" s="56" t="s">
        <v>9</v>
      </c>
      <c r="L62" s="25" t="str">
        <f t="shared" si="19"/>
        <v>Arquitetônico</v>
      </c>
      <c r="M62" s="25" t="str">
        <f t="shared" si="20"/>
        <v>Elementos.de.Vedação</v>
      </c>
      <c r="N62" s="25" t="str">
        <f t="shared" si="34"/>
        <v>Divisórias Articuladas</v>
      </c>
      <c r="O62" s="25" t="str">
        <f t="shared" si="35"/>
        <v>Divisória Sanfonada</v>
      </c>
      <c r="P62" s="34" t="s">
        <v>282</v>
      </c>
      <c r="Q62" s="33" t="s">
        <v>283</v>
      </c>
      <c r="R62" s="52" t="s">
        <v>9</v>
      </c>
      <c r="S62" s="26" t="str">
        <f t="shared" si="16"/>
        <v>Arquitetônico</v>
      </c>
      <c r="T62" s="26" t="str">
        <f t="shared" si="17"/>
        <v>Elementos de Vedação</v>
      </c>
      <c r="U62" s="26" t="str">
        <f t="shared" si="18"/>
        <v>Divisórias Articuladas</v>
      </c>
      <c r="V62" s="20" t="s">
        <v>85</v>
      </c>
      <c r="W62" s="71" t="str">
        <f t="shared" si="4"/>
        <v>Key-ARQ-62</v>
      </c>
      <c r="X62" s="20" t="s">
        <v>1482</v>
      </c>
      <c r="Y62" s="26" t="s">
        <v>1416</v>
      </c>
      <c r="Z62" s="52" t="s">
        <v>9</v>
      </c>
      <c r="AA62" s="20" t="str">
        <f t="shared" si="12"/>
        <v>Folding hinged mounted partition</v>
      </c>
    </row>
    <row r="63" spans="1:27" ht="6" customHeight="1" x14ac:dyDescent="0.4">
      <c r="A63" s="22">
        <v>63</v>
      </c>
      <c r="B63" s="1" t="s">
        <v>1604</v>
      </c>
      <c r="C63" s="1" t="s">
        <v>1383</v>
      </c>
      <c r="D63" s="23" t="s">
        <v>1384</v>
      </c>
      <c r="E63" s="1" t="s">
        <v>1386</v>
      </c>
      <c r="F63" s="1" t="s">
        <v>284</v>
      </c>
      <c r="G63" s="56" t="s">
        <v>9</v>
      </c>
      <c r="H63" s="54" t="s">
        <v>9</v>
      </c>
      <c r="I63" s="54" t="s">
        <v>9</v>
      </c>
      <c r="J63" s="56" t="s">
        <v>9</v>
      </c>
      <c r="K63" s="56" t="s">
        <v>9</v>
      </c>
      <c r="L63" s="25" t="str">
        <f t="shared" si="19"/>
        <v>Arquitetônico</v>
      </c>
      <c r="M63" s="25" t="str">
        <f t="shared" si="20"/>
        <v>Elementos.de.Vedação</v>
      </c>
      <c r="N63" s="25" t="str">
        <f t="shared" si="34"/>
        <v>Divisórias Articuladas</v>
      </c>
      <c r="O63" s="25" t="str">
        <f t="shared" si="35"/>
        <v>Divisória Pivotante</v>
      </c>
      <c r="P63" s="34" t="s">
        <v>285</v>
      </c>
      <c r="Q63" s="33" t="s">
        <v>286</v>
      </c>
      <c r="R63" s="52" t="s">
        <v>9</v>
      </c>
      <c r="S63" s="26" t="str">
        <f t="shared" si="16"/>
        <v>Arquitetônico</v>
      </c>
      <c r="T63" s="26" t="str">
        <f t="shared" si="17"/>
        <v>Elementos de Vedação</v>
      </c>
      <c r="U63" s="26" t="str">
        <f t="shared" si="18"/>
        <v>Divisórias Articuladas</v>
      </c>
      <c r="V63" s="20" t="s">
        <v>85</v>
      </c>
      <c r="W63" s="71" t="str">
        <f t="shared" si="4"/>
        <v>Key-ARQ-63</v>
      </c>
      <c r="X63" s="20" t="s">
        <v>1482</v>
      </c>
      <c r="Y63" s="26" t="s">
        <v>1416</v>
      </c>
      <c r="Z63" s="52" t="s">
        <v>9</v>
      </c>
      <c r="AA63" s="20" t="str">
        <f t="shared" si="12"/>
        <v>Pivoting hinged mounted partition</v>
      </c>
    </row>
    <row r="64" spans="1:27" ht="6" customHeight="1" x14ac:dyDescent="0.4">
      <c r="A64" s="22">
        <v>64</v>
      </c>
      <c r="B64" s="1" t="s">
        <v>1604</v>
      </c>
      <c r="C64" s="1" t="s">
        <v>1383</v>
      </c>
      <c r="D64" s="23" t="s">
        <v>1384</v>
      </c>
      <c r="E64" s="23" t="s">
        <v>1387</v>
      </c>
      <c r="F64" s="1" t="s">
        <v>1193</v>
      </c>
      <c r="G64" s="56" t="s">
        <v>9</v>
      </c>
      <c r="H64" s="54" t="s">
        <v>9</v>
      </c>
      <c r="I64" s="54" t="s">
        <v>9</v>
      </c>
      <c r="J64" s="56" t="s">
        <v>9</v>
      </c>
      <c r="K64" s="56" t="s">
        <v>9</v>
      </c>
      <c r="L64" s="25" t="str">
        <f t="shared" si="19"/>
        <v>Arquitetônico</v>
      </c>
      <c r="M64" s="25" t="str">
        <f t="shared" si="20"/>
        <v>Elementos.de.Vedação</v>
      </c>
      <c r="N64" s="25" t="str">
        <f t="shared" si="34"/>
        <v>Engradados</v>
      </c>
      <c r="O64" s="25" t="str">
        <f t="shared" si="35"/>
        <v>Gradil de Barra</v>
      </c>
      <c r="P64" s="20" t="s">
        <v>631</v>
      </c>
      <c r="Q64" s="33" t="s">
        <v>637</v>
      </c>
      <c r="R64" s="52" t="s">
        <v>9</v>
      </c>
      <c r="S64" s="26" t="str">
        <f t="shared" si="16"/>
        <v>Arquitetônico</v>
      </c>
      <c r="T64" s="26" t="str">
        <f t="shared" si="17"/>
        <v>Elementos de Vedação</v>
      </c>
      <c r="U64" s="26" t="str">
        <f t="shared" si="18"/>
        <v>Engradados</v>
      </c>
      <c r="V64" s="20" t="s">
        <v>85</v>
      </c>
      <c r="W64" s="71" t="str">
        <f t="shared" si="4"/>
        <v>Key-ARQ-64</v>
      </c>
      <c r="X64" s="20" t="s">
        <v>1507</v>
      </c>
      <c r="Y64" s="26" t="s">
        <v>1417</v>
      </c>
      <c r="Z64" s="52" t="s">
        <v>9</v>
      </c>
      <c r="AA64" s="20" t="str">
        <f t="shared" si="12"/>
        <v>High strength structural steel flat bar grating.</v>
      </c>
    </row>
    <row r="65" spans="1:27" ht="6" customHeight="1" x14ac:dyDescent="0.4">
      <c r="A65" s="22">
        <v>65</v>
      </c>
      <c r="B65" s="1" t="s">
        <v>1604</v>
      </c>
      <c r="C65" s="1" t="s">
        <v>1383</v>
      </c>
      <c r="D65" s="23" t="s">
        <v>1384</v>
      </c>
      <c r="E65" s="23" t="s">
        <v>1387</v>
      </c>
      <c r="F65" s="1" t="s">
        <v>1192</v>
      </c>
      <c r="G65" s="56" t="s">
        <v>9</v>
      </c>
      <c r="H65" s="54" t="s">
        <v>9</v>
      </c>
      <c r="I65" s="54" t="s">
        <v>9</v>
      </c>
      <c r="J65" s="56" t="s">
        <v>9</v>
      </c>
      <c r="K65" s="56" t="s">
        <v>9</v>
      </c>
      <c r="L65" s="25" t="str">
        <f t="shared" si="19"/>
        <v>Arquitetônico</v>
      </c>
      <c r="M65" s="25" t="str">
        <f t="shared" si="20"/>
        <v>Elementos.de.Vedação</v>
      </c>
      <c r="N65" s="25" t="str">
        <f t="shared" si="34"/>
        <v>Engradados</v>
      </c>
      <c r="O65" s="25" t="str">
        <f t="shared" si="35"/>
        <v>Gradil de Arame</v>
      </c>
      <c r="P65" s="20" t="s">
        <v>632</v>
      </c>
      <c r="Q65" s="33" t="s">
        <v>638</v>
      </c>
      <c r="R65" s="52" t="s">
        <v>9</v>
      </c>
      <c r="S65" s="26" t="str">
        <f t="shared" si="16"/>
        <v>Arquitetônico</v>
      </c>
      <c r="T65" s="26" t="str">
        <f t="shared" si="17"/>
        <v>Elementos de Vedação</v>
      </c>
      <c r="U65" s="26" t="str">
        <f t="shared" si="18"/>
        <v>Engradados</v>
      </c>
      <c r="V65" s="20" t="s">
        <v>85</v>
      </c>
      <c r="W65" s="71" t="str">
        <f t="shared" si="4"/>
        <v>Key-ARQ-65</v>
      </c>
      <c r="X65" s="20" t="s">
        <v>1507</v>
      </c>
      <c r="Y65" s="26" t="s">
        <v>1417</v>
      </c>
      <c r="Z65" s="52" t="s">
        <v>9</v>
      </c>
      <c r="AA65" s="20" t="str">
        <f t="shared" si="12"/>
        <v>Galvanized steel wire grating.</v>
      </c>
    </row>
    <row r="66" spans="1:27" ht="6" customHeight="1" x14ac:dyDescent="0.4">
      <c r="A66" s="22">
        <v>66</v>
      </c>
      <c r="B66" s="1" t="s">
        <v>1604</v>
      </c>
      <c r="C66" s="1" t="s">
        <v>1383</v>
      </c>
      <c r="D66" s="23" t="s">
        <v>1384</v>
      </c>
      <c r="E66" s="1" t="s">
        <v>1408</v>
      </c>
      <c r="F66" s="1" t="s">
        <v>1123</v>
      </c>
      <c r="G66" s="56" t="s">
        <v>9</v>
      </c>
      <c r="H66" s="54" t="s">
        <v>9</v>
      </c>
      <c r="I66" s="54" t="s">
        <v>9</v>
      </c>
      <c r="J66" s="56" t="s">
        <v>9</v>
      </c>
      <c r="K66" s="56" t="s">
        <v>9</v>
      </c>
      <c r="L66" s="25" t="str">
        <f t="shared" si="19"/>
        <v>Arquitetônico</v>
      </c>
      <c r="M66" s="25" t="str">
        <f t="shared" si="20"/>
        <v>Elementos.de.Vedação</v>
      </c>
      <c r="N66" s="25" t="str">
        <f t="shared" si="34"/>
        <v>Frisos de Paredes</v>
      </c>
      <c r="O66" s="25" t="str">
        <f t="shared" si="35"/>
        <v>Cornija</v>
      </c>
      <c r="P66" s="20" t="s">
        <v>1125</v>
      </c>
      <c r="Q66" s="20" t="s">
        <v>1128</v>
      </c>
      <c r="R66" s="52" t="s">
        <v>9</v>
      </c>
      <c r="S66" s="26" t="str">
        <f t="shared" si="16"/>
        <v>Arquitetônico</v>
      </c>
      <c r="T66" s="26" t="str">
        <f t="shared" si="17"/>
        <v>Elementos de Vedação</v>
      </c>
      <c r="U66" s="26" t="str">
        <f t="shared" si="18"/>
        <v>Frisos de Paredes</v>
      </c>
      <c r="V66" s="20" t="s">
        <v>85</v>
      </c>
      <c r="W66" s="71" t="str">
        <f t="shared" si="4"/>
        <v>Key-ARQ-66</v>
      </c>
      <c r="X66" s="20" t="s">
        <v>1508</v>
      </c>
      <c r="Y66" s="26" t="s">
        <v>1418</v>
      </c>
      <c r="Z66" s="52" t="s">
        <v>9</v>
      </c>
      <c r="AA66" s="20" t="str">
        <f t="shared" si="12"/>
        <v>Wall cornice type frieze.</v>
      </c>
    </row>
    <row r="67" spans="1:27" ht="6" customHeight="1" x14ac:dyDescent="0.4">
      <c r="A67" s="22">
        <v>67</v>
      </c>
      <c r="B67" s="1" t="s">
        <v>1604</v>
      </c>
      <c r="C67" s="1" t="s">
        <v>1383</v>
      </c>
      <c r="D67" s="23" t="s">
        <v>1384</v>
      </c>
      <c r="E67" s="1" t="s">
        <v>1408</v>
      </c>
      <c r="F67" s="1" t="s">
        <v>1124</v>
      </c>
      <c r="G67" s="56" t="s">
        <v>9</v>
      </c>
      <c r="H67" s="54" t="s">
        <v>9</v>
      </c>
      <c r="I67" s="54" t="s">
        <v>9</v>
      </c>
      <c r="J67" s="56" t="s">
        <v>9</v>
      </c>
      <c r="K67" s="56" t="s">
        <v>9</v>
      </c>
      <c r="L67" s="25" t="str">
        <f t="shared" si="19"/>
        <v>Arquitetônico</v>
      </c>
      <c r="M67" s="25" t="str">
        <f t="shared" si="20"/>
        <v>Elementos.de.Vedação</v>
      </c>
      <c r="N67" s="25" t="str">
        <f t="shared" si="34"/>
        <v>Frisos de Paredes</v>
      </c>
      <c r="O67" s="25" t="str">
        <f t="shared" si="35"/>
        <v>Borda Laje</v>
      </c>
      <c r="P67" s="20" t="s">
        <v>1126</v>
      </c>
      <c r="Q67" s="20" t="s">
        <v>1129</v>
      </c>
      <c r="R67" s="52" t="s">
        <v>9</v>
      </c>
      <c r="S67" s="26" t="str">
        <f t="shared" si="16"/>
        <v>Arquitetônico</v>
      </c>
      <c r="T67" s="26" t="str">
        <f t="shared" si="17"/>
        <v>Elementos de Vedação</v>
      </c>
      <c r="U67" s="26" t="str">
        <f t="shared" si="18"/>
        <v>Frisos de Paredes</v>
      </c>
      <c r="V67" s="20" t="s">
        <v>85</v>
      </c>
      <c r="W67" s="71" t="str">
        <f t="shared" ref="W67:W130" si="36">CONCATENATE("Key-ARQ-",A67)</f>
        <v>Key-ARQ-67</v>
      </c>
      <c r="X67" s="20" t="s">
        <v>1509</v>
      </c>
      <c r="Y67" s="26" t="s">
        <v>1411</v>
      </c>
      <c r="Z67" s="52" t="s">
        <v>9</v>
      </c>
      <c r="AA67" s="20" t="str">
        <f t="shared" si="12"/>
        <v>Frieze type edge of protruding slab.</v>
      </c>
    </row>
    <row r="68" spans="1:27" ht="6" customHeight="1" x14ac:dyDescent="0.4">
      <c r="A68" s="22">
        <v>68</v>
      </c>
      <c r="B68" s="1" t="s">
        <v>1604</v>
      </c>
      <c r="C68" s="1" t="s">
        <v>1383</v>
      </c>
      <c r="D68" s="23" t="s">
        <v>1384</v>
      </c>
      <c r="E68" s="1" t="s">
        <v>1408</v>
      </c>
      <c r="F68" s="1" t="s">
        <v>1131</v>
      </c>
      <c r="G68" s="56" t="s">
        <v>9</v>
      </c>
      <c r="H68" s="54" t="s">
        <v>9</v>
      </c>
      <c r="I68" s="54" t="s">
        <v>9</v>
      </c>
      <c r="J68" s="56" t="s">
        <v>9</v>
      </c>
      <c r="K68" s="56" t="s">
        <v>9</v>
      </c>
      <c r="L68" s="25" t="str">
        <f t="shared" si="19"/>
        <v>Arquitetônico</v>
      </c>
      <c r="M68" s="25" t="str">
        <f t="shared" si="20"/>
        <v>Elementos.de.Vedação</v>
      </c>
      <c r="N68" s="25" t="str">
        <f t="shared" si="34"/>
        <v>Frisos de Paredes</v>
      </c>
      <c r="O68" s="25" t="str">
        <f t="shared" si="35"/>
        <v>Nicho Entalhado</v>
      </c>
      <c r="P68" s="20" t="s">
        <v>1127</v>
      </c>
      <c r="Q68" s="20" t="s">
        <v>1130</v>
      </c>
      <c r="R68" s="52" t="s">
        <v>9</v>
      </c>
      <c r="S68" s="26" t="str">
        <f t="shared" si="16"/>
        <v>Arquitetônico</v>
      </c>
      <c r="T68" s="26" t="str">
        <f t="shared" si="17"/>
        <v>Elementos de Vedação</v>
      </c>
      <c r="U68" s="26" t="str">
        <f t="shared" si="18"/>
        <v>Frisos de Paredes</v>
      </c>
      <c r="V68" s="20" t="s">
        <v>85</v>
      </c>
      <c r="W68" s="71" t="str">
        <f t="shared" si="36"/>
        <v>Key-ARQ-68</v>
      </c>
      <c r="X68" s="20" t="s">
        <v>1510</v>
      </c>
      <c r="Y68" s="26" t="s">
        <v>1418</v>
      </c>
      <c r="Z68" s="52" t="s">
        <v>9</v>
      </c>
      <c r="AA68" s="20" t="str">
        <f t="shared" si="12"/>
        <v>Grooved notch type trim.</v>
      </c>
    </row>
    <row r="69" spans="1:27" ht="6" customHeight="1" x14ac:dyDescent="0.4">
      <c r="A69" s="22">
        <v>69</v>
      </c>
      <c r="B69" s="1" t="s">
        <v>1604</v>
      </c>
      <c r="C69" s="1" t="s">
        <v>1383</v>
      </c>
      <c r="D69" s="23" t="s">
        <v>1384</v>
      </c>
      <c r="E69" s="1" t="s">
        <v>1016</v>
      </c>
      <c r="F69" s="24" t="s">
        <v>917</v>
      </c>
      <c r="G69" s="56" t="s">
        <v>9</v>
      </c>
      <c r="H69" s="54" t="s">
        <v>9</v>
      </c>
      <c r="I69" s="54" t="s">
        <v>9</v>
      </c>
      <c r="J69" s="56" t="s">
        <v>9</v>
      </c>
      <c r="K69" s="56" t="s">
        <v>9</v>
      </c>
      <c r="L69" s="25" t="str">
        <f t="shared" ref="L69" si="37">CONCATENATE("", C69)</f>
        <v>Arquitetônico</v>
      </c>
      <c r="M69" s="25" t="str">
        <f t="shared" ref="M69" si="38">CONCATENATE("", D69)</f>
        <v>Elementos.de.Vedação</v>
      </c>
      <c r="N69" s="25" t="str">
        <f t="shared" ref="N69" si="39">(SUBSTITUTE(SUBSTITUTE(CONCATENATE("",E69),"."," ")," De "," de "))</f>
        <v>Telhados</v>
      </c>
      <c r="O69" s="25" t="str">
        <f t="shared" ref="O69" si="40">(SUBSTITUTE(SUBSTITUTE(CONCATENATE("",F69),"."," ")," De "," de "))</f>
        <v>Telhado</v>
      </c>
      <c r="P69" s="20" t="s">
        <v>1632</v>
      </c>
      <c r="Q69" s="20" t="s">
        <v>1633</v>
      </c>
      <c r="R69" s="52" t="s">
        <v>9</v>
      </c>
      <c r="S69" s="26" t="str">
        <f t="shared" ref="S69" si="41">SUBSTITUTE(C69, ".", " ")</f>
        <v>Arquitetônico</v>
      </c>
      <c r="T69" s="26" t="str">
        <f t="shared" ref="T69" si="42">SUBSTITUTE(D69, ".", " ")</f>
        <v>Elementos de Vedação</v>
      </c>
      <c r="U69" s="26" t="str">
        <f t="shared" ref="U69" si="43">SUBSTITUTE(E69, ".", " ")</f>
        <v>Telhados</v>
      </c>
      <c r="V69" s="20" t="s">
        <v>85</v>
      </c>
      <c r="W69" s="71" t="str">
        <f t="shared" ref="W69" si="44">CONCATENATE("Key-ARQ-",A69)</f>
        <v>Key-ARQ-69</v>
      </c>
      <c r="X69" s="20" t="s">
        <v>1511</v>
      </c>
      <c r="Y69" s="26" t="s">
        <v>1419</v>
      </c>
      <c r="Z69" s="52" t="s">
        <v>9</v>
      </c>
      <c r="AA69" s="20" t="str">
        <f t="shared" ref="AA69" si="45">_xlfn.TRANSLATE(P69,"pt","en")</f>
        <v>Roof.</v>
      </c>
    </row>
    <row r="70" spans="1:27" ht="6" customHeight="1" x14ac:dyDescent="0.4">
      <c r="A70" s="22">
        <v>70</v>
      </c>
      <c r="B70" s="1" t="s">
        <v>1604</v>
      </c>
      <c r="C70" s="1" t="s">
        <v>1383</v>
      </c>
      <c r="D70" s="23" t="s">
        <v>1384</v>
      </c>
      <c r="E70" s="1" t="s">
        <v>1016</v>
      </c>
      <c r="F70" s="24" t="s">
        <v>997</v>
      </c>
      <c r="G70" s="56" t="s">
        <v>9</v>
      </c>
      <c r="H70" s="54" t="s">
        <v>9</v>
      </c>
      <c r="I70" s="54" t="s">
        <v>9</v>
      </c>
      <c r="J70" s="56" t="s">
        <v>9</v>
      </c>
      <c r="K70" s="56" t="s">
        <v>9</v>
      </c>
      <c r="L70" s="25" t="str">
        <f t="shared" si="19"/>
        <v>Arquitetônico</v>
      </c>
      <c r="M70" s="25" t="str">
        <f t="shared" si="20"/>
        <v>Elementos.de.Vedação</v>
      </c>
      <c r="N70" s="25" t="str">
        <f t="shared" si="34"/>
        <v>Telhados</v>
      </c>
      <c r="O70" s="25" t="str">
        <f t="shared" si="35"/>
        <v>Telhado Verde</v>
      </c>
      <c r="P70" s="20" t="s">
        <v>1017</v>
      </c>
      <c r="Q70" s="20" t="s">
        <v>1018</v>
      </c>
      <c r="R70" s="52" t="s">
        <v>9</v>
      </c>
      <c r="S70" s="26" t="str">
        <f t="shared" si="16"/>
        <v>Arquitetônico</v>
      </c>
      <c r="T70" s="26" t="str">
        <f t="shared" si="17"/>
        <v>Elementos de Vedação</v>
      </c>
      <c r="U70" s="26" t="str">
        <f t="shared" si="18"/>
        <v>Telhados</v>
      </c>
      <c r="V70" s="20" t="s">
        <v>85</v>
      </c>
      <c r="W70" s="71" t="str">
        <f t="shared" si="36"/>
        <v>Key-ARQ-70</v>
      </c>
      <c r="X70" s="20" t="s">
        <v>1511</v>
      </c>
      <c r="Y70" s="26" t="s">
        <v>1419</v>
      </c>
      <c r="Z70" s="52" t="s">
        <v>9</v>
      </c>
      <c r="AA70" s="20" t="str">
        <f t="shared" si="12"/>
        <v>Ecological roof with drainage layers and rainwater catchers.</v>
      </c>
    </row>
    <row r="71" spans="1:27" ht="6" customHeight="1" x14ac:dyDescent="0.4">
      <c r="A71" s="22">
        <v>71</v>
      </c>
      <c r="B71" s="1" t="s">
        <v>1604</v>
      </c>
      <c r="C71" s="1" t="s">
        <v>1383</v>
      </c>
      <c r="D71" s="23" t="s">
        <v>1384</v>
      </c>
      <c r="E71" s="1" t="s">
        <v>1016</v>
      </c>
      <c r="F71" s="24" t="s">
        <v>943</v>
      </c>
      <c r="G71" s="56" t="s">
        <v>9</v>
      </c>
      <c r="H71" s="54" t="s">
        <v>9</v>
      </c>
      <c r="I71" s="54" t="s">
        <v>9</v>
      </c>
      <c r="J71" s="56" t="s">
        <v>9</v>
      </c>
      <c r="K71" s="56" t="s">
        <v>9</v>
      </c>
      <c r="L71" s="25" t="str">
        <f t="shared" si="19"/>
        <v>Arquitetônico</v>
      </c>
      <c r="M71" s="25" t="str">
        <f t="shared" si="20"/>
        <v>Elementos.de.Vedação</v>
      </c>
      <c r="N71" s="25" t="str">
        <f t="shared" si="34"/>
        <v>Telhados</v>
      </c>
      <c r="O71" s="25" t="str">
        <f t="shared" si="35"/>
        <v>Telhado Barril</v>
      </c>
      <c r="P71" s="20" t="s">
        <v>918</v>
      </c>
      <c r="Q71" s="20" t="s">
        <v>1031</v>
      </c>
      <c r="R71" s="52" t="s">
        <v>9</v>
      </c>
      <c r="S71" s="26" t="str">
        <f t="shared" si="16"/>
        <v>Arquitetônico</v>
      </c>
      <c r="T71" s="26" t="str">
        <f t="shared" si="17"/>
        <v>Elementos de Vedação</v>
      </c>
      <c r="U71" s="26" t="str">
        <f t="shared" si="18"/>
        <v>Telhados</v>
      </c>
      <c r="V71" s="20" t="s">
        <v>85</v>
      </c>
      <c r="W71" s="71" t="str">
        <f t="shared" si="36"/>
        <v>Key-ARQ-71</v>
      </c>
      <c r="X71" s="20" t="s">
        <v>1511</v>
      </c>
      <c r="Y71" s="26" t="s">
        <v>1420</v>
      </c>
      <c r="Z71" s="52" t="s">
        <v>9</v>
      </c>
      <c r="AA71" s="20" t="str">
        <f t="shared" ref="AA71:AA83" si="46">_xlfn.TRANSLATE(P71,"pt","en")</f>
        <v>Roof or ceiling with a semi-cylindrical shape.</v>
      </c>
    </row>
    <row r="72" spans="1:27" ht="6" customHeight="1" x14ac:dyDescent="0.4">
      <c r="A72" s="22">
        <v>72</v>
      </c>
      <c r="B72" s="1" t="s">
        <v>1604</v>
      </c>
      <c r="C72" s="1" t="s">
        <v>1383</v>
      </c>
      <c r="D72" s="23" t="s">
        <v>1384</v>
      </c>
      <c r="E72" s="1" t="s">
        <v>1016</v>
      </c>
      <c r="F72" s="24" t="s">
        <v>944</v>
      </c>
      <c r="G72" s="56" t="s">
        <v>9</v>
      </c>
      <c r="H72" s="54" t="s">
        <v>9</v>
      </c>
      <c r="I72" s="54" t="s">
        <v>9</v>
      </c>
      <c r="J72" s="56" t="s">
        <v>9</v>
      </c>
      <c r="K72" s="56" t="s">
        <v>9</v>
      </c>
      <c r="L72" s="25" t="str">
        <f t="shared" si="19"/>
        <v>Arquitetônico</v>
      </c>
      <c r="M72" s="25" t="str">
        <f t="shared" si="20"/>
        <v>Elementos.de.Vedação</v>
      </c>
      <c r="N72" s="25" t="str">
        <f t="shared" si="34"/>
        <v>Telhados</v>
      </c>
      <c r="O72" s="25" t="str">
        <f t="shared" si="35"/>
        <v>Telhado Borboleta</v>
      </c>
      <c r="P72" s="20" t="s">
        <v>908</v>
      </c>
      <c r="Q72" s="20" t="s">
        <v>1019</v>
      </c>
      <c r="R72" s="52" t="s">
        <v>9</v>
      </c>
      <c r="S72" s="26" t="str">
        <f t="shared" si="16"/>
        <v>Arquitetônico</v>
      </c>
      <c r="T72" s="26" t="str">
        <f t="shared" si="17"/>
        <v>Elementos de Vedação</v>
      </c>
      <c r="U72" s="26" t="str">
        <f t="shared" si="18"/>
        <v>Telhados</v>
      </c>
      <c r="V72" s="20" t="s">
        <v>85</v>
      </c>
      <c r="W72" s="71" t="str">
        <f t="shared" si="36"/>
        <v>Key-ARQ-72</v>
      </c>
      <c r="X72" s="20" t="s">
        <v>1511</v>
      </c>
      <c r="Y72" s="26" t="s">
        <v>1421</v>
      </c>
      <c r="Z72" s="52" t="s">
        <v>9</v>
      </c>
      <c r="AA72" s="20" t="str">
        <f t="shared" si="46"/>
        <v>Furniture with countertop and optional drawers for a single person.</v>
      </c>
    </row>
    <row r="73" spans="1:27" ht="6" customHeight="1" x14ac:dyDescent="0.4">
      <c r="A73" s="22">
        <v>73</v>
      </c>
      <c r="B73" s="1" t="s">
        <v>1604</v>
      </c>
      <c r="C73" s="1" t="s">
        <v>1383</v>
      </c>
      <c r="D73" s="23" t="s">
        <v>1384</v>
      </c>
      <c r="E73" s="1" t="s">
        <v>1016</v>
      </c>
      <c r="F73" s="24" t="s">
        <v>945</v>
      </c>
      <c r="G73" s="56" t="s">
        <v>9</v>
      </c>
      <c r="H73" s="54" t="s">
        <v>9</v>
      </c>
      <c r="I73" s="54" t="s">
        <v>9</v>
      </c>
      <c r="J73" s="56" t="s">
        <v>9</v>
      </c>
      <c r="K73" s="56" t="s">
        <v>9</v>
      </c>
      <c r="L73" s="25" t="str">
        <f t="shared" si="19"/>
        <v>Arquitetônico</v>
      </c>
      <c r="M73" s="25" t="str">
        <f t="shared" si="20"/>
        <v>Elementos.de.Vedação</v>
      </c>
      <c r="N73" s="25" t="str">
        <f t="shared" si="34"/>
        <v>Telhados</v>
      </c>
      <c r="O73" s="25" t="str">
        <f t="shared" si="35"/>
        <v>Telhado Cúpula</v>
      </c>
      <c r="P73" s="20" t="s">
        <v>919</v>
      </c>
      <c r="Q73" s="20" t="s">
        <v>1020</v>
      </c>
      <c r="R73" s="52" t="s">
        <v>9</v>
      </c>
      <c r="S73" s="26" t="str">
        <f t="shared" si="16"/>
        <v>Arquitetônico</v>
      </c>
      <c r="T73" s="26" t="str">
        <f t="shared" si="17"/>
        <v>Elementos de Vedação</v>
      </c>
      <c r="U73" s="26" t="str">
        <f t="shared" si="18"/>
        <v>Telhados</v>
      </c>
      <c r="V73" s="20" t="s">
        <v>85</v>
      </c>
      <c r="W73" s="71" t="str">
        <f t="shared" si="36"/>
        <v>Key-ARQ-73</v>
      </c>
      <c r="X73" s="20" t="s">
        <v>1511</v>
      </c>
      <c r="Y73" s="26" t="s">
        <v>1422</v>
      </c>
      <c r="Z73" s="52" t="s">
        <v>9</v>
      </c>
      <c r="AA73" s="20" t="str">
        <f t="shared" si="46"/>
        <v>Hemispherical roof.</v>
      </c>
    </row>
    <row r="74" spans="1:27" ht="6" customHeight="1" x14ac:dyDescent="0.4">
      <c r="A74" s="22">
        <v>74</v>
      </c>
      <c r="B74" s="1" t="s">
        <v>1604</v>
      </c>
      <c r="C74" s="1" t="s">
        <v>1383</v>
      </c>
      <c r="D74" s="23" t="s">
        <v>1384</v>
      </c>
      <c r="E74" s="1" t="s">
        <v>1016</v>
      </c>
      <c r="F74" s="24" t="s">
        <v>946</v>
      </c>
      <c r="G74" s="56" t="s">
        <v>9</v>
      </c>
      <c r="H74" s="54" t="s">
        <v>9</v>
      </c>
      <c r="I74" s="54" t="s">
        <v>9</v>
      </c>
      <c r="J74" s="56" t="s">
        <v>9</v>
      </c>
      <c r="K74" s="56" t="s">
        <v>9</v>
      </c>
      <c r="L74" s="25" t="str">
        <f t="shared" si="19"/>
        <v>Arquitetônico</v>
      </c>
      <c r="M74" s="25" t="str">
        <f t="shared" si="20"/>
        <v>Elementos.de.Vedação</v>
      </c>
      <c r="N74" s="25" t="str">
        <f t="shared" si="34"/>
        <v>Telhados</v>
      </c>
      <c r="O74" s="25" t="str">
        <f t="shared" si="35"/>
        <v>Telhado Plano</v>
      </c>
      <c r="P74" s="20" t="s">
        <v>920</v>
      </c>
      <c r="Q74" s="20" t="s">
        <v>1021</v>
      </c>
      <c r="R74" s="52" t="s">
        <v>9</v>
      </c>
      <c r="S74" s="26" t="str">
        <f t="shared" si="16"/>
        <v>Arquitetônico</v>
      </c>
      <c r="T74" s="26" t="str">
        <f t="shared" si="17"/>
        <v>Elementos de Vedação</v>
      </c>
      <c r="U74" s="26" t="str">
        <f t="shared" si="18"/>
        <v>Telhados</v>
      </c>
      <c r="V74" s="20" t="s">
        <v>85</v>
      </c>
      <c r="W74" s="71" t="str">
        <f t="shared" si="36"/>
        <v>Key-ARQ-74</v>
      </c>
      <c r="X74" s="20" t="s">
        <v>1511</v>
      </c>
      <c r="Y74" s="26" t="s">
        <v>1423</v>
      </c>
      <c r="Z74" s="52" t="s">
        <v>9</v>
      </c>
      <c r="AA74" s="20" t="str">
        <f t="shared" si="46"/>
        <v>Roof without slope or with only a slight slope to drain rainwater.</v>
      </c>
    </row>
    <row r="75" spans="1:27" ht="6" customHeight="1" x14ac:dyDescent="0.4">
      <c r="A75" s="22">
        <v>75</v>
      </c>
      <c r="B75" s="1" t="s">
        <v>1604</v>
      </c>
      <c r="C75" s="1" t="s">
        <v>1383</v>
      </c>
      <c r="D75" s="23" t="s">
        <v>1384</v>
      </c>
      <c r="E75" s="1" t="s">
        <v>1016</v>
      </c>
      <c r="F75" s="24" t="s">
        <v>994</v>
      </c>
      <c r="G75" s="56" t="s">
        <v>9</v>
      </c>
      <c r="H75" s="54" t="s">
        <v>9</v>
      </c>
      <c r="I75" s="54" t="s">
        <v>9</v>
      </c>
      <c r="J75" s="56" t="s">
        <v>9</v>
      </c>
      <c r="K75" s="56" t="s">
        <v>9</v>
      </c>
      <c r="L75" s="25" t="str">
        <f t="shared" si="19"/>
        <v>Arquitetônico</v>
      </c>
      <c r="M75" s="25" t="str">
        <f t="shared" si="20"/>
        <v>Elementos.de.Vedação</v>
      </c>
      <c r="N75" s="25" t="str">
        <f t="shared" si="34"/>
        <v>Telhados</v>
      </c>
      <c r="O75" s="25" t="str">
        <f t="shared" si="35"/>
        <v>Telhado Livre</v>
      </c>
      <c r="P75" s="20" t="s">
        <v>921</v>
      </c>
      <c r="Q75" s="20" t="s">
        <v>1022</v>
      </c>
      <c r="R75" s="52" t="s">
        <v>9</v>
      </c>
      <c r="S75" s="26" t="str">
        <f t="shared" si="16"/>
        <v>Arquitetônico</v>
      </c>
      <c r="T75" s="26" t="str">
        <f t="shared" si="17"/>
        <v>Elementos de Vedação</v>
      </c>
      <c r="U75" s="26" t="str">
        <f t="shared" si="18"/>
        <v>Telhados</v>
      </c>
      <c r="V75" s="20" t="s">
        <v>85</v>
      </c>
      <c r="W75" s="71" t="str">
        <f t="shared" si="36"/>
        <v>Key-ARQ-75</v>
      </c>
      <c r="X75" s="20" t="s">
        <v>1511</v>
      </c>
      <c r="Y75" s="26" t="s">
        <v>1424</v>
      </c>
      <c r="Z75" s="52" t="s">
        <v>9</v>
      </c>
      <c r="AA75" s="20" t="str">
        <f t="shared" si="46"/>
        <v>Roof in free form.</v>
      </c>
    </row>
    <row r="76" spans="1:27" ht="6" customHeight="1" x14ac:dyDescent="0.4">
      <c r="A76" s="22">
        <v>76</v>
      </c>
      <c r="B76" s="1" t="s">
        <v>1604</v>
      </c>
      <c r="C76" s="1" t="s">
        <v>1383</v>
      </c>
      <c r="D76" s="23" t="s">
        <v>1384</v>
      </c>
      <c r="E76" s="1" t="s">
        <v>1016</v>
      </c>
      <c r="F76" s="24" t="s">
        <v>953</v>
      </c>
      <c r="G76" s="56" t="s">
        <v>9</v>
      </c>
      <c r="H76" s="54" t="s">
        <v>9</v>
      </c>
      <c r="I76" s="54" t="s">
        <v>9</v>
      </c>
      <c r="J76" s="56" t="s">
        <v>9</v>
      </c>
      <c r="K76" s="56" t="s">
        <v>9</v>
      </c>
      <c r="L76" s="25" t="str">
        <f t="shared" si="19"/>
        <v>Arquitetônico</v>
      </c>
      <c r="M76" s="25" t="str">
        <f t="shared" si="20"/>
        <v>Elementos.de.Vedação</v>
      </c>
      <c r="N76" s="25" t="str">
        <f t="shared" si="34"/>
        <v>Telhados</v>
      </c>
      <c r="O76" s="25" t="str">
        <f t="shared" si="35"/>
        <v>Telhado Inclinado</v>
      </c>
      <c r="P76" s="20" t="s">
        <v>928</v>
      </c>
      <c r="Q76" s="20" t="s">
        <v>1023</v>
      </c>
      <c r="R76" s="52" t="s">
        <v>9</v>
      </c>
      <c r="S76" s="26" t="str">
        <f t="shared" si="16"/>
        <v>Arquitetônico</v>
      </c>
      <c r="T76" s="26" t="str">
        <f t="shared" si="17"/>
        <v>Elementos de Vedação</v>
      </c>
      <c r="U76" s="26" t="str">
        <f t="shared" si="18"/>
        <v>Telhados</v>
      </c>
      <c r="V76" s="20" t="s">
        <v>85</v>
      </c>
      <c r="W76" s="71" t="str">
        <f t="shared" si="36"/>
        <v>Key-ARQ-76</v>
      </c>
      <c r="X76" s="20" t="s">
        <v>1511</v>
      </c>
      <c r="Y76" s="26" t="s">
        <v>1425</v>
      </c>
      <c r="Z76" s="52" t="s">
        <v>9</v>
      </c>
      <c r="AA76" s="20" t="str">
        <f t="shared" si="46"/>
        <v>Roof with a single slope.</v>
      </c>
    </row>
    <row r="77" spans="1:27" ht="6" customHeight="1" x14ac:dyDescent="0.4">
      <c r="A77" s="22">
        <v>77</v>
      </c>
      <c r="B77" s="1" t="s">
        <v>1604</v>
      </c>
      <c r="C77" s="1" t="s">
        <v>1383</v>
      </c>
      <c r="D77" s="23" t="s">
        <v>1384</v>
      </c>
      <c r="E77" s="1" t="s">
        <v>1016</v>
      </c>
      <c r="F77" s="24" t="s">
        <v>947</v>
      </c>
      <c r="G77" s="56" t="s">
        <v>9</v>
      </c>
      <c r="H77" s="54" t="s">
        <v>9</v>
      </c>
      <c r="I77" s="54" t="s">
        <v>9</v>
      </c>
      <c r="J77" s="56" t="s">
        <v>9</v>
      </c>
      <c r="K77" s="56" t="s">
        <v>9</v>
      </c>
      <c r="L77" s="25" t="str">
        <f t="shared" si="19"/>
        <v>Arquitetônico</v>
      </c>
      <c r="M77" s="25" t="str">
        <f t="shared" si="20"/>
        <v>Elementos.de.Vedação</v>
      </c>
      <c r="N77" s="25" t="str">
        <f t="shared" si="34"/>
        <v>Telhados</v>
      </c>
      <c r="O77" s="25" t="str">
        <f t="shared" si="35"/>
        <v>Telhado 2 Aguas</v>
      </c>
      <c r="P77" s="20" t="s">
        <v>922</v>
      </c>
      <c r="Q77" s="20" t="s">
        <v>1024</v>
      </c>
      <c r="R77" s="52" t="s">
        <v>9</v>
      </c>
      <c r="S77" s="26" t="str">
        <f t="shared" si="16"/>
        <v>Arquitetônico</v>
      </c>
      <c r="T77" s="26" t="str">
        <f t="shared" si="17"/>
        <v>Elementos de Vedação</v>
      </c>
      <c r="U77" s="26" t="str">
        <f t="shared" si="18"/>
        <v>Telhados</v>
      </c>
      <c r="V77" s="20" t="s">
        <v>85</v>
      </c>
      <c r="W77" s="71" t="str">
        <f t="shared" si="36"/>
        <v>Key-ARQ-77</v>
      </c>
      <c r="X77" s="20" t="s">
        <v>1511</v>
      </c>
      <c r="Y77" s="26" t="s">
        <v>1426</v>
      </c>
      <c r="Z77" s="52" t="s">
        <v>9</v>
      </c>
      <c r="AA77" s="20" t="str">
        <f t="shared" si="46"/>
        <v>Roof sloped downwards in two parts from a central ridge so as to form a gable at each end.</v>
      </c>
    </row>
    <row r="78" spans="1:27" ht="6" customHeight="1" x14ac:dyDescent="0.4">
      <c r="A78" s="22">
        <v>78</v>
      </c>
      <c r="B78" s="1" t="s">
        <v>1604</v>
      </c>
      <c r="C78" s="1" t="s">
        <v>1383</v>
      </c>
      <c r="D78" s="23" t="s">
        <v>1384</v>
      </c>
      <c r="E78" s="1" t="s">
        <v>1016</v>
      </c>
      <c r="F78" s="24" t="s">
        <v>949</v>
      </c>
      <c r="G78" s="56" t="s">
        <v>9</v>
      </c>
      <c r="H78" s="54" t="s">
        <v>9</v>
      </c>
      <c r="I78" s="54" t="s">
        <v>9</v>
      </c>
      <c r="J78" s="56" t="s">
        <v>9</v>
      </c>
      <c r="K78" s="56" t="s">
        <v>9</v>
      </c>
      <c r="L78" s="25" t="str">
        <f t="shared" si="19"/>
        <v>Arquitetônico</v>
      </c>
      <c r="M78" s="25" t="str">
        <f t="shared" si="20"/>
        <v>Elementos.de.Vedação</v>
      </c>
      <c r="N78" s="25" t="str">
        <f t="shared" si="34"/>
        <v>Telhados</v>
      </c>
      <c r="O78" s="25" t="str">
        <f t="shared" si="35"/>
        <v>Telhado 4 Aguas</v>
      </c>
      <c r="P78" s="20" t="s">
        <v>923</v>
      </c>
      <c r="Q78" s="20" t="s">
        <v>1025</v>
      </c>
      <c r="R78" s="52" t="s">
        <v>9</v>
      </c>
      <c r="S78" s="26" t="str">
        <f t="shared" si="16"/>
        <v>Arquitetônico</v>
      </c>
      <c r="T78" s="26" t="str">
        <f t="shared" si="17"/>
        <v>Elementos de Vedação</v>
      </c>
      <c r="U78" s="26" t="str">
        <f t="shared" si="18"/>
        <v>Telhados</v>
      </c>
      <c r="V78" s="20" t="s">
        <v>85</v>
      </c>
      <c r="W78" s="71" t="str">
        <f t="shared" si="36"/>
        <v>Key-ARQ-78</v>
      </c>
      <c r="X78" s="20" t="s">
        <v>1511</v>
      </c>
      <c r="Y78" s="26" t="s">
        <v>1427</v>
      </c>
      <c r="Z78" s="52" t="s">
        <v>9</v>
      </c>
      <c r="AA78" s="20" t="str">
        <f t="shared" si="46"/>
        <v>Roof with sloping ends and sides that meet in a sloping projection.</v>
      </c>
    </row>
    <row r="79" spans="1:27" ht="6" customHeight="1" x14ac:dyDescent="0.4">
      <c r="A79" s="22">
        <v>79</v>
      </c>
      <c r="B79" s="1" t="s">
        <v>1604</v>
      </c>
      <c r="C79" s="1" t="s">
        <v>1383</v>
      </c>
      <c r="D79" s="23" t="s">
        <v>1384</v>
      </c>
      <c r="E79" s="1" t="s">
        <v>1016</v>
      </c>
      <c r="F79" s="24" t="s">
        <v>1221</v>
      </c>
      <c r="G79" s="56" t="s">
        <v>9</v>
      </c>
      <c r="H79" s="54" t="s">
        <v>9</v>
      </c>
      <c r="I79" s="54" t="s">
        <v>9</v>
      </c>
      <c r="J79" s="56" t="s">
        <v>9</v>
      </c>
      <c r="K79" s="56" t="s">
        <v>9</v>
      </c>
      <c r="L79" s="25" t="str">
        <f t="shared" si="19"/>
        <v>Arquitetônico</v>
      </c>
      <c r="M79" s="25" t="str">
        <f t="shared" si="20"/>
        <v>Elementos.de.Vedação</v>
      </c>
      <c r="N79" s="25" t="str">
        <f t="shared" si="34"/>
        <v>Telhados</v>
      </c>
      <c r="O79" s="25" t="str">
        <f t="shared" si="35"/>
        <v>Telhado Agua Furtada</v>
      </c>
      <c r="P79" s="20" t="s">
        <v>924</v>
      </c>
      <c r="Q79" s="20" t="s">
        <v>1026</v>
      </c>
      <c r="R79" s="52" t="s">
        <v>9</v>
      </c>
      <c r="S79" s="26" t="str">
        <f t="shared" si="16"/>
        <v>Arquitetônico</v>
      </c>
      <c r="T79" s="26" t="str">
        <f t="shared" si="17"/>
        <v>Elementos de Vedação</v>
      </c>
      <c r="U79" s="26" t="str">
        <f t="shared" si="18"/>
        <v>Telhados</v>
      </c>
      <c r="V79" s="20" t="s">
        <v>85</v>
      </c>
      <c r="W79" s="71" t="str">
        <f t="shared" si="36"/>
        <v>Key-ARQ-79</v>
      </c>
      <c r="X79" s="20" t="s">
        <v>1511</v>
      </c>
      <c r="Y79" s="26" t="s">
        <v>1428</v>
      </c>
      <c r="Z79" s="52" t="s">
        <v>9</v>
      </c>
      <c r="AA79" s="20" t="str">
        <f t="shared" si="46"/>
        <v>Roof with a hipped end truncating a gable.</v>
      </c>
    </row>
    <row r="80" spans="1:27" ht="6" customHeight="1" x14ac:dyDescent="0.4">
      <c r="A80" s="22">
        <v>80</v>
      </c>
      <c r="B80" s="1" t="s">
        <v>1604</v>
      </c>
      <c r="C80" s="1" t="s">
        <v>1383</v>
      </c>
      <c r="D80" s="23" t="s">
        <v>1384</v>
      </c>
      <c r="E80" s="1" t="s">
        <v>1016</v>
      </c>
      <c r="F80" s="24" t="s">
        <v>950</v>
      </c>
      <c r="G80" s="56" t="s">
        <v>9</v>
      </c>
      <c r="H80" s="54" t="s">
        <v>9</v>
      </c>
      <c r="I80" s="54" t="s">
        <v>9</v>
      </c>
      <c r="J80" s="56" t="s">
        <v>9</v>
      </c>
      <c r="K80" s="56" t="s">
        <v>9</v>
      </c>
      <c r="L80" s="25" t="str">
        <f t="shared" si="19"/>
        <v>Arquitetônico</v>
      </c>
      <c r="M80" s="25" t="str">
        <f t="shared" si="20"/>
        <v>Elementos.de.Vedação</v>
      </c>
      <c r="N80" s="25" t="str">
        <f t="shared" si="34"/>
        <v>Telhados</v>
      </c>
      <c r="O80" s="25" t="str">
        <f t="shared" si="35"/>
        <v>Telhado Mansarda</v>
      </c>
      <c r="P80" s="20" t="s">
        <v>925</v>
      </c>
      <c r="Q80" s="20" t="s">
        <v>1027</v>
      </c>
      <c r="R80" s="52" t="s">
        <v>9</v>
      </c>
      <c r="S80" s="26" t="str">
        <f t="shared" si="16"/>
        <v>Arquitetônico</v>
      </c>
      <c r="T80" s="26" t="str">
        <f t="shared" si="17"/>
        <v>Elementos de Vedação</v>
      </c>
      <c r="U80" s="26" t="str">
        <f t="shared" si="18"/>
        <v>Telhados</v>
      </c>
      <c r="V80" s="20" t="s">
        <v>85</v>
      </c>
      <c r="W80" s="71" t="str">
        <f t="shared" si="36"/>
        <v>Key-ARQ-80</v>
      </c>
      <c r="X80" s="20" t="s">
        <v>1511</v>
      </c>
      <c r="Y80" s="26" t="s">
        <v>1429</v>
      </c>
      <c r="Z80" s="52" t="s">
        <v>9</v>
      </c>
      <c r="AA80" s="20" t="str">
        <f t="shared" si="46"/>
        <v>Roof with steeper bottom on each side and shallower top.</v>
      </c>
    </row>
    <row r="81" spans="1:27" ht="6" customHeight="1" x14ac:dyDescent="0.4">
      <c r="A81" s="22">
        <v>81</v>
      </c>
      <c r="B81" s="1" t="s">
        <v>1604</v>
      </c>
      <c r="C81" s="1" t="s">
        <v>1383</v>
      </c>
      <c r="D81" s="23" t="s">
        <v>1384</v>
      </c>
      <c r="E81" s="1" t="s">
        <v>1016</v>
      </c>
      <c r="F81" s="24" t="s">
        <v>948</v>
      </c>
      <c r="G81" s="56" t="s">
        <v>9</v>
      </c>
      <c r="H81" s="54" t="s">
        <v>9</v>
      </c>
      <c r="I81" s="54" t="s">
        <v>9</v>
      </c>
      <c r="J81" s="56" t="s">
        <v>9</v>
      </c>
      <c r="K81" s="56" t="s">
        <v>9</v>
      </c>
      <c r="L81" s="25" t="str">
        <f t="shared" si="19"/>
        <v>Arquitetônico</v>
      </c>
      <c r="M81" s="25" t="str">
        <f t="shared" si="20"/>
        <v>Elementos.de.Vedação</v>
      </c>
      <c r="N81" s="25" t="str">
        <f t="shared" si="34"/>
        <v>Telhados</v>
      </c>
      <c r="O81" s="25" t="str">
        <f t="shared" si="35"/>
        <v>Telhado Mansarda Americana</v>
      </c>
      <c r="P81" s="20" t="s">
        <v>922</v>
      </c>
      <c r="Q81" s="20" t="s">
        <v>1028</v>
      </c>
      <c r="R81" s="52" t="s">
        <v>9</v>
      </c>
      <c r="S81" s="26" t="str">
        <f t="shared" si="16"/>
        <v>Arquitetônico</v>
      </c>
      <c r="T81" s="26" t="str">
        <f t="shared" si="17"/>
        <v>Elementos de Vedação</v>
      </c>
      <c r="U81" s="26" t="str">
        <f t="shared" si="18"/>
        <v>Telhados</v>
      </c>
      <c r="V81" s="20" t="s">
        <v>85</v>
      </c>
      <c r="W81" s="71" t="str">
        <f t="shared" si="36"/>
        <v>Key-ARQ-81</v>
      </c>
      <c r="X81" s="20" t="s">
        <v>1511</v>
      </c>
      <c r="Y81" s="26" t="s">
        <v>1430</v>
      </c>
      <c r="Z81" s="52" t="s">
        <v>9</v>
      </c>
      <c r="AA81" s="20" t="str">
        <f t="shared" si="46"/>
        <v>Roof sloped downwards in two parts from a central ridge so as to form a gable at each end.</v>
      </c>
    </row>
    <row r="82" spans="1:27" ht="6" customHeight="1" x14ac:dyDescent="0.4">
      <c r="A82" s="22">
        <v>82</v>
      </c>
      <c r="B82" s="1" t="s">
        <v>1604</v>
      </c>
      <c r="C82" s="1" t="s">
        <v>1383</v>
      </c>
      <c r="D82" s="23" t="s">
        <v>1384</v>
      </c>
      <c r="E82" s="1" t="s">
        <v>1016</v>
      </c>
      <c r="F82" s="24" t="s">
        <v>951</v>
      </c>
      <c r="G82" s="56" t="s">
        <v>9</v>
      </c>
      <c r="H82" s="54" t="s">
        <v>9</v>
      </c>
      <c r="I82" s="54" t="s">
        <v>9</v>
      </c>
      <c r="J82" s="56" t="s">
        <v>9</v>
      </c>
      <c r="K82" s="56" t="s">
        <v>9</v>
      </c>
      <c r="L82" s="25" t="str">
        <f t="shared" si="19"/>
        <v>Arquitetônico</v>
      </c>
      <c r="M82" s="25" t="str">
        <f t="shared" si="20"/>
        <v>Elementos.de.Vedação</v>
      </c>
      <c r="N82" s="25" t="str">
        <f t="shared" si="34"/>
        <v>Telhados</v>
      </c>
      <c r="O82" s="25" t="str">
        <f t="shared" si="35"/>
        <v>Telhado Pavilhão</v>
      </c>
      <c r="P82" s="20" t="s">
        <v>926</v>
      </c>
      <c r="Q82" s="20" t="s">
        <v>1029</v>
      </c>
      <c r="R82" s="52" t="s">
        <v>9</v>
      </c>
      <c r="S82" s="26" t="str">
        <f t="shared" si="16"/>
        <v>Arquitetônico</v>
      </c>
      <c r="T82" s="26" t="str">
        <f t="shared" si="17"/>
        <v>Elementos de Vedação</v>
      </c>
      <c r="U82" s="26" t="str">
        <f t="shared" si="18"/>
        <v>Telhados</v>
      </c>
      <c r="V82" s="20" t="s">
        <v>85</v>
      </c>
      <c r="W82" s="71" t="str">
        <f t="shared" si="36"/>
        <v>Key-ARQ-82</v>
      </c>
      <c r="X82" s="20" t="s">
        <v>1511</v>
      </c>
      <c r="Y82" s="26" t="s">
        <v>1431</v>
      </c>
      <c r="Z82" s="52" t="s">
        <v>9</v>
      </c>
      <c r="AA82" s="20" t="str">
        <f t="shared" si="46"/>
        <v>Pyramidal hip roof.</v>
      </c>
    </row>
    <row r="83" spans="1:27" ht="6" customHeight="1" x14ac:dyDescent="0.4">
      <c r="A83" s="22">
        <v>83</v>
      </c>
      <c r="B83" s="1" t="s">
        <v>1604</v>
      </c>
      <c r="C83" s="1" t="s">
        <v>1383</v>
      </c>
      <c r="D83" s="23" t="s">
        <v>1384</v>
      </c>
      <c r="E83" s="1" t="s">
        <v>1016</v>
      </c>
      <c r="F83" s="24" t="s">
        <v>952</v>
      </c>
      <c r="G83" s="56" t="s">
        <v>9</v>
      </c>
      <c r="H83" s="54" t="s">
        <v>9</v>
      </c>
      <c r="I83" s="54" t="s">
        <v>9</v>
      </c>
      <c r="J83" s="56" t="s">
        <v>9</v>
      </c>
      <c r="K83" s="56" t="s">
        <v>9</v>
      </c>
      <c r="L83" s="25" t="str">
        <f t="shared" si="19"/>
        <v>Arquitetônico</v>
      </c>
      <c r="M83" s="25" t="str">
        <f t="shared" si="20"/>
        <v>Elementos.de.Vedação</v>
      </c>
      <c r="N83" s="25" t="str">
        <f t="shared" si="34"/>
        <v>Telhados</v>
      </c>
      <c r="O83" s="25" t="str">
        <f t="shared" si="35"/>
        <v>Telhado Arco Iris</v>
      </c>
      <c r="P83" s="20" t="s">
        <v>927</v>
      </c>
      <c r="Q83" s="20" t="s">
        <v>1030</v>
      </c>
      <c r="R83" s="52" t="s">
        <v>9</v>
      </c>
      <c r="S83" s="26" t="str">
        <f t="shared" ref="S83:S94" si="47">SUBSTITUTE(C83, ".", " ")</f>
        <v>Arquitetônico</v>
      </c>
      <c r="T83" s="26" t="str">
        <f t="shared" ref="T83:T94" si="48">SUBSTITUTE(D83, ".", " ")</f>
        <v>Elementos de Vedação</v>
      </c>
      <c r="U83" s="26" t="str">
        <f t="shared" ref="U83:U94" si="49">SUBSTITUTE(E83, ".", " ")</f>
        <v>Telhados</v>
      </c>
      <c r="V83" s="20" t="s">
        <v>85</v>
      </c>
      <c r="W83" s="71" t="str">
        <f t="shared" si="36"/>
        <v>Key-ARQ-83</v>
      </c>
      <c r="X83" s="20" t="s">
        <v>1511</v>
      </c>
      <c r="Y83" s="26" t="s">
        <v>1432</v>
      </c>
      <c r="Z83" s="52" t="s">
        <v>9</v>
      </c>
      <c r="AA83" s="20" t="str">
        <f t="shared" si="46"/>
        <v>Gable roof in the shape of a wide Gothic arch, with convex and slightly sloping surfaces.</v>
      </c>
    </row>
    <row r="84" spans="1:27" ht="6" customHeight="1" x14ac:dyDescent="0.4">
      <c r="A84" s="22">
        <v>84</v>
      </c>
      <c r="B84" s="1" t="s">
        <v>1604</v>
      </c>
      <c r="C84" s="1" t="s">
        <v>1383</v>
      </c>
      <c r="D84" s="23" t="s">
        <v>1384</v>
      </c>
      <c r="E84" s="1" t="s">
        <v>1016</v>
      </c>
      <c r="F84" s="37" t="s">
        <v>954</v>
      </c>
      <c r="G84" s="56" t="s">
        <v>9</v>
      </c>
      <c r="H84" s="54" t="s">
        <v>9</v>
      </c>
      <c r="I84" s="54" t="s">
        <v>9</v>
      </c>
      <c r="J84" s="56" t="s">
        <v>9</v>
      </c>
      <c r="K84" s="56" t="s">
        <v>9</v>
      </c>
      <c r="L84" s="25" t="str">
        <f t="shared" si="19"/>
        <v>Arquitetônico</v>
      </c>
      <c r="M84" s="25" t="str">
        <f t="shared" si="20"/>
        <v>Elementos.de.Vedação</v>
      </c>
      <c r="N84" s="25" t="str">
        <f t="shared" ref="N84:N85" si="50">(SUBSTITUTE(SUBSTITUTE(CONCATENATE("",E84),"."," ")," De "," de "))</f>
        <v>Telhados</v>
      </c>
      <c r="O84" s="25" t="str">
        <f t="shared" ref="O84:O85" si="51">(SUBSTITUTE(SUBSTITUTE(CONCATENATE("",F84),"."," ")," De "," de "))</f>
        <v>Telhado Abertura</v>
      </c>
      <c r="P84" s="20" t="s">
        <v>931</v>
      </c>
      <c r="Q84" s="20" t="s">
        <v>932</v>
      </c>
      <c r="R84" s="52" t="s">
        <v>9</v>
      </c>
      <c r="S84" s="26" t="str">
        <f t="shared" ref="S84:S85" si="52">SUBSTITUTE(C84, ".", " ")</f>
        <v>Arquitetônico</v>
      </c>
      <c r="T84" s="26" t="str">
        <f t="shared" ref="T84:T85" si="53">SUBSTITUTE(D84, ".", " ")</f>
        <v>Elementos de Vedação</v>
      </c>
      <c r="U84" s="26" t="str">
        <f t="shared" ref="U84:U85" si="54">SUBSTITUTE(E84, ".", " ")</f>
        <v>Telhados</v>
      </c>
      <c r="V84" s="20" t="s">
        <v>85</v>
      </c>
      <c r="W84" s="71" t="str">
        <f t="shared" si="36"/>
        <v>Key-ARQ-84</v>
      </c>
      <c r="X84" s="20" t="s">
        <v>1512</v>
      </c>
      <c r="Y84" s="26" t="s">
        <v>1419</v>
      </c>
      <c r="Z84" s="52" t="s">
        <v>9</v>
      </c>
      <c r="AA84" s="20" t="str">
        <f t="shared" ref="AA84:AA85" si="55">_xlfn.TRANSLATE(P84,"pt","en")</f>
        <v>Roofs: openings.</v>
      </c>
    </row>
    <row r="85" spans="1:27" ht="6" customHeight="1" x14ac:dyDescent="0.4">
      <c r="A85" s="22">
        <v>85</v>
      </c>
      <c r="B85" s="1" t="s">
        <v>1604</v>
      </c>
      <c r="C85" s="1" t="s">
        <v>1383</v>
      </c>
      <c r="D85" s="23" t="s">
        <v>1384</v>
      </c>
      <c r="E85" s="1" t="s">
        <v>1016</v>
      </c>
      <c r="F85" s="37" t="s">
        <v>955</v>
      </c>
      <c r="G85" s="56" t="s">
        <v>9</v>
      </c>
      <c r="H85" s="54" t="s">
        <v>9</v>
      </c>
      <c r="I85" s="54" t="s">
        <v>9</v>
      </c>
      <c r="J85" s="56" t="s">
        <v>9</v>
      </c>
      <c r="K85" s="56" t="s">
        <v>9</v>
      </c>
      <c r="L85" s="25" t="str">
        <f t="shared" si="19"/>
        <v>Arquitetônico</v>
      </c>
      <c r="M85" s="25" t="str">
        <f t="shared" si="20"/>
        <v>Elementos.de.Vedação</v>
      </c>
      <c r="N85" s="25" t="str">
        <f t="shared" si="50"/>
        <v>Telhados</v>
      </c>
      <c r="O85" s="25" t="str">
        <f t="shared" si="51"/>
        <v>Telhado Perímetro</v>
      </c>
      <c r="P85" s="20" t="s">
        <v>933</v>
      </c>
      <c r="Q85" s="20" t="s">
        <v>934</v>
      </c>
      <c r="R85" s="52" t="s">
        <v>9</v>
      </c>
      <c r="S85" s="26" t="str">
        <f t="shared" si="52"/>
        <v>Arquitetônico</v>
      </c>
      <c r="T85" s="26" t="str">
        <f t="shared" si="53"/>
        <v>Elementos de Vedação</v>
      </c>
      <c r="U85" s="26" t="str">
        <f t="shared" si="54"/>
        <v>Telhados</v>
      </c>
      <c r="V85" s="20" t="s">
        <v>85</v>
      </c>
      <c r="W85" s="71" t="str">
        <f t="shared" si="36"/>
        <v>Key-ARQ-85</v>
      </c>
      <c r="X85" s="20" t="s">
        <v>1513</v>
      </c>
      <c r="Y85" s="26" t="s">
        <v>1419</v>
      </c>
      <c r="Z85" s="52" t="s">
        <v>9</v>
      </c>
      <c r="AA85" s="20" t="str">
        <f t="shared" si="55"/>
        <v>Roofs: interior edges.</v>
      </c>
    </row>
    <row r="86" spans="1:27" ht="6" customHeight="1" x14ac:dyDescent="0.4">
      <c r="A86" s="22">
        <v>86</v>
      </c>
      <c r="B86" s="1" t="s">
        <v>1604</v>
      </c>
      <c r="C86" s="1" t="s">
        <v>1383</v>
      </c>
      <c r="D86" s="23" t="s">
        <v>1384</v>
      </c>
      <c r="E86" s="1" t="s">
        <v>1407</v>
      </c>
      <c r="F86" s="37" t="s">
        <v>996</v>
      </c>
      <c r="G86" s="56" t="s">
        <v>9</v>
      </c>
      <c r="H86" s="54" t="s">
        <v>9</v>
      </c>
      <c r="I86" s="54" t="s">
        <v>9</v>
      </c>
      <c r="J86" s="56" t="s">
        <v>9</v>
      </c>
      <c r="K86" s="56" t="s">
        <v>9</v>
      </c>
      <c r="L86" s="25" t="str">
        <f t="shared" si="19"/>
        <v>Arquitetônico</v>
      </c>
      <c r="M86" s="25" t="str">
        <f t="shared" si="20"/>
        <v>Elementos.de.Vedação</v>
      </c>
      <c r="N86" s="25" t="str">
        <f t="shared" si="34"/>
        <v>Beiral do Telhado</v>
      </c>
      <c r="O86" s="25" t="str">
        <f t="shared" si="35"/>
        <v>Beiral Frente</v>
      </c>
      <c r="P86" s="20" t="s">
        <v>929</v>
      </c>
      <c r="Q86" s="20" t="s">
        <v>930</v>
      </c>
      <c r="R86" s="52" t="s">
        <v>9</v>
      </c>
      <c r="S86" s="26" t="str">
        <f t="shared" si="47"/>
        <v>Arquitetônico</v>
      </c>
      <c r="T86" s="26" t="str">
        <f t="shared" si="48"/>
        <v>Elementos de Vedação</v>
      </c>
      <c r="U86" s="26" t="str">
        <f t="shared" si="49"/>
        <v>Beiral do Telhado</v>
      </c>
      <c r="V86" s="20" t="s">
        <v>85</v>
      </c>
      <c r="W86" s="71" t="str">
        <f t="shared" si="36"/>
        <v>Key-ARQ-86</v>
      </c>
      <c r="X86" s="20" t="s">
        <v>1514</v>
      </c>
      <c r="Y86" s="26" t="s">
        <v>1419</v>
      </c>
      <c r="Z86" s="52" t="s">
        <v>9</v>
      </c>
      <c r="AA86" s="20" t="str">
        <f t="shared" ref="AA86:AA94" si="56">_xlfn.TRANSLATE(P86,"pt","en")</f>
        <v>Roofs: eaves finish.</v>
      </c>
    </row>
    <row r="87" spans="1:27" ht="6" customHeight="1" x14ac:dyDescent="0.4">
      <c r="A87" s="22">
        <v>87</v>
      </c>
      <c r="B87" s="1" t="s">
        <v>1604</v>
      </c>
      <c r="C87" s="1" t="s">
        <v>1383</v>
      </c>
      <c r="D87" s="23" t="s">
        <v>1384</v>
      </c>
      <c r="E87" s="1" t="s">
        <v>1407</v>
      </c>
      <c r="F87" s="37" t="s">
        <v>995</v>
      </c>
      <c r="G87" s="56" t="s">
        <v>9</v>
      </c>
      <c r="H87" s="54" t="s">
        <v>9</v>
      </c>
      <c r="I87" s="54" t="s">
        <v>9</v>
      </c>
      <c r="J87" s="56" t="s">
        <v>9</v>
      </c>
      <c r="K87" s="56" t="s">
        <v>9</v>
      </c>
      <c r="L87" s="25" t="str">
        <f t="shared" si="19"/>
        <v>Arquitetônico</v>
      </c>
      <c r="M87" s="25" t="str">
        <f t="shared" si="20"/>
        <v>Elementos.de.Vedação</v>
      </c>
      <c r="N87" s="25" t="str">
        <f t="shared" si="34"/>
        <v>Beiral do Telhado</v>
      </c>
      <c r="O87" s="25" t="str">
        <f t="shared" si="35"/>
        <v>Beiral Forro</v>
      </c>
      <c r="P87" s="20" t="s">
        <v>935</v>
      </c>
      <c r="Q87" s="20" t="s">
        <v>936</v>
      </c>
      <c r="R87" s="52" t="s">
        <v>9</v>
      </c>
      <c r="S87" s="26" t="str">
        <f t="shared" si="47"/>
        <v>Arquitetônico</v>
      </c>
      <c r="T87" s="26" t="str">
        <f t="shared" si="48"/>
        <v>Elementos de Vedação</v>
      </c>
      <c r="U87" s="26" t="str">
        <f t="shared" si="49"/>
        <v>Beiral do Telhado</v>
      </c>
      <c r="V87" s="20" t="s">
        <v>85</v>
      </c>
      <c r="W87" s="71" t="str">
        <f t="shared" si="36"/>
        <v>Key-ARQ-87</v>
      </c>
      <c r="X87" s="20" t="s">
        <v>1515</v>
      </c>
      <c r="Y87" s="26" t="s">
        <v>1419</v>
      </c>
      <c r="Z87" s="52" t="s">
        <v>9</v>
      </c>
      <c r="AA87" s="20" t="str">
        <f t="shared" si="56"/>
        <v>Roofs: inner lining of the eaves.</v>
      </c>
    </row>
    <row r="88" spans="1:27" ht="6" customHeight="1" x14ac:dyDescent="0.4">
      <c r="A88" s="22">
        <v>88</v>
      </c>
      <c r="B88" s="1" t="s">
        <v>1604</v>
      </c>
      <c r="C88" s="1" t="s">
        <v>1383</v>
      </c>
      <c r="D88" s="23" t="s">
        <v>1384</v>
      </c>
      <c r="E88" s="1" t="s">
        <v>1406</v>
      </c>
      <c r="F88" s="37" t="s">
        <v>1222</v>
      </c>
      <c r="G88" s="56" t="s">
        <v>9</v>
      </c>
      <c r="H88" s="54" t="s">
        <v>9</v>
      </c>
      <c r="I88" s="54" t="s">
        <v>9</v>
      </c>
      <c r="J88" s="56" t="s">
        <v>9</v>
      </c>
      <c r="K88" s="56" t="s">
        <v>9</v>
      </c>
      <c r="L88" s="25" t="str">
        <f t="shared" ref="L88:L94" si="57">CONCATENATE("", C88)</f>
        <v>Arquitetônico</v>
      </c>
      <c r="M88" s="25" t="str">
        <f t="shared" ref="M88:M94" si="58">CONCATENATE("", D88)</f>
        <v>Elementos.de.Vedação</v>
      </c>
      <c r="N88" s="25" t="str">
        <f t="shared" si="34"/>
        <v>Calhas de Telhados</v>
      </c>
      <c r="O88" s="25" t="str">
        <f t="shared" si="35"/>
        <v>Calha Moldura</v>
      </c>
      <c r="P88" s="20" t="s">
        <v>1225</v>
      </c>
      <c r="Q88" s="20" t="s">
        <v>1228</v>
      </c>
      <c r="R88" s="52" t="s">
        <v>9</v>
      </c>
      <c r="S88" s="26" t="str">
        <f t="shared" si="47"/>
        <v>Arquitetônico</v>
      </c>
      <c r="T88" s="26" t="str">
        <f t="shared" si="48"/>
        <v>Elementos de Vedação</v>
      </c>
      <c r="U88" s="26" t="str">
        <f t="shared" si="49"/>
        <v>Calhas de Telhados</v>
      </c>
      <c r="V88" s="20" t="s">
        <v>85</v>
      </c>
      <c r="W88" s="71" t="str">
        <f t="shared" si="36"/>
        <v>Key-ARQ-88</v>
      </c>
      <c r="X88" s="20" t="s">
        <v>1516</v>
      </c>
      <c r="Y88" s="26" t="s">
        <v>1419</v>
      </c>
      <c r="Z88" s="52" t="s">
        <v>9</v>
      </c>
      <c r="AA88" s="20" t="str">
        <f t="shared" si="56"/>
        <v>Roofs: frame-type eaves rainwater gutter.</v>
      </c>
    </row>
    <row r="89" spans="1:27" ht="6" customHeight="1" x14ac:dyDescent="0.4">
      <c r="A89" s="22">
        <v>89</v>
      </c>
      <c r="B89" s="1" t="s">
        <v>1604</v>
      </c>
      <c r="C89" s="1" t="s">
        <v>1383</v>
      </c>
      <c r="D89" s="23" t="s">
        <v>1384</v>
      </c>
      <c r="E89" s="1" t="s">
        <v>1406</v>
      </c>
      <c r="F89" s="37" t="s">
        <v>1224</v>
      </c>
      <c r="G89" s="56" t="s">
        <v>9</v>
      </c>
      <c r="H89" s="54" t="s">
        <v>9</v>
      </c>
      <c r="I89" s="54" t="s">
        <v>9</v>
      </c>
      <c r="J89" s="56" t="s">
        <v>9</v>
      </c>
      <c r="K89" s="56" t="s">
        <v>9</v>
      </c>
      <c r="L89" s="25" t="str">
        <f t="shared" si="57"/>
        <v>Arquitetônico</v>
      </c>
      <c r="M89" s="25" t="str">
        <f t="shared" si="58"/>
        <v>Elementos.de.Vedação</v>
      </c>
      <c r="N89" s="25" t="str">
        <f t="shared" si="34"/>
        <v>Calhas de Telhados</v>
      </c>
      <c r="O89" s="25" t="str">
        <f t="shared" si="35"/>
        <v>Calha Americana</v>
      </c>
      <c r="P89" s="20" t="s">
        <v>1226</v>
      </c>
      <c r="Q89" s="20" t="s">
        <v>1230</v>
      </c>
      <c r="R89" s="52" t="s">
        <v>9</v>
      </c>
      <c r="S89" s="26" t="str">
        <f t="shared" si="47"/>
        <v>Arquitetônico</v>
      </c>
      <c r="T89" s="26" t="str">
        <f t="shared" si="48"/>
        <v>Elementos de Vedação</v>
      </c>
      <c r="U89" s="26" t="str">
        <f t="shared" si="49"/>
        <v>Calhas de Telhados</v>
      </c>
      <c r="V89" s="20" t="s">
        <v>85</v>
      </c>
      <c r="W89" s="71" t="str">
        <f t="shared" si="36"/>
        <v>Key-ARQ-89</v>
      </c>
      <c r="X89" s="20" t="s">
        <v>1516</v>
      </c>
      <c r="Y89" s="26" t="s">
        <v>1419</v>
      </c>
      <c r="Z89" s="52" t="s">
        <v>9</v>
      </c>
      <c r="AA89" s="20" t="str">
        <f t="shared" si="56"/>
        <v>Roofs: rainwater gutter of the American type eaves.</v>
      </c>
    </row>
    <row r="90" spans="1:27" ht="6" customHeight="1" x14ac:dyDescent="0.4">
      <c r="A90" s="22">
        <v>90</v>
      </c>
      <c r="B90" s="1" t="s">
        <v>1604</v>
      </c>
      <c r="C90" s="1" t="s">
        <v>1383</v>
      </c>
      <c r="D90" s="23" t="s">
        <v>1384</v>
      </c>
      <c r="E90" s="1" t="s">
        <v>1406</v>
      </c>
      <c r="F90" s="37" t="s">
        <v>1223</v>
      </c>
      <c r="G90" s="56" t="s">
        <v>9</v>
      </c>
      <c r="H90" s="54" t="s">
        <v>9</v>
      </c>
      <c r="I90" s="54" t="s">
        <v>9</v>
      </c>
      <c r="J90" s="56" t="s">
        <v>9</v>
      </c>
      <c r="K90" s="56" t="s">
        <v>9</v>
      </c>
      <c r="L90" s="25" t="str">
        <f t="shared" si="57"/>
        <v>Arquitetônico</v>
      </c>
      <c r="M90" s="25" t="str">
        <f t="shared" si="58"/>
        <v>Elementos.de.Vedação</v>
      </c>
      <c r="N90" s="25" t="str">
        <f t="shared" si="34"/>
        <v>Calhas de Telhados</v>
      </c>
      <c r="O90" s="25" t="str">
        <f t="shared" si="35"/>
        <v>Calha Quadrada</v>
      </c>
      <c r="P90" s="20" t="s">
        <v>1227</v>
      </c>
      <c r="Q90" s="20" t="s">
        <v>1229</v>
      </c>
      <c r="R90" s="52" t="s">
        <v>9</v>
      </c>
      <c r="S90" s="26" t="str">
        <f t="shared" si="47"/>
        <v>Arquitetônico</v>
      </c>
      <c r="T90" s="26" t="str">
        <f t="shared" si="48"/>
        <v>Elementos de Vedação</v>
      </c>
      <c r="U90" s="26" t="str">
        <f t="shared" si="49"/>
        <v>Calhas de Telhados</v>
      </c>
      <c r="V90" s="20" t="s">
        <v>85</v>
      </c>
      <c r="W90" s="71" t="str">
        <f t="shared" si="36"/>
        <v>Key-ARQ-90</v>
      </c>
      <c r="X90" s="20" t="s">
        <v>1516</v>
      </c>
      <c r="Y90" s="26" t="s">
        <v>1419</v>
      </c>
      <c r="Z90" s="52" t="s">
        <v>9</v>
      </c>
      <c r="AA90" s="20" t="str">
        <f t="shared" si="56"/>
        <v>Roofs: square type eaves rainwater gutter.</v>
      </c>
    </row>
    <row r="91" spans="1:27" ht="6" customHeight="1" x14ac:dyDescent="0.4">
      <c r="A91" s="22">
        <v>91</v>
      </c>
      <c r="B91" s="1" t="s">
        <v>1604</v>
      </c>
      <c r="C91" s="1" t="s">
        <v>1383</v>
      </c>
      <c r="D91" s="23" t="s">
        <v>1384</v>
      </c>
      <c r="E91" s="1" t="s">
        <v>1406</v>
      </c>
      <c r="F91" s="37" t="s">
        <v>1233</v>
      </c>
      <c r="G91" s="56" t="s">
        <v>9</v>
      </c>
      <c r="H91" s="54" t="s">
        <v>9</v>
      </c>
      <c r="I91" s="54" t="s">
        <v>9</v>
      </c>
      <c r="J91" s="56" t="s">
        <v>9</v>
      </c>
      <c r="K91" s="56" t="s">
        <v>9</v>
      </c>
      <c r="L91" s="25" t="str">
        <f t="shared" si="57"/>
        <v>Arquitetônico</v>
      </c>
      <c r="M91" s="25" t="str">
        <f t="shared" si="58"/>
        <v>Elementos.de.Vedação</v>
      </c>
      <c r="N91" s="25" t="str">
        <f t="shared" si="34"/>
        <v>Calhas de Telhados</v>
      </c>
      <c r="O91" s="25" t="str">
        <f t="shared" si="35"/>
        <v>Calha Rincão</v>
      </c>
      <c r="P91" s="20" t="s">
        <v>1231</v>
      </c>
      <c r="Q91" s="20" t="s">
        <v>1232</v>
      </c>
      <c r="R91" s="52" t="s">
        <v>9</v>
      </c>
      <c r="S91" s="26" t="str">
        <f t="shared" si="47"/>
        <v>Arquitetônico</v>
      </c>
      <c r="T91" s="26" t="str">
        <f t="shared" si="48"/>
        <v>Elementos de Vedação</v>
      </c>
      <c r="U91" s="26" t="str">
        <f t="shared" si="49"/>
        <v>Calhas de Telhados</v>
      </c>
      <c r="V91" s="20" t="s">
        <v>85</v>
      </c>
      <c r="W91" s="71" t="str">
        <f t="shared" si="36"/>
        <v>Key-ARQ-91</v>
      </c>
      <c r="X91" s="20" t="s">
        <v>1516</v>
      </c>
      <c r="Y91" s="26" t="s">
        <v>1419</v>
      </c>
      <c r="Z91" s="52" t="s">
        <v>9</v>
      </c>
      <c r="AA91" s="20" t="str">
        <f t="shared" si="56"/>
        <v>Roofs: rainwater gutter from the roof to the corner.</v>
      </c>
    </row>
    <row r="92" spans="1:27" ht="6" customHeight="1" x14ac:dyDescent="0.4">
      <c r="A92" s="22">
        <v>92</v>
      </c>
      <c r="B92" s="1" t="s">
        <v>1604</v>
      </c>
      <c r="C92" s="1" t="s">
        <v>1383</v>
      </c>
      <c r="D92" s="1" t="s">
        <v>1381</v>
      </c>
      <c r="E92" s="1" t="s">
        <v>1089</v>
      </c>
      <c r="F92" s="37" t="s">
        <v>958</v>
      </c>
      <c r="G92" s="56" t="s">
        <v>9</v>
      </c>
      <c r="H92" s="54" t="s">
        <v>9</v>
      </c>
      <c r="I92" s="54" t="s">
        <v>9</v>
      </c>
      <c r="J92" s="56" t="s">
        <v>9</v>
      </c>
      <c r="K92" s="56" t="s">
        <v>9</v>
      </c>
      <c r="L92" s="25" t="str">
        <f t="shared" si="57"/>
        <v>Arquitetônico</v>
      </c>
      <c r="M92" s="25" t="str">
        <f t="shared" si="58"/>
        <v>Elementos.Camadas</v>
      </c>
      <c r="N92" s="25" t="str">
        <f t="shared" si="34"/>
        <v>Camada de Telhado</v>
      </c>
      <c r="O92" s="25" t="str">
        <f t="shared" si="35"/>
        <v>Telhado Projeção</v>
      </c>
      <c r="P92" s="20" t="s">
        <v>937</v>
      </c>
      <c r="Q92" s="20" t="s">
        <v>938</v>
      </c>
      <c r="R92" s="52" t="s">
        <v>9</v>
      </c>
      <c r="S92" s="26" t="str">
        <f t="shared" si="47"/>
        <v>Arquitetônico</v>
      </c>
      <c r="T92" s="26" t="str">
        <f t="shared" si="48"/>
        <v>Elementos Camadas</v>
      </c>
      <c r="U92" s="26" t="str">
        <f t="shared" si="49"/>
        <v>Camada de Telhado</v>
      </c>
      <c r="V92" s="20" t="s">
        <v>85</v>
      </c>
      <c r="W92" s="71" t="str">
        <f t="shared" si="36"/>
        <v>Key-ARQ-92</v>
      </c>
      <c r="X92" s="20" t="s">
        <v>1517</v>
      </c>
      <c r="Y92" s="26" t="s">
        <v>1419</v>
      </c>
      <c r="Z92" s="52" t="s">
        <v>9</v>
      </c>
      <c r="AA92" s="20" t="str">
        <f t="shared" si="56"/>
        <v>Roofs: projection.</v>
      </c>
    </row>
    <row r="93" spans="1:27" ht="6" customHeight="1" x14ac:dyDescent="0.4">
      <c r="A93" s="22">
        <v>93</v>
      </c>
      <c r="B93" s="1" t="s">
        <v>1604</v>
      </c>
      <c r="C93" s="1" t="s">
        <v>1383</v>
      </c>
      <c r="D93" s="1" t="s">
        <v>1381</v>
      </c>
      <c r="E93" s="1" t="s">
        <v>1089</v>
      </c>
      <c r="F93" s="1" t="s">
        <v>959</v>
      </c>
      <c r="G93" s="56" t="s">
        <v>9</v>
      </c>
      <c r="H93" s="54" t="s">
        <v>9</v>
      </c>
      <c r="I93" s="54" t="s">
        <v>9</v>
      </c>
      <c r="J93" s="56" t="s">
        <v>9</v>
      </c>
      <c r="K93" s="56" t="s">
        <v>9</v>
      </c>
      <c r="L93" s="25" t="str">
        <f t="shared" si="57"/>
        <v>Arquitetônico</v>
      </c>
      <c r="M93" s="25" t="str">
        <f t="shared" si="58"/>
        <v>Elementos.Camadas</v>
      </c>
      <c r="N93" s="25" t="str">
        <f t="shared" si="34"/>
        <v>Camada de Telhado</v>
      </c>
      <c r="O93" s="25" t="str">
        <f t="shared" si="35"/>
        <v>Telhado Núcleo</v>
      </c>
      <c r="P93" s="20" t="s">
        <v>939</v>
      </c>
      <c r="Q93" s="20" t="s">
        <v>940</v>
      </c>
      <c r="R93" s="52" t="s">
        <v>9</v>
      </c>
      <c r="S93" s="26" t="str">
        <f t="shared" si="47"/>
        <v>Arquitetônico</v>
      </c>
      <c r="T93" s="26" t="str">
        <f t="shared" si="48"/>
        <v>Elementos Camadas</v>
      </c>
      <c r="U93" s="26" t="str">
        <f t="shared" si="49"/>
        <v>Camada de Telhado</v>
      </c>
      <c r="V93" s="20" t="s">
        <v>85</v>
      </c>
      <c r="W93" s="71" t="str">
        <f t="shared" si="36"/>
        <v>Key-ARQ-93</v>
      </c>
      <c r="X93" s="20" t="s">
        <v>1518</v>
      </c>
      <c r="Y93" s="26" t="s">
        <v>1419</v>
      </c>
      <c r="Z93" s="52" t="s">
        <v>9</v>
      </c>
      <c r="AA93" s="20" t="str">
        <f t="shared" si="56"/>
        <v>Roofs: core.</v>
      </c>
    </row>
    <row r="94" spans="1:27" ht="6" customHeight="1" x14ac:dyDescent="0.4">
      <c r="A94" s="22">
        <v>94</v>
      </c>
      <c r="B94" s="1" t="s">
        <v>1604</v>
      </c>
      <c r="C94" s="1" t="s">
        <v>1383</v>
      </c>
      <c r="D94" s="1" t="s">
        <v>1381</v>
      </c>
      <c r="E94" s="1" t="s">
        <v>1089</v>
      </c>
      <c r="F94" s="1" t="s">
        <v>960</v>
      </c>
      <c r="G94" s="56" t="s">
        <v>9</v>
      </c>
      <c r="H94" s="54" t="s">
        <v>9</v>
      </c>
      <c r="I94" s="54" t="s">
        <v>9</v>
      </c>
      <c r="J94" s="56" t="s">
        <v>9</v>
      </c>
      <c r="K94" s="56" t="s">
        <v>9</v>
      </c>
      <c r="L94" s="25" t="str">
        <f t="shared" si="57"/>
        <v>Arquitetônico</v>
      </c>
      <c r="M94" s="25" t="str">
        <f t="shared" si="58"/>
        <v>Elementos.Camadas</v>
      </c>
      <c r="N94" s="25" t="str">
        <f t="shared" si="34"/>
        <v>Camada de Telhado</v>
      </c>
      <c r="O94" s="25" t="str">
        <f t="shared" si="35"/>
        <v>Telhado Substrato</v>
      </c>
      <c r="P94" s="20" t="s">
        <v>941</v>
      </c>
      <c r="Q94" s="20" t="s">
        <v>942</v>
      </c>
      <c r="R94" s="52" t="s">
        <v>9</v>
      </c>
      <c r="S94" s="26" t="str">
        <f t="shared" si="47"/>
        <v>Arquitetônico</v>
      </c>
      <c r="T94" s="26" t="str">
        <f t="shared" si="48"/>
        <v>Elementos Camadas</v>
      </c>
      <c r="U94" s="26" t="str">
        <f t="shared" si="49"/>
        <v>Camada de Telhado</v>
      </c>
      <c r="V94" s="20" t="s">
        <v>85</v>
      </c>
      <c r="W94" s="71" t="str">
        <f t="shared" si="36"/>
        <v>Key-ARQ-94</v>
      </c>
      <c r="X94" s="20" t="s">
        <v>1519</v>
      </c>
      <c r="Y94" s="26" t="s">
        <v>1419</v>
      </c>
      <c r="Z94" s="52" t="s">
        <v>9</v>
      </c>
      <c r="AA94" s="20" t="str">
        <f t="shared" si="56"/>
        <v>Roofs: substrate.</v>
      </c>
    </row>
    <row r="95" spans="1:27" ht="6" customHeight="1" x14ac:dyDescent="0.4">
      <c r="A95" s="22">
        <v>95</v>
      </c>
      <c r="B95" s="1" t="s">
        <v>1604</v>
      </c>
      <c r="C95" s="1" t="s">
        <v>1383</v>
      </c>
      <c r="D95" s="1" t="s">
        <v>1381</v>
      </c>
      <c r="E95" s="1" t="s">
        <v>1543</v>
      </c>
      <c r="F95" s="1" t="s">
        <v>198</v>
      </c>
      <c r="G95" s="56" t="s">
        <v>9</v>
      </c>
      <c r="H95" s="54" t="s">
        <v>9</v>
      </c>
      <c r="I95" s="54" t="s">
        <v>9</v>
      </c>
      <c r="J95" s="56" t="s">
        <v>9</v>
      </c>
      <c r="K95" s="56" t="s">
        <v>9</v>
      </c>
      <c r="L95" s="25" t="str">
        <f t="shared" ref="L95:L154" si="59">CONCATENATE("", C95)</f>
        <v>Arquitetônico</v>
      </c>
      <c r="M95" s="25" t="str">
        <f t="shared" ref="M95:M154" si="60">CONCATENATE("", D95)</f>
        <v>Elementos.Camadas</v>
      </c>
      <c r="N95" s="25" t="str">
        <f t="shared" ref="N95:O154" si="61">(SUBSTITUTE(SUBSTITUTE(CONCATENATE("",E95),"."," ")," De "," de "))</f>
        <v>Núcleo da Parede</v>
      </c>
      <c r="O95" s="25" t="str">
        <f t="shared" si="61"/>
        <v>Painel Maciço</v>
      </c>
      <c r="P95" s="20" t="s">
        <v>199</v>
      </c>
      <c r="Q95" s="33" t="s">
        <v>200</v>
      </c>
      <c r="R95" s="52" t="s">
        <v>9</v>
      </c>
      <c r="S95" s="26" t="str">
        <f t="shared" ref="S95:S154" si="62">SUBSTITUTE(C95, ".", " ")</f>
        <v>Arquitetônico</v>
      </c>
      <c r="T95" s="26" t="str">
        <f t="shared" ref="T95:T154" si="63">SUBSTITUTE(D95, ".", " ")</f>
        <v>Elementos Camadas</v>
      </c>
      <c r="U95" s="26" t="str">
        <f t="shared" ref="U95:U154" si="64">SUBSTITUTE(E95, ".", " ")</f>
        <v>Núcleo da Parede</v>
      </c>
      <c r="V95" s="20" t="s">
        <v>85</v>
      </c>
      <c r="W95" s="71" t="str">
        <f t="shared" si="36"/>
        <v>Key-ARQ-95</v>
      </c>
      <c r="X95" s="20" t="s">
        <v>1520</v>
      </c>
      <c r="Y95" s="26" t="s">
        <v>1416</v>
      </c>
      <c r="Z95" s="52" t="s">
        <v>9</v>
      </c>
      <c r="AA95" s="20" t="str">
        <f t="shared" ref="AA95:AA157" si="65">_xlfn.TRANSLATE(P95,"pt","en")</f>
        <v>Solid high performance precast concrete panel.</v>
      </c>
    </row>
    <row r="96" spans="1:27" ht="6" customHeight="1" x14ac:dyDescent="0.4">
      <c r="A96" s="22">
        <v>96</v>
      </c>
      <c r="B96" s="1" t="s">
        <v>1604</v>
      </c>
      <c r="C96" s="1" t="s">
        <v>1383</v>
      </c>
      <c r="D96" s="1" t="s">
        <v>1381</v>
      </c>
      <c r="E96" s="1" t="s">
        <v>1543</v>
      </c>
      <c r="F96" s="1" t="s">
        <v>201</v>
      </c>
      <c r="G96" s="56" t="s">
        <v>9</v>
      </c>
      <c r="H96" s="54" t="s">
        <v>9</v>
      </c>
      <c r="I96" s="54" t="s">
        <v>9</v>
      </c>
      <c r="J96" s="56" t="s">
        <v>9</v>
      </c>
      <c r="K96" s="56" t="s">
        <v>9</v>
      </c>
      <c r="L96" s="25" t="str">
        <f t="shared" si="59"/>
        <v>Arquitetônico</v>
      </c>
      <c r="M96" s="25" t="str">
        <f t="shared" si="60"/>
        <v>Elementos.Camadas</v>
      </c>
      <c r="N96" s="25" t="str">
        <f t="shared" si="61"/>
        <v>Núcleo da Parede</v>
      </c>
      <c r="O96" s="25" t="str">
        <f t="shared" si="61"/>
        <v>Painel Alveolar</v>
      </c>
      <c r="P96" s="20" t="s">
        <v>202</v>
      </c>
      <c r="Q96" s="33" t="s">
        <v>203</v>
      </c>
      <c r="R96" s="52" t="s">
        <v>9</v>
      </c>
      <c r="S96" s="26" t="str">
        <f t="shared" si="62"/>
        <v>Arquitetônico</v>
      </c>
      <c r="T96" s="26" t="str">
        <f t="shared" si="63"/>
        <v>Elementos Camadas</v>
      </c>
      <c r="U96" s="26" t="str">
        <f t="shared" si="64"/>
        <v>Núcleo da Parede</v>
      </c>
      <c r="V96" s="20" t="s">
        <v>85</v>
      </c>
      <c r="W96" s="71" t="str">
        <f t="shared" si="36"/>
        <v>Key-ARQ-96</v>
      </c>
      <c r="X96" s="20" t="s">
        <v>1520</v>
      </c>
      <c r="Y96" s="26" t="s">
        <v>1416</v>
      </c>
      <c r="Z96" s="52" t="s">
        <v>9</v>
      </c>
      <c r="AA96" s="20" t="str">
        <f t="shared" si="65"/>
        <v>Precast honeycomb prestressed concrete panel.</v>
      </c>
    </row>
    <row r="97" spans="1:27" ht="6" customHeight="1" x14ac:dyDescent="0.4">
      <c r="A97" s="22">
        <v>97</v>
      </c>
      <c r="B97" s="1" t="s">
        <v>1604</v>
      </c>
      <c r="C97" s="1" t="s">
        <v>1383</v>
      </c>
      <c r="D97" s="1" t="s">
        <v>1381</v>
      </c>
      <c r="E97" s="1" t="s">
        <v>1543</v>
      </c>
      <c r="F97" s="1" t="s">
        <v>204</v>
      </c>
      <c r="G97" s="56" t="s">
        <v>9</v>
      </c>
      <c r="H97" s="54" t="s">
        <v>9</v>
      </c>
      <c r="I97" s="54" t="s">
        <v>9</v>
      </c>
      <c r="J97" s="56" t="s">
        <v>9</v>
      </c>
      <c r="K97" s="56" t="s">
        <v>9</v>
      </c>
      <c r="L97" s="25" t="str">
        <f t="shared" si="59"/>
        <v>Arquitetônico</v>
      </c>
      <c r="M97" s="25" t="str">
        <f t="shared" si="60"/>
        <v>Elementos.Camadas</v>
      </c>
      <c r="N97" s="25" t="str">
        <f t="shared" si="61"/>
        <v>Núcleo da Parede</v>
      </c>
      <c r="O97" s="25" t="str">
        <f t="shared" si="61"/>
        <v>Parede CA</v>
      </c>
      <c r="P97" s="20" t="s">
        <v>205</v>
      </c>
      <c r="Q97" s="33" t="s">
        <v>206</v>
      </c>
      <c r="R97" s="52" t="s">
        <v>9</v>
      </c>
      <c r="S97" s="26" t="str">
        <f t="shared" si="62"/>
        <v>Arquitetônico</v>
      </c>
      <c r="T97" s="26" t="str">
        <f t="shared" si="63"/>
        <v>Elementos Camadas</v>
      </c>
      <c r="U97" s="26" t="str">
        <f t="shared" si="64"/>
        <v>Núcleo da Parede</v>
      </c>
      <c r="V97" s="20" t="s">
        <v>85</v>
      </c>
      <c r="W97" s="71" t="str">
        <f t="shared" si="36"/>
        <v>Key-ARQ-97</v>
      </c>
      <c r="X97" s="20" t="s">
        <v>1520</v>
      </c>
      <c r="Y97" s="26" t="s">
        <v>1416</v>
      </c>
      <c r="Z97" s="52" t="s">
        <v>9</v>
      </c>
      <c r="AA97" s="20" t="str">
        <f t="shared" si="65"/>
        <v>Structural walls molded in situ of reinforced concrete.</v>
      </c>
    </row>
    <row r="98" spans="1:27" ht="6" customHeight="1" x14ac:dyDescent="0.4">
      <c r="A98" s="22">
        <v>98</v>
      </c>
      <c r="B98" s="1" t="s">
        <v>1604</v>
      </c>
      <c r="C98" s="1" t="s">
        <v>1383</v>
      </c>
      <c r="D98" s="1" t="s">
        <v>1381</v>
      </c>
      <c r="E98" s="1" t="s">
        <v>1543</v>
      </c>
      <c r="F98" s="1" t="s">
        <v>207</v>
      </c>
      <c r="G98" s="56" t="s">
        <v>9</v>
      </c>
      <c r="H98" s="54" t="s">
        <v>9</v>
      </c>
      <c r="I98" s="54" t="s">
        <v>9</v>
      </c>
      <c r="J98" s="56" t="s">
        <v>9</v>
      </c>
      <c r="K98" s="56" t="s">
        <v>9</v>
      </c>
      <c r="L98" s="25" t="str">
        <f t="shared" si="59"/>
        <v>Arquitetônico</v>
      </c>
      <c r="M98" s="25" t="str">
        <f t="shared" si="60"/>
        <v>Elementos.Camadas</v>
      </c>
      <c r="N98" s="25" t="str">
        <f t="shared" si="61"/>
        <v>Núcleo da Parede</v>
      </c>
      <c r="O98" s="25" t="str">
        <f t="shared" si="61"/>
        <v>Bloco CCA</v>
      </c>
      <c r="P98" s="20" t="s">
        <v>208</v>
      </c>
      <c r="Q98" s="33" t="s">
        <v>209</v>
      </c>
      <c r="R98" s="52" t="s">
        <v>9</v>
      </c>
      <c r="S98" s="26" t="str">
        <f t="shared" si="62"/>
        <v>Arquitetônico</v>
      </c>
      <c r="T98" s="26" t="str">
        <f t="shared" si="63"/>
        <v>Elementos Camadas</v>
      </c>
      <c r="U98" s="26" t="str">
        <f t="shared" si="64"/>
        <v>Núcleo da Parede</v>
      </c>
      <c r="V98" s="20" t="s">
        <v>85</v>
      </c>
      <c r="W98" s="71" t="str">
        <f t="shared" si="36"/>
        <v>Key-ARQ-98</v>
      </c>
      <c r="X98" s="20" t="s">
        <v>1520</v>
      </c>
      <c r="Y98" s="26" t="s">
        <v>1416</v>
      </c>
      <c r="Z98" s="52" t="s">
        <v>9</v>
      </c>
      <c r="AA98" s="20" t="str">
        <f t="shared" si="65"/>
        <v>Autoclaved aerated concrete (CCA) blocks. Thermal and acoustic insulation for sealing walls.</v>
      </c>
    </row>
    <row r="99" spans="1:27" ht="6" customHeight="1" x14ac:dyDescent="0.4">
      <c r="A99" s="22">
        <v>99</v>
      </c>
      <c r="B99" s="1" t="s">
        <v>1604</v>
      </c>
      <c r="C99" s="1" t="s">
        <v>1383</v>
      </c>
      <c r="D99" s="1" t="s">
        <v>1381</v>
      </c>
      <c r="E99" s="1" t="s">
        <v>1543</v>
      </c>
      <c r="F99" s="1" t="s">
        <v>518</v>
      </c>
      <c r="G99" s="56" t="s">
        <v>9</v>
      </c>
      <c r="H99" s="54" t="s">
        <v>9</v>
      </c>
      <c r="I99" s="54" t="s">
        <v>9</v>
      </c>
      <c r="J99" s="56" t="s">
        <v>9</v>
      </c>
      <c r="K99" s="56" t="s">
        <v>9</v>
      </c>
      <c r="L99" s="25" t="str">
        <f t="shared" si="59"/>
        <v>Arquitetônico</v>
      </c>
      <c r="M99" s="25" t="str">
        <f t="shared" si="60"/>
        <v>Elementos.Camadas</v>
      </c>
      <c r="N99" s="25" t="str">
        <f t="shared" si="61"/>
        <v>Núcleo da Parede</v>
      </c>
      <c r="O99" s="25" t="str">
        <f t="shared" si="61"/>
        <v>Bloco Concreto Estrutural</v>
      </c>
      <c r="P99" s="20" t="s">
        <v>210</v>
      </c>
      <c r="Q99" s="33" t="s">
        <v>211</v>
      </c>
      <c r="R99" s="52" t="s">
        <v>9</v>
      </c>
      <c r="S99" s="26" t="str">
        <f t="shared" si="62"/>
        <v>Arquitetônico</v>
      </c>
      <c r="T99" s="26" t="str">
        <f t="shared" si="63"/>
        <v>Elementos Camadas</v>
      </c>
      <c r="U99" s="26" t="str">
        <f t="shared" si="64"/>
        <v>Núcleo da Parede</v>
      </c>
      <c r="V99" s="20" t="s">
        <v>85</v>
      </c>
      <c r="W99" s="71" t="str">
        <f t="shared" si="36"/>
        <v>Key-ARQ-99</v>
      </c>
      <c r="X99" s="20" t="s">
        <v>1520</v>
      </c>
      <c r="Y99" s="26" t="s">
        <v>1416</v>
      </c>
      <c r="Z99" s="52" t="s">
        <v>9</v>
      </c>
      <c r="AA99" s="20" t="str">
        <f t="shared" si="65"/>
        <v>Structural concrete blocks.</v>
      </c>
    </row>
    <row r="100" spans="1:27" ht="6" customHeight="1" x14ac:dyDescent="0.4">
      <c r="A100" s="22">
        <v>100</v>
      </c>
      <c r="B100" s="1" t="s">
        <v>1604</v>
      </c>
      <c r="C100" s="1" t="s">
        <v>1383</v>
      </c>
      <c r="D100" s="1" t="s">
        <v>1381</v>
      </c>
      <c r="E100" s="1" t="s">
        <v>1543</v>
      </c>
      <c r="F100" s="1" t="s">
        <v>519</v>
      </c>
      <c r="G100" s="56" t="s">
        <v>9</v>
      </c>
      <c r="H100" s="54" t="s">
        <v>9</v>
      </c>
      <c r="I100" s="54" t="s">
        <v>9</v>
      </c>
      <c r="J100" s="56" t="s">
        <v>9</v>
      </c>
      <c r="K100" s="56" t="s">
        <v>9</v>
      </c>
      <c r="L100" s="25" t="str">
        <f t="shared" si="59"/>
        <v>Arquitetônico</v>
      </c>
      <c r="M100" s="25" t="str">
        <f t="shared" si="60"/>
        <v>Elementos.Camadas</v>
      </c>
      <c r="N100" s="25" t="str">
        <f t="shared" si="61"/>
        <v>Núcleo da Parede</v>
      </c>
      <c r="O100" s="25" t="str">
        <f t="shared" si="61"/>
        <v>Bloco Concreto Vedação</v>
      </c>
      <c r="P100" s="20" t="s">
        <v>212</v>
      </c>
      <c r="Q100" s="33" t="s">
        <v>213</v>
      </c>
      <c r="R100" s="52" t="s">
        <v>9</v>
      </c>
      <c r="S100" s="26" t="str">
        <f t="shared" si="62"/>
        <v>Arquitetônico</v>
      </c>
      <c r="T100" s="26" t="str">
        <f t="shared" si="63"/>
        <v>Elementos Camadas</v>
      </c>
      <c r="U100" s="26" t="str">
        <f t="shared" si="64"/>
        <v>Núcleo da Parede</v>
      </c>
      <c r="V100" s="20" t="s">
        <v>85</v>
      </c>
      <c r="W100" s="71" t="str">
        <f t="shared" si="36"/>
        <v>Key-ARQ-100</v>
      </c>
      <c r="X100" s="20" t="s">
        <v>1520</v>
      </c>
      <c r="Y100" s="26" t="s">
        <v>1416</v>
      </c>
      <c r="Z100" s="52" t="s">
        <v>9</v>
      </c>
      <c r="AA100" s="20" t="str">
        <f t="shared" si="65"/>
        <v>Concrete blocks for sealing.</v>
      </c>
    </row>
    <row r="101" spans="1:27" ht="6" customHeight="1" x14ac:dyDescent="0.4">
      <c r="A101" s="22">
        <v>101</v>
      </c>
      <c r="B101" s="1" t="s">
        <v>1604</v>
      </c>
      <c r="C101" s="1" t="s">
        <v>1383</v>
      </c>
      <c r="D101" s="1" t="s">
        <v>1381</v>
      </c>
      <c r="E101" s="1" t="s">
        <v>1543</v>
      </c>
      <c r="F101" s="1" t="s">
        <v>516</v>
      </c>
      <c r="G101" s="56" t="s">
        <v>9</v>
      </c>
      <c r="H101" s="54" t="s">
        <v>9</v>
      </c>
      <c r="I101" s="54" t="s">
        <v>9</v>
      </c>
      <c r="J101" s="56" t="s">
        <v>9</v>
      </c>
      <c r="K101" s="56" t="s">
        <v>9</v>
      </c>
      <c r="L101" s="25" t="str">
        <f t="shared" si="59"/>
        <v>Arquitetônico</v>
      </c>
      <c r="M101" s="25" t="str">
        <f t="shared" si="60"/>
        <v>Elementos.Camadas</v>
      </c>
      <c r="N101" s="25" t="str">
        <f t="shared" si="61"/>
        <v>Núcleo da Parede</v>
      </c>
      <c r="O101" s="25" t="str">
        <f t="shared" si="61"/>
        <v>Bloco Gesso Maciço</v>
      </c>
      <c r="P101" s="20" t="s">
        <v>214</v>
      </c>
      <c r="Q101" s="33" t="s">
        <v>215</v>
      </c>
      <c r="R101" s="52" t="s">
        <v>9</v>
      </c>
      <c r="S101" s="26" t="str">
        <f t="shared" si="62"/>
        <v>Arquitetônico</v>
      </c>
      <c r="T101" s="26" t="str">
        <f t="shared" si="63"/>
        <v>Elementos Camadas</v>
      </c>
      <c r="U101" s="26" t="str">
        <f t="shared" si="64"/>
        <v>Núcleo da Parede</v>
      </c>
      <c r="V101" s="20" t="s">
        <v>85</v>
      </c>
      <c r="W101" s="71" t="str">
        <f t="shared" si="36"/>
        <v>Key-ARQ-101</v>
      </c>
      <c r="X101" s="20" t="s">
        <v>1520</v>
      </c>
      <c r="Y101" s="26" t="s">
        <v>1416</v>
      </c>
      <c r="Z101" s="52" t="s">
        <v>9</v>
      </c>
      <c r="AA101" s="20" t="str">
        <f t="shared" si="65"/>
        <v>Solid plaster blocks for non-load-bearing internal walls. Speed of execution and obtaining a clean and smooth wall.</v>
      </c>
    </row>
    <row r="102" spans="1:27" ht="6" customHeight="1" x14ac:dyDescent="0.4">
      <c r="A102" s="22">
        <v>102</v>
      </c>
      <c r="B102" s="1" t="s">
        <v>1604</v>
      </c>
      <c r="C102" s="1" t="s">
        <v>1383</v>
      </c>
      <c r="D102" s="1" t="s">
        <v>1381</v>
      </c>
      <c r="E102" s="1" t="s">
        <v>1543</v>
      </c>
      <c r="F102" s="1" t="s">
        <v>517</v>
      </c>
      <c r="G102" s="56" t="s">
        <v>9</v>
      </c>
      <c r="H102" s="54" t="s">
        <v>9</v>
      </c>
      <c r="I102" s="54" t="s">
        <v>9</v>
      </c>
      <c r="J102" s="56" t="s">
        <v>9</v>
      </c>
      <c r="K102" s="56" t="s">
        <v>9</v>
      </c>
      <c r="L102" s="25" t="str">
        <f t="shared" si="59"/>
        <v>Arquitetônico</v>
      </c>
      <c r="M102" s="25" t="str">
        <f t="shared" si="60"/>
        <v>Elementos.Camadas</v>
      </c>
      <c r="N102" s="25" t="str">
        <f t="shared" si="61"/>
        <v>Núcleo da Parede</v>
      </c>
      <c r="O102" s="25" t="str">
        <f t="shared" si="61"/>
        <v>Bloco Gesso Alveolar</v>
      </c>
      <c r="P102" s="20" t="s">
        <v>216</v>
      </c>
      <c r="Q102" s="33" t="s">
        <v>217</v>
      </c>
      <c r="R102" s="52" t="s">
        <v>9</v>
      </c>
      <c r="S102" s="26" t="str">
        <f t="shared" si="62"/>
        <v>Arquitetônico</v>
      </c>
      <c r="T102" s="26" t="str">
        <f t="shared" si="63"/>
        <v>Elementos Camadas</v>
      </c>
      <c r="U102" s="26" t="str">
        <f t="shared" si="64"/>
        <v>Núcleo da Parede</v>
      </c>
      <c r="V102" s="20" t="s">
        <v>85</v>
      </c>
      <c r="W102" s="71" t="str">
        <f t="shared" si="36"/>
        <v>Key-ARQ-102</v>
      </c>
      <c r="X102" s="20" t="s">
        <v>1520</v>
      </c>
      <c r="Y102" s="26" t="s">
        <v>1416</v>
      </c>
      <c r="Z102" s="52" t="s">
        <v>9</v>
      </c>
      <c r="AA102" s="20" t="str">
        <f t="shared" si="65"/>
        <v>Hollow plaster blocks for non-load-bearing internal walls. Speed of execution and obtaining a clean and smooth wall.</v>
      </c>
    </row>
    <row r="103" spans="1:27" ht="6" customHeight="1" x14ac:dyDescent="0.4">
      <c r="A103" s="22">
        <v>103</v>
      </c>
      <c r="B103" s="1" t="s">
        <v>1604</v>
      </c>
      <c r="C103" s="1" t="s">
        <v>1383</v>
      </c>
      <c r="D103" s="1" t="s">
        <v>1381</v>
      </c>
      <c r="E103" s="1" t="s">
        <v>1543</v>
      </c>
      <c r="F103" s="1" t="s">
        <v>218</v>
      </c>
      <c r="G103" s="56" t="s">
        <v>9</v>
      </c>
      <c r="H103" s="54" t="s">
        <v>9</v>
      </c>
      <c r="I103" s="54" t="s">
        <v>9</v>
      </c>
      <c r="J103" s="56" t="s">
        <v>9</v>
      </c>
      <c r="K103" s="56" t="s">
        <v>9</v>
      </c>
      <c r="L103" s="25" t="str">
        <f t="shared" si="59"/>
        <v>Arquitetônico</v>
      </c>
      <c r="M103" s="25" t="str">
        <f t="shared" si="60"/>
        <v>Elementos.Camadas</v>
      </c>
      <c r="N103" s="25" t="str">
        <f t="shared" si="61"/>
        <v>Núcleo da Parede</v>
      </c>
      <c r="O103" s="25" t="str">
        <f t="shared" si="61"/>
        <v>Tijolo Comúm</v>
      </c>
      <c r="P103" s="34" t="s">
        <v>219</v>
      </c>
      <c r="Q103" s="33" t="s">
        <v>220</v>
      </c>
      <c r="R103" s="52" t="s">
        <v>9</v>
      </c>
      <c r="S103" s="26" t="str">
        <f t="shared" si="62"/>
        <v>Arquitetônico</v>
      </c>
      <c r="T103" s="26" t="str">
        <f t="shared" si="63"/>
        <v>Elementos Camadas</v>
      </c>
      <c r="U103" s="26" t="str">
        <f t="shared" si="64"/>
        <v>Núcleo da Parede</v>
      </c>
      <c r="V103" s="20" t="s">
        <v>85</v>
      </c>
      <c r="W103" s="71" t="str">
        <f t="shared" si="36"/>
        <v>Key-ARQ-103</v>
      </c>
      <c r="X103" s="20" t="s">
        <v>1520</v>
      </c>
      <c r="Y103" s="26" t="s">
        <v>1416</v>
      </c>
      <c r="Z103" s="52" t="s">
        <v>9</v>
      </c>
      <c r="AA103" s="20" t="str">
        <f t="shared" si="65"/>
        <v>Communal Ceramic Brick Blocks According to NBR 15270-1 Standard.</v>
      </c>
    </row>
    <row r="104" spans="1:27" ht="6" customHeight="1" x14ac:dyDescent="0.4">
      <c r="A104" s="22">
        <v>104</v>
      </c>
      <c r="B104" s="1" t="s">
        <v>1604</v>
      </c>
      <c r="C104" s="1" t="s">
        <v>1383</v>
      </c>
      <c r="D104" s="1" t="s">
        <v>1381</v>
      </c>
      <c r="E104" s="1" t="s">
        <v>1543</v>
      </c>
      <c r="F104" s="1" t="s">
        <v>221</v>
      </c>
      <c r="G104" s="56" t="s">
        <v>9</v>
      </c>
      <c r="H104" s="54" t="s">
        <v>9</v>
      </c>
      <c r="I104" s="54" t="s">
        <v>9</v>
      </c>
      <c r="J104" s="56" t="s">
        <v>9</v>
      </c>
      <c r="K104" s="56" t="s">
        <v>9</v>
      </c>
      <c r="L104" s="25" t="str">
        <f t="shared" si="59"/>
        <v>Arquitetônico</v>
      </c>
      <c r="M104" s="25" t="str">
        <f t="shared" si="60"/>
        <v>Elementos.Camadas</v>
      </c>
      <c r="N104" s="25" t="str">
        <f t="shared" si="61"/>
        <v>Núcleo da Parede</v>
      </c>
      <c r="O104" s="25" t="str">
        <f t="shared" si="61"/>
        <v>Tijolo Laminado</v>
      </c>
      <c r="P104" s="20" t="s">
        <v>222</v>
      </c>
      <c r="Q104" s="33" t="s">
        <v>223</v>
      </c>
      <c r="R104" s="52" t="s">
        <v>9</v>
      </c>
      <c r="S104" s="26" t="str">
        <f t="shared" si="62"/>
        <v>Arquitetônico</v>
      </c>
      <c r="T104" s="26" t="str">
        <f t="shared" si="63"/>
        <v>Elementos Camadas</v>
      </c>
      <c r="U104" s="26" t="str">
        <f t="shared" si="64"/>
        <v>Núcleo da Parede</v>
      </c>
      <c r="V104" s="20" t="s">
        <v>85</v>
      </c>
      <c r="W104" s="71" t="str">
        <f t="shared" si="36"/>
        <v>Key-ARQ-104</v>
      </c>
      <c r="X104" s="20" t="s">
        <v>1520</v>
      </c>
      <c r="Y104" s="26" t="s">
        <v>1416</v>
      </c>
      <c r="Z104" s="52" t="s">
        <v>9</v>
      </c>
      <c r="AA104" s="20" t="str">
        <f t="shared" si="65"/>
        <v>Solid ceramic brick blocks for exposed masonry.</v>
      </c>
    </row>
    <row r="105" spans="1:27" ht="6" customHeight="1" x14ac:dyDescent="0.4">
      <c r="A105" s="22">
        <v>105</v>
      </c>
      <c r="B105" s="1" t="s">
        <v>1604</v>
      </c>
      <c r="C105" s="1" t="s">
        <v>1383</v>
      </c>
      <c r="D105" s="1" t="s">
        <v>1381</v>
      </c>
      <c r="E105" s="1" t="s">
        <v>1543</v>
      </c>
      <c r="F105" s="1" t="s">
        <v>224</v>
      </c>
      <c r="G105" s="56" t="s">
        <v>9</v>
      </c>
      <c r="H105" s="54" t="s">
        <v>9</v>
      </c>
      <c r="I105" s="54" t="s">
        <v>9</v>
      </c>
      <c r="J105" s="56" t="s">
        <v>9</v>
      </c>
      <c r="K105" s="56" t="s">
        <v>9</v>
      </c>
      <c r="L105" s="25" t="str">
        <f t="shared" si="59"/>
        <v>Arquitetônico</v>
      </c>
      <c r="M105" s="25" t="str">
        <f t="shared" si="60"/>
        <v>Elementos.Camadas</v>
      </c>
      <c r="N105" s="25" t="str">
        <f t="shared" si="61"/>
        <v>Núcleo da Parede</v>
      </c>
      <c r="O105" s="25" t="str">
        <f t="shared" si="61"/>
        <v>Tijolo Refratário</v>
      </c>
      <c r="P105" s="33" t="s">
        <v>225</v>
      </c>
      <c r="Q105" s="33" t="s">
        <v>226</v>
      </c>
      <c r="R105" s="52" t="s">
        <v>9</v>
      </c>
      <c r="S105" s="26" t="str">
        <f t="shared" si="62"/>
        <v>Arquitetônico</v>
      </c>
      <c r="T105" s="26" t="str">
        <f t="shared" si="63"/>
        <v>Elementos Camadas</v>
      </c>
      <c r="U105" s="26" t="str">
        <f t="shared" si="64"/>
        <v>Núcleo da Parede</v>
      </c>
      <c r="V105" s="20" t="s">
        <v>85</v>
      </c>
      <c r="W105" s="71" t="str">
        <f t="shared" si="36"/>
        <v>Key-ARQ-105</v>
      </c>
      <c r="X105" s="20" t="s">
        <v>1520</v>
      </c>
      <c r="Y105" s="26" t="s">
        <v>1416</v>
      </c>
      <c r="Z105" s="52" t="s">
        <v>9</v>
      </c>
      <c r="AA105" s="20" t="str">
        <f t="shared" si="65"/>
        <v>Refractory ceramic blocks for ovens, fireplaces or exposure to fire.</v>
      </c>
    </row>
    <row r="106" spans="1:27" ht="6" customHeight="1" x14ac:dyDescent="0.4">
      <c r="A106" s="22">
        <v>106</v>
      </c>
      <c r="B106" s="1" t="s">
        <v>1604</v>
      </c>
      <c r="C106" s="1" t="s">
        <v>1383</v>
      </c>
      <c r="D106" s="1" t="s">
        <v>1381</v>
      </c>
      <c r="E106" s="1" t="s">
        <v>1543</v>
      </c>
      <c r="F106" s="1" t="s">
        <v>520</v>
      </c>
      <c r="G106" s="56" t="s">
        <v>9</v>
      </c>
      <c r="H106" s="54" t="s">
        <v>9</v>
      </c>
      <c r="I106" s="54" t="s">
        <v>9</v>
      </c>
      <c r="J106" s="56" t="s">
        <v>9</v>
      </c>
      <c r="K106" s="56" t="s">
        <v>9</v>
      </c>
      <c r="L106" s="25" t="str">
        <f t="shared" si="59"/>
        <v>Arquitetônico</v>
      </c>
      <c r="M106" s="25" t="str">
        <f t="shared" si="60"/>
        <v>Elementos.Camadas</v>
      </c>
      <c r="N106" s="25" t="str">
        <f t="shared" si="61"/>
        <v>Núcleo da Parede</v>
      </c>
      <c r="O106" s="25" t="str">
        <f t="shared" si="61"/>
        <v>Tijolo Ecológico</v>
      </c>
      <c r="P106" s="20" t="s">
        <v>230</v>
      </c>
      <c r="Q106" s="33" t="s">
        <v>231</v>
      </c>
      <c r="R106" s="52" t="s">
        <v>9</v>
      </c>
      <c r="S106" s="26" t="str">
        <f t="shared" si="62"/>
        <v>Arquitetônico</v>
      </c>
      <c r="T106" s="26" t="str">
        <f t="shared" si="63"/>
        <v>Elementos Camadas</v>
      </c>
      <c r="U106" s="26" t="str">
        <f t="shared" si="64"/>
        <v>Núcleo da Parede</v>
      </c>
      <c r="V106" s="20" t="s">
        <v>85</v>
      </c>
      <c r="W106" s="71" t="str">
        <f t="shared" si="36"/>
        <v>Key-ARQ-106</v>
      </c>
      <c r="X106" s="20" t="s">
        <v>1520</v>
      </c>
      <c r="Y106" s="26" t="s">
        <v>1416</v>
      </c>
      <c r="Z106" s="52" t="s">
        <v>9</v>
      </c>
      <c r="AA106" s="20" t="str">
        <f t="shared" si="65"/>
        <v>Blocks of perforated soil-cement brick pressed in hydraulic press, with vertical groove type tongue and groove, no laying mortar required. Called 'Tijolito', it was developed by Andrade Gutierrez and prof. João B. Santos de Assis from PUC Minas.</v>
      </c>
    </row>
    <row r="107" spans="1:27" ht="6" customHeight="1" x14ac:dyDescent="0.4">
      <c r="A107" s="22">
        <v>107</v>
      </c>
      <c r="B107" s="1" t="s">
        <v>1604</v>
      </c>
      <c r="C107" s="1" t="s">
        <v>1383</v>
      </c>
      <c r="D107" s="1" t="s">
        <v>1381</v>
      </c>
      <c r="E107" s="1" t="s">
        <v>1543</v>
      </c>
      <c r="F107" s="1" t="s">
        <v>227</v>
      </c>
      <c r="G107" s="56" t="s">
        <v>9</v>
      </c>
      <c r="H107" s="54" t="s">
        <v>9</v>
      </c>
      <c r="I107" s="54" t="s">
        <v>9</v>
      </c>
      <c r="J107" s="56" t="s">
        <v>9</v>
      </c>
      <c r="K107" s="56" t="s">
        <v>9</v>
      </c>
      <c r="L107" s="25" t="str">
        <f t="shared" si="59"/>
        <v>Arquitetônico</v>
      </c>
      <c r="M107" s="25" t="str">
        <f t="shared" si="60"/>
        <v>Elementos.Camadas</v>
      </c>
      <c r="N107" s="25" t="str">
        <f t="shared" si="61"/>
        <v>Núcleo da Parede</v>
      </c>
      <c r="O107" s="25" t="str">
        <f t="shared" si="61"/>
        <v>Bloco Furado</v>
      </c>
      <c r="P107" s="20" t="s">
        <v>228</v>
      </c>
      <c r="Q107" s="33" t="s">
        <v>229</v>
      </c>
      <c r="R107" s="52" t="s">
        <v>9</v>
      </c>
      <c r="S107" s="26" t="str">
        <f t="shared" si="62"/>
        <v>Arquitetônico</v>
      </c>
      <c r="T107" s="26" t="str">
        <f t="shared" si="63"/>
        <v>Elementos Camadas</v>
      </c>
      <c r="U107" s="26" t="str">
        <f t="shared" si="64"/>
        <v>Núcleo da Parede</v>
      </c>
      <c r="V107" s="20" t="s">
        <v>85</v>
      </c>
      <c r="W107" s="71" t="str">
        <f t="shared" si="36"/>
        <v>Key-ARQ-107</v>
      </c>
      <c r="X107" s="20" t="s">
        <v>1520</v>
      </c>
      <c r="Y107" s="26" t="s">
        <v>1416</v>
      </c>
      <c r="Z107" s="52" t="s">
        <v>9</v>
      </c>
      <c r="AA107" s="20" t="str">
        <f t="shared" si="65"/>
        <v>Ceramic brick blocks drilled and grooved on the surfaces. Also called Bahian brick. According to NBR 15270-1 Standard.</v>
      </c>
    </row>
    <row r="108" spans="1:27" ht="6" customHeight="1" x14ac:dyDescent="0.4">
      <c r="A108" s="22">
        <v>108</v>
      </c>
      <c r="B108" s="1" t="s">
        <v>1604</v>
      </c>
      <c r="C108" s="1" t="s">
        <v>1383</v>
      </c>
      <c r="D108" s="1" t="s">
        <v>1381</v>
      </c>
      <c r="E108" s="1" t="s">
        <v>1543</v>
      </c>
      <c r="F108" s="1" t="s">
        <v>232</v>
      </c>
      <c r="G108" s="56" t="s">
        <v>9</v>
      </c>
      <c r="H108" s="54" t="s">
        <v>9</v>
      </c>
      <c r="I108" s="54" t="s">
        <v>9</v>
      </c>
      <c r="J108" s="56" t="s">
        <v>9</v>
      </c>
      <c r="K108" s="56" t="s">
        <v>9</v>
      </c>
      <c r="L108" s="25" t="str">
        <f t="shared" si="59"/>
        <v>Arquitetônico</v>
      </c>
      <c r="M108" s="25" t="str">
        <f t="shared" si="60"/>
        <v>Elementos.Camadas</v>
      </c>
      <c r="N108" s="25" t="str">
        <f t="shared" si="61"/>
        <v>Núcleo da Parede</v>
      </c>
      <c r="O108" s="25" t="str">
        <f t="shared" si="61"/>
        <v>Canaleta J</v>
      </c>
      <c r="P108" s="20" t="s">
        <v>233</v>
      </c>
      <c r="Q108" s="33" t="s">
        <v>234</v>
      </c>
      <c r="R108" s="52" t="s">
        <v>9</v>
      </c>
      <c r="S108" s="26" t="str">
        <f t="shared" si="62"/>
        <v>Arquitetônico</v>
      </c>
      <c r="T108" s="26" t="str">
        <f t="shared" si="63"/>
        <v>Elementos Camadas</v>
      </c>
      <c r="U108" s="26" t="str">
        <f t="shared" si="64"/>
        <v>Núcleo da Parede</v>
      </c>
      <c r="V108" s="20" t="s">
        <v>85</v>
      </c>
      <c r="W108" s="71" t="str">
        <f t="shared" si="36"/>
        <v>Key-ARQ-108</v>
      </c>
      <c r="X108" s="20" t="s">
        <v>1520</v>
      </c>
      <c r="Y108" s="26" t="s">
        <v>1416</v>
      </c>
      <c r="Z108" s="52" t="s">
        <v>9</v>
      </c>
      <c r="AA108" s="20" t="str">
        <f t="shared" si="65"/>
        <v>Ceramic channel J for construction of straps and finishing the edge of the slab.</v>
      </c>
    </row>
    <row r="109" spans="1:27" ht="6" customHeight="1" x14ac:dyDescent="0.4">
      <c r="A109" s="22">
        <v>109</v>
      </c>
      <c r="B109" s="1" t="s">
        <v>1604</v>
      </c>
      <c r="C109" s="1" t="s">
        <v>1383</v>
      </c>
      <c r="D109" s="1" t="s">
        <v>1381</v>
      </c>
      <c r="E109" s="1" t="s">
        <v>1543</v>
      </c>
      <c r="F109" s="1" t="s">
        <v>235</v>
      </c>
      <c r="G109" s="56" t="s">
        <v>9</v>
      </c>
      <c r="H109" s="54" t="s">
        <v>9</v>
      </c>
      <c r="I109" s="54" t="s">
        <v>9</v>
      </c>
      <c r="J109" s="56" t="s">
        <v>9</v>
      </c>
      <c r="K109" s="56" t="s">
        <v>9</v>
      </c>
      <c r="L109" s="25" t="str">
        <f t="shared" si="59"/>
        <v>Arquitetônico</v>
      </c>
      <c r="M109" s="25" t="str">
        <f t="shared" si="60"/>
        <v>Elementos.Camadas</v>
      </c>
      <c r="N109" s="25" t="str">
        <f t="shared" si="61"/>
        <v>Núcleo da Parede</v>
      </c>
      <c r="O109" s="25" t="str">
        <f t="shared" si="61"/>
        <v>Canaleta U</v>
      </c>
      <c r="P109" s="20" t="s">
        <v>236</v>
      </c>
      <c r="Q109" s="33" t="s">
        <v>237</v>
      </c>
      <c r="R109" s="52" t="s">
        <v>9</v>
      </c>
      <c r="S109" s="26" t="str">
        <f t="shared" si="62"/>
        <v>Arquitetônico</v>
      </c>
      <c r="T109" s="26" t="str">
        <f t="shared" si="63"/>
        <v>Elementos Camadas</v>
      </c>
      <c r="U109" s="26" t="str">
        <f t="shared" si="64"/>
        <v>Núcleo da Parede</v>
      </c>
      <c r="V109" s="20" t="s">
        <v>85</v>
      </c>
      <c r="W109" s="71" t="str">
        <f t="shared" si="36"/>
        <v>Key-ARQ-109</v>
      </c>
      <c r="X109" s="20" t="s">
        <v>1520</v>
      </c>
      <c r="Y109" s="26" t="s">
        <v>1416</v>
      </c>
      <c r="Z109" s="52" t="s">
        <v>9</v>
      </c>
      <c r="AA109" s="20" t="str">
        <f t="shared" si="65"/>
        <v>Ceramic U channel for construction of lintels and counterlintels in wall openings.</v>
      </c>
    </row>
    <row r="110" spans="1:27" ht="6" customHeight="1" x14ac:dyDescent="0.4">
      <c r="A110" s="22">
        <v>110</v>
      </c>
      <c r="B110" s="1" t="s">
        <v>1604</v>
      </c>
      <c r="C110" s="1" t="s">
        <v>1383</v>
      </c>
      <c r="D110" s="1" t="s">
        <v>1381</v>
      </c>
      <c r="E110" s="1" t="s">
        <v>1543</v>
      </c>
      <c r="F110" s="1" t="s">
        <v>238</v>
      </c>
      <c r="G110" s="56" t="s">
        <v>9</v>
      </c>
      <c r="H110" s="54" t="s">
        <v>9</v>
      </c>
      <c r="I110" s="54" t="s">
        <v>9</v>
      </c>
      <c r="J110" s="56" t="s">
        <v>9</v>
      </c>
      <c r="K110" s="56" t="s">
        <v>9</v>
      </c>
      <c r="L110" s="25" t="str">
        <f t="shared" si="59"/>
        <v>Arquitetônico</v>
      </c>
      <c r="M110" s="25" t="str">
        <f t="shared" si="60"/>
        <v>Elementos.Camadas</v>
      </c>
      <c r="N110" s="25" t="str">
        <f t="shared" si="61"/>
        <v>Núcleo da Parede</v>
      </c>
      <c r="O110" s="25" t="str">
        <f t="shared" si="61"/>
        <v>Cobogô</v>
      </c>
      <c r="P110" s="20" t="s">
        <v>239</v>
      </c>
      <c r="Q110" s="20" t="s">
        <v>240</v>
      </c>
      <c r="R110" s="52" t="s">
        <v>9</v>
      </c>
      <c r="S110" s="26" t="str">
        <f t="shared" si="62"/>
        <v>Arquitetônico</v>
      </c>
      <c r="T110" s="26" t="str">
        <f t="shared" si="63"/>
        <v>Elementos Camadas</v>
      </c>
      <c r="U110" s="26" t="str">
        <f t="shared" si="64"/>
        <v>Núcleo da Parede</v>
      </c>
      <c r="V110" s="20" t="s">
        <v>85</v>
      </c>
      <c r="W110" s="71" t="str">
        <f t="shared" si="36"/>
        <v>Key-ARQ-110</v>
      </c>
      <c r="X110" s="20" t="s">
        <v>1520</v>
      </c>
      <c r="Y110" s="26" t="s">
        <v>1416</v>
      </c>
      <c r="Z110" s="52" t="s">
        <v>9</v>
      </c>
      <c r="AA110" s="20" t="str">
        <f t="shared" si="65"/>
        <v>Hollow brick block for facades or interiors. They can be rustic or glazed. The name 'Cobogó' refers to its creators Coimbra, Boeckmann and Góis.</v>
      </c>
    </row>
    <row r="111" spans="1:27" ht="6" customHeight="1" x14ac:dyDescent="0.4">
      <c r="A111" s="22">
        <v>111</v>
      </c>
      <c r="B111" s="1" t="s">
        <v>1604</v>
      </c>
      <c r="C111" s="1" t="s">
        <v>1383</v>
      </c>
      <c r="D111" s="1" t="s">
        <v>1381</v>
      </c>
      <c r="E111" s="1" t="s">
        <v>1543</v>
      </c>
      <c r="F111" s="1" t="s">
        <v>241</v>
      </c>
      <c r="G111" s="56" t="s">
        <v>9</v>
      </c>
      <c r="H111" s="54" t="s">
        <v>9</v>
      </c>
      <c r="I111" s="54" t="s">
        <v>9</v>
      </c>
      <c r="J111" s="56" t="s">
        <v>9</v>
      </c>
      <c r="K111" s="56" t="s">
        <v>9</v>
      </c>
      <c r="L111" s="25" t="str">
        <f t="shared" si="59"/>
        <v>Arquitetônico</v>
      </c>
      <c r="M111" s="25" t="str">
        <f t="shared" si="60"/>
        <v>Elementos.Camadas</v>
      </c>
      <c r="N111" s="25" t="str">
        <f t="shared" si="61"/>
        <v>Núcleo da Parede</v>
      </c>
      <c r="O111" s="25" t="str">
        <f t="shared" si="61"/>
        <v>Tijolo Vidro</v>
      </c>
      <c r="P111" s="20" t="s">
        <v>242</v>
      </c>
      <c r="Q111" s="33" t="s">
        <v>243</v>
      </c>
      <c r="R111" s="52" t="s">
        <v>9</v>
      </c>
      <c r="S111" s="26" t="str">
        <f t="shared" si="62"/>
        <v>Arquitetônico</v>
      </c>
      <c r="T111" s="26" t="str">
        <f t="shared" si="63"/>
        <v>Elementos Camadas</v>
      </c>
      <c r="U111" s="26" t="str">
        <f t="shared" si="64"/>
        <v>Núcleo da Parede</v>
      </c>
      <c r="V111" s="20" t="s">
        <v>85</v>
      </c>
      <c r="W111" s="71" t="str">
        <f t="shared" si="36"/>
        <v>Key-ARQ-111</v>
      </c>
      <c r="X111" s="20" t="s">
        <v>1520</v>
      </c>
      <c r="Y111" s="26" t="s">
        <v>1416</v>
      </c>
      <c r="Z111" s="52" t="s">
        <v>9</v>
      </c>
      <c r="AA111" s="20" t="str">
        <f t="shared" si="65"/>
        <v>Glass brick block for facades or interiors.</v>
      </c>
    </row>
    <row r="112" spans="1:27" ht="6" customHeight="1" x14ac:dyDescent="0.4">
      <c r="A112" s="22">
        <v>112</v>
      </c>
      <c r="B112" s="1" t="s">
        <v>1604</v>
      </c>
      <c r="C112" s="1" t="s">
        <v>1383</v>
      </c>
      <c r="D112" s="1" t="s">
        <v>1381</v>
      </c>
      <c r="E112" s="1" t="s">
        <v>1544</v>
      </c>
      <c r="F112" s="24" t="s">
        <v>666</v>
      </c>
      <c r="G112" s="56" t="s">
        <v>9</v>
      </c>
      <c r="H112" s="54" t="s">
        <v>9</v>
      </c>
      <c r="I112" s="54" t="s">
        <v>9</v>
      </c>
      <c r="J112" s="56" t="s">
        <v>9</v>
      </c>
      <c r="K112" s="56" t="s">
        <v>9</v>
      </c>
      <c r="L112" s="25" t="str">
        <f t="shared" si="59"/>
        <v>Arquitetônico</v>
      </c>
      <c r="M112" s="25" t="str">
        <f t="shared" si="60"/>
        <v>Elementos.Camadas</v>
      </c>
      <c r="N112" s="25" t="str">
        <f t="shared" si="61"/>
        <v>Argamassa da Parede</v>
      </c>
      <c r="O112" s="25" t="str">
        <f t="shared" si="61"/>
        <v>Assentamento de Parede</v>
      </c>
      <c r="P112" s="34" t="s">
        <v>128</v>
      </c>
      <c r="Q112" s="33" t="s">
        <v>129</v>
      </c>
      <c r="R112" s="52" t="s">
        <v>9</v>
      </c>
      <c r="S112" s="26" t="str">
        <f t="shared" si="62"/>
        <v>Arquitetônico</v>
      </c>
      <c r="T112" s="26" t="str">
        <f t="shared" si="63"/>
        <v>Elementos Camadas</v>
      </c>
      <c r="U112" s="26" t="str">
        <f t="shared" si="64"/>
        <v>Argamassa da Parede</v>
      </c>
      <c r="V112" s="20" t="s">
        <v>85</v>
      </c>
      <c r="W112" s="71" t="str">
        <f t="shared" si="36"/>
        <v>Key-ARQ-112</v>
      </c>
      <c r="X112" s="20" t="s">
        <v>1521</v>
      </c>
      <c r="Y112" s="26" t="s">
        <v>1433</v>
      </c>
      <c r="Z112" s="52" t="s">
        <v>9</v>
      </c>
      <c r="AA112" s="20" t="str">
        <f t="shared" si="65"/>
        <v>Mortar for laying bricks and blocks.</v>
      </c>
    </row>
    <row r="113" spans="1:27" ht="6" customHeight="1" x14ac:dyDescent="0.4">
      <c r="A113" s="22">
        <v>113</v>
      </c>
      <c r="B113" s="1" t="s">
        <v>1604</v>
      </c>
      <c r="C113" s="1" t="s">
        <v>1383</v>
      </c>
      <c r="D113" s="1" t="s">
        <v>1381</v>
      </c>
      <c r="E113" s="1" t="s">
        <v>1544</v>
      </c>
      <c r="F113" s="24" t="s">
        <v>665</v>
      </c>
      <c r="G113" s="56" t="s">
        <v>9</v>
      </c>
      <c r="H113" s="54" t="s">
        <v>9</v>
      </c>
      <c r="I113" s="54" t="s">
        <v>9</v>
      </c>
      <c r="J113" s="56" t="s">
        <v>9</v>
      </c>
      <c r="K113" s="56" t="s">
        <v>9</v>
      </c>
      <c r="L113" s="25" t="str">
        <f t="shared" si="59"/>
        <v>Arquitetônico</v>
      </c>
      <c r="M113" s="25" t="str">
        <f t="shared" si="60"/>
        <v>Elementos.Camadas</v>
      </c>
      <c r="N113" s="25" t="str">
        <f t="shared" si="61"/>
        <v>Argamassa da Parede</v>
      </c>
      <c r="O113" s="25" t="str">
        <f t="shared" si="61"/>
        <v>De Parede Colante</v>
      </c>
      <c r="P113" s="34" t="s">
        <v>686</v>
      </c>
      <c r="Q113" s="33" t="s">
        <v>688</v>
      </c>
      <c r="R113" s="52" t="s">
        <v>9</v>
      </c>
      <c r="S113" s="26" t="str">
        <f t="shared" si="62"/>
        <v>Arquitetônico</v>
      </c>
      <c r="T113" s="26" t="str">
        <f t="shared" si="63"/>
        <v>Elementos Camadas</v>
      </c>
      <c r="U113" s="26" t="str">
        <f t="shared" si="64"/>
        <v>Argamassa da Parede</v>
      </c>
      <c r="V113" s="20" t="s">
        <v>85</v>
      </c>
      <c r="W113" s="71" t="str">
        <f t="shared" si="36"/>
        <v>Key-ARQ-113</v>
      </c>
      <c r="X113" s="20" t="s">
        <v>1521</v>
      </c>
      <c r="Y113" s="26" t="s">
        <v>1433</v>
      </c>
      <c r="Z113" s="52" t="s">
        <v>9</v>
      </c>
      <c r="AA113" s="20" t="str">
        <f t="shared" si="65"/>
        <v>Mortar to glue ceramic or porcelain tiles to walls.</v>
      </c>
    </row>
    <row r="114" spans="1:27" ht="6" customHeight="1" x14ac:dyDescent="0.4">
      <c r="A114" s="22">
        <v>114</v>
      </c>
      <c r="B114" s="1" t="s">
        <v>1604</v>
      </c>
      <c r="C114" s="1" t="s">
        <v>1383</v>
      </c>
      <c r="D114" s="1" t="s">
        <v>1381</v>
      </c>
      <c r="E114" s="1" t="s">
        <v>1544</v>
      </c>
      <c r="F114" s="37" t="s">
        <v>667</v>
      </c>
      <c r="G114" s="56" t="s">
        <v>9</v>
      </c>
      <c r="H114" s="54" t="s">
        <v>9</v>
      </c>
      <c r="I114" s="54" t="s">
        <v>9</v>
      </c>
      <c r="J114" s="56" t="s">
        <v>9</v>
      </c>
      <c r="K114" s="56" t="s">
        <v>9</v>
      </c>
      <c r="L114" s="25" t="str">
        <f t="shared" si="59"/>
        <v>Arquitetônico</v>
      </c>
      <c r="M114" s="25" t="str">
        <f t="shared" si="60"/>
        <v>Elementos.Camadas</v>
      </c>
      <c r="N114" s="25" t="str">
        <f t="shared" si="61"/>
        <v>Argamassa da Parede</v>
      </c>
      <c r="O114" s="25" t="str">
        <f t="shared" si="61"/>
        <v>De Parede Polimérica</v>
      </c>
      <c r="P114" s="26" t="s">
        <v>92</v>
      </c>
      <c r="Q114" s="26" t="s">
        <v>94</v>
      </c>
      <c r="R114" s="52" t="s">
        <v>9</v>
      </c>
      <c r="S114" s="26" t="str">
        <f t="shared" si="62"/>
        <v>Arquitetônico</v>
      </c>
      <c r="T114" s="26" t="str">
        <f t="shared" si="63"/>
        <v>Elementos Camadas</v>
      </c>
      <c r="U114" s="26" t="str">
        <f t="shared" si="64"/>
        <v>Argamassa da Parede</v>
      </c>
      <c r="V114" s="20" t="s">
        <v>85</v>
      </c>
      <c r="W114" s="71" t="str">
        <f t="shared" si="36"/>
        <v>Key-ARQ-114</v>
      </c>
      <c r="X114" s="20" t="s">
        <v>1522</v>
      </c>
      <c r="Y114" s="26" t="s">
        <v>1434</v>
      </c>
      <c r="Z114" s="52" t="s">
        <v>9</v>
      </c>
      <c r="AA114" s="20" t="str">
        <f t="shared" si="65"/>
        <v>Polymeric mortar for insulation layers.</v>
      </c>
    </row>
    <row r="115" spans="1:27" ht="6" customHeight="1" x14ac:dyDescent="0.4">
      <c r="A115" s="22">
        <v>115</v>
      </c>
      <c r="B115" s="1" t="s">
        <v>1604</v>
      </c>
      <c r="C115" s="1" t="s">
        <v>1383</v>
      </c>
      <c r="D115" s="1" t="s">
        <v>1381</v>
      </c>
      <c r="E115" s="1" t="s">
        <v>1544</v>
      </c>
      <c r="F115" s="37" t="s">
        <v>668</v>
      </c>
      <c r="G115" s="56" t="s">
        <v>9</v>
      </c>
      <c r="H115" s="54" t="s">
        <v>9</v>
      </c>
      <c r="I115" s="54" t="s">
        <v>9</v>
      </c>
      <c r="J115" s="56" t="s">
        <v>9</v>
      </c>
      <c r="K115" s="56" t="s">
        <v>9</v>
      </c>
      <c r="L115" s="25" t="str">
        <f t="shared" si="59"/>
        <v>Arquitetônico</v>
      </c>
      <c r="M115" s="25" t="str">
        <f t="shared" si="60"/>
        <v>Elementos.Camadas</v>
      </c>
      <c r="N115" s="25" t="str">
        <f t="shared" si="61"/>
        <v>Argamassa da Parede</v>
      </c>
      <c r="O115" s="25" t="str">
        <f t="shared" si="61"/>
        <v>De Parede Baritada</v>
      </c>
      <c r="P115" s="26" t="s">
        <v>691</v>
      </c>
      <c r="Q115" s="26" t="s">
        <v>693</v>
      </c>
      <c r="R115" s="52" t="s">
        <v>9</v>
      </c>
      <c r="S115" s="26" t="str">
        <f t="shared" si="62"/>
        <v>Arquitetônico</v>
      </c>
      <c r="T115" s="26" t="str">
        <f t="shared" si="63"/>
        <v>Elementos Camadas</v>
      </c>
      <c r="U115" s="26" t="str">
        <f t="shared" si="64"/>
        <v>Argamassa da Parede</v>
      </c>
      <c r="V115" s="20" t="s">
        <v>85</v>
      </c>
      <c r="W115" s="71" t="str">
        <f t="shared" si="36"/>
        <v>Key-ARQ-115</v>
      </c>
      <c r="X115" s="20" t="s">
        <v>1522</v>
      </c>
      <c r="Y115" s="26" t="s">
        <v>1434</v>
      </c>
      <c r="Z115" s="52" t="s">
        <v>9</v>
      </c>
      <c r="AA115" s="20" t="str">
        <f t="shared" si="65"/>
        <v>Mortar used for radiological protection. Use on walls of radiotherapy, radiology, nuclear medicine rooms of health centers.</v>
      </c>
    </row>
    <row r="116" spans="1:27" ht="6" customHeight="1" x14ac:dyDescent="0.4">
      <c r="A116" s="22">
        <v>116</v>
      </c>
      <c r="B116" s="1" t="s">
        <v>1604</v>
      </c>
      <c r="C116" s="1" t="s">
        <v>1383</v>
      </c>
      <c r="D116" s="1" t="s">
        <v>1381</v>
      </c>
      <c r="E116" s="1" t="s">
        <v>1544</v>
      </c>
      <c r="F116" s="24" t="s">
        <v>664</v>
      </c>
      <c r="G116" s="56" t="s">
        <v>9</v>
      </c>
      <c r="H116" s="54" t="s">
        <v>9</v>
      </c>
      <c r="I116" s="54" t="s">
        <v>9</v>
      </c>
      <c r="J116" s="56" t="s">
        <v>9</v>
      </c>
      <c r="K116" s="56" t="s">
        <v>9</v>
      </c>
      <c r="L116" s="25" t="str">
        <f t="shared" si="59"/>
        <v>Arquitetônico</v>
      </c>
      <c r="M116" s="25" t="str">
        <f t="shared" si="60"/>
        <v>Elementos.Camadas</v>
      </c>
      <c r="N116" s="25" t="str">
        <f t="shared" si="61"/>
        <v>Argamassa da Parede</v>
      </c>
      <c r="O116" s="25" t="str">
        <f t="shared" si="61"/>
        <v>De Piso Colante</v>
      </c>
      <c r="P116" s="34" t="s">
        <v>687</v>
      </c>
      <c r="Q116" s="33" t="s">
        <v>689</v>
      </c>
      <c r="R116" s="52" t="s">
        <v>9</v>
      </c>
      <c r="S116" s="26" t="str">
        <f t="shared" si="62"/>
        <v>Arquitetônico</v>
      </c>
      <c r="T116" s="26" t="str">
        <f t="shared" si="63"/>
        <v>Elementos Camadas</v>
      </c>
      <c r="U116" s="26" t="str">
        <f t="shared" si="64"/>
        <v>Argamassa da Parede</v>
      </c>
      <c r="V116" s="20" t="s">
        <v>85</v>
      </c>
      <c r="W116" s="71" t="str">
        <f t="shared" si="36"/>
        <v>Key-ARQ-116</v>
      </c>
      <c r="X116" s="20" t="s">
        <v>1523</v>
      </c>
      <c r="Y116" s="26" t="s">
        <v>1433</v>
      </c>
      <c r="Z116" s="52" t="s">
        <v>9</v>
      </c>
      <c r="AA116" s="20" t="str">
        <f t="shared" si="65"/>
        <v>Mortar to glue ceramic or porcelain pieces on floors.</v>
      </c>
    </row>
    <row r="117" spans="1:27" ht="6" customHeight="1" x14ac:dyDescent="0.4">
      <c r="A117" s="22">
        <v>117</v>
      </c>
      <c r="B117" s="1" t="s">
        <v>1604</v>
      </c>
      <c r="C117" s="1" t="s">
        <v>1383</v>
      </c>
      <c r="D117" s="1" t="s">
        <v>1381</v>
      </c>
      <c r="E117" s="1" t="s">
        <v>1544</v>
      </c>
      <c r="F117" s="37" t="s">
        <v>662</v>
      </c>
      <c r="G117" s="56" t="s">
        <v>9</v>
      </c>
      <c r="H117" s="54" t="s">
        <v>9</v>
      </c>
      <c r="I117" s="54" t="s">
        <v>9</v>
      </c>
      <c r="J117" s="56" t="s">
        <v>9</v>
      </c>
      <c r="K117" s="56" t="s">
        <v>9</v>
      </c>
      <c r="L117" s="25" t="str">
        <f t="shared" si="59"/>
        <v>Arquitetônico</v>
      </c>
      <c r="M117" s="25" t="str">
        <f t="shared" si="60"/>
        <v>Elementos.Camadas</v>
      </c>
      <c r="N117" s="25" t="str">
        <f t="shared" si="61"/>
        <v>Argamassa da Parede</v>
      </c>
      <c r="O117" s="25" t="str">
        <f t="shared" si="61"/>
        <v>De Piso Polimérica</v>
      </c>
      <c r="P117" s="26" t="s">
        <v>92</v>
      </c>
      <c r="Q117" s="26" t="s">
        <v>690</v>
      </c>
      <c r="R117" s="52" t="s">
        <v>9</v>
      </c>
      <c r="S117" s="26" t="str">
        <f t="shared" si="62"/>
        <v>Arquitetônico</v>
      </c>
      <c r="T117" s="26" t="str">
        <f t="shared" si="63"/>
        <v>Elementos Camadas</v>
      </c>
      <c r="U117" s="26" t="str">
        <f t="shared" si="64"/>
        <v>Argamassa da Parede</v>
      </c>
      <c r="V117" s="20" t="s">
        <v>85</v>
      </c>
      <c r="W117" s="71" t="str">
        <f t="shared" si="36"/>
        <v>Key-ARQ-117</v>
      </c>
      <c r="X117" s="20" t="s">
        <v>1524</v>
      </c>
      <c r="Y117" s="26" t="s">
        <v>1434</v>
      </c>
      <c r="Z117" s="52" t="s">
        <v>9</v>
      </c>
      <c r="AA117" s="20" t="str">
        <f t="shared" si="65"/>
        <v>Polymeric mortar for insulation layers.</v>
      </c>
    </row>
    <row r="118" spans="1:27" ht="6" customHeight="1" x14ac:dyDescent="0.4">
      <c r="A118" s="22">
        <v>118</v>
      </c>
      <c r="B118" s="1" t="s">
        <v>1604</v>
      </c>
      <c r="C118" s="1" t="s">
        <v>1383</v>
      </c>
      <c r="D118" s="1" t="s">
        <v>1381</v>
      </c>
      <c r="E118" s="1" t="s">
        <v>1544</v>
      </c>
      <c r="F118" s="37" t="s">
        <v>663</v>
      </c>
      <c r="G118" s="56" t="s">
        <v>9</v>
      </c>
      <c r="H118" s="54" t="s">
        <v>9</v>
      </c>
      <c r="I118" s="54" t="s">
        <v>9</v>
      </c>
      <c r="J118" s="56" t="s">
        <v>9</v>
      </c>
      <c r="K118" s="56" t="s">
        <v>9</v>
      </c>
      <c r="L118" s="25" t="str">
        <f t="shared" si="59"/>
        <v>Arquitetônico</v>
      </c>
      <c r="M118" s="25" t="str">
        <f t="shared" si="60"/>
        <v>Elementos.Camadas</v>
      </c>
      <c r="N118" s="25" t="str">
        <f t="shared" si="61"/>
        <v>Argamassa da Parede</v>
      </c>
      <c r="O118" s="25" t="str">
        <f t="shared" si="61"/>
        <v>De Piso Baritada</v>
      </c>
      <c r="P118" s="26" t="s">
        <v>692</v>
      </c>
      <c r="Q118" s="26" t="s">
        <v>694</v>
      </c>
      <c r="R118" s="52" t="s">
        <v>9</v>
      </c>
      <c r="S118" s="26" t="str">
        <f t="shared" si="62"/>
        <v>Arquitetônico</v>
      </c>
      <c r="T118" s="26" t="str">
        <f t="shared" si="63"/>
        <v>Elementos Camadas</v>
      </c>
      <c r="U118" s="26" t="str">
        <f t="shared" si="64"/>
        <v>Argamassa da Parede</v>
      </c>
      <c r="V118" s="20" t="s">
        <v>85</v>
      </c>
      <c r="W118" s="71" t="str">
        <f t="shared" si="36"/>
        <v>Key-ARQ-118</v>
      </c>
      <c r="X118" s="20" t="s">
        <v>1524</v>
      </c>
      <c r="Y118" s="26" t="s">
        <v>1434</v>
      </c>
      <c r="Z118" s="52" t="s">
        <v>9</v>
      </c>
      <c r="AA118" s="20" t="str">
        <f t="shared" si="65"/>
        <v>Mortar used for radiological protection. Use on floors of radiotherapy, radiology, nuclear medicine rooms of health centers.</v>
      </c>
    </row>
    <row r="119" spans="1:27" ht="6" customHeight="1" x14ac:dyDescent="0.4">
      <c r="A119" s="22">
        <v>119</v>
      </c>
      <c r="B119" s="1" t="s">
        <v>1604</v>
      </c>
      <c r="C119" s="1" t="s">
        <v>1383</v>
      </c>
      <c r="D119" s="1" t="s">
        <v>1381</v>
      </c>
      <c r="E119" s="1" t="s">
        <v>1544</v>
      </c>
      <c r="F119" s="24" t="s">
        <v>130</v>
      </c>
      <c r="G119" s="56" t="s">
        <v>9</v>
      </c>
      <c r="H119" s="54" t="s">
        <v>9</v>
      </c>
      <c r="I119" s="54" t="s">
        <v>9</v>
      </c>
      <c r="J119" s="56" t="s">
        <v>9</v>
      </c>
      <c r="K119" s="56" t="s">
        <v>9</v>
      </c>
      <c r="L119" s="25" t="str">
        <f t="shared" si="59"/>
        <v>Arquitetônico</v>
      </c>
      <c r="M119" s="25" t="str">
        <f t="shared" si="60"/>
        <v>Elementos.Camadas</v>
      </c>
      <c r="N119" s="25" t="str">
        <f t="shared" si="61"/>
        <v>Argamassa da Parede</v>
      </c>
      <c r="O119" s="25" t="str">
        <f t="shared" si="61"/>
        <v>Chapisco</v>
      </c>
      <c r="P119" s="34" t="s">
        <v>705</v>
      </c>
      <c r="Q119" s="33" t="s">
        <v>706</v>
      </c>
      <c r="R119" s="52" t="s">
        <v>9</v>
      </c>
      <c r="S119" s="26" t="str">
        <f t="shared" si="62"/>
        <v>Arquitetônico</v>
      </c>
      <c r="T119" s="26" t="str">
        <f t="shared" si="63"/>
        <v>Elementos Camadas</v>
      </c>
      <c r="U119" s="26" t="str">
        <f t="shared" si="64"/>
        <v>Argamassa da Parede</v>
      </c>
      <c r="V119" s="20" t="s">
        <v>85</v>
      </c>
      <c r="W119" s="71" t="str">
        <f t="shared" si="36"/>
        <v>Key-ARQ-119</v>
      </c>
      <c r="X119" s="20" t="s">
        <v>1521</v>
      </c>
      <c r="Y119" s="26" t="s">
        <v>1435</v>
      </c>
      <c r="Z119" s="52" t="s">
        <v>9</v>
      </c>
      <c r="AA119" s="20" t="str">
        <f t="shared" si="65"/>
        <v>Mortar for plastering walls.</v>
      </c>
    </row>
    <row r="120" spans="1:27" ht="6" customHeight="1" x14ac:dyDescent="0.4">
      <c r="A120" s="22">
        <v>120</v>
      </c>
      <c r="B120" s="1" t="s">
        <v>1604</v>
      </c>
      <c r="C120" s="1" t="s">
        <v>1383</v>
      </c>
      <c r="D120" s="1" t="s">
        <v>1381</v>
      </c>
      <c r="E120" s="1" t="s">
        <v>1544</v>
      </c>
      <c r="F120" s="24" t="s">
        <v>131</v>
      </c>
      <c r="G120" s="56" t="s">
        <v>9</v>
      </c>
      <c r="H120" s="54" t="s">
        <v>9</v>
      </c>
      <c r="I120" s="54" t="s">
        <v>9</v>
      </c>
      <c r="J120" s="56" t="s">
        <v>9</v>
      </c>
      <c r="K120" s="56" t="s">
        <v>9</v>
      </c>
      <c r="L120" s="25" t="str">
        <f t="shared" si="59"/>
        <v>Arquitetônico</v>
      </c>
      <c r="M120" s="25" t="str">
        <f t="shared" si="60"/>
        <v>Elementos.Camadas</v>
      </c>
      <c r="N120" s="25" t="str">
        <f t="shared" si="61"/>
        <v>Argamassa da Parede</v>
      </c>
      <c r="O120" s="25" t="str">
        <f t="shared" si="61"/>
        <v>Emboço</v>
      </c>
      <c r="P120" s="34" t="s">
        <v>707</v>
      </c>
      <c r="Q120" s="33" t="s">
        <v>702</v>
      </c>
      <c r="R120" s="52" t="s">
        <v>9</v>
      </c>
      <c r="S120" s="26" t="str">
        <f t="shared" si="62"/>
        <v>Arquitetônico</v>
      </c>
      <c r="T120" s="26" t="str">
        <f t="shared" si="63"/>
        <v>Elementos Camadas</v>
      </c>
      <c r="U120" s="26" t="str">
        <f t="shared" si="64"/>
        <v>Argamassa da Parede</v>
      </c>
      <c r="V120" s="20" t="s">
        <v>85</v>
      </c>
      <c r="W120" s="71" t="str">
        <f t="shared" si="36"/>
        <v>Key-ARQ-120</v>
      </c>
      <c r="X120" s="20" t="s">
        <v>1521</v>
      </c>
      <c r="Y120" s="26" t="s">
        <v>1435</v>
      </c>
      <c r="Z120" s="52" t="s">
        <v>9</v>
      </c>
      <c r="AA120" s="20" t="str">
        <f t="shared" si="65"/>
        <v>Mortar for plastering the wall surface.</v>
      </c>
    </row>
    <row r="121" spans="1:27" ht="6" customHeight="1" x14ac:dyDescent="0.4">
      <c r="A121" s="22">
        <v>121</v>
      </c>
      <c r="B121" s="1" t="s">
        <v>1604</v>
      </c>
      <c r="C121" s="1" t="s">
        <v>1383</v>
      </c>
      <c r="D121" s="1" t="s">
        <v>1381</v>
      </c>
      <c r="E121" s="1" t="s">
        <v>1544</v>
      </c>
      <c r="F121" s="24" t="s">
        <v>132</v>
      </c>
      <c r="G121" s="56" t="s">
        <v>9</v>
      </c>
      <c r="H121" s="54" t="s">
        <v>9</v>
      </c>
      <c r="I121" s="54" t="s">
        <v>9</v>
      </c>
      <c r="J121" s="56" t="s">
        <v>9</v>
      </c>
      <c r="K121" s="56" t="s">
        <v>9</v>
      </c>
      <c r="L121" s="25" t="str">
        <f t="shared" si="59"/>
        <v>Arquitetônico</v>
      </c>
      <c r="M121" s="25" t="str">
        <f t="shared" si="60"/>
        <v>Elementos.Camadas</v>
      </c>
      <c r="N121" s="25" t="str">
        <f t="shared" si="61"/>
        <v>Argamassa da Parede</v>
      </c>
      <c r="O121" s="25" t="str">
        <f t="shared" si="61"/>
        <v>Reboco</v>
      </c>
      <c r="P121" s="34" t="s">
        <v>708</v>
      </c>
      <c r="Q121" s="33" t="s">
        <v>703</v>
      </c>
      <c r="R121" s="52" t="s">
        <v>9</v>
      </c>
      <c r="S121" s="26" t="str">
        <f t="shared" si="62"/>
        <v>Arquitetônico</v>
      </c>
      <c r="T121" s="26" t="str">
        <f t="shared" si="63"/>
        <v>Elementos Camadas</v>
      </c>
      <c r="U121" s="26" t="str">
        <f t="shared" si="64"/>
        <v>Argamassa da Parede</v>
      </c>
      <c r="V121" s="20" t="s">
        <v>85</v>
      </c>
      <c r="W121" s="71" t="str">
        <f t="shared" si="36"/>
        <v>Key-ARQ-121</v>
      </c>
      <c r="X121" s="20" t="s">
        <v>1521</v>
      </c>
      <c r="Y121" s="26" t="s">
        <v>1435</v>
      </c>
      <c r="Z121" s="52" t="s">
        <v>9</v>
      </c>
      <c r="AA121" s="20" t="str">
        <f t="shared" si="65"/>
        <v>Mortar for final plaster of the wall.</v>
      </c>
    </row>
    <row r="122" spans="1:27" ht="6" customHeight="1" x14ac:dyDescent="0.4">
      <c r="A122" s="22">
        <v>122</v>
      </c>
      <c r="B122" s="1" t="s">
        <v>1604</v>
      </c>
      <c r="C122" s="1" t="s">
        <v>1383</v>
      </c>
      <c r="D122" s="1" t="s">
        <v>1381</v>
      </c>
      <c r="E122" s="1" t="s">
        <v>1544</v>
      </c>
      <c r="F122" s="24" t="s">
        <v>95</v>
      </c>
      <c r="G122" s="56" t="s">
        <v>9</v>
      </c>
      <c r="H122" s="54" t="s">
        <v>9</v>
      </c>
      <c r="I122" s="54" t="s">
        <v>9</v>
      </c>
      <c r="J122" s="56" t="s">
        <v>9</v>
      </c>
      <c r="K122" s="56" t="s">
        <v>9</v>
      </c>
      <c r="L122" s="25" t="str">
        <f t="shared" si="59"/>
        <v>Arquitetônico</v>
      </c>
      <c r="M122" s="25" t="str">
        <f t="shared" si="60"/>
        <v>Elementos.Camadas</v>
      </c>
      <c r="N122" s="25" t="str">
        <f t="shared" si="61"/>
        <v>Argamassa da Parede</v>
      </c>
      <c r="O122" s="25" t="str">
        <f t="shared" si="61"/>
        <v>Niveladora</v>
      </c>
      <c r="P122" s="34" t="s">
        <v>133</v>
      </c>
      <c r="Q122" s="34" t="s">
        <v>704</v>
      </c>
      <c r="R122" s="52" t="s">
        <v>9</v>
      </c>
      <c r="S122" s="26" t="str">
        <f t="shared" si="62"/>
        <v>Arquitetônico</v>
      </c>
      <c r="T122" s="26" t="str">
        <f t="shared" si="63"/>
        <v>Elementos Camadas</v>
      </c>
      <c r="U122" s="26" t="str">
        <f t="shared" si="64"/>
        <v>Argamassa da Parede</v>
      </c>
      <c r="V122" s="20" t="s">
        <v>85</v>
      </c>
      <c r="W122" s="71" t="str">
        <f t="shared" si="36"/>
        <v>Key-ARQ-122</v>
      </c>
      <c r="X122" s="20" t="s">
        <v>1523</v>
      </c>
      <c r="Y122" s="26" t="s">
        <v>1435</v>
      </c>
      <c r="Z122" s="52" t="s">
        <v>9</v>
      </c>
      <c r="AA122" s="20" t="str">
        <f t="shared" si="65"/>
        <v>Mortar for the subfloors.</v>
      </c>
    </row>
    <row r="123" spans="1:27" ht="6" customHeight="1" x14ac:dyDescent="0.4">
      <c r="A123" s="22">
        <v>123</v>
      </c>
      <c r="B123" s="1" t="s">
        <v>1604</v>
      </c>
      <c r="C123" s="1" t="s">
        <v>1383</v>
      </c>
      <c r="D123" s="1" t="s">
        <v>1381</v>
      </c>
      <c r="E123" s="1" t="s">
        <v>1544</v>
      </c>
      <c r="F123" s="37" t="s">
        <v>90</v>
      </c>
      <c r="G123" s="56" t="s">
        <v>9</v>
      </c>
      <c r="H123" s="54" t="s">
        <v>9</v>
      </c>
      <c r="I123" s="54" t="s">
        <v>9</v>
      </c>
      <c r="J123" s="56" t="s">
        <v>9</v>
      </c>
      <c r="K123" s="56" t="s">
        <v>9</v>
      </c>
      <c r="L123" s="25" t="str">
        <f t="shared" si="59"/>
        <v>Arquitetônico</v>
      </c>
      <c r="M123" s="25" t="str">
        <f t="shared" si="60"/>
        <v>Elementos.Camadas</v>
      </c>
      <c r="N123" s="25" t="str">
        <f t="shared" si="61"/>
        <v>Argamassa da Parede</v>
      </c>
      <c r="O123" s="25" t="str">
        <f t="shared" si="61"/>
        <v>Graute</v>
      </c>
      <c r="P123" s="26" t="s">
        <v>91</v>
      </c>
      <c r="Q123" s="26" t="s">
        <v>93</v>
      </c>
      <c r="R123" s="52" t="s">
        <v>9</v>
      </c>
      <c r="S123" s="26" t="str">
        <f t="shared" si="62"/>
        <v>Arquitetônico</v>
      </c>
      <c r="T123" s="26" t="str">
        <f t="shared" si="63"/>
        <v>Elementos Camadas</v>
      </c>
      <c r="U123" s="26" t="str">
        <f t="shared" si="64"/>
        <v>Argamassa da Parede</v>
      </c>
      <c r="V123" s="20" t="s">
        <v>85</v>
      </c>
      <c r="W123" s="71" t="str">
        <f t="shared" si="36"/>
        <v>Key-ARQ-123</v>
      </c>
      <c r="X123" s="20" t="s">
        <v>1523</v>
      </c>
      <c r="Y123" s="26" t="s">
        <v>1435</v>
      </c>
      <c r="Z123" s="52" t="s">
        <v>9</v>
      </c>
      <c r="AA123" s="20" t="str">
        <f t="shared" si="65"/>
        <v>Grouting mortar for filling cavities in structures.</v>
      </c>
    </row>
    <row r="124" spans="1:27" ht="6" customHeight="1" x14ac:dyDescent="0.4">
      <c r="A124" s="22">
        <v>124</v>
      </c>
      <c r="B124" s="1" t="s">
        <v>1604</v>
      </c>
      <c r="C124" s="1" t="s">
        <v>1383</v>
      </c>
      <c r="D124" s="1" t="s">
        <v>1381</v>
      </c>
      <c r="E124" s="1" t="s">
        <v>1001</v>
      </c>
      <c r="F124" s="24" t="s">
        <v>1159</v>
      </c>
      <c r="G124" s="56" t="s">
        <v>9</v>
      </c>
      <c r="H124" s="54" t="s">
        <v>9</v>
      </c>
      <c r="I124" s="54" t="s">
        <v>9</v>
      </c>
      <c r="J124" s="56" t="s">
        <v>9</v>
      </c>
      <c r="K124" s="56" t="s">
        <v>9</v>
      </c>
      <c r="L124" s="25" t="str">
        <f t="shared" si="59"/>
        <v>Arquitetônico</v>
      </c>
      <c r="M124" s="25" t="str">
        <f t="shared" si="60"/>
        <v>Elementos.Camadas</v>
      </c>
      <c r="N124" s="25" t="str">
        <f t="shared" si="61"/>
        <v>Colas</v>
      </c>
      <c r="O124" s="25" t="str">
        <f t="shared" si="61"/>
        <v>Cola Madeira</v>
      </c>
      <c r="P124" s="34" t="s">
        <v>709</v>
      </c>
      <c r="Q124" s="34" t="s">
        <v>710</v>
      </c>
      <c r="R124" s="52" t="s">
        <v>9</v>
      </c>
      <c r="S124" s="26" t="str">
        <f t="shared" si="62"/>
        <v>Arquitetônico</v>
      </c>
      <c r="T124" s="26" t="str">
        <f t="shared" si="63"/>
        <v>Elementos Camadas</v>
      </c>
      <c r="U124" s="26" t="str">
        <f t="shared" si="64"/>
        <v>Colas</v>
      </c>
      <c r="V124" s="20" t="s">
        <v>85</v>
      </c>
      <c r="W124" s="71" t="str">
        <f t="shared" si="36"/>
        <v>Key-ARQ-124</v>
      </c>
      <c r="X124" s="20" t="s">
        <v>1525</v>
      </c>
      <c r="Y124" s="26" t="s">
        <v>1436</v>
      </c>
      <c r="Z124" s="52" t="s">
        <v>9</v>
      </c>
      <c r="AA124" s="20" t="str">
        <f t="shared" si="65"/>
        <v>Adhesive specially formulated for wood.</v>
      </c>
    </row>
    <row r="125" spans="1:27" ht="6" customHeight="1" x14ac:dyDescent="0.4">
      <c r="A125" s="22">
        <v>125</v>
      </c>
      <c r="B125" s="1" t="s">
        <v>1604</v>
      </c>
      <c r="C125" s="1" t="s">
        <v>1383</v>
      </c>
      <c r="D125" s="1" t="s">
        <v>1381</v>
      </c>
      <c r="E125" s="1" t="s">
        <v>1001</v>
      </c>
      <c r="F125" s="24" t="s">
        <v>1162</v>
      </c>
      <c r="G125" s="56" t="s">
        <v>9</v>
      </c>
      <c r="H125" s="54" t="s">
        <v>9</v>
      </c>
      <c r="I125" s="54" t="s">
        <v>9</v>
      </c>
      <c r="J125" s="56" t="s">
        <v>9</v>
      </c>
      <c r="K125" s="56" t="s">
        <v>9</v>
      </c>
      <c r="L125" s="25" t="str">
        <f t="shared" si="59"/>
        <v>Arquitetônico</v>
      </c>
      <c r="M125" s="25" t="str">
        <f t="shared" si="60"/>
        <v>Elementos.Camadas</v>
      </c>
      <c r="N125" s="25" t="str">
        <f t="shared" si="61"/>
        <v>Colas</v>
      </c>
      <c r="O125" s="25" t="str">
        <f t="shared" si="61"/>
        <v>Cola Metal</v>
      </c>
      <c r="P125" s="34" t="s">
        <v>521</v>
      </c>
      <c r="Q125" s="34" t="s">
        <v>525</v>
      </c>
      <c r="R125" s="52" t="s">
        <v>9</v>
      </c>
      <c r="S125" s="26" t="str">
        <f t="shared" si="62"/>
        <v>Arquitetônico</v>
      </c>
      <c r="T125" s="26" t="str">
        <f t="shared" si="63"/>
        <v>Elementos Camadas</v>
      </c>
      <c r="U125" s="26" t="str">
        <f t="shared" si="64"/>
        <v>Colas</v>
      </c>
      <c r="V125" s="20" t="s">
        <v>85</v>
      </c>
      <c r="W125" s="71" t="str">
        <f t="shared" si="36"/>
        <v>Key-ARQ-125</v>
      </c>
      <c r="X125" s="20" t="s">
        <v>1525</v>
      </c>
      <c r="Y125" s="26" t="s">
        <v>1436</v>
      </c>
      <c r="Z125" s="52" t="s">
        <v>9</v>
      </c>
      <c r="AA125" s="20" t="str">
        <f t="shared" si="65"/>
        <v>Adhesive specially formulated for metals.</v>
      </c>
    </row>
    <row r="126" spans="1:27" ht="6" customHeight="1" x14ac:dyDescent="0.4">
      <c r="A126" s="22">
        <v>126</v>
      </c>
      <c r="B126" s="1" t="s">
        <v>1604</v>
      </c>
      <c r="C126" s="1" t="s">
        <v>1383</v>
      </c>
      <c r="D126" s="1" t="s">
        <v>1381</v>
      </c>
      <c r="E126" s="1" t="s">
        <v>1001</v>
      </c>
      <c r="F126" s="24" t="s">
        <v>1161</v>
      </c>
      <c r="G126" s="56" t="s">
        <v>9</v>
      </c>
      <c r="H126" s="54" t="s">
        <v>9</v>
      </c>
      <c r="I126" s="54" t="s">
        <v>9</v>
      </c>
      <c r="J126" s="56" t="s">
        <v>9</v>
      </c>
      <c r="K126" s="56" t="s">
        <v>9</v>
      </c>
      <c r="L126" s="25" t="str">
        <f t="shared" si="59"/>
        <v>Arquitetônico</v>
      </c>
      <c r="M126" s="25" t="str">
        <f t="shared" si="60"/>
        <v>Elementos.Camadas</v>
      </c>
      <c r="N126" s="25" t="str">
        <f t="shared" si="61"/>
        <v>Colas</v>
      </c>
      <c r="O126" s="25" t="str">
        <f t="shared" si="61"/>
        <v>Cola Textil</v>
      </c>
      <c r="P126" s="34" t="s">
        <v>522</v>
      </c>
      <c r="Q126" s="34" t="s">
        <v>526</v>
      </c>
      <c r="R126" s="52" t="s">
        <v>9</v>
      </c>
      <c r="S126" s="26" t="str">
        <f t="shared" si="62"/>
        <v>Arquitetônico</v>
      </c>
      <c r="T126" s="26" t="str">
        <f t="shared" si="63"/>
        <v>Elementos Camadas</v>
      </c>
      <c r="U126" s="26" t="str">
        <f t="shared" si="64"/>
        <v>Colas</v>
      </c>
      <c r="V126" s="20" t="s">
        <v>85</v>
      </c>
      <c r="W126" s="71" t="str">
        <f t="shared" si="36"/>
        <v>Key-ARQ-126</v>
      </c>
      <c r="X126" s="20" t="s">
        <v>1525</v>
      </c>
      <c r="Y126" s="26" t="s">
        <v>1436</v>
      </c>
      <c r="Z126" s="52" t="s">
        <v>9</v>
      </c>
      <c r="AA126" s="20" t="str">
        <f t="shared" si="65"/>
        <v>Adhesive specially formulated for textiles.</v>
      </c>
    </row>
    <row r="127" spans="1:27" ht="6" customHeight="1" x14ac:dyDescent="0.4">
      <c r="A127" s="22">
        <v>127</v>
      </c>
      <c r="B127" s="1" t="s">
        <v>1604</v>
      </c>
      <c r="C127" s="1" t="s">
        <v>1383</v>
      </c>
      <c r="D127" s="1" t="s">
        <v>1381</v>
      </c>
      <c r="E127" s="1" t="s">
        <v>1001</v>
      </c>
      <c r="F127" s="24" t="s">
        <v>1160</v>
      </c>
      <c r="G127" s="56" t="s">
        <v>9</v>
      </c>
      <c r="H127" s="54" t="s">
        <v>9</v>
      </c>
      <c r="I127" s="54" t="s">
        <v>9</v>
      </c>
      <c r="J127" s="56" t="s">
        <v>9</v>
      </c>
      <c r="K127" s="56" t="s">
        <v>9</v>
      </c>
      <c r="L127" s="25" t="str">
        <f t="shared" si="59"/>
        <v>Arquitetônico</v>
      </c>
      <c r="M127" s="25" t="str">
        <f t="shared" si="60"/>
        <v>Elementos.Camadas</v>
      </c>
      <c r="N127" s="25" t="str">
        <f t="shared" si="61"/>
        <v>Colas</v>
      </c>
      <c r="O127" s="25" t="str">
        <f t="shared" si="61"/>
        <v>Cola Espuma</v>
      </c>
      <c r="P127" s="34" t="s">
        <v>523</v>
      </c>
      <c r="Q127" s="34" t="s">
        <v>527</v>
      </c>
      <c r="R127" s="52" t="s">
        <v>9</v>
      </c>
      <c r="S127" s="26" t="str">
        <f t="shared" si="62"/>
        <v>Arquitetônico</v>
      </c>
      <c r="T127" s="26" t="str">
        <f t="shared" si="63"/>
        <v>Elementos Camadas</v>
      </c>
      <c r="U127" s="26" t="str">
        <f t="shared" si="64"/>
        <v>Colas</v>
      </c>
      <c r="V127" s="20" t="s">
        <v>85</v>
      </c>
      <c r="W127" s="71" t="str">
        <f t="shared" si="36"/>
        <v>Key-ARQ-127</v>
      </c>
      <c r="X127" s="20" t="s">
        <v>1525</v>
      </c>
      <c r="Y127" s="26" t="s">
        <v>1436</v>
      </c>
      <c r="Z127" s="52" t="s">
        <v>9</v>
      </c>
      <c r="AA127" s="20" t="str">
        <f t="shared" si="65"/>
        <v>Adhesive specially formulated for foams.</v>
      </c>
    </row>
    <row r="128" spans="1:27" ht="6" customHeight="1" x14ac:dyDescent="0.4">
      <c r="A128" s="22">
        <v>128</v>
      </c>
      <c r="B128" s="1" t="s">
        <v>1604</v>
      </c>
      <c r="C128" s="1" t="s">
        <v>1383</v>
      </c>
      <c r="D128" s="1" t="s">
        <v>1381</v>
      </c>
      <c r="E128" s="1" t="s">
        <v>1001</v>
      </c>
      <c r="F128" s="24" t="s">
        <v>1163</v>
      </c>
      <c r="G128" s="56" t="s">
        <v>9</v>
      </c>
      <c r="H128" s="54" t="s">
        <v>9</v>
      </c>
      <c r="I128" s="54" t="s">
        <v>9</v>
      </c>
      <c r="J128" s="56" t="s">
        <v>9</v>
      </c>
      <c r="K128" s="56" t="s">
        <v>9</v>
      </c>
      <c r="L128" s="25" t="str">
        <f t="shared" si="59"/>
        <v>Arquitetônico</v>
      </c>
      <c r="M128" s="25" t="str">
        <f t="shared" si="60"/>
        <v>Elementos.Camadas</v>
      </c>
      <c r="N128" s="25" t="str">
        <f t="shared" si="61"/>
        <v>Colas</v>
      </c>
      <c r="O128" s="25" t="str">
        <f t="shared" si="61"/>
        <v>Cola Louça</v>
      </c>
      <c r="P128" s="34" t="s">
        <v>524</v>
      </c>
      <c r="Q128" s="34" t="s">
        <v>528</v>
      </c>
      <c r="R128" s="52" t="s">
        <v>9</v>
      </c>
      <c r="S128" s="26" t="str">
        <f t="shared" si="62"/>
        <v>Arquitetônico</v>
      </c>
      <c r="T128" s="26" t="str">
        <f t="shared" si="63"/>
        <v>Elementos Camadas</v>
      </c>
      <c r="U128" s="26" t="str">
        <f t="shared" si="64"/>
        <v>Colas</v>
      </c>
      <c r="V128" s="20" t="s">
        <v>85</v>
      </c>
      <c r="W128" s="71" t="str">
        <f t="shared" si="36"/>
        <v>Key-ARQ-128</v>
      </c>
      <c r="X128" s="20" t="s">
        <v>1525</v>
      </c>
      <c r="Y128" s="26" t="s">
        <v>1436</v>
      </c>
      <c r="Z128" s="52" t="s">
        <v>9</v>
      </c>
      <c r="AA128" s="20" t="str">
        <f t="shared" si="65"/>
        <v>Adhesive specially formulated for dishes.</v>
      </c>
    </row>
    <row r="129" spans="1:27" ht="6" customHeight="1" x14ac:dyDescent="0.4">
      <c r="A129" s="22">
        <v>129</v>
      </c>
      <c r="B129" s="1" t="s">
        <v>1604</v>
      </c>
      <c r="C129" s="1" t="s">
        <v>1383</v>
      </c>
      <c r="D129" s="1" t="s">
        <v>1381</v>
      </c>
      <c r="E129" s="1" t="s">
        <v>1015</v>
      </c>
      <c r="F129" s="1" t="s">
        <v>608</v>
      </c>
      <c r="G129" s="56" t="s">
        <v>9</v>
      </c>
      <c r="H129" s="54" t="s">
        <v>9</v>
      </c>
      <c r="I129" s="54" t="s">
        <v>9</v>
      </c>
      <c r="J129" s="56" t="s">
        <v>9</v>
      </c>
      <c r="K129" s="56" t="s">
        <v>9</v>
      </c>
      <c r="L129" s="25" t="str">
        <f t="shared" si="59"/>
        <v>Arquitetônico</v>
      </c>
      <c r="M129" s="25" t="str">
        <f t="shared" si="60"/>
        <v>Elementos.Camadas</v>
      </c>
      <c r="N129" s="25" t="str">
        <f t="shared" si="61"/>
        <v>Cavidades</v>
      </c>
      <c r="O129" s="25" t="str">
        <f t="shared" si="61"/>
        <v>Ar Térmica</v>
      </c>
      <c r="P129" s="20" t="s">
        <v>609</v>
      </c>
      <c r="Q129" s="20" t="s">
        <v>610</v>
      </c>
      <c r="R129" s="52" t="s">
        <v>9</v>
      </c>
      <c r="S129" s="26" t="str">
        <f t="shared" si="62"/>
        <v>Arquitetônico</v>
      </c>
      <c r="T129" s="26" t="str">
        <f t="shared" si="63"/>
        <v>Elementos Camadas</v>
      </c>
      <c r="U129" s="26" t="str">
        <f t="shared" si="64"/>
        <v>Cavidades</v>
      </c>
      <c r="V129" s="20" t="s">
        <v>85</v>
      </c>
      <c r="W129" s="71" t="str">
        <f t="shared" si="36"/>
        <v>Key-ARQ-129</v>
      </c>
      <c r="X129" s="20" t="s">
        <v>1522</v>
      </c>
      <c r="Y129" s="26" t="s">
        <v>1434</v>
      </c>
      <c r="Z129" s="52" t="s">
        <v>9</v>
      </c>
      <c r="AA129" s="20" t="str">
        <f t="shared" si="65"/>
        <v>Air cavity layer on the wall for thermal purpose.</v>
      </c>
    </row>
    <row r="130" spans="1:27" ht="6" customHeight="1" x14ac:dyDescent="0.4">
      <c r="A130" s="22">
        <v>130</v>
      </c>
      <c r="B130" s="1" t="s">
        <v>1604</v>
      </c>
      <c r="C130" s="1" t="s">
        <v>1383</v>
      </c>
      <c r="D130" s="1" t="s">
        <v>1381</v>
      </c>
      <c r="E130" s="1" t="s">
        <v>1015</v>
      </c>
      <c r="F130" s="1" t="s">
        <v>607</v>
      </c>
      <c r="G130" s="56" t="s">
        <v>9</v>
      </c>
      <c r="H130" s="54" t="s">
        <v>9</v>
      </c>
      <c r="I130" s="54" t="s">
        <v>9</v>
      </c>
      <c r="J130" s="56" t="s">
        <v>9</v>
      </c>
      <c r="K130" s="56" t="s">
        <v>9</v>
      </c>
      <c r="L130" s="25" t="str">
        <f t="shared" si="59"/>
        <v>Arquitetônico</v>
      </c>
      <c r="M130" s="25" t="str">
        <f t="shared" si="60"/>
        <v>Elementos.Camadas</v>
      </c>
      <c r="N130" s="25" t="str">
        <f t="shared" si="61"/>
        <v>Cavidades</v>
      </c>
      <c r="O130" s="25" t="str">
        <f t="shared" si="61"/>
        <v>Ar Acústica</v>
      </c>
      <c r="P130" s="20" t="s">
        <v>606</v>
      </c>
      <c r="Q130" s="20" t="s">
        <v>611</v>
      </c>
      <c r="R130" s="52" t="s">
        <v>9</v>
      </c>
      <c r="S130" s="26" t="str">
        <f t="shared" si="62"/>
        <v>Arquitetônico</v>
      </c>
      <c r="T130" s="26" t="str">
        <f t="shared" si="63"/>
        <v>Elementos Camadas</v>
      </c>
      <c r="U130" s="26" t="str">
        <f t="shared" si="64"/>
        <v>Cavidades</v>
      </c>
      <c r="V130" s="20" t="s">
        <v>85</v>
      </c>
      <c r="W130" s="71" t="str">
        <f t="shared" si="36"/>
        <v>Key-ARQ-130</v>
      </c>
      <c r="X130" s="20" t="s">
        <v>1522</v>
      </c>
      <c r="Y130" s="26" t="s">
        <v>1434</v>
      </c>
      <c r="Z130" s="52" t="s">
        <v>9</v>
      </c>
      <c r="AA130" s="20" t="str">
        <f t="shared" si="65"/>
        <v>Air cavity layer on the wall for acoustic purpose.</v>
      </c>
    </row>
    <row r="131" spans="1:27" ht="6" customHeight="1" x14ac:dyDescent="0.4">
      <c r="A131" s="22">
        <v>131</v>
      </c>
      <c r="B131" s="1" t="s">
        <v>1604</v>
      </c>
      <c r="C131" s="1" t="s">
        <v>1383</v>
      </c>
      <c r="D131" s="1" t="s">
        <v>1381</v>
      </c>
      <c r="E131" s="1" t="s">
        <v>1002</v>
      </c>
      <c r="F131" s="1" t="s">
        <v>1164</v>
      </c>
      <c r="G131" s="56" t="s">
        <v>9</v>
      </c>
      <c r="H131" s="54" t="s">
        <v>9</v>
      </c>
      <c r="I131" s="54" t="s">
        <v>9</v>
      </c>
      <c r="J131" s="56" t="s">
        <v>9</v>
      </c>
      <c r="K131" s="56" t="s">
        <v>9</v>
      </c>
      <c r="L131" s="25" t="str">
        <f t="shared" si="59"/>
        <v>Arquitetônico</v>
      </c>
      <c r="M131" s="25" t="str">
        <f t="shared" si="60"/>
        <v>Elementos.Camadas</v>
      </c>
      <c r="N131" s="25" t="str">
        <f t="shared" si="61"/>
        <v>Mantas</v>
      </c>
      <c r="O131" s="25" t="str">
        <f t="shared" si="61"/>
        <v>Manta Piso Acústico</v>
      </c>
      <c r="P131" s="20" t="s">
        <v>591</v>
      </c>
      <c r="Q131" s="33" t="s">
        <v>594</v>
      </c>
      <c r="R131" s="52" t="s">
        <v>9</v>
      </c>
      <c r="S131" s="26" t="str">
        <f t="shared" si="62"/>
        <v>Arquitetônico</v>
      </c>
      <c r="T131" s="26" t="str">
        <f t="shared" si="63"/>
        <v>Elementos Camadas</v>
      </c>
      <c r="U131" s="26" t="str">
        <f t="shared" si="64"/>
        <v>Mantas</v>
      </c>
      <c r="V131" s="20" t="s">
        <v>85</v>
      </c>
      <c r="W131" s="71" t="str">
        <f t="shared" ref="W131:W194" si="66">CONCATENATE("Key-ARQ-",A131)</f>
        <v>Key-ARQ-131</v>
      </c>
      <c r="X131" s="20" t="s">
        <v>1526</v>
      </c>
      <c r="Y131" s="26" t="s">
        <v>1433</v>
      </c>
      <c r="Z131" s="52" t="s">
        <v>9</v>
      </c>
      <c r="AA131" s="20" t="str">
        <f t="shared" si="65"/>
        <v>Continuous membrane layer type acoustic insulating blanket.</v>
      </c>
    </row>
    <row r="132" spans="1:27" ht="6" customHeight="1" x14ac:dyDescent="0.4">
      <c r="A132" s="22">
        <v>132</v>
      </c>
      <c r="B132" s="1" t="s">
        <v>1604</v>
      </c>
      <c r="C132" s="1" t="s">
        <v>1383</v>
      </c>
      <c r="D132" s="1" t="s">
        <v>1381</v>
      </c>
      <c r="E132" s="1" t="s">
        <v>1002</v>
      </c>
      <c r="F132" s="1" t="s">
        <v>1166</v>
      </c>
      <c r="G132" s="56" t="s">
        <v>9</v>
      </c>
      <c r="H132" s="54" t="s">
        <v>9</v>
      </c>
      <c r="I132" s="54" t="s">
        <v>9</v>
      </c>
      <c r="J132" s="56" t="s">
        <v>9</v>
      </c>
      <c r="K132" s="56" t="s">
        <v>9</v>
      </c>
      <c r="L132" s="25" t="str">
        <f t="shared" si="59"/>
        <v>Arquitetônico</v>
      </c>
      <c r="M132" s="25" t="str">
        <f t="shared" si="60"/>
        <v>Elementos.Camadas</v>
      </c>
      <c r="N132" s="25" t="str">
        <f t="shared" si="61"/>
        <v>Mantas</v>
      </c>
      <c r="O132" s="25" t="str">
        <f t="shared" si="61"/>
        <v>Manta Piso Hidrófugo</v>
      </c>
      <c r="P132" s="20" t="s">
        <v>592</v>
      </c>
      <c r="Q132" s="33" t="s">
        <v>595</v>
      </c>
      <c r="R132" s="52" t="s">
        <v>9</v>
      </c>
      <c r="S132" s="26" t="str">
        <f t="shared" si="62"/>
        <v>Arquitetônico</v>
      </c>
      <c r="T132" s="26" t="str">
        <f t="shared" si="63"/>
        <v>Elementos Camadas</v>
      </c>
      <c r="U132" s="26" t="str">
        <f t="shared" si="64"/>
        <v>Mantas</v>
      </c>
      <c r="V132" s="20" t="s">
        <v>85</v>
      </c>
      <c r="W132" s="71" t="str">
        <f t="shared" si="66"/>
        <v>Key-ARQ-132</v>
      </c>
      <c r="X132" s="20" t="s">
        <v>1526</v>
      </c>
      <c r="Y132" s="26" t="s">
        <v>1433</v>
      </c>
      <c r="Z132" s="52" t="s">
        <v>9</v>
      </c>
      <c r="AA132" s="20" t="str">
        <f t="shared" si="65"/>
        <v>Continuous membrane layer type water-repellent insulating blanket.</v>
      </c>
    </row>
    <row r="133" spans="1:27" ht="6" customHeight="1" x14ac:dyDescent="0.4">
      <c r="A133" s="22">
        <v>133</v>
      </c>
      <c r="B133" s="1" t="s">
        <v>1604</v>
      </c>
      <c r="C133" s="1" t="s">
        <v>1383</v>
      </c>
      <c r="D133" s="1" t="s">
        <v>1381</v>
      </c>
      <c r="E133" s="1" t="s">
        <v>1002</v>
      </c>
      <c r="F133" s="1" t="s">
        <v>1165</v>
      </c>
      <c r="G133" s="56" t="s">
        <v>9</v>
      </c>
      <c r="H133" s="54" t="s">
        <v>9</v>
      </c>
      <c r="I133" s="54" t="s">
        <v>9</v>
      </c>
      <c r="J133" s="56" t="s">
        <v>9</v>
      </c>
      <c r="K133" s="56" t="s">
        <v>9</v>
      </c>
      <c r="L133" s="25" t="str">
        <f t="shared" si="59"/>
        <v>Arquitetônico</v>
      </c>
      <c r="M133" s="25" t="str">
        <f t="shared" si="60"/>
        <v>Elementos.Camadas</v>
      </c>
      <c r="N133" s="25" t="str">
        <f t="shared" si="61"/>
        <v>Mantas</v>
      </c>
      <c r="O133" s="25" t="str">
        <f t="shared" si="61"/>
        <v>Manta Piso Térmico</v>
      </c>
      <c r="P133" s="20" t="s">
        <v>593</v>
      </c>
      <c r="Q133" s="33" t="s">
        <v>596</v>
      </c>
      <c r="R133" s="52" t="s">
        <v>9</v>
      </c>
      <c r="S133" s="26" t="str">
        <f t="shared" si="62"/>
        <v>Arquitetônico</v>
      </c>
      <c r="T133" s="26" t="str">
        <f t="shared" si="63"/>
        <v>Elementos Camadas</v>
      </c>
      <c r="U133" s="26" t="str">
        <f t="shared" si="64"/>
        <v>Mantas</v>
      </c>
      <c r="V133" s="20" t="s">
        <v>85</v>
      </c>
      <c r="W133" s="71" t="str">
        <f t="shared" si="66"/>
        <v>Key-ARQ-133</v>
      </c>
      <c r="X133" s="20" t="s">
        <v>1526</v>
      </c>
      <c r="Y133" s="26" t="s">
        <v>1433</v>
      </c>
      <c r="Z133" s="52" t="s">
        <v>9</v>
      </c>
      <c r="AA133" s="20" t="str">
        <f t="shared" si="65"/>
        <v>Continuous membrane layer type thermal insulating blanket.</v>
      </c>
    </row>
    <row r="134" spans="1:27" ht="6" customHeight="1" x14ac:dyDescent="0.4">
      <c r="A134" s="22">
        <v>134</v>
      </c>
      <c r="B134" s="1" t="s">
        <v>1604</v>
      </c>
      <c r="C134" s="1" t="s">
        <v>1383</v>
      </c>
      <c r="D134" s="1" t="s">
        <v>1381</v>
      </c>
      <c r="E134" s="1" t="s">
        <v>1392</v>
      </c>
      <c r="F134" s="1" t="s">
        <v>547</v>
      </c>
      <c r="G134" s="56" t="s">
        <v>9</v>
      </c>
      <c r="H134" s="54" t="s">
        <v>9</v>
      </c>
      <c r="I134" s="54" t="s">
        <v>9</v>
      </c>
      <c r="J134" s="56" t="s">
        <v>9</v>
      </c>
      <c r="K134" s="56" t="s">
        <v>9</v>
      </c>
      <c r="L134" s="25" t="str">
        <f t="shared" si="59"/>
        <v>Arquitetônico</v>
      </c>
      <c r="M134" s="25" t="str">
        <f t="shared" si="60"/>
        <v>Elementos.Camadas</v>
      </c>
      <c r="N134" s="25" t="str">
        <f t="shared" si="61"/>
        <v>Camadas Acessíveis</v>
      </c>
      <c r="O134" s="25" t="str">
        <f t="shared" si="61"/>
        <v>Piso Tátil Alerta</v>
      </c>
      <c r="P134" s="20" t="s">
        <v>589</v>
      </c>
      <c r="Q134" s="33" t="s">
        <v>597</v>
      </c>
      <c r="R134" s="52" t="s">
        <v>9</v>
      </c>
      <c r="S134" s="26" t="str">
        <f t="shared" si="62"/>
        <v>Arquitetônico</v>
      </c>
      <c r="T134" s="26" t="str">
        <f t="shared" si="63"/>
        <v>Elementos Camadas</v>
      </c>
      <c r="U134" s="26" t="str">
        <f t="shared" si="64"/>
        <v>Camadas Acessíveis</v>
      </c>
      <c r="V134" s="20" t="s">
        <v>85</v>
      </c>
      <c r="W134" s="71" t="str">
        <f t="shared" si="66"/>
        <v>Key-ARQ-134</v>
      </c>
      <c r="X134" s="20" t="s">
        <v>1527</v>
      </c>
      <c r="Y134" s="26" t="s">
        <v>1437</v>
      </c>
      <c r="Z134" s="52" t="s">
        <v>9</v>
      </c>
      <c r="AA134" s="20" t="str">
        <f t="shared" si="65"/>
        <v>Tactile alert accessible tread layer.</v>
      </c>
    </row>
    <row r="135" spans="1:27" ht="6" customHeight="1" x14ac:dyDescent="0.4">
      <c r="A135" s="22">
        <v>135</v>
      </c>
      <c r="B135" s="1" t="s">
        <v>1604</v>
      </c>
      <c r="C135" s="1" t="s">
        <v>1383</v>
      </c>
      <c r="D135" s="1" t="s">
        <v>1381</v>
      </c>
      <c r="E135" s="1" t="s">
        <v>1392</v>
      </c>
      <c r="F135" s="1" t="s">
        <v>548</v>
      </c>
      <c r="G135" s="56" t="s">
        <v>9</v>
      </c>
      <c r="H135" s="54" t="s">
        <v>9</v>
      </c>
      <c r="I135" s="54" t="s">
        <v>9</v>
      </c>
      <c r="J135" s="56" t="s">
        <v>9</v>
      </c>
      <c r="K135" s="56" t="s">
        <v>9</v>
      </c>
      <c r="L135" s="25" t="str">
        <f t="shared" si="59"/>
        <v>Arquitetônico</v>
      </c>
      <c r="M135" s="25" t="str">
        <f t="shared" si="60"/>
        <v>Elementos.Camadas</v>
      </c>
      <c r="N135" s="25" t="str">
        <f t="shared" si="61"/>
        <v>Camadas Acessíveis</v>
      </c>
      <c r="O135" s="25" t="str">
        <f t="shared" si="61"/>
        <v>Piso Tátil Direcional</v>
      </c>
      <c r="P135" s="20" t="s">
        <v>590</v>
      </c>
      <c r="Q135" s="33" t="s">
        <v>598</v>
      </c>
      <c r="R135" s="52" t="s">
        <v>9</v>
      </c>
      <c r="S135" s="26" t="str">
        <f t="shared" si="62"/>
        <v>Arquitetônico</v>
      </c>
      <c r="T135" s="26" t="str">
        <f t="shared" si="63"/>
        <v>Elementos Camadas</v>
      </c>
      <c r="U135" s="26" t="str">
        <f t="shared" si="64"/>
        <v>Camadas Acessíveis</v>
      </c>
      <c r="V135" s="20" t="s">
        <v>85</v>
      </c>
      <c r="W135" s="71" t="str">
        <f t="shared" si="66"/>
        <v>Key-ARQ-135</v>
      </c>
      <c r="X135" s="20" t="s">
        <v>1527</v>
      </c>
      <c r="Y135" s="26" t="s">
        <v>1437</v>
      </c>
      <c r="Z135" s="52" t="s">
        <v>9</v>
      </c>
      <c r="AA135" s="20" t="str">
        <f t="shared" si="65"/>
        <v>Tactile directional accessible tread layer.</v>
      </c>
    </row>
    <row r="136" spans="1:27" ht="6" customHeight="1" x14ac:dyDescent="0.4">
      <c r="A136" s="22">
        <v>136</v>
      </c>
      <c r="B136" s="1" t="s">
        <v>1604</v>
      </c>
      <c r="C136" s="1" t="s">
        <v>1383</v>
      </c>
      <c r="D136" s="1" t="s">
        <v>1381</v>
      </c>
      <c r="E136" s="1" t="s">
        <v>1393</v>
      </c>
      <c r="F136" s="1" t="s">
        <v>546</v>
      </c>
      <c r="G136" s="56" t="s">
        <v>9</v>
      </c>
      <c r="H136" s="54" t="s">
        <v>9</v>
      </c>
      <c r="I136" s="54" t="s">
        <v>9</v>
      </c>
      <c r="J136" s="56" t="s">
        <v>9</v>
      </c>
      <c r="K136" s="56" t="s">
        <v>9</v>
      </c>
      <c r="L136" s="25" t="str">
        <f t="shared" si="59"/>
        <v>Arquitetônico</v>
      </c>
      <c r="M136" s="25" t="str">
        <f t="shared" si="60"/>
        <v>Elementos.Camadas</v>
      </c>
      <c r="N136" s="25" t="str">
        <f t="shared" si="61"/>
        <v>Camadas Resistentes</v>
      </c>
      <c r="O136" s="25" t="str">
        <f t="shared" si="61"/>
        <v>Piso Asfaltado</v>
      </c>
      <c r="P136" s="20" t="s">
        <v>588</v>
      </c>
      <c r="Q136" s="33" t="s">
        <v>599</v>
      </c>
      <c r="R136" s="52" t="s">
        <v>9</v>
      </c>
      <c r="S136" s="26" t="str">
        <f t="shared" si="62"/>
        <v>Arquitetônico</v>
      </c>
      <c r="T136" s="26" t="str">
        <f t="shared" si="63"/>
        <v>Elementos Camadas</v>
      </c>
      <c r="U136" s="26" t="str">
        <f t="shared" si="64"/>
        <v>Camadas Resistentes</v>
      </c>
      <c r="V136" s="20" t="s">
        <v>85</v>
      </c>
      <c r="W136" s="71" t="str">
        <f t="shared" si="66"/>
        <v>Key-ARQ-136</v>
      </c>
      <c r="X136" s="20" t="s">
        <v>1527</v>
      </c>
      <c r="Y136" s="26" t="s">
        <v>1437</v>
      </c>
      <c r="Z136" s="52" t="s">
        <v>9</v>
      </c>
      <c r="AA136" s="20" t="str">
        <f t="shared" si="65"/>
        <v>High resistance asphalt floor layer of high resistance for vehicular traffic.</v>
      </c>
    </row>
    <row r="137" spans="1:27" ht="6" customHeight="1" x14ac:dyDescent="0.4">
      <c r="A137" s="22">
        <v>137</v>
      </c>
      <c r="B137" s="1" t="s">
        <v>1604</v>
      </c>
      <c r="C137" s="1" t="s">
        <v>1383</v>
      </c>
      <c r="D137" s="1" t="s">
        <v>1381</v>
      </c>
      <c r="E137" s="1" t="s">
        <v>1393</v>
      </c>
      <c r="F137" s="1" t="s">
        <v>545</v>
      </c>
      <c r="G137" s="56" t="s">
        <v>9</v>
      </c>
      <c r="H137" s="54" t="s">
        <v>9</v>
      </c>
      <c r="I137" s="54" t="s">
        <v>9</v>
      </c>
      <c r="J137" s="56" t="s">
        <v>9</v>
      </c>
      <c r="K137" s="56" t="s">
        <v>9</v>
      </c>
      <c r="L137" s="25" t="str">
        <f t="shared" si="59"/>
        <v>Arquitetônico</v>
      </c>
      <c r="M137" s="25" t="str">
        <f t="shared" si="60"/>
        <v>Elementos.Camadas</v>
      </c>
      <c r="N137" s="25" t="str">
        <f t="shared" si="61"/>
        <v>Camadas Resistentes</v>
      </c>
      <c r="O137" s="25" t="str">
        <f t="shared" si="61"/>
        <v>Piso Concretado</v>
      </c>
      <c r="P137" s="20" t="s">
        <v>587</v>
      </c>
      <c r="Q137" s="33" t="s">
        <v>600</v>
      </c>
      <c r="R137" s="52" t="s">
        <v>9</v>
      </c>
      <c r="S137" s="26" t="str">
        <f t="shared" si="62"/>
        <v>Arquitetônico</v>
      </c>
      <c r="T137" s="26" t="str">
        <f t="shared" si="63"/>
        <v>Elementos Camadas</v>
      </c>
      <c r="U137" s="26" t="str">
        <f t="shared" si="64"/>
        <v>Camadas Resistentes</v>
      </c>
      <c r="V137" s="20" t="s">
        <v>85</v>
      </c>
      <c r="W137" s="71" t="str">
        <f t="shared" si="66"/>
        <v>Key-ARQ-137</v>
      </c>
      <c r="X137" s="20" t="s">
        <v>1527</v>
      </c>
      <c r="Y137" s="26" t="s">
        <v>1437</v>
      </c>
      <c r="Z137" s="52" t="s">
        <v>9</v>
      </c>
      <c r="AA137" s="20" t="str">
        <f t="shared" si="65"/>
        <v>Layer of high-strength concreted floor for vehicular traffic.</v>
      </c>
    </row>
    <row r="138" spans="1:27" ht="6" customHeight="1" x14ac:dyDescent="0.4">
      <c r="A138" s="22">
        <v>138</v>
      </c>
      <c r="B138" s="1" t="s">
        <v>1604</v>
      </c>
      <c r="C138" s="1" t="s">
        <v>1383</v>
      </c>
      <c r="D138" s="1" t="s">
        <v>1381</v>
      </c>
      <c r="E138" s="1" t="s">
        <v>1393</v>
      </c>
      <c r="F138" s="1" t="s">
        <v>552</v>
      </c>
      <c r="G138" s="56" t="s">
        <v>9</v>
      </c>
      <c r="H138" s="54" t="s">
        <v>9</v>
      </c>
      <c r="I138" s="54" t="s">
        <v>9</v>
      </c>
      <c r="J138" s="56" t="s">
        <v>9</v>
      </c>
      <c r="K138" s="56" t="s">
        <v>9</v>
      </c>
      <c r="L138" s="25" t="str">
        <f t="shared" si="59"/>
        <v>Arquitetônico</v>
      </c>
      <c r="M138" s="25" t="str">
        <f t="shared" si="60"/>
        <v>Elementos.Camadas</v>
      </c>
      <c r="N138" s="25" t="str">
        <f t="shared" si="61"/>
        <v>Camadas Resistentes</v>
      </c>
      <c r="O138" s="25" t="str">
        <f t="shared" si="61"/>
        <v>Piso Automotivo</v>
      </c>
      <c r="P138" s="20" t="s">
        <v>586</v>
      </c>
      <c r="Q138" s="33" t="s">
        <v>564</v>
      </c>
      <c r="R138" s="52" t="s">
        <v>9</v>
      </c>
      <c r="S138" s="26" t="str">
        <f t="shared" si="62"/>
        <v>Arquitetônico</v>
      </c>
      <c r="T138" s="26" t="str">
        <f t="shared" si="63"/>
        <v>Elementos Camadas</v>
      </c>
      <c r="U138" s="26" t="str">
        <f t="shared" si="64"/>
        <v>Camadas Resistentes</v>
      </c>
      <c r="V138" s="20" t="s">
        <v>85</v>
      </c>
      <c r="W138" s="71" t="str">
        <f t="shared" si="66"/>
        <v>Key-ARQ-138</v>
      </c>
      <c r="X138" s="20" t="s">
        <v>1527</v>
      </c>
      <c r="Y138" s="26" t="s">
        <v>1437</v>
      </c>
      <c r="Z138" s="52" t="s">
        <v>9</v>
      </c>
      <c r="AA138" s="20" t="str">
        <f t="shared" si="65"/>
        <v>High strength plate floor layer for vehicle support.</v>
      </c>
    </row>
    <row r="139" spans="1:27" ht="6" customHeight="1" x14ac:dyDescent="0.4">
      <c r="A139" s="22">
        <v>139</v>
      </c>
      <c r="B139" s="1" t="s">
        <v>1604</v>
      </c>
      <c r="C139" s="1" t="s">
        <v>1383</v>
      </c>
      <c r="D139" s="1" t="s">
        <v>1381</v>
      </c>
      <c r="E139" s="1" t="s">
        <v>1393</v>
      </c>
      <c r="F139" s="1" t="s">
        <v>544</v>
      </c>
      <c r="G139" s="56" t="s">
        <v>9</v>
      </c>
      <c r="H139" s="54" t="s">
        <v>9</v>
      </c>
      <c r="I139" s="54" t="s">
        <v>9</v>
      </c>
      <c r="J139" s="56" t="s">
        <v>9</v>
      </c>
      <c r="K139" s="56" t="s">
        <v>9</v>
      </c>
      <c r="L139" s="25" t="str">
        <f t="shared" si="59"/>
        <v>Arquitetônico</v>
      </c>
      <c r="M139" s="25" t="str">
        <f t="shared" si="60"/>
        <v>Elementos.Camadas</v>
      </c>
      <c r="N139" s="25" t="str">
        <f t="shared" si="61"/>
        <v>Camadas Resistentes</v>
      </c>
      <c r="O139" s="25" t="str">
        <f t="shared" si="61"/>
        <v>Piso Bloquete Carro</v>
      </c>
      <c r="P139" s="20" t="s">
        <v>585</v>
      </c>
      <c r="Q139" s="33" t="s">
        <v>601</v>
      </c>
      <c r="R139" s="52" t="s">
        <v>9</v>
      </c>
      <c r="S139" s="26" t="str">
        <f t="shared" si="62"/>
        <v>Arquitetônico</v>
      </c>
      <c r="T139" s="26" t="str">
        <f t="shared" si="63"/>
        <v>Elementos Camadas</v>
      </c>
      <c r="U139" s="26" t="str">
        <f t="shared" si="64"/>
        <v>Camadas Resistentes</v>
      </c>
      <c r="V139" s="20" t="s">
        <v>85</v>
      </c>
      <c r="W139" s="71" t="str">
        <f t="shared" si="66"/>
        <v>Key-ARQ-139</v>
      </c>
      <c r="X139" s="20" t="s">
        <v>1527</v>
      </c>
      <c r="Y139" s="26" t="s">
        <v>1437</v>
      </c>
      <c r="Z139" s="52" t="s">
        <v>9</v>
      </c>
      <c r="AA139" s="20" t="str">
        <f t="shared" si="65"/>
        <v>Draining floor layer of high-strength concrete blocks for vehicular support.</v>
      </c>
    </row>
    <row r="140" spans="1:27" ht="6" customHeight="1" x14ac:dyDescent="0.4">
      <c r="A140" s="22">
        <v>140</v>
      </c>
      <c r="B140" s="1" t="s">
        <v>1604</v>
      </c>
      <c r="C140" s="1" t="s">
        <v>1383</v>
      </c>
      <c r="D140" s="1" t="s">
        <v>1381</v>
      </c>
      <c r="E140" s="1" t="s">
        <v>1394</v>
      </c>
      <c r="F140" s="1" t="s">
        <v>549</v>
      </c>
      <c r="G140" s="56" t="s">
        <v>9</v>
      </c>
      <c r="H140" s="54" t="s">
        <v>9</v>
      </c>
      <c r="I140" s="54" t="s">
        <v>9</v>
      </c>
      <c r="J140" s="56" t="s">
        <v>9</v>
      </c>
      <c r="K140" s="56" t="s">
        <v>9</v>
      </c>
      <c r="L140" s="25" t="str">
        <f t="shared" si="59"/>
        <v>Arquitetônico</v>
      </c>
      <c r="M140" s="25" t="str">
        <f t="shared" si="60"/>
        <v>Elementos.Camadas</v>
      </c>
      <c r="N140" s="25" t="str">
        <f t="shared" si="61"/>
        <v>Camadas Drenantes</v>
      </c>
      <c r="O140" s="25" t="str">
        <f t="shared" si="61"/>
        <v>Piso Intertravado</v>
      </c>
      <c r="P140" s="20" t="s">
        <v>563</v>
      </c>
      <c r="Q140" s="33" t="s">
        <v>565</v>
      </c>
      <c r="R140" s="52" t="s">
        <v>9</v>
      </c>
      <c r="S140" s="26" t="str">
        <f t="shared" si="62"/>
        <v>Arquitetônico</v>
      </c>
      <c r="T140" s="26" t="str">
        <f t="shared" si="63"/>
        <v>Elementos Camadas</v>
      </c>
      <c r="U140" s="26" t="str">
        <f t="shared" si="64"/>
        <v>Camadas Drenantes</v>
      </c>
      <c r="V140" s="20" t="s">
        <v>85</v>
      </c>
      <c r="W140" s="71" t="str">
        <f t="shared" si="66"/>
        <v>Key-ARQ-140</v>
      </c>
      <c r="X140" s="20" t="s">
        <v>1527</v>
      </c>
      <c r="Y140" s="26" t="s">
        <v>1437</v>
      </c>
      <c r="Z140" s="52" t="s">
        <v>9</v>
      </c>
      <c r="AA140" s="20" t="str">
        <f t="shared" si="65"/>
        <v>Interlocking floor layer for pedestrian sidewalks.</v>
      </c>
    </row>
    <row r="141" spans="1:27" ht="6" customHeight="1" x14ac:dyDescent="0.4">
      <c r="A141" s="22">
        <v>141</v>
      </c>
      <c r="B141" s="1" t="s">
        <v>1604</v>
      </c>
      <c r="C141" s="1" t="s">
        <v>1383</v>
      </c>
      <c r="D141" s="1" t="s">
        <v>1381</v>
      </c>
      <c r="E141" s="1" t="s">
        <v>1394</v>
      </c>
      <c r="F141" s="1" t="s">
        <v>550</v>
      </c>
      <c r="G141" s="56" t="s">
        <v>9</v>
      </c>
      <c r="H141" s="54" t="s">
        <v>9</v>
      </c>
      <c r="I141" s="54" t="s">
        <v>9</v>
      </c>
      <c r="J141" s="56" t="s">
        <v>9</v>
      </c>
      <c r="K141" s="56" t="s">
        <v>9</v>
      </c>
      <c r="L141" s="25" t="str">
        <f t="shared" si="59"/>
        <v>Arquitetônico</v>
      </c>
      <c r="M141" s="25" t="str">
        <f t="shared" si="60"/>
        <v>Elementos.Camadas</v>
      </c>
      <c r="N141" s="25" t="str">
        <f t="shared" si="61"/>
        <v>Camadas Drenantes</v>
      </c>
      <c r="O141" s="25" t="str">
        <f t="shared" si="61"/>
        <v>Piso Fulget</v>
      </c>
      <c r="P141" s="20" t="s">
        <v>584</v>
      </c>
      <c r="Q141" s="33" t="s">
        <v>602</v>
      </c>
      <c r="R141" s="52" t="s">
        <v>9</v>
      </c>
      <c r="S141" s="26" t="str">
        <f t="shared" si="62"/>
        <v>Arquitetônico</v>
      </c>
      <c r="T141" s="26" t="str">
        <f t="shared" si="63"/>
        <v>Elementos Camadas</v>
      </c>
      <c r="U141" s="26" t="str">
        <f t="shared" si="64"/>
        <v>Camadas Drenantes</v>
      </c>
      <c r="V141" s="20" t="s">
        <v>85</v>
      </c>
      <c r="W141" s="71" t="str">
        <f t="shared" si="66"/>
        <v>Key-ARQ-141</v>
      </c>
      <c r="X141" s="20" t="s">
        <v>1527</v>
      </c>
      <c r="Y141" s="26" t="s">
        <v>1437</v>
      </c>
      <c r="Z141" s="52" t="s">
        <v>9</v>
      </c>
      <c r="AA141" s="20" t="str">
        <f t="shared" si="65"/>
        <v>Fulget-type draining floor layer for gardens, swimming pools and outdoors.</v>
      </c>
    </row>
    <row r="142" spans="1:27" ht="6" customHeight="1" x14ac:dyDescent="0.4">
      <c r="A142" s="22">
        <v>142</v>
      </c>
      <c r="B142" s="1" t="s">
        <v>1604</v>
      </c>
      <c r="C142" s="1" t="s">
        <v>1383</v>
      </c>
      <c r="D142" s="1" t="s">
        <v>1381</v>
      </c>
      <c r="E142" s="1" t="s">
        <v>1394</v>
      </c>
      <c r="F142" s="1" t="s">
        <v>551</v>
      </c>
      <c r="G142" s="56" t="s">
        <v>9</v>
      </c>
      <c r="H142" s="54" t="s">
        <v>9</v>
      </c>
      <c r="I142" s="54" t="s">
        <v>9</v>
      </c>
      <c r="J142" s="56" t="s">
        <v>9</v>
      </c>
      <c r="K142" s="56" t="s">
        <v>9</v>
      </c>
      <c r="L142" s="25" t="str">
        <f t="shared" si="59"/>
        <v>Arquitetônico</v>
      </c>
      <c r="M142" s="25" t="str">
        <f t="shared" si="60"/>
        <v>Elementos.Camadas</v>
      </c>
      <c r="N142" s="25" t="str">
        <f t="shared" si="61"/>
        <v>Camadas Drenantes</v>
      </c>
      <c r="O142" s="25" t="str">
        <f t="shared" si="61"/>
        <v>Piso Bloquete Grama</v>
      </c>
      <c r="P142" s="20" t="s">
        <v>583</v>
      </c>
      <c r="Q142" s="33" t="s">
        <v>603</v>
      </c>
      <c r="R142" s="52" t="s">
        <v>9</v>
      </c>
      <c r="S142" s="26" t="str">
        <f t="shared" si="62"/>
        <v>Arquitetônico</v>
      </c>
      <c r="T142" s="26" t="str">
        <f t="shared" si="63"/>
        <v>Elementos Camadas</v>
      </c>
      <c r="U142" s="26" t="str">
        <f t="shared" si="64"/>
        <v>Camadas Drenantes</v>
      </c>
      <c r="V142" s="20" t="s">
        <v>85</v>
      </c>
      <c r="W142" s="71" t="str">
        <f t="shared" si="66"/>
        <v>Key-ARQ-142</v>
      </c>
      <c r="X142" s="20" t="s">
        <v>1527</v>
      </c>
      <c r="Y142" s="26" t="s">
        <v>1437</v>
      </c>
      <c r="Z142" s="52" t="s">
        <v>9</v>
      </c>
      <c r="AA142" s="20" t="str">
        <f t="shared" si="65"/>
        <v>Draining floor layer type hollow blocks to allow grass to grow between the pieces.</v>
      </c>
    </row>
    <row r="143" spans="1:27" ht="6" customHeight="1" x14ac:dyDescent="0.4">
      <c r="A143" s="22">
        <v>143</v>
      </c>
      <c r="B143" s="1" t="s">
        <v>1604</v>
      </c>
      <c r="C143" s="1" t="s">
        <v>1383</v>
      </c>
      <c r="D143" s="1" t="s">
        <v>1381</v>
      </c>
      <c r="E143" s="1" t="s">
        <v>1395</v>
      </c>
      <c r="F143" s="1" t="s">
        <v>576</v>
      </c>
      <c r="G143" s="56" t="s">
        <v>9</v>
      </c>
      <c r="H143" s="54" t="s">
        <v>9</v>
      </c>
      <c r="I143" s="54" t="s">
        <v>9</v>
      </c>
      <c r="J143" s="56" t="s">
        <v>9</v>
      </c>
      <c r="K143" s="56" t="s">
        <v>9</v>
      </c>
      <c r="L143" s="25" t="str">
        <f t="shared" si="59"/>
        <v>Arquitetônico</v>
      </c>
      <c r="M143" s="25" t="str">
        <f t="shared" si="60"/>
        <v>Elementos.Camadas</v>
      </c>
      <c r="N143" s="25" t="str">
        <f t="shared" si="61"/>
        <v>Camadas Paginadas</v>
      </c>
      <c r="O143" s="25" t="str">
        <f t="shared" si="61"/>
        <v>Piso Cerâmico</v>
      </c>
      <c r="P143" s="20" t="s">
        <v>581</v>
      </c>
      <c r="Q143" s="33" t="s">
        <v>604</v>
      </c>
      <c r="R143" s="52" t="s">
        <v>9</v>
      </c>
      <c r="S143" s="26" t="str">
        <f t="shared" si="62"/>
        <v>Arquitetônico</v>
      </c>
      <c r="T143" s="26" t="str">
        <f t="shared" si="63"/>
        <v>Elementos Camadas</v>
      </c>
      <c r="U143" s="26" t="str">
        <f t="shared" si="64"/>
        <v>Camadas Paginadas</v>
      </c>
      <c r="V143" s="20" t="s">
        <v>85</v>
      </c>
      <c r="W143" s="71" t="str">
        <f t="shared" si="66"/>
        <v>Key-ARQ-143</v>
      </c>
      <c r="X143" s="20" t="s">
        <v>1527</v>
      </c>
      <c r="Y143" s="26" t="s">
        <v>1437</v>
      </c>
      <c r="Z143" s="52" t="s">
        <v>9</v>
      </c>
      <c r="AA143" s="20" t="str">
        <f t="shared" si="65"/>
        <v>Layer of paginated flooring in ceramic pieces.</v>
      </c>
    </row>
    <row r="144" spans="1:27" ht="6" customHeight="1" x14ac:dyDescent="0.4">
      <c r="A144" s="22">
        <v>144</v>
      </c>
      <c r="B144" s="1" t="s">
        <v>1604</v>
      </c>
      <c r="C144" s="1" t="s">
        <v>1383</v>
      </c>
      <c r="D144" s="1" t="s">
        <v>1381</v>
      </c>
      <c r="E144" s="1" t="s">
        <v>1395</v>
      </c>
      <c r="F144" s="1" t="s">
        <v>575</v>
      </c>
      <c r="G144" s="56" t="s">
        <v>9</v>
      </c>
      <c r="H144" s="54" t="s">
        <v>9</v>
      </c>
      <c r="I144" s="54" t="s">
        <v>9</v>
      </c>
      <c r="J144" s="56" t="s">
        <v>9</v>
      </c>
      <c r="K144" s="56" t="s">
        <v>9</v>
      </c>
      <c r="L144" s="25" t="str">
        <f t="shared" si="59"/>
        <v>Arquitetônico</v>
      </c>
      <c r="M144" s="25" t="str">
        <f t="shared" si="60"/>
        <v>Elementos.Camadas</v>
      </c>
      <c r="N144" s="25" t="str">
        <f t="shared" si="61"/>
        <v>Camadas Paginadas</v>
      </c>
      <c r="O144" s="25" t="str">
        <f t="shared" si="61"/>
        <v>Piso Porcelanato</v>
      </c>
      <c r="P144" s="20" t="s">
        <v>582</v>
      </c>
      <c r="Q144" s="33" t="s">
        <v>605</v>
      </c>
      <c r="R144" s="52" t="s">
        <v>9</v>
      </c>
      <c r="S144" s="26" t="str">
        <f t="shared" si="62"/>
        <v>Arquitetônico</v>
      </c>
      <c r="T144" s="26" t="str">
        <f t="shared" si="63"/>
        <v>Elementos Camadas</v>
      </c>
      <c r="U144" s="26" t="str">
        <f t="shared" si="64"/>
        <v>Camadas Paginadas</v>
      </c>
      <c r="V144" s="20" t="s">
        <v>85</v>
      </c>
      <c r="W144" s="71" t="str">
        <f t="shared" si="66"/>
        <v>Key-ARQ-144</v>
      </c>
      <c r="X144" s="20" t="s">
        <v>1527</v>
      </c>
      <c r="Y144" s="26" t="s">
        <v>1437</v>
      </c>
      <c r="Z144" s="52" t="s">
        <v>9</v>
      </c>
      <c r="AA144" s="20" t="str">
        <f t="shared" si="65"/>
        <v>Layer of paginated floor in porcelain tiles.</v>
      </c>
    </row>
    <row r="145" spans="1:27" ht="6" customHeight="1" x14ac:dyDescent="0.4">
      <c r="A145" s="22">
        <v>145</v>
      </c>
      <c r="B145" s="1" t="s">
        <v>1604</v>
      </c>
      <c r="C145" s="1" t="s">
        <v>1383</v>
      </c>
      <c r="D145" s="1" t="s">
        <v>1381</v>
      </c>
      <c r="E145" s="1" t="s">
        <v>1395</v>
      </c>
      <c r="F145" s="1" t="s">
        <v>539</v>
      </c>
      <c r="G145" s="56" t="s">
        <v>9</v>
      </c>
      <c r="H145" s="54" t="s">
        <v>9</v>
      </c>
      <c r="I145" s="54" t="s">
        <v>9</v>
      </c>
      <c r="J145" s="56" t="s">
        <v>9</v>
      </c>
      <c r="K145" s="56" t="s">
        <v>9</v>
      </c>
      <c r="L145" s="25" t="str">
        <f t="shared" si="59"/>
        <v>Arquitetônico</v>
      </c>
      <c r="M145" s="25" t="str">
        <f t="shared" si="60"/>
        <v>Elementos.Camadas</v>
      </c>
      <c r="N145" s="25" t="str">
        <f t="shared" si="61"/>
        <v>Camadas Paginadas</v>
      </c>
      <c r="O145" s="25" t="str">
        <f t="shared" si="61"/>
        <v>Piso Taco</v>
      </c>
      <c r="P145" s="20" t="s">
        <v>554</v>
      </c>
      <c r="Q145" s="33" t="s">
        <v>566</v>
      </c>
      <c r="R145" s="52" t="s">
        <v>9</v>
      </c>
      <c r="S145" s="26" t="str">
        <f t="shared" si="62"/>
        <v>Arquitetônico</v>
      </c>
      <c r="T145" s="26" t="str">
        <f t="shared" si="63"/>
        <v>Elementos Camadas</v>
      </c>
      <c r="U145" s="26" t="str">
        <f t="shared" si="64"/>
        <v>Camadas Paginadas</v>
      </c>
      <c r="V145" s="20" t="s">
        <v>85</v>
      </c>
      <c r="W145" s="71" t="str">
        <f t="shared" si="66"/>
        <v>Key-ARQ-145</v>
      </c>
      <c r="X145" s="20" t="s">
        <v>1527</v>
      </c>
      <c r="Y145" s="26" t="s">
        <v>1437</v>
      </c>
      <c r="Z145" s="52" t="s">
        <v>9</v>
      </c>
      <c r="AA145" s="20" t="str">
        <f t="shared" si="65"/>
        <v>Wooden parquet floor layer.</v>
      </c>
    </row>
    <row r="146" spans="1:27" ht="6" customHeight="1" x14ac:dyDescent="0.4">
      <c r="A146" s="22">
        <v>146</v>
      </c>
      <c r="B146" s="1" t="s">
        <v>1604</v>
      </c>
      <c r="C146" s="1" t="s">
        <v>1383</v>
      </c>
      <c r="D146" s="1" t="s">
        <v>1381</v>
      </c>
      <c r="E146" s="1" t="s">
        <v>1395</v>
      </c>
      <c r="F146" s="1" t="s">
        <v>540</v>
      </c>
      <c r="G146" s="56" t="s">
        <v>9</v>
      </c>
      <c r="H146" s="54" t="s">
        <v>9</v>
      </c>
      <c r="I146" s="54" t="s">
        <v>9</v>
      </c>
      <c r="J146" s="56" t="s">
        <v>9</v>
      </c>
      <c r="K146" s="56" t="s">
        <v>9</v>
      </c>
      <c r="L146" s="25" t="str">
        <f t="shared" si="59"/>
        <v>Arquitetônico</v>
      </c>
      <c r="M146" s="25" t="str">
        <f t="shared" si="60"/>
        <v>Elementos.Camadas</v>
      </c>
      <c r="N146" s="25" t="str">
        <f t="shared" si="61"/>
        <v>Camadas Paginadas</v>
      </c>
      <c r="O146" s="25" t="str">
        <f t="shared" si="61"/>
        <v>Piso Vinílico</v>
      </c>
      <c r="P146" s="20" t="s">
        <v>555</v>
      </c>
      <c r="Q146" s="33" t="s">
        <v>567</v>
      </c>
      <c r="R146" s="52" t="s">
        <v>9</v>
      </c>
      <c r="S146" s="26" t="str">
        <f t="shared" si="62"/>
        <v>Arquitetônico</v>
      </c>
      <c r="T146" s="26" t="str">
        <f t="shared" si="63"/>
        <v>Elementos Camadas</v>
      </c>
      <c r="U146" s="26" t="str">
        <f t="shared" si="64"/>
        <v>Camadas Paginadas</v>
      </c>
      <c r="V146" s="20" t="s">
        <v>85</v>
      </c>
      <c r="W146" s="71" t="str">
        <f t="shared" si="66"/>
        <v>Key-ARQ-146</v>
      </c>
      <c r="X146" s="20" t="s">
        <v>1527</v>
      </c>
      <c r="Y146" s="26" t="s">
        <v>1437</v>
      </c>
      <c r="Z146" s="52" t="s">
        <v>9</v>
      </c>
      <c r="AA146" s="20" t="str">
        <f t="shared" si="65"/>
        <v>Vinyl flooring layer.</v>
      </c>
    </row>
    <row r="147" spans="1:27" ht="6" customHeight="1" x14ac:dyDescent="0.4">
      <c r="A147" s="22">
        <v>147</v>
      </c>
      <c r="B147" s="1" t="s">
        <v>1604</v>
      </c>
      <c r="C147" s="1" t="s">
        <v>1383</v>
      </c>
      <c r="D147" s="1" t="s">
        <v>1381</v>
      </c>
      <c r="E147" s="1" t="s">
        <v>1395</v>
      </c>
      <c r="F147" s="1" t="s">
        <v>577</v>
      </c>
      <c r="G147" s="56" t="s">
        <v>9</v>
      </c>
      <c r="H147" s="54" t="s">
        <v>9</v>
      </c>
      <c r="I147" s="54" t="s">
        <v>9</v>
      </c>
      <c r="J147" s="56" t="s">
        <v>9</v>
      </c>
      <c r="K147" s="56" t="s">
        <v>9</v>
      </c>
      <c r="L147" s="25" t="str">
        <f t="shared" si="59"/>
        <v>Arquitetônico</v>
      </c>
      <c r="M147" s="25" t="str">
        <f t="shared" si="60"/>
        <v>Elementos.Camadas</v>
      </c>
      <c r="N147" s="25" t="str">
        <f t="shared" si="61"/>
        <v>Camadas Paginadas</v>
      </c>
      <c r="O147" s="25" t="str">
        <f t="shared" si="61"/>
        <v>Piso Pedra Natural</v>
      </c>
      <c r="P147" s="20" t="s">
        <v>556</v>
      </c>
      <c r="Q147" s="33" t="s">
        <v>568</v>
      </c>
      <c r="R147" s="52" t="s">
        <v>9</v>
      </c>
      <c r="S147" s="26" t="str">
        <f t="shared" si="62"/>
        <v>Arquitetônico</v>
      </c>
      <c r="T147" s="26" t="str">
        <f t="shared" si="63"/>
        <v>Elementos Camadas</v>
      </c>
      <c r="U147" s="26" t="str">
        <f t="shared" si="64"/>
        <v>Camadas Paginadas</v>
      </c>
      <c r="V147" s="20" t="s">
        <v>85</v>
      </c>
      <c r="W147" s="71" t="str">
        <f t="shared" si="66"/>
        <v>Key-ARQ-147</v>
      </c>
      <c r="X147" s="20" t="s">
        <v>1527</v>
      </c>
      <c r="Y147" s="26" t="s">
        <v>1437</v>
      </c>
      <c r="Z147" s="52" t="s">
        <v>9</v>
      </c>
      <c r="AA147" s="20" t="str">
        <f t="shared" si="65"/>
        <v>Layer of natural stone flooring, such as granites, marbles, slates, etc.</v>
      </c>
    </row>
    <row r="148" spans="1:27" ht="6" customHeight="1" x14ac:dyDescent="0.4">
      <c r="A148" s="22">
        <v>148</v>
      </c>
      <c r="B148" s="1" t="s">
        <v>1604</v>
      </c>
      <c r="C148" s="1" t="s">
        <v>1383</v>
      </c>
      <c r="D148" s="1" t="s">
        <v>1381</v>
      </c>
      <c r="E148" s="1" t="s">
        <v>1395</v>
      </c>
      <c r="F148" s="1" t="s">
        <v>578</v>
      </c>
      <c r="G148" s="56" t="s">
        <v>9</v>
      </c>
      <c r="H148" s="54" t="s">
        <v>9</v>
      </c>
      <c r="I148" s="54" t="s">
        <v>9</v>
      </c>
      <c r="J148" s="56" t="s">
        <v>9</v>
      </c>
      <c r="K148" s="56" t="s">
        <v>9</v>
      </c>
      <c r="L148" s="25" t="str">
        <f t="shared" si="59"/>
        <v>Arquitetônico</v>
      </c>
      <c r="M148" s="25" t="str">
        <f t="shared" si="60"/>
        <v>Elementos.Camadas</v>
      </c>
      <c r="N148" s="25" t="str">
        <f t="shared" si="61"/>
        <v>Camadas Paginadas</v>
      </c>
      <c r="O148" s="25" t="str">
        <f t="shared" si="61"/>
        <v>Piso Pedra Sintética</v>
      </c>
      <c r="P148" s="20" t="s">
        <v>557</v>
      </c>
      <c r="Q148" s="33" t="s">
        <v>569</v>
      </c>
      <c r="R148" s="52" t="s">
        <v>9</v>
      </c>
      <c r="S148" s="26" t="str">
        <f t="shared" si="62"/>
        <v>Arquitetônico</v>
      </c>
      <c r="T148" s="26" t="str">
        <f t="shared" si="63"/>
        <v>Elementos Camadas</v>
      </c>
      <c r="U148" s="26" t="str">
        <f t="shared" si="64"/>
        <v>Camadas Paginadas</v>
      </c>
      <c r="V148" s="20" t="s">
        <v>85</v>
      </c>
      <c r="W148" s="71" t="str">
        <f t="shared" si="66"/>
        <v>Key-ARQ-148</v>
      </c>
      <c r="X148" s="20" t="s">
        <v>1527</v>
      </c>
      <c r="Y148" s="26" t="s">
        <v>1437</v>
      </c>
      <c r="Z148" s="52" t="s">
        <v>9</v>
      </c>
      <c r="AA148" s="20" t="str">
        <f t="shared" si="65"/>
        <v>Silestone type synthetic stone tread layer,</v>
      </c>
    </row>
    <row r="149" spans="1:27" ht="6" customHeight="1" x14ac:dyDescent="0.4">
      <c r="A149" s="22">
        <v>149</v>
      </c>
      <c r="B149" s="1" t="s">
        <v>1604</v>
      </c>
      <c r="C149" s="1" t="s">
        <v>1383</v>
      </c>
      <c r="D149" s="1" t="s">
        <v>1381</v>
      </c>
      <c r="E149" s="1" t="s">
        <v>1395</v>
      </c>
      <c r="F149" s="1" t="s">
        <v>541</v>
      </c>
      <c r="G149" s="56" t="s">
        <v>9</v>
      </c>
      <c r="H149" s="54" t="s">
        <v>9</v>
      </c>
      <c r="I149" s="54" t="s">
        <v>9</v>
      </c>
      <c r="J149" s="56" t="s">
        <v>9</v>
      </c>
      <c r="K149" s="56" t="s">
        <v>9</v>
      </c>
      <c r="L149" s="25" t="str">
        <f t="shared" si="59"/>
        <v>Arquitetônico</v>
      </c>
      <c r="M149" s="25" t="str">
        <f t="shared" si="60"/>
        <v>Elementos.Camadas</v>
      </c>
      <c r="N149" s="25" t="str">
        <f t="shared" si="61"/>
        <v>Camadas Paginadas</v>
      </c>
      <c r="O149" s="25" t="str">
        <f t="shared" si="61"/>
        <v>Piso Elevado</v>
      </c>
      <c r="P149" s="20" t="s">
        <v>558</v>
      </c>
      <c r="Q149" s="33" t="s">
        <v>570</v>
      </c>
      <c r="R149" s="52" t="s">
        <v>9</v>
      </c>
      <c r="S149" s="26" t="str">
        <f t="shared" si="62"/>
        <v>Arquitetônico</v>
      </c>
      <c r="T149" s="26" t="str">
        <f t="shared" si="63"/>
        <v>Elementos Camadas</v>
      </c>
      <c r="U149" s="26" t="str">
        <f t="shared" si="64"/>
        <v>Camadas Paginadas</v>
      </c>
      <c r="V149" s="20" t="s">
        <v>85</v>
      </c>
      <c r="W149" s="71" t="str">
        <f t="shared" si="66"/>
        <v>Key-ARQ-149</v>
      </c>
      <c r="X149" s="20" t="s">
        <v>1527</v>
      </c>
      <c r="Y149" s="26" t="s">
        <v>1437</v>
      </c>
      <c r="Z149" s="52" t="s">
        <v>9</v>
      </c>
      <c r="AA149" s="20" t="str">
        <f t="shared" si="65"/>
        <v>Raised floor layer for offices and data centers.</v>
      </c>
    </row>
    <row r="150" spans="1:27" ht="6" customHeight="1" x14ac:dyDescent="0.4">
      <c r="A150" s="22">
        <v>150</v>
      </c>
      <c r="B150" s="1" t="s">
        <v>1604</v>
      </c>
      <c r="C150" s="1" t="s">
        <v>1383</v>
      </c>
      <c r="D150" s="1" t="s">
        <v>1381</v>
      </c>
      <c r="E150" s="1" t="s">
        <v>1395</v>
      </c>
      <c r="F150" s="1" t="s">
        <v>636</v>
      </c>
      <c r="G150" s="56" t="s">
        <v>9</v>
      </c>
      <c r="H150" s="54" t="s">
        <v>9</v>
      </c>
      <c r="I150" s="54" t="s">
        <v>9</v>
      </c>
      <c r="J150" s="56" t="s">
        <v>9</v>
      </c>
      <c r="K150" s="56" t="s">
        <v>9</v>
      </c>
      <c r="L150" s="25" t="str">
        <f t="shared" si="59"/>
        <v>Arquitetônico</v>
      </c>
      <c r="M150" s="25" t="str">
        <f t="shared" si="60"/>
        <v>Elementos.Camadas</v>
      </c>
      <c r="N150" s="25" t="str">
        <f t="shared" si="61"/>
        <v>Camadas Paginadas</v>
      </c>
      <c r="O150" s="25" t="str">
        <f t="shared" si="61"/>
        <v>Piso Vidro</v>
      </c>
      <c r="P150" s="20" t="s">
        <v>559</v>
      </c>
      <c r="Q150" s="33" t="s">
        <v>571</v>
      </c>
      <c r="R150" s="52" t="s">
        <v>9</v>
      </c>
      <c r="S150" s="26" t="str">
        <f t="shared" si="62"/>
        <v>Arquitetônico</v>
      </c>
      <c r="T150" s="26" t="str">
        <f t="shared" si="63"/>
        <v>Elementos Camadas</v>
      </c>
      <c r="U150" s="26" t="str">
        <f t="shared" si="64"/>
        <v>Camadas Paginadas</v>
      </c>
      <c r="V150" s="20" t="s">
        <v>85</v>
      </c>
      <c r="W150" s="71" t="str">
        <f t="shared" si="66"/>
        <v>Key-ARQ-150</v>
      </c>
      <c r="X150" s="20" t="s">
        <v>1527</v>
      </c>
      <c r="Y150" s="26" t="s">
        <v>1437</v>
      </c>
      <c r="Z150" s="52" t="s">
        <v>9</v>
      </c>
      <c r="AA150" s="20" t="str">
        <f t="shared" si="65"/>
        <v>Floor layer of translucent or transparent elements such as glass blocks or special glass.</v>
      </c>
    </row>
    <row r="151" spans="1:27" ht="6" customHeight="1" x14ac:dyDescent="0.4">
      <c r="A151" s="22">
        <v>151</v>
      </c>
      <c r="B151" s="1" t="s">
        <v>1604</v>
      </c>
      <c r="C151" s="1" t="s">
        <v>1383</v>
      </c>
      <c r="D151" s="1" t="s">
        <v>1381</v>
      </c>
      <c r="E151" s="1" t="s">
        <v>1395</v>
      </c>
      <c r="F151" s="1" t="s">
        <v>633</v>
      </c>
      <c r="G151" s="56" t="s">
        <v>9</v>
      </c>
      <c r="H151" s="54" t="s">
        <v>9</v>
      </c>
      <c r="I151" s="54" t="s">
        <v>9</v>
      </c>
      <c r="J151" s="56" t="s">
        <v>9</v>
      </c>
      <c r="K151" s="56" t="s">
        <v>9</v>
      </c>
      <c r="L151" s="25" t="str">
        <f t="shared" si="59"/>
        <v>Arquitetônico</v>
      </c>
      <c r="M151" s="25" t="str">
        <f t="shared" si="60"/>
        <v>Elementos.Camadas</v>
      </c>
      <c r="N151" s="25" t="str">
        <f t="shared" si="61"/>
        <v>Camadas Paginadas</v>
      </c>
      <c r="O151" s="25" t="str">
        <f t="shared" si="61"/>
        <v>Piso Gradil</v>
      </c>
      <c r="P151" s="20" t="s">
        <v>635</v>
      </c>
      <c r="Q151" s="33" t="s">
        <v>634</v>
      </c>
      <c r="R151" s="52" t="s">
        <v>9</v>
      </c>
      <c r="S151" s="26" t="str">
        <f t="shared" si="62"/>
        <v>Arquitetônico</v>
      </c>
      <c r="T151" s="26" t="str">
        <f t="shared" si="63"/>
        <v>Elementos Camadas</v>
      </c>
      <c r="U151" s="26" t="str">
        <f t="shared" si="64"/>
        <v>Camadas Paginadas</v>
      </c>
      <c r="V151" s="20" t="s">
        <v>85</v>
      </c>
      <c r="W151" s="71" t="str">
        <f t="shared" si="66"/>
        <v>Key-ARQ-151</v>
      </c>
      <c r="X151" s="20" t="s">
        <v>1527</v>
      </c>
      <c r="Y151" s="26" t="s">
        <v>1437</v>
      </c>
      <c r="Z151" s="52" t="s">
        <v>9</v>
      </c>
      <c r="AA151" s="20" t="str">
        <f t="shared" si="65"/>
        <v>Floor layer of SAE 1045 high-strength carbon steel grating element and structural profiles.</v>
      </c>
    </row>
    <row r="152" spans="1:27" ht="6" customHeight="1" x14ac:dyDescent="0.4">
      <c r="A152" s="22">
        <v>152</v>
      </c>
      <c r="B152" s="1" t="s">
        <v>1604</v>
      </c>
      <c r="C152" s="1" t="s">
        <v>1383</v>
      </c>
      <c r="D152" s="1" t="s">
        <v>1381</v>
      </c>
      <c r="E152" s="1" t="s">
        <v>1395</v>
      </c>
      <c r="F152" s="1" t="s">
        <v>1201</v>
      </c>
      <c r="G152" s="56" t="s">
        <v>9</v>
      </c>
      <c r="H152" s="54" t="s">
        <v>9</v>
      </c>
      <c r="I152" s="54" t="s">
        <v>9</v>
      </c>
      <c r="J152" s="56" t="s">
        <v>9</v>
      </c>
      <c r="K152" s="56" t="s">
        <v>9</v>
      </c>
      <c r="L152" s="25" t="str">
        <f t="shared" si="59"/>
        <v>Arquitetônico</v>
      </c>
      <c r="M152" s="25" t="str">
        <f t="shared" si="60"/>
        <v>Elementos.Camadas</v>
      </c>
      <c r="N152" s="25" t="str">
        <f t="shared" si="61"/>
        <v>Camadas Paginadas</v>
      </c>
      <c r="O152" s="25" t="str">
        <f t="shared" si="61"/>
        <v>Rodapé Cerâmico</v>
      </c>
      <c r="P152" s="20" t="s">
        <v>1207</v>
      </c>
      <c r="Q152" s="33" t="s">
        <v>1213</v>
      </c>
      <c r="R152" s="52" t="s">
        <v>9</v>
      </c>
      <c r="S152" s="26" t="str">
        <f t="shared" si="62"/>
        <v>Arquitetônico</v>
      </c>
      <c r="T152" s="26" t="str">
        <f t="shared" si="63"/>
        <v>Elementos Camadas</v>
      </c>
      <c r="U152" s="26" t="str">
        <f t="shared" si="64"/>
        <v>Camadas Paginadas</v>
      </c>
      <c r="V152" s="20" t="s">
        <v>85</v>
      </c>
      <c r="W152" s="71" t="str">
        <f t="shared" si="66"/>
        <v>Key-ARQ-152</v>
      </c>
      <c r="X152" s="20" t="s">
        <v>1527</v>
      </c>
      <c r="Y152" s="26" t="s">
        <v>1438</v>
      </c>
      <c r="Z152" s="52" t="s">
        <v>9</v>
      </c>
      <c r="AA152" s="20" t="str">
        <f t="shared" si="65"/>
        <v>Skirting board for paginated floor in ceramic pieces.</v>
      </c>
    </row>
    <row r="153" spans="1:27" ht="6" customHeight="1" x14ac:dyDescent="0.4">
      <c r="A153" s="22">
        <v>153</v>
      </c>
      <c r="B153" s="1" t="s">
        <v>1604</v>
      </c>
      <c r="C153" s="1" t="s">
        <v>1383</v>
      </c>
      <c r="D153" s="1" t="s">
        <v>1381</v>
      </c>
      <c r="E153" s="1" t="s">
        <v>1395</v>
      </c>
      <c r="F153" s="1" t="s">
        <v>1202</v>
      </c>
      <c r="G153" s="56" t="s">
        <v>9</v>
      </c>
      <c r="H153" s="54" t="s">
        <v>9</v>
      </c>
      <c r="I153" s="54" t="s">
        <v>9</v>
      </c>
      <c r="J153" s="56" t="s">
        <v>9</v>
      </c>
      <c r="K153" s="56" t="s">
        <v>9</v>
      </c>
      <c r="L153" s="25" t="str">
        <f t="shared" si="59"/>
        <v>Arquitetônico</v>
      </c>
      <c r="M153" s="25" t="str">
        <f t="shared" si="60"/>
        <v>Elementos.Camadas</v>
      </c>
      <c r="N153" s="25" t="str">
        <f t="shared" si="61"/>
        <v>Camadas Paginadas</v>
      </c>
      <c r="O153" s="25" t="str">
        <f t="shared" si="61"/>
        <v>Rodapé Porcelanato</v>
      </c>
      <c r="P153" s="20" t="s">
        <v>1208</v>
      </c>
      <c r="Q153" s="33" t="s">
        <v>1214</v>
      </c>
      <c r="R153" s="52" t="s">
        <v>9</v>
      </c>
      <c r="S153" s="26" t="str">
        <f t="shared" si="62"/>
        <v>Arquitetônico</v>
      </c>
      <c r="T153" s="26" t="str">
        <f t="shared" si="63"/>
        <v>Elementos Camadas</v>
      </c>
      <c r="U153" s="26" t="str">
        <f t="shared" si="64"/>
        <v>Camadas Paginadas</v>
      </c>
      <c r="V153" s="20" t="s">
        <v>85</v>
      </c>
      <c r="W153" s="71" t="str">
        <f t="shared" si="66"/>
        <v>Key-ARQ-153</v>
      </c>
      <c r="X153" s="20" t="s">
        <v>1527</v>
      </c>
      <c r="Y153" s="26" t="s">
        <v>1438</v>
      </c>
      <c r="Z153" s="52" t="s">
        <v>9</v>
      </c>
      <c r="AA153" s="20" t="str">
        <f t="shared" si="65"/>
        <v>Skirting board for paginated floor in porcelain tiles.</v>
      </c>
    </row>
    <row r="154" spans="1:27" ht="6" customHeight="1" x14ac:dyDescent="0.4">
      <c r="A154" s="22">
        <v>154</v>
      </c>
      <c r="B154" s="1" t="s">
        <v>1604</v>
      </c>
      <c r="C154" s="1" t="s">
        <v>1383</v>
      </c>
      <c r="D154" s="1" t="s">
        <v>1381</v>
      </c>
      <c r="E154" s="1" t="s">
        <v>1395</v>
      </c>
      <c r="F154" s="1" t="s">
        <v>1203</v>
      </c>
      <c r="G154" s="56" t="s">
        <v>9</v>
      </c>
      <c r="H154" s="54" t="s">
        <v>9</v>
      </c>
      <c r="I154" s="54" t="s">
        <v>9</v>
      </c>
      <c r="J154" s="56" t="s">
        <v>9</v>
      </c>
      <c r="K154" s="56" t="s">
        <v>9</v>
      </c>
      <c r="L154" s="25" t="str">
        <f t="shared" si="59"/>
        <v>Arquitetônico</v>
      </c>
      <c r="M154" s="25" t="str">
        <f t="shared" si="60"/>
        <v>Elementos.Camadas</v>
      </c>
      <c r="N154" s="25" t="str">
        <f t="shared" si="61"/>
        <v>Camadas Paginadas</v>
      </c>
      <c r="O154" s="25" t="str">
        <f t="shared" si="61"/>
        <v>Rodapé Taco</v>
      </c>
      <c r="P154" s="20" t="s">
        <v>1209</v>
      </c>
      <c r="Q154" s="33" t="s">
        <v>1215</v>
      </c>
      <c r="R154" s="52" t="s">
        <v>9</v>
      </c>
      <c r="S154" s="26" t="str">
        <f t="shared" si="62"/>
        <v>Arquitetônico</v>
      </c>
      <c r="T154" s="26" t="str">
        <f t="shared" si="63"/>
        <v>Elementos Camadas</v>
      </c>
      <c r="U154" s="26" t="str">
        <f t="shared" si="64"/>
        <v>Camadas Paginadas</v>
      </c>
      <c r="V154" s="20" t="s">
        <v>85</v>
      </c>
      <c r="W154" s="71" t="str">
        <f t="shared" si="66"/>
        <v>Key-ARQ-154</v>
      </c>
      <c r="X154" s="20" t="s">
        <v>1527</v>
      </c>
      <c r="Y154" s="26" t="s">
        <v>1438</v>
      </c>
      <c r="Z154" s="52" t="s">
        <v>9</v>
      </c>
      <c r="AA154" s="20" t="str">
        <f t="shared" si="65"/>
        <v>Baseboard for wooden parquet floor.</v>
      </c>
    </row>
    <row r="155" spans="1:27" ht="6" customHeight="1" x14ac:dyDescent="0.4">
      <c r="A155" s="22">
        <v>155</v>
      </c>
      <c r="B155" s="1" t="s">
        <v>1604</v>
      </c>
      <c r="C155" s="1" t="s">
        <v>1383</v>
      </c>
      <c r="D155" s="1" t="s">
        <v>1381</v>
      </c>
      <c r="E155" s="1" t="s">
        <v>1395</v>
      </c>
      <c r="F155" s="1" t="s">
        <v>1204</v>
      </c>
      <c r="G155" s="56" t="s">
        <v>9</v>
      </c>
      <c r="H155" s="54" t="s">
        <v>9</v>
      </c>
      <c r="I155" s="54" t="s">
        <v>9</v>
      </c>
      <c r="J155" s="56" t="s">
        <v>9</v>
      </c>
      <c r="K155" s="56" t="s">
        <v>9</v>
      </c>
      <c r="L155" s="25" t="str">
        <f t="shared" ref="L155:L218" si="67">CONCATENATE("", C155)</f>
        <v>Arquitetônico</v>
      </c>
      <c r="M155" s="25" t="str">
        <f t="shared" ref="M155:M218" si="68">CONCATENATE("", D155)</f>
        <v>Elementos.Camadas</v>
      </c>
      <c r="N155" s="25" t="str">
        <f t="shared" ref="N155:O218" si="69">(SUBSTITUTE(SUBSTITUTE(CONCATENATE("",E155),"."," ")," De "," de "))</f>
        <v>Camadas Paginadas</v>
      </c>
      <c r="O155" s="25" t="str">
        <f t="shared" si="69"/>
        <v>Rodapé Vinílico</v>
      </c>
      <c r="P155" s="20" t="s">
        <v>1210</v>
      </c>
      <c r="Q155" s="33" t="s">
        <v>1216</v>
      </c>
      <c r="R155" s="52" t="s">
        <v>9</v>
      </c>
      <c r="S155" s="26" t="str">
        <f t="shared" ref="S155:S218" si="70">SUBSTITUTE(C155, ".", " ")</f>
        <v>Arquitetônico</v>
      </c>
      <c r="T155" s="26" t="str">
        <f t="shared" ref="T155:T218" si="71">SUBSTITUTE(D155, ".", " ")</f>
        <v>Elementos Camadas</v>
      </c>
      <c r="U155" s="26" t="str">
        <f t="shared" ref="U155:U218" si="72">SUBSTITUTE(E155, ".", " ")</f>
        <v>Camadas Paginadas</v>
      </c>
      <c r="V155" s="20" t="s">
        <v>85</v>
      </c>
      <c r="W155" s="71" t="str">
        <f t="shared" si="66"/>
        <v>Key-ARQ-155</v>
      </c>
      <c r="X155" s="20" t="s">
        <v>1527</v>
      </c>
      <c r="Y155" s="26" t="s">
        <v>1438</v>
      </c>
      <c r="Z155" s="52" t="s">
        <v>9</v>
      </c>
      <c r="AA155" s="20" t="str">
        <f t="shared" si="65"/>
        <v>Baseboard for vinyl floor.</v>
      </c>
    </row>
    <row r="156" spans="1:27" ht="6" customHeight="1" x14ac:dyDescent="0.4">
      <c r="A156" s="22">
        <v>156</v>
      </c>
      <c r="B156" s="1" t="s">
        <v>1604</v>
      </c>
      <c r="C156" s="1" t="s">
        <v>1383</v>
      </c>
      <c r="D156" s="1" t="s">
        <v>1381</v>
      </c>
      <c r="E156" s="1" t="s">
        <v>1395</v>
      </c>
      <c r="F156" s="1" t="s">
        <v>1205</v>
      </c>
      <c r="G156" s="56" t="s">
        <v>9</v>
      </c>
      <c r="H156" s="54" t="s">
        <v>9</v>
      </c>
      <c r="I156" s="54" t="s">
        <v>9</v>
      </c>
      <c r="J156" s="56" t="s">
        <v>9</v>
      </c>
      <c r="K156" s="56" t="s">
        <v>9</v>
      </c>
      <c r="L156" s="25" t="str">
        <f t="shared" si="67"/>
        <v>Arquitetônico</v>
      </c>
      <c r="M156" s="25" t="str">
        <f t="shared" si="68"/>
        <v>Elementos.Camadas</v>
      </c>
      <c r="N156" s="25" t="str">
        <f t="shared" si="69"/>
        <v>Camadas Paginadas</v>
      </c>
      <c r="O156" s="25" t="str">
        <f t="shared" si="69"/>
        <v>Rodapé Pedra Natural</v>
      </c>
      <c r="P156" s="20" t="s">
        <v>1211</v>
      </c>
      <c r="Q156" s="33" t="s">
        <v>1217</v>
      </c>
      <c r="R156" s="52" t="s">
        <v>9</v>
      </c>
      <c r="S156" s="26" t="str">
        <f t="shared" si="70"/>
        <v>Arquitetônico</v>
      </c>
      <c r="T156" s="26" t="str">
        <f t="shared" si="71"/>
        <v>Elementos Camadas</v>
      </c>
      <c r="U156" s="26" t="str">
        <f t="shared" si="72"/>
        <v>Camadas Paginadas</v>
      </c>
      <c r="V156" s="20" t="s">
        <v>85</v>
      </c>
      <c r="W156" s="71" t="str">
        <f t="shared" si="66"/>
        <v>Key-ARQ-156</v>
      </c>
      <c r="X156" s="20" t="s">
        <v>1527</v>
      </c>
      <c r="Y156" s="26" t="s">
        <v>1438</v>
      </c>
      <c r="Z156" s="52" t="s">
        <v>9</v>
      </c>
      <c r="AA156" s="20" t="str">
        <f t="shared" si="65"/>
        <v>Skirting board for natural stone flooring, such as granites, marbles, slates, etc.</v>
      </c>
    </row>
    <row r="157" spans="1:27" ht="6" customHeight="1" x14ac:dyDescent="0.4">
      <c r="A157" s="22">
        <v>157</v>
      </c>
      <c r="B157" s="1" t="s">
        <v>1604</v>
      </c>
      <c r="C157" s="1" t="s">
        <v>1383</v>
      </c>
      <c r="D157" s="1" t="s">
        <v>1381</v>
      </c>
      <c r="E157" s="1" t="s">
        <v>1395</v>
      </c>
      <c r="F157" s="1" t="s">
        <v>1206</v>
      </c>
      <c r="G157" s="56" t="s">
        <v>9</v>
      </c>
      <c r="H157" s="54" t="s">
        <v>9</v>
      </c>
      <c r="I157" s="54" t="s">
        <v>9</v>
      </c>
      <c r="J157" s="56" t="s">
        <v>9</v>
      </c>
      <c r="K157" s="56" t="s">
        <v>9</v>
      </c>
      <c r="L157" s="25" t="str">
        <f t="shared" si="67"/>
        <v>Arquitetônico</v>
      </c>
      <c r="M157" s="25" t="str">
        <f t="shared" si="68"/>
        <v>Elementos.Camadas</v>
      </c>
      <c r="N157" s="25" t="str">
        <f t="shared" si="69"/>
        <v>Camadas Paginadas</v>
      </c>
      <c r="O157" s="25" t="str">
        <f t="shared" si="69"/>
        <v>Rodapé Pedra Sintética</v>
      </c>
      <c r="P157" s="20" t="s">
        <v>1212</v>
      </c>
      <c r="Q157" s="33" t="s">
        <v>1218</v>
      </c>
      <c r="R157" s="52" t="s">
        <v>9</v>
      </c>
      <c r="S157" s="26" t="str">
        <f t="shared" si="70"/>
        <v>Arquitetônico</v>
      </c>
      <c r="T157" s="26" t="str">
        <f t="shared" si="71"/>
        <v>Elementos Camadas</v>
      </c>
      <c r="U157" s="26" t="str">
        <f t="shared" si="72"/>
        <v>Camadas Paginadas</v>
      </c>
      <c r="V157" s="20" t="s">
        <v>85</v>
      </c>
      <c r="W157" s="71" t="str">
        <f t="shared" si="66"/>
        <v>Key-ARQ-157</v>
      </c>
      <c r="X157" s="20" t="s">
        <v>1527</v>
      </c>
      <c r="Y157" s="26" t="s">
        <v>1438</v>
      </c>
      <c r="Z157" s="52" t="s">
        <v>9</v>
      </c>
      <c r="AA157" s="20" t="str">
        <f t="shared" si="65"/>
        <v>Skirting board for synthetic stone floor type Silestone,</v>
      </c>
    </row>
    <row r="158" spans="1:27" ht="6" customHeight="1" x14ac:dyDescent="0.4">
      <c r="A158" s="22">
        <v>158</v>
      </c>
      <c r="B158" s="1" t="s">
        <v>1604</v>
      </c>
      <c r="C158" s="1" t="s">
        <v>1383</v>
      </c>
      <c r="D158" s="1" t="s">
        <v>1381</v>
      </c>
      <c r="E158" s="1" t="s">
        <v>1395</v>
      </c>
      <c r="F158" s="1" t="s">
        <v>580</v>
      </c>
      <c r="G158" s="56" t="s">
        <v>9</v>
      </c>
      <c r="H158" s="54" t="s">
        <v>9</v>
      </c>
      <c r="I158" s="54" t="s">
        <v>9</v>
      </c>
      <c r="J158" s="56" t="s">
        <v>9</v>
      </c>
      <c r="K158" s="56" t="s">
        <v>9</v>
      </c>
      <c r="L158" s="25" t="str">
        <f t="shared" si="67"/>
        <v>Arquitetônico</v>
      </c>
      <c r="M158" s="25" t="str">
        <f t="shared" si="68"/>
        <v>Elementos.Camadas</v>
      </c>
      <c r="N158" s="25" t="str">
        <f t="shared" si="69"/>
        <v>Camadas Paginadas</v>
      </c>
      <c r="O158" s="25" t="str">
        <f t="shared" si="69"/>
        <v>Parede Cerâmica</v>
      </c>
      <c r="P158" s="20" t="s">
        <v>628</v>
      </c>
      <c r="Q158" s="33" t="s">
        <v>629</v>
      </c>
      <c r="R158" s="52" t="s">
        <v>9</v>
      </c>
      <c r="S158" s="26" t="str">
        <f t="shared" si="70"/>
        <v>Arquitetônico</v>
      </c>
      <c r="T158" s="26" t="str">
        <f t="shared" si="71"/>
        <v>Elementos Camadas</v>
      </c>
      <c r="U158" s="26" t="str">
        <f t="shared" si="72"/>
        <v>Camadas Paginadas</v>
      </c>
      <c r="V158" s="20" t="s">
        <v>85</v>
      </c>
      <c r="W158" s="71" t="str">
        <f t="shared" si="66"/>
        <v>Key-ARQ-158</v>
      </c>
      <c r="X158" s="20" t="s">
        <v>1528</v>
      </c>
      <c r="Y158" s="26" t="s">
        <v>1439</v>
      </c>
      <c r="Z158" s="52" t="s">
        <v>9</v>
      </c>
      <c r="AA158" s="20" t="str">
        <f t="shared" ref="AA158:AA221" si="73">_xlfn.TRANSLATE(P158,"pt","en")</f>
        <v>Coating of ceramic pieces paginated on the wall.</v>
      </c>
    </row>
    <row r="159" spans="1:27" ht="6" customHeight="1" x14ac:dyDescent="0.4">
      <c r="A159" s="22">
        <v>159</v>
      </c>
      <c r="B159" s="1" t="s">
        <v>1604</v>
      </c>
      <c r="C159" s="1" t="s">
        <v>1383</v>
      </c>
      <c r="D159" s="1" t="s">
        <v>1381</v>
      </c>
      <c r="E159" s="1" t="s">
        <v>1395</v>
      </c>
      <c r="F159" s="1" t="s">
        <v>579</v>
      </c>
      <c r="G159" s="56" t="s">
        <v>9</v>
      </c>
      <c r="H159" s="54" t="s">
        <v>9</v>
      </c>
      <c r="I159" s="54" t="s">
        <v>9</v>
      </c>
      <c r="J159" s="56" t="s">
        <v>9</v>
      </c>
      <c r="K159" s="56" t="s">
        <v>9</v>
      </c>
      <c r="L159" s="25" t="str">
        <f t="shared" si="67"/>
        <v>Arquitetônico</v>
      </c>
      <c r="M159" s="25" t="str">
        <f t="shared" si="68"/>
        <v>Elementos.Camadas</v>
      </c>
      <c r="N159" s="25" t="str">
        <f t="shared" si="69"/>
        <v>Camadas Paginadas</v>
      </c>
      <c r="O159" s="25" t="str">
        <f t="shared" si="69"/>
        <v>Parede Porcelanato</v>
      </c>
      <c r="P159" s="20" t="s">
        <v>627</v>
      </c>
      <c r="Q159" s="33" t="s">
        <v>630</v>
      </c>
      <c r="R159" s="52" t="s">
        <v>9</v>
      </c>
      <c r="S159" s="26" t="str">
        <f t="shared" si="70"/>
        <v>Arquitetônico</v>
      </c>
      <c r="T159" s="26" t="str">
        <f t="shared" si="71"/>
        <v>Elementos Camadas</v>
      </c>
      <c r="U159" s="26" t="str">
        <f t="shared" si="72"/>
        <v>Camadas Paginadas</v>
      </c>
      <c r="V159" s="20" t="s">
        <v>85</v>
      </c>
      <c r="W159" s="71" t="str">
        <f t="shared" si="66"/>
        <v>Key-ARQ-159</v>
      </c>
      <c r="X159" s="20" t="s">
        <v>1528</v>
      </c>
      <c r="Y159" s="26" t="s">
        <v>1439</v>
      </c>
      <c r="Z159" s="52" t="s">
        <v>9</v>
      </c>
      <c r="AA159" s="20" t="str">
        <f t="shared" si="73"/>
        <v>Coating of porcelain tiles paginated on the wall.</v>
      </c>
    </row>
    <row r="160" spans="1:27" ht="6" customHeight="1" x14ac:dyDescent="0.4">
      <c r="A160" s="22">
        <v>160</v>
      </c>
      <c r="B160" s="1" t="s">
        <v>1604</v>
      </c>
      <c r="C160" s="1" t="s">
        <v>1383</v>
      </c>
      <c r="D160" s="1" t="s">
        <v>1381</v>
      </c>
      <c r="E160" s="1" t="s">
        <v>1395</v>
      </c>
      <c r="F160" s="24" t="s">
        <v>620</v>
      </c>
      <c r="G160" s="56" t="s">
        <v>9</v>
      </c>
      <c r="H160" s="54" t="s">
        <v>9</v>
      </c>
      <c r="I160" s="54" t="s">
        <v>9</v>
      </c>
      <c r="J160" s="56" t="s">
        <v>9</v>
      </c>
      <c r="K160" s="56" t="s">
        <v>9</v>
      </c>
      <c r="L160" s="25" t="str">
        <f t="shared" si="67"/>
        <v>Arquitetônico</v>
      </c>
      <c r="M160" s="25" t="str">
        <f t="shared" si="68"/>
        <v>Elementos.Camadas</v>
      </c>
      <c r="N160" s="25" t="str">
        <f t="shared" si="69"/>
        <v>Camadas Paginadas</v>
      </c>
      <c r="O160" s="25" t="str">
        <f t="shared" si="69"/>
        <v>Parede Azulejada</v>
      </c>
      <c r="P160" s="34" t="s">
        <v>250</v>
      </c>
      <c r="Q160" s="33" t="s">
        <v>251</v>
      </c>
      <c r="R160" s="52" t="s">
        <v>9</v>
      </c>
      <c r="S160" s="26" t="str">
        <f t="shared" si="70"/>
        <v>Arquitetônico</v>
      </c>
      <c r="T160" s="26" t="str">
        <f t="shared" si="71"/>
        <v>Elementos Camadas</v>
      </c>
      <c r="U160" s="26" t="str">
        <f t="shared" si="72"/>
        <v>Camadas Paginadas</v>
      </c>
      <c r="V160" s="20" t="s">
        <v>85</v>
      </c>
      <c r="W160" s="71" t="str">
        <f t="shared" si="66"/>
        <v>Key-ARQ-160</v>
      </c>
      <c r="X160" s="20" t="s">
        <v>1528</v>
      </c>
      <c r="Y160" s="26" t="s">
        <v>1439</v>
      </c>
      <c r="Z160" s="52" t="s">
        <v>9</v>
      </c>
      <c r="AA160" s="20" t="str">
        <f t="shared" si="73"/>
        <v>Coating formed by tile pieces for impermeable surfaces such as bathrooms or hydraulic rooms.</v>
      </c>
    </row>
    <row r="161" spans="1:27" ht="6" customHeight="1" x14ac:dyDescent="0.4">
      <c r="A161" s="22">
        <v>161</v>
      </c>
      <c r="B161" s="1" t="s">
        <v>1604</v>
      </c>
      <c r="C161" s="1" t="s">
        <v>1383</v>
      </c>
      <c r="D161" s="1" t="s">
        <v>1381</v>
      </c>
      <c r="E161" s="1" t="s">
        <v>1395</v>
      </c>
      <c r="F161" s="24" t="s">
        <v>626</v>
      </c>
      <c r="G161" s="56" t="s">
        <v>9</v>
      </c>
      <c r="H161" s="54" t="s">
        <v>9</v>
      </c>
      <c r="I161" s="54" t="s">
        <v>9</v>
      </c>
      <c r="J161" s="56" t="s">
        <v>9</v>
      </c>
      <c r="K161" s="56" t="s">
        <v>9</v>
      </c>
      <c r="L161" s="25" t="str">
        <f t="shared" si="67"/>
        <v>Arquitetônico</v>
      </c>
      <c r="M161" s="25" t="str">
        <f t="shared" si="68"/>
        <v>Elementos.Camadas</v>
      </c>
      <c r="N161" s="25" t="str">
        <f t="shared" si="69"/>
        <v>Camadas Paginadas</v>
      </c>
      <c r="O161" s="25" t="str">
        <f t="shared" si="69"/>
        <v>Parede Hidráulica</v>
      </c>
      <c r="P161" s="34" t="s">
        <v>254</v>
      </c>
      <c r="Q161" s="33" t="s">
        <v>255</v>
      </c>
      <c r="R161" s="52" t="s">
        <v>9</v>
      </c>
      <c r="S161" s="26" t="str">
        <f t="shared" si="70"/>
        <v>Arquitetônico</v>
      </c>
      <c r="T161" s="26" t="str">
        <f t="shared" si="71"/>
        <v>Elementos Camadas</v>
      </c>
      <c r="U161" s="26" t="str">
        <f t="shared" si="72"/>
        <v>Camadas Paginadas</v>
      </c>
      <c r="V161" s="20" t="s">
        <v>85</v>
      </c>
      <c r="W161" s="71" t="str">
        <f t="shared" si="66"/>
        <v>Key-ARQ-161</v>
      </c>
      <c r="X161" s="20" t="s">
        <v>1528</v>
      </c>
      <c r="Y161" s="26" t="s">
        <v>1439</v>
      </c>
      <c r="Z161" s="52" t="s">
        <v>9</v>
      </c>
      <c r="AA161" s="20" t="str">
        <f t="shared" si="73"/>
        <v>Coating formed by pieces of vitreous tiles for impermeable surfaces such as bathrooms or hydraulic rooms.</v>
      </c>
    </row>
    <row r="162" spans="1:27" ht="6" customHeight="1" x14ac:dyDescent="0.4">
      <c r="A162" s="22">
        <v>162</v>
      </c>
      <c r="B162" s="1" t="s">
        <v>1604</v>
      </c>
      <c r="C162" s="1" t="s">
        <v>1383</v>
      </c>
      <c r="D162" s="1" t="s">
        <v>1381</v>
      </c>
      <c r="E162" s="1" t="s">
        <v>1395</v>
      </c>
      <c r="F162" s="24" t="s">
        <v>621</v>
      </c>
      <c r="G162" s="56" t="s">
        <v>9</v>
      </c>
      <c r="H162" s="54" t="s">
        <v>9</v>
      </c>
      <c r="I162" s="54" t="s">
        <v>9</v>
      </c>
      <c r="J162" s="56" t="s">
        <v>9</v>
      </c>
      <c r="K162" s="56" t="s">
        <v>9</v>
      </c>
      <c r="L162" s="25" t="str">
        <f t="shared" si="67"/>
        <v>Arquitetônico</v>
      </c>
      <c r="M162" s="25" t="str">
        <f t="shared" si="68"/>
        <v>Elementos.Camadas</v>
      </c>
      <c r="N162" s="25" t="str">
        <f t="shared" si="69"/>
        <v>Camadas Paginadas</v>
      </c>
      <c r="O162" s="25" t="str">
        <f t="shared" si="69"/>
        <v>Parede Lambri</v>
      </c>
      <c r="P162" s="34" t="s">
        <v>244</v>
      </c>
      <c r="Q162" s="33" t="s">
        <v>245</v>
      </c>
      <c r="R162" s="52" t="s">
        <v>9</v>
      </c>
      <c r="S162" s="26" t="str">
        <f t="shared" si="70"/>
        <v>Arquitetônico</v>
      </c>
      <c r="T162" s="26" t="str">
        <f t="shared" si="71"/>
        <v>Elementos Camadas</v>
      </c>
      <c r="U162" s="26" t="str">
        <f t="shared" si="72"/>
        <v>Camadas Paginadas</v>
      </c>
      <c r="V162" s="20" t="s">
        <v>85</v>
      </c>
      <c r="W162" s="71" t="str">
        <f t="shared" si="66"/>
        <v>Key-ARQ-162</v>
      </c>
      <c r="X162" s="20" t="s">
        <v>1528</v>
      </c>
      <c r="Y162" s="26" t="s">
        <v>1439</v>
      </c>
      <c r="Z162" s="52" t="s">
        <v>9</v>
      </c>
      <c r="AA162" s="20" t="str">
        <f t="shared" si="73"/>
        <v>Coating designed with wooden rulers, MDF, PVC, plaster or metallic material.</v>
      </c>
    </row>
    <row r="163" spans="1:27" ht="6" customHeight="1" x14ac:dyDescent="0.4">
      <c r="A163" s="22">
        <v>163</v>
      </c>
      <c r="B163" s="1" t="s">
        <v>1604</v>
      </c>
      <c r="C163" s="1" t="s">
        <v>1383</v>
      </c>
      <c r="D163" s="1" t="s">
        <v>1381</v>
      </c>
      <c r="E163" s="1" t="s">
        <v>1395</v>
      </c>
      <c r="F163" s="24" t="s">
        <v>622</v>
      </c>
      <c r="G163" s="56" t="s">
        <v>9</v>
      </c>
      <c r="H163" s="54" t="s">
        <v>9</v>
      </c>
      <c r="I163" s="54" t="s">
        <v>9</v>
      </c>
      <c r="J163" s="56" t="s">
        <v>9</v>
      </c>
      <c r="K163" s="56" t="s">
        <v>9</v>
      </c>
      <c r="L163" s="25" t="str">
        <f t="shared" si="67"/>
        <v>Arquitetônico</v>
      </c>
      <c r="M163" s="25" t="str">
        <f t="shared" si="68"/>
        <v>Elementos.Camadas</v>
      </c>
      <c r="N163" s="25" t="str">
        <f t="shared" si="69"/>
        <v>Camadas Paginadas</v>
      </c>
      <c r="O163" s="25" t="str">
        <f t="shared" si="69"/>
        <v>Parede Emplacada</v>
      </c>
      <c r="P163" s="34" t="s">
        <v>246</v>
      </c>
      <c r="Q163" s="33" t="s">
        <v>247</v>
      </c>
      <c r="R163" s="52" t="s">
        <v>9</v>
      </c>
      <c r="S163" s="26" t="str">
        <f t="shared" si="70"/>
        <v>Arquitetônico</v>
      </c>
      <c r="T163" s="26" t="str">
        <f t="shared" si="71"/>
        <v>Elementos Camadas</v>
      </c>
      <c r="U163" s="26" t="str">
        <f t="shared" si="72"/>
        <v>Camadas Paginadas</v>
      </c>
      <c r="V163" s="20" t="s">
        <v>85</v>
      </c>
      <c r="W163" s="71" t="str">
        <f t="shared" si="66"/>
        <v>Key-ARQ-163</v>
      </c>
      <c r="X163" s="20" t="s">
        <v>1528</v>
      </c>
      <c r="Y163" s="26" t="s">
        <v>1439</v>
      </c>
      <c r="Z163" s="52" t="s">
        <v>9</v>
      </c>
      <c r="AA163" s="20" t="str">
        <f t="shared" si="73"/>
        <v>Coating designed with plates with decorative, acoustic, thermal function, etc.</v>
      </c>
    </row>
    <row r="164" spans="1:27" ht="6" customHeight="1" x14ac:dyDescent="0.4">
      <c r="A164" s="22">
        <v>164</v>
      </c>
      <c r="B164" s="1" t="s">
        <v>1604</v>
      </c>
      <c r="C164" s="1" t="s">
        <v>1383</v>
      </c>
      <c r="D164" s="1" t="s">
        <v>1381</v>
      </c>
      <c r="E164" s="1" t="s">
        <v>1395</v>
      </c>
      <c r="F164" s="24" t="s">
        <v>623</v>
      </c>
      <c r="G164" s="56" t="s">
        <v>9</v>
      </c>
      <c r="H164" s="54" t="s">
        <v>9</v>
      </c>
      <c r="I164" s="54" t="s">
        <v>9</v>
      </c>
      <c r="J164" s="56" t="s">
        <v>9</v>
      </c>
      <c r="K164" s="56" t="s">
        <v>9</v>
      </c>
      <c r="L164" s="25" t="str">
        <f t="shared" si="67"/>
        <v>Arquitetônico</v>
      </c>
      <c r="M164" s="25" t="str">
        <f t="shared" si="68"/>
        <v>Elementos.Camadas</v>
      </c>
      <c r="N164" s="25" t="str">
        <f t="shared" si="69"/>
        <v>Camadas Paginadas</v>
      </c>
      <c r="O164" s="25" t="str">
        <f t="shared" si="69"/>
        <v>Parede Painel</v>
      </c>
      <c r="P164" s="34" t="s">
        <v>248</v>
      </c>
      <c r="Q164" s="33" t="s">
        <v>249</v>
      </c>
      <c r="R164" s="52" t="s">
        <v>9</v>
      </c>
      <c r="S164" s="26" t="str">
        <f t="shared" si="70"/>
        <v>Arquitetônico</v>
      </c>
      <c r="T164" s="26" t="str">
        <f t="shared" si="71"/>
        <v>Elementos Camadas</v>
      </c>
      <c r="U164" s="26" t="str">
        <f t="shared" si="72"/>
        <v>Camadas Paginadas</v>
      </c>
      <c r="V164" s="20" t="s">
        <v>85</v>
      </c>
      <c r="W164" s="71" t="str">
        <f t="shared" si="66"/>
        <v>Key-ARQ-164</v>
      </c>
      <c r="X164" s="20" t="s">
        <v>1528</v>
      </c>
      <c r="Y164" s="26" t="s">
        <v>1439</v>
      </c>
      <c r="Z164" s="52" t="s">
        <v>9</v>
      </c>
      <c r="AA164" s="20" t="str">
        <f t="shared" si="73"/>
        <v>Panel designed with decorative, acoustic, thermal function, etc.</v>
      </c>
    </row>
    <row r="165" spans="1:27" ht="6" customHeight="1" x14ac:dyDescent="0.4">
      <c r="A165" s="22">
        <v>165</v>
      </c>
      <c r="B165" s="1" t="s">
        <v>1604</v>
      </c>
      <c r="C165" s="1" t="s">
        <v>1383</v>
      </c>
      <c r="D165" s="1" t="s">
        <v>1381</v>
      </c>
      <c r="E165" s="1" t="s">
        <v>1395</v>
      </c>
      <c r="F165" s="1" t="s">
        <v>624</v>
      </c>
      <c r="G165" s="56" t="s">
        <v>9</v>
      </c>
      <c r="H165" s="54" t="s">
        <v>9</v>
      </c>
      <c r="I165" s="54" t="s">
        <v>9</v>
      </c>
      <c r="J165" s="56" t="s">
        <v>9</v>
      </c>
      <c r="K165" s="56" t="s">
        <v>9</v>
      </c>
      <c r="L165" s="25" t="str">
        <f t="shared" si="67"/>
        <v>Arquitetônico</v>
      </c>
      <c r="M165" s="25" t="str">
        <f t="shared" si="68"/>
        <v>Elementos.Camadas</v>
      </c>
      <c r="N165" s="25" t="str">
        <f t="shared" si="69"/>
        <v>Camadas Paginadas</v>
      </c>
      <c r="O165" s="25" t="str">
        <f t="shared" si="69"/>
        <v>Parede Alucobond</v>
      </c>
      <c r="P165" s="34" t="s">
        <v>508</v>
      </c>
      <c r="Q165" s="33" t="s">
        <v>509</v>
      </c>
      <c r="R165" s="52" t="s">
        <v>9</v>
      </c>
      <c r="S165" s="26" t="str">
        <f t="shared" si="70"/>
        <v>Arquitetônico</v>
      </c>
      <c r="T165" s="26" t="str">
        <f t="shared" si="71"/>
        <v>Elementos Camadas</v>
      </c>
      <c r="U165" s="26" t="str">
        <f t="shared" si="72"/>
        <v>Camadas Paginadas</v>
      </c>
      <c r="V165" s="20" t="s">
        <v>85</v>
      </c>
      <c r="W165" s="71" t="str">
        <f t="shared" si="66"/>
        <v>Key-ARQ-165</v>
      </c>
      <c r="X165" s="20" t="s">
        <v>1528</v>
      </c>
      <c r="Y165" s="26" t="s">
        <v>1439</v>
      </c>
      <c r="Z165" s="52" t="s">
        <v>9</v>
      </c>
      <c r="AA165" s="20" t="str">
        <f t="shared" si="73"/>
        <v>Coating for exterior walls in ventilated or directly applied systems. Composite aluminum (ACM) with high resistance to weathering, UV rays and corrosion.</v>
      </c>
    </row>
    <row r="166" spans="1:27" ht="6" customHeight="1" x14ac:dyDescent="0.4">
      <c r="A166" s="22">
        <v>166</v>
      </c>
      <c r="B166" s="1" t="s">
        <v>1604</v>
      </c>
      <c r="C166" s="1" t="s">
        <v>1383</v>
      </c>
      <c r="D166" s="1" t="s">
        <v>1381</v>
      </c>
      <c r="E166" s="1" t="s">
        <v>1395</v>
      </c>
      <c r="F166" s="24" t="s">
        <v>625</v>
      </c>
      <c r="G166" s="56" t="s">
        <v>9</v>
      </c>
      <c r="H166" s="54" t="s">
        <v>9</v>
      </c>
      <c r="I166" s="54" t="s">
        <v>9</v>
      </c>
      <c r="J166" s="56" t="s">
        <v>9</v>
      </c>
      <c r="K166" s="56" t="s">
        <v>9</v>
      </c>
      <c r="L166" s="25" t="str">
        <f t="shared" si="67"/>
        <v>Arquitetônico</v>
      </c>
      <c r="M166" s="25" t="str">
        <f t="shared" si="68"/>
        <v>Elementos.Camadas</v>
      </c>
      <c r="N166" s="25" t="str">
        <f t="shared" si="69"/>
        <v>Camadas Paginadas</v>
      </c>
      <c r="O166" s="25" t="str">
        <f t="shared" si="69"/>
        <v>Parede Fachada</v>
      </c>
      <c r="P166" s="34" t="s">
        <v>252</v>
      </c>
      <c r="Q166" s="34" t="s">
        <v>253</v>
      </c>
      <c r="R166" s="52" t="s">
        <v>9</v>
      </c>
      <c r="S166" s="26" t="str">
        <f t="shared" si="70"/>
        <v>Arquitetônico</v>
      </c>
      <c r="T166" s="26" t="str">
        <f t="shared" si="71"/>
        <v>Elementos Camadas</v>
      </c>
      <c r="U166" s="26" t="str">
        <f t="shared" si="72"/>
        <v>Camadas Paginadas</v>
      </c>
      <c r="V166" s="20" t="s">
        <v>85</v>
      </c>
      <c r="W166" s="71" t="str">
        <f t="shared" si="66"/>
        <v>Key-ARQ-166</v>
      </c>
      <c r="X166" s="20" t="s">
        <v>1528</v>
      </c>
      <c r="Y166" s="26" t="s">
        <v>1439</v>
      </c>
      <c r="Z166" s="52" t="s">
        <v>9</v>
      </c>
      <c r="AA166" s="20" t="str">
        <f t="shared" si="73"/>
        <v>Coating for ventilated façade formed by pieces with a photocatalytic layer that decomposes organic materials facilitating their removal by rain (hydrophilicity).</v>
      </c>
    </row>
    <row r="167" spans="1:27" ht="6" customHeight="1" x14ac:dyDescent="0.4">
      <c r="A167" s="22">
        <v>167</v>
      </c>
      <c r="B167" s="1" t="s">
        <v>1604</v>
      </c>
      <c r="C167" s="1" t="s">
        <v>1383</v>
      </c>
      <c r="D167" s="1" t="s">
        <v>1381</v>
      </c>
      <c r="E167" s="1" t="s">
        <v>1396</v>
      </c>
      <c r="F167" s="1" t="s">
        <v>553</v>
      </c>
      <c r="G167" s="56" t="s">
        <v>9</v>
      </c>
      <c r="H167" s="54" t="s">
        <v>9</v>
      </c>
      <c r="I167" s="54" t="s">
        <v>9</v>
      </c>
      <c r="J167" s="56" t="s">
        <v>9</v>
      </c>
      <c r="K167" s="56" t="s">
        <v>9</v>
      </c>
      <c r="L167" s="25" t="str">
        <f t="shared" si="67"/>
        <v>Arquitetônico</v>
      </c>
      <c r="M167" s="25" t="str">
        <f t="shared" si="68"/>
        <v>Elementos.Camadas</v>
      </c>
      <c r="N167" s="25" t="str">
        <f t="shared" si="69"/>
        <v>Camadas Contínuas</v>
      </c>
      <c r="O167" s="25" t="str">
        <f t="shared" si="69"/>
        <v>Piso Carpete</v>
      </c>
      <c r="P167" s="20" t="s">
        <v>560</v>
      </c>
      <c r="Q167" s="33" t="s">
        <v>572</v>
      </c>
      <c r="R167" s="52" t="s">
        <v>9</v>
      </c>
      <c r="S167" s="26" t="str">
        <f t="shared" si="70"/>
        <v>Arquitetônico</v>
      </c>
      <c r="T167" s="26" t="str">
        <f t="shared" si="71"/>
        <v>Elementos Camadas</v>
      </c>
      <c r="U167" s="26" t="str">
        <f t="shared" si="72"/>
        <v>Camadas Contínuas</v>
      </c>
      <c r="V167" s="20" t="s">
        <v>85</v>
      </c>
      <c r="W167" s="71" t="str">
        <f t="shared" si="66"/>
        <v>Key-ARQ-167</v>
      </c>
      <c r="X167" s="20" t="s">
        <v>1527</v>
      </c>
      <c r="Y167" s="26" t="s">
        <v>1437</v>
      </c>
      <c r="Z167" s="52" t="s">
        <v>9</v>
      </c>
      <c r="AA167" s="20" t="str">
        <f t="shared" si="73"/>
        <v>Floor layer of textile material such as carpets.</v>
      </c>
    </row>
    <row r="168" spans="1:27" ht="6" customHeight="1" x14ac:dyDescent="0.4">
      <c r="A168" s="22">
        <v>168</v>
      </c>
      <c r="B168" s="1" t="s">
        <v>1604</v>
      </c>
      <c r="C168" s="1" t="s">
        <v>1383</v>
      </c>
      <c r="D168" s="1" t="s">
        <v>1381</v>
      </c>
      <c r="E168" s="1" t="s">
        <v>1396</v>
      </c>
      <c r="F168" s="1" t="s">
        <v>542</v>
      </c>
      <c r="G168" s="56" t="s">
        <v>9</v>
      </c>
      <c r="H168" s="54" t="s">
        <v>9</v>
      </c>
      <c r="I168" s="54" t="s">
        <v>9</v>
      </c>
      <c r="J168" s="56" t="s">
        <v>9</v>
      </c>
      <c r="K168" s="56" t="s">
        <v>9</v>
      </c>
      <c r="L168" s="25" t="str">
        <f t="shared" si="67"/>
        <v>Arquitetônico</v>
      </c>
      <c r="M168" s="25" t="str">
        <f t="shared" si="68"/>
        <v>Elementos.Camadas</v>
      </c>
      <c r="N168" s="25" t="str">
        <f t="shared" si="69"/>
        <v>Camadas Contínuas</v>
      </c>
      <c r="O168" s="25" t="str">
        <f t="shared" si="69"/>
        <v>Piso Cimentado</v>
      </c>
      <c r="P168" s="20" t="s">
        <v>561</v>
      </c>
      <c r="Q168" s="33" t="s">
        <v>573</v>
      </c>
      <c r="R168" s="52" t="s">
        <v>9</v>
      </c>
      <c r="S168" s="26" t="str">
        <f t="shared" si="70"/>
        <v>Arquitetônico</v>
      </c>
      <c r="T168" s="26" t="str">
        <f t="shared" si="71"/>
        <v>Elementos Camadas</v>
      </c>
      <c r="U168" s="26" t="str">
        <f t="shared" si="72"/>
        <v>Camadas Contínuas</v>
      </c>
      <c r="V168" s="20" t="s">
        <v>85</v>
      </c>
      <c r="W168" s="71" t="str">
        <f t="shared" si="66"/>
        <v>Key-ARQ-168</v>
      </c>
      <c r="X168" s="20" t="s">
        <v>1527</v>
      </c>
      <c r="Y168" s="26" t="s">
        <v>1437</v>
      </c>
      <c r="Z168" s="52" t="s">
        <v>9</v>
      </c>
      <c r="AA168" s="20" t="str">
        <f t="shared" si="73"/>
        <v>Solid cemented floor layer.</v>
      </c>
    </row>
    <row r="169" spans="1:27" ht="6" customHeight="1" x14ac:dyDescent="0.4">
      <c r="A169" s="22">
        <v>169</v>
      </c>
      <c r="B169" s="1" t="s">
        <v>1604</v>
      </c>
      <c r="C169" s="1" t="s">
        <v>1383</v>
      </c>
      <c r="D169" s="1" t="s">
        <v>1381</v>
      </c>
      <c r="E169" s="1" t="s">
        <v>1396</v>
      </c>
      <c r="F169" s="1" t="s">
        <v>543</v>
      </c>
      <c r="G169" s="56" t="s">
        <v>9</v>
      </c>
      <c r="H169" s="54" t="s">
        <v>9</v>
      </c>
      <c r="I169" s="54" t="s">
        <v>9</v>
      </c>
      <c r="J169" s="56" t="s">
        <v>9</v>
      </c>
      <c r="K169" s="56" t="s">
        <v>9</v>
      </c>
      <c r="L169" s="25" t="str">
        <f t="shared" si="67"/>
        <v>Arquitetônico</v>
      </c>
      <c r="M169" s="25" t="str">
        <f t="shared" si="68"/>
        <v>Elementos.Camadas</v>
      </c>
      <c r="N169" s="25" t="str">
        <f t="shared" si="69"/>
        <v>Camadas Contínuas</v>
      </c>
      <c r="O169" s="25" t="str">
        <f t="shared" si="69"/>
        <v>Piso Gramado</v>
      </c>
      <c r="P169" s="20" t="s">
        <v>562</v>
      </c>
      <c r="Q169" s="33" t="s">
        <v>574</v>
      </c>
      <c r="R169" s="52" t="s">
        <v>9</v>
      </c>
      <c r="S169" s="26" t="str">
        <f t="shared" si="70"/>
        <v>Arquitetônico</v>
      </c>
      <c r="T169" s="26" t="str">
        <f t="shared" si="71"/>
        <v>Elementos Camadas</v>
      </c>
      <c r="U169" s="26" t="str">
        <f t="shared" si="72"/>
        <v>Camadas Contínuas</v>
      </c>
      <c r="V169" s="20" t="s">
        <v>85</v>
      </c>
      <c r="W169" s="71" t="str">
        <f t="shared" si="66"/>
        <v>Key-ARQ-169</v>
      </c>
      <c r="X169" s="20" t="s">
        <v>1527</v>
      </c>
      <c r="Y169" s="26" t="s">
        <v>1437</v>
      </c>
      <c r="Z169" s="52" t="s">
        <v>9</v>
      </c>
      <c r="AA169" s="20" t="str">
        <f t="shared" si="73"/>
        <v>Layer of green floors of natural or artificial grass.</v>
      </c>
    </row>
    <row r="170" spans="1:27" ht="6" customHeight="1" x14ac:dyDescent="0.4">
      <c r="A170" s="22">
        <v>170</v>
      </c>
      <c r="B170" s="1" t="s">
        <v>1604</v>
      </c>
      <c r="C170" s="1" t="s">
        <v>1383</v>
      </c>
      <c r="D170" s="1" t="s">
        <v>1381</v>
      </c>
      <c r="E170" s="1" t="s">
        <v>1396</v>
      </c>
      <c r="F170" s="24" t="s">
        <v>529</v>
      </c>
      <c r="G170" s="56" t="s">
        <v>9</v>
      </c>
      <c r="H170" s="54" t="s">
        <v>9</v>
      </c>
      <c r="I170" s="54" t="s">
        <v>9</v>
      </c>
      <c r="J170" s="56" t="s">
        <v>9</v>
      </c>
      <c r="K170" s="56" t="s">
        <v>9</v>
      </c>
      <c r="L170" s="25" t="str">
        <f t="shared" si="67"/>
        <v>Arquitetônico</v>
      </c>
      <c r="M170" s="25" t="str">
        <f t="shared" si="68"/>
        <v>Elementos.Camadas</v>
      </c>
      <c r="N170" s="25" t="str">
        <f t="shared" si="69"/>
        <v>Camadas Contínuas</v>
      </c>
      <c r="O170" s="25" t="str">
        <f t="shared" si="69"/>
        <v>Pintura Primer</v>
      </c>
      <c r="P170" s="34" t="s">
        <v>256</v>
      </c>
      <c r="Q170" s="33" t="s">
        <v>257</v>
      </c>
      <c r="R170" s="52" t="s">
        <v>9</v>
      </c>
      <c r="S170" s="26" t="str">
        <f t="shared" si="70"/>
        <v>Arquitetônico</v>
      </c>
      <c r="T170" s="26" t="str">
        <f t="shared" si="71"/>
        <v>Elementos Camadas</v>
      </c>
      <c r="U170" s="26" t="str">
        <f t="shared" si="72"/>
        <v>Camadas Contínuas</v>
      </c>
      <c r="V170" s="20" t="s">
        <v>85</v>
      </c>
      <c r="W170" s="71" t="str">
        <f t="shared" si="66"/>
        <v>Key-ARQ-170</v>
      </c>
      <c r="X170" s="20" t="s">
        <v>1528</v>
      </c>
      <c r="Y170" s="26" t="s">
        <v>1440</v>
      </c>
      <c r="Z170" s="52" t="s">
        <v>9</v>
      </c>
      <c r="AA170" s="20" t="str">
        <f t="shared" si="73"/>
        <v>Coats of base paint used to prepare the wall surface by sealing porosities.</v>
      </c>
    </row>
    <row r="171" spans="1:27" ht="6" customHeight="1" x14ac:dyDescent="0.4">
      <c r="A171" s="22">
        <v>171</v>
      </c>
      <c r="B171" s="1" t="s">
        <v>1604</v>
      </c>
      <c r="C171" s="1" t="s">
        <v>1383</v>
      </c>
      <c r="D171" s="1" t="s">
        <v>1381</v>
      </c>
      <c r="E171" s="1" t="s">
        <v>1396</v>
      </c>
      <c r="F171" s="24" t="s">
        <v>842</v>
      </c>
      <c r="G171" s="56" t="s">
        <v>9</v>
      </c>
      <c r="H171" s="54" t="s">
        <v>9</v>
      </c>
      <c r="I171" s="54" t="s">
        <v>9</v>
      </c>
      <c r="J171" s="56" t="s">
        <v>9</v>
      </c>
      <c r="K171" s="56" t="s">
        <v>9</v>
      </c>
      <c r="L171" s="25" t="str">
        <f t="shared" si="67"/>
        <v>Arquitetônico</v>
      </c>
      <c r="M171" s="25" t="str">
        <f t="shared" si="68"/>
        <v>Elementos.Camadas</v>
      </c>
      <c r="N171" s="25" t="str">
        <f t="shared" si="69"/>
        <v>Camadas Contínuas</v>
      </c>
      <c r="O171" s="25" t="str">
        <f t="shared" si="69"/>
        <v>Pintura Proteção</v>
      </c>
      <c r="P171" s="34" t="s">
        <v>843</v>
      </c>
      <c r="Q171" s="33" t="s">
        <v>844</v>
      </c>
      <c r="R171" s="52" t="s">
        <v>9</v>
      </c>
      <c r="S171" s="26" t="str">
        <f t="shared" si="70"/>
        <v>Arquitetônico</v>
      </c>
      <c r="T171" s="26" t="str">
        <f t="shared" si="71"/>
        <v>Elementos Camadas</v>
      </c>
      <c r="U171" s="26" t="str">
        <f t="shared" si="72"/>
        <v>Camadas Contínuas</v>
      </c>
      <c r="V171" s="20" t="s">
        <v>85</v>
      </c>
      <c r="W171" s="71" t="str">
        <f t="shared" si="66"/>
        <v>Key-ARQ-171</v>
      </c>
      <c r="X171" s="20" t="s">
        <v>1528</v>
      </c>
      <c r="Y171" s="26" t="s">
        <v>1440</v>
      </c>
      <c r="Z171" s="52" t="s">
        <v>9</v>
      </c>
      <c r="AA171" s="20" t="str">
        <f t="shared" si="73"/>
        <v>Coats of corrosion protection paint.</v>
      </c>
    </row>
    <row r="172" spans="1:27" ht="6" customHeight="1" x14ac:dyDescent="0.4">
      <c r="A172" s="22">
        <v>172</v>
      </c>
      <c r="B172" s="1" t="s">
        <v>1604</v>
      </c>
      <c r="C172" s="1" t="s">
        <v>1383</v>
      </c>
      <c r="D172" s="1" t="s">
        <v>1381</v>
      </c>
      <c r="E172" s="1" t="s">
        <v>1396</v>
      </c>
      <c r="F172" s="24" t="s">
        <v>530</v>
      </c>
      <c r="G172" s="56" t="s">
        <v>9</v>
      </c>
      <c r="H172" s="54" t="s">
        <v>9</v>
      </c>
      <c r="I172" s="54" t="s">
        <v>9</v>
      </c>
      <c r="J172" s="56" t="s">
        <v>9</v>
      </c>
      <c r="K172" s="56" t="s">
        <v>9</v>
      </c>
      <c r="L172" s="25" t="str">
        <f t="shared" si="67"/>
        <v>Arquitetônico</v>
      </c>
      <c r="M172" s="25" t="str">
        <f t="shared" si="68"/>
        <v>Elementos.Camadas</v>
      </c>
      <c r="N172" s="25" t="str">
        <f t="shared" si="69"/>
        <v>Camadas Contínuas</v>
      </c>
      <c r="O172" s="25" t="str">
        <f t="shared" si="69"/>
        <v>Pintura Demão 1</v>
      </c>
      <c r="P172" s="34" t="s">
        <v>533</v>
      </c>
      <c r="Q172" s="33" t="s">
        <v>536</v>
      </c>
      <c r="R172" s="52" t="s">
        <v>9</v>
      </c>
      <c r="S172" s="26" t="str">
        <f t="shared" si="70"/>
        <v>Arquitetônico</v>
      </c>
      <c r="T172" s="26" t="str">
        <f t="shared" si="71"/>
        <v>Elementos Camadas</v>
      </c>
      <c r="U172" s="26" t="str">
        <f t="shared" si="72"/>
        <v>Camadas Contínuas</v>
      </c>
      <c r="V172" s="20" t="s">
        <v>85</v>
      </c>
      <c r="W172" s="71" t="str">
        <f t="shared" si="66"/>
        <v>Key-ARQ-172</v>
      </c>
      <c r="X172" s="20" t="s">
        <v>1528</v>
      </c>
      <c r="Y172" s="26" t="s">
        <v>1440</v>
      </c>
      <c r="Z172" s="52" t="s">
        <v>9</v>
      </c>
      <c r="AA172" s="20" t="str">
        <f t="shared" si="73"/>
        <v>Coat 1 of finishing paint of the coating, apply after the primer coats.</v>
      </c>
    </row>
    <row r="173" spans="1:27" ht="6" customHeight="1" x14ac:dyDescent="0.4">
      <c r="A173" s="22">
        <v>173</v>
      </c>
      <c r="B173" s="1" t="s">
        <v>1604</v>
      </c>
      <c r="C173" s="1" t="s">
        <v>1383</v>
      </c>
      <c r="D173" s="1" t="s">
        <v>1381</v>
      </c>
      <c r="E173" s="1" t="s">
        <v>1396</v>
      </c>
      <c r="F173" s="24" t="s">
        <v>531</v>
      </c>
      <c r="G173" s="56" t="s">
        <v>9</v>
      </c>
      <c r="H173" s="54" t="s">
        <v>9</v>
      </c>
      <c r="I173" s="54" t="s">
        <v>9</v>
      </c>
      <c r="J173" s="56" t="s">
        <v>9</v>
      </c>
      <c r="K173" s="56" t="s">
        <v>9</v>
      </c>
      <c r="L173" s="25" t="str">
        <f t="shared" si="67"/>
        <v>Arquitetônico</v>
      </c>
      <c r="M173" s="25" t="str">
        <f t="shared" si="68"/>
        <v>Elementos.Camadas</v>
      </c>
      <c r="N173" s="25" t="str">
        <f t="shared" si="69"/>
        <v>Camadas Contínuas</v>
      </c>
      <c r="O173" s="25" t="str">
        <f t="shared" si="69"/>
        <v>Pintura Demão 2</v>
      </c>
      <c r="P173" s="34" t="s">
        <v>534</v>
      </c>
      <c r="Q173" s="33" t="s">
        <v>537</v>
      </c>
      <c r="R173" s="52" t="s">
        <v>9</v>
      </c>
      <c r="S173" s="26" t="str">
        <f t="shared" si="70"/>
        <v>Arquitetônico</v>
      </c>
      <c r="T173" s="26" t="str">
        <f t="shared" si="71"/>
        <v>Elementos Camadas</v>
      </c>
      <c r="U173" s="26" t="str">
        <f t="shared" si="72"/>
        <v>Camadas Contínuas</v>
      </c>
      <c r="V173" s="20" t="s">
        <v>85</v>
      </c>
      <c r="W173" s="71" t="str">
        <f t="shared" si="66"/>
        <v>Key-ARQ-173</v>
      </c>
      <c r="X173" s="20" t="s">
        <v>1528</v>
      </c>
      <c r="Y173" s="26" t="s">
        <v>1440</v>
      </c>
      <c r="Z173" s="52" t="s">
        <v>9</v>
      </c>
      <c r="AA173" s="20" t="str">
        <f t="shared" si="73"/>
        <v>Coat 2 of paint finishing the coating, apply after coat 1.</v>
      </c>
    </row>
    <row r="174" spans="1:27" ht="6" customHeight="1" x14ac:dyDescent="0.4">
      <c r="A174" s="22">
        <v>174</v>
      </c>
      <c r="B174" s="1" t="s">
        <v>1604</v>
      </c>
      <c r="C174" s="1" t="s">
        <v>1383</v>
      </c>
      <c r="D174" s="1" t="s">
        <v>1381</v>
      </c>
      <c r="E174" s="1" t="s">
        <v>1396</v>
      </c>
      <c r="F174" s="24" t="s">
        <v>532</v>
      </c>
      <c r="G174" s="56" t="s">
        <v>9</v>
      </c>
      <c r="H174" s="54" t="s">
        <v>9</v>
      </c>
      <c r="I174" s="54" t="s">
        <v>9</v>
      </c>
      <c r="J174" s="56" t="s">
        <v>9</v>
      </c>
      <c r="K174" s="56" t="s">
        <v>9</v>
      </c>
      <c r="L174" s="25" t="str">
        <f t="shared" si="67"/>
        <v>Arquitetônico</v>
      </c>
      <c r="M174" s="25" t="str">
        <f t="shared" si="68"/>
        <v>Elementos.Camadas</v>
      </c>
      <c r="N174" s="25" t="str">
        <f t="shared" si="69"/>
        <v>Camadas Contínuas</v>
      </c>
      <c r="O174" s="25" t="str">
        <f t="shared" si="69"/>
        <v>Pintura Demão Final</v>
      </c>
      <c r="P174" s="34" t="s">
        <v>535</v>
      </c>
      <c r="Q174" s="33" t="s">
        <v>538</v>
      </c>
      <c r="R174" s="52" t="s">
        <v>9</v>
      </c>
      <c r="S174" s="26" t="str">
        <f t="shared" si="70"/>
        <v>Arquitetônico</v>
      </c>
      <c r="T174" s="26" t="str">
        <f t="shared" si="71"/>
        <v>Elementos Camadas</v>
      </c>
      <c r="U174" s="26" t="str">
        <f t="shared" si="72"/>
        <v>Camadas Contínuas</v>
      </c>
      <c r="V174" s="20" t="s">
        <v>85</v>
      </c>
      <c r="W174" s="71" t="str">
        <f t="shared" si="66"/>
        <v>Key-ARQ-174</v>
      </c>
      <c r="X174" s="20" t="s">
        <v>1528</v>
      </c>
      <c r="Y174" s="26" t="s">
        <v>1440</v>
      </c>
      <c r="Z174" s="52" t="s">
        <v>9</v>
      </c>
      <c r="AA174" s="20" t="str">
        <f t="shared" si="73"/>
        <v>Coat of paint finish, apply after coat 1 or 2 as needed.</v>
      </c>
    </row>
    <row r="175" spans="1:27" ht="6" customHeight="1" x14ac:dyDescent="0.4">
      <c r="A175" s="22">
        <v>175</v>
      </c>
      <c r="B175" s="1" t="s">
        <v>1604</v>
      </c>
      <c r="C175" s="1" t="s">
        <v>1383</v>
      </c>
      <c r="D175" s="1" t="s">
        <v>1381</v>
      </c>
      <c r="E175" s="1" t="s">
        <v>1397</v>
      </c>
      <c r="F175" s="24" t="s">
        <v>142</v>
      </c>
      <c r="G175" s="56" t="s">
        <v>9</v>
      </c>
      <c r="H175" s="54" t="s">
        <v>9</v>
      </c>
      <c r="I175" s="54" t="s">
        <v>9</v>
      </c>
      <c r="J175" s="56" t="s">
        <v>9</v>
      </c>
      <c r="K175" s="56" t="s">
        <v>9</v>
      </c>
      <c r="L175" s="25" t="str">
        <f t="shared" si="67"/>
        <v>Arquitetônico</v>
      </c>
      <c r="M175" s="25" t="str">
        <f t="shared" si="68"/>
        <v>Elementos.Camadas</v>
      </c>
      <c r="N175" s="25" t="str">
        <f t="shared" si="69"/>
        <v>Camadas Lisas</v>
      </c>
      <c r="O175" s="25" t="str">
        <f t="shared" si="69"/>
        <v>Gesso</v>
      </c>
      <c r="P175" s="34" t="s">
        <v>143</v>
      </c>
      <c r="Q175" s="33" t="s">
        <v>672</v>
      </c>
      <c r="R175" s="52" t="s">
        <v>9</v>
      </c>
      <c r="S175" s="26" t="str">
        <f t="shared" si="70"/>
        <v>Arquitetônico</v>
      </c>
      <c r="T175" s="26" t="str">
        <f t="shared" si="71"/>
        <v>Elementos Camadas</v>
      </c>
      <c r="U175" s="26" t="str">
        <f t="shared" si="72"/>
        <v>Camadas Lisas</v>
      </c>
      <c r="V175" s="20" t="s">
        <v>85</v>
      </c>
      <c r="W175" s="71" t="str">
        <f t="shared" si="66"/>
        <v>Key-ARQ-175</v>
      </c>
      <c r="X175" s="20" t="s">
        <v>1529</v>
      </c>
      <c r="Y175" s="26" t="s">
        <v>1441</v>
      </c>
      <c r="Z175" s="52" t="s">
        <v>9</v>
      </c>
      <c r="AA175" s="20" t="str">
        <f t="shared" si="73"/>
        <v>Plaster ceiling applied over the ceiling.</v>
      </c>
    </row>
    <row r="176" spans="1:27" ht="6" customHeight="1" x14ac:dyDescent="0.4">
      <c r="A176" s="22">
        <v>176</v>
      </c>
      <c r="B176" s="1" t="s">
        <v>1604</v>
      </c>
      <c r="C176" s="1" t="s">
        <v>1383</v>
      </c>
      <c r="D176" s="1" t="s">
        <v>1381</v>
      </c>
      <c r="E176" s="1" t="s">
        <v>1397</v>
      </c>
      <c r="F176" s="24" t="s">
        <v>144</v>
      </c>
      <c r="G176" s="56" t="s">
        <v>9</v>
      </c>
      <c r="H176" s="54" t="s">
        <v>9</v>
      </c>
      <c r="I176" s="54" t="s">
        <v>9</v>
      </c>
      <c r="J176" s="56" t="s">
        <v>9</v>
      </c>
      <c r="K176" s="56" t="s">
        <v>9</v>
      </c>
      <c r="L176" s="25" t="str">
        <f t="shared" si="67"/>
        <v>Arquitetônico</v>
      </c>
      <c r="M176" s="25" t="str">
        <f t="shared" si="68"/>
        <v>Elementos.Camadas</v>
      </c>
      <c r="N176" s="25" t="str">
        <f t="shared" si="69"/>
        <v>Camadas Lisas</v>
      </c>
      <c r="O176" s="25" t="str">
        <f t="shared" si="69"/>
        <v>Gesso Emplacado</v>
      </c>
      <c r="P176" s="34" t="s">
        <v>145</v>
      </c>
      <c r="Q176" s="33" t="s">
        <v>671</v>
      </c>
      <c r="R176" s="52" t="s">
        <v>9</v>
      </c>
      <c r="S176" s="26" t="str">
        <f t="shared" si="70"/>
        <v>Arquitetônico</v>
      </c>
      <c r="T176" s="26" t="str">
        <f t="shared" si="71"/>
        <v>Elementos Camadas</v>
      </c>
      <c r="U176" s="26" t="str">
        <f t="shared" si="72"/>
        <v>Camadas Lisas</v>
      </c>
      <c r="V176" s="20" t="s">
        <v>85</v>
      </c>
      <c r="W176" s="71" t="str">
        <f t="shared" si="66"/>
        <v>Key-ARQ-176</v>
      </c>
      <c r="X176" s="20" t="s">
        <v>1529</v>
      </c>
      <c r="Y176" s="26" t="s">
        <v>1441</v>
      </c>
      <c r="Z176" s="52" t="s">
        <v>9</v>
      </c>
      <c r="AA176" s="20" t="str">
        <f t="shared" si="73"/>
        <v>Plasterboard lining.</v>
      </c>
    </row>
    <row r="177" spans="1:27" ht="6" customHeight="1" x14ac:dyDescent="0.4">
      <c r="A177" s="22">
        <v>177</v>
      </c>
      <c r="B177" s="1" t="s">
        <v>1604</v>
      </c>
      <c r="C177" s="1" t="s">
        <v>1383</v>
      </c>
      <c r="D177" s="1" t="s">
        <v>1381</v>
      </c>
      <c r="E177" s="1" t="s">
        <v>1398</v>
      </c>
      <c r="F177" s="24" t="s">
        <v>146</v>
      </c>
      <c r="G177" s="56" t="s">
        <v>9</v>
      </c>
      <c r="H177" s="54" t="s">
        <v>9</v>
      </c>
      <c r="I177" s="54" t="s">
        <v>9</v>
      </c>
      <c r="J177" s="56" t="s">
        <v>9</v>
      </c>
      <c r="K177" s="56" t="s">
        <v>9</v>
      </c>
      <c r="L177" s="25" t="str">
        <f t="shared" si="67"/>
        <v>Arquitetônico</v>
      </c>
      <c r="M177" s="25" t="str">
        <f t="shared" si="68"/>
        <v>Elementos.Camadas</v>
      </c>
      <c r="N177" s="25" t="str">
        <f t="shared" si="69"/>
        <v>Camadas Moduladas</v>
      </c>
      <c r="O177" s="25" t="str">
        <f t="shared" si="69"/>
        <v>Placa EPS</v>
      </c>
      <c r="P177" s="34" t="s">
        <v>147</v>
      </c>
      <c r="Q177" s="33" t="s">
        <v>148</v>
      </c>
      <c r="R177" s="52" t="s">
        <v>9</v>
      </c>
      <c r="S177" s="26" t="str">
        <f t="shared" si="70"/>
        <v>Arquitetônico</v>
      </c>
      <c r="T177" s="26" t="str">
        <f t="shared" si="71"/>
        <v>Elementos Camadas</v>
      </c>
      <c r="U177" s="26" t="str">
        <f t="shared" si="72"/>
        <v>Camadas Moduladas</v>
      </c>
      <c r="V177" s="20" t="s">
        <v>85</v>
      </c>
      <c r="W177" s="71" t="str">
        <f t="shared" si="66"/>
        <v>Key-ARQ-177</v>
      </c>
      <c r="X177" s="20" t="s">
        <v>1529</v>
      </c>
      <c r="Y177" s="26" t="s">
        <v>1441</v>
      </c>
      <c r="Z177" s="52" t="s">
        <v>9</v>
      </c>
      <c r="AA177" s="20" t="str">
        <f t="shared" si="73"/>
        <v>Lightweight modular lining of Styrofoam plates.</v>
      </c>
    </row>
    <row r="178" spans="1:27" ht="6" customHeight="1" x14ac:dyDescent="0.4">
      <c r="A178" s="22">
        <v>178</v>
      </c>
      <c r="B178" s="1" t="s">
        <v>1604</v>
      </c>
      <c r="C178" s="1" t="s">
        <v>1383</v>
      </c>
      <c r="D178" s="1" t="s">
        <v>1381</v>
      </c>
      <c r="E178" s="1" t="s">
        <v>1398</v>
      </c>
      <c r="F178" s="24" t="s">
        <v>149</v>
      </c>
      <c r="G178" s="56" t="s">
        <v>9</v>
      </c>
      <c r="H178" s="54" t="s">
        <v>9</v>
      </c>
      <c r="I178" s="54" t="s">
        <v>9</v>
      </c>
      <c r="J178" s="56" t="s">
        <v>9</v>
      </c>
      <c r="K178" s="56" t="s">
        <v>9</v>
      </c>
      <c r="L178" s="25" t="str">
        <f t="shared" si="67"/>
        <v>Arquitetônico</v>
      </c>
      <c r="M178" s="25" t="str">
        <f t="shared" si="68"/>
        <v>Elementos.Camadas</v>
      </c>
      <c r="N178" s="25" t="str">
        <f t="shared" si="69"/>
        <v>Camadas Moduladas</v>
      </c>
      <c r="O178" s="25" t="str">
        <f t="shared" si="69"/>
        <v>Placa Mineral</v>
      </c>
      <c r="P178" s="34" t="s">
        <v>150</v>
      </c>
      <c r="Q178" s="33" t="s">
        <v>151</v>
      </c>
      <c r="R178" s="52" t="s">
        <v>9</v>
      </c>
      <c r="S178" s="26" t="str">
        <f t="shared" si="70"/>
        <v>Arquitetônico</v>
      </c>
      <c r="T178" s="26" t="str">
        <f t="shared" si="71"/>
        <v>Elementos Camadas</v>
      </c>
      <c r="U178" s="26" t="str">
        <f t="shared" si="72"/>
        <v>Camadas Moduladas</v>
      </c>
      <c r="V178" s="20" t="s">
        <v>85</v>
      </c>
      <c r="W178" s="71" t="str">
        <f t="shared" si="66"/>
        <v>Key-ARQ-178</v>
      </c>
      <c r="X178" s="20" t="s">
        <v>1529</v>
      </c>
      <c r="Y178" s="26" t="s">
        <v>1441</v>
      </c>
      <c r="Z178" s="52" t="s">
        <v>9</v>
      </c>
      <c r="AA178" s="20" t="str">
        <f t="shared" si="73"/>
        <v>Modular lining of bio-soluble mineral wool boards, clay, perlite and organic binders with good acoustic performance and fire resistance.</v>
      </c>
    </row>
    <row r="179" spans="1:27" ht="6" customHeight="1" x14ac:dyDescent="0.4">
      <c r="A179" s="22">
        <v>179</v>
      </c>
      <c r="B179" s="1" t="s">
        <v>1604</v>
      </c>
      <c r="C179" s="1" t="s">
        <v>1383</v>
      </c>
      <c r="D179" s="1" t="s">
        <v>1381</v>
      </c>
      <c r="E179" s="1" t="s">
        <v>1239</v>
      </c>
      <c r="F179" s="24" t="s">
        <v>152</v>
      </c>
      <c r="G179" s="56" t="s">
        <v>9</v>
      </c>
      <c r="H179" s="54" t="s">
        <v>9</v>
      </c>
      <c r="I179" s="54" t="s">
        <v>9</v>
      </c>
      <c r="J179" s="56" t="s">
        <v>9</v>
      </c>
      <c r="K179" s="56" t="s">
        <v>9</v>
      </c>
      <c r="L179" s="25" t="str">
        <f t="shared" si="67"/>
        <v>Arquitetônico</v>
      </c>
      <c r="M179" s="25" t="str">
        <f t="shared" si="68"/>
        <v>Elementos.Camadas</v>
      </c>
      <c r="N179" s="25" t="str">
        <f t="shared" si="69"/>
        <v>Camadas Acústicas</v>
      </c>
      <c r="O179" s="25" t="str">
        <f t="shared" si="69"/>
        <v>Placa Espuma</v>
      </c>
      <c r="P179" s="34" t="s">
        <v>153</v>
      </c>
      <c r="Q179" s="33" t="s">
        <v>676</v>
      </c>
      <c r="R179" s="52" t="s">
        <v>9</v>
      </c>
      <c r="S179" s="26" t="str">
        <f t="shared" si="70"/>
        <v>Arquitetônico</v>
      </c>
      <c r="T179" s="26" t="str">
        <f t="shared" si="71"/>
        <v>Elementos Camadas</v>
      </c>
      <c r="U179" s="26" t="str">
        <f t="shared" si="72"/>
        <v>Camadas Acústicas</v>
      </c>
      <c r="V179" s="20" t="s">
        <v>85</v>
      </c>
      <c r="W179" s="71" t="str">
        <f t="shared" si="66"/>
        <v>Key-ARQ-179</v>
      </c>
      <c r="X179" s="20" t="s">
        <v>1529</v>
      </c>
      <c r="Y179" s="26" t="s">
        <v>1441</v>
      </c>
      <c r="Z179" s="52" t="s">
        <v>9</v>
      </c>
      <c r="AA179" s="20" t="str">
        <f t="shared" si="73"/>
        <v>Adhesive acoustic ceiling type acoustic foam board.</v>
      </c>
    </row>
    <row r="180" spans="1:27" ht="6" customHeight="1" x14ac:dyDescent="0.4">
      <c r="A180" s="22">
        <v>180</v>
      </c>
      <c r="B180" s="1" t="s">
        <v>1604</v>
      </c>
      <c r="C180" s="1" t="s">
        <v>1383</v>
      </c>
      <c r="D180" s="1" t="s">
        <v>1381</v>
      </c>
      <c r="E180" s="1" t="s">
        <v>1239</v>
      </c>
      <c r="F180" s="24" t="s">
        <v>154</v>
      </c>
      <c r="G180" s="56" t="s">
        <v>9</v>
      </c>
      <c r="H180" s="54" t="s">
        <v>9</v>
      </c>
      <c r="I180" s="54" t="s">
        <v>9</v>
      </c>
      <c r="J180" s="56" t="s">
        <v>9</v>
      </c>
      <c r="K180" s="56" t="s">
        <v>9</v>
      </c>
      <c r="L180" s="25" t="str">
        <f t="shared" si="67"/>
        <v>Arquitetônico</v>
      </c>
      <c r="M180" s="25" t="str">
        <f t="shared" si="68"/>
        <v>Elementos.Camadas</v>
      </c>
      <c r="N180" s="25" t="str">
        <f t="shared" si="69"/>
        <v>Camadas Acústicas</v>
      </c>
      <c r="O180" s="25" t="str">
        <f t="shared" si="69"/>
        <v>Placa 3D</v>
      </c>
      <c r="P180" s="34" t="s">
        <v>155</v>
      </c>
      <c r="Q180" s="33" t="s">
        <v>677</v>
      </c>
      <c r="R180" s="52" t="s">
        <v>9</v>
      </c>
      <c r="S180" s="26" t="str">
        <f t="shared" si="70"/>
        <v>Arquitetônico</v>
      </c>
      <c r="T180" s="26" t="str">
        <f t="shared" si="71"/>
        <v>Elementos Camadas</v>
      </c>
      <c r="U180" s="26" t="str">
        <f t="shared" si="72"/>
        <v>Camadas Acústicas</v>
      </c>
      <c r="V180" s="20" t="s">
        <v>85</v>
      </c>
      <c r="W180" s="71" t="str">
        <f t="shared" si="66"/>
        <v>Key-ARQ-180</v>
      </c>
      <c r="X180" s="20" t="s">
        <v>1529</v>
      </c>
      <c r="Y180" s="26" t="s">
        <v>1441</v>
      </c>
      <c r="Z180" s="52" t="s">
        <v>9</v>
      </c>
      <c r="AA180" s="20" t="str">
        <f t="shared" si="73"/>
        <v>Adhesive acoustic ceiling type plate with 3D pyramidal volumes and various shapes for sound absorption.</v>
      </c>
    </row>
    <row r="181" spans="1:27" ht="6" customHeight="1" x14ac:dyDescent="0.4">
      <c r="A181" s="22">
        <v>181</v>
      </c>
      <c r="B181" s="1" t="s">
        <v>1604</v>
      </c>
      <c r="C181" s="1" t="s">
        <v>1383</v>
      </c>
      <c r="D181" s="1" t="s">
        <v>1381</v>
      </c>
      <c r="E181" s="1" t="s">
        <v>1239</v>
      </c>
      <c r="F181" s="24" t="s">
        <v>156</v>
      </c>
      <c r="G181" s="56" t="s">
        <v>9</v>
      </c>
      <c r="H181" s="54" t="s">
        <v>9</v>
      </c>
      <c r="I181" s="54" t="s">
        <v>9</v>
      </c>
      <c r="J181" s="56" t="s">
        <v>9</v>
      </c>
      <c r="K181" s="56" t="s">
        <v>9</v>
      </c>
      <c r="L181" s="25" t="str">
        <f t="shared" si="67"/>
        <v>Arquitetônico</v>
      </c>
      <c r="M181" s="25" t="str">
        <f t="shared" si="68"/>
        <v>Elementos.Camadas</v>
      </c>
      <c r="N181" s="25" t="str">
        <f t="shared" si="69"/>
        <v>Camadas Acústicas</v>
      </c>
      <c r="O181" s="25" t="str">
        <f t="shared" si="69"/>
        <v>Placa Shell</v>
      </c>
      <c r="P181" s="34" t="s">
        <v>157</v>
      </c>
      <c r="Q181" s="33" t="s">
        <v>678</v>
      </c>
      <c r="R181" s="52" t="s">
        <v>9</v>
      </c>
      <c r="S181" s="26" t="str">
        <f t="shared" si="70"/>
        <v>Arquitetônico</v>
      </c>
      <c r="T181" s="26" t="str">
        <f t="shared" si="71"/>
        <v>Elementos Camadas</v>
      </c>
      <c r="U181" s="26" t="str">
        <f t="shared" si="72"/>
        <v>Camadas Acústicas</v>
      </c>
      <c r="V181" s="20" t="s">
        <v>85</v>
      </c>
      <c r="W181" s="71" t="str">
        <f t="shared" si="66"/>
        <v>Key-ARQ-181</v>
      </c>
      <c r="X181" s="20" t="s">
        <v>1529</v>
      </c>
      <c r="Y181" s="26" t="s">
        <v>1441</v>
      </c>
      <c r="Z181" s="52" t="s">
        <v>9</v>
      </c>
      <c r="AA181" s="20" t="str">
        <f t="shared" si="73"/>
        <v>Adhesive acoustic ceiling type plate with various shapes for sound absorption.</v>
      </c>
    </row>
    <row r="182" spans="1:27" ht="6" customHeight="1" x14ac:dyDescent="0.4">
      <c r="A182" s="22">
        <v>182</v>
      </c>
      <c r="B182" s="1" t="s">
        <v>1604</v>
      </c>
      <c r="C182" s="1" t="s">
        <v>1383</v>
      </c>
      <c r="D182" s="1" t="s">
        <v>1381</v>
      </c>
      <c r="E182" s="1" t="s">
        <v>1239</v>
      </c>
      <c r="F182" s="24" t="s">
        <v>158</v>
      </c>
      <c r="G182" s="56" t="s">
        <v>9</v>
      </c>
      <c r="H182" s="54" t="s">
        <v>9</v>
      </c>
      <c r="I182" s="54" t="s">
        <v>9</v>
      </c>
      <c r="J182" s="56" t="s">
        <v>9</v>
      </c>
      <c r="K182" s="56" t="s">
        <v>9</v>
      </c>
      <c r="L182" s="25" t="str">
        <f t="shared" si="67"/>
        <v>Arquitetônico</v>
      </c>
      <c r="M182" s="25" t="str">
        <f t="shared" si="68"/>
        <v>Elementos.Camadas</v>
      </c>
      <c r="N182" s="25" t="str">
        <f t="shared" si="69"/>
        <v>Camadas Acústicas</v>
      </c>
      <c r="O182" s="25" t="str">
        <f t="shared" si="69"/>
        <v>Baffle Cilíndrico</v>
      </c>
      <c r="P182" s="34" t="s">
        <v>673</v>
      </c>
      <c r="Q182" s="33" t="s">
        <v>679</v>
      </c>
      <c r="R182" s="52" t="s">
        <v>9</v>
      </c>
      <c r="S182" s="26" t="str">
        <f t="shared" si="70"/>
        <v>Arquitetônico</v>
      </c>
      <c r="T182" s="26" t="str">
        <f t="shared" si="71"/>
        <v>Elementos Camadas</v>
      </c>
      <c r="U182" s="26" t="str">
        <f t="shared" si="72"/>
        <v>Camadas Acústicas</v>
      </c>
      <c r="V182" s="20" t="s">
        <v>85</v>
      </c>
      <c r="W182" s="71" t="str">
        <f t="shared" si="66"/>
        <v>Key-ARQ-182</v>
      </c>
      <c r="X182" s="20" t="s">
        <v>1529</v>
      </c>
      <c r="Y182" s="26" t="s">
        <v>1441</v>
      </c>
      <c r="Z182" s="52" t="s">
        <v>9</v>
      </c>
      <c r="AA182" s="20" t="str">
        <f t="shared" si="73"/>
        <v>Cylindrical baffle suspended acoustic ceiling for acoustic intelligibility control.</v>
      </c>
    </row>
    <row r="183" spans="1:27" ht="6" customHeight="1" x14ac:dyDescent="0.4">
      <c r="A183" s="22">
        <v>183</v>
      </c>
      <c r="B183" s="1" t="s">
        <v>1604</v>
      </c>
      <c r="C183" s="1" t="s">
        <v>1383</v>
      </c>
      <c r="D183" s="1" t="s">
        <v>1381</v>
      </c>
      <c r="E183" s="1" t="s">
        <v>1239</v>
      </c>
      <c r="F183" s="24" t="s">
        <v>159</v>
      </c>
      <c r="G183" s="56" t="s">
        <v>9</v>
      </c>
      <c r="H183" s="54" t="s">
        <v>9</v>
      </c>
      <c r="I183" s="54" t="s">
        <v>9</v>
      </c>
      <c r="J183" s="56" t="s">
        <v>9</v>
      </c>
      <c r="K183" s="56" t="s">
        <v>9</v>
      </c>
      <c r="L183" s="25" t="str">
        <f t="shared" si="67"/>
        <v>Arquitetônico</v>
      </c>
      <c r="M183" s="25" t="str">
        <f t="shared" si="68"/>
        <v>Elementos.Camadas</v>
      </c>
      <c r="N183" s="25" t="str">
        <f t="shared" si="69"/>
        <v>Camadas Acústicas</v>
      </c>
      <c r="O183" s="25" t="str">
        <f t="shared" si="69"/>
        <v>Baffle Linear</v>
      </c>
      <c r="P183" s="34" t="s">
        <v>674</v>
      </c>
      <c r="Q183" s="33" t="s">
        <v>680</v>
      </c>
      <c r="R183" s="52" t="s">
        <v>9</v>
      </c>
      <c r="S183" s="26" t="str">
        <f t="shared" si="70"/>
        <v>Arquitetônico</v>
      </c>
      <c r="T183" s="26" t="str">
        <f t="shared" si="71"/>
        <v>Elementos Camadas</v>
      </c>
      <c r="U183" s="26" t="str">
        <f t="shared" si="72"/>
        <v>Camadas Acústicas</v>
      </c>
      <c r="V183" s="20" t="s">
        <v>85</v>
      </c>
      <c r="W183" s="71" t="str">
        <f t="shared" si="66"/>
        <v>Key-ARQ-183</v>
      </c>
      <c r="X183" s="20" t="s">
        <v>1529</v>
      </c>
      <c r="Y183" s="26" t="s">
        <v>1441</v>
      </c>
      <c r="Z183" s="52" t="s">
        <v>9</v>
      </c>
      <c r="AA183" s="20" t="str">
        <f t="shared" si="73"/>
        <v>Linear baffle suspended acoustic ceiling for acoustic intelligibility control.</v>
      </c>
    </row>
    <row r="184" spans="1:27" ht="6" customHeight="1" x14ac:dyDescent="0.4">
      <c r="A184" s="22">
        <v>184</v>
      </c>
      <c r="B184" s="1" t="s">
        <v>1604</v>
      </c>
      <c r="C184" s="1" t="s">
        <v>1383</v>
      </c>
      <c r="D184" s="1" t="s">
        <v>1381</v>
      </c>
      <c r="E184" s="1" t="s">
        <v>1239</v>
      </c>
      <c r="F184" s="24" t="s">
        <v>160</v>
      </c>
      <c r="G184" s="56" t="s">
        <v>9</v>
      </c>
      <c r="H184" s="54" t="s">
        <v>9</v>
      </c>
      <c r="I184" s="54" t="s">
        <v>9</v>
      </c>
      <c r="J184" s="56" t="s">
        <v>9</v>
      </c>
      <c r="K184" s="56" t="s">
        <v>9</v>
      </c>
      <c r="L184" s="25" t="str">
        <f t="shared" si="67"/>
        <v>Arquitetônico</v>
      </c>
      <c r="M184" s="25" t="str">
        <f t="shared" si="68"/>
        <v>Elementos.Camadas</v>
      </c>
      <c r="N184" s="25" t="str">
        <f t="shared" si="69"/>
        <v>Camadas Acústicas</v>
      </c>
      <c r="O184" s="25" t="str">
        <f t="shared" si="69"/>
        <v>Nuvem Quadrada</v>
      </c>
      <c r="P184" s="34" t="s">
        <v>682</v>
      </c>
      <c r="Q184" s="33" t="s">
        <v>685</v>
      </c>
      <c r="R184" s="52" t="s">
        <v>9</v>
      </c>
      <c r="S184" s="26" t="str">
        <f t="shared" si="70"/>
        <v>Arquitetônico</v>
      </c>
      <c r="T184" s="26" t="str">
        <f t="shared" si="71"/>
        <v>Elementos Camadas</v>
      </c>
      <c r="U184" s="26" t="str">
        <f t="shared" si="72"/>
        <v>Camadas Acústicas</v>
      </c>
      <c r="V184" s="20" t="s">
        <v>85</v>
      </c>
      <c r="W184" s="71" t="str">
        <f t="shared" si="66"/>
        <v>Key-ARQ-184</v>
      </c>
      <c r="X184" s="20" t="s">
        <v>1529</v>
      </c>
      <c r="Y184" s="26" t="s">
        <v>1441</v>
      </c>
      <c r="Z184" s="52" t="s">
        <v>9</v>
      </c>
      <c r="AA184" s="20" t="str">
        <f t="shared" si="73"/>
        <v>Suspended acoustic ceiling type square cloud for control of acoustic intelligibility.</v>
      </c>
    </row>
    <row r="185" spans="1:27" ht="6" customHeight="1" x14ac:dyDescent="0.4">
      <c r="A185" s="22">
        <v>185</v>
      </c>
      <c r="B185" s="1" t="s">
        <v>1604</v>
      </c>
      <c r="C185" s="1" t="s">
        <v>1383</v>
      </c>
      <c r="D185" s="1" t="s">
        <v>1381</v>
      </c>
      <c r="E185" s="1" t="s">
        <v>1239</v>
      </c>
      <c r="F185" s="24" t="s">
        <v>161</v>
      </c>
      <c r="G185" s="56" t="s">
        <v>9</v>
      </c>
      <c r="H185" s="54" t="s">
        <v>9</v>
      </c>
      <c r="I185" s="54" t="s">
        <v>9</v>
      </c>
      <c r="J185" s="56" t="s">
        <v>9</v>
      </c>
      <c r="K185" s="56" t="s">
        <v>9</v>
      </c>
      <c r="L185" s="25" t="str">
        <f t="shared" si="67"/>
        <v>Arquitetônico</v>
      </c>
      <c r="M185" s="25" t="str">
        <f t="shared" si="68"/>
        <v>Elementos.Camadas</v>
      </c>
      <c r="N185" s="25" t="str">
        <f t="shared" si="69"/>
        <v>Camadas Acústicas</v>
      </c>
      <c r="O185" s="25" t="str">
        <f t="shared" si="69"/>
        <v>Nuvem Circular</v>
      </c>
      <c r="P185" s="34" t="s">
        <v>683</v>
      </c>
      <c r="Q185" s="33" t="s">
        <v>684</v>
      </c>
      <c r="R185" s="52" t="s">
        <v>9</v>
      </c>
      <c r="S185" s="26" t="str">
        <f t="shared" si="70"/>
        <v>Arquitetônico</v>
      </c>
      <c r="T185" s="26" t="str">
        <f t="shared" si="71"/>
        <v>Elementos Camadas</v>
      </c>
      <c r="U185" s="26" t="str">
        <f t="shared" si="72"/>
        <v>Camadas Acústicas</v>
      </c>
      <c r="V185" s="20" t="s">
        <v>85</v>
      </c>
      <c r="W185" s="71" t="str">
        <f t="shared" si="66"/>
        <v>Key-ARQ-185</v>
      </c>
      <c r="X185" s="20" t="s">
        <v>1529</v>
      </c>
      <c r="Y185" s="26" t="s">
        <v>1441</v>
      </c>
      <c r="Z185" s="52" t="s">
        <v>9</v>
      </c>
      <c r="AA185" s="20" t="str">
        <f t="shared" si="73"/>
        <v>Cylindrical cloud-type suspended acoustic ceiling for acoustic intelligibility control.</v>
      </c>
    </row>
    <row r="186" spans="1:27" ht="6" customHeight="1" x14ac:dyDescent="0.4">
      <c r="A186" s="22">
        <v>186</v>
      </c>
      <c r="B186" s="1" t="s">
        <v>1604</v>
      </c>
      <c r="C186" s="1" t="s">
        <v>1383</v>
      </c>
      <c r="D186" s="1" t="s">
        <v>1381</v>
      </c>
      <c r="E186" s="1" t="s">
        <v>1239</v>
      </c>
      <c r="F186" s="24" t="s">
        <v>162</v>
      </c>
      <c r="G186" s="56" t="s">
        <v>9</v>
      </c>
      <c r="H186" s="54" t="s">
        <v>9</v>
      </c>
      <c r="I186" s="54" t="s">
        <v>9</v>
      </c>
      <c r="J186" s="56" t="s">
        <v>9</v>
      </c>
      <c r="K186" s="56" t="s">
        <v>9</v>
      </c>
      <c r="L186" s="25" t="str">
        <f t="shared" si="67"/>
        <v>Arquitetônico</v>
      </c>
      <c r="M186" s="25" t="str">
        <f t="shared" si="68"/>
        <v>Elementos.Camadas</v>
      </c>
      <c r="N186" s="25" t="str">
        <f t="shared" si="69"/>
        <v>Camadas Acústicas</v>
      </c>
      <c r="O186" s="25" t="str">
        <f t="shared" si="69"/>
        <v>Nuvem Geométrica</v>
      </c>
      <c r="P186" s="34" t="s">
        <v>675</v>
      </c>
      <c r="Q186" s="33" t="s">
        <v>681</v>
      </c>
      <c r="R186" s="52" t="s">
        <v>9</v>
      </c>
      <c r="S186" s="26" t="str">
        <f t="shared" si="70"/>
        <v>Arquitetônico</v>
      </c>
      <c r="T186" s="26" t="str">
        <f t="shared" si="71"/>
        <v>Elementos Camadas</v>
      </c>
      <c r="U186" s="26" t="str">
        <f t="shared" si="72"/>
        <v>Camadas Acústicas</v>
      </c>
      <c r="V186" s="20" t="s">
        <v>85</v>
      </c>
      <c r="W186" s="71" t="str">
        <f t="shared" si="66"/>
        <v>Key-ARQ-186</v>
      </c>
      <c r="X186" s="20" t="s">
        <v>1529</v>
      </c>
      <c r="Y186" s="26" t="s">
        <v>1441</v>
      </c>
      <c r="Z186" s="52" t="s">
        <v>9</v>
      </c>
      <c r="AA186" s="20" t="str">
        <f t="shared" si="73"/>
        <v>Suspended cloud-type acoustic ceiling with different geometries to control acoustic intelligibility.</v>
      </c>
    </row>
    <row r="187" spans="1:27" ht="6" customHeight="1" x14ac:dyDescent="0.4">
      <c r="A187" s="22">
        <v>187</v>
      </c>
      <c r="B187" s="1" t="s">
        <v>1604</v>
      </c>
      <c r="C187" s="1" t="s">
        <v>1383</v>
      </c>
      <c r="D187" s="1" t="s">
        <v>1382</v>
      </c>
      <c r="E187" s="1" t="s">
        <v>999</v>
      </c>
      <c r="F187" s="1" t="s">
        <v>1242</v>
      </c>
      <c r="G187" s="56" t="s">
        <v>9</v>
      </c>
      <c r="H187" s="54" t="s">
        <v>9</v>
      </c>
      <c r="I187" s="54" t="s">
        <v>9</v>
      </c>
      <c r="J187" s="56" t="s">
        <v>9</v>
      </c>
      <c r="K187" s="56" t="s">
        <v>9</v>
      </c>
      <c r="L187" s="25" t="str">
        <f t="shared" si="67"/>
        <v>Arquitetônico</v>
      </c>
      <c r="M187" s="25" t="str">
        <f t="shared" si="68"/>
        <v>Elementos.Emplacados</v>
      </c>
      <c r="N187" s="25" t="str">
        <f t="shared" si="69"/>
        <v>Placas</v>
      </c>
      <c r="O187" s="25" t="str">
        <f t="shared" si="69"/>
        <v>Placa Eucatex</v>
      </c>
      <c r="P187" s="34" t="s">
        <v>733</v>
      </c>
      <c r="Q187" s="33" t="s">
        <v>734</v>
      </c>
      <c r="R187" s="52" t="s">
        <v>9</v>
      </c>
      <c r="S187" s="26" t="str">
        <f t="shared" si="70"/>
        <v>Arquitetônico</v>
      </c>
      <c r="T187" s="26" t="str">
        <f t="shared" si="71"/>
        <v>Elementos Emplacados</v>
      </c>
      <c r="U187" s="26" t="str">
        <f t="shared" si="72"/>
        <v>Placas</v>
      </c>
      <c r="V187" s="20" t="s">
        <v>85</v>
      </c>
      <c r="W187" s="71" t="str">
        <f t="shared" si="66"/>
        <v>Key-ARQ-187</v>
      </c>
      <c r="X187" s="20" t="s">
        <v>1530</v>
      </c>
      <c r="Y187" s="26" t="s">
        <v>1416</v>
      </c>
      <c r="Z187" s="52" t="s">
        <v>9</v>
      </c>
      <c r="AA187" s="20" t="str">
        <f t="shared" si="73"/>
        <v>Sheet for partition formed by core, honeycomb and sheets made from eucalyptus fibers.</v>
      </c>
    </row>
    <row r="188" spans="1:27" ht="6" customHeight="1" x14ac:dyDescent="0.4">
      <c r="A188" s="22">
        <v>188</v>
      </c>
      <c r="B188" s="1" t="s">
        <v>1604</v>
      </c>
      <c r="C188" s="1" t="s">
        <v>1383</v>
      </c>
      <c r="D188" s="1" t="s">
        <v>1382</v>
      </c>
      <c r="E188" s="1" t="s">
        <v>999</v>
      </c>
      <c r="F188" s="1" t="s">
        <v>1241</v>
      </c>
      <c r="G188" s="56" t="s">
        <v>9</v>
      </c>
      <c r="H188" s="54" t="s">
        <v>9</v>
      </c>
      <c r="I188" s="54" t="s">
        <v>9</v>
      </c>
      <c r="J188" s="56" t="s">
        <v>9</v>
      </c>
      <c r="K188" s="56" t="s">
        <v>9</v>
      </c>
      <c r="L188" s="25" t="str">
        <f t="shared" si="67"/>
        <v>Arquitetônico</v>
      </c>
      <c r="M188" s="25" t="str">
        <f t="shared" si="68"/>
        <v>Elementos.Emplacados</v>
      </c>
      <c r="N188" s="25" t="str">
        <f t="shared" si="69"/>
        <v>Placas</v>
      </c>
      <c r="O188" s="25" t="str">
        <f t="shared" si="69"/>
        <v>Placa Metálica</v>
      </c>
      <c r="P188" s="34" t="s">
        <v>287</v>
      </c>
      <c r="Q188" s="33" t="s">
        <v>288</v>
      </c>
      <c r="R188" s="52" t="s">
        <v>9</v>
      </c>
      <c r="S188" s="26" t="str">
        <f t="shared" si="70"/>
        <v>Arquitetônico</v>
      </c>
      <c r="T188" s="26" t="str">
        <f t="shared" si="71"/>
        <v>Elementos Emplacados</v>
      </c>
      <c r="U188" s="26" t="str">
        <f t="shared" si="72"/>
        <v>Placas</v>
      </c>
      <c r="V188" s="20" t="s">
        <v>85</v>
      </c>
      <c r="W188" s="71" t="str">
        <f t="shared" si="66"/>
        <v>Key-ARQ-188</v>
      </c>
      <c r="X188" s="20" t="s">
        <v>1530</v>
      </c>
      <c r="Y188" s="26" t="s">
        <v>1416</v>
      </c>
      <c r="Z188" s="52" t="s">
        <v>9</v>
      </c>
      <c r="AA188" s="20" t="str">
        <f t="shared" si="73"/>
        <v>Sheet for exterior walls in ventilated or directly applied systems. Composite aluminum (ACM) with high resistance to weathering, UV rays and corrosion.</v>
      </c>
    </row>
    <row r="189" spans="1:27" ht="6" customHeight="1" x14ac:dyDescent="0.4">
      <c r="A189" s="22">
        <v>189</v>
      </c>
      <c r="B189" s="1" t="s">
        <v>1604</v>
      </c>
      <c r="C189" s="1" t="s">
        <v>1383</v>
      </c>
      <c r="D189" s="1" t="s">
        <v>1382</v>
      </c>
      <c r="E189" s="1" t="s">
        <v>999</v>
      </c>
      <c r="F189" s="1" t="s">
        <v>1243</v>
      </c>
      <c r="G189" s="56" t="s">
        <v>9</v>
      </c>
      <c r="H189" s="54" t="s">
        <v>9</v>
      </c>
      <c r="I189" s="54" t="s">
        <v>9</v>
      </c>
      <c r="J189" s="56" t="s">
        <v>9</v>
      </c>
      <c r="K189" s="56" t="s">
        <v>9</v>
      </c>
      <c r="L189" s="25" t="str">
        <f t="shared" si="67"/>
        <v>Arquitetônico</v>
      </c>
      <c r="M189" s="25" t="str">
        <f t="shared" si="68"/>
        <v>Elementos.Emplacados</v>
      </c>
      <c r="N189" s="25" t="str">
        <f t="shared" si="69"/>
        <v>Placas</v>
      </c>
      <c r="O189" s="25" t="str">
        <f t="shared" si="69"/>
        <v>Placa Alumínio Composto</v>
      </c>
      <c r="P189" s="34" t="s">
        <v>287</v>
      </c>
      <c r="Q189" s="33" t="s">
        <v>288</v>
      </c>
      <c r="R189" s="52" t="s">
        <v>9</v>
      </c>
      <c r="S189" s="26" t="str">
        <f t="shared" si="70"/>
        <v>Arquitetônico</v>
      </c>
      <c r="T189" s="26" t="str">
        <f t="shared" si="71"/>
        <v>Elementos Emplacados</v>
      </c>
      <c r="U189" s="26" t="str">
        <f t="shared" si="72"/>
        <v>Placas</v>
      </c>
      <c r="V189" s="20" t="s">
        <v>85</v>
      </c>
      <c r="W189" s="71" t="str">
        <f t="shared" si="66"/>
        <v>Key-ARQ-189</v>
      </c>
      <c r="X189" s="20" t="s">
        <v>1530</v>
      </c>
      <c r="Y189" s="26" t="s">
        <v>1416</v>
      </c>
      <c r="Z189" s="52" t="s">
        <v>9</v>
      </c>
      <c r="AA189" s="20" t="str">
        <f t="shared" si="73"/>
        <v>Sheet for exterior walls in ventilated or directly applied systems. Composite aluminum (ACM) with high resistance to weathering, UV rays and corrosion.</v>
      </c>
    </row>
    <row r="190" spans="1:27" ht="6" customHeight="1" x14ac:dyDescent="0.4">
      <c r="A190" s="22">
        <v>190</v>
      </c>
      <c r="B190" s="1" t="s">
        <v>1604</v>
      </c>
      <c r="C190" s="1" t="s">
        <v>1383</v>
      </c>
      <c r="D190" s="1" t="s">
        <v>1382</v>
      </c>
      <c r="E190" s="1" t="s">
        <v>999</v>
      </c>
      <c r="F190" s="1" t="s">
        <v>1244</v>
      </c>
      <c r="G190" s="56" t="s">
        <v>9</v>
      </c>
      <c r="H190" s="54" t="s">
        <v>9</v>
      </c>
      <c r="I190" s="54" t="s">
        <v>9</v>
      </c>
      <c r="J190" s="56" t="s">
        <v>9</v>
      </c>
      <c r="K190" s="56" t="s">
        <v>9</v>
      </c>
      <c r="L190" s="25" t="str">
        <f t="shared" si="67"/>
        <v>Arquitetônico</v>
      </c>
      <c r="M190" s="25" t="str">
        <f t="shared" si="68"/>
        <v>Elementos.Emplacados</v>
      </c>
      <c r="N190" s="25" t="str">
        <f t="shared" si="69"/>
        <v>Placas</v>
      </c>
      <c r="O190" s="25" t="str">
        <f t="shared" si="69"/>
        <v>Placa Laminada TS</v>
      </c>
      <c r="P190" s="20" t="s">
        <v>311</v>
      </c>
      <c r="Q190" s="33" t="s">
        <v>312</v>
      </c>
      <c r="R190" s="52" t="s">
        <v>9</v>
      </c>
      <c r="S190" s="26" t="str">
        <f t="shared" si="70"/>
        <v>Arquitetônico</v>
      </c>
      <c r="T190" s="26" t="str">
        <f t="shared" si="71"/>
        <v>Elementos Emplacados</v>
      </c>
      <c r="U190" s="26" t="str">
        <f t="shared" si="72"/>
        <v>Placas</v>
      </c>
      <c r="V190" s="20" t="s">
        <v>85</v>
      </c>
      <c r="W190" s="71" t="str">
        <f t="shared" si="66"/>
        <v>Key-ARQ-190</v>
      </c>
      <c r="X190" s="20" t="s">
        <v>1530</v>
      </c>
      <c r="Y190" s="26" t="s">
        <v>1416</v>
      </c>
      <c r="Z190" s="52" t="s">
        <v>9</v>
      </c>
      <c r="AA190" s="20" t="str">
        <f t="shared" si="73"/>
        <v>TS Structural Laminate Sheet (solid formica) for sanitary partitions.</v>
      </c>
    </row>
    <row r="191" spans="1:27" ht="6" customHeight="1" x14ac:dyDescent="0.4">
      <c r="A191" s="22">
        <v>191</v>
      </c>
      <c r="B191" s="1" t="s">
        <v>1604</v>
      </c>
      <c r="C191" s="1" t="s">
        <v>1383</v>
      </c>
      <c r="D191" s="1" t="s">
        <v>1382</v>
      </c>
      <c r="E191" s="1" t="s">
        <v>999</v>
      </c>
      <c r="F191" s="1" t="s">
        <v>1240</v>
      </c>
      <c r="G191" s="56" t="s">
        <v>9</v>
      </c>
      <c r="H191" s="54" t="s">
        <v>9</v>
      </c>
      <c r="I191" s="54" t="s">
        <v>9</v>
      </c>
      <c r="J191" s="56" t="s">
        <v>9</v>
      </c>
      <c r="K191" s="56" t="s">
        <v>9</v>
      </c>
      <c r="L191" s="25" t="str">
        <f t="shared" si="67"/>
        <v>Arquitetônico</v>
      </c>
      <c r="M191" s="25" t="str">
        <f t="shared" si="68"/>
        <v>Elementos.Emplacados</v>
      </c>
      <c r="N191" s="25" t="str">
        <f t="shared" si="69"/>
        <v>Placas</v>
      </c>
      <c r="O191" s="25" t="str">
        <f t="shared" si="69"/>
        <v>Placa Cimentícia</v>
      </c>
      <c r="P191" s="20" t="s">
        <v>289</v>
      </c>
      <c r="Q191" s="33" t="s">
        <v>290</v>
      </c>
      <c r="R191" s="52" t="s">
        <v>9</v>
      </c>
      <c r="S191" s="26" t="str">
        <f t="shared" si="70"/>
        <v>Arquitetônico</v>
      </c>
      <c r="T191" s="26" t="str">
        <f t="shared" si="71"/>
        <v>Elementos Emplacados</v>
      </c>
      <c r="U191" s="26" t="str">
        <f t="shared" si="72"/>
        <v>Placas</v>
      </c>
      <c r="V191" s="20" t="s">
        <v>85</v>
      </c>
      <c r="W191" s="71" t="str">
        <f t="shared" si="66"/>
        <v>Key-ARQ-191</v>
      </c>
      <c r="X191" s="20" t="s">
        <v>1530</v>
      </c>
      <c r="Y191" s="26" t="s">
        <v>1416</v>
      </c>
      <c r="Z191" s="52" t="s">
        <v>9</v>
      </c>
      <c r="AA191" s="20" t="str">
        <f t="shared" si="73"/>
        <v>Sheet for exterior walls in ventilated or directly applied systems. Produced with Portland cement core with additives and faces covered by fiberglass mesh.</v>
      </c>
    </row>
    <row r="192" spans="1:27" ht="6" customHeight="1" x14ac:dyDescent="0.4">
      <c r="A192" s="22">
        <v>192</v>
      </c>
      <c r="B192" s="1" t="s">
        <v>1604</v>
      </c>
      <c r="C192" s="1" t="s">
        <v>1383</v>
      </c>
      <c r="D192" s="1" t="s">
        <v>1382</v>
      </c>
      <c r="E192" s="1" t="s">
        <v>999</v>
      </c>
      <c r="F192" s="1" t="s">
        <v>1245</v>
      </c>
      <c r="G192" s="56" t="s">
        <v>9</v>
      </c>
      <c r="H192" s="54" t="s">
        <v>9</v>
      </c>
      <c r="I192" s="54" t="s">
        <v>9</v>
      </c>
      <c r="J192" s="56" t="s">
        <v>9</v>
      </c>
      <c r="K192" s="56" t="s">
        <v>9</v>
      </c>
      <c r="L192" s="25" t="str">
        <f t="shared" si="67"/>
        <v>Arquitetônico</v>
      </c>
      <c r="M192" s="25" t="str">
        <f t="shared" si="68"/>
        <v>Elementos.Emplacados</v>
      </c>
      <c r="N192" s="25" t="str">
        <f t="shared" si="69"/>
        <v>Placas</v>
      </c>
      <c r="O192" s="25" t="str">
        <f t="shared" si="69"/>
        <v>Placa Gesso Acartonado</v>
      </c>
      <c r="P192" s="20" t="s">
        <v>291</v>
      </c>
      <c r="Q192" s="33" t="s">
        <v>292</v>
      </c>
      <c r="R192" s="52" t="s">
        <v>9</v>
      </c>
      <c r="S192" s="26" t="str">
        <f t="shared" si="70"/>
        <v>Arquitetônico</v>
      </c>
      <c r="T192" s="26" t="str">
        <f t="shared" si="71"/>
        <v>Elementos Emplacados</v>
      </c>
      <c r="U192" s="26" t="str">
        <f t="shared" si="72"/>
        <v>Placas</v>
      </c>
      <c r="V192" s="20" t="s">
        <v>85</v>
      </c>
      <c r="W192" s="71" t="str">
        <f t="shared" si="66"/>
        <v>Key-ARQ-192</v>
      </c>
      <c r="X192" s="20" t="s">
        <v>1530</v>
      </c>
      <c r="Y192" s="26" t="s">
        <v>1416</v>
      </c>
      <c r="Z192" s="52" t="s">
        <v>9</v>
      </c>
      <c r="AA192" s="20" t="str">
        <f t="shared" si="73"/>
        <v>Drywall sheet for dry construction.</v>
      </c>
    </row>
    <row r="193" spans="1:27" ht="6" customHeight="1" x14ac:dyDescent="0.4">
      <c r="A193" s="22">
        <v>193</v>
      </c>
      <c r="B193" s="1" t="s">
        <v>1604</v>
      </c>
      <c r="C193" s="1" t="s">
        <v>1383</v>
      </c>
      <c r="D193" s="1" t="s">
        <v>1382</v>
      </c>
      <c r="E193" s="1" t="s">
        <v>999</v>
      </c>
      <c r="F193" s="1" t="s">
        <v>1246</v>
      </c>
      <c r="G193" s="56" t="s">
        <v>9</v>
      </c>
      <c r="H193" s="54" t="s">
        <v>9</v>
      </c>
      <c r="I193" s="54" t="s">
        <v>9</v>
      </c>
      <c r="J193" s="56" t="s">
        <v>9</v>
      </c>
      <c r="K193" s="56" t="s">
        <v>9</v>
      </c>
      <c r="L193" s="25" t="str">
        <f t="shared" si="67"/>
        <v>Arquitetônico</v>
      </c>
      <c r="M193" s="25" t="str">
        <f t="shared" si="68"/>
        <v>Elementos.Emplacados</v>
      </c>
      <c r="N193" s="25" t="str">
        <f t="shared" si="69"/>
        <v>Placas</v>
      </c>
      <c r="O193" s="25" t="str">
        <f t="shared" si="69"/>
        <v>Placa Pedra</v>
      </c>
      <c r="P193" s="20" t="s">
        <v>313</v>
      </c>
      <c r="Q193" s="33" t="s">
        <v>314</v>
      </c>
      <c r="R193" s="52" t="s">
        <v>9</v>
      </c>
      <c r="S193" s="26" t="str">
        <f t="shared" si="70"/>
        <v>Arquitetônico</v>
      </c>
      <c r="T193" s="26" t="str">
        <f t="shared" si="71"/>
        <v>Elementos Emplacados</v>
      </c>
      <c r="U193" s="26" t="str">
        <f t="shared" si="72"/>
        <v>Placas</v>
      </c>
      <c r="V193" s="20" t="s">
        <v>85</v>
      </c>
      <c r="W193" s="71" t="str">
        <f t="shared" si="66"/>
        <v>Key-ARQ-193</v>
      </c>
      <c r="X193" s="20" t="s">
        <v>1530</v>
      </c>
      <c r="Y193" s="26" t="s">
        <v>1416</v>
      </c>
      <c r="Z193" s="52" t="s">
        <v>9</v>
      </c>
      <c r="AA193" s="20" t="str">
        <f t="shared" si="73"/>
        <v>Marble or granite stone sheet for sanitary partitions.</v>
      </c>
    </row>
    <row r="194" spans="1:27" ht="6" customHeight="1" x14ac:dyDescent="0.4">
      <c r="A194" s="22">
        <v>194</v>
      </c>
      <c r="B194" s="1" t="s">
        <v>1604</v>
      </c>
      <c r="C194" s="1" t="s">
        <v>1383</v>
      </c>
      <c r="D194" s="1" t="s">
        <v>1382</v>
      </c>
      <c r="E194" s="1" t="s">
        <v>1000</v>
      </c>
      <c r="F194" s="1" t="s">
        <v>293</v>
      </c>
      <c r="G194" s="56" t="s">
        <v>9</v>
      </c>
      <c r="H194" s="54" t="s">
        <v>9</v>
      </c>
      <c r="I194" s="54" t="s">
        <v>9</v>
      </c>
      <c r="J194" s="56" t="s">
        <v>9</v>
      </c>
      <c r="K194" s="56" t="s">
        <v>9</v>
      </c>
      <c r="L194" s="25" t="str">
        <f t="shared" si="67"/>
        <v>Arquitetônico</v>
      </c>
      <c r="M194" s="25" t="str">
        <f t="shared" si="68"/>
        <v>Elementos.Emplacados</v>
      </c>
      <c r="N194" s="25" t="str">
        <f t="shared" si="69"/>
        <v>Vidros</v>
      </c>
      <c r="O194" s="25" t="str">
        <f t="shared" si="69"/>
        <v>Vidro Temperado</v>
      </c>
      <c r="P194" s="20" t="s">
        <v>294</v>
      </c>
      <c r="Q194" s="33" t="s">
        <v>295</v>
      </c>
      <c r="R194" s="52" t="s">
        <v>9</v>
      </c>
      <c r="S194" s="26" t="str">
        <f t="shared" si="70"/>
        <v>Arquitetônico</v>
      </c>
      <c r="T194" s="26" t="str">
        <f t="shared" si="71"/>
        <v>Elementos Emplacados</v>
      </c>
      <c r="U194" s="26" t="str">
        <f t="shared" si="72"/>
        <v>Vidros</v>
      </c>
      <c r="V194" s="20" t="s">
        <v>85</v>
      </c>
      <c r="W194" s="71" t="str">
        <f t="shared" si="66"/>
        <v>Key-ARQ-194</v>
      </c>
      <c r="X194" s="20" t="s">
        <v>1530</v>
      </c>
      <c r="Y194" s="26" t="s">
        <v>1416</v>
      </c>
      <c r="Z194" s="52" t="s">
        <v>9</v>
      </c>
      <c r="AA194" s="20" t="str">
        <f t="shared" si="73"/>
        <v>Tempered glass sheet.</v>
      </c>
    </row>
    <row r="195" spans="1:27" ht="6" customHeight="1" x14ac:dyDescent="0.4">
      <c r="A195" s="22">
        <v>195</v>
      </c>
      <c r="B195" s="1" t="s">
        <v>1604</v>
      </c>
      <c r="C195" s="1" t="s">
        <v>1383</v>
      </c>
      <c r="D195" s="1" t="s">
        <v>1382</v>
      </c>
      <c r="E195" s="1" t="s">
        <v>1000</v>
      </c>
      <c r="F195" s="1" t="s">
        <v>296</v>
      </c>
      <c r="G195" s="56" t="s">
        <v>9</v>
      </c>
      <c r="H195" s="54" t="s">
        <v>9</v>
      </c>
      <c r="I195" s="54" t="s">
        <v>9</v>
      </c>
      <c r="J195" s="56" t="s">
        <v>9</v>
      </c>
      <c r="K195" s="56" t="s">
        <v>9</v>
      </c>
      <c r="L195" s="25" t="str">
        <f t="shared" si="67"/>
        <v>Arquitetônico</v>
      </c>
      <c r="M195" s="25" t="str">
        <f t="shared" si="68"/>
        <v>Elementos.Emplacados</v>
      </c>
      <c r="N195" s="25" t="str">
        <f t="shared" si="69"/>
        <v>Vidros</v>
      </c>
      <c r="O195" s="25" t="str">
        <f t="shared" si="69"/>
        <v>Vidro Laminado</v>
      </c>
      <c r="P195" s="20" t="s">
        <v>297</v>
      </c>
      <c r="Q195" s="33" t="s">
        <v>298</v>
      </c>
      <c r="R195" s="52" t="s">
        <v>9</v>
      </c>
      <c r="S195" s="26" t="str">
        <f t="shared" si="70"/>
        <v>Arquitetônico</v>
      </c>
      <c r="T195" s="26" t="str">
        <f t="shared" si="71"/>
        <v>Elementos Emplacados</v>
      </c>
      <c r="U195" s="26" t="str">
        <f t="shared" si="72"/>
        <v>Vidros</v>
      </c>
      <c r="V195" s="20" t="s">
        <v>85</v>
      </c>
      <c r="W195" s="71" t="str">
        <f t="shared" ref="W195:W258" si="74">CONCATENATE("Key-ARQ-",A195)</f>
        <v>Key-ARQ-195</v>
      </c>
      <c r="X195" s="20" t="s">
        <v>1530</v>
      </c>
      <c r="Y195" s="26" t="s">
        <v>1416</v>
      </c>
      <c r="Z195" s="52" t="s">
        <v>9</v>
      </c>
      <c r="AA195" s="20" t="str">
        <f t="shared" si="73"/>
        <v>Laminated glass sheet.</v>
      </c>
    </row>
    <row r="196" spans="1:27" ht="6" customHeight="1" x14ac:dyDescent="0.4">
      <c r="A196" s="22">
        <v>196</v>
      </c>
      <c r="B196" s="1" t="s">
        <v>1604</v>
      </c>
      <c r="C196" s="1" t="s">
        <v>1383</v>
      </c>
      <c r="D196" s="1" t="s">
        <v>1382</v>
      </c>
      <c r="E196" s="1" t="s">
        <v>1000</v>
      </c>
      <c r="F196" s="1" t="s">
        <v>299</v>
      </c>
      <c r="G196" s="56" t="s">
        <v>9</v>
      </c>
      <c r="H196" s="54" t="s">
        <v>9</v>
      </c>
      <c r="I196" s="54" t="s">
        <v>9</v>
      </c>
      <c r="J196" s="56" t="s">
        <v>9</v>
      </c>
      <c r="K196" s="56" t="s">
        <v>9</v>
      </c>
      <c r="L196" s="25" t="str">
        <f t="shared" si="67"/>
        <v>Arquitetônico</v>
      </c>
      <c r="M196" s="25" t="str">
        <f t="shared" si="68"/>
        <v>Elementos.Emplacados</v>
      </c>
      <c r="N196" s="25" t="str">
        <f t="shared" si="69"/>
        <v>Vidros</v>
      </c>
      <c r="O196" s="25" t="str">
        <f t="shared" si="69"/>
        <v>Vidro Polarizado</v>
      </c>
      <c r="P196" s="20" t="s">
        <v>300</v>
      </c>
      <c r="Q196" s="33" t="s">
        <v>301</v>
      </c>
      <c r="R196" s="52" t="s">
        <v>9</v>
      </c>
      <c r="S196" s="26" t="str">
        <f t="shared" si="70"/>
        <v>Arquitetônico</v>
      </c>
      <c r="T196" s="26" t="str">
        <f t="shared" si="71"/>
        <v>Elementos Emplacados</v>
      </c>
      <c r="U196" s="26" t="str">
        <f t="shared" si="72"/>
        <v>Vidros</v>
      </c>
      <c r="V196" s="20" t="s">
        <v>85</v>
      </c>
      <c r="W196" s="71" t="str">
        <f t="shared" si="74"/>
        <v>Key-ARQ-196</v>
      </c>
      <c r="X196" s="20" t="s">
        <v>1530</v>
      </c>
      <c r="Y196" s="26" t="s">
        <v>1416</v>
      </c>
      <c r="Z196" s="52" t="s">
        <v>9</v>
      </c>
      <c r="AA196" s="20" t="str">
        <f t="shared" si="73"/>
        <v>Polarized glass sheet. Changes transparency by passing voltage. Double laminated glass and with an intermediate LCD (Liquid Crystal Display) film.</v>
      </c>
    </row>
    <row r="197" spans="1:27" ht="6" customHeight="1" x14ac:dyDescent="0.4">
      <c r="A197" s="22">
        <v>197</v>
      </c>
      <c r="B197" s="1" t="s">
        <v>1604</v>
      </c>
      <c r="C197" s="1" t="s">
        <v>1383</v>
      </c>
      <c r="D197" s="1" t="s">
        <v>1382</v>
      </c>
      <c r="E197" s="1" t="s">
        <v>1000</v>
      </c>
      <c r="F197" s="1" t="s">
        <v>302</v>
      </c>
      <c r="G197" s="56" t="s">
        <v>9</v>
      </c>
      <c r="H197" s="54" t="s">
        <v>9</v>
      </c>
      <c r="I197" s="54" t="s">
        <v>9</v>
      </c>
      <c r="J197" s="56" t="s">
        <v>9</v>
      </c>
      <c r="K197" s="56" t="s">
        <v>9</v>
      </c>
      <c r="L197" s="25" t="str">
        <f t="shared" si="67"/>
        <v>Arquitetônico</v>
      </c>
      <c r="M197" s="25" t="str">
        <f t="shared" si="68"/>
        <v>Elementos.Emplacados</v>
      </c>
      <c r="N197" s="25" t="str">
        <f t="shared" si="69"/>
        <v>Vidros</v>
      </c>
      <c r="O197" s="25" t="str">
        <f t="shared" si="69"/>
        <v>Vidro Low E</v>
      </c>
      <c r="P197" s="33" t="s">
        <v>303</v>
      </c>
      <c r="Q197" s="33" t="s">
        <v>304</v>
      </c>
      <c r="R197" s="52" t="s">
        <v>9</v>
      </c>
      <c r="S197" s="26" t="str">
        <f t="shared" si="70"/>
        <v>Arquitetônico</v>
      </c>
      <c r="T197" s="26" t="str">
        <f t="shared" si="71"/>
        <v>Elementos Emplacados</v>
      </c>
      <c r="U197" s="26" t="str">
        <f t="shared" si="72"/>
        <v>Vidros</v>
      </c>
      <c r="V197" s="20" t="s">
        <v>85</v>
      </c>
      <c r="W197" s="71" t="str">
        <f t="shared" si="74"/>
        <v>Key-ARQ-197</v>
      </c>
      <c r="X197" s="20" t="s">
        <v>1530</v>
      </c>
      <c r="Y197" s="26" t="s">
        <v>1416</v>
      </c>
      <c r="Z197" s="52" t="s">
        <v>9</v>
      </c>
      <c r="AA197" s="20" t="str">
        <f t="shared" si="73"/>
        <v>Low emissividad glass sheet. It reflects UV rays improving its thermal resistance capacity.</v>
      </c>
    </row>
    <row r="198" spans="1:27" ht="6" customHeight="1" x14ac:dyDescent="0.4">
      <c r="A198" s="22">
        <v>198</v>
      </c>
      <c r="B198" s="1" t="s">
        <v>1604</v>
      </c>
      <c r="C198" s="1" t="s">
        <v>1383</v>
      </c>
      <c r="D198" s="1" t="s">
        <v>1382</v>
      </c>
      <c r="E198" s="1" t="s">
        <v>1000</v>
      </c>
      <c r="F198" s="1" t="s">
        <v>305</v>
      </c>
      <c r="G198" s="56" t="s">
        <v>9</v>
      </c>
      <c r="H198" s="54" t="s">
        <v>9</v>
      </c>
      <c r="I198" s="54" t="s">
        <v>9</v>
      </c>
      <c r="J198" s="56" t="s">
        <v>9</v>
      </c>
      <c r="K198" s="56" t="s">
        <v>9</v>
      </c>
      <c r="L198" s="25" t="str">
        <f t="shared" si="67"/>
        <v>Arquitetônico</v>
      </c>
      <c r="M198" s="25" t="str">
        <f t="shared" si="68"/>
        <v>Elementos.Emplacados</v>
      </c>
      <c r="N198" s="25" t="str">
        <f t="shared" si="69"/>
        <v>Vidros</v>
      </c>
      <c r="O198" s="25" t="str">
        <f t="shared" si="69"/>
        <v>Vidro Comúm</v>
      </c>
      <c r="P198" s="20" t="s">
        <v>306</v>
      </c>
      <c r="Q198" s="33" t="s">
        <v>307</v>
      </c>
      <c r="R198" s="52" t="s">
        <v>9</v>
      </c>
      <c r="S198" s="26" t="str">
        <f t="shared" si="70"/>
        <v>Arquitetônico</v>
      </c>
      <c r="T198" s="26" t="str">
        <f t="shared" si="71"/>
        <v>Elementos Emplacados</v>
      </c>
      <c r="U198" s="26" t="str">
        <f t="shared" si="72"/>
        <v>Vidros</v>
      </c>
      <c r="V198" s="20" t="s">
        <v>85</v>
      </c>
      <c r="W198" s="71" t="str">
        <f t="shared" si="74"/>
        <v>Key-ARQ-198</v>
      </c>
      <c r="X198" s="20" t="s">
        <v>1530</v>
      </c>
      <c r="Y198" s="26" t="s">
        <v>1416</v>
      </c>
      <c r="Z198" s="52" t="s">
        <v>9</v>
      </c>
      <c r="AA198" s="20" t="str">
        <f t="shared" si="73"/>
        <v>Common glass plate.</v>
      </c>
    </row>
    <row r="199" spans="1:27" ht="6" customHeight="1" x14ac:dyDescent="0.4">
      <c r="A199" s="22">
        <v>199</v>
      </c>
      <c r="B199" s="1" t="s">
        <v>1604</v>
      </c>
      <c r="C199" s="1" t="s">
        <v>1383</v>
      </c>
      <c r="D199" s="1" t="s">
        <v>1382</v>
      </c>
      <c r="E199" s="1" t="s">
        <v>1000</v>
      </c>
      <c r="F199" s="1" t="s">
        <v>308</v>
      </c>
      <c r="G199" s="56" t="s">
        <v>9</v>
      </c>
      <c r="H199" s="54" t="s">
        <v>9</v>
      </c>
      <c r="I199" s="54" t="s">
        <v>9</v>
      </c>
      <c r="J199" s="56" t="s">
        <v>9</v>
      </c>
      <c r="K199" s="56" t="s">
        <v>9</v>
      </c>
      <c r="L199" s="25" t="str">
        <f t="shared" si="67"/>
        <v>Arquitetônico</v>
      </c>
      <c r="M199" s="25" t="str">
        <f t="shared" si="68"/>
        <v>Elementos.Emplacados</v>
      </c>
      <c r="N199" s="25" t="str">
        <f t="shared" si="69"/>
        <v>Vidros</v>
      </c>
      <c r="O199" s="25" t="str">
        <f t="shared" si="69"/>
        <v>Vidro Plumbífero</v>
      </c>
      <c r="P199" s="20" t="s">
        <v>309</v>
      </c>
      <c r="Q199" s="33" t="s">
        <v>310</v>
      </c>
      <c r="R199" s="52" t="s">
        <v>9</v>
      </c>
      <c r="S199" s="26" t="str">
        <f t="shared" si="70"/>
        <v>Arquitetônico</v>
      </c>
      <c r="T199" s="26" t="str">
        <f t="shared" si="71"/>
        <v>Elementos Emplacados</v>
      </c>
      <c r="U199" s="26" t="str">
        <f t="shared" si="72"/>
        <v>Vidros</v>
      </c>
      <c r="V199" s="20" t="s">
        <v>85</v>
      </c>
      <c r="W199" s="71" t="str">
        <f t="shared" si="74"/>
        <v>Key-ARQ-199</v>
      </c>
      <c r="X199" s="20" t="s">
        <v>1530</v>
      </c>
      <c r="Y199" s="26" t="s">
        <v>1416</v>
      </c>
      <c r="Z199" s="52" t="s">
        <v>9</v>
      </c>
      <c r="AA199" s="20" t="str">
        <f t="shared" si="73"/>
        <v>Lead glass sheet for protection against X-rays harmful to health. It has a high capacity to shield ionizing radiation.</v>
      </c>
    </row>
    <row r="200" spans="1:27" ht="6" customHeight="1" x14ac:dyDescent="0.4">
      <c r="A200" s="22">
        <v>200</v>
      </c>
      <c r="B200" s="1" t="s">
        <v>1604</v>
      </c>
      <c r="C200" s="1" t="s">
        <v>1383</v>
      </c>
      <c r="D200" s="1" t="s">
        <v>1382</v>
      </c>
      <c r="E200" s="1" t="s">
        <v>1000</v>
      </c>
      <c r="F200" s="1" t="s">
        <v>1092</v>
      </c>
      <c r="G200" s="56" t="s">
        <v>9</v>
      </c>
      <c r="H200" s="54" t="s">
        <v>9</v>
      </c>
      <c r="I200" s="54" t="s">
        <v>9</v>
      </c>
      <c r="J200" s="56" t="s">
        <v>9</v>
      </c>
      <c r="K200" s="56" t="s">
        <v>9</v>
      </c>
      <c r="L200" s="25" t="str">
        <f t="shared" si="67"/>
        <v>Arquitetônico</v>
      </c>
      <c r="M200" s="25" t="str">
        <f t="shared" si="68"/>
        <v>Elementos.Emplacados</v>
      </c>
      <c r="N200" s="25" t="str">
        <f t="shared" si="69"/>
        <v>Vidros</v>
      </c>
      <c r="O200" s="25" t="str">
        <f t="shared" si="69"/>
        <v>Vidro Serigrafado</v>
      </c>
      <c r="P200" s="20" t="s">
        <v>1093</v>
      </c>
      <c r="Q200" s="20" t="s">
        <v>1094</v>
      </c>
      <c r="R200" s="52" t="s">
        <v>9</v>
      </c>
      <c r="S200" s="26" t="str">
        <f t="shared" si="70"/>
        <v>Arquitetônico</v>
      </c>
      <c r="T200" s="26" t="str">
        <f t="shared" si="71"/>
        <v>Elementos Emplacados</v>
      </c>
      <c r="U200" s="26" t="str">
        <f t="shared" si="72"/>
        <v>Vidros</v>
      </c>
      <c r="V200" s="20" t="s">
        <v>85</v>
      </c>
      <c r="W200" s="71" t="str">
        <f t="shared" si="74"/>
        <v>Key-ARQ-200</v>
      </c>
      <c r="X200" s="20" t="s">
        <v>1530</v>
      </c>
      <c r="Y200" s="26" t="s">
        <v>1416</v>
      </c>
      <c r="Z200" s="52" t="s">
        <v>9</v>
      </c>
      <c r="AA200" s="20" t="str">
        <f t="shared" si="73"/>
        <v>Screen-printed glass sheet that combines transparent and opaque areas for light and solar control.</v>
      </c>
    </row>
    <row r="201" spans="1:27" ht="6" customHeight="1" x14ac:dyDescent="0.4">
      <c r="A201" s="22">
        <v>201</v>
      </c>
      <c r="B201" s="1" t="s">
        <v>1604</v>
      </c>
      <c r="C201" s="1" t="s">
        <v>1383</v>
      </c>
      <c r="D201" s="1" t="s">
        <v>1382</v>
      </c>
      <c r="E201" s="1" t="s">
        <v>998</v>
      </c>
      <c r="F201" s="1" t="s">
        <v>315</v>
      </c>
      <c r="G201" s="56" t="s">
        <v>9</v>
      </c>
      <c r="H201" s="54" t="s">
        <v>9</v>
      </c>
      <c r="I201" s="54" t="s">
        <v>9</v>
      </c>
      <c r="J201" s="56" t="s">
        <v>9</v>
      </c>
      <c r="K201" s="56" t="s">
        <v>9</v>
      </c>
      <c r="L201" s="25" t="str">
        <f t="shared" si="67"/>
        <v>Arquitetônico</v>
      </c>
      <c r="M201" s="25" t="str">
        <f t="shared" si="68"/>
        <v>Elementos.Emplacados</v>
      </c>
      <c r="N201" s="25" t="str">
        <f t="shared" si="69"/>
        <v>Guias</v>
      </c>
      <c r="O201" s="25" t="str">
        <f t="shared" si="69"/>
        <v>Guia L</v>
      </c>
      <c r="P201" s="20" t="s">
        <v>316</v>
      </c>
      <c r="Q201" s="33" t="s">
        <v>317</v>
      </c>
      <c r="R201" s="52" t="s">
        <v>9</v>
      </c>
      <c r="S201" s="26" t="str">
        <f t="shared" si="70"/>
        <v>Arquitetônico</v>
      </c>
      <c r="T201" s="26" t="str">
        <f t="shared" si="71"/>
        <v>Elementos Emplacados</v>
      </c>
      <c r="U201" s="26" t="str">
        <f t="shared" si="72"/>
        <v>Guias</v>
      </c>
      <c r="V201" s="20" t="s">
        <v>85</v>
      </c>
      <c r="W201" s="71" t="str">
        <f t="shared" si="74"/>
        <v>Key-ARQ-201</v>
      </c>
      <c r="X201" s="20" t="s">
        <v>1531</v>
      </c>
      <c r="Y201" s="26" t="s">
        <v>1416</v>
      </c>
      <c r="Z201" s="52" t="s">
        <v>9</v>
      </c>
      <c r="AA201" s="20" t="str">
        <f t="shared" si="73"/>
        <v>Z 275 galvanised steel metal profile (275 g/m²). Minimum thickness of 0.50 mm, produced in accordance with NBR 15217 standard. Used to reinforce 90º sharp corners.</v>
      </c>
    </row>
    <row r="202" spans="1:27" ht="6" customHeight="1" x14ac:dyDescent="0.4">
      <c r="A202" s="22">
        <v>202</v>
      </c>
      <c r="B202" s="1" t="s">
        <v>1604</v>
      </c>
      <c r="C202" s="1" t="s">
        <v>1383</v>
      </c>
      <c r="D202" s="1" t="s">
        <v>1382</v>
      </c>
      <c r="E202" s="1" t="s">
        <v>998</v>
      </c>
      <c r="F202" s="1" t="s">
        <v>318</v>
      </c>
      <c r="G202" s="56" t="s">
        <v>9</v>
      </c>
      <c r="H202" s="54" t="s">
        <v>9</v>
      </c>
      <c r="I202" s="54" t="s">
        <v>9</v>
      </c>
      <c r="J202" s="56" t="s">
        <v>9</v>
      </c>
      <c r="K202" s="56" t="s">
        <v>9</v>
      </c>
      <c r="L202" s="25" t="str">
        <f t="shared" si="67"/>
        <v>Arquitetônico</v>
      </c>
      <c r="M202" s="25" t="str">
        <f t="shared" si="68"/>
        <v>Elementos.Emplacados</v>
      </c>
      <c r="N202" s="25" t="str">
        <f t="shared" si="69"/>
        <v>Guias</v>
      </c>
      <c r="O202" s="25" t="str">
        <f t="shared" si="69"/>
        <v>Guia U</v>
      </c>
      <c r="P202" s="20" t="s">
        <v>319</v>
      </c>
      <c r="Q202" s="33" t="s">
        <v>320</v>
      </c>
      <c r="R202" s="52" t="s">
        <v>9</v>
      </c>
      <c r="S202" s="26" t="str">
        <f t="shared" si="70"/>
        <v>Arquitetônico</v>
      </c>
      <c r="T202" s="26" t="str">
        <f t="shared" si="71"/>
        <v>Elementos Emplacados</v>
      </c>
      <c r="U202" s="26" t="str">
        <f t="shared" si="72"/>
        <v>Guias</v>
      </c>
      <c r="V202" s="20" t="s">
        <v>85</v>
      </c>
      <c r="W202" s="71" t="str">
        <f t="shared" si="74"/>
        <v>Key-ARQ-202</v>
      </c>
      <c r="X202" s="20" t="s">
        <v>1531</v>
      </c>
      <c r="Y202" s="26" t="s">
        <v>1416</v>
      </c>
      <c r="Z202" s="52" t="s">
        <v>9</v>
      </c>
      <c r="AA202" s="20" t="str">
        <f t="shared" si="73"/>
        <v>Z 275 galvanised steel metal profile (275 g/m²). Minimum thickness of 0.50 mm, produced in accordance with NBR 15217 standard. Used to structure the DryWall partition.</v>
      </c>
    </row>
    <row r="203" spans="1:27" ht="6" customHeight="1" x14ac:dyDescent="0.4">
      <c r="A203" s="22">
        <v>203</v>
      </c>
      <c r="B203" s="1" t="s">
        <v>1604</v>
      </c>
      <c r="C203" s="1" t="s">
        <v>1383</v>
      </c>
      <c r="D203" s="1" t="s">
        <v>1382</v>
      </c>
      <c r="E203" s="1" t="s">
        <v>998</v>
      </c>
      <c r="F203" s="1" t="s">
        <v>321</v>
      </c>
      <c r="G203" s="56" t="s">
        <v>9</v>
      </c>
      <c r="H203" s="54" t="s">
        <v>9</v>
      </c>
      <c r="I203" s="54" t="s">
        <v>9</v>
      </c>
      <c r="J203" s="56" t="s">
        <v>9</v>
      </c>
      <c r="K203" s="56" t="s">
        <v>9</v>
      </c>
      <c r="L203" s="25" t="str">
        <f t="shared" si="67"/>
        <v>Arquitetônico</v>
      </c>
      <c r="M203" s="25" t="str">
        <f t="shared" si="68"/>
        <v>Elementos.Emplacados</v>
      </c>
      <c r="N203" s="25" t="str">
        <f t="shared" si="69"/>
        <v>Guias</v>
      </c>
      <c r="O203" s="25" t="str">
        <f t="shared" si="69"/>
        <v>Guia Montante</v>
      </c>
      <c r="P203" s="20" t="s">
        <v>319</v>
      </c>
      <c r="Q203" s="33" t="s">
        <v>320</v>
      </c>
      <c r="R203" s="52" t="s">
        <v>9</v>
      </c>
      <c r="S203" s="26" t="str">
        <f t="shared" si="70"/>
        <v>Arquitetônico</v>
      </c>
      <c r="T203" s="26" t="str">
        <f t="shared" si="71"/>
        <v>Elementos Emplacados</v>
      </c>
      <c r="U203" s="26" t="str">
        <f t="shared" si="72"/>
        <v>Guias</v>
      </c>
      <c r="V203" s="20" t="s">
        <v>85</v>
      </c>
      <c r="W203" s="71" t="str">
        <f t="shared" si="74"/>
        <v>Key-ARQ-203</v>
      </c>
      <c r="X203" s="20" t="s">
        <v>1531</v>
      </c>
      <c r="Y203" s="26" t="s">
        <v>1416</v>
      </c>
      <c r="Z203" s="52" t="s">
        <v>9</v>
      </c>
      <c r="AA203" s="20" t="str">
        <f t="shared" si="73"/>
        <v>Z 275 galvanised steel metal profile (275 g/m²). Minimum thickness of 0.50 mm, produced in accordance with NBR 15217 standard. Used to structure the DryWall partition.</v>
      </c>
    </row>
    <row r="204" spans="1:27" ht="6" customHeight="1" x14ac:dyDescent="0.4">
      <c r="A204" s="22">
        <v>204</v>
      </c>
      <c r="B204" s="1" t="s">
        <v>1604</v>
      </c>
      <c r="C204" s="1" t="s">
        <v>1383</v>
      </c>
      <c r="D204" s="1" t="s">
        <v>1399</v>
      </c>
      <c r="E204" s="1" t="s">
        <v>1247</v>
      </c>
      <c r="F204" s="1" t="s">
        <v>322</v>
      </c>
      <c r="G204" s="56" t="s">
        <v>9</v>
      </c>
      <c r="H204" s="54" t="s">
        <v>9</v>
      </c>
      <c r="I204" s="54" t="s">
        <v>9</v>
      </c>
      <c r="J204" s="56" t="s">
        <v>9</v>
      </c>
      <c r="K204" s="56" t="s">
        <v>9</v>
      </c>
      <c r="L204" s="25" t="str">
        <f t="shared" si="67"/>
        <v>Arquitetônico</v>
      </c>
      <c r="M204" s="25" t="str">
        <f t="shared" si="68"/>
        <v>Elementos.Ferragens</v>
      </c>
      <c r="N204" s="25" t="str">
        <f t="shared" si="69"/>
        <v>Fixadores</v>
      </c>
      <c r="O204" s="25" t="str">
        <f t="shared" si="69"/>
        <v>Parafuso</v>
      </c>
      <c r="P204" s="20" t="s">
        <v>323</v>
      </c>
      <c r="Q204" s="33" t="s">
        <v>324</v>
      </c>
      <c r="R204" s="52" t="s">
        <v>9</v>
      </c>
      <c r="S204" s="26" t="str">
        <f t="shared" si="70"/>
        <v>Arquitetônico</v>
      </c>
      <c r="T204" s="26" t="str">
        <f t="shared" si="71"/>
        <v>Elementos Ferragens</v>
      </c>
      <c r="U204" s="26" t="str">
        <f t="shared" si="72"/>
        <v>Fixadores</v>
      </c>
      <c r="V204" s="20" t="s">
        <v>85</v>
      </c>
      <c r="W204" s="71" t="str">
        <f t="shared" si="74"/>
        <v>Key-ARQ-204</v>
      </c>
      <c r="X204" s="20" t="s">
        <v>1532</v>
      </c>
      <c r="Y204" s="26" t="s">
        <v>1442</v>
      </c>
      <c r="Z204" s="52" t="s">
        <v>9</v>
      </c>
      <c r="AA204" s="20" t="str">
        <f t="shared" si="73"/>
        <v>Mounting screw for partition and ceiling systems.</v>
      </c>
    </row>
    <row r="205" spans="1:27" ht="6" customHeight="1" x14ac:dyDescent="0.4">
      <c r="A205" s="22">
        <v>205</v>
      </c>
      <c r="B205" s="1" t="s">
        <v>1604</v>
      </c>
      <c r="C205" s="1" t="s">
        <v>1383</v>
      </c>
      <c r="D205" s="1" t="s">
        <v>1399</v>
      </c>
      <c r="E205" s="1" t="s">
        <v>1247</v>
      </c>
      <c r="F205" s="1" t="s">
        <v>325</v>
      </c>
      <c r="G205" s="56" t="s">
        <v>9</v>
      </c>
      <c r="H205" s="54" t="s">
        <v>9</v>
      </c>
      <c r="I205" s="54" t="s">
        <v>9</v>
      </c>
      <c r="J205" s="56" t="s">
        <v>9</v>
      </c>
      <c r="K205" s="56" t="s">
        <v>9</v>
      </c>
      <c r="L205" s="25" t="str">
        <f t="shared" si="67"/>
        <v>Arquitetônico</v>
      </c>
      <c r="M205" s="25" t="str">
        <f t="shared" si="68"/>
        <v>Elementos.Ferragens</v>
      </c>
      <c r="N205" s="25" t="str">
        <f t="shared" si="69"/>
        <v>Fixadores</v>
      </c>
      <c r="O205" s="25" t="str">
        <f t="shared" si="69"/>
        <v>Bucha</v>
      </c>
      <c r="P205" s="20" t="s">
        <v>326</v>
      </c>
      <c r="Q205" s="33" t="s">
        <v>327</v>
      </c>
      <c r="R205" s="52" t="s">
        <v>9</v>
      </c>
      <c r="S205" s="26" t="str">
        <f t="shared" si="70"/>
        <v>Arquitetônico</v>
      </c>
      <c r="T205" s="26" t="str">
        <f t="shared" si="71"/>
        <v>Elementos Ferragens</v>
      </c>
      <c r="U205" s="26" t="str">
        <f t="shared" si="72"/>
        <v>Fixadores</v>
      </c>
      <c r="V205" s="20" t="s">
        <v>85</v>
      </c>
      <c r="W205" s="71" t="str">
        <f t="shared" si="74"/>
        <v>Key-ARQ-205</v>
      </c>
      <c r="X205" s="20" t="s">
        <v>1532</v>
      </c>
      <c r="Y205" s="26" t="s">
        <v>1442</v>
      </c>
      <c r="Z205" s="52" t="s">
        <v>9</v>
      </c>
      <c r="AA205" s="20" t="str">
        <f t="shared" si="73"/>
        <v>Bushing.</v>
      </c>
    </row>
    <row r="206" spans="1:27" ht="6" customHeight="1" x14ac:dyDescent="0.4">
      <c r="A206" s="22">
        <v>206</v>
      </c>
      <c r="B206" s="1" t="s">
        <v>1604</v>
      </c>
      <c r="C206" s="1" t="s">
        <v>1383</v>
      </c>
      <c r="D206" s="1" t="s">
        <v>1399</v>
      </c>
      <c r="E206" s="1" t="s">
        <v>1247</v>
      </c>
      <c r="F206" s="1" t="s">
        <v>328</v>
      </c>
      <c r="G206" s="56" t="s">
        <v>9</v>
      </c>
      <c r="H206" s="54" t="s">
        <v>9</v>
      </c>
      <c r="I206" s="54" t="s">
        <v>9</v>
      </c>
      <c r="J206" s="56" t="s">
        <v>9</v>
      </c>
      <c r="K206" s="56" t="s">
        <v>9</v>
      </c>
      <c r="L206" s="25" t="str">
        <f t="shared" si="67"/>
        <v>Arquitetônico</v>
      </c>
      <c r="M206" s="25" t="str">
        <f t="shared" si="68"/>
        <v>Elementos.Ferragens</v>
      </c>
      <c r="N206" s="25" t="str">
        <f t="shared" si="69"/>
        <v>Fixadores</v>
      </c>
      <c r="O206" s="25" t="str">
        <f t="shared" si="69"/>
        <v>Fixador Pinça</v>
      </c>
      <c r="P206" s="20" t="s">
        <v>329</v>
      </c>
      <c r="Q206" s="33" t="s">
        <v>330</v>
      </c>
      <c r="R206" s="52" t="s">
        <v>9</v>
      </c>
      <c r="S206" s="26" t="str">
        <f t="shared" si="70"/>
        <v>Arquitetônico</v>
      </c>
      <c r="T206" s="26" t="str">
        <f t="shared" si="71"/>
        <v>Elementos Ferragens</v>
      </c>
      <c r="U206" s="26" t="str">
        <f t="shared" si="72"/>
        <v>Fixadores</v>
      </c>
      <c r="V206" s="20" t="s">
        <v>85</v>
      </c>
      <c r="W206" s="71" t="str">
        <f t="shared" si="74"/>
        <v>Key-ARQ-206</v>
      </c>
      <c r="X206" s="20" t="s">
        <v>1532</v>
      </c>
      <c r="Y206" s="26" t="s">
        <v>1442</v>
      </c>
      <c r="Z206" s="52" t="s">
        <v>9</v>
      </c>
      <c r="AA206" s="20" t="str">
        <f t="shared" si="73"/>
        <v>Metal clamp type clamp.</v>
      </c>
    </row>
    <row r="207" spans="1:27" ht="6" customHeight="1" x14ac:dyDescent="0.4">
      <c r="A207" s="22">
        <v>207</v>
      </c>
      <c r="B207" s="1" t="s">
        <v>1604</v>
      </c>
      <c r="C207" s="1" t="s">
        <v>1383</v>
      </c>
      <c r="D207" s="1" t="s">
        <v>1399</v>
      </c>
      <c r="E207" s="1" t="s">
        <v>1247</v>
      </c>
      <c r="F207" s="1" t="s">
        <v>331</v>
      </c>
      <c r="G207" s="56" t="s">
        <v>9</v>
      </c>
      <c r="H207" s="54" t="s">
        <v>9</v>
      </c>
      <c r="I207" s="54" t="s">
        <v>9</v>
      </c>
      <c r="J207" s="56" t="s">
        <v>9</v>
      </c>
      <c r="K207" s="56" t="s">
        <v>9</v>
      </c>
      <c r="L207" s="25" t="str">
        <f t="shared" si="67"/>
        <v>Arquitetônico</v>
      </c>
      <c r="M207" s="25" t="str">
        <f t="shared" si="68"/>
        <v>Elementos.Ferragens</v>
      </c>
      <c r="N207" s="25" t="str">
        <f t="shared" si="69"/>
        <v>Fixadores</v>
      </c>
      <c r="O207" s="25" t="str">
        <f t="shared" si="69"/>
        <v>Fixador Cantoneira</v>
      </c>
      <c r="P207" s="20" t="s">
        <v>332</v>
      </c>
      <c r="Q207" s="33" t="s">
        <v>333</v>
      </c>
      <c r="R207" s="52" t="s">
        <v>9</v>
      </c>
      <c r="S207" s="26" t="str">
        <f t="shared" si="70"/>
        <v>Arquitetônico</v>
      </c>
      <c r="T207" s="26" t="str">
        <f t="shared" si="71"/>
        <v>Elementos Ferragens</v>
      </c>
      <c r="U207" s="26" t="str">
        <f t="shared" si="72"/>
        <v>Fixadores</v>
      </c>
      <c r="V207" s="20" t="s">
        <v>85</v>
      </c>
      <c r="W207" s="71" t="str">
        <f t="shared" si="74"/>
        <v>Key-ARQ-207</v>
      </c>
      <c r="X207" s="20" t="s">
        <v>1532</v>
      </c>
      <c r="Y207" s="26" t="s">
        <v>1442</v>
      </c>
      <c r="Z207" s="52" t="s">
        <v>9</v>
      </c>
      <c r="AA207" s="20" t="str">
        <f t="shared" si="73"/>
        <v>Metallic bracket type fixer.</v>
      </c>
    </row>
    <row r="208" spans="1:27" ht="6" customHeight="1" x14ac:dyDescent="0.4">
      <c r="A208" s="22">
        <v>208</v>
      </c>
      <c r="B208" s="1" t="s">
        <v>1604</v>
      </c>
      <c r="C208" s="1" t="s">
        <v>1383</v>
      </c>
      <c r="D208" s="1" t="s">
        <v>1399</v>
      </c>
      <c r="E208" s="1" t="s">
        <v>1247</v>
      </c>
      <c r="F208" s="1" t="s">
        <v>334</v>
      </c>
      <c r="G208" s="56" t="s">
        <v>9</v>
      </c>
      <c r="H208" s="54" t="s">
        <v>9</v>
      </c>
      <c r="I208" s="54" t="s">
        <v>9</v>
      </c>
      <c r="J208" s="56" t="s">
        <v>9</v>
      </c>
      <c r="K208" s="56" t="s">
        <v>9</v>
      </c>
      <c r="L208" s="25" t="str">
        <f t="shared" si="67"/>
        <v>Arquitetônico</v>
      </c>
      <c r="M208" s="25" t="str">
        <f t="shared" si="68"/>
        <v>Elementos.Ferragens</v>
      </c>
      <c r="N208" s="25" t="str">
        <f t="shared" si="69"/>
        <v>Fixadores</v>
      </c>
      <c r="O208" s="25" t="str">
        <f t="shared" si="69"/>
        <v>Conector</v>
      </c>
      <c r="P208" s="20" t="s">
        <v>335</v>
      </c>
      <c r="Q208" s="33" t="s">
        <v>335</v>
      </c>
      <c r="R208" s="52" t="s">
        <v>9</v>
      </c>
      <c r="S208" s="26" t="str">
        <f t="shared" si="70"/>
        <v>Arquitetônico</v>
      </c>
      <c r="T208" s="26" t="str">
        <f t="shared" si="71"/>
        <v>Elementos Ferragens</v>
      </c>
      <c r="U208" s="26" t="str">
        <f t="shared" si="72"/>
        <v>Fixadores</v>
      </c>
      <c r="V208" s="20" t="s">
        <v>85</v>
      </c>
      <c r="W208" s="71" t="str">
        <f t="shared" si="74"/>
        <v>Key-ARQ-208</v>
      </c>
      <c r="X208" s="20" t="s">
        <v>1532</v>
      </c>
      <c r="Y208" s="26" t="s">
        <v>1442</v>
      </c>
      <c r="Z208" s="52" t="s">
        <v>9</v>
      </c>
      <c r="AA208" s="20" t="str">
        <f t="shared" si="73"/>
        <v>Metallic connector.</v>
      </c>
    </row>
    <row r="209" spans="1:27" ht="6" customHeight="1" x14ac:dyDescent="0.4">
      <c r="A209" s="22">
        <v>209</v>
      </c>
      <c r="B209" s="1" t="s">
        <v>1604</v>
      </c>
      <c r="C209" s="1" t="s">
        <v>1383</v>
      </c>
      <c r="D209" s="1" t="s">
        <v>1399</v>
      </c>
      <c r="E209" s="1" t="s">
        <v>1003</v>
      </c>
      <c r="F209" s="1" t="s">
        <v>336</v>
      </c>
      <c r="G209" s="56" t="s">
        <v>9</v>
      </c>
      <c r="H209" s="54" t="s">
        <v>9</v>
      </c>
      <c r="I209" s="54" t="s">
        <v>9</v>
      </c>
      <c r="J209" s="56" t="s">
        <v>9</v>
      </c>
      <c r="K209" s="56" t="s">
        <v>9</v>
      </c>
      <c r="L209" s="25" t="str">
        <f t="shared" si="67"/>
        <v>Arquitetônico</v>
      </c>
      <c r="M209" s="25" t="str">
        <f t="shared" si="68"/>
        <v>Elementos.Ferragens</v>
      </c>
      <c r="N209" s="25" t="str">
        <f t="shared" si="69"/>
        <v>Puxadores</v>
      </c>
      <c r="O209" s="25" t="str">
        <f t="shared" si="69"/>
        <v>Puxador Externo</v>
      </c>
      <c r="P209" s="20" t="s">
        <v>337</v>
      </c>
      <c r="Q209" s="33" t="s">
        <v>338</v>
      </c>
      <c r="R209" s="52" t="s">
        <v>9</v>
      </c>
      <c r="S209" s="26" t="str">
        <f t="shared" si="70"/>
        <v>Arquitetônico</v>
      </c>
      <c r="T209" s="26" t="str">
        <f t="shared" si="71"/>
        <v>Elementos Ferragens</v>
      </c>
      <c r="U209" s="26" t="str">
        <f t="shared" si="72"/>
        <v>Puxadores</v>
      </c>
      <c r="V209" s="20" t="s">
        <v>85</v>
      </c>
      <c r="W209" s="71" t="str">
        <f t="shared" si="74"/>
        <v>Key-ARQ-209</v>
      </c>
      <c r="X209" s="20" t="s">
        <v>1533</v>
      </c>
      <c r="Y209" s="26" t="s">
        <v>1442</v>
      </c>
      <c r="Z209" s="52" t="s">
        <v>9</v>
      </c>
      <c r="AA209" s="20" t="str">
        <f t="shared" si="73"/>
        <v>External handle.</v>
      </c>
    </row>
    <row r="210" spans="1:27" ht="6" customHeight="1" x14ac:dyDescent="0.4">
      <c r="A210" s="22">
        <v>210</v>
      </c>
      <c r="B210" s="1" t="s">
        <v>1604</v>
      </c>
      <c r="C210" s="1" t="s">
        <v>1383</v>
      </c>
      <c r="D210" s="1" t="s">
        <v>1399</v>
      </c>
      <c r="E210" s="1" t="s">
        <v>1003</v>
      </c>
      <c r="F210" s="1" t="s">
        <v>339</v>
      </c>
      <c r="G210" s="56" t="s">
        <v>9</v>
      </c>
      <c r="H210" s="54" t="s">
        <v>9</v>
      </c>
      <c r="I210" s="54" t="s">
        <v>9</v>
      </c>
      <c r="J210" s="56" t="s">
        <v>9</v>
      </c>
      <c r="K210" s="56" t="s">
        <v>9</v>
      </c>
      <c r="L210" s="25" t="str">
        <f t="shared" si="67"/>
        <v>Arquitetônico</v>
      </c>
      <c r="M210" s="25" t="str">
        <f t="shared" si="68"/>
        <v>Elementos.Ferragens</v>
      </c>
      <c r="N210" s="25" t="str">
        <f t="shared" si="69"/>
        <v>Puxadores</v>
      </c>
      <c r="O210" s="25" t="str">
        <f t="shared" si="69"/>
        <v>Puxador Interno</v>
      </c>
      <c r="P210" s="20" t="s">
        <v>340</v>
      </c>
      <c r="Q210" s="33" t="s">
        <v>341</v>
      </c>
      <c r="R210" s="52" t="s">
        <v>9</v>
      </c>
      <c r="S210" s="26" t="str">
        <f t="shared" si="70"/>
        <v>Arquitetônico</v>
      </c>
      <c r="T210" s="26" t="str">
        <f t="shared" si="71"/>
        <v>Elementos Ferragens</v>
      </c>
      <c r="U210" s="26" t="str">
        <f t="shared" si="72"/>
        <v>Puxadores</v>
      </c>
      <c r="V210" s="20" t="s">
        <v>85</v>
      </c>
      <c r="W210" s="71" t="str">
        <f t="shared" si="74"/>
        <v>Key-ARQ-210</v>
      </c>
      <c r="X210" s="20" t="s">
        <v>1533</v>
      </c>
      <c r="Y210" s="26" t="s">
        <v>1442</v>
      </c>
      <c r="Z210" s="52" t="s">
        <v>9</v>
      </c>
      <c r="AA210" s="20" t="str">
        <f t="shared" si="73"/>
        <v>Internal puller.</v>
      </c>
    </row>
    <row r="211" spans="1:27" ht="6" customHeight="1" x14ac:dyDescent="0.4">
      <c r="A211" s="22">
        <v>211</v>
      </c>
      <c r="B211" s="1" t="s">
        <v>1604</v>
      </c>
      <c r="C211" s="1" t="s">
        <v>1383</v>
      </c>
      <c r="D211" s="1" t="s">
        <v>1399</v>
      </c>
      <c r="E211" s="1" t="s">
        <v>1004</v>
      </c>
      <c r="F211" s="1" t="s">
        <v>342</v>
      </c>
      <c r="G211" s="56" t="s">
        <v>9</v>
      </c>
      <c r="H211" s="54" t="s">
        <v>9</v>
      </c>
      <c r="I211" s="54" t="s">
        <v>9</v>
      </c>
      <c r="J211" s="56" t="s">
        <v>9</v>
      </c>
      <c r="K211" s="56" t="s">
        <v>9</v>
      </c>
      <c r="L211" s="25" t="str">
        <f t="shared" si="67"/>
        <v>Arquitetônico</v>
      </c>
      <c r="M211" s="25" t="str">
        <f t="shared" si="68"/>
        <v>Elementos.Ferragens</v>
      </c>
      <c r="N211" s="25" t="str">
        <f t="shared" si="69"/>
        <v>Cabides</v>
      </c>
      <c r="O211" s="25" t="str">
        <f t="shared" si="69"/>
        <v>Tipo Gancho</v>
      </c>
      <c r="P211" s="20" t="s">
        <v>343</v>
      </c>
      <c r="Q211" s="33" t="s">
        <v>344</v>
      </c>
      <c r="R211" s="52" t="s">
        <v>9</v>
      </c>
      <c r="S211" s="26" t="str">
        <f t="shared" si="70"/>
        <v>Arquitetônico</v>
      </c>
      <c r="T211" s="26" t="str">
        <f t="shared" si="71"/>
        <v>Elementos Ferragens</v>
      </c>
      <c r="U211" s="26" t="str">
        <f t="shared" si="72"/>
        <v>Cabides</v>
      </c>
      <c r="V211" s="20" t="s">
        <v>85</v>
      </c>
      <c r="W211" s="71" t="str">
        <f t="shared" si="74"/>
        <v>Key-ARQ-211</v>
      </c>
      <c r="X211" s="20" t="s">
        <v>1533</v>
      </c>
      <c r="Y211" s="26" t="s">
        <v>1442</v>
      </c>
      <c r="Z211" s="52" t="s">
        <v>9</v>
      </c>
      <c r="AA211" s="20" t="str">
        <f t="shared" si="73"/>
        <v>Hook type hanger.</v>
      </c>
    </row>
    <row r="212" spans="1:27" ht="6" customHeight="1" x14ac:dyDescent="0.4">
      <c r="A212" s="22">
        <v>212</v>
      </c>
      <c r="B212" s="1" t="s">
        <v>1604</v>
      </c>
      <c r="C212" s="1" t="s">
        <v>1383</v>
      </c>
      <c r="D212" s="1" t="s">
        <v>1399</v>
      </c>
      <c r="E212" s="1" t="s">
        <v>1004</v>
      </c>
      <c r="F212" s="1" t="s">
        <v>345</v>
      </c>
      <c r="G212" s="56" t="s">
        <v>9</v>
      </c>
      <c r="H212" s="54" t="s">
        <v>9</v>
      </c>
      <c r="I212" s="54" t="s">
        <v>9</v>
      </c>
      <c r="J212" s="56" t="s">
        <v>9</v>
      </c>
      <c r="K212" s="56" t="s">
        <v>9</v>
      </c>
      <c r="L212" s="25" t="str">
        <f t="shared" si="67"/>
        <v>Arquitetônico</v>
      </c>
      <c r="M212" s="25" t="str">
        <f t="shared" si="68"/>
        <v>Elementos.Ferragens</v>
      </c>
      <c r="N212" s="25" t="str">
        <f t="shared" si="69"/>
        <v>Cabides</v>
      </c>
      <c r="O212" s="25" t="str">
        <f t="shared" si="69"/>
        <v>Antifurto</v>
      </c>
      <c r="P212" s="20" t="s">
        <v>346</v>
      </c>
      <c r="Q212" s="33" t="s">
        <v>347</v>
      </c>
      <c r="R212" s="52" t="s">
        <v>9</v>
      </c>
      <c r="S212" s="26" t="str">
        <f t="shared" si="70"/>
        <v>Arquitetônico</v>
      </c>
      <c r="T212" s="26" t="str">
        <f t="shared" si="71"/>
        <v>Elementos Ferragens</v>
      </c>
      <c r="U212" s="26" t="str">
        <f t="shared" si="72"/>
        <v>Cabides</v>
      </c>
      <c r="V212" s="20" t="s">
        <v>85</v>
      </c>
      <c r="W212" s="71" t="str">
        <f t="shared" si="74"/>
        <v>Key-ARQ-212</v>
      </c>
      <c r="X212" s="20" t="s">
        <v>1533</v>
      </c>
      <c r="Y212" s="26" t="s">
        <v>1442</v>
      </c>
      <c r="Z212" s="52" t="s">
        <v>9</v>
      </c>
      <c r="AA212" s="20" t="str">
        <f t="shared" si="73"/>
        <v>Anti-theft hanger.</v>
      </c>
    </row>
    <row r="213" spans="1:27" ht="6" customHeight="1" x14ac:dyDescent="0.4">
      <c r="A213" s="22">
        <v>213</v>
      </c>
      <c r="B213" s="1" t="s">
        <v>1604</v>
      </c>
      <c r="C213" s="1" t="s">
        <v>1383</v>
      </c>
      <c r="D213" s="1" t="s">
        <v>1399</v>
      </c>
      <c r="E213" s="1" t="s">
        <v>1141</v>
      </c>
      <c r="F213" s="1" t="s">
        <v>1142</v>
      </c>
      <c r="G213" s="56" t="s">
        <v>9</v>
      </c>
      <c r="H213" s="54" t="s">
        <v>9</v>
      </c>
      <c r="I213" s="54" t="s">
        <v>9</v>
      </c>
      <c r="J213" s="56" t="s">
        <v>9</v>
      </c>
      <c r="K213" s="56" t="s">
        <v>9</v>
      </c>
      <c r="L213" s="25" t="str">
        <f t="shared" si="67"/>
        <v>Arquitetônico</v>
      </c>
      <c r="M213" s="25" t="str">
        <f t="shared" si="68"/>
        <v>Elementos.Ferragens</v>
      </c>
      <c r="N213" s="25" t="str">
        <f t="shared" si="69"/>
        <v>Fechaduras</v>
      </c>
      <c r="O213" s="25" t="str">
        <f t="shared" si="69"/>
        <v>Multiponto</v>
      </c>
      <c r="P213" s="20" t="s">
        <v>1143</v>
      </c>
      <c r="Q213" s="20" t="s">
        <v>1148</v>
      </c>
      <c r="R213" s="52" t="s">
        <v>9</v>
      </c>
      <c r="S213" s="26" t="str">
        <f t="shared" si="70"/>
        <v>Arquitetônico</v>
      </c>
      <c r="T213" s="26" t="str">
        <f t="shared" si="71"/>
        <v>Elementos Ferragens</v>
      </c>
      <c r="U213" s="26" t="str">
        <f t="shared" si="72"/>
        <v>Fechaduras</v>
      </c>
      <c r="V213" s="20" t="s">
        <v>85</v>
      </c>
      <c r="W213" s="71" t="str">
        <f t="shared" si="74"/>
        <v>Key-ARQ-213</v>
      </c>
      <c r="X213" s="20" t="s">
        <v>1533</v>
      </c>
      <c r="Y213" s="26" t="s">
        <v>1442</v>
      </c>
      <c r="Z213" s="52" t="s">
        <v>9</v>
      </c>
      <c r="AA213" s="20" t="str">
        <f t="shared" si="73"/>
        <v>Locks the door at several points simultaneously. Widely used in armored doors.</v>
      </c>
    </row>
    <row r="214" spans="1:27" ht="6" customHeight="1" x14ac:dyDescent="0.4">
      <c r="A214" s="22">
        <v>214</v>
      </c>
      <c r="B214" s="1" t="s">
        <v>1604</v>
      </c>
      <c r="C214" s="1" t="s">
        <v>1383</v>
      </c>
      <c r="D214" s="1" t="s">
        <v>1399</v>
      </c>
      <c r="E214" s="1" t="s">
        <v>1141</v>
      </c>
      <c r="F214" s="1" t="s">
        <v>1158</v>
      </c>
      <c r="G214" s="56" t="s">
        <v>9</v>
      </c>
      <c r="H214" s="54" t="s">
        <v>9</v>
      </c>
      <c r="I214" s="54" t="s">
        <v>9</v>
      </c>
      <c r="J214" s="56" t="s">
        <v>9</v>
      </c>
      <c r="K214" s="56" t="s">
        <v>9</v>
      </c>
      <c r="L214" s="25" t="str">
        <f t="shared" si="67"/>
        <v>Arquitetônico</v>
      </c>
      <c r="M214" s="25" t="str">
        <f t="shared" si="68"/>
        <v>Elementos.Ferragens</v>
      </c>
      <c r="N214" s="25" t="str">
        <f t="shared" si="69"/>
        <v>Fechaduras</v>
      </c>
      <c r="O214" s="25" t="str">
        <f t="shared" si="69"/>
        <v>Biométrica</v>
      </c>
      <c r="P214" s="20" t="s">
        <v>1144</v>
      </c>
      <c r="Q214" s="20" t="s">
        <v>1149</v>
      </c>
      <c r="R214" s="52" t="s">
        <v>9</v>
      </c>
      <c r="S214" s="26" t="str">
        <f t="shared" si="70"/>
        <v>Arquitetônico</v>
      </c>
      <c r="T214" s="26" t="str">
        <f t="shared" si="71"/>
        <v>Elementos Ferragens</v>
      </c>
      <c r="U214" s="26" t="str">
        <f t="shared" si="72"/>
        <v>Fechaduras</v>
      </c>
      <c r="V214" s="20" t="s">
        <v>85</v>
      </c>
      <c r="W214" s="71" t="str">
        <f t="shared" si="74"/>
        <v>Key-ARQ-214</v>
      </c>
      <c r="X214" s="20" t="s">
        <v>1533</v>
      </c>
      <c r="Y214" s="26" t="s">
        <v>1442</v>
      </c>
      <c r="Z214" s="52" t="s">
        <v>9</v>
      </c>
      <c r="AA214" s="20" t="str">
        <f t="shared" si="73"/>
        <v>Uses biometrics. It offers a high level of safety and practicality.</v>
      </c>
    </row>
    <row r="215" spans="1:27" ht="6" customHeight="1" x14ac:dyDescent="0.4">
      <c r="A215" s="22">
        <v>215</v>
      </c>
      <c r="B215" s="1" t="s">
        <v>1604</v>
      </c>
      <c r="C215" s="1" t="s">
        <v>1383</v>
      </c>
      <c r="D215" s="1" t="s">
        <v>1399</v>
      </c>
      <c r="E215" s="1" t="s">
        <v>1141</v>
      </c>
      <c r="F215" s="1" t="s">
        <v>1146</v>
      </c>
      <c r="G215" s="56" t="s">
        <v>9</v>
      </c>
      <c r="H215" s="54" t="s">
        <v>9</v>
      </c>
      <c r="I215" s="54" t="s">
        <v>9</v>
      </c>
      <c r="J215" s="56" t="s">
        <v>9</v>
      </c>
      <c r="K215" s="56" t="s">
        <v>9</v>
      </c>
      <c r="L215" s="25" t="str">
        <f t="shared" si="67"/>
        <v>Arquitetônico</v>
      </c>
      <c r="M215" s="25" t="str">
        <f t="shared" si="68"/>
        <v>Elementos.Ferragens</v>
      </c>
      <c r="N215" s="25" t="str">
        <f t="shared" si="69"/>
        <v>Fechaduras</v>
      </c>
      <c r="O215" s="25" t="str">
        <f t="shared" si="69"/>
        <v>Cartão Magnético</v>
      </c>
      <c r="P215" s="20" t="s">
        <v>1147</v>
      </c>
      <c r="Q215" s="20" t="s">
        <v>1150</v>
      </c>
      <c r="R215" s="52" t="s">
        <v>9</v>
      </c>
      <c r="S215" s="26" t="str">
        <f t="shared" si="70"/>
        <v>Arquitetônico</v>
      </c>
      <c r="T215" s="26" t="str">
        <f t="shared" si="71"/>
        <v>Elementos Ferragens</v>
      </c>
      <c r="U215" s="26" t="str">
        <f t="shared" si="72"/>
        <v>Fechaduras</v>
      </c>
      <c r="V215" s="20" t="s">
        <v>85</v>
      </c>
      <c r="W215" s="71" t="str">
        <f t="shared" si="74"/>
        <v>Key-ARQ-215</v>
      </c>
      <c r="X215" s="20" t="s">
        <v>1533</v>
      </c>
      <c r="Y215" s="26" t="s">
        <v>1442</v>
      </c>
      <c r="Z215" s="52" t="s">
        <v>9</v>
      </c>
      <c r="AA215" s="20" t="str">
        <f t="shared" si="73"/>
        <v>Uses magnetic card.</v>
      </c>
    </row>
    <row r="216" spans="1:27" ht="6" customHeight="1" x14ac:dyDescent="0.4">
      <c r="A216" s="22">
        <v>216</v>
      </c>
      <c r="B216" s="1" t="s">
        <v>1604</v>
      </c>
      <c r="C216" s="1" t="s">
        <v>1383</v>
      </c>
      <c r="D216" s="1" t="s">
        <v>1399</v>
      </c>
      <c r="E216" s="1" t="s">
        <v>1141</v>
      </c>
      <c r="F216" s="1" t="s">
        <v>44</v>
      </c>
      <c r="G216" s="56" t="s">
        <v>9</v>
      </c>
      <c r="H216" s="54" t="s">
        <v>9</v>
      </c>
      <c r="I216" s="54" t="s">
        <v>9</v>
      </c>
      <c r="J216" s="56" t="s">
        <v>9</v>
      </c>
      <c r="K216" s="56" t="s">
        <v>9</v>
      </c>
      <c r="L216" s="25" t="str">
        <f t="shared" si="67"/>
        <v>Arquitetônico</v>
      </c>
      <c r="M216" s="25" t="str">
        <f t="shared" si="68"/>
        <v>Elementos.Ferragens</v>
      </c>
      <c r="N216" s="25" t="str">
        <f t="shared" si="69"/>
        <v>Fechaduras</v>
      </c>
      <c r="O216" s="25" t="str">
        <f t="shared" si="69"/>
        <v>Chave</v>
      </c>
      <c r="P216" s="20" t="s">
        <v>1145</v>
      </c>
      <c r="Q216" s="20" t="s">
        <v>1151</v>
      </c>
      <c r="R216" s="52" t="s">
        <v>9</v>
      </c>
      <c r="S216" s="26" t="str">
        <f t="shared" si="70"/>
        <v>Arquitetônico</v>
      </c>
      <c r="T216" s="26" t="str">
        <f t="shared" si="71"/>
        <v>Elementos Ferragens</v>
      </c>
      <c r="U216" s="26" t="str">
        <f t="shared" si="72"/>
        <v>Fechaduras</v>
      </c>
      <c r="V216" s="20" t="s">
        <v>85</v>
      </c>
      <c r="W216" s="71" t="str">
        <f t="shared" si="74"/>
        <v>Key-ARQ-216</v>
      </c>
      <c r="X216" s="20" t="s">
        <v>1533</v>
      </c>
      <c r="Y216" s="26" t="s">
        <v>1442</v>
      </c>
      <c r="Z216" s="52" t="s">
        <v>9</v>
      </c>
      <c r="AA216" s="20" t="str">
        <f t="shared" si="73"/>
        <v>Uses key like a traditional lock.</v>
      </c>
    </row>
    <row r="217" spans="1:27" ht="6" customHeight="1" x14ac:dyDescent="0.4">
      <c r="A217" s="22">
        <v>217</v>
      </c>
      <c r="B217" s="1" t="s">
        <v>1604</v>
      </c>
      <c r="C217" s="1" t="s">
        <v>1383</v>
      </c>
      <c r="D217" s="1" t="s">
        <v>1399</v>
      </c>
      <c r="E217" s="1" t="s">
        <v>1152</v>
      </c>
      <c r="F217" s="1" t="s">
        <v>1167</v>
      </c>
      <c r="G217" s="56" t="s">
        <v>9</v>
      </c>
      <c r="H217" s="54" t="s">
        <v>9</v>
      </c>
      <c r="I217" s="54" t="s">
        <v>9</v>
      </c>
      <c r="J217" s="56" t="s">
        <v>9</v>
      </c>
      <c r="K217" s="56" t="s">
        <v>9</v>
      </c>
      <c r="L217" s="25" t="str">
        <f t="shared" si="67"/>
        <v>Arquitetônico</v>
      </c>
      <c r="M217" s="25" t="str">
        <f t="shared" si="68"/>
        <v>Elementos.Ferragens</v>
      </c>
      <c r="N217" s="25" t="str">
        <f t="shared" si="69"/>
        <v>Maçanetas</v>
      </c>
      <c r="O217" s="25" t="str">
        <f t="shared" si="69"/>
        <v>Alavanca e Trinco</v>
      </c>
      <c r="P217" s="20" t="s">
        <v>1168</v>
      </c>
      <c r="Q217" s="20" t="s">
        <v>1171</v>
      </c>
      <c r="R217" s="52" t="s">
        <v>9</v>
      </c>
      <c r="S217" s="26" t="str">
        <f t="shared" si="70"/>
        <v>Arquitetônico</v>
      </c>
      <c r="T217" s="26" t="str">
        <f t="shared" si="71"/>
        <v>Elementos Ferragens</v>
      </c>
      <c r="U217" s="26" t="str">
        <f t="shared" si="72"/>
        <v>Maçanetas</v>
      </c>
      <c r="V217" s="20" t="s">
        <v>85</v>
      </c>
      <c r="W217" s="71" t="str">
        <f t="shared" si="74"/>
        <v>Key-ARQ-217</v>
      </c>
      <c r="X217" s="20" t="s">
        <v>1533</v>
      </c>
      <c r="Y217" s="26" t="s">
        <v>1442</v>
      </c>
      <c r="Z217" s="52" t="s">
        <v>9</v>
      </c>
      <c r="AA217" s="20" t="str">
        <f t="shared" si="73"/>
        <v>Lever type handle with latch.</v>
      </c>
    </row>
    <row r="218" spans="1:27" ht="6" customHeight="1" x14ac:dyDescent="0.4">
      <c r="A218" s="22">
        <v>218</v>
      </c>
      <c r="B218" s="1" t="s">
        <v>1604</v>
      </c>
      <c r="C218" s="1" t="s">
        <v>1383</v>
      </c>
      <c r="D218" s="1" t="s">
        <v>1399</v>
      </c>
      <c r="E218" s="1" t="s">
        <v>1152</v>
      </c>
      <c r="F218" s="1" t="s">
        <v>1153</v>
      </c>
      <c r="G218" s="56" t="s">
        <v>9</v>
      </c>
      <c r="H218" s="54" t="s">
        <v>9</v>
      </c>
      <c r="I218" s="54" t="s">
        <v>9</v>
      </c>
      <c r="J218" s="56" t="s">
        <v>9</v>
      </c>
      <c r="K218" s="56" t="s">
        <v>9</v>
      </c>
      <c r="L218" s="25" t="str">
        <f t="shared" si="67"/>
        <v>Arquitetônico</v>
      </c>
      <c r="M218" s="25" t="str">
        <f t="shared" si="68"/>
        <v>Elementos.Ferragens</v>
      </c>
      <c r="N218" s="25" t="str">
        <f t="shared" si="69"/>
        <v>Maçanetas</v>
      </c>
      <c r="O218" s="25" t="str">
        <f t="shared" si="69"/>
        <v>Alavanca</v>
      </c>
      <c r="P218" s="20" t="s">
        <v>1169</v>
      </c>
      <c r="Q218" s="20" t="s">
        <v>1170</v>
      </c>
      <c r="R218" s="52" t="s">
        <v>9</v>
      </c>
      <c r="S218" s="26" t="str">
        <f t="shared" si="70"/>
        <v>Arquitetônico</v>
      </c>
      <c r="T218" s="26" t="str">
        <f t="shared" si="71"/>
        <v>Elementos Ferragens</v>
      </c>
      <c r="U218" s="26" t="str">
        <f t="shared" si="72"/>
        <v>Maçanetas</v>
      </c>
      <c r="V218" s="20" t="s">
        <v>85</v>
      </c>
      <c r="W218" s="71" t="str">
        <f t="shared" si="74"/>
        <v>Key-ARQ-218</v>
      </c>
      <c r="X218" s="20" t="s">
        <v>1533</v>
      </c>
      <c r="Y218" s="26" t="s">
        <v>1442</v>
      </c>
      <c r="Z218" s="52" t="s">
        <v>9</v>
      </c>
      <c r="AA218" s="20" t="str">
        <f t="shared" si="73"/>
        <v>Lever type handle without latch.</v>
      </c>
    </row>
    <row r="219" spans="1:27" ht="6" customHeight="1" x14ac:dyDescent="0.4">
      <c r="A219" s="22">
        <v>219</v>
      </c>
      <c r="B219" s="1" t="s">
        <v>1604</v>
      </c>
      <c r="C219" s="1" t="s">
        <v>1383</v>
      </c>
      <c r="D219" s="1" t="s">
        <v>1399</v>
      </c>
      <c r="E219" s="1" t="s">
        <v>1152</v>
      </c>
      <c r="F219" s="1" t="s">
        <v>1154</v>
      </c>
      <c r="G219" s="56" t="s">
        <v>9</v>
      </c>
      <c r="H219" s="54" t="s">
        <v>9</v>
      </c>
      <c r="I219" s="54" t="s">
        <v>9</v>
      </c>
      <c r="J219" s="56" t="s">
        <v>9</v>
      </c>
      <c r="K219" s="56" t="s">
        <v>9</v>
      </c>
      <c r="L219" s="25" t="str">
        <f t="shared" ref="L219:L283" si="75">CONCATENATE("", C219)</f>
        <v>Arquitetônico</v>
      </c>
      <c r="M219" s="25" t="str">
        <f t="shared" ref="M219:M283" si="76">CONCATENATE("", D219)</f>
        <v>Elementos.Ferragens</v>
      </c>
      <c r="N219" s="25" t="str">
        <f t="shared" ref="N219:O283" si="77">(SUBSTITUTE(SUBSTITUTE(CONCATENATE("",E219),"."," ")," De "," de "))</f>
        <v>Maçanetas</v>
      </c>
      <c r="O219" s="25" t="str">
        <f t="shared" si="77"/>
        <v>Esférica</v>
      </c>
      <c r="P219" s="20" t="s">
        <v>1155</v>
      </c>
      <c r="Q219" s="20" t="s">
        <v>1156</v>
      </c>
      <c r="R219" s="52" t="s">
        <v>9</v>
      </c>
      <c r="S219" s="26" t="str">
        <f t="shared" ref="S219:S280" si="78">SUBSTITUTE(C219, ".", " ")</f>
        <v>Arquitetônico</v>
      </c>
      <c r="T219" s="26" t="str">
        <f t="shared" ref="T219:T280" si="79">SUBSTITUTE(D219, ".", " ")</f>
        <v>Elementos Ferragens</v>
      </c>
      <c r="U219" s="26" t="str">
        <f t="shared" ref="U219:U280" si="80">SUBSTITUTE(E219, ".", " ")</f>
        <v>Maçanetas</v>
      </c>
      <c r="V219" s="20" t="s">
        <v>85</v>
      </c>
      <c r="W219" s="71" t="str">
        <f t="shared" si="74"/>
        <v>Key-ARQ-219</v>
      </c>
      <c r="X219" s="20" t="s">
        <v>1533</v>
      </c>
      <c r="Y219" s="26" t="s">
        <v>1442</v>
      </c>
      <c r="Z219" s="52" t="s">
        <v>9</v>
      </c>
      <c r="AA219" s="20" t="str">
        <f t="shared" si="73"/>
        <v>Spherical handle.</v>
      </c>
    </row>
    <row r="220" spans="1:27" ht="6" customHeight="1" x14ac:dyDescent="0.4">
      <c r="A220" s="22">
        <v>220</v>
      </c>
      <c r="B220" s="1" t="s">
        <v>1604</v>
      </c>
      <c r="C220" s="1" t="s">
        <v>1383</v>
      </c>
      <c r="D220" s="1" t="s">
        <v>1399</v>
      </c>
      <c r="E220" s="1" t="s">
        <v>1152</v>
      </c>
      <c r="F220" s="1" t="s">
        <v>1179</v>
      </c>
      <c r="G220" s="56" t="s">
        <v>9</v>
      </c>
      <c r="H220" s="54" t="s">
        <v>9</v>
      </c>
      <c r="I220" s="54" t="s">
        <v>9</v>
      </c>
      <c r="J220" s="56" t="s">
        <v>9</v>
      </c>
      <c r="K220" s="56" t="s">
        <v>9</v>
      </c>
      <c r="L220" s="25" t="str">
        <f t="shared" si="75"/>
        <v>Arquitetônico</v>
      </c>
      <c r="M220" s="25" t="str">
        <f t="shared" si="76"/>
        <v>Elementos.Ferragens</v>
      </c>
      <c r="N220" s="25" t="str">
        <f t="shared" si="77"/>
        <v>Maçanetas</v>
      </c>
      <c r="O220" s="25" t="str">
        <f t="shared" si="77"/>
        <v>Saída Emergência</v>
      </c>
      <c r="P220" s="20" t="s">
        <v>1157</v>
      </c>
      <c r="Q220" s="20" t="s">
        <v>1157</v>
      </c>
      <c r="R220" s="52" t="s">
        <v>9</v>
      </c>
      <c r="S220" s="26" t="str">
        <f t="shared" si="78"/>
        <v>Arquitetônico</v>
      </c>
      <c r="T220" s="26" t="str">
        <f t="shared" si="79"/>
        <v>Elementos Ferragens</v>
      </c>
      <c r="U220" s="26" t="str">
        <f t="shared" si="80"/>
        <v>Maçanetas</v>
      </c>
      <c r="V220" s="20" t="s">
        <v>85</v>
      </c>
      <c r="W220" s="71" t="str">
        <f t="shared" si="74"/>
        <v>Key-ARQ-220</v>
      </c>
      <c r="X220" s="20" t="s">
        <v>1533</v>
      </c>
      <c r="Y220" s="26" t="s">
        <v>1442</v>
      </c>
      <c r="Z220" s="52" t="s">
        <v>9</v>
      </c>
      <c r="AA220" s="20" t="str">
        <f t="shared" si="73"/>
        <v>Bar for emergency doors.</v>
      </c>
    </row>
    <row r="221" spans="1:27" ht="6" customHeight="1" x14ac:dyDescent="0.4">
      <c r="A221" s="22">
        <v>221</v>
      </c>
      <c r="B221" s="1" t="s">
        <v>1604</v>
      </c>
      <c r="C221" s="1" t="s">
        <v>1383</v>
      </c>
      <c r="D221" s="1" t="s">
        <v>1399</v>
      </c>
      <c r="E221" s="1" t="s">
        <v>1173</v>
      </c>
      <c r="F221" s="1" t="s">
        <v>1176</v>
      </c>
      <c r="G221" s="56" t="s">
        <v>9</v>
      </c>
      <c r="H221" s="54" t="s">
        <v>9</v>
      </c>
      <c r="I221" s="54" t="s">
        <v>9</v>
      </c>
      <c r="J221" s="56" t="s">
        <v>9</v>
      </c>
      <c r="K221" s="56" t="s">
        <v>9</v>
      </c>
      <c r="L221" s="25" t="str">
        <f t="shared" si="75"/>
        <v>Arquitetônico</v>
      </c>
      <c r="M221" s="25" t="str">
        <f t="shared" si="76"/>
        <v>Elementos.Ferragens</v>
      </c>
      <c r="N221" s="25" t="str">
        <f t="shared" si="77"/>
        <v>Barras Apoio</v>
      </c>
      <c r="O221" s="25" t="str">
        <f t="shared" si="77"/>
        <v>Barra Reta Sanitário</v>
      </c>
      <c r="P221" s="20" t="s">
        <v>1180</v>
      </c>
      <c r="Q221" s="20" t="s">
        <v>1186</v>
      </c>
      <c r="R221" s="52" t="s">
        <v>9</v>
      </c>
      <c r="S221" s="26" t="str">
        <f t="shared" si="78"/>
        <v>Arquitetônico</v>
      </c>
      <c r="T221" s="26" t="str">
        <f t="shared" si="79"/>
        <v>Elementos Ferragens</v>
      </c>
      <c r="U221" s="26" t="str">
        <f t="shared" si="80"/>
        <v>Barras Apoio</v>
      </c>
      <c r="V221" s="20" t="s">
        <v>85</v>
      </c>
      <c r="W221" s="71" t="str">
        <f t="shared" si="74"/>
        <v>Key-ARQ-221</v>
      </c>
      <c r="X221" s="20" t="s">
        <v>1533</v>
      </c>
      <c r="Y221" s="26" t="s">
        <v>1442</v>
      </c>
      <c r="Z221" s="52" t="s">
        <v>9</v>
      </c>
      <c r="AA221" s="20" t="str">
        <f t="shared" si="73"/>
        <v>Bar for support in toilets used to promote accessibility according to ABNT 9050 standard.</v>
      </c>
    </row>
    <row r="222" spans="1:27" ht="6" customHeight="1" x14ac:dyDescent="0.4">
      <c r="A222" s="22">
        <v>222</v>
      </c>
      <c r="B222" s="1" t="s">
        <v>1604</v>
      </c>
      <c r="C222" s="1" t="s">
        <v>1383</v>
      </c>
      <c r="D222" s="1" t="s">
        <v>1399</v>
      </c>
      <c r="E222" s="1" t="s">
        <v>1173</v>
      </c>
      <c r="F222" s="1" t="s">
        <v>1178</v>
      </c>
      <c r="G222" s="56" t="s">
        <v>9</v>
      </c>
      <c r="H222" s="54" t="s">
        <v>9</v>
      </c>
      <c r="I222" s="54" t="s">
        <v>9</v>
      </c>
      <c r="J222" s="56" t="s">
        <v>9</v>
      </c>
      <c r="K222" s="56" t="s">
        <v>9</v>
      </c>
      <c r="L222" s="25" t="str">
        <f t="shared" si="75"/>
        <v>Arquitetônico</v>
      </c>
      <c r="M222" s="25" t="str">
        <f t="shared" si="76"/>
        <v>Elementos.Ferragens</v>
      </c>
      <c r="N222" s="25" t="str">
        <f t="shared" si="77"/>
        <v>Barras Apoio</v>
      </c>
      <c r="O222" s="25" t="str">
        <f t="shared" si="77"/>
        <v>Barra Chuveiro Sanitário</v>
      </c>
      <c r="P222" s="20" t="s">
        <v>1181</v>
      </c>
      <c r="Q222" s="20" t="s">
        <v>1187</v>
      </c>
      <c r="R222" s="52" t="s">
        <v>9</v>
      </c>
      <c r="S222" s="26" t="str">
        <f t="shared" si="78"/>
        <v>Arquitetônico</v>
      </c>
      <c r="T222" s="26" t="str">
        <f t="shared" si="79"/>
        <v>Elementos Ferragens</v>
      </c>
      <c r="U222" s="26" t="str">
        <f t="shared" si="80"/>
        <v>Barras Apoio</v>
      </c>
      <c r="V222" s="20" t="s">
        <v>85</v>
      </c>
      <c r="W222" s="71" t="str">
        <f t="shared" si="74"/>
        <v>Key-ARQ-222</v>
      </c>
      <c r="X222" s="20" t="s">
        <v>1533</v>
      </c>
      <c r="Y222" s="26" t="s">
        <v>1442</v>
      </c>
      <c r="Z222" s="52" t="s">
        <v>9</v>
      </c>
      <c r="AA222" s="20" t="str">
        <f t="shared" ref="AA222:AA253" si="81">_xlfn.TRANSLATE(P222,"pt","en")</f>
        <v>Support bar in shower boxes with horizontal and vertical section used to promote accessibility according to ABNT 9050 standard.</v>
      </c>
    </row>
    <row r="223" spans="1:27" ht="6" customHeight="1" x14ac:dyDescent="0.4">
      <c r="A223" s="22">
        <v>223</v>
      </c>
      <c r="B223" s="1" t="s">
        <v>1604</v>
      </c>
      <c r="C223" s="1" t="s">
        <v>1383</v>
      </c>
      <c r="D223" s="1" t="s">
        <v>1399</v>
      </c>
      <c r="E223" s="1" t="s">
        <v>1173</v>
      </c>
      <c r="F223" s="1" t="s">
        <v>1172</v>
      </c>
      <c r="G223" s="56" t="s">
        <v>9</v>
      </c>
      <c r="H223" s="54" t="s">
        <v>9</v>
      </c>
      <c r="I223" s="54" t="s">
        <v>9</v>
      </c>
      <c r="J223" s="56" t="s">
        <v>9</v>
      </c>
      <c r="K223" s="56" t="s">
        <v>9</v>
      </c>
      <c r="L223" s="25" t="str">
        <f t="shared" si="75"/>
        <v>Arquitetônico</v>
      </c>
      <c r="M223" s="25" t="str">
        <f t="shared" si="76"/>
        <v>Elementos.Ferragens</v>
      </c>
      <c r="N223" s="25" t="str">
        <f t="shared" si="77"/>
        <v>Barras Apoio</v>
      </c>
      <c r="O223" s="25" t="str">
        <f t="shared" si="77"/>
        <v>Barra Cantonera Sanitária</v>
      </c>
      <c r="P223" s="20" t="s">
        <v>1182</v>
      </c>
      <c r="Q223" s="20" t="s">
        <v>1188</v>
      </c>
      <c r="R223" s="52" t="s">
        <v>9</v>
      </c>
      <c r="S223" s="26" t="str">
        <f t="shared" si="78"/>
        <v>Arquitetônico</v>
      </c>
      <c r="T223" s="26" t="str">
        <f t="shared" si="79"/>
        <v>Elementos Ferragens</v>
      </c>
      <c r="U223" s="26" t="str">
        <f t="shared" si="80"/>
        <v>Barras Apoio</v>
      </c>
      <c r="V223" s="20" t="s">
        <v>85</v>
      </c>
      <c r="W223" s="71" t="str">
        <f t="shared" si="74"/>
        <v>Key-ARQ-223</v>
      </c>
      <c r="X223" s="20" t="s">
        <v>1533</v>
      </c>
      <c r="Y223" s="26" t="s">
        <v>1442</v>
      </c>
      <c r="Z223" s="52" t="s">
        <v>9</v>
      </c>
      <c r="AA223" s="20" t="str">
        <f t="shared" si="81"/>
        <v>Bar for support in sanitary box for PNE in corner used to promote accessibility according to ABNT 9050 standard.</v>
      </c>
    </row>
    <row r="224" spans="1:27" ht="6" customHeight="1" x14ac:dyDescent="0.4">
      <c r="A224" s="22">
        <v>224</v>
      </c>
      <c r="B224" s="1" t="s">
        <v>1604</v>
      </c>
      <c r="C224" s="1" t="s">
        <v>1383</v>
      </c>
      <c r="D224" s="1" t="s">
        <v>1399</v>
      </c>
      <c r="E224" s="1" t="s">
        <v>1173</v>
      </c>
      <c r="F224" s="1" t="s">
        <v>1174</v>
      </c>
      <c r="G224" s="56" t="s">
        <v>9</v>
      </c>
      <c r="H224" s="54" t="s">
        <v>9</v>
      </c>
      <c r="I224" s="54" t="s">
        <v>9</v>
      </c>
      <c r="J224" s="56" t="s">
        <v>9</v>
      </c>
      <c r="K224" s="56" t="s">
        <v>9</v>
      </c>
      <c r="L224" s="25" t="str">
        <f t="shared" si="75"/>
        <v>Arquitetônico</v>
      </c>
      <c r="M224" s="25" t="str">
        <f t="shared" si="76"/>
        <v>Elementos.Ferragens</v>
      </c>
      <c r="N224" s="25" t="str">
        <f t="shared" si="77"/>
        <v>Barras Apoio</v>
      </c>
      <c r="O224" s="25" t="str">
        <f t="shared" si="77"/>
        <v>Barra Angular Sanitária</v>
      </c>
      <c r="P224" s="20" t="s">
        <v>1183</v>
      </c>
      <c r="Q224" s="20" t="s">
        <v>1190</v>
      </c>
      <c r="R224" s="52" t="s">
        <v>9</v>
      </c>
      <c r="S224" s="26" t="str">
        <f t="shared" si="78"/>
        <v>Arquitetônico</v>
      </c>
      <c r="T224" s="26" t="str">
        <f t="shared" si="79"/>
        <v>Elementos Ferragens</v>
      </c>
      <c r="U224" s="26" t="str">
        <f t="shared" si="80"/>
        <v>Barras Apoio</v>
      </c>
      <c r="V224" s="20" t="s">
        <v>85</v>
      </c>
      <c r="W224" s="71" t="str">
        <f t="shared" si="74"/>
        <v>Key-ARQ-224</v>
      </c>
      <c r="X224" s="20" t="s">
        <v>1533</v>
      </c>
      <c r="Y224" s="26" t="s">
        <v>1442</v>
      </c>
      <c r="Z224" s="52" t="s">
        <v>9</v>
      </c>
      <c r="AA224" s="20" t="str">
        <f t="shared" si="81"/>
        <v>Bar for support in toilets with horizontal section and inclined section used to promote accessibility according to ABNT 9050 standard.</v>
      </c>
    </row>
    <row r="225" spans="1:27" ht="6" customHeight="1" x14ac:dyDescent="0.4">
      <c r="A225" s="22">
        <v>225</v>
      </c>
      <c r="B225" s="1" t="s">
        <v>1604</v>
      </c>
      <c r="C225" s="1" t="s">
        <v>1383</v>
      </c>
      <c r="D225" s="1" t="s">
        <v>1399</v>
      </c>
      <c r="E225" s="1" t="s">
        <v>1173</v>
      </c>
      <c r="F225" s="1" t="s">
        <v>1175</v>
      </c>
      <c r="G225" s="56" t="s">
        <v>9</v>
      </c>
      <c r="H225" s="54" t="s">
        <v>9</v>
      </c>
      <c r="I225" s="54" t="s">
        <v>9</v>
      </c>
      <c r="J225" s="56" t="s">
        <v>9</v>
      </c>
      <c r="K225" s="56" t="s">
        <v>9</v>
      </c>
      <c r="L225" s="25" t="str">
        <f t="shared" si="75"/>
        <v>Arquitetônico</v>
      </c>
      <c r="M225" s="25" t="str">
        <f t="shared" si="76"/>
        <v>Elementos.Ferragens</v>
      </c>
      <c r="N225" s="25" t="str">
        <f t="shared" si="77"/>
        <v>Barras Apoio</v>
      </c>
      <c r="O225" s="25" t="str">
        <f t="shared" si="77"/>
        <v>Barra Articulada</v>
      </c>
      <c r="P225" s="20" t="s">
        <v>1184</v>
      </c>
      <c r="Q225" s="20" t="s">
        <v>1191</v>
      </c>
      <c r="R225" s="52" t="s">
        <v>9</v>
      </c>
      <c r="S225" s="26" t="str">
        <f t="shared" si="78"/>
        <v>Arquitetônico</v>
      </c>
      <c r="T225" s="26" t="str">
        <f t="shared" si="79"/>
        <v>Elementos Ferragens</v>
      </c>
      <c r="U225" s="26" t="str">
        <f t="shared" si="80"/>
        <v>Barras Apoio</v>
      </c>
      <c r="V225" s="20" t="s">
        <v>85</v>
      </c>
      <c r="W225" s="71" t="str">
        <f t="shared" si="74"/>
        <v>Key-ARQ-225</v>
      </c>
      <c r="X225" s="20" t="s">
        <v>1533</v>
      </c>
      <c r="Y225" s="26" t="s">
        <v>1442</v>
      </c>
      <c r="Z225" s="52" t="s">
        <v>9</v>
      </c>
      <c r="AA225" s="20" t="str">
        <f t="shared" si="81"/>
        <v>Bar for lateral support in toilets used to promote accessibility according to ABNT 9050 standard.</v>
      </c>
    </row>
    <row r="226" spans="1:27" ht="6" customHeight="1" x14ac:dyDescent="0.4">
      <c r="A226" s="22">
        <v>226</v>
      </c>
      <c r="B226" s="1" t="s">
        <v>1604</v>
      </c>
      <c r="C226" s="1" t="s">
        <v>1383</v>
      </c>
      <c r="D226" s="1" t="s">
        <v>1399</v>
      </c>
      <c r="E226" s="1" t="s">
        <v>1173</v>
      </c>
      <c r="F226" s="1" t="s">
        <v>1177</v>
      </c>
      <c r="G226" s="56" t="s">
        <v>9</v>
      </c>
      <c r="H226" s="54" t="s">
        <v>9</v>
      </c>
      <c r="I226" s="54" t="s">
        <v>9</v>
      </c>
      <c r="J226" s="56" t="s">
        <v>9</v>
      </c>
      <c r="K226" s="56" t="s">
        <v>9</v>
      </c>
      <c r="L226" s="25" t="str">
        <f t="shared" si="75"/>
        <v>Arquitetônico</v>
      </c>
      <c r="M226" s="25" t="str">
        <f t="shared" si="76"/>
        <v>Elementos.Ferragens</v>
      </c>
      <c r="N226" s="25" t="str">
        <f t="shared" si="77"/>
        <v>Barras Apoio</v>
      </c>
      <c r="O226" s="25" t="str">
        <f t="shared" si="77"/>
        <v>Barra Articulada com Coluna</v>
      </c>
      <c r="P226" s="20" t="s">
        <v>1185</v>
      </c>
      <c r="Q226" s="20" t="s">
        <v>1189</v>
      </c>
      <c r="R226" s="52" t="s">
        <v>9</v>
      </c>
      <c r="S226" s="26" t="str">
        <f t="shared" si="78"/>
        <v>Arquitetônico</v>
      </c>
      <c r="T226" s="26" t="str">
        <f t="shared" si="79"/>
        <v>Elementos Ferragens</v>
      </c>
      <c r="U226" s="26" t="str">
        <f t="shared" si="80"/>
        <v>Barras Apoio</v>
      </c>
      <c r="V226" s="20" t="s">
        <v>85</v>
      </c>
      <c r="W226" s="71" t="str">
        <f t="shared" si="74"/>
        <v>Key-ARQ-226</v>
      </c>
      <c r="X226" s="20" t="s">
        <v>1533</v>
      </c>
      <c r="Y226" s="26" t="s">
        <v>1442</v>
      </c>
      <c r="Z226" s="52" t="s">
        <v>9</v>
      </c>
      <c r="AA226" s="20" t="str">
        <f t="shared" si="81"/>
        <v>Bar for lateral support with vertical reinforcement in toilets used to promote accessibility according to ABNT 9050 standard.</v>
      </c>
    </row>
    <row r="227" spans="1:27" ht="6" customHeight="1" x14ac:dyDescent="0.4">
      <c r="A227" s="22">
        <v>227</v>
      </c>
      <c r="B227" s="1" t="s">
        <v>1604</v>
      </c>
      <c r="C227" s="1" t="s">
        <v>1383</v>
      </c>
      <c r="D227" s="1" t="s">
        <v>1399</v>
      </c>
      <c r="E227" s="1" t="s">
        <v>1005</v>
      </c>
      <c r="F227" s="1" t="s">
        <v>1137</v>
      </c>
      <c r="G227" s="56" t="s">
        <v>9</v>
      </c>
      <c r="H227" s="54" t="s">
        <v>9</v>
      </c>
      <c r="I227" s="54" t="s">
        <v>9</v>
      </c>
      <c r="J227" s="56" t="s">
        <v>9</v>
      </c>
      <c r="K227" s="56" t="s">
        <v>9</v>
      </c>
      <c r="L227" s="25" t="str">
        <f t="shared" ref="L227" si="82">CONCATENATE("", C227)</f>
        <v>Arquitetônico</v>
      </c>
      <c r="M227" s="25" t="str">
        <f t="shared" ref="M227" si="83">CONCATENATE("", D227)</f>
        <v>Elementos.Ferragens</v>
      </c>
      <c r="N227" s="25" t="str">
        <f t="shared" ref="N227" si="84">(SUBSTITUTE(SUBSTITUTE(CONCATENATE("",E227),"."," ")," De "," de "))</f>
        <v>Dobradiças</v>
      </c>
      <c r="O227" s="25" t="str">
        <f t="shared" ref="O227" si="85">(SUBSTITUTE(SUBSTITUTE(CONCATENATE("",F227),"."," ")," De "," de "))</f>
        <v>Automática</v>
      </c>
      <c r="P227" s="20" t="s">
        <v>348</v>
      </c>
      <c r="Q227" s="33" t="s">
        <v>349</v>
      </c>
      <c r="R227" s="52" t="s">
        <v>9</v>
      </c>
      <c r="S227" s="26" t="str">
        <f t="shared" ref="S227" si="86">SUBSTITUTE(C227, ".", " ")</f>
        <v>Arquitetônico</v>
      </c>
      <c r="T227" s="26" t="str">
        <f t="shared" ref="T227" si="87">SUBSTITUTE(D227, ".", " ")</f>
        <v>Elementos Ferragens</v>
      </c>
      <c r="U227" s="26" t="str">
        <f t="shared" ref="U227" si="88">SUBSTITUTE(E227, ".", " ")</f>
        <v>Dobradiças</v>
      </c>
      <c r="V227" s="20" t="s">
        <v>85</v>
      </c>
      <c r="W227" s="71" t="str">
        <f t="shared" ref="W227" si="89">CONCATENATE("Key-ARQ-",A227)</f>
        <v>Key-ARQ-227</v>
      </c>
      <c r="X227" s="20" t="s">
        <v>1533</v>
      </c>
      <c r="Y227" s="26" t="s">
        <v>1442</v>
      </c>
      <c r="Z227" s="52" t="s">
        <v>9</v>
      </c>
      <c r="AA227" s="20" t="str">
        <f t="shared" si="81"/>
        <v>Automatic self-closing hinges in special aluminium alloy.</v>
      </c>
    </row>
    <row r="228" spans="1:27" ht="6" customHeight="1" x14ac:dyDescent="0.4">
      <c r="A228" s="22">
        <v>228</v>
      </c>
      <c r="B228" s="1" t="s">
        <v>1604</v>
      </c>
      <c r="C228" s="1" t="s">
        <v>1383</v>
      </c>
      <c r="D228" s="1" t="s">
        <v>1400</v>
      </c>
      <c r="E228" s="24" t="s">
        <v>1545</v>
      </c>
      <c r="F228" s="24" t="s">
        <v>901</v>
      </c>
      <c r="G228" s="56" t="s">
        <v>9</v>
      </c>
      <c r="H228" s="54" t="s">
        <v>9</v>
      </c>
      <c r="I228" s="54" t="s">
        <v>9</v>
      </c>
      <c r="J228" s="56" t="s">
        <v>9</v>
      </c>
      <c r="K228" s="56" t="s">
        <v>9</v>
      </c>
      <c r="L228" s="25" t="str">
        <f t="shared" si="75"/>
        <v>Arquitetônico</v>
      </c>
      <c r="M228" s="25" t="str">
        <f t="shared" si="76"/>
        <v>Elementos.de.Bancadas</v>
      </c>
      <c r="N228" s="25" t="str">
        <f t="shared" si="77"/>
        <v>Bancadas Residenciais</v>
      </c>
      <c r="O228" s="25" t="str">
        <f t="shared" si="77"/>
        <v>Bancada Banheiro</v>
      </c>
      <c r="P228" s="20" t="s">
        <v>984</v>
      </c>
      <c r="Q228" s="20" t="s">
        <v>989</v>
      </c>
      <c r="R228" s="52" t="s">
        <v>9</v>
      </c>
      <c r="S228" s="26" t="str">
        <f t="shared" si="78"/>
        <v>Arquitetônico</v>
      </c>
      <c r="T228" s="26" t="str">
        <f t="shared" si="79"/>
        <v>Elementos de Bancadas</v>
      </c>
      <c r="U228" s="26" t="str">
        <f t="shared" si="80"/>
        <v>Bancadas Residenciais</v>
      </c>
      <c r="V228" s="20" t="s">
        <v>85</v>
      </c>
      <c r="W228" s="71" t="str">
        <f t="shared" si="74"/>
        <v>Key-ARQ-228</v>
      </c>
      <c r="X228" s="20" t="s">
        <v>1534</v>
      </c>
      <c r="Y228" s="26" t="s">
        <v>1443</v>
      </c>
      <c r="Z228" s="52" t="s">
        <v>9</v>
      </c>
      <c r="AA228" s="20" t="str">
        <f t="shared" si="81"/>
        <v>Bench support for sanitary equipment.</v>
      </c>
    </row>
    <row r="229" spans="1:27" ht="6" customHeight="1" x14ac:dyDescent="0.4">
      <c r="A229" s="22">
        <v>229</v>
      </c>
      <c r="B229" s="1" t="s">
        <v>1604</v>
      </c>
      <c r="C229" s="1" t="s">
        <v>1383</v>
      </c>
      <c r="D229" s="1" t="s">
        <v>1400</v>
      </c>
      <c r="E229" s="24" t="s">
        <v>1545</v>
      </c>
      <c r="F229" s="24" t="s">
        <v>902</v>
      </c>
      <c r="G229" s="56" t="s">
        <v>9</v>
      </c>
      <c r="H229" s="54" t="s">
        <v>9</v>
      </c>
      <c r="I229" s="54" t="s">
        <v>9</v>
      </c>
      <c r="J229" s="56" t="s">
        <v>9</v>
      </c>
      <c r="K229" s="56" t="s">
        <v>9</v>
      </c>
      <c r="L229" s="25" t="str">
        <f t="shared" si="75"/>
        <v>Arquitetônico</v>
      </c>
      <c r="M229" s="25" t="str">
        <f t="shared" si="76"/>
        <v>Elementos.de.Bancadas</v>
      </c>
      <c r="N229" s="25" t="str">
        <f t="shared" si="77"/>
        <v>Bancadas Residenciais</v>
      </c>
      <c r="O229" s="25" t="str">
        <f t="shared" si="77"/>
        <v>Bancada Cozinha</v>
      </c>
      <c r="P229" s="20" t="s">
        <v>985</v>
      </c>
      <c r="Q229" s="20" t="s">
        <v>990</v>
      </c>
      <c r="R229" s="52" t="s">
        <v>9</v>
      </c>
      <c r="S229" s="26" t="str">
        <f t="shared" si="78"/>
        <v>Arquitetônico</v>
      </c>
      <c r="T229" s="26" t="str">
        <f t="shared" si="79"/>
        <v>Elementos de Bancadas</v>
      </c>
      <c r="U229" s="26" t="str">
        <f t="shared" si="80"/>
        <v>Bancadas Residenciais</v>
      </c>
      <c r="V229" s="20" t="s">
        <v>85</v>
      </c>
      <c r="W229" s="71" t="str">
        <f t="shared" si="74"/>
        <v>Key-ARQ-229</v>
      </c>
      <c r="X229" s="20" t="s">
        <v>1534</v>
      </c>
      <c r="Y229" s="26" t="s">
        <v>1443</v>
      </c>
      <c r="Z229" s="52" t="s">
        <v>9</v>
      </c>
      <c r="AA229" s="20" t="str">
        <f t="shared" si="81"/>
        <v>Support bench for kitchen and pantry equipment.</v>
      </c>
    </row>
    <row r="230" spans="1:27" ht="6" customHeight="1" x14ac:dyDescent="0.4">
      <c r="A230" s="22">
        <v>230</v>
      </c>
      <c r="B230" s="1" t="s">
        <v>1604</v>
      </c>
      <c r="C230" s="1" t="s">
        <v>1383</v>
      </c>
      <c r="D230" s="1" t="s">
        <v>1400</v>
      </c>
      <c r="E230" s="24" t="s">
        <v>1545</v>
      </c>
      <c r="F230" s="24" t="s">
        <v>1238</v>
      </c>
      <c r="G230" s="56" t="s">
        <v>9</v>
      </c>
      <c r="H230" s="54" t="s">
        <v>9</v>
      </c>
      <c r="I230" s="54" t="s">
        <v>9</v>
      </c>
      <c r="J230" s="56" t="s">
        <v>9</v>
      </c>
      <c r="K230" s="56" t="s">
        <v>9</v>
      </c>
      <c r="L230" s="25" t="str">
        <f t="shared" si="75"/>
        <v>Arquitetônico</v>
      </c>
      <c r="M230" s="25" t="str">
        <f t="shared" si="76"/>
        <v>Elementos.de.Bancadas</v>
      </c>
      <c r="N230" s="25" t="str">
        <f t="shared" si="77"/>
        <v>Bancadas Residenciais</v>
      </c>
      <c r="O230" s="25" t="str">
        <f t="shared" si="77"/>
        <v>Bancada Bar</v>
      </c>
      <c r="P230" s="20" t="s">
        <v>1237</v>
      </c>
      <c r="Q230" s="20" t="s">
        <v>1236</v>
      </c>
      <c r="R230" s="52" t="s">
        <v>9</v>
      </c>
      <c r="S230" s="26" t="str">
        <f t="shared" si="78"/>
        <v>Arquitetônico</v>
      </c>
      <c r="T230" s="26" t="str">
        <f t="shared" si="79"/>
        <v>Elementos de Bancadas</v>
      </c>
      <c r="U230" s="26" t="str">
        <f t="shared" si="80"/>
        <v>Bancadas Residenciais</v>
      </c>
      <c r="V230" s="20" t="s">
        <v>85</v>
      </c>
      <c r="W230" s="71" t="str">
        <f t="shared" si="74"/>
        <v>Key-ARQ-230</v>
      </c>
      <c r="X230" s="20" t="s">
        <v>1534</v>
      </c>
      <c r="Y230" s="26" t="s">
        <v>1443</v>
      </c>
      <c r="Z230" s="52" t="s">
        <v>9</v>
      </c>
      <c r="AA230" s="20" t="str">
        <f t="shared" si="81"/>
        <v>Bench support for bar equipment.</v>
      </c>
    </row>
    <row r="231" spans="1:27" ht="6" customHeight="1" x14ac:dyDescent="0.4">
      <c r="A231" s="22">
        <v>231</v>
      </c>
      <c r="B231" s="1" t="s">
        <v>1604</v>
      </c>
      <c r="C231" s="1" t="s">
        <v>1383</v>
      </c>
      <c r="D231" s="1" t="s">
        <v>1400</v>
      </c>
      <c r="E231" s="24" t="s">
        <v>1546</v>
      </c>
      <c r="F231" s="24" t="s">
        <v>903</v>
      </c>
      <c r="G231" s="56" t="s">
        <v>9</v>
      </c>
      <c r="H231" s="54" t="s">
        <v>9</v>
      </c>
      <c r="I231" s="54" t="s">
        <v>9</v>
      </c>
      <c r="J231" s="56" t="s">
        <v>9</v>
      </c>
      <c r="K231" s="56" t="s">
        <v>9</v>
      </c>
      <c r="L231" s="25" t="str">
        <f t="shared" si="75"/>
        <v>Arquitetônico</v>
      </c>
      <c r="M231" s="25" t="str">
        <f t="shared" si="76"/>
        <v>Elementos.de.Bancadas</v>
      </c>
      <c r="N231" s="25" t="str">
        <f t="shared" si="77"/>
        <v>Bancadas Laboratoriais</v>
      </c>
      <c r="O231" s="25" t="str">
        <f t="shared" si="77"/>
        <v>Bancada Laboratório</v>
      </c>
      <c r="P231" s="20" t="s">
        <v>986</v>
      </c>
      <c r="Q231" s="20" t="s">
        <v>991</v>
      </c>
      <c r="R231" s="52" t="s">
        <v>9</v>
      </c>
      <c r="S231" s="26" t="str">
        <f t="shared" si="78"/>
        <v>Arquitetônico</v>
      </c>
      <c r="T231" s="26" t="str">
        <f t="shared" si="79"/>
        <v>Elementos de Bancadas</v>
      </c>
      <c r="U231" s="26" t="str">
        <f t="shared" si="80"/>
        <v>Bancadas Laboratoriais</v>
      </c>
      <c r="V231" s="20" t="s">
        <v>85</v>
      </c>
      <c r="W231" s="71" t="str">
        <f t="shared" si="74"/>
        <v>Key-ARQ-231</v>
      </c>
      <c r="X231" s="20" t="s">
        <v>1534</v>
      </c>
      <c r="Y231" s="26" t="s">
        <v>1443</v>
      </c>
      <c r="Z231" s="52" t="s">
        <v>9</v>
      </c>
      <c r="AA231" s="20" t="str">
        <f t="shared" si="81"/>
        <v>Support bench for simple laboratory equipment.</v>
      </c>
    </row>
    <row r="232" spans="1:27" ht="6" customHeight="1" x14ac:dyDescent="0.4">
      <c r="A232" s="22">
        <v>232</v>
      </c>
      <c r="B232" s="1" t="s">
        <v>1604</v>
      </c>
      <c r="C232" s="1" t="s">
        <v>1383</v>
      </c>
      <c r="D232" s="1" t="s">
        <v>1400</v>
      </c>
      <c r="E232" s="24" t="s">
        <v>1546</v>
      </c>
      <c r="F232" s="24" t="s">
        <v>982</v>
      </c>
      <c r="G232" s="56" t="s">
        <v>9</v>
      </c>
      <c r="H232" s="54" t="s">
        <v>9</v>
      </c>
      <c r="I232" s="54" t="s">
        <v>9</v>
      </c>
      <c r="J232" s="56" t="s">
        <v>9</v>
      </c>
      <c r="K232" s="56" t="s">
        <v>9</v>
      </c>
      <c r="L232" s="25" t="str">
        <f t="shared" si="75"/>
        <v>Arquitetônico</v>
      </c>
      <c r="M232" s="25" t="str">
        <f t="shared" si="76"/>
        <v>Elementos.de.Bancadas</v>
      </c>
      <c r="N232" s="25" t="str">
        <f t="shared" si="77"/>
        <v>Bancadas Laboratoriais</v>
      </c>
      <c r="O232" s="25" t="str">
        <f t="shared" si="77"/>
        <v>Bancada Química</v>
      </c>
      <c r="P232" s="20" t="s">
        <v>987</v>
      </c>
      <c r="Q232" s="20" t="s">
        <v>992</v>
      </c>
      <c r="R232" s="52" t="s">
        <v>9</v>
      </c>
      <c r="S232" s="26" t="str">
        <f t="shared" si="78"/>
        <v>Arquitetônico</v>
      </c>
      <c r="T232" s="26" t="str">
        <f t="shared" si="79"/>
        <v>Elementos de Bancadas</v>
      </c>
      <c r="U232" s="26" t="str">
        <f t="shared" si="80"/>
        <v>Bancadas Laboratoriais</v>
      </c>
      <c r="V232" s="20" t="s">
        <v>85</v>
      </c>
      <c r="W232" s="71" t="str">
        <f t="shared" si="74"/>
        <v>Key-ARQ-232</v>
      </c>
      <c r="X232" s="20" t="s">
        <v>1534</v>
      </c>
      <c r="Y232" s="26" t="s">
        <v>1443</v>
      </c>
      <c r="Z232" s="52" t="s">
        <v>9</v>
      </c>
      <c r="AA232" s="20" t="str">
        <f t="shared" si="81"/>
        <v>Support bench for chemistry laboratory equipment that may require special drains and installations.</v>
      </c>
    </row>
    <row r="233" spans="1:27" ht="6" customHeight="1" x14ac:dyDescent="0.4">
      <c r="A233" s="22">
        <v>233</v>
      </c>
      <c r="B233" s="1" t="s">
        <v>1604</v>
      </c>
      <c r="C233" s="1" t="s">
        <v>1383</v>
      </c>
      <c r="D233" s="1" t="s">
        <v>1400</v>
      </c>
      <c r="E233" s="24" t="s">
        <v>1546</v>
      </c>
      <c r="F233" s="24" t="s">
        <v>983</v>
      </c>
      <c r="G233" s="56" t="s">
        <v>9</v>
      </c>
      <c r="H233" s="54" t="s">
        <v>9</v>
      </c>
      <c r="I233" s="54" t="s">
        <v>9</v>
      </c>
      <c r="J233" s="56" t="s">
        <v>9</v>
      </c>
      <c r="K233" s="56" t="s">
        <v>9</v>
      </c>
      <c r="L233" s="25" t="str">
        <f t="shared" si="75"/>
        <v>Arquitetônico</v>
      </c>
      <c r="M233" s="25" t="str">
        <f t="shared" si="76"/>
        <v>Elementos.de.Bancadas</v>
      </c>
      <c r="N233" s="25" t="str">
        <f t="shared" si="77"/>
        <v>Bancadas Laboratoriais</v>
      </c>
      <c r="O233" s="25" t="str">
        <f t="shared" si="77"/>
        <v>Bancada Biológica</v>
      </c>
      <c r="P233" s="20" t="s">
        <v>988</v>
      </c>
      <c r="Q233" s="20" t="s">
        <v>993</v>
      </c>
      <c r="R233" s="52" t="s">
        <v>9</v>
      </c>
      <c r="S233" s="26" t="str">
        <f t="shared" si="78"/>
        <v>Arquitetônico</v>
      </c>
      <c r="T233" s="26" t="str">
        <f t="shared" si="79"/>
        <v>Elementos de Bancadas</v>
      </c>
      <c r="U233" s="26" t="str">
        <f t="shared" si="80"/>
        <v>Bancadas Laboratoriais</v>
      </c>
      <c r="V233" s="20" t="s">
        <v>85</v>
      </c>
      <c r="W233" s="71" t="str">
        <f t="shared" si="74"/>
        <v>Key-ARQ-233</v>
      </c>
      <c r="X233" s="20" t="s">
        <v>1534</v>
      </c>
      <c r="Y233" s="26" t="s">
        <v>1443</v>
      </c>
      <c r="Z233" s="52" t="s">
        <v>9</v>
      </c>
      <c r="AA233" s="20" t="str">
        <f t="shared" si="81"/>
        <v>Support bench for biological laboratory equipment that may require special facilities.</v>
      </c>
    </row>
    <row r="234" spans="1:27" ht="6" customHeight="1" x14ac:dyDescent="0.4">
      <c r="A234" s="22">
        <v>234</v>
      </c>
      <c r="B234" s="1" t="s">
        <v>1604</v>
      </c>
      <c r="C234" s="1" t="s">
        <v>1383</v>
      </c>
      <c r="D234" s="1" t="s">
        <v>1401</v>
      </c>
      <c r="E234" s="1" t="s">
        <v>1006</v>
      </c>
      <c r="F234" s="1" t="s">
        <v>1592</v>
      </c>
      <c r="G234" s="56" t="s">
        <v>9</v>
      </c>
      <c r="H234" s="54" t="s">
        <v>9</v>
      </c>
      <c r="I234" s="54" t="s">
        <v>9</v>
      </c>
      <c r="J234" s="56" t="s">
        <v>9</v>
      </c>
      <c r="K234" s="56" t="s">
        <v>9</v>
      </c>
      <c r="L234" s="25" t="str">
        <f t="shared" si="75"/>
        <v>Arquitetônico</v>
      </c>
      <c r="M234" s="25" t="str">
        <f t="shared" si="76"/>
        <v>Elementos.de.Esquadrias</v>
      </c>
      <c r="N234" s="25" t="str">
        <f t="shared" si="77"/>
        <v>Janelas</v>
      </c>
      <c r="O234" s="25" t="str">
        <f t="shared" si="77"/>
        <v>Janela Abertura</v>
      </c>
      <c r="P234" s="20" t="s">
        <v>1200</v>
      </c>
      <c r="Q234" s="33" t="s">
        <v>1199</v>
      </c>
      <c r="R234" s="52" t="s">
        <v>9</v>
      </c>
      <c r="S234" s="26" t="str">
        <f t="shared" si="78"/>
        <v>Arquitetônico</v>
      </c>
      <c r="T234" s="26" t="str">
        <f t="shared" si="79"/>
        <v>Elementos de Esquadrias</v>
      </c>
      <c r="U234" s="26" t="str">
        <f t="shared" si="80"/>
        <v>Janelas</v>
      </c>
      <c r="V234" s="20" t="s">
        <v>85</v>
      </c>
      <c r="W234" s="71" t="str">
        <f t="shared" si="74"/>
        <v>Key-ARQ-234</v>
      </c>
      <c r="X234" s="20" t="s">
        <v>1485</v>
      </c>
      <c r="Y234" s="26" t="s">
        <v>1414</v>
      </c>
      <c r="Z234" s="52" t="s">
        <v>1368</v>
      </c>
      <c r="AA234" s="20" t="str">
        <f t="shared" si="81"/>
        <v>Ventilation element and open-span lighting without elements. You can create a window family that contains only the Opening element.</v>
      </c>
    </row>
    <row r="235" spans="1:27" ht="6" customHeight="1" x14ac:dyDescent="0.4">
      <c r="A235" s="22">
        <v>235</v>
      </c>
      <c r="B235" s="1" t="s">
        <v>1604</v>
      </c>
      <c r="C235" s="1" t="s">
        <v>1383</v>
      </c>
      <c r="D235" s="1" t="s">
        <v>1401</v>
      </c>
      <c r="E235" s="1" t="s">
        <v>1006</v>
      </c>
      <c r="F235" s="1" t="s">
        <v>741</v>
      </c>
      <c r="G235" s="56" t="s">
        <v>9</v>
      </c>
      <c r="H235" s="54" t="s">
        <v>9</v>
      </c>
      <c r="I235" s="54" t="s">
        <v>9</v>
      </c>
      <c r="J235" s="56" t="s">
        <v>9</v>
      </c>
      <c r="K235" s="56" t="s">
        <v>9</v>
      </c>
      <c r="L235" s="25" t="str">
        <f t="shared" si="75"/>
        <v>Arquitetônico</v>
      </c>
      <c r="M235" s="25" t="str">
        <f t="shared" si="76"/>
        <v>Elementos.de.Esquadrias</v>
      </c>
      <c r="N235" s="25" t="str">
        <f t="shared" si="77"/>
        <v>Janelas</v>
      </c>
      <c r="O235" s="25" t="str">
        <f t="shared" si="77"/>
        <v>Janela Fixa</v>
      </c>
      <c r="P235" s="20" t="s">
        <v>794</v>
      </c>
      <c r="Q235" s="33" t="s">
        <v>801</v>
      </c>
      <c r="R235" s="52" t="s">
        <v>9</v>
      </c>
      <c r="S235" s="26" t="str">
        <f t="shared" si="78"/>
        <v>Arquitetônico</v>
      </c>
      <c r="T235" s="26" t="str">
        <f t="shared" si="79"/>
        <v>Elementos de Esquadrias</v>
      </c>
      <c r="U235" s="26" t="str">
        <f t="shared" si="80"/>
        <v>Janelas</v>
      </c>
      <c r="V235" s="20" t="s">
        <v>85</v>
      </c>
      <c r="W235" s="71" t="str">
        <f t="shared" si="74"/>
        <v>Key-ARQ-235</v>
      </c>
      <c r="X235" s="20" t="s">
        <v>1485</v>
      </c>
      <c r="Y235" s="26" t="s">
        <v>1414</v>
      </c>
      <c r="Z235" s="52" t="s">
        <v>1368</v>
      </c>
      <c r="AA235" s="20" t="str">
        <f t="shared" si="81"/>
        <v>Fixed window type ventilation and lighting element.</v>
      </c>
    </row>
    <row r="236" spans="1:27" ht="6" customHeight="1" x14ac:dyDescent="0.4">
      <c r="A236" s="22">
        <v>236</v>
      </c>
      <c r="B236" s="1" t="s">
        <v>1604</v>
      </c>
      <c r="C236" s="1" t="s">
        <v>1383</v>
      </c>
      <c r="D236" s="1" t="s">
        <v>1401</v>
      </c>
      <c r="E236" s="1" t="s">
        <v>1006</v>
      </c>
      <c r="F236" s="1" t="s">
        <v>742</v>
      </c>
      <c r="G236" s="56" t="s">
        <v>9</v>
      </c>
      <c r="H236" s="54" t="s">
        <v>9</v>
      </c>
      <c r="I236" s="54" t="s">
        <v>9</v>
      </c>
      <c r="J236" s="56" t="s">
        <v>9</v>
      </c>
      <c r="K236" s="56" t="s">
        <v>9</v>
      </c>
      <c r="L236" s="25" t="str">
        <f t="shared" si="75"/>
        <v>Arquitetônico</v>
      </c>
      <c r="M236" s="25" t="str">
        <f t="shared" si="76"/>
        <v>Elementos.de.Esquadrias</v>
      </c>
      <c r="N236" s="25" t="str">
        <f t="shared" si="77"/>
        <v>Janelas</v>
      </c>
      <c r="O236" s="25" t="str">
        <f t="shared" si="77"/>
        <v>Janela Batente</v>
      </c>
      <c r="P236" s="20" t="s">
        <v>795</v>
      </c>
      <c r="Q236" s="33" t="s">
        <v>849</v>
      </c>
      <c r="R236" s="52" t="s">
        <v>9</v>
      </c>
      <c r="S236" s="26" t="str">
        <f t="shared" si="78"/>
        <v>Arquitetônico</v>
      </c>
      <c r="T236" s="26" t="str">
        <f t="shared" si="79"/>
        <v>Elementos de Esquadrias</v>
      </c>
      <c r="U236" s="26" t="str">
        <f t="shared" si="80"/>
        <v>Janelas</v>
      </c>
      <c r="V236" s="20" t="s">
        <v>85</v>
      </c>
      <c r="W236" s="71" t="str">
        <f t="shared" si="74"/>
        <v>Key-ARQ-236</v>
      </c>
      <c r="X236" s="20" t="s">
        <v>1485</v>
      </c>
      <c r="Y236" s="26" t="s">
        <v>1414</v>
      </c>
      <c r="Z236" s="52" t="s">
        <v>1368</v>
      </c>
      <c r="AA236" s="20" t="str">
        <f t="shared" si="81"/>
        <v>Ventilation and lighting element type Opener window.</v>
      </c>
    </row>
    <row r="237" spans="1:27" ht="6" customHeight="1" x14ac:dyDescent="0.4">
      <c r="A237" s="22">
        <v>237</v>
      </c>
      <c r="B237" s="1" t="s">
        <v>1604</v>
      </c>
      <c r="C237" s="1" t="s">
        <v>1383</v>
      </c>
      <c r="D237" s="1" t="s">
        <v>1401</v>
      </c>
      <c r="E237" s="1" t="s">
        <v>1006</v>
      </c>
      <c r="F237" s="1" t="s">
        <v>767</v>
      </c>
      <c r="G237" s="56" t="s">
        <v>9</v>
      </c>
      <c r="H237" s="54" t="s">
        <v>9</v>
      </c>
      <c r="I237" s="54" t="s">
        <v>9</v>
      </c>
      <c r="J237" s="56" t="s">
        <v>9</v>
      </c>
      <c r="K237" s="56" t="s">
        <v>9</v>
      </c>
      <c r="L237" s="25" t="str">
        <f t="shared" si="75"/>
        <v>Arquitetônico</v>
      </c>
      <c r="M237" s="25" t="str">
        <f t="shared" si="76"/>
        <v>Elementos.de.Esquadrias</v>
      </c>
      <c r="N237" s="25" t="str">
        <f t="shared" si="77"/>
        <v>Janelas</v>
      </c>
      <c r="O237" s="25" t="str">
        <f t="shared" si="77"/>
        <v>Janela Corrediça</v>
      </c>
      <c r="P237" s="20" t="s">
        <v>796</v>
      </c>
      <c r="Q237" s="33" t="s">
        <v>858</v>
      </c>
      <c r="R237" s="52" t="s">
        <v>9</v>
      </c>
      <c r="S237" s="26" t="str">
        <f t="shared" si="78"/>
        <v>Arquitetônico</v>
      </c>
      <c r="T237" s="26" t="str">
        <f t="shared" si="79"/>
        <v>Elementos de Esquadrias</v>
      </c>
      <c r="U237" s="26" t="str">
        <f t="shared" si="80"/>
        <v>Janelas</v>
      </c>
      <c r="V237" s="20" t="s">
        <v>85</v>
      </c>
      <c r="W237" s="71" t="str">
        <f t="shared" si="74"/>
        <v>Key-ARQ-237</v>
      </c>
      <c r="X237" s="20" t="s">
        <v>1485</v>
      </c>
      <c r="Y237" s="26" t="s">
        <v>1414</v>
      </c>
      <c r="Z237" s="52" t="s">
        <v>1368</v>
      </c>
      <c r="AA237" s="20" t="str">
        <f t="shared" si="81"/>
        <v>Ventilation and lighting element type Sliding window.</v>
      </c>
    </row>
    <row r="238" spans="1:27" ht="6" customHeight="1" x14ac:dyDescent="0.4">
      <c r="A238" s="22">
        <v>238</v>
      </c>
      <c r="B238" s="1" t="s">
        <v>1604</v>
      </c>
      <c r="C238" s="1" t="s">
        <v>1383</v>
      </c>
      <c r="D238" s="1" t="s">
        <v>1401</v>
      </c>
      <c r="E238" s="1" t="s">
        <v>1006</v>
      </c>
      <c r="F238" s="1" t="s">
        <v>743</v>
      </c>
      <c r="G238" s="56" t="s">
        <v>9</v>
      </c>
      <c r="H238" s="54" t="s">
        <v>9</v>
      </c>
      <c r="I238" s="54" t="s">
        <v>9</v>
      </c>
      <c r="J238" s="56" t="s">
        <v>9</v>
      </c>
      <c r="K238" s="56" t="s">
        <v>9</v>
      </c>
      <c r="L238" s="25" t="str">
        <f t="shared" si="75"/>
        <v>Arquitetônico</v>
      </c>
      <c r="M238" s="25" t="str">
        <f t="shared" si="76"/>
        <v>Elementos.de.Esquadrias</v>
      </c>
      <c r="N238" s="25" t="str">
        <f t="shared" si="77"/>
        <v>Janelas</v>
      </c>
      <c r="O238" s="25" t="str">
        <f t="shared" si="77"/>
        <v>Janela Pivotante</v>
      </c>
      <c r="P238" s="20" t="s">
        <v>866</v>
      </c>
      <c r="Q238" s="33" t="s">
        <v>868</v>
      </c>
      <c r="R238" s="52" t="s">
        <v>9</v>
      </c>
      <c r="S238" s="26" t="str">
        <f t="shared" si="78"/>
        <v>Arquitetônico</v>
      </c>
      <c r="T238" s="26" t="str">
        <f t="shared" si="79"/>
        <v>Elementos de Esquadrias</v>
      </c>
      <c r="U238" s="26" t="str">
        <f t="shared" si="80"/>
        <v>Janelas</v>
      </c>
      <c r="V238" s="20" t="s">
        <v>85</v>
      </c>
      <c r="W238" s="71" t="str">
        <f t="shared" si="74"/>
        <v>Key-ARQ-238</v>
      </c>
      <c r="X238" s="20" t="s">
        <v>1485</v>
      </c>
      <c r="Y238" s="26" t="s">
        <v>1414</v>
      </c>
      <c r="Z238" s="52" t="s">
        <v>1368</v>
      </c>
      <c r="AA238" s="20" t="str">
        <f t="shared" si="81"/>
        <v>Ventilation and lighting element type Pivot window. It rotates around a vertical axis offset from the stop, with pins attached to the top and bottom of the sheet.</v>
      </c>
    </row>
    <row r="239" spans="1:27" ht="6" customHeight="1" x14ac:dyDescent="0.4">
      <c r="A239" s="22">
        <v>239</v>
      </c>
      <c r="B239" s="1" t="s">
        <v>1604</v>
      </c>
      <c r="C239" s="1" t="s">
        <v>1383</v>
      </c>
      <c r="D239" s="1" t="s">
        <v>1401</v>
      </c>
      <c r="E239" s="1" t="s">
        <v>1006</v>
      </c>
      <c r="F239" s="1" t="s">
        <v>845</v>
      </c>
      <c r="G239" s="56" t="s">
        <v>9</v>
      </c>
      <c r="H239" s="54" t="s">
        <v>9</v>
      </c>
      <c r="I239" s="54" t="s">
        <v>9</v>
      </c>
      <c r="J239" s="56" t="s">
        <v>9</v>
      </c>
      <c r="K239" s="56" t="s">
        <v>9</v>
      </c>
      <c r="L239" s="25" t="str">
        <f t="shared" si="75"/>
        <v>Arquitetônico</v>
      </c>
      <c r="M239" s="25" t="str">
        <f t="shared" si="76"/>
        <v>Elementos.de.Esquadrias</v>
      </c>
      <c r="N239" s="25" t="str">
        <f t="shared" si="77"/>
        <v>Janelas</v>
      </c>
      <c r="O239" s="25" t="str">
        <f t="shared" si="77"/>
        <v>Janela Guilhotina</v>
      </c>
      <c r="P239" s="20" t="s">
        <v>846</v>
      </c>
      <c r="Q239" s="33" t="s">
        <v>857</v>
      </c>
      <c r="R239" s="52" t="s">
        <v>9</v>
      </c>
      <c r="S239" s="26" t="str">
        <f t="shared" si="78"/>
        <v>Arquitetônico</v>
      </c>
      <c r="T239" s="26" t="str">
        <f t="shared" si="79"/>
        <v>Elementos de Esquadrias</v>
      </c>
      <c r="U239" s="26" t="str">
        <f t="shared" si="80"/>
        <v>Janelas</v>
      </c>
      <c r="V239" s="20" t="s">
        <v>85</v>
      </c>
      <c r="W239" s="71" t="str">
        <f t="shared" si="74"/>
        <v>Key-ARQ-239</v>
      </c>
      <c r="X239" s="20" t="s">
        <v>1485</v>
      </c>
      <c r="Y239" s="26" t="s">
        <v>1414</v>
      </c>
      <c r="Z239" s="52" t="s">
        <v>1368</v>
      </c>
      <c r="AA239" s="20" t="str">
        <f t="shared" si="81"/>
        <v>Guillotine window type ventilation and lighting element.</v>
      </c>
    </row>
    <row r="240" spans="1:27" ht="6" customHeight="1" x14ac:dyDescent="0.4">
      <c r="A240" s="22">
        <v>240</v>
      </c>
      <c r="B240" s="1" t="s">
        <v>1604</v>
      </c>
      <c r="C240" s="1" t="s">
        <v>1383</v>
      </c>
      <c r="D240" s="1" t="s">
        <v>1401</v>
      </c>
      <c r="E240" s="1" t="s">
        <v>1006</v>
      </c>
      <c r="F240" s="1" t="s">
        <v>769</v>
      </c>
      <c r="G240" s="56" t="s">
        <v>9</v>
      </c>
      <c r="H240" s="54" t="s">
        <v>9</v>
      </c>
      <c r="I240" s="54" t="s">
        <v>9</v>
      </c>
      <c r="J240" s="56" t="s">
        <v>9</v>
      </c>
      <c r="K240" s="56" t="s">
        <v>9</v>
      </c>
      <c r="L240" s="25" t="str">
        <f t="shared" si="75"/>
        <v>Arquitetônico</v>
      </c>
      <c r="M240" s="25" t="str">
        <f t="shared" si="76"/>
        <v>Elementos.de.Esquadrias</v>
      </c>
      <c r="N240" s="25" t="str">
        <f t="shared" si="77"/>
        <v>Janelas</v>
      </c>
      <c r="O240" s="25" t="str">
        <f t="shared" si="77"/>
        <v>Janela MaximAr</v>
      </c>
      <c r="P240" s="20" t="s">
        <v>855</v>
      </c>
      <c r="Q240" s="33" t="s">
        <v>856</v>
      </c>
      <c r="R240" s="52" t="s">
        <v>9</v>
      </c>
      <c r="S240" s="26" t="str">
        <f t="shared" si="78"/>
        <v>Arquitetônico</v>
      </c>
      <c r="T240" s="26" t="str">
        <f t="shared" si="79"/>
        <v>Elementos de Esquadrias</v>
      </c>
      <c r="U240" s="26" t="str">
        <f t="shared" si="80"/>
        <v>Janelas</v>
      </c>
      <c r="V240" s="20" t="s">
        <v>85</v>
      </c>
      <c r="W240" s="71" t="str">
        <f t="shared" si="74"/>
        <v>Key-ARQ-240</v>
      </c>
      <c r="X240" s="20" t="s">
        <v>1485</v>
      </c>
      <c r="Y240" s="26" t="s">
        <v>1414</v>
      </c>
      <c r="Z240" s="52" t="s">
        <v>1368</v>
      </c>
      <c r="AA240" s="20" t="str">
        <f t="shared" si="81"/>
        <v>Maxim-Air type Window type ventilation and lighting element. The leaf slopes outwards by means of lateral articulated arms.</v>
      </c>
    </row>
    <row r="241" spans="1:27" ht="6" customHeight="1" x14ac:dyDescent="0.4">
      <c r="A241" s="22">
        <v>241</v>
      </c>
      <c r="B241" s="1" t="s">
        <v>1604</v>
      </c>
      <c r="C241" s="1" t="s">
        <v>1383</v>
      </c>
      <c r="D241" s="1" t="s">
        <v>1401</v>
      </c>
      <c r="E241" s="1" t="s">
        <v>1006</v>
      </c>
      <c r="F241" s="1" t="s">
        <v>744</v>
      </c>
      <c r="G241" s="56" t="s">
        <v>9</v>
      </c>
      <c r="H241" s="54" t="s">
        <v>9</v>
      </c>
      <c r="I241" s="54" t="s">
        <v>9</v>
      </c>
      <c r="J241" s="56" t="s">
        <v>9</v>
      </c>
      <c r="K241" s="56" t="s">
        <v>9</v>
      </c>
      <c r="L241" s="25" t="str">
        <f t="shared" si="75"/>
        <v>Arquitetônico</v>
      </c>
      <c r="M241" s="25" t="str">
        <f t="shared" si="76"/>
        <v>Elementos.de.Esquadrias</v>
      </c>
      <c r="N241" s="25" t="str">
        <f t="shared" si="77"/>
        <v>Janelas</v>
      </c>
      <c r="O241" s="25" t="str">
        <f t="shared" si="77"/>
        <v>Janela Basculante</v>
      </c>
      <c r="P241" s="20" t="s">
        <v>847</v>
      </c>
      <c r="Q241" s="33" t="s">
        <v>848</v>
      </c>
      <c r="R241" s="52" t="s">
        <v>9</v>
      </c>
      <c r="S241" s="26" t="str">
        <f t="shared" si="78"/>
        <v>Arquitetônico</v>
      </c>
      <c r="T241" s="26" t="str">
        <f t="shared" si="79"/>
        <v>Elementos de Esquadrias</v>
      </c>
      <c r="U241" s="26" t="str">
        <f t="shared" si="80"/>
        <v>Janelas</v>
      </c>
      <c r="V241" s="20" t="s">
        <v>85</v>
      </c>
      <c r="W241" s="71" t="str">
        <f t="shared" si="74"/>
        <v>Key-ARQ-241</v>
      </c>
      <c r="X241" s="20" t="s">
        <v>1485</v>
      </c>
      <c r="Y241" s="26" t="s">
        <v>1414</v>
      </c>
      <c r="Z241" s="52" t="s">
        <v>1368</v>
      </c>
      <c r="AA241" s="20" t="str">
        <f t="shared" si="81"/>
        <v>Ventilation and lighting element type Tilting window. The leaf opens half to the inside and half to the outside.</v>
      </c>
    </row>
    <row r="242" spans="1:27" ht="6" customHeight="1" x14ac:dyDescent="0.4">
      <c r="A242" s="22">
        <v>242</v>
      </c>
      <c r="B242" s="1" t="s">
        <v>1604</v>
      </c>
      <c r="C242" s="1" t="s">
        <v>1383</v>
      </c>
      <c r="D242" s="1" t="s">
        <v>1401</v>
      </c>
      <c r="E242" s="1" t="s">
        <v>1006</v>
      </c>
      <c r="F242" s="1" t="s">
        <v>862</v>
      </c>
      <c r="G242" s="56" t="s">
        <v>9</v>
      </c>
      <c r="H242" s="54" t="s">
        <v>9</v>
      </c>
      <c r="I242" s="54" t="s">
        <v>9</v>
      </c>
      <c r="J242" s="56" t="s">
        <v>9</v>
      </c>
      <c r="K242" s="56" t="s">
        <v>9</v>
      </c>
      <c r="L242" s="25" t="str">
        <f t="shared" si="75"/>
        <v>Arquitetônico</v>
      </c>
      <c r="M242" s="25" t="str">
        <f t="shared" si="76"/>
        <v>Elementos.de.Esquadrias</v>
      </c>
      <c r="N242" s="25" t="str">
        <f t="shared" si="77"/>
        <v>Janelas</v>
      </c>
      <c r="O242" s="25" t="str">
        <f t="shared" si="77"/>
        <v>Janela Oscilobatente</v>
      </c>
      <c r="P242" s="20" t="s">
        <v>864</v>
      </c>
      <c r="Q242" s="33" t="s">
        <v>863</v>
      </c>
      <c r="R242" s="52" t="s">
        <v>9</v>
      </c>
      <c r="S242" s="26" t="str">
        <f t="shared" si="78"/>
        <v>Arquitetônico</v>
      </c>
      <c r="T242" s="26" t="str">
        <f t="shared" si="79"/>
        <v>Elementos de Esquadrias</v>
      </c>
      <c r="U242" s="26" t="str">
        <f t="shared" si="80"/>
        <v>Janelas</v>
      </c>
      <c r="V242" s="20" t="s">
        <v>85</v>
      </c>
      <c r="W242" s="71" t="str">
        <f t="shared" si="74"/>
        <v>Key-ARQ-242</v>
      </c>
      <c r="X242" s="20" t="s">
        <v>1485</v>
      </c>
      <c r="Y242" s="26" t="s">
        <v>1414</v>
      </c>
      <c r="Z242" s="52" t="s">
        <v>1368</v>
      </c>
      <c r="AA242" s="20" t="str">
        <f t="shared" si="81"/>
        <v>Ventilation and lighting element type Oscillobar window tilts its upper part to the interior of the room.</v>
      </c>
    </row>
    <row r="243" spans="1:27" ht="6" customHeight="1" x14ac:dyDescent="0.4">
      <c r="A243" s="22">
        <v>243</v>
      </c>
      <c r="B243" s="1" t="s">
        <v>1604</v>
      </c>
      <c r="C243" s="1" t="s">
        <v>1383</v>
      </c>
      <c r="D243" s="1" t="s">
        <v>1401</v>
      </c>
      <c r="E243" s="1" t="s">
        <v>1006</v>
      </c>
      <c r="F243" s="1" t="s">
        <v>815</v>
      </c>
      <c r="G243" s="56" t="s">
        <v>9</v>
      </c>
      <c r="H243" s="54" t="s">
        <v>9</v>
      </c>
      <c r="I243" s="54" t="s">
        <v>9</v>
      </c>
      <c r="J243" s="56" t="s">
        <v>9</v>
      </c>
      <c r="K243" s="56" t="s">
        <v>9</v>
      </c>
      <c r="L243" s="25" t="str">
        <f t="shared" si="75"/>
        <v>Arquitetônico</v>
      </c>
      <c r="M243" s="25" t="str">
        <f t="shared" si="76"/>
        <v>Elementos.de.Esquadrias</v>
      </c>
      <c r="N243" s="25" t="str">
        <f t="shared" si="77"/>
        <v>Janelas</v>
      </c>
      <c r="O243" s="25" t="str">
        <f t="shared" si="77"/>
        <v>Janela Telescópica</v>
      </c>
      <c r="P243" s="20" t="s">
        <v>816</v>
      </c>
      <c r="Q243" s="33" t="s">
        <v>817</v>
      </c>
      <c r="R243" s="52" t="s">
        <v>9</v>
      </c>
      <c r="S243" s="26" t="str">
        <f t="shared" si="78"/>
        <v>Arquitetônico</v>
      </c>
      <c r="T243" s="26" t="str">
        <f t="shared" si="79"/>
        <v>Elementos de Esquadrias</v>
      </c>
      <c r="U243" s="26" t="str">
        <f t="shared" si="80"/>
        <v>Janelas</v>
      </c>
      <c r="V243" s="20" t="s">
        <v>85</v>
      </c>
      <c r="W243" s="71" t="str">
        <f t="shared" si="74"/>
        <v>Key-ARQ-243</v>
      </c>
      <c r="X243" s="20" t="s">
        <v>1485</v>
      </c>
      <c r="Y243" s="26" t="s">
        <v>1414</v>
      </c>
      <c r="Z243" s="52" t="s">
        <v>1368</v>
      </c>
      <c r="AA243" s="20" t="str">
        <f t="shared" si="81"/>
        <v>Window-type ventilation and lighting element with rails and guides that allow the movement of two or more overlapping leaves.</v>
      </c>
    </row>
    <row r="244" spans="1:27" ht="6" customHeight="1" x14ac:dyDescent="0.4">
      <c r="A244" s="22">
        <v>244</v>
      </c>
      <c r="B244" s="1" t="s">
        <v>1604</v>
      </c>
      <c r="C244" s="1" t="s">
        <v>1383</v>
      </c>
      <c r="D244" s="1" t="s">
        <v>1401</v>
      </c>
      <c r="E244" s="1" t="s">
        <v>1006</v>
      </c>
      <c r="F244" s="1" t="s">
        <v>869</v>
      </c>
      <c r="G244" s="56" t="s">
        <v>9</v>
      </c>
      <c r="H244" s="54" t="s">
        <v>9</v>
      </c>
      <c r="I244" s="54" t="s">
        <v>9</v>
      </c>
      <c r="J244" s="56" t="s">
        <v>9</v>
      </c>
      <c r="K244" s="56" t="s">
        <v>9</v>
      </c>
      <c r="L244" s="25" t="str">
        <f t="shared" si="75"/>
        <v>Arquitetônico</v>
      </c>
      <c r="M244" s="25" t="str">
        <f t="shared" si="76"/>
        <v>Elementos.de.Esquadrias</v>
      </c>
      <c r="N244" s="25" t="str">
        <f t="shared" si="77"/>
        <v>Janelas</v>
      </c>
      <c r="O244" s="25" t="str">
        <f t="shared" si="77"/>
        <v>Janela Veneziana</v>
      </c>
      <c r="P244" s="20" t="s">
        <v>870</v>
      </c>
      <c r="Q244" s="33" t="s">
        <v>871</v>
      </c>
      <c r="R244" s="52" t="s">
        <v>9</v>
      </c>
      <c r="S244" s="26" t="str">
        <f t="shared" si="78"/>
        <v>Arquitetônico</v>
      </c>
      <c r="T244" s="26" t="str">
        <f t="shared" si="79"/>
        <v>Elementos de Esquadrias</v>
      </c>
      <c r="U244" s="26" t="str">
        <f t="shared" si="80"/>
        <v>Janelas</v>
      </c>
      <c r="V244" s="20" t="s">
        <v>85</v>
      </c>
      <c r="W244" s="71" t="str">
        <f t="shared" si="74"/>
        <v>Key-ARQ-244</v>
      </c>
      <c r="X244" s="20" t="s">
        <v>1485</v>
      </c>
      <c r="Y244" s="26" t="s">
        <v>1414</v>
      </c>
      <c r="Z244" s="52" t="s">
        <v>1368</v>
      </c>
      <c r="AA244" s="20" t="str">
        <f t="shared" si="81"/>
        <v>Venetian window has slanted fins that allow ventilation and a little light to enter. They allow constant aeration.</v>
      </c>
    </row>
    <row r="245" spans="1:27" ht="6" customHeight="1" x14ac:dyDescent="0.4">
      <c r="A245" s="22">
        <v>245</v>
      </c>
      <c r="B245" s="1" t="s">
        <v>1604</v>
      </c>
      <c r="C245" s="1" t="s">
        <v>1383</v>
      </c>
      <c r="D245" s="1" t="s">
        <v>1401</v>
      </c>
      <c r="E245" s="1" t="s">
        <v>1006</v>
      </c>
      <c r="F245" s="1" t="s">
        <v>747</v>
      </c>
      <c r="G245" s="56" t="s">
        <v>9</v>
      </c>
      <c r="H245" s="54" t="s">
        <v>9</v>
      </c>
      <c r="I245" s="54" t="s">
        <v>9</v>
      </c>
      <c r="J245" s="56" t="s">
        <v>9</v>
      </c>
      <c r="K245" s="56" t="s">
        <v>9</v>
      </c>
      <c r="L245" s="25" t="str">
        <f t="shared" si="75"/>
        <v>Arquitetônico</v>
      </c>
      <c r="M245" s="25" t="str">
        <f t="shared" si="76"/>
        <v>Elementos.de.Esquadrias</v>
      </c>
      <c r="N245" s="25" t="str">
        <f t="shared" si="77"/>
        <v>Janelas</v>
      </c>
      <c r="O245" s="25" t="str">
        <f t="shared" si="77"/>
        <v>Janela Integral</v>
      </c>
      <c r="P245" s="20" t="s">
        <v>797</v>
      </c>
      <c r="Q245" s="33" t="s">
        <v>802</v>
      </c>
      <c r="R245" s="52" t="s">
        <v>9</v>
      </c>
      <c r="S245" s="26" t="str">
        <f t="shared" si="78"/>
        <v>Arquitetônico</v>
      </c>
      <c r="T245" s="26" t="str">
        <f t="shared" si="79"/>
        <v>Elementos de Esquadrias</v>
      </c>
      <c r="U245" s="26" t="str">
        <f t="shared" si="80"/>
        <v>Janelas</v>
      </c>
      <c r="V245" s="20" t="s">
        <v>85</v>
      </c>
      <c r="W245" s="71" t="str">
        <f t="shared" si="74"/>
        <v>Key-ARQ-245</v>
      </c>
      <c r="X245" s="20" t="s">
        <v>1535</v>
      </c>
      <c r="Y245" s="26" t="s">
        <v>1414</v>
      </c>
      <c r="Z245" s="52" t="s">
        <v>1368</v>
      </c>
      <c r="AA245" s="20" t="str">
        <f t="shared" si="81"/>
        <v>Integral Window type ventilation and lighting element.</v>
      </c>
    </row>
    <row r="246" spans="1:27" ht="6" customHeight="1" x14ac:dyDescent="0.4">
      <c r="A246" s="22">
        <v>246</v>
      </c>
      <c r="B246" s="1" t="s">
        <v>1604</v>
      </c>
      <c r="C246" s="1" t="s">
        <v>1383</v>
      </c>
      <c r="D246" s="1" t="s">
        <v>1401</v>
      </c>
      <c r="E246" s="1" t="s">
        <v>1007</v>
      </c>
      <c r="F246" s="1" t="s">
        <v>829</v>
      </c>
      <c r="G246" s="56" t="s">
        <v>9</v>
      </c>
      <c r="H246" s="54" t="s">
        <v>9</v>
      </c>
      <c r="I246" s="54" t="s">
        <v>9</v>
      </c>
      <c r="J246" s="56" t="s">
        <v>9</v>
      </c>
      <c r="K246" s="56" t="s">
        <v>9</v>
      </c>
      <c r="L246" s="25" t="str">
        <f t="shared" si="75"/>
        <v>Arquitetônico</v>
      </c>
      <c r="M246" s="25" t="str">
        <f t="shared" si="76"/>
        <v>Elementos.de.Esquadrias</v>
      </c>
      <c r="N246" s="25" t="str">
        <f t="shared" si="77"/>
        <v>Claraboias</v>
      </c>
      <c r="O246" s="25" t="str">
        <f t="shared" si="77"/>
        <v>Claraboia Cúpula</v>
      </c>
      <c r="P246" s="20" t="s">
        <v>831</v>
      </c>
      <c r="Q246" s="20" t="s">
        <v>834</v>
      </c>
      <c r="R246" s="52" t="s">
        <v>9</v>
      </c>
      <c r="S246" s="26" t="str">
        <f t="shared" si="78"/>
        <v>Arquitetônico</v>
      </c>
      <c r="T246" s="26" t="str">
        <f t="shared" si="79"/>
        <v>Elementos de Esquadrias</v>
      </c>
      <c r="U246" s="26" t="str">
        <f t="shared" si="80"/>
        <v>Claraboias</v>
      </c>
      <c r="V246" s="20" t="s">
        <v>85</v>
      </c>
      <c r="W246" s="71" t="str">
        <f t="shared" si="74"/>
        <v>Key-ARQ-246</v>
      </c>
      <c r="X246" s="20" t="s">
        <v>1485</v>
      </c>
      <c r="Y246" s="26" t="s">
        <v>1444</v>
      </c>
      <c r="Z246" s="52" t="s">
        <v>1368</v>
      </c>
      <c r="AA246" s="20" t="str">
        <f t="shared" si="81"/>
        <v>Ventilation and lighting element positioned on the dome-type roof.</v>
      </c>
    </row>
    <row r="247" spans="1:27" ht="6" customHeight="1" x14ac:dyDescent="0.4">
      <c r="A247" s="22">
        <v>247</v>
      </c>
      <c r="B247" s="1" t="s">
        <v>1604</v>
      </c>
      <c r="C247" s="1" t="s">
        <v>1383</v>
      </c>
      <c r="D247" s="1" t="s">
        <v>1401</v>
      </c>
      <c r="E247" s="1" t="s">
        <v>1007</v>
      </c>
      <c r="F247" s="1" t="s">
        <v>828</v>
      </c>
      <c r="G247" s="56" t="s">
        <v>9</v>
      </c>
      <c r="H247" s="54" t="s">
        <v>9</v>
      </c>
      <c r="I247" s="54" t="s">
        <v>9</v>
      </c>
      <c r="J247" s="56" t="s">
        <v>9</v>
      </c>
      <c r="K247" s="56" t="s">
        <v>9</v>
      </c>
      <c r="L247" s="25" t="str">
        <f t="shared" si="75"/>
        <v>Arquitetônico</v>
      </c>
      <c r="M247" s="25" t="str">
        <f t="shared" si="76"/>
        <v>Elementos.de.Esquadrias</v>
      </c>
      <c r="N247" s="25" t="str">
        <f t="shared" si="77"/>
        <v>Claraboias</v>
      </c>
      <c r="O247" s="25" t="str">
        <f t="shared" si="77"/>
        <v>Claraboia Tubular</v>
      </c>
      <c r="P247" s="20" t="s">
        <v>832</v>
      </c>
      <c r="Q247" s="20" t="s">
        <v>835</v>
      </c>
      <c r="R247" s="52" t="s">
        <v>9</v>
      </c>
      <c r="S247" s="26" t="str">
        <f t="shared" si="78"/>
        <v>Arquitetônico</v>
      </c>
      <c r="T247" s="26" t="str">
        <f t="shared" si="79"/>
        <v>Elementos de Esquadrias</v>
      </c>
      <c r="U247" s="26" t="str">
        <f t="shared" si="80"/>
        <v>Claraboias</v>
      </c>
      <c r="V247" s="20" t="s">
        <v>85</v>
      </c>
      <c r="W247" s="71" t="str">
        <f t="shared" si="74"/>
        <v>Key-ARQ-247</v>
      </c>
      <c r="X247" s="20" t="s">
        <v>1485</v>
      </c>
      <c r="Y247" s="26" t="s">
        <v>1445</v>
      </c>
      <c r="Z247" s="52" t="s">
        <v>1368</v>
      </c>
      <c r="AA247" s="20" t="str">
        <f t="shared" si="81"/>
        <v>Ventilation and lighting element positioned on the light tunnel roof.</v>
      </c>
    </row>
    <row r="248" spans="1:27" ht="6" customHeight="1" x14ac:dyDescent="0.4">
      <c r="A248" s="22">
        <v>248</v>
      </c>
      <c r="B248" s="1" t="s">
        <v>1604</v>
      </c>
      <c r="C248" s="1" t="s">
        <v>1383</v>
      </c>
      <c r="D248" s="1" t="s">
        <v>1401</v>
      </c>
      <c r="E248" s="1" t="s">
        <v>1007</v>
      </c>
      <c r="F248" s="1" t="s">
        <v>830</v>
      </c>
      <c r="G248" s="56" t="s">
        <v>9</v>
      </c>
      <c r="H248" s="54" t="s">
        <v>9</v>
      </c>
      <c r="I248" s="54" t="s">
        <v>9</v>
      </c>
      <c r="J248" s="56" t="s">
        <v>9</v>
      </c>
      <c r="K248" s="56" t="s">
        <v>9</v>
      </c>
      <c r="L248" s="25" t="str">
        <f t="shared" si="75"/>
        <v>Arquitetônico</v>
      </c>
      <c r="M248" s="25" t="str">
        <f t="shared" si="76"/>
        <v>Elementos.de.Esquadrias</v>
      </c>
      <c r="N248" s="25" t="str">
        <f t="shared" si="77"/>
        <v>Claraboias</v>
      </c>
      <c r="O248" s="25" t="str">
        <f t="shared" si="77"/>
        <v>Claraboia Piramidal</v>
      </c>
      <c r="P248" s="20" t="s">
        <v>833</v>
      </c>
      <c r="Q248" s="20" t="s">
        <v>836</v>
      </c>
      <c r="R248" s="52" t="s">
        <v>9</v>
      </c>
      <c r="S248" s="26" t="str">
        <f t="shared" si="78"/>
        <v>Arquitetônico</v>
      </c>
      <c r="T248" s="26" t="str">
        <f t="shared" si="79"/>
        <v>Elementos de Esquadrias</v>
      </c>
      <c r="U248" s="26" t="str">
        <f t="shared" si="80"/>
        <v>Claraboias</v>
      </c>
      <c r="V248" s="20" t="s">
        <v>85</v>
      </c>
      <c r="W248" s="71" t="str">
        <f t="shared" si="74"/>
        <v>Key-ARQ-248</v>
      </c>
      <c r="X248" s="20" t="s">
        <v>1485</v>
      </c>
      <c r="Y248" s="26" t="s">
        <v>1445</v>
      </c>
      <c r="Z248" s="52" t="s">
        <v>1368</v>
      </c>
      <c r="AA248" s="20" t="str">
        <f t="shared" si="81"/>
        <v>Ventilation and lighting element positioned on the pyramid-type roof.</v>
      </c>
    </row>
    <row r="249" spans="1:27" ht="6" customHeight="1" x14ac:dyDescent="0.4">
      <c r="A249" s="22">
        <v>249</v>
      </c>
      <c r="B249" s="1" t="s">
        <v>1604</v>
      </c>
      <c r="C249" s="1" t="s">
        <v>1383</v>
      </c>
      <c r="D249" s="1" t="s">
        <v>1401</v>
      </c>
      <c r="E249" s="1" t="s">
        <v>1008</v>
      </c>
      <c r="F249" s="1" t="s">
        <v>746</v>
      </c>
      <c r="G249" s="56" t="s">
        <v>9</v>
      </c>
      <c r="H249" s="54" t="s">
        <v>9</v>
      </c>
      <c r="I249" s="54" t="s">
        <v>9</v>
      </c>
      <c r="J249" s="56" t="s">
        <v>9</v>
      </c>
      <c r="K249" s="56" t="s">
        <v>9</v>
      </c>
      <c r="L249" s="25" t="str">
        <f t="shared" si="75"/>
        <v>Arquitetônico</v>
      </c>
      <c r="M249" s="25" t="str">
        <f t="shared" si="76"/>
        <v>Elementos.de.Esquadrias</v>
      </c>
      <c r="N249" s="25" t="str">
        <f t="shared" si="77"/>
        <v>Grelhas</v>
      </c>
      <c r="O249" s="25" t="str">
        <f t="shared" si="77"/>
        <v>Grelha Fixa</v>
      </c>
      <c r="P249" s="20" t="s">
        <v>809</v>
      </c>
      <c r="Q249" s="33" t="s">
        <v>803</v>
      </c>
      <c r="R249" s="52" t="s">
        <v>9</v>
      </c>
      <c r="S249" s="26" t="str">
        <f t="shared" si="78"/>
        <v>Arquitetônico</v>
      </c>
      <c r="T249" s="26" t="str">
        <f t="shared" si="79"/>
        <v>Elementos de Esquadrias</v>
      </c>
      <c r="U249" s="26" t="str">
        <f t="shared" si="80"/>
        <v>Grelhas</v>
      </c>
      <c r="V249" s="20" t="s">
        <v>85</v>
      </c>
      <c r="W249" s="71" t="str">
        <f t="shared" si="74"/>
        <v>Key-ARQ-249</v>
      </c>
      <c r="X249" s="20" t="s">
        <v>1485</v>
      </c>
      <c r="Y249" s="26" t="s">
        <v>1414</v>
      </c>
      <c r="Z249" s="52" t="s">
        <v>1368</v>
      </c>
      <c r="AA249" s="20" t="str">
        <f t="shared" si="81"/>
        <v>Complementary door element: Fixed grille.</v>
      </c>
    </row>
    <row r="250" spans="1:27" ht="6" customHeight="1" x14ac:dyDescent="0.4">
      <c r="A250" s="22">
        <v>250</v>
      </c>
      <c r="B250" s="1" t="s">
        <v>1604</v>
      </c>
      <c r="C250" s="1" t="s">
        <v>1383</v>
      </c>
      <c r="D250" s="1" t="s">
        <v>1401</v>
      </c>
      <c r="E250" s="1" t="s">
        <v>1008</v>
      </c>
      <c r="F250" s="1" t="s">
        <v>748</v>
      </c>
      <c r="G250" s="56" t="s">
        <v>9</v>
      </c>
      <c r="H250" s="54" t="s">
        <v>9</v>
      </c>
      <c r="I250" s="54" t="s">
        <v>9</v>
      </c>
      <c r="J250" s="56" t="s">
        <v>9</v>
      </c>
      <c r="K250" s="56" t="s">
        <v>9</v>
      </c>
      <c r="L250" s="25" t="str">
        <f t="shared" si="75"/>
        <v>Arquitetônico</v>
      </c>
      <c r="M250" s="25" t="str">
        <f t="shared" si="76"/>
        <v>Elementos.de.Esquadrias</v>
      </c>
      <c r="N250" s="25" t="str">
        <f t="shared" si="77"/>
        <v>Grelhas</v>
      </c>
      <c r="O250" s="25" t="str">
        <f t="shared" si="77"/>
        <v>Grelha Removível</v>
      </c>
      <c r="P250" s="20" t="s">
        <v>810</v>
      </c>
      <c r="Q250" s="33" t="s">
        <v>804</v>
      </c>
      <c r="R250" s="52" t="s">
        <v>9</v>
      </c>
      <c r="S250" s="26" t="str">
        <f t="shared" si="78"/>
        <v>Arquitetônico</v>
      </c>
      <c r="T250" s="26" t="str">
        <f t="shared" si="79"/>
        <v>Elementos de Esquadrias</v>
      </c>
      <c r="U250" s="26" t="str">
        <f t="shared" si="80"/>
        <v>Grelhas</v>
      </c>
      <c r="V250" s="20" t="s">
        <v>85</v>
      </c>
      <c r="W250" s="71" t="str">
        <f t="shared" si="74"/>
        <v>Key-ARQ-250</v>
      </c>
      <c r="X250" s="20" t="s">
        <v>1485</v>
      </c>
      <c r="Y250" s="26" t="s">
        <v>1414</v>
      </c>
      <c r="Z250" s="52" t="s">
        <v>1368</v>
      </c>
      <c r="AA250" s="20" t="str">
        <f t="shared" si="81"/>
        <v>Complementary door element: Removable grille.</v>
      </c>
    </row>
    <row r="251" spans="1:27" ht="6" customHeight="1" x14ac:dyDescent="0.4">
      <c r="A251" s="22">
        <v>251</v>
      </c>
      <c r="B251" s="1" t="s">
        <v>1604</v>
      </c>
      <c r="C251" s="1" t="s">
        <v>1383</v>
      </c>
      <c r="D251" s="1" t="s">
        <v>1401</v>
      </c>
      <c r="E251" s="1" t="s">
        <v>1009</v>
      </c>
      <c r="F251" s="1" t="s">
        <v>745</v>
      </c>
      <c r="G251" s="56" t="s">
        <v>9</v>
      </c>
      <c r="H251" s="54" t="s">
        <v>9</v>
      </c>
      <c r="I251" s="54" t="s">
        <v>9</v>
      </c>
      <c r="J251" s="56" t="s">
        <v>9</v>
      </c>
      <c r="K251" s="56" t="s">
        <v>9</v>
      </c>
      <c r="L251" s="25" t="str">
        <f t="shared" si="75"/>
        <v>Arquitetônico</v>
      </c>
      <c r="M251" s="25" t="str">
        <f t="shared" si="76"/>
        <v>Elementos.de.Esquadrias</v>
      </c>
      <c r="N251" s="25" t="str">
        <f t="shared" si="77"/>
        <v>Visores</v>
      </c>
      <c r="O251" s="25" t="str">
        <f t="shared" si="77"/>
        <v>Visor Fixo</v>
      </c>
      <c r="P251" s="20" t="s">
        <v>811</v>
      </c>
      <c r="Q251" s="33" t="s">
        <v>805</v>
      </c>
      <c r="R251" s="52" t="s">
        <v>9</v>
      </c>
      <c r="S251" s="26" t="str">
        <f t="shared" si="78"/>
        <v>Arquitetônico</v>
      </c>
      <c r="T251" s="26" t="str">
        <f t="shared" si="79"/>
        <v>Elementos de Esquadrias</v>
      </c>
      <c r="U251" s="26" t="str">
        <f t="shared" si="80"/>
        <v>Visores</v>
      </c>
      <c r="V251" s="20" t="s">
        <v>85</v>
      </c>
      <c r="W251" s="71" t="str">
        <f t="shared" si="74"/>
        <v>Key-ARQ-251</v>
      </c>
      <c r="X251" s="20" t="s">
        <v>1485</v>
      </c>
      <c r="Y251" s="26" t="s">
        <v>1414</v>
      </c>
      <c r="Z251" s="52" t="s">
        <v>1368</v>
      </c>
      <c r="AA251" s="20" t="str">
        <f t="shared" si="81"/>
        <v>Complementary door element: Fixed display.</v>
      </c>
    </row>
    <row r="252" spans="1:27" ht="6" customHeight="1" x14ac:dyDescent="0.4">
      <c r="A252" s="22">
        <v>252</v>
      </c>
      <c r="B252" s="1" t="s">
        <v>1604</v>
      </c>
      <c r="C252" s="1" t="s">
        <v>1383</v>
      </c>
      <c r="D252" s="1" t="s">
        <v>1401</v>
      </c>
      <c r="E252" s="1" t="s">
        <v>1009</v>
      </c>
      <c r="F252" s="1" t="s">
        <v>756</v>
      </c>
      <c r="G252" s="56" t="s">
        <v>9</v>
      </c>
      <c r="H252" s="54" t="s">
        <v>9</v>
      </c>
      <c r="I252" s="54" t="s">
        <v>9</v>
      </c>
      <c r="J252" s="56" t="s">
        <v>9</v>
      </c>
      <c r="K252" s="56" t="s">
        <v>9</v>
      </c>
      <c r="L252" s="25" t="str">
        <f t="shared" si="75"/>
        <v>Arquitetônico</v>
      </c>
      <c r="M252" s="25" t="str">
        <f t="shared" si="76"/>
        <v>Elementos.de.Esquadrias</v>
      </c>
      <c r="N252" s="25" t="str">
        <f t="shared" si="77"/>
        <v>Visores</v>
      </c>
      <c r="O252" s="25" t="str">
        <f t="shared" si="77"/>
        <v>Visor Basculante</v>
      </c>
      <c r="P252" s="20" t="s">
        <v>812</v>
      </c>
      <c r="Q252" s="33" t="s">
        <v>806</v>
      </c>
      <c r="R252" s="52" t="s">
        <v>9</v>
      </c>
      <c r="S252" s="26" t="str">
        <f t="shared" si="78"/>
        <v>Arquitetônico</v>
      </c>
      <c r="T252" s="26" t="str">
        <f t="shared" si="79"/>
        <v>Elementos de Esquadrias</v>
      </c>
      <c r="U252" s="26" t="str">
        <f t="shared" si="80"/>
        <v>Visores</v>
      </c>
      <c r="V252" s="20" t="s">
        <v>85</v>
      </c>
      <c r="W252" s="71" t="str">
        <f t="shared" si="74"/>
        <v>Key-ARQ-252</v>
      </c>
      <c r="X252" s="20" t="s">
        <v>1485</v>
      </c>
      <c r="Y252" s="26" t="s">
        <v>1414</v>
      </c>
      <c r="Z252" s="52" t="s">
        <v>1368</v>
      </c>
      <c r="AA252" s="20" t="str">
        <f t="shared" si="81"/>
        <v>Complementary door element: Tilting display.</v>
      </c>
    </row>
    <row r="253" spans="1:27" ht="6" customHeight="1" x14ac:dyDescent="0.4">
      <c r="A253" s="22">
        <v>253</v>
      </c>
      <c r="B253" s="1" t="s">
        <v>1604</v>
      </c>
      <c r="C253" s="1" t="s">
        <v>1383</v>
      </c>
      <c r="D253" s="1" t="s">
        <v>1401</v>
      </c>
      <c r="E253" s="1" t="s">
        <v>1009</v>
      </c>
      <c r="F253" s="1" t="s">
        <v>755</v>
      </c>
      <c r="G253" s="56" t="s">
        <v>9</v>
      </c>
      <c r="H253" s="54" t="s">
        <v>9</v>
      </c>
      <c r="I253" s="54" t="s">
        <v>9</v>
      </c>
      <c r="J253" s="56" t="s">
        <v>9</v>
      </c>
      <c r="K253" s="56" t="s">
        <v>9</v>
      </c>
      <c r="L253" s="25" t="str">
        <f t="shared" si="75"/>
        <v>Arquitetônico</v>
      </c>
      <c r="M253" s="25" t="str">
        <f t="shared" si="76"/>
        <v>Elementos.de.Esquadrias</v>
      </c>
      <c r="N253" s="25" t="str">
        <f t="shared" si="77"/>
        <v>Visores</v>
      </c>
      <c r="O253" s="25" t="str">
        <f t="shared" si="77"/>
        <v>Visor Deslizante</v>
      </c>
      <c r="P253" s="20" t="s">
        <v>813</v>
      </c>
      <c r="Q253" s="33" t="s">
        <v>807</v>
      </c>
      <c r="R253" s="52" t="s">
        <v>9</v>
      </c>
      <c r="S253" s="26" t="str">
        <f t="shared" si="78"/>
        <v>Arquitetônico</v>
      </c>
      <c r="T253" s="26" t="str">
        <f t="shared" si="79"/>
        <v>Elementos de Esquadrias</v>
      </c>
      <c r="U253" s="26" t="str">
        <f t="shared" si="80"/>
        <v>Visores</v>
      </c>
      <c r="V253" s="20" t="s">
        <v>85</v>
      </c>
      <c r="W253" s="71" t="str">
        <f t="shared" si="74"/>
        <v>Key-ARQ-253</v>
      </c>
      <c r="X253" s="20" t="s">
        <v>1485</v>
      </c>
      <c r="Y253" s="26" t="s">
        <v>1414</v>
      </c>
      <c r="Z253" s="52" t="s">
        <v>1368</v>
      </c>
      <c r="AA253" s="20" t="str">
        <f t="shared" si="81"/>
        <v>Complementary door element: Sliding display.</v>
      </c>
    </row>
    <row r="254" spans="1:27" ht="6" customHeight="1" x14ac:dyDescent="0.4">
      <c r="A254" s="22">
        <v>254</v>
      </c>
      <c r="B254" s="1" t="s">
        <v>1604</v>
      </c>
      <c r="C254" s="1" t="s">
        <v>1383</v>
      </c>
      <c r="D254" s="1" t="s">
        <v>1401</v>
      </c>
      <c r="E254" s="1" t="s">
        <v>1009</v>
      </c>
      <c r="F254" s="1" t="s">
        <v>754</v>
      </c>
      <c r="G254" s="56" t="s">
        <v>9</v>
      </c>
      <c r="H254" s="54" t="s">
        <v>9</v>
      </c>
      <c r="I254" s="54" t="s">
        <v>9</v>
      </c>
      <c r="J254" s="56" t="s">
        <v>9</v>
      </c>
      <c r="K254" s="56" t="s">
        <v>9</v>
      </c>
      <c r="L254" s="25" t="str">
        <f t="shared" si="75"/>
        <v>Arquitetônico</v>
      </c>
      <c r="M254" s="25" t="str">
        <f t="shared" si="76"/>
        <v>Elementos.de.Esquadrias</v>
      </c>
      <c r="N254" s="25" t="str">
        <f t="shared" si="77"/>
        <v>Visores</v>
      </c>
      <c r="O254" s="25" t="str">
        <f t="shared" si="77"/>
        <v>Visor Blindado</v>
      </c>
      <c r="P254" s="20" t="s">
        <v>814</v>
      </c>
      <c r="Q254" s="33" t="s">
        <v>808</v>
      </c>
      <c r="R254" s="52" t="s">
        <v>9</v>
      </c>
      <c r="S254" s="26" t="str">
        <f t="shared" si="78"/>
        <v>Arquitetônico</v>
      </c>
      <c r="T254" s="26" t="str">
        <f t="shared" si="79"/>
        <v>Elementos de Esquadrias</v>
      </c>
      <c r="U254" s="26" t="str">
        <f t="shared" si="80"/>
        <v>Visores</v>
      </c>
      <c r="V254" s="20" t="s">
        <v>85</v>
      </c>
      <c r="W254" s="71" t="str">
        <f t="shared" si="74"/>
        <v>Key-ARQ-254</v>
      </c>
      <c r="X254" s="20" t="s">
        <v>1485</v>
      </c>
      <c r="Y254" s="26" t="s">
        <v>1414</v>
      </c>
      <c r="Z254" s="52" t="s">
        <v>1368</v>
      </c>
      <c r="AA254" s="20" t="str">
        <f t="shared" ref="AA254:AA284" si="90">_xlfn.TRANSLATE(P254,"pt","en")</f>
        <v>Complementary door element: Shielded sight glass for armored door.</v>
      </c>
    </row>
    <row r="255" spans="1:27" ht="6" customHeight="1" x14ac:dyDescent="0.4">
      <c r="A255" s="22">
        <v>255</v>
      </c>
      <c r="B255" s="1" t="s">
        <v>1604</v>
      </c>
      <c r="C255" s="1" t="s">
        <v>1383</v>
      </c>
      <c r="D255" s="1" t="s">
        <v>1401</v>
      </c>
      <c r="E255" s="1" t="s">
        <v>1010</v>
      </c>
      <c r="F255" s="1" t="s">
        <v>1593</v>
      </c>
      <c r="G255" s="56" t="s">
        <v>9</v>
      </c>
      <c r="H255" s="54" t="s">
        <v>9</v>
      </c>
      <c r="I255" s="54" t="s">
        <v>9</v>
      </c>
      <c r="J255" s="56" t="s">
        <v>9</v>
      </c>
      <c r="K255" s="56" t="s">
        <v>9</v>
      </c>
      <c r="L255" s="25" t="str">
        <f t="shared" si="75"/>
        <v>Arquitetônico</v>
      </c>
      <c r="M255" s="25" t="str">
        <f t="shared" si="76"/>
        <v>Elementos.de.Esquadrias</v>
      </c>
      <c r="N255" s="25" t="str">
        <f t="shared" si="77"/>
        <v>Portas</v>
      </c>
      <c r="O255" s="25" t="str">
        <f t="shared" si="77"/>
        <v>Porta Abertura</v>
      </c>
      <c r="P255" s="20" t="s">
        <v>1105</v>
      </c>
      <c r="Q255" s="20" t="s">
        <v>1106</v>
      </c>
      <c r="R255" s="52" t="s">
        <v>9</v>
      </c>
      <c r="S255" s="26" t="str">
        <f t="shared" si="78"/>
        <v>Arquitetônico</v>
      </c>
      <c r="T255" s="26" t="str">
        <f t="shared" si="79"/>
        <v>Elementos de Esquadrias</v>
      </c>
      <c r="U255" s="26" t="str">
        <f t="shared" si="80"/>
        <v>Portas</v>
      </c>
      <c r="V255" s="20" t="s">
        <v>85</v>
      </c>
      <c r="W255" s="71" t="str">
        <f t="shared" si="74"/>
        <v>Key-ARQ-255</v>
      </c>
      <c r="X255" s="20" t="s">
        <v>1484</v>
      </c>
      <c r="Y255" s="26" t="s">
        <v>1413</v>
      </c>
      <c r="Z255" s="52" t="s">
        <v>1368</v>
      </c>
      <c r="AA255" s="20" t="str">
        <f t="shared" si="90"/>
        <v>Portal type opening without door, a door family can be created without leaf and frame elements.</v>
      </c>
    </row>
    <row r="256" spans="1:27" ht="6" customHeight="1" x14ac:dyDescent="0.4">
      <c r="A256" s="22">
        <v>256</v>
      </c>
      <c r="B256" s="1" t="s">
        <v>1604</v>
      </c>
      <c r="C256" s="1" t="s">
        <v>1383</v>
      </c>
      <c r="D256" s="1" t="s">
        <v>1401</v>
      </c>
      <c r="E256" s="1" t="s">
        <v>1010</v>
      </c>
      <c r="F256" s="1" t="s">
        <v>735</v>
      </c>
      <c r="G256" s="56" t="s">
        <v>9</v>
      </c>
      <c r="H256" s="54" t="s">
        <v>9</v>
      </c>
      <c r="I256" s="54" t="s">
        <v>9</v>
      </c>
      <c r="J256" s="56" t="s">
        <v>9</v>
      </c>
      <c r="K256" s="56" t="s">
        <v>9</v>
      </c>
      <c r="L256" s="25" t="str">
        <f t="shared" si="75"/>
        <v>Arquitetônico</v>
      </c>
      <c r="M256" s="25" t="str">
        <f t="shared" si="76"/>
        <v>Elementos.de.Esquadrias</v>
      </c>
      <c r="N256" s="25" t="str">
        <f t="shared" si="77"/>
        <v>Portas</v>
      </c>
      <c r="O256" s="25" t="str">
        <f t="shared" si="77"/>
        <v>Porta Simples</v>
      </c>
      <c r="P256" s="20" t="s">
        <v>759</v>
      </c>
      <c r="Q256" s="33" t="s">
        <v>770</v>
      </c>
      <c r="R256" s="52" t="s">
        <v>9</v>
      </c>
      <c r="S256" s="26" t="str">
        <f t="shared" si="78"/>
        <v>Arquitetônico</v>
      </c>
      <c r="T256" s="26" t="str">
        <f t="shared" si="79"/>
        <v>Elementos de Esquadrias</v>
      </c>
      <c r="U256" s="26" t="str">
        <f t="shared" si="80"/>
        <v>Portas</v>
      </c>
      <c r="V256" s="20" t="s">
        <v>85</v>
      </c>
      <c r="W256" s="71" t="str">
        <f t="shared" si="74"/>
        <v>Key-ARQ-256</v>
      </c>
      <c r="X256" s="20" t="s">
        <v>1484</v>
      </c>
      <c r="Y256" s="26" t="s">
        <v>1413</v>
      </c>
      <c r="Z256" s="52" t="s">
        <v>1368</v>
      </c>
      <c r="AA256" s="20" t="str">
        <f t="shared" si="90"/>
        <v>Simple door.</v>
      </c>
    </row>
    <row r="257" spans="1:27" ht="6" customHeight="1" x14ac:dyDescent="0.4">
      <c r="A257" s="22">
        <v>257</v>
      </c>
      <c r="B257" s="1" t="s">
        <v>1604</v>
      </c>
      <c r="C257" s="1" t="s">
        <v>1383</v>
      </c>
      <c r="D257" s="1" t="s">
        <v>1401</v>
      </c>
      <c r="E257" s="1" t="s">
        <v>1010</v>
      </c>
      <c r="F257" s="1" t="s">
        <v>736</v>
      </c>
      <c r="G257" s="56" t="s">
        <v>9</v>
      </c>
      <c r="H257" s="54" t="s">
        <v>9</v>
      </c>
      <c r="I257" s="54" t="s">
        <v>9</v>
      </c>
      <c r="J257" s="56" t="s">
        <v>9</v>
      </c>
      <c r="K257" s="56" t="s">
        <v>9</v>
      </c>
      <c r="L257" s="25" t="str">
        <f t="shared" si="75"/>
        <v>Arquitetônico</v>
      </c>
      <c r="M257" s="25" t="str">
        <f t="shared" si="76"/>
        <v>Elementos.de.Esquadrias</v>
      </c>
      <c r="N257" s="25" t="str">
        <f t="shared" si="77"/>
        <v>Portas</v>
      </c>
      <c r="O257" s="25" t="str">
        <f t="shared" si="77"/>
        <v>Porta Dupla</v>
      </c>
      <c r="P257" s="20" t="s">
        <v>778</v>
      </c>
      <c r="Q257" s="33" t="s">
        <v>792</v>
      </c>
      <c r="R257" s="52" t="s">
        <v>9</v>
      </c>
      <c r="S257" s="26" t="str">
        <f t="shared" si="78"/>
        <v>Arquitetônico</v>
      </c>
      <c r="T257" s="26" t="str">
        <f t="shared" si="79"/>
        <v>Elementos de Esquadrias</v>
      </c>
      <c r="U257" s="26" t="str">
        <f t="shared" si="80"/>
        <v>Portas</v>
      </c>
      <c r="V257" s="20" t="s">
        <v>85</v>
      </c>
      <c r="W257" s="71" t="str">
        <f t="shared" si="74"/>
        <v>Key-ARQ-257</v>
      </c>
      <c r="X257" s="20" t="s">
        <v>1484</v>
      </c>
      <c r="Y257" s="26" t="s">
        <v>1413</v>
      </c>
      <c r="Z257" s="52" t="s">
        <v>1368</v>
      </c>
      <c r="AA257" s="20" t="str">
        <f t="shared" si="90"/>
        <v>Double door. Always with the leaves of the same size.</v>
      </c>
    </row>
    <row r="258" spans="1:27" ht="6" customHeight="1" x14ac:dyDescent="0.4">
      <c r="A258" s="22">
        <v>258</v>
      </c>
      <c r="B258" s="1" t="s">
        <v>1604</v>
      </c>
      <c r="C258" s="1" t="s">
        <v>1383</v>
      </c>
      <c r="D258" s="1" t="s">
        <v>1401</v>
      </c>
      <c r="E258" s="1" t="s">
        <v>1010</v>
      </c>
      <c r="F258" s="1" t="s">
        <v>740</v>
      </c>
      <c r="G258" s="56" t="s">
        <v>9</v>
      </c>
      <c r="H258" s="54" t="s">
        <v>9</v>
      </c>
      <c r="I258" s="54" t="s">
        <v>9</v>
      </c>
      <c r="J258" s="56" t="s">
        <v>9</v>
      </c>
      <c r="K258" s="56" t="s">
        <v>9</v>
      </c>
      <c r="L258" s="25" t="str">
        <f t="shared" si="75"/>
        <v>Arquitetônico</v>
      </c>
      <c r="M258" s="25" t="str">
        <f t="shared" si="76"/>
        <v>Elementos.de.Esquadrias</v>
      </c>
      <c r="N258" s="25" t="str">
        <f t="shared" si="77"/>
        <v>Portas</v>
      </c>
      <c r="O258" s="25" t="str">
        <f t="shared" si="77"/>
        <v>Porta Assimétrica</v>
      </c>
      <c r="P258" s="20" t="s">
        <v>790</v>
      </c>
      <c r="Q258" s="33" t="s">
        <v>791</v>
      </c>
      <c r="R258" s="52" t="s">
        <v>9</v>
      </c>
      <c r="S258" s="26" t="str">
        <f t="shared" si="78"/>
        <v>Arquitetônico</v>
      </c>
      <c r="T258" s="26" t="str">
        <f t="shared" si="79"/>
        <v>Elementos de Esquadrias</v>
      </c>
      <c r="U258" s="26" t="str">
        <f t="shared" si="80"/>
        <v>Portas</v>
      </c>
      <c r="V258" s="20" t="s">
        <v>85</v>
      </c>
      <c r="W258" s="71" t="str">
        <f t="shared" si="74"/>
        <v>Key-ARQ-258</v>
      </c>
      <c r="X258" s="20" t="s">
        <v>1484</v>
      </c>
      <c r="Y258" s="26" t="s">
        <v>1413</v>
      </c>
      <c r="Z258" s="52" t="s">
        <v>1368</v>
      </c>
      <c r="AA258" s="20" t="str">
        <f t="shared" si="90"/>
        <v>Asymmetrical double door. For example, a 40 cm sheet and an 80 cm sheet.</v>
      </c>
    </row>
    <row r="259" spans="1:27" ht="6" customHeight="1" x14ac:dyDescent="0.4">
      <c r="A259" s="22">
        <v>259</v>
      </c>
      <c r="B259" s="1" t="s">
        <v>1604</v>
      </c>
      <c r="C259" s="1" t="s">
        <v>1383</v>
      </c>
      <c r="D259" s="1" t="s">
        <v>1401</v>
      </c>
      <c r="E259" s="1" t="s">
        <v>1010</v>
      </c>
      <c r="F259" s="1" t="s">
        <v>739</v>
      </c>
      <c r="G259" s="56" t="s">
        <v>9</v>
      </c>
      <c r="H259" s="54" t="s">
        <v>9</v>
      </c>
      <c r="I259" s="54" t="s">
        <v>9</v>
      </c>
      <c r="J259" s="56" t="s">
        <v>9</v>
      </c>
      <c r="K259" s="56" t="s">
        <v>9</v>
      </c>
      <c r="L259" s="25" t="str">
        <f t="shared" si="75"/>
        <v>Arquitetônico</v>
      </c>
      <c r="M259" s="25" t="str">
        <f t="shared" si="76"/>
        <v>Elementos.de.Esquadrias</v>
      </c>
      <c r="N259" s="25" t="str">
        <f t="shared" si="77"/>
        <v>Portas</v>
      </c>
      <c r="O259" s="25" t="str">
        <f t="shared" si="77"/>
        <v>Porta Corta Fogo</v>
      </c>
      <c r="P259" s="20" t="s">
        <v>779</v>
      </c>
      <c r="Q259" s="33" t="s">
        <v>793</v>
      </c>
      <c r="R259" s="52" t="s">
        <v>9</v>
      </c>
      <c r="S259" s="26" t="str">
        <f t="shared" si="78"/>
        <v>Arquitetônico</v>
      </c>
      <c r="T259" s="26" t="str">
        <f t="shared" si="79"/>
        <v>Elementos de Esquadrias</v>
      </c>
      <c r="U259" s="26" t="str">
        <f t="shared" si="80"/>
        <v>Portas</v>
      </c>
      <c r="V259" s="20" t="s">
        <v>85</v>
      </c>
      <c r="W259" s="71" t="str">
        <f t="shared" ref="W259:W322" si="91">CONCATENATE("Key-ARQ-",A259)</f>
        <v>Key-ARQ-259</v>
      </c>
      <c r="X259" s="20" t="s">
        <v>1484</v>
      </c>
      <c r="Y259" s="26" t="s">
        <v>1413</v>
      </c>
      <c r="Z259" s="52" t="s">
        <v>1368</v>
      </c>
      <c r="AA259" s="20" t="str">
        <f t="shared" si="90"/>
        <v>Fire door. Used in vertical exhaust circulations.</v>
      </c>
    </row>
    <row r="260" spans="1:27" ht="6" customHeight="1" x14ac:dyDescent="0.4">
      <c r="A260" s="22">
        <v>260</v>
      </c>
      <c r="B260" s="1" t="s">
        <v>1604</v>
      </c>
      <c r="C260" s="1" t="s">
        <v>1383</v>
      </c>
      <c r="D260" s="1" t="s">
        <v>1401</v>
      </c>
      <c r="E260" s="1" t="s">
        <v>1010</v>
      </c>
      <c r="F260" s="1" t="s">
        <v>859</v>
      </c>
      <c r="G260" s="56" t="s">
        <v>9</v>
      </c>
      <c r="H260" s="54" t="s">
        <v>9</v>
      </c>
      <c r="I260" s="54" t="s">
        <v>9</v>
      </c>
      <c r="J260" s="56" t="s">
        <v>9</v>
      </c>
      <c r="K260" s="56" t="s">
        <v>9</v>
      </c>
      <c r="L260" s="25" t="str">
        <f t="shared" si="75"/>
        <v>Arquitetônico</v>
      </c>
      <c r="M260" s="25" t="str">
        <f t="shared" si="76"/>
        <v>Elementos.de.Esquadrias</v>
      </c>
      <c r="N260" s="25" t="str">
        <f t="shared" si="77"/>
        <v>Portas</v>
      </c>
      <c r="O260" s="25" t="str">
        <f t="shared" si="77"/>
        <v>Porta Veneziana</v>
      </c>
      <c r="P260" s="20" t="s">
        <v>861</v>
      </c>
      <c r="Q260" s="33" t="s">
        <v>860</v>
      </c>
      <c r="R260" s="52" t="s">
        <v>9</v>
      </c>
      <c r="S260" s="26" t="str">
        <f t="shared" si="78"/>
        <v>Arquitetônico</v>
      </c>
      <c r="T260" s="26" t="str">
        <f t="shared" si="79"/>
        <v>Elementos de Esquadrias</v>
      </c>
      <c r="U260" s="26" t="str">
        <f t="shared" si="80"/>
        <v>Portas</v>
      </c>
      <c r="V260" s="20" t="s">
        <v>85</v>
      </c>
      <c r="W260" s="71" t="str">
        <f t="shared" si="91"/>
        <v>Key-ARQ-260</v>
      </c>
      <c r="X260" s="20" t="s">
        <v>1484</v>
      </c>
      <c r="Y260" s="26" t="s">
        <v>1413</v>
      </c>
      <c r="Z260" s="52" t="s">
        <v>1368</v>
      </c>
      <c r="AA260" s="20" t="str">
        <f t="shared" si="90"/>
        <v>Venetian door has inclined fins that allow ventilation and a little light to enter. They allow constant aeration.</v>
      </c>
    </row>
    <row r="261" spans="1:27" ht="6" customHeight="1" x14ac:dyDescent="0.4">
      <c r="A261" s="22">
        <v>261</v>
      </c>
      <c r="B261" s="1" t="s">
        <v>1604</v>
      </c>
      <c r="C261" s="1" t="s">
        <v>1383</v>
      </c>
      <c r="D261" s="1" t="s">
        <v>1401</v>
      </c>
      <c r="E261" s="1" t="s">
        <v>1010</v>
      </c>
      <c r="F261" s="1" t="s">
        <v>768</v>
      </c>
      <c r="G261" s="56" t="s">
        <v>9</v>
      </c>
      <c r="H261" s="54" t="s">
        <v>9</v>
      </c>
      <c r="I261" s="54" t="s">
        <v>9</v>
      </c>
      <c r="J261" s="56" t="s">
        <v>9</v>
      </c>
      <c r="K261" s="56" t="s">
        <v>9</v>
      </c>
      <c r="L261" s="25" t="str">
        <f t="shared" si="75"/>
        <v>Arquitetônico</v>
      </c>
      <c r="M261" s="25" t="str">
        <f t="shared" si="76"/>
        <v>Elementos.de.Esquadrias</v>
      </c>
      <c r="N261" s="25" t="str">
        <f t="shared" si="77"/>
        <v>Portas</v>
      </c>
      <c r="O261" s="25" t="str">
        <f t="shared" si="77"/>
        <v>Porta Corrediça</v>
      </c>
      <c r="P261" s="20" t="s">
        <v>777</v>
      </c>
      <c r="Q261" s="33" t="s">
        <v>789</v>
      </c>
      <c r="R261" s="52" t="s">
        <v>9</v>
      </c>
      <c r="S261" s="26" t="str">
        <f t="shared" si="78"/>
        <v>Arquitetônico</v>
      </c>
      <c r="T261" s="26" t="str">
        <f t="shared" si="79"/>
        <v>Elementos de Esquadrias</v>
      </c>
      <c r="U261" s="26" t="str">
        <f t="shared" si="80"/>
        <v>Portas</v>
      </c>
      <c r="V261" s="20" t="s">
        <v>85</v>
      </c>
      <c r="W261" s="71" t="str">
        <f t="shared" si="91"/>
        <v>Key-ARQ-261</v>
      </c>
      <c r="X261" s="20" t="s">
        <v>1484</v>
      </c>
      <c r="Y261" s="26" t="s">
        <v>1413</v>
      </c>
      <c r="Z261" s="52" t="s">
        <v>1368</v>
      </c>
      <c r="AA261" s="20" t="str">
        <f t="shared" si="90"/>
        <v>Sliding door.</v>
      </c>
    </row>
    <row r="262" spans="1:27" ht="6" customHeight="1" x14ac:dyDescent="0.4">
      <c r="A262" s="22">
        <v>262</v>
      </c>
      <c r="B262" s="1" t="s">
        <v>1604</v>
      </c>
      <c r="C262" s="1" t="s">
        <v>1383</v>
      </c>
      <c r="D262" s="1" t="s">
        <v>1401</v>
      </c>
      <c r="E262" s="1" t="s">
        <v>1010</v>
      </c>
      <c r="F262" s="1" t="s">
        <v>853</v>
      </c>
      <c r="G262" s="56" t="s">
        <v>9</v>
      </c>
      <c r="H262" s="54" t="s">
        <v>9</v>
      </c>
      <c r="I262" s="54" t="s">
        <v>9</v>
      </c>
      <c r="J262" s="56" t="s">
        <v>9</v>
      </c>
      <c r="K262" s="56" t="s">
        <v>9</v>
      </c>
      <c r="L262" s="25" t="str">
        <f t="shared" si="75"/>
        <v>Arquitetônico</v>
      </c>
      <c r="M262" s="25" t="str">
        <f t="shared" si="76"/>
        <v>Elementos.de.Esquadrias</v>
      </c>
      <c r="N262" s="25" t="str">
        <f t="shared" si="77"/>
        <v>Portas</v>
      </c>
      <c r="O262" s="25" t="str">
        <f t="shared" si="77"/>
        <v>Porta Pivotante</v>
      </c>
      <c r="P262" s="20" t="s">
        <v>865</v>
      </c>
      <c r="Q262" s="20" t="s">
        <v>867</v>
      </c>
      <c r="R262" s="52" t="s">
        <v>9</v>
      </c>
      <c r="S262" s="26" t="str">
        <f t="shared" si="78"/>
        <v>Arquitetônico</v>
      </c>
      <c r="T262" s="26" t="str">
        <f t="shared" si="79"/>
        <v>Elementos de Esquadrias</v>
      </c>
      <c r="U262" s="26" t="str">
        <f t="shared" si="80"/>
        <v>Portas</v>
      </c>
      <c r="V262" s="20" t="s">
        <v>85</v>
      </c>
      <c r="W262" s="71" t="str">
        <f t="shared" si="91"/>
        <v>Key-ARQ-262</v>
      </c>
      <c r="X262" s="20" t="s">
        <v>1484</v>
      </c>
      <c r="Y262" s="26" t="s">
        <v>1413</v>
      </c>
      <c r="Z262" s="52" t="s">
        <v>1368</v>
      </c>
      <c r="AA262" s="20" t="str">
        <f t="shared" si="90"/>
        <v>Pivot door. It rotates around a vertical axis offset from the stop, with pins attached to the top and bottom of the sheet.</v>
      </c>
    </row>
    <row r="263" spans="1:27" ht="6" customHeight="1" x14ac:dyDescent="0.4">
      <c r="A263" s="22">
        <v>263</v>
      </c>
      <c r="B263" s="1" t="s">
        <v>1604</v>
      </c>
      <c r="C263" s="1" t="s">
        <v>1383</v>
      </c>
      <c r="D263" s="1" t="s">
        <v>1401</v>
      </c>
      <c r="E263" s="1" t="s">
        <v>1010</v>
      </c>
      <c r="F263" s="1" t="s">
        <v>850</v>
      </c>
      <c r="G263" s="56" t="s">
        <v>9</v>
      </c>
      <c r="H263" s="54" t="s">
        <v>9</v>
      </c>
      <c r="I263" s="54" t="s">
        <v>9</v>
      </c>
      <c r="J263" s="56" t="s">
        <v>9</v>
      </c>
      <c r="K263" s="56" t="s">
        <v>9</v>
      </c>
      <c r="L263" s="25" t="str">
        <f t="shared" si="75"/>
        <v>Arquitetônico</v>
      </c>
      <c r="M263" s="25" t="str">
        <f t="shared" si="76"/>
        <v>Elementos.de.Esquadrias</v>
      </c>
      <c r="N263" s="25" t="str">
        <f t="shared" si="77"/>
        <v>Portas</v>
      </c>
      <c r="O263" s="25" t="str">
        <f t="shared" si="77"/>
        <v>Porta Articulada</v>
      </c>
      <c r="P263" s="20" t="s">
        <v>851</v>
      </c>
      <c r="Q263" s="33" t="s">
        <v>854</v>
      </c>
      <c r="R263" s="52" t="s">
        <v>9</v>
      </c>
      <c r="S263" s="26" t="str">
        <f t="shared" si="78"/>
        <v>Arquitetônico</v>
      </c>
      <c r="T263" s="26" t="str">
        <f t="shared" si="79"/>
        <v>Elementos de Esquadrias</v>
      </c>
      <c r="U263" s="26" t="str">
        <f t="shared" si="80"/>
        <v>Portas</v>
      </c>
      <c r="V263" s="20" t="s">
        <v>85</v>
      </c>
      <c r="W263" s="71" t="str">
        <f t="shared" si="91"/>
        <v>Key-ARQ-263</v>
      </c>
      <c r="X263" s="20" t="s">
        <v>1484</v>
      </c>
      <c r="Y263" s="26" t="s">
        <v>1413</v>
      </c>
      <c r="Z263" s="52" t="s">
        <v>1368</v>
      </c>
      <c r="AA263" s="20" t="str">
        <f t="shared" si="90"/>
        <v>Hinged door. Also known as shrimp. The hinge is with central hinges.</v>
      </c>
    </row>
    <row r="264" spans="1:27" ht="6" customHeight="1" x14ac:dyDescent="0.4">
      <c r="A264" s="22">
        <v>264</v>
      </c>
      <c r="B264" s="1" t="s">
        <v>1604</v>
      </c>
      <c r="C264" s="1" t="s">
        <v>1383</v>
      </c>
      <c r="D264" s="1" t="s">
        <v>1401</v>
      </c>
      <c r="E264" s="1" t="s">
        <v>1010</v>
      </c>
      <c r="F264" s="1" t="s">
        <v>757</v>
      </c>
      <c r="G264" s="56" t="s">
        <v>9</v>
      </c>
      <c r="H264" s="54" t="s">
        <v>9</v>
      </c>
      <c r="I264" s="54" t="s">
        <v>9</v>
      </c>
      <c r="J264" s="56" t="s">
        <v>9</v>
      </c>
      <c r="K264" s="56" t="s">
        <v>9</v>
      </c>
      <c r="L264" s="25" t="str">
        <f t="shared" si="75"/>
        <v>Arquitetônico</v>
      </c>
      <c r="M264" s="25" t="str">
        <f t="shared" si="76"/>
        <v>Elementos.de.Esquadrias</v>
      </c>
      <c r="N264" s="25" t="str">
        <f t="shared" si="77"/>
        <v>Portas</v>
      </c>
      <c r="O264" s="25" t="str">
        <f t="shared" si="77"/>
        <v>Porta Bandeira</v>
      </c>
      <c r="P264" s="20" t="s">
        <v>760</v>
      </c>
      <c r="Q264" s="33" t="s">
        <v>783</v>
      </c>
      <c r="R264" s="52" t="s">
        <v>9</v>
      </c>
      <c r="S264" s="26" t="str">
        <f t="shared" si="78"/>
        <v>Arquitetônico</v>
      </c>
      <c r="T264" s="26" t="str">
        <f t="shared" si="79"/>
        <v>Elementos de Esquadrias</v>
      </c>
      <c r="U264" s="26" t="str">
        <f t="shared" si="80"/>
        <v>Portas</v>
      </c>
      <c r="V264" s="20" t="s">
        <v>85</v>
      </c>
      <c r="W264" s="71" t="str">
        <f t="shared" si="91"/>
        <v>Key-ARQ-264</v>
      </c>
      <c r="X264" s="20" t="s">
        <v>1484</v>
      </c>
      <c r="Y264" s="26" t="s">
        <v>1413</v>
      </c>
      <c r="Z264" s="52" t="s">
        <v>1368</v>
      </c>
      <c r="AA264" s="20" t="str">
        <f t="shared" si="90"/>
        <v>Flag bearer.</v>
      </c>
    </row>
    <row r="265" spans="1:27" ht="6" customHeight="1" x14ac:dyDescent="0.4">
      <c r="A265" s="22">
        <v>265</v>
      </c>
      <c r="B265" s="1" t="s">
        <v>1604</v>
      </c>
      <c r="C265" s="1" t="s">
        <v>1383</v>
      </c>
      <c r="D265" s="1" t="s">
        <v>1401</v>
      </c>
      <c r="E265" s="1" t="s">
        <v>1010</v>
      </c>
      <c r="F265" s="1" t="s">
        <v>785</v>
      </c>
      <c r="G265" s="56" t="s">
        <v>9</v>
      </c>
      <c r="H265" s="54" t="s">
        <v>9</v>
      </c>
      <c r="I265" s="54" t="s">
        <v>9</v>
      </c>
      <c r="J265" s="56" t="s">
        <v>9</v>
      </c>
      <c r="K265" s="56" t="s">
        <v>9</v>
      </c>
      <c r="L265" s="25" t="str">
        <f t="shared" si="75"/>
        <v>Arquitetônico</v>
      </c>
      <c r="M265" s="25" t="str">
        <f t="shared" si="76"/>
        <v>Elementos.de.Esquadrias</v>
      </c>
      <c r="N265" s="25" t="str">
        <f t="shared" si="77"/>
        <v>Portas</v>
      </c>
      <c r="O265" s="25" t="str">
        <f t="shared" si="77"/>
        <v>Porta Giratória</v>
      </c>
      <c r="P265" s="20" t="s">
        <v>784</v>
      </c>
      <c r="Q265" s="33" t="s">
        <v>788</v>
      </c>
      <c r="R265" s="52" t="s">
        <v>9</v>
      </c>
      <c r="S265" s="26" t="str">
        <f t="shared" si="78"/>
        <v>Arquitetônico</v>
      </c>
      <c r="T265" s="26" t="str">
        <f t="shared" si="79"/>
        <v>Elementos de Esquadrias</v>
      </c>
      <c r="U265" s="26" t="str">
        <f t="shared" si="80"/>
        <v>Portas</v>
      </c>
      <c r="V265" s="20" t="s">
        <v>85</v>
      </c>
      <c r="W265" s="71" t="str">
        <f t="shared" si="91"/>
        <v>Key-ARQ-265</v>
      </c>
      <c r="X265" s="20" t="s">
        <v>1484</v>
      </c>
      <c r="Y265" s="26" t="s">
        <v>1413</v>
      </c>
      <c r="Z265" s="52" t="s">
        <v>1368</v>
      </c>
      <c r="AA265" s="20" t="str">
        <f t="shared" si="90"/>
        <v>Revolving Door.</v>
      </c>
    </row>
    <row r="266" spans="1:27" ht="6" customHeight="1" x14ac:dyDescent="0.4">
      <c r="A266" s="22">
        <v>266</v>
      </c>
      <c r="B266" s="1" t="s">
        <v>1604</v>
      </c>
      <c r="C266" s="1" t="s">
        <v>1383</v>
      </c>
      <c r="D266" s="1" t="s">
        <v>1401</v>
      </c>
      <c r="E266" s="1" t="s">
        <v>1010</v>
      </c>
      <c r="F266" s="1" t="s">
        <v>737</v>
      </c>
      <c r="G266" s="56" t="s">
        <v>9</v>
      </c>
      <c r="H266" s="54" t="s">
        <v>9</v>
      </c>
      <c r="I266" s="54" t="s">
        <v>9</v>
      </c>
      <c r="J266" s="56" t="s">
        <v>9</v>
      </c>
      <c r="K266" s="56" t="s">
        <v>9</v>
      </c>
      <c r="L266" s="25" t="str">
        <f t="shared" si="75"/>
        <v>Arquitetônico</v>
      </c>
      <c r="M266" s="25" t="str">
        <f t="shared" si="76"/>
        <v>Elementos.de.Esquadrias</v>
      </c>
      <c r="N266" s="25" t="str">
        <f t="shared" si="77"/>
        <v>Portas</v>
      </c>
      <c r="O266" s="25" t="str">
        <f t="shared" si="77"/>
        <v>Porta Frigorífica</v>
      </c>
      <c r="P266" s="20" t="s">
        <v>782</v>
      </c>
      <c r="Q266" s="33" t="s">
        <v>852</v>
      </c>
      <c r="R266" s="52" t="s">
        <v>9</v>
      </c>
      <c r="S266" s="26" t="str">
        <f t="shared" si="78"/>
        <v>Arquitetônico</v>
      </c>
      <c r="T266" s="26" t="str">
        <f t="shared" si="79"/>
        <v>Elementos de Esquadrias</v>
      </c>
      <c r="U266" s="26" t="str">
        <f t="shared" si="80"/>
        <v>Portas</v>
      </c>
      <c r="V266" s="20" t="s">
        <v>85</v>
      </c>
      <c r="W266" s="71" t="str">
        <f t="shared" si="91"/>
        <v>Key-ARQ-266</v>
      </c>
      <c r="X266" s="20" t="s">
        <v>1484</v>
      </c>
      <c r="Y266" s="26" t="s">
        <v>1413</v>
      </c>
      <c r="Z266" s="52" t="s">
        <v>1368</v>
      </c>
      <c r="AA266" s="20" t="str">
        <f t="shared" si="90"/>
        <v>Refrigerator door. Used in cold chambers.</v>
      </c>
    </row>
    <row r="267" spans="1:27" ht="6" customHeight="1" x14ac:dyDescent="0.4">
      <c r="A267" s="22">
        <v>267</v>
      </c>
      <c r="B267" s="1" t="s">
        <v>1604</v>
      </c>
      <c r="C267" s="1" t="s">
        <v>1383</v>
      </c>
      <c r="D267" s="1" t="s">
        <v>1401</v>
      </c>
      <c r="E267" s="1" t="s">
        <v>1010</v>
      </c>
      <c r="F267" s="1" t="s">
        <v>738</v>
      </c>
      <c r="G267" s="56" t="s">
        <v>9</v>
      </c>
      <c r="H267" s="54" t="s">
        <v>9</v>
      </c>
      <c r="I267" s="54" t="s">
        <v>9</v>
      </c>
      <c r="J267" s="56" t="s">
        <v>9</v>
      </c>
      <c r="K267" s="56" t="s">
        <v>9</v>
      </c>
      <c r="L267" s="25" t="str">
        <f t="shared" si="75"/>
        <v>Arquitetônico</v>
      </c>
      <c r="M267" s="25" t="str">
        <f t="shared" si="76"/>
        <v>Elementos.de.Esquadrias</v>
      </c>
      <c r="N267" s="25" t="str">
        <f t="shared" si="77"/>
        <v>Portas</v>
      </c>
      <c r="O267" s="25" t="str">
        <f t="shared" si="77"/>
        <v>Porta Biológica</v>
      </c>
      <c r="P267" s="20" t="s">
        <v>780</v>
      </c>
      <c r="Q267" s="33" t="s">
        <v>798</v>
      </c>
      <c r="R267" s="52" t="s">
        <v>9</v>
      </c>
      <c r="S267" s="26" t="str">
        <f t="shared" si="78"/>
        <v>Arquitetônico</v>
      </c>
      <c r="T267" s="26" t="str">
        <f t="shared" si="79"/>
        <v>Elementos de Esquadrias</v>
      </c>
      <c r="U267" s="26" t="str">
        <f t="shared" si="80"/>
        <v>Portas</v>
      </c>
      <c r="V267" s="20" t="s">
        <v>85</v>
      </c>
      <c r="W267" s="71" t="str">
        <f t="shared" si="91"/>
        <v>Key-ARQ-267</v>
      </c>
      <c r="X267" s="20" t="s">
        <v>1484</v>
      </c>
      <c r="Y267" s="26" t="s">
        <v>1413</v>
      </c>
      <c r="Z267" s="52" t="s">
        <v>1368</v>
      </c>
      <c r="AA267" s="20" t="str">
        <f t="shared" si="90"/>
        <v>Biological Door. Used in laboratories with biological control or clean rooms.</v>
      </c>
    </row>
    <row r="268" spans="1:27" ht="6" customHeight="1" x14ac:dyDescent="0.4">
      <c r="A268" s="22">
        <v>268</v>
      </c>
      <c r="B268" s="1" t="s">
        <v>1604</v>
      </c>
      <c r="C268" s="1" t="s">
        <v>1383</v>
      </c>
      <c r="D268" s="1" t="s">
        <v>1401</v>
      </c>
      <c r="E268" s="1" t="s">
        <v>1010</v>
      </c>
      <c r="F268" s="1" t="s">
        <v>758</v>
      </c>
      <c r="G268" s="56" t="s">
        <v>9</v>
      </c>
      <c r="H268" s="54" t="s">
        <v>9</v>
      </c>
      <c r="I268" s="54" t="s">
        <v>9</v>
      </c>
      <c r="J268" s="56" t="s">
        <v>9</v>
      </c>
      <c r="K268" s="56" t="s">
        <v>9</v>
      </c>
      <c r="L268" s="25" t="str">
        <f t="shared" si="75"/>
        <v>Arquitetônico</v>
      </c>
      <c r="M268" s="25" t="str">
        <f t="shared" si="76"/>
        <v>Elementos.de.Esquadrias</v>
      </c>
      <c r="N268" s="25" t="str">
        <f t="shared" si="77"/>
        <v>Portas</v>
      </c>
      <c r="O268" s="25" t="str">
        <f t="shared" si="77"/>
        <v>Porta Blindada</v>
      </c>
      <c r="P268" s="20" t="s">
        <v>781</v>
      </c>
      <c r="Q268" s="33" t="s">
        <v>799</v>
      </c>
      <c r="R268" s="52" t="s">
        <v>9</v>
      </c>
      <c r="S268" s="26" t="str">
        <f t="shared" si="78"/>
        <v>Arquitetônico</v>
      </c>
      <c r="T268" s="26" t="str">
        <f t="shared" si="79"/>
        <v>Elementos de Esquadrias</v>
      </c>
      <c r="U268" s="26" t="str">
        <f t="shared" si="80"/>
        <v>Portas</v>
      </c>
      <c r="V268" s="20" t="s">
        <v>85</v>
      </c>
      <c r="W268" s="71" t="str">
        <f t="shared" si="91"/>
        <v>Key-ARQ-268</v>
      </c>
      <c r="X268" s="20" t="s">
        <v>1484</v>
      </c>
      <c r="Y268" s="26" t="s">
        <v>1413</v>
      </c>
      <c r="Z268" s="52" t="s">
        <v>1368</v>
      </c>
      <c r="AA268" s="20" t="str">
        <f t="shared" si="90"/>
        <v>Armored Door. Used in security systems or with X-ray or Gamma shielding in hospital environments.</v>
      </c>
    </row>
    <row r="269" spans="1:27" ht="6" customHeight="1" x14ac:dyDescent="0.4">
      <c r="A269" s="22">
        <v>269</v>
      </c>
      <c r="B269" s="1" t="s">
        <v>1604</v>
      </c>
      <c r="C269" s="1" t="s">
        <v>1383</v>
      </c>
      <c r="D269" s="1" t="s">
        <v>1401</v>
      </c>
      <c r="E269" s="1" t="s">
        <v>1010</v>
      </c>
      <c r="F269" s="1" t="s">
        <v>786</v>
      </c>
      <c r="G269" s="56" t="s">
        <v>9</v>
      </c>
      <c r="H269" s="54" t="s">
        <v>9</v>
      </c>
      <c r="I269" s="54" t="s">
        <v>9</v>
      </c>
      <c r="J269" s="56" t="s">
        <v>9</v>
      </c>
      <c r="K269" s="56" t="s">
        <v>9</v>
      </c>
      <c r="L269" s="25" t="str">
        <f t="shared" si="75"/>
        <v>Arquitetônico</v>
      </c>
      <c r="M269" s="25" t="str">
        <f t="shared" si="76"/>
        <v>Elementos.de.Esquadrias</v>
      </c>
      <c r="N269" s="25" t="str">
        <f t="shared" si="77"/>
        <v>Portas</v>
      </c>
      <c r="O269" s="25" t="str">
        <f t="shared" si="77"/>
        <v>Porta Telescópica</v>
      </c>
      <c r="P269" s="20" t="s">
        <v>787</v>
      </c>
      <c r="Q269" s="33" t="s">
        <v>800</v>
      </c>
      <c r="R269" s="52" t="s">
        <v>9</v>
      </c>
      <c r="S269" s="26" t="str">
        <f t="shared" si="78"/>
        <v>Arquitetônico</v>
      </c>
      <c r="T269" s="26" t="str">
        <f t="shared" si="79"/>
        <v>Elementos de Esquadrias</v>
      </c>
      <c r="U269" s="26" t="str">
        <f t="shared" si="80"/>
        <v>Portas</v>
      </c>
      <c r="V269" s="20" t="s">
        <v>85</v>
      </c>
      <c r="W269" s="71" t="str">
        <f t="shared" si="91"/>
        <v>Key-ARQ-269</v>
      </c>
      <c r="X269" s="20" t="s">
        <v>1484</v>
      </c>
      <c r="Y269" s="26" t="s">
        <v>1413</v>
      </c>
      <c r="Z269" s="52" t="s">
        <v>1368</v>
      </c>
      <c r="AA269" s="20" t="str">
        <f t="shared" si="90"/>
        <v>Door with rails and guides that allow the movement of two or more overlapping leaves.</v>
      </c>
    </row>
    <row r="270" spans="1:27" ht="6" customHeight="1" x14ac:dyDescent="0.4">
      <c r="A270" s="22">
        <v>270</v>
      </c>
      <c r="B270" s="1" t="s">
        <v>1604</v>
      </c>
      <c r="C270" s="1" t="s">
        <v>1383</v>
      </c>
      <c r="D270" s="1" t="s">
        <v>1401</v>
      </c>
      <c r="E270" s="1" t="s">
        <v>1011</v>
      </c>
      <c r="F270" s="1" t="s">
        <v>1195</v>
      </c>
      <c r="G270" s="56" t="s">
        <v>9</v>
      </c>
      <c r="H270" s="54" t="s">
        <v>9</v>
      </c>
      <c r="I270" s="54" t="s">
        <v>9</v>
      </c>
      <c r="J270" s="56" t="s">
        <v>9</v>
      </c>
      <c r="K270" s="56" t="s">
        <v>9</v>
      </c>
      <c r="L270" s="25" t="str">
        <f t="shared" si="75"/>
        <v>Arquitetônico</v>
      </c>
      <c r="M270" s="25" t="str">
        <f t="shared" si="76"/>
        <v>Elementos.de.Esquadrias</v>
      </c>
      <c r="N270" s="25" t="str">
        <f t="shared" si="77"/>
        <v>Portões</v>
      </c>
      <c r="O270" s="25" t="str">
        <f t="shared" si="77"/>
        <v>Portão Garagem</v>
      </c>
      <c r="P270" s="20" t="s">
        <v>837</v>
      </c>
      <c r="Q270" s="20" t="s">
        <v>838</v>
      </c>
      <c r="R270" s="52" t="s">
        <v>9</v>
      </c>
      <c r="S270" s="26" t="str">
        <f t="shared" si="78"/>
        <v>Arquitetônico</v>
      </c>
      <c r="T270" s="26" t="str">
        <f t="shared" si="79"/>
        <v>Elementos de Esquadrias</v>
      </c>
      <c r="U270" s="26" t="str">
        <f t="shared" si="80"/>
        <v>Portões</v>
      </c>
      <c r="V270" s="20" t="s">
        <v>85</v>
      </c>
      <c r="W270" s="71" t="str">
        <f t="shared" si="91"/>
        <v>Key-ARQ-270</v>
      </c>
      <c r="X270" s="20" t="s">
        <v>1484</v>
      </c>
      <c r="Y270" s="26" t="s">
        <v>1413</v>
      </c>
      <c r="Z270" s="52" t="s">
        <v>1368</v>
      </c>
      <c r="AA270" s="20" t="str">
        <f t="shared" si="90"/>
        <v>Garage Gate or Parking Lot.</v>
      </c>
    </row>
    <row r="271" spans="1:27" ht="6" customHeight="1" x14ac:dyDescent="0.4">
      <c r="A271" s="22">
        <v>271</v>
      </c>
      <c r="B271" s="1" t="s">
        <v>1604</v>
      </c>
      <c r="C271" s="1" t="s">
        <v>1383</v>
      </c>
      <c r="D271" s="1" t="s">
        <v>1401</v>
      </c>
      <c r="E271" s="1" t="s">
        <v>1011</v>
      </c>
      <c r="F271" s="1" t="s">
        <v>1196</v>
      </c>
      <c r="G271" s="56" t="s">
        <v>9</v>
      </c>
      <c r="H271" s="54" t="s">
        <v>9</v>
      </c>
      <c r="I271" s="54" t="s">
        <v>9</v>
      </c>
      <c r="J271" s="56" t="s">
        <v>9</v>
      </c>
      <c r="K271" s="56" t="s">
        <v>9</v>
      </c>
      <c r="L271" s="25" t="str">
        <f t="shared" si="75"/>
        <v>Arquitetônico</v>
      </c>
      <c r="M271" s="25" t="str">
        <f t="shared" si="76"/>
        <v>Elementos.de.Esquadrias</v>
      </c>
      <c r="N271" s="25" t="str">
        <f t="shared" si="77"/>
        <v>Portões</v>
      </c>
      <c r="O271" s="25" t="str">
        <f t="shared" si="77"/>
        <v>Portão Seccional</v>
      </c>
      <c r="P271" s="20" t="s">
        <v>840</v>
      </c>
      <c r="Q271" s="20" t="s">
        <v>839</v>
      </c>
      <c r="R271" s="52" t="s">
        <v>9</v>
      </c>
      <c r="S271" s="26" t="str">
        <f t="shared" si="78"/>
        <v>Arquitetônico</v>
      </c>
      <c r="T271" s="26" t="str">
        <f t="shared" si="79"/>
        <v>Elementos de Esquadrias</v>
      </c>
      <c r="U271" s="26" t="str">
        <f t="shared" si="80"/>
        <v>Portões</v>
      </c>
      <c r="V271" s="20" t="s">
        <v>85</v>
      </c>
      <c r="W271" s="71" t="str">
        <f t="shared" si="91"/>
        <v>Key-ARQ-271</v>
      </c>
      <c r="X271" s="20" t="s">
        <v>1484</v>
      </c>
      <c r="Y271" s="26" t="s">
        <v>1413</v>
      </c>
      <c r="Z271" s="52" t="s">
        <v>1368</v>
      </c>
      <c r="AA271" s="20" t="str">
        <f t="shared" si="90"/>
        <v>Factory Sectional Gate, Industrial Shed or Stadium.</v>
      </c>
    </row>
    <row r="272" spans="1:27" ht="6" customHeight="1" x14ac:dyDescent="0.4">
      <c r="A272" s="22">
        <v>272</v>
      </c>
      <c r="B272" s="1" t="s">
        <v>1604</v>
      </c>
      <c r="C272" s="1" t="s">
        <v>1383</v>
      </c>
      <c r="D272" s="1" t="s">
        <v>1401</v>
      </c>
      <c r="E272" s="1" t="s">
        <v>1194</v>
      </c>
      <c r="F272" s="1" t="s">
        <v>841</v>
      </c>
      <c r="G272" s="56" t="s">
        <v>9</v>
      </c>
      <c r="H272" s="54" t="s">
        <v>9</v>
      </c>
      <c r="I272" s="54" t="s">
        <v>9</v>
      </c>
      <c r="J272" s="56" t="s">
        <v>9</v>
      </c>
      <c r="K272" s="56" t="s">
        <v>9</v>
      </c>
      <c r="L272" s="25" t="str">
        <f t="shared" si="75"/>
        <v>Arquitetônico</v>
      </c>
      <c r="M272" s="25" t="str">
        <f t="shared" si="76"/>
        <v>Elementos.de.Esquadrias</v>
      </c>
      <c r="N272" s="25" t="str">
        <f t="shared" si="77"/>
        <v>Alçapões</v>
      </c>
      <c r="O272" s="25" t="str">
        <f t="shared" si="77"/>
        <v>Alçapão Acesso</v>
      </c>
      <c r="P272" s="34" t="s">
        <v>764</v>
      </c>
      <c r="Q272" s="33" t="s">
        <v>771</v>
      </c>
      <c r="R272" s="52" t="s">
        <v>9</v>
      </c>
      <c r="S272" s="26" t="str">
        <f t="shared" si="78"/>
        <v>Arquitetônico</v>
      </c>
      <c r="T272" s="26" t="str">
        <f t="shared" si="79"/>
        <v>Elementos de Esquadrias</v>
      </c>
      <c r="U272" s="26" t="str">
        <f t="shared" si="80"/>
        <v>Alçapões</v>
      </c>
      <c r="V272" s="20" t="s">
        <v>85</v>
      </c>
      <c r="W272" s="71" t="str">
        <f t="shared" si="91"/>
        <v>Key-ARQ-272</v>
      </c>
      <c r="X272" s="20" t="s">
        <v>1484</v>
      </c>
      <c r="Y272" s="26" t="s">
        <v>1413</v>
      </c>
      <c r="Z272" s="52" t="s">
        <v>1368</v>
      </c>
      <c r="AA272" s="20" t="str">
        <f t="shared" si="90"/>
        <v>Opening in the ceiling that allows electrical, hydraulic or air conditioning installations to be reached.</v>
      </c>
    </row>
    <row r="273" spans="1:27" ht="6" customHeight="1" x14ac:dyDescent="0.4">
      <c r="A273" s="22">
        <v>273</v>
      </c>
      <c r="B273" s="1" t="s">
        <v>1604</v>
      </c>
      <c r="C273" s="1" t="s">
        <v>1383</v>
      </c>
      <c r="D273" s="1" t="s">
        <v>1401</v>
      </c>
      <c r="E273" s="1" t="s">
        <v>1194</v>
      </c>
      <c r="F273" s="1" t="s">
        <v>762</v>
      </c>
      <c r="G273" s="56" t="s">
        <v>9</v>
      </c>
      <c r="H273" s="54" t="s">
        <v>9</v>
      </c>
      <c r="I273" s="54" t="s">
        <v>9</v>
      </c>
      <c r="J273" s="56" t="s">
        <v>9</v>
      </c>
      <c r="K273" s="56" t="s">
        <v>9</v>
      </c>
      <c r="L273" s="25" t="str">
        <f t="shared" si="75"/>
        <v>Arquitetônico</v>
      </c>
      <c r="M273" s="25" t="str">
        <f t="shared" si="76"/>
        <v>Elementos.de.Esquadrias</v>
      </c>
      <c r="N273" s="25" t="str">
        <f t="shared" si="77"/>
        <v>Alçapões</v>
      </c>
      <c r="O273" s="25" t="str">
        <f t="shared" si="77"/>
        <v>Alçapão Emergência</v>
      </c>
      <c r="P273" s="34" t="s">
        <v>763</v>
      </c>
      <c r="Q273" s="33" t="s">
        <v>772</v>
      </c>
      <c r="R273" s="52" t="s">
        <v>9</v>
      </c>
      <c r="S273" s="26" t="str">
        <f t="shared" si="78"/>
        <v>Arquitetônico</v>
      </c>
      <c r="T273" s="26" t="str">
        <f t="shared" si="79"/>
        <v>Elementos de Esquadrias</v>
      </c>
      <c r="U273" s="26" t="str">
        <f t="shared" si="80"/>
        <v>Alçapões</v>
      </c>
      <c r="V273" s="20" t="s">
        <v>85</v>
      </c>
      <c r="W273" s="71" t="str">
        <f t="shared" si="91"/>
        <v>Key-ARQ-273</v>
      </c>
      <c r="X273" s="20" t="s">
        <v>1484</v>
      </c>
      <c r="Y273" s="26" t="s">
        <v>1413</v>
      </c>
      <c r="Z273" s="52" t="s">
        <v>1368</v>
      </c>
      <c r="AA273" s="20" t="str">
        <f t="shared" si="90"/>
        <v>Opening in the roof that allows an additional exhaust outlet to be reached.</v>
      </c>
    </row>
    <row r="274" spans="1:27" ht="6" customHeight="1" x14ac:dyDescent="0.4">
      <c r="A274" s="22">
        <v>274</v>
      </c>
      <c r="B274" s="1" t="s">
        <v>1604</v>
      </c>
      <c r="C274" s="1" t="s">
        <v>1383</v>
      </c>
      <c r="D274" s="1" t="s">
        <v>1401</v>
      </c>
      <c r="E274" s="1" t="s">
        <v>1012</v>
      </c>
      <c r="F274" s="1" t="s">
        <v>749</v>
      </c>
      <c r="G274" s="56" t="s">
        <v>9</v>
      </c>
      <c r="H274" s="54" t="s">
        <v>9</v>
      </c>
      <c r="I274" s="54" t="s">
        <v>9</v>
      </c>
      <c r="J274" s="56" t="s">
        <v>9</v>
      </c>
      <c r="K274" s="56" t="s">
        <v>9</v>
      </c>
      <c r="L274" s="25" t="str">
        <f t="shared" si="75"/>
        <v>Arquitetônico</v>
      </c>
      <c r="M274" s="25" t="str">
        <f t="shared" si="76"/>
        <v>Elementos.de.Esquadrias</v>
      </c>
      <c r="N274" s="25" t="str">
        <f t="shared" si="77"/>
        <v>PassThroughs</v>
      </c>
      <c r="O274" s="25" t="str">
        <f t="shared" si="77"/>
        <v>PassT Farmacéutico</v>
      </c>
      <c r="P274" s="20" t="s">
        <v>752</v>
      </c>
      <c r="Q274" s="33" t="s">
        <v>751</v>
      </c>
      <c r="R274" s="52" t="s">
        <v>9</v>
      </c>
      <c r="S274" s="26" t="str">
        <f t="shared" si="78"/>
        <v>Arquitetônico</v>
      </c>
      <c r="T274" s="26" t="str">
        <f t="shared" si="79"/>
        <v>Elementos de Esquadrias</v>
      </c>
      <c r="U274" s="26" t="str">
        <f t="shared" si="80"/>
        <v>PassThroughs</v>
      </c>
      <c r="V274" s="20" t="s">
        <v>85</v>
      </c>
      <c r="W274" s="71" t="str">
        <f t="shared" si="91"/>
        <v>Key-ARQ-274</v>
      </c>
      <c r="X274" s="20" t="s">
        <v>1484</v>
      </c>
      <c r="Y274" s="26" t="s">
        <v>1413</v>
      </c>
      <c r="Z274" s="52" t="s">
        <v>1368</v>
      </c>
      <c r="AA274" s="20" t="str">
        <f t="shared" si="90"/>
        <v>Sealed compartment for the passage of objects installed between two rooms (e.g., a clean room and a laboratory).</v>
      </c>
    </row>
    <row r="275" spans="1:27" ht="6" customHeight="1" x14ac:dyDescent="0.4">
      <c r="A275" s="22">
        <v>275</v>
      </c>
      <c r="B275" s="1" t="s">
        <v>1604</v>
      </c>
      <c r="C275" s="1" t="s">
        <v>1383</v>
      </c>
      <c r="D275" s="1" t="s">
        <v>1401</v>
      </c>
      <c r="E275" s="1" t="s">
        <v>1012</v>
      </c>
      <c r="F275" s="1" t="s">
        <v>750</v>
      </c>
      <c r="G275" s="56" t="s">
        <v>9</v>
      </c>
      <c r="H275" s="54" t="s">
        <v>9</v>
      </c>
      <c r="I275" s="54" t="s">
        <v>9</v>
      </c>
      <c r="J275" s="56" t="s">
        <v>9</v>
      </c>
      <c r="K275" s="56" t="s">
        <v>9</v>
      </c>
      <c r="L275" s="25" t="str">
        <f t="shared" si="75"/>
        <v>Arquitetônico</v>
      </c>
      <c r="M275" s="25" t="str">
        <f t="shared" si="76"/>
        <v>Elementos.de.Esquadrias</v>
      </c>
      <c r="N275" s="25" t="str">
        <f t="shared" si="77"/>
        <v>PassThroughs</v>
      </c>
      <c r="O275" s="25" t="str">
        <f t="shared" si="77"/>
        <v>PassT Biológico</v>
      </c>
      <c r="P275" s="20" t="s">
        <v>752</v>
      </c>
      <c r="Q275" s="33" t="s">
        <v>773</v>
      </c>
      <c r="R275" s="52" t="s">
        <v>9</v>
      </c>
      <c r="S275" s="26" t="str">
        <f t="shared" si="78"/>
        <v>Arquitetônico</v>
      </c>
      <c r="T275" s="26" t="str">
        <f t="shared" si="79"/>
        <v>Elementos de Esquadrias</v>
      </c>
      <c r="U275" s="26" t="str">
        <f t="shared" si="80"/>
        <v>PassThroughs</v>
      </c>
      <c r="V275" s="20" t="s">
        <v>85</v>
      </c>
      <c r="W275" s="71" t="str">
        <f t="shared" si="91"/>
        <v>Key-ARQ-275</v>
      </c>
      <c r="X275" s="20" t="s">
        <v>1484</v>
      </c>
      <c r="Y275" s="26" t="s">
        <v>1413</v>
      </c>
      <c r="Z275" s="52" t="s">
        <v>1368</v>
      </c>
      <c r="AA275" s="20" t="str">
        <f t="shared" si="90"/>
        <v>Sealed compartment for the passage of objects installed between two rooms (e.g., a clean room and a laboratory).</v>
      </c>
    </row>
    <row r="276" spans="1:27" ht="6" customHeight="1" x14ac:dyDescent="0.4">
      <c r="A276" s="22">
        <v>276</v>
      </c>
      <c r="B276" s="1" t="s">
        <v>1604</v>
      </c>
      <c r="C276" s="1" t="s">
        <v>1383</v>
      </c>
      <c r="D276" s="1" t="s">
        <v>1401</v>
      </c>
      <c r="E276" s="1" t="s">
        <v>1012</v>
      </c>
      <c r="F276" s="1" t="s">
        <v>761</v>
      </c>
      <c r="G276" s="56" t="s">
        <v>9</v>
      </c>
      <c r="H276" s="54" t="s">
        <v>9</v>
      </c>
      <c r="I276" s="54" t="s">
        <v>9</v>
      </c>
      <c r="J276" s="56" t="s">
        <v>9</v>
      </c>
      <c r="K276" s="56" t="s">
        <v>9</v>
      </c>
      <c r="L276" s="25" t="str">
        <f t="shared" si="75"/>
        <v>Arquitetônico</v>
      </c>
      <c r="M276" s="25" t="str">
        <f t="shared" si="76"/>
        <v>Elementos.de.Esquadrias</v>
      </c>
      <c r="N276" s="25" t="str">
        <f t="shared" si="77"/>
        <v>PassThroughs</v>
      </c>
      <c r="O276" s="25" t="str">
        <f t="shared" si="77"/>
        <v>PassT Alimentação</v>
      </c>
      <c r="P276" s="20" t="s">
        <v>753</v>
      </c>
      <c r="Q276" s="33" t="s">
        <v>774</v>
      </c>
      <c r="R276" s="52" t="s">
        <v>9</v>
      </c>
      <c r="S276" s="26" t="str">
        <f t="shared" si="78"/>
        <v>Arquitetônico</v>
      </c>
      <c r="T276" s="26" t="str">
        <f t="shared" si="79"/>
        <v>Elementos de Esquadrias</v>
      </c>
      <c r="U276" s="26" t="str">
        <f t="shared" si="80"/>
        <v>PassThroughs</v>
      </c>
      <c r="V276" s="20" t="s">
        <v>85</v>
      </c>
      <c r="W276" s="71" t="str">
        <f t="shared" si="91"/>
        <v>Key-ARQ-276</v>
      </c>
      <c r="X276" s="20" t="s">
        <v>1484</v>
      </c>
      <c r="Y276" s="26" t="s">
        <v>1413</v>
      </c>
      <c r="Z276" s="52" t="s">
        <v>1368</v>
      </c>
      <c r="AA276" s="20" t="str">
        <f t="shared" si="90"/>
        <v>Opening for food to pass between an industrial kitchen and a restaurant.</v>
      </c>
    </row>
    <row r="277" spans="1:27" ht="6.65" customHeight="1" x14ac:dyDescent="0.4">
      <c r="A277" s="22">
        <v>277</v>
      </c>
      <c r="B277" s="1" t="s">
        <v>1604</v>
      </c>
      <c r="C277" s="1" t="s">
        <v>1383</v>
      </c>
      <c r="D277" s="1" t="s">
        <v>1401</v>
      </c>
      <c r="E277" s="1" t="s">
        <v>1013</v>
      </c>
      <c r="F277" s="24" t="s">
        <v>1335</v>
      </c>
      <c r="G277" s="56" t="s">
        <v>9</v>
      </c>
      <c r="H277" s="56" t="s">
        <v>9</v>
      </c>
      <c r="I277" s="56" t="s">
        <v>9</v>
      </c>
      <c r="J277" s="56" t="s">
        <v>9</v>
      </c>
      <c r="K277" s="56" t="s">
        <v>9</v>
      </c>
      <c r="L277" s="25" t="str">
        <f>CONCATENATE("", C277)</f>
        <v>Arquitetônico</v>
      </c>
      <c r="M277" s="25" t="str">
        <f>CONCATENATE("", D277)</f>
        <v>Elementos.de.Esquadrias</v>
      </c>
      <c r="N277" s="25" t="str">
        <f>(SUBSTITUTE(SUBSTITUTE(CONCATENATE("",E277),"."," ")," De "," de "))</f>
        <v>Persianas</v>
      </c>
      <c r="O277" s="25" t="str">
        <f t="shared" si="77"/>
        <v>Persiana</v>
      </c>
      <c r="P277" s="20" t="s">
        <v>1338</v>
      </c>
      <c r="Q277" s="20" t="s">
        <v>1332</v>
      </c>
      <c r="R277" s="52" t="s">
        <v>9</v>
      </c>
      <c r="S277" s="26" t="str">
        <f t="shared" si="78"/>
        <v>Arquitetônico</v>
      </c>
      <c r="T277" s="26" t="str">
        <f t="shared" si="79"/>
        <v>Elementos de Esquadrias</v>
      </c>
      <c r="U277" s="26" t="str">
        <f t="shared" si="80"/>
        <v>Persianas</v>
      </c>
      <c r="V277" s="20" t="s">
        <v>85</v>
      </c>
      <c r="W277" s="71" t="str">
        <f t="shared" si="91"/>
        <v>Key-ARQ-277</v>
      </c>
      <c r="X277" s="20" t="s">
        <v>1533</v>
      </c>
      <c r="Y277" s="26" t="s">
        <v>1446</v>
      </c>
      <c r="Z277" s="52" t="s">
        <v>9</v>
      </c>
      <c r="AA277" s="20" t="str">
        <f t="shared" si="90"/>
        <v>Shutter-type shading element with adjustable horizontal slats to admit light and air.</v>
      </c>
    </row>
    <row r="278" spans="1:27" ht="6" customHeight="1" x14ac:dyDescent="0.4">
      <c r="A278" s="22">
        <v>278</v>
      </c>
      <c r="B278" s="1" t="s">
        <v>1604</v>
      </c>
      <c r="C278" s="1" t="s">
        <v>1383</v>
      </c>
      <c r="D278" s="1" t="s">
        <v>1401</v>
      </c>
      <c r="E278" s="1" t="s">
        <v>1013</v>
      </c>
      <c r="F278" s="1" t="s">
        <v>765</v>
      </c>
      <c r="G278" s="56" t="s">
        <v>9</v>
      </c>
      <c r="H278" s="54" t="s">
        <v>9</v>
      </c>
      <c r="I278" s="56" t="s">
        <v>9</v>
      </c>
      <c r="J278" s="56" t="s">
        <v>9</v>
      </c>
      <c r="K278" s="56" t="s">
        <v>9</v>
      </c>
      <c r="L278" s="25" t="str">
        <f t="shared" si="75"/>
        <v>Arquitetônico</v>
      </c>
      <c r="M278" s="25" t="str">
        <f t="shared" si="76"/>
        <v>Elementos.de.Esquadrias</v>
      </c>
      <c r="N278" s="25" t="str">
        <f t="shared" si="77"/>
        <v>Persianas</v>
      </c>
      <c r="O278" s="25" t="str">
        <f t="shared" si="77"/>
        <v>Persiana Horizontal</v>
      </c>
      <c r="P278" s="20" t="s">
        <v>1339</v>
      </c>
      <c r="Q278" s="33" t="s">
        <v>775</v>
      </c>
      <c r="R278" s="52" t="s">
        <v>9</v>
      </c>
      <c r="S278" s="26" t="str">
        <f t="shared" si="78"/>
        <v>Arquitetônico</v>
      </c>
      <c r="T278" s="26" t="str">
        <f t="shared" si="79"/>
        <v>Elementos de Esquadrias</v>
      </c>
      <c r="U278" s="26" t="str">
        <f t="shared" si="80"/>
        <v>Persianas</v>
      </c>
      <c r="V278" s="20" t="s">
        <v>85</v>
      </c>
      <c r="W278" s="71" t="str">
        <f t="shared" si="91"/>
        <v>Key-ARQ-278</v>
      </c>
      <c r="X278" s="20" t="s">
        <v>1533</v>
      </c>
      <c r="Y278" s="26" t="s">
        <v>1446</v>
      </c>
      <c r="Z278" s="52" t="s">
        <v>9</v>
      </c>
      <c r="AA278" s="20" t="str">
        <f t="shared" si="90"/>
        <v>Horizontal internal louver-type shading element.</v>
      </c>
    </row>
    <row r="279" spans="1:27" ht="6" customHeight="1" x14ac:dyDescent="0.4">
      <c r="A279" s="22">
        <v>279</v>
      </c>
      <c r="B279" s="1" t="s">
        <v>1604</v>
      </c>
      <c r="C279" s="1" t="s">
        <v>1383</v>
      </c>
      <c r="D279" s="1" t="s">
        <v>1401</v>
      </c>
      <c r="E279" s="1" t="s">
        <v>1013</v>
      </c>
      <c r="F279" s="1" t="s">
        <v>766</v>
      </c>
      <c r="G279" s="56" t="s">
        <v>9</v>
      </c>
      <c r="H279" s="54" t="s">
        <v>9</v>
      </c>
      <c r="I279" s="56" t="s">
        <v>9</v>
      </c>
      <c r="J279" s="56" t="s">
        <v>9</v>
      </c>
      <c r="K279" s="56" t="s">
        <v>9</v>
      </c>
      <c r="L279" s="25" t="str">
        <f t="shared" si="75"/>
        <v>Arquitetônico</v>
      </c>
      <c r="M279" s="25" t="str">
        <f t="shared" si="76"/>
        <v>Elementos.de.Esquadrias</v>
      </c>
      <c r="N279" s="25" t="str">
        <f t="shared" si="77"/>
        <v>Persianas</v>
      </c>
      <c r="O279" s="25" t="str">
        <f t="shared" si="77"/>
        <v>Persiana Vertical</v>
      </c>
      <c r="P279" s="20" t="s">
        <v>1340</v>
      </c>
      <c r="Q279" s="33" t="s">
        <v>776</v>
      </c>
      <c r="R279" s="52" t="s">
        <v>9</v>
      </c>
      <c r="S279" s="26" t="str">
        <f t="shared" si="78"/>
        <v>Arquitetônico</v>
      </c>
      <c r="T279" s="26" t="str">
        <f t="shared" si="79"/>
        <v>Elementos de Esquadrias</v>
      </c>
      <c r="U279" s="26" t="str">
        <f t="shared" si="80"/>
        <v>Persianas</v>
      </c>
      <c r="V279" s="20" t="s">
        <v>85</v>
      </c>
      <c r="W279" s="71" t="str">
        <f t="shared" si="91"/>
        <v>Key-ARQ-279</v>
      </c>
      <c r="X279" s="20" t="s">
        <v>1533</v>
      </c>
      <c r="Y279" s="26" t="s">
        <v>1446</v>
      </c>
      <c r="Z279" s="52" t="s">
        <v>9</v>
      </c>
      <c r="AA279" s="20" t="str">
        <f t="shared" si="90"/>
        <v>Vertical internal louver type shading element.</v>
      </c>
    </row>
    <row r="280" spans="1:27" ht="6.65" customHeight="1" x14ac:dyDescent="0.4">
      <c r="A280" s="22">
        <v>280</v>
      </c>
      <c r="B280" s="1" t="s">
        <v>1604</v>
      </c>
      <c r="C280" s="1" t="s">
        <v>1383</v>
      </c>
      <c r="D280" s="1" t="s">
        <v>1401</v>
      </c>
      <c r="E280" s="1" t="s">
        <v>1337</v>
      </c>
      <c r="F280" s="24" t="s">
        <v>1334</v>
      </c>
      <c r="G280" s="56" t="s">
        <v>9</v>
      </c>
      <c r="H280" s="56" t="s">
        <v>9</v>
      </c>
      <c r="I280" s="56" t="s">
        <v>9</v>
      </c>
      <c r="J280" s="56" t="s">
        <v>9</v>
      </c>
      <c r="K280" s="56" t="s">
        <v>9</v>
      </c>
      <c r="L280" s="25" t="str">
        <f>CONCATENATE("", C280)</f>
        <v>Arquitetônico</v>
      </c>
      <c r="M280" s="25" t="str">
        <f>CONCATENATE("", D280)</f>
        <v>Elementos.de.Esquadrias</v>
      </c>
      <c r="N280" s="25" t="str">
        <f>(SUBSTITUTE(SUBSTITUTE(CONCATENATE("",E280),"."," ")," De "," de "))</f>
        <v>Marquises</v>
      </c>
      <c r="O280" s="25" t="str">
        <f t="shared" si="77"/>
        <v>Marquise</v>
      </c>
      <c r="P280" s="20" t="s">
        <v>1341</v>
      </c>
      <c r="Q280" s="20" t="s">
        <v>1331</v>
      </c>
      <c r="R280" s="52" t="s">
        <v>9</v>
      </c>
      <c r="S280" s="26" t="str">
        <f t="shared" si="78"/>
        <v>Arquitetônico</v>
      </c>
      <c r="T280" s="26" t="str">
        <f t="shared" si="79"/>
        <v>Elementos de Esquadrias</v>
      </c>
      <c r="U280" s="26" t="str">
        <f t="shared" si="80"/>
        <v>Marquises</v>
      </c>
      <c r="V280" s="20" t="s">
        <v>85</v>
      </c>
      <c r="W280" s="71" t="str">
        <f t="shared" si="91"/>
        <v>Key-ARQ-280</v>
      </c>
      <c r="X280" s="20" t="s">
        <v>1535</v>
      </c>
      <c r="Y280" s="26" t="s">
        <v>1447</v>
      </c>
      <c r="Z280" s="52" t="s">
        <v>9</v>
      </c>
      <c r="AA280" s="20" t="str">
        <f t="shared" si="90"/>
        <v>Shading element type Covering of canvas or other material that extends over a door, from the top of a window.</v>
      </c>
    </row>
    <row r="281" spans="1:27" ht="6" customHeight="1" x14ac:dyDescent="0.4">
      <c r="A281" s="22">
        <v>281</v>
      </c>
      <c r="B281" s="1" t="s">
        <v>1604</v>
      </c>
      <c r="C281" s="1" t="s">
        <v>1383</v>
      </c>
      <c r="D281" s="1" t="s">
        <v>1401</v>
      </c>
      <c r="E281" s="1" t="s">
        <v>1014</v>
      </c>
      <c r="F281" s="1" t="s">
        <v>1090</v>
      </c>
      <c r="G281" s="56" t="s">
        <v>9</v>
      </c>
      <c r="H281" s="54" t="s">
        <v>9</v>
      </c>
      <c r="I281" s="54" t="s">
        <v>9</v>
      </c>
      <c r="J281" s="56" t="s">
        <v>9</v>
      </c>
      <c r="K281" s="56" t="s">
        <v>9</v>
      </c>
      <c r="L281" s="25" t="str">
        <f t="shared" si="75"/>
        <v>Arquitetônico</v>
      </c>
      <c r="M281" s="25" t="str">
        <f t="shared" si="76"/>
        <v>Elementos.de.Esquadrias</v>
      </c>
      <c r="N281" s="25" t="str">
        <f t="shared" si="77"/>
        <v>Brises</v>
      </c>
      <c r="O281" s="25" t="str">
        <f t="shared" si="77"/>
        <v>Brise Retrátil Horizontal</v>
      </c>
      <c r="P281" s="20" t="s">
        <v>1342</v>
      </c>
      <c r="Q281" s="33" t="s">
        <v>1102</v>
      </c>
      <c r="R281" s="52" t="s">
        <v>9</v>
      </c>
      <c r="S281" s="26" t="str">
        <f t="shared" ref="S281:S294" si="92">SUBSTITUTE(C281, ".", " ")</f>
        <v>Arquitetônico</v>
      </c>
      <c r="T281" s="26" t="str">
        <f t="shared" ref="T281:T294" si="93">SUBSTITUTE(D281, ".", " ")</f>
        <v>Elementos de Esquadrias</v>
      </c>
      <c r="U281" s="26" t="str">
        <f t="shared" ref="U281:U294" si="94">SUBSTITUTE(E281, ".", " ")</f>
        <v>Brises</v>
      </c>
      <c r="V281" s="20" t="s">
        <v>85</v>
      </c>
      <c r="W281" s="71" t="str">
        <f t="shared" si="91"/>
        <v>Key-ARQ-281</v>
      </c>
      <c r="X281" s="20" t="s">
        <v>1535</v>
      </c>
      <c r="Y281" s="26" t="s">
        <v>1448</v>
      </c>
      <c r="Z281" s="52" t="s">
        <v>9</v>
      </c>
      <c r="AA281" s="20" t="str">
        <f t="shared" si="90"/>
        <v>Brise-type shading element of movable blades to block solar radiation that falls vertically, as happens in the Southern Hemisphere on north-facing facades.</v>
      </c>
    </row>
    <row r="282" spans="1:27" ht="6" customHeight="1" x14ac:dyDescent="0.4">
      <c r="A282" s="22">
        <v>282</v>
      </c>
      <c r="B282" s="1" t="s">
        <v>1604</v>
      </c>
      <c r="C282" s="1" t="s">
        <v>1383</v>
      </c>
      <c r="D282" s="1" t="s">
        <v>1401</v>
      </c>
      <c r="E282" s="1" t="s">
        <v>1014</v>
      </c>
      <c r="F282" s="1" t="s">
        <v>1091</v>
      </c>
      <c r="G282" s="56" t="s">
        <v>9</v>
      </c>
      <c r="H282" s="54" t="s">
        <v>9</v>
      </c>
      <c r="I282" s="54" t="s">
        <v>9</v>
      </c>
      <c r="J282" s="56" t="s">
        <v>9</v>
      </c>
      <c r="K282" s="56" t="s">
        <v>9</v>
      </c>
      <c r="L282" s="25" t="str">
        <f t="shared" si="75"/>
        <v>Arquitetônico</v>
      </c>
      <c r="M282" s="25" t="str">
        <f t="shared" si="76"/>
        <v>Elementos.de.Esquadrias</v>
      </c>
      <c r="N282" s="25" t="str">
        <f t="shared" si="77"/>
        <v>Brises</v>
      </c>
      <c r="O282" s="25" t="str">
        <f t="shared" si="77"/>
        <v>Brise Retratil Vertical</v>
      </c>
      <c r="P282" s="20" t="s">
        <v>1343</v>
      </c>
      <c r="Q282" s="33" t="s">
        <v>1103</v>
      </c>
      <c r="R282" s="52" t="s">
        <v>9</v>
      </c>
      <c r="S282" s="26" t="str">
        <f t="shared" si="92"/>
        <v>Arquitetônico</v>
      </c>
      <c r="T282" s="26" t="str">
        <f t="shared" si="93"/>
        <v>Elementos de Esquadrias</v>
      </c>
      <c r="U282" s="26" t="str">
        <f t="shared" si="94"/>
        <v>Brises</v>
      </c>
      <c r="V282" s="20" t="s">
        <v>85</v>
      </c>
      <c r="W282" s="71" t="str">
        <f t="shared" si="91"/>
        <v>Key-ARQ-282</v>
      </c>
      <c r="X282" s="20" t="s">
        <v>1535</v>
      </c>
      <c r="Y282" s="26" t="s">
        <v>1448</v>
      </c>
      <c r="Z282" s="52" t="s">
        <v>9</v>
      </c>
      <c r="AA282" s="20" t="str">
        <f t="shared" si="90"/>
        <v>Brise-type shading element of movable blades to block solar radiation that falls laterally, as happens in the Southern Hemisphere on East-West oriented facades.</v>
      </c>
    </row>
    <row r="283" spans="1:27" ht="6" customHeight="1" x14ac:dyDescent="0.4">
      <c r="A283" s="22">
        <v>283</v>
      </c>
      <c r="B283" s="1" t="s">
        <v>1604</v>
      </c>
      <c r="C283" s="1" t="s">
        <v>1383</v>
      </c>
      <c r="D283" s="1" t="s">
        <v>1401</v>
      </c>
      <c r="E283" s="1" t="s">
        <v>1014</v>
      </c>
      <c r="F283" s="1" t="s">
        <v>1095</v>
      </c>
      <c r="G283" s="56" t="s">
        <v>9</v>
      </c>
      <c r="H283" s="54" t="s">
        <v>9</v>
      </c>
      <c r="I283" s="54" t="s">
        <v>9</v>
      </c>
      <c r="J283" s="56" t="s">
        <v>9</v>
      </c>
      <c r="K283" s="56" t="s">
        <v>9</v>
      </c>
      <c r="L283" s="25" t="str">
        <f t="shared" si="75"/>
        <v>Arquitetônico</v>
      </c>
      <c r="M283" s="25" t="str">
        <f t="shared" si="76"/>
        <v>Elementos.de.Esquadrias</v>
      </c>
      <c r="N283" s="25" t="str">
        <f t="shared" si="77"/>
        <v>Brises</v>
      </c>
      <c r="O283" s="25" t="str">
        <f t="shared" si="77"/>
        <v>Brise Fixo Horizontal</v>
      </c>
      <c r="P283" s="20" t="s">
        <v>1344</v>
      </c>
      <c r="Q283" s="33" t="s">
        <v>1101</v>
      </c>
      <c r="R283" s="52" t="s">
        <v>9</v>
      </c>
      <c r="S283" s="26" t="str">
        <f t="shared" si="92"/>
        <v>Arquitetônico</v>
      </c>
      <c r="T283" s="26" t="str">
        <f t="shared" si="93"/>
        <v>Elementos de Esquadrias</v>
      </c>
      <c r="U283" s="26" t="str">
        <f t="shared" si="94"/>
        <v>Brises</v>
      </c>
      <c r="V283" s="20" t="s">
        <v>85</v>
      </c>
      <c r="W283" s="71" t="str">
        <f t="shared" si="91"/>
        <v>Key-ARQ-283</v>
      </c>
      <c r="X283" s="20" t="s">
        <v>1535</v>
      </c>
      <c r="Y283" s="26" t="s">
        <v>1448</v>
      </c>
      <c r="Z283" s="52" t="s">
        <v>9</v>
      </c>
      <c r="AA283" s="20" t="str">
        <f t="shared" si="90"/>
        <v>Brise-type shading element of fixed blades to block solar radiation that falls vertically, as happens in the Southern hemisphere on north-facing facades.</v>
      </c>
    </row>
    <row r="284" spans="1:27" ht="6" customHeight="1" x14ac:dyDescent="0.4">
      <c r="A284" s="22">
        <v>284</v>
      </c>
      <c r="B284" s="1" t="s">
        <v>1604</v>
      </c>
      <c r="C284" s="1" t="s">
        <v>1383</v>
      </c>
      <c r="D284" s="1" t="s">
        <v>1401</v>
      </c>
      <c r="E284" s="1" t="s">
        <v>1014</v>
      </c>
      <c r="F284" s="1" t="s">
        <v>1096</v>
      </c>
      <c r="G284" s="56" t="s">
        <v>9</v>
      </c>
      <c r="H284" s="54" t="s">
        <v>9</v>
      </c>
      <c r="I284" s="54" t="s">
        <v>9</v>
      </c>
      <c r="J284" s="56" t="s">
        <v>9</v>
      </c>
      <c r="K284" s="56" t="s">
        <v>9</v>
      </c>
      <c r="L284" s="25" t="str">
        <f t="shared" ref="L284:L286" si="95">CONCATENATE("", C284)</f>
        <v>Arquitetônico</v>
      </c>
      <c r="M284" s="25" t="str">
        <f t="shared" ref="M284:M286" si="96">CONCATENATE("", D284)</f>
        <v>Elementos.de.Esquadrias</v>
      </c>
      <c r="N284" s="25" t="str">
        <f t="shared" ref="N284:O294" si="97">(SUBSTITUTE(SUBSTITUTE(CONCATENATE("",E284),"."," ")," De "," de "))</f>
        <v>Brises</v>
      </c>
      <c r="O284" s="25" t="str">
        <f t="shared" si="97"/>
        <v>Brise Fixo Vertical</v>
      </c>
      <c r="P284" s="20" t="s">
        <v>1345</v>
      </c>
      <c r="Q284" s="33" t="s">
        <v>1104</v>
      </c>
      <c r="R284" s="52" t="s">
        <v>9</v>
      </c>
      <c r="S284" s="26" t="str">
        <f t="shared" si="92"/>
        <v>Arquitetônico</v>
      </c>
      <c r="T284" s="26" t="str">
        <f t="shared" si="93"/>
        <v>Elementos de Esquadrias</v>
      </c>
      <c r="U284" s="26" t="str">
        <f t="shared" si="94"/>
        <v>Brises</v>
      </c>
      <c r="V284" s="20" t="s">
        <v>85</v>
      </c>
      <c r="W284" s="71" t="str">
        <f t="shared" si="91"/>
        <v>Key-ARQ-284</v>
      </c>
      <c r="X284" s="20" t="s">
        <v>1535</v>
      </c>
      <c r="Y284" s="26" t="s">
        <v>1448</v>
      </c>
      <c r="Z284" s="52" t="s">
        <v>9</v>
      </c>
      <c r="AA284" s="20" t="str">
        <f t="shared" si="90"/>
        <v>Brise-like shading element of fixed blades to block solar radiation that falls laterally, as happens in the Southern Hemisphere on East-West oriented facades.</v>
      </c>
    </row>
    <row r="285" spans="1:27" ht="6" customHeight="1" x14ac:dyDescent="0.4">
      <c r="A285" s="22">
        <v>285</v>
      </c>
      <c r="B285" s="1" t="s">
        <v>1604</v>
      </c>
      <c r="C285" s="1" t="s">
        <v>1383</v>
      </c>
      <c r="D285" s="1" t="s">
        <v>1401</v>
      </c>
      <c r="E285" s="1" t="s">
        <v>1014</v>
      </c>
      <c r="F285" s="1" t="s">
        <v>1097</v>
      </c>
      <c r="G285" s="56" t="s">
        <v>9</v>
      </c>
      <c r="H285" s="54" t="s">
        <v>9</v>
      </c>
      <c r="I285" s="54" t="s">
        <v>9</v>
      </c>
      <c r="J285" s="56" t="s">
        <v>9</v>
      </c>
      <c r="K285" s="56" t="s">
        <v>9</v>
      </c>
      <c r="L285" s="25" t="str">
        <f t="shared" si="95"/>
        <v>Arquitetônico</v>
      </c>
      <c r="M285" s="25" t="str">
        <f t="shared" si="96"/>
        <v>Elementos.de.Esquadrias</v>
      </c>
      <c r="N285" s="25" t="str">
        <f t="shared" si="97"/>
        <v>Brises</v>
      </c>
      <c r="O285" s="25" t="str">
        <f t="shared" si="97"/>
        <v>Brise Perfurado Horizontal</v>
      </c>
      <c r="P285" s="20" t="s">
        <v>1346</v>
      </c>
      <c r="Q285" s="33" t="s">
        <v>1099</v>
      </c>
      <c r="R285" s="52" t="s">
        <v>9</v>
      </c>
      <c r="S285" s="26" t="str">
        <f t="shared" si="92"/>
        <v>Arquitetônico</v>
      </c>
      <c r="T285" s="26" t="str">
        <f t="shared" si="93"/>
        <v>Elementos de Esquadrias</v>
      </c>
      <c r="U285" s="26" t="str">
        <f t="shared" si="94"/>
        <v>Brises</v>
      </c>
      <c r="V285" s="20" t="s">
        <v>85</v>
      </c>
      <c r="W285" s="71" t="str">
        <f t="shared" si="91"/>
        <v>Key-ARQ-285</v>
      </c>
      <c r="X285" s="20" t="s">
        <v>1535</v>
      </c>
      <c r="Y285" s="26" t="s">
        <v>1448</v>
      </c>
      <c r="Z285" s="52" t="s">
        <v>9</v>
      </c>
      <c r="AA285" s="20" t="str">
        <f t="shared" ref="AA285:AA294" si="98">_xlfn.TRANSLATE(P285,"pt","en")</f>
        <v>Brise-type shading element of fixed perforated plates to block solar radiation that falls vertically, as happens in the Southern hemisphere on north-facing facades.</v>
      </c>
    </row>
    <row r="286" spans="1:27" ht="6" customHeight="1" x14ac:dyDescent="0.4">
      <c r="A286" s="22">
        <v>286</v>
      </c>
      <c r="B286" s="1" t="s">
        <v>1604</v>
      </c>
      <c r="C286" s="1" t="s">
        <v>1383</v>
      </c>
      <c r="D286" s="1" t="s">
        <v>1401</v>
      </c>
      <c r="E286" s="1" t="s">
        <v>1014</v>
      </c>
      <c r="F286" s="1" t="s">
        <v>1098</v>
      </c>
      <c r="G286" s="56" t="s">
        <v>9</v>
      </c>
      <c r="H286" s="54" t="s">
        <v>9</v>
      </c>
      <c r="I286" s="54" t="s">
        <v>9</v>
      </c>
      <c r="J286" s="56" t="s">
        <v>9</v>
      </c>
      <c r="K286" s="56" t="s">
        <v>9</v>
      </c>
      <c r="L286" s="25" t="str">
        <f t="shared" si="95"/>
        <v>Arquitetônico</v>
      </c>
      <c r="M286" s="25" t="str">
        <f t="shared" si="96"/>
        <v>Elementos.de.Esquadrias</v>
      </c>
      <c r="N286" s="25" t="str">
        <f t="shared" si="97"/>
        <v>Brises</v>
      </c>
      <c r="O286" s="25" t="str">
        <f t="shared" si="97"/>
        <v>Brise Perfurado Vertical</v>
      </c>
      <c r="P286" s="20" t="s">
        <v>1347</v>
      </c>
      <c r="Q286" s="33" t="s">
        <v>1100</v>
      </c>
      <c r="R286" s="52" t="s">
        <v>9</v>
      </c>
      <c r="S286" s="26" t="str">
        <f t="shared" si="92"/>
        <v>Arquitetônico</v>
      </c>
      <c r="T286" s="26" t="str">
        <f t="shared" si="93"/>
        <v>Elementos de Esquadrias</v>
      </c>
      <c r="U286" s="26" t="str">
        <f t="shared" si="94"/>
        <v>Brises</v>
      </c>
      <c r="V286" s="20" t="s">
        <v>85</v>
      </c>
      <c r="W286" s="71" t="str">
        <f t="shared" si="91"/>
        <v>Key-ARQ-286</v>
      </c>
      <c r="X286" s="20" t="s">
        <v>1535</v>
      </c>
      <c r="Y286" s="26" t="s">
        <v>1448</v>
      </c>
      <c r="Z286" s="52" t="s">
        <v>9</v>
      </c>
      <c r="AA286" s="20" t="str">
        <f t="shared" si="98"/>
        <v>Brise-type shading element of fixed perforated plates to block solar radiation that falls laterally, as happens in the Southern Hemisphere on East-West oriented facades.</v>
      </c>
    </row>
    <row r="287" spans="1:27" ht="6.65" customHeight="1" x14ac:dyDescent="0.4">
      <c r="A287" s="22">
        <v>287</v>
      </c>
      <c r="B287" s="1" t="s">
        <v>1604</v>
      </c>
      <c r="C287" s="1" t="s">
        <v>1383</v>
      </c>
      <c r="D287" s="1" t="s">
        <v>1401</v>
      </c>
      <c r="E287" s="1" t="s">
        <v>1014</v>
      </c>
      <c r="F287" s="24" t="s">
        <v>1336</v>
      </c>
      <c r="G287" s="56" t="s">
        <v>9</v>
      </c>
      <c r="H287" s="56" t="s">
        <v>9</v>
      </c>
      <c r="I287" s="56" t="s">
        <v>9</v>
      </c>
      <c r="J287" s="56" t="s">
        <v>9</v>
      </c>
      <c r="K287" s="56" t="s">
        <v>9</v>
      </c>
      <c r="L287" s="25" t="str">
        <f>CONCATENATE("", C287)</f>
        <v>Arquitetônico</v>
      </c>
      <c r="M287" s="25" t="str">
        <f>CONCATENATE("", D287)</f>
        <v>Elementos.de.Esquadrias</v>
      </c>
      <c r="N287" s="25" t="str">
        <f>(SUBSTITUTE(SUBSTITUTE(CONCATENATE("",E287),"."," ")," De "," de "))</f>
        <v>Brises</v>
      </c>
      <c r="O287" s="25" t="str">
        <f t="shared" si="97"/>
        <v>Brise Veneziana</v>
      </c>
      <c r="P287" s="20" t="s">
        <v>1348</v>
      </c>
      <c r="Q287" s="20" t="s">
        <v>1333</v>
      </c>
      <c r="R287" s="52" t="s">
        <v>9</v>
      </c>
      <c r="S287" s="26" t="str">
        <f t="shared" si="92"/>
        <v>Arquitetônico</v>
      </c>
      <c r="T287" s="26" t="str">
        <f t="shared" si="93"/>
        <v>Elementos de Esquadrias</v>
      </c>
      <c r="U287" s="26" t="str">
        <f t="shared" si="94"/>
        <v>Brises</v>
      </c>
      <c r="V287" s="20" t="s">
        <v>85</v>
      </c>
      <c r="W287" s="71" t="str">
        <f t="shared" si="91"/>
        <v>Key-ARQ-287</v>
      </c>
      <c r="X287" s="20" t="s">
        <v>1535</v>
      </c>
      <c r="Y287" s="26" t="s">
        <v>1448</v>
      </c>
      <c r="Z287" s="52" t="s">
        <v>9</v>
      </c>
      <c r="AA287" s="20" t="str">
        <f t="shared" si="98"/>
        <v>Shading element type Mechanical device that limits the passage of light.</v>
      </c>
    </row>
    <row r="288" spans="1:27" ht="6" customHeight="1" x14ac:dyDescent="0.4">
      <c r="A288" s="22">
        <v>288</v>
      </c>
      <c r="B288" s="1" t="s">
        <v>1604</v>
      </c>
      <c r="C288" s="1" t="s">
        <v>1383</v>
      </c>
      <c r="D288" s="1" t="s">
        <v>1402</v>
      </c>
      <c r="E288" s="1" t="s">
        <v>1110</v>
      </c>
      <c r="F288" s="24" t="s">
        <v>1197</v>
      </c>
      <c r="G288" s="56" t="s">
        <v>9</v>
      </c>
      <c r="H288" s="54" t="s">
        <v>9</v>
      </c>
      <c r="I288" s="54" t="s">
        <v>9</v>
      </c>
      <c r="J288" s="56" t="s">
        <v>9</v>
      </c>
      <c r="K288" s="56" t="s">
        <v>9</v>
      </c>
      <c r="L288" s="25" t="str">
        <f t="shared" ref="L288:L294" si="99">CONCATENATE("", C288)</f>
        <v>Arquitetônico</v>
      </c>
      <c r="M288" s="25" t="str">
        <f t="shared" ref="M288:M294" si="100">CONCATENATE("", D288)</f>
        <v>Elementos.de.Passagens</v>
      </c>
      <c r="N288" s="25" t="str">
        <f t="shared" ref="N288:N294" si="101">(SUBSTITUTE(SUBSTITUTE(CONCATENATE("",E288),"."," ")," De "," de "))</f>
        <v>Shafts</v>
      </c>
      <c r="O288" s="25" t="str">
        <f t="shared" si="97"/>
        <v>Shaft Inespecífico</v>
      </c>
      <c r="P288" s="20" t="s">
        <v>1112</v>
      </c>
      <c r="Q288" s="20" t="s">
        <v>1112</v>
      </c>
      <c r="R288" s="52" t="s">
        <v>9</v>
      </c>
      <c r="S288" s="26" t="str">
        <f t="shared" si="92"/>
        <v>Arquitetônico</v>
      </c>
      <c r="T288" s="26" t="str">
        <f t="shared" si="93"/>
        <v>Elementos de Passagens</v>
      </c>
      <c r="U288" s="26" t="str">
        <f t="shared" si="94"/>
        <v>Shafts</v>
      </c>
      <c r="V288" s="20" t="s">
        <v>85</v>
      </c>
      <c r="W288" s="71" t="str">
        <f t="shared" si="91"/>
        <v>Key-ARQ-288</v>
      </c>
      <c r="X288" s="20" t="s">
        <v>1536</v>
      </c>
      <c r="Y288" s="26" t="s">
        <v>1449</v>
      </c>
      <c r="Z288" s="52" t="s">
        <v>1368</v>
      </c>
      <c r="AA288" s="20" t="str">
        <f t="shared" si="98"/>
        <v>Non-specific aperture.</v>
      </c>
    </row>
    <row r="289" spans="1:27" ht="6" customHeight="1" x14ac:dyDescent="0.4">
      <c r="A289" s="22">
        <v>289</v>
      </c>
      <c r="B289" s="1" t="s">
        <v>1604</v>
      </c>
      <c r="C289" s="1" t="s">
        <v>1383</v>
      </c>
      <c r="D289" s="1" t="s">
        <v>1402</v>
      </c>
      <c r="E289" s="1" t="s">
        <v>1110</v>
      </c>
      <c r="F289" s="24" t="s">
        <v>1198</v>
      </c>
      <c r="G289" s="56" t="s">
        <v>9</v>
      </c>
      <c r="H289" s="54" t="s">
        <v>9</v>
      </c>
      <c r="I289" s="54" t="s">
        <v>9</v>
      </c>
      <c r="J289" s="56" t="s">
        <v>9</v>
      </c>
      <c r="K289" s="56" t="s">
        <v>9</v>
      </c>
      <c r="L289" s="25" t="str">
        <f t="shared" si="99"/>
        <v>Arquitetônico</v>
      </c>
      <c r="M289" s="25" t="str">
        <f t="shared" si="100"/>
        <v>Elementos.de.Passagens</v>
      </c>
      <c r="N289" s="25" t="str">
        <f t="shared" si="101"/>
        <v>Shafts</v>
      </c>
      <c r="O289" s="25" t="str">
        <f t="shared" si="97"/>
        <v>Shaft Laje</v>
      </c>
      <c r="P289" s="20" t="s">
        <v>1111</v>
      </c>
      <c r="Q289" s="20" t="s">
        <v>1116</v>
      </c>
      <c r="R289" s="52" t="s">
        <v>9</v>
      </c>
      <c r="S289" s="26" t="str">
        <f t="shared" si="92"/>
        <v>Arquitetônico</v>
      </c>
      <c r="T289" s="26" t="str">
        <f t="shared" si="93"/>
        <v>Elementos de Passagens</v>
      </c>
      <c r="U289" s="26" t="str">
        <f t="shared" si="94"/>
        <v>Shafts</v>
      </c>
      <c r="V289" s="20" t="s">
        <v>85</v>
      </c>
      <c r="W289" s="71" t="str">
        <f t="shared" si="91"/>
        <v>Key-ARQ-289</v>
      </c>
      <c r="X289" s="20" t="s">
        <v>1536</v>
      </c>
      <c r="Y289" s="26" t="s">
        <v>1450</v>
      </c>
      <c r="Z289" s="52" t="s">
        <v>1368</v>
      </c>
      <c r="AA289" s="20" t="str">
        <f t="shared" si="98"/>
        <v>Opening in a slab.</v>
      </c>
    </row>
    <row r="290" spans="1:27" ht="6" customHeight="1" x14ac:dyDescent="0.4">
      <c r="A290" s="22">
        <v>290</v>
      </c>
      <c r="B290" s="1" t="s">
        <v>1604</v>
      </c>
      <c r="C290" s="1" t="s">
        <v>1383</v>
      </c>
      <c r="D290" s="1" t="s">
        <v>1402</v>
      </c>
      <c r="E290" s="1" t="s">
        <v>1110</v>
      </c>
      <c r="F290" s="37" t="s">
        <v>1122</v>
      </c>
      <c r="G290" s="56" t="s">
        <v>9</v>
      </c>
      <c r="H290" s="54" t="s">
        <v>9</v>
      </c>
      <c r="I290" s="54" t="s">
        <v>9</v>
      </c>
      <c r="J290" s="56" t="s">
        <v>9</v>
      </c>
      <c r="K290" s="56" t="s">
        <v>9</v>
      </c>
      <c r="L290" s="25" t="str">
        <f t="shared" si="99"/>
        <v>Arquitetônico</v>
      </c>
      <c r="M290" s="25" t="str">
        <f t="shared" si="100"/>
        <v>Elementos.de.Passagens</v>
      </c>
      <c r="N290" s="25" t="str">
        <f t="shared" si="101"/>
        <v>Shafts</v>
      </c>
      <c r="O290" s="25" t="str">
        <f t="shared" si="97"/>
        <v>Shaft Instalação</v>
      </c>
      <c r="P290" s="20" t="s">
        <v>1119</v>
      </c>
      <c r="Q290" s="20" t="s">
        <v>1120</v>
      </c>
      <c r="R290" s="52" t="s">
        <v>9</v>
      </c>
      <c r="S290" s="26" t="str">
        <f t="shared" si="92"/>
        <v>Arquitetônico</v>
      </c>
      <c r="T290" s="26" t="str">
        <f t="shared" si="93"/>
        <v>Elementos de Passagens</v>
      </c>
      <c r="U290" s="26" t="str">
        <f t="shared" si="94"/>
        <v>Shafts</v>
      </c>
      <c r="V290" s="20" t="s">
        <v>85</v>
      </c>
      <c r="W290" s="71" t="str">
        <f t="shared" si="91"/>
        <v>Key-ARQ-290</v>
      </c>
      <c r="X290" s="20" t="s">
        <v>1537</v>
      </c>
      <c r="Y290" s="26" t="s">
        <v>1450</v>
      </c>
      <c r="Z290" s="52" t="s">
        <v>1368</v>
      </c>
      <c r="AA290" s="20" t="str">
        <f t="shared" si="98"/>
        <v>Vertical shaft passages for all installations.</v>
      </c>
    </row>
    <row r="291" spans="1:27" ht="6" customHeight="1" x14ac:dyDescent="0.4">
      <c r="A291" s="22">
        <v>291</v>
      </c>
      <c r="B291" s="1" t="s">
        <v>1604</v>
      </c>
      <c r="C291" s="1" t="s">
        <v>1383</v>
      </c>
      <c r="D291" s="1" t="s">
        <v>1402</v>
      </c>
      <c r="E291" s="1" t="s">
        <v>1110</v>
      </c>
      <c r="F291" s="37" t="s">
        <v>1107</v>
      </c>
      <c r="G291" s="56" t="s">
        <v>9</v>
      </c>
      <c r="H291" s="54" t="s">
        <v>9</v>
      </c>
      <c r="I291" s="54" t="s">
        <v>9</v>
      </c>
      <c r="J291" s="56" t="s">
        <v>9</v>
      </c>
      <c r="K291" s="56" t="s">
        <v>9</v>
      </c>
      <c r="L291" s="25" t="str">
        <f t="shared" si="99"/>
        <v>Arquitetônico</v>
      </c>
      <c r="M291" s="25" t="str">
        <f t="shared" si="100"/>
        <v>Elementos.de.Passagens</v>
      </c>
      <c r="N291" s="25" t="str">
        <f t="shared" si="101"/>
        <v>Shafts</v>
      </c>
      <c r="O291" s="25" t="str">
        <f t="shared" si="97"/>
        <v>Shaft Elétrica</v>
      </c>
      <c r="P291" s="20" t="s">
        <v>1113</v>
      </c>
      <c r="Q291" s="20" t="s">
        <v>1121</v>
      </c>
      <c r="R291" s="52" t="s">
        <v>9</v>
      </c>
      <c r="S291" s="26" t="str">
        <f t="shared" si="92"/>
        <v>Arquitetônico</v>
      </c>
      <c r="T291" s="26" t="str">
        <f t="shared" si="93"/>
        <v>Elementos de Passagens</v>
      </c>
      <c r="U291" s="26" t="str">
        <f t="shared" si="94"/>
        <v>Shafts</v>
      </c>
      <c r="V291" s="20" t="s">
        <v>85</v>
      </c>
      <c r="W291" s="71" t="str">
        <f t="shared" si="91"/>
        <v>Key-ARQ-291</v>
      </c>
      <c r="X291" s="20" t="s">
        <v>1537</v>
      </c>
      <c r="Y291" s="26" t="s">
        <v>1450</v>
      </c>
      <c r="Z291" s="52" t="s">
        <v>1368</v>
      </c>
      <c r="AA291" s="20" t="str">
        <f t="shared" si="98"/>
        <v>Shaft-type vertical passages exclusive for electrical installations.</v>
      </c>
    </row>
    <row r="292" spans="1:27" ht="6" customHeight="1" x14ac:dyDescent="0.4">
      <c r="A292" s="22">
        <v>292</v>
      </c>
      <c r="B292" s="1" t="s">
        <v>1604</v>
      </c>
      <c r="C292" s="1" t="s">
        <v>1383</v>
      </c>
      <c r="D292" s="1" t="s">
        <v>1402</v>
      </c>
      <c r="E292" s="1" t="s">
        <v>1110</v>
      </c>
      <c r="F292" s="37" t="s">
        <v>1108</v>
      </c>
      <c r="G292" s="56" t="s">
        <v>9</v>
      </c>
      <c r="H292" s="54" t="s">
        <v>9</v>
      </c>
      <c r="I292" s="54" t="s">
        <v>9</v>
      </c>
      <c r="J292" s="56" t="s">
        <v>9</v>
      </c>
      <c r="K292" s="56" t="s">
        <v>9</v>
      </c>
      <c r="L292" s="25" t="str">
        <f t="shared" si="99"/>
        <v>Arquitetônico</v>
      </c>
      <c r="M292" s="25" t="str">
        <f t="shared" si="100"/>
        <v>Elementos.de.Passagens</v>
      </c>
      <c r="N292" s="25" t="str">
        <f t="shared" si="101"/>
        <v>Shafts</v>
      </c>
      <c r="O292" s="25" t="str">
        <f t="shared" si="97"/>
        <v>Shaft Hidráulico</v>
      </c>
      <c r="P292" s="20" t="s">
        <v>1114</v>
      </c>
      <c r="Q292" s="20" t="s">
        <v>1117</v>
      </c>
      <c r="R292" s="52" t="s">
        <v>9</v>
      </c>
      <c r="S292" s="26" t="str">
        <f t="shared" si="92"/>
        <v>Arquitetônico</v>
      </c>
      <c r="T292" s="26" t="str">
        <f t="shared" si="93"/>
        <v>Elementos de Passagens</v>
      </c>
      <c r="U292" s="26" t="str">
        <f t="shared" si="94"/>
        <v>Shafts</v>
      </c>
      <c r="V292" s="20" t="s">
        <v>85</v>
      </c>
      <c r="W292" s="71" t="str">
        <f t="shared" si="91"/>
        <v>Key-ARQ-292</v>
      </c>
      <c r="X292" s="20" t="s">
        <v>1537</v>
      </c>
      <c r="Y292" s="26" t="s">
        <v>1450</v>
      </c>
      <c r="Z292" s="52" t="s">
        <v>1368</v>
      </c>
      <c r="AA292" s="20" t="str">
        <f t="shared" si="98"/>
        <v>Shaft-type vertical passages exclusively for hydraulic installations.</v>
      </c>
    </row>
    <row r="293" spans="1:27" ht="6" customHeight="1" x14ac:dyDescent="0.4">
      <c r="A293" s="22">
        <v>293</v>
      </c>
      <c r="B293" s="1" t="s">
        <v>1604</v>
      </c>
      <c r="C293" s="1" t="s">
        <v>1383</v>
      </c>
      <c r="D293" s="1" t="s">
        <v>1402</v>
      </c>
      <c r="E293" s="1" t="s">
        <v>1110</v>
      </c>
      <c r="F293" s="37" t="s">
        <v>1109</v>
      </c>
      <c r="G293" s="56" t="s">
        <v>9</v>
      </c>
      <c r="H293" s="54" t="s">
        <v>9</v>
      </c>
      <c r="I293" s="54" t="s">
        <v>9</v>
      </c>
      <c r="J293" s="56" t="s">
        <v>9</v>
      </c>
      <c r="K293" s="56" t="s">
        <v>9</v>
      </c>
      <c r="L293" s="25" t="str">
        <f t="shared" si="99"/>
        <v>Arquitetônico</v>
      </c>
      <c r="M293" s="25" t="str">
        <f t="shared" si="100"/>
        <v>Elementos.de.Passagens</v>
      </c>
      <c r="N293" s="25" t="str">
        <f t="shared" si="101"/>
        <v>Shafts</v>
      </c>
      <c r="O293" s="25" t="str">
        <f t="shared" si="97"/>
        <v>Shaft AVAC</v>
      </c>
      <c r="P293" s="20" t="s">
        <v>1115</v>
      </c>
      <c r="Q293" s="20" t="s">
        <v>1118</v>
      </c>
      <c r="R293" s="52" t="s">
        <v>9</v>
      </c>
      <c r="S293" s="26" t="str">
        <f t="shared" si="92"/>
        <v>Arquitetônico</v>
      </c>
      <c r="T293" s="26" t="str">
        <f t="shared" si="93"/>
        <v>Elementos de Passagens</v>
      </c>
      <c r="U293" s="26" t="str">
        <f t="shared" si="94"/>
        <v>Shafts</v>
      </c>
      <c r="V293" s="20" t="s">
        <v>85</v>
      </c>
      <c r="W293" s="71" t="str">
        <f t="shared" si="91"/>
        <v>Key-ARQ-293</v>
      </c>
      <c r="X293" s="20" t="s">
        <v>1537</v>
      </c>
      <c r="Y293" s="26" t="s">
        <v>1450</v>
      </c>
      <c r="Z293" s="52" t="s">
        <v>1368</v>
      </c>
      <c r="AA293" s="20" t="str">
        <f t="shared" si="98"/>
        <v>Shaft vertical passages unique to HVAC installations</v>
      </c>
    </row>
    <row r="294" spans="1:27" ht="6" customHeight="1" x14ac:dyDescent="0.4">
      <c r="A294" s="22">
        <v>294</v>
      </c>
      <c r="B294" s="1" t="s">
        <v>1604</v>
      </c>
      <c r="C294" s="1" t="s">
        <v>1383</v>
      </c>
      <c r="D294" s="1" t="s">
        <v>1402</v>
      </c>
      <c r="E294" s="1" t="s">
        <v>1110</v>
      </c>
      <c r="F294" s="37" t="s">
        <v>1132</v>
      </c>
      <c r="G294" s="56" t="s">
        <v>9</v>
      </c>
      <c r="H294" s="54" t="s">
        <v>9</v>
      </c>
      <c r="I294" s="54" t="s">
        <v>9</v>
      </c>
      <c r="J294" s="56" t="s">
        <v>9</v>
      </c>
      <c r="K294" s="56" t="s">
        <v>9</v>
      </c>
      <c r="L294" s="25" t="str">
        <f t="shared" si="99"/>
        <v>Arquitetônico</v>
      </c>
      <c r="M294" s="25" t="str">
        <f t="shared" si="100"/>
        <v>Elementos.de.Passagens</v>
      </c>
      <c r="N294" s="25" t="str">
        <f t="shared" si="101"/>
        <v>Shafts</v>
      </c>
      <c r="O294" s="25" t="str">
        <f t="shared" si="97"/>
        <v>Shaft Lógico</v>
      </c>
      <c r="P294" s="20" t="s">
        <v>1133</v>
      </c>
      <c r="Q294" s="20" t="s">
        <v>1134</v>
      </c>
      <c r="R294" s="52" t="s">
        <v>9</v>
      </c>
      <c r="S294" s="26" t="str">
        <f t="shared" si="92"/>
        <v>Arquitetônico</v>
      </c>
      <c r="T294" s="26" t="str">
        <f t="shared" si="93"/>
        <v>Elementos de Passagens</v>
      </c>
      <c r="U294" s="26" t="str">
        <f t="shared" si="94"/>
        <v>Shafts</v>
      </c>
      <c r="V294" s="20" t="s">
        <v>85</v>
      </c>
      <c r="W294" s="71" t="str">
        <f t="shared" si="91"/>
        <v>Key-ARQ-294</v>
      </c>
      <c r="X294" s="20" t="s">
        <v>1537</v>
      </c>
      <c r="Y294" s="26" t="s">
        <v>1450</v>
      </c>
      <c r="Z294" s="52" t="s">
        <v>1368</v>
      </c>
      <c r="AA294" s="20" t="str">
        <f t="shared" si="98"/>
        <v>Unique shaft vertical passages for data network installations.</v>
      </c>
    </row>
    <row r="295" spans="1:27" ht="6" customHeight="1" x14ac:dyDescent="0.4">
      <c r="A295" s="22">
        <v>295</v>
      </c>
      <c r="B295" s="1" t="s">
        <v>1604</v>
      </c>
      <c r="C295" s="1" t="s">
        <v>1383</v>
      </c>
      <c r="D295" s="1" t="s">
        <v>1403</v>
      </c>
      <c r="E295" s="1" t="s">
        <v>1248</v>
      </c>
      <c r="F295" s="24" t="s">
        <v>904</v>
      </c>
      <c r="G295" s="56" t="s">
        <v>9</v>
      </c>
      <c r="H295" s="54" t="s">
        <v>9</v>
      </c>
      <c r="I295" s="54" t="s">
        <v>9</v>
      </c>
      <c r="J295" s="56" t="s">
        <v>9</v>
      </c>
      <c r="K295" s="56" t="s">
        <v>9</v>
      </c>
      <c r="L295" s="25" t="str">
        <f t="shared" ref="L295:L305" si="102">CONCATENATE("", C295)</f>
        <v>Arquitetônico</v>
      </c>
      <c r="M295" s="25" t="str">
        <f t="shared" ref="M295:M305" si="103">CONCATENATE("", D295)</f>
        <v>Elementos.Sanitários</v>
      </c>
      <c r="N295" s="25" t="str">
        <f t="shared" ref="N295:O305" si="104">(SUBSTITUTE(SUBSTITUTE(CONCATENATE("",E295),"."," ")," De "," de "))</f>
        <v>De Banheiros</v>
      </c>
      <c r="O295" s="25" t="str">
        <f t="shared" si="104"/>
        <v>Peça Sanitária</v>
      </c>
      <c r="P295" s="20" t="s">
        <v>891</v>
      </c>
      <c r="Q295" s="20" t="s">
        <v>892</v>
      </c>
      <c r="R295" s="52" t="s">
        <v>9</v>
      </c>
      <c r="S295" s="26" t="str">
        <f t="shared" ref="S295:S305" si="105">SUBSTITUTE(C295, ".", " ")</f>
        <v>Arquitetônico</v>
      </c>
      <c r="T295" s="26" t="str">
        <f t="shared" ref="T295:T305" si="106">SUBSTITUTE(D295, ".", " ")</f>
        <v>Elementos Sanitários</v>
      </c>
      <c r="U295" s="26" t="str">
        <f t="shared" ref="U295:U305" si="107">SUBSTITUTE(E295, ".", " ")</f>
        <v>De Banheiros</v>
      </c>
      <c r="V295" s="20" t="s">
        <v>85</v>
      </c>
      <c r="W295" s="71" t="str">
        <f t="shared" si="91"/>
        <v>Key-ARQ-295</v>
      </c>
      <c r="X295" s="20" t="s">
        <v>1534</v>
      </c>
      <c r="Y295" s="26" t="s">
        <v>1443</v>
      </c>
      <c r="Z295" s="52" t="s">
        <v>9</v>
      </c>
      <c r="AA295" s="20" t="str">
        <f t="shared" ref="AA295:AA331" si="108">_xlfn.TRANSLATE(P295,"pt","en")</f>
        <v>Sanitary terminal is a fixed appliance or terminal usually supplied with water and used for drinking.</v>
      </c>
    </row>
    <row r="296" spans="1:27" ht="6" customHeight="1" x14ac:dyDescent="0.4">
      <c r="A296" s="22">
        <v>296</v>
      </c>
      <c r="B296" s="1" t="s">
        <v>1604</v>
      </c>
      <c r="C296" s="1" t="s">
        <v>1383</v>
      </c>
      <c r="D296" s="1" t="s">
        <v>1403</v>
      </c>
      <c r="E296" s="1" t="s">
        <v>1248</v>
      </c>
      <c r="F296" s="24" t="s">
        <v>872</v>
      </c>
      <c r="G296" s="56" t="s">
        <v>9</v>
      </c>
      <c r="H296" s="54" t="s">
        <v>9</v>
      </c>
      <c r="I296" s="54" t="s">
        <v>9</v>
      </c>
      <c r="J296" s="56" t="s">
        <v>9</v>
      </c>
      <c r="K296" s="56" t="s">
        <v>9</v>
      </c>
      <c r="L296" s="25" t="str">
        <f t="shared" si="102"/>
        <v>Arquitetônico</v>
      </c>
      <c r="M296" s="25" t="str">
        <f t="shared" si="103"/>
        <v>Elementos.Sanitários</v>
      </c>
      <c r="N296" s="25" t="str">
        <f t="shared" si="104"/>
        <v>De Banheiros</v>
      </c>
      <c r="O296" s="25" t="str">
        <f t="shared" si="104"/>
        <v>Banheira</v>
      </c>
      <c r="P296" s="20" t="s">
        <v>873</v>
      </c>
      <c r="Q296" s="20" t="s">
        <v>874</v>
      </c>
      <c r="R296" s="52" t="s">
        <v>9</v>
      </c>
      <c r="S296" s="26" t="str">
        <f t="shared" si="105"/>
        <v>Arquitetônico</v>
      </c>
      <c r="T296" s="26" t="str">
        <f t="shared" si="106"/>
        <v>Elementos Sanitários</v>
      </c>
      <c r="U296" s="26" t="str">
        <f t="shared" si="107"/>
        <v>De Banheiros</v>
      </c>
      <c r="V296" s="20" t="s">
        <v>85</v>
      </c>
      <c r="W296" s="71" t="str">
        <f t="shared" si="91"/>
        <v>Key-ARQ-296</v>
      </c>
      <c r="X296" s="20" t="s">
        <v>1534</v>
      </c>
      <c r="Y296" s="26" t="s">
        <v>1451</v>
      </c>
      <c r="Z296" s="52" t="s">
        <v>9</v>
      </c>
      <c r="AA296" s="20" t="str">
        <f t="shared" si="108"/>
        <v>Sanitary apparatus for immersion of the human body or parts of it.</v>
      </c>
    </row>
    <row r="297" spans="1:27" ht="6" customHeight="1" x14ac:dyDescent="0.4">
      <c r="A297" s="22">
        <v>297</v>
      </c>
      <c r="B297" s="1" t="s">
        <v>1604</v>
      </c>
      <c r="C297" s="1" t="s">
        <v>1383</v>
      </c>
      <c r="D297" s="1" t="s">
        <v>1403</v>
      </c>
      <c r="E297" s="1" t="s">
        <v>1248</v>
      </c>
      <c r="F297" s="24" t="s">
        <v>1138</v>
      </c>
      <c r="G297" s="56" t="s">
        <v>9</v>
      </c>
      <c r="H297" s="54" t="s">
        <v>9</v>
      </c>
      <c r="I297" s="54" t="s">
        <v>9</v>
      </c>
      <c r="J297" s="56" t="s">
        <v>9</v>
      </c>
      <c r="K297" s="56" t="s">
        <v>9</v>
      </c>
      <c r="L297" s="25" t="str">
        <f t="shared" si="102"/>
        <v>Arquitetônico</v>
      </c>
      <c r="M297" s="25" t="str">
        <f t="shared" si="103"/>
        <v>Elementos.Sanitários</v>
      </c>
      <c r="N297" s="25" t="str">
        <f t="shared" si="104"/>
        <v>De Banheiros</v>
      </c>
      <c r="O297" s="25" t="str">
        <f t="shared" si="104"/>
        <v>Bebedouro</v>
      </c>
      <c r="P297" s="20" t="s">
        <v>875</v>
      </c>
      <c r="Q297" s="20" t="s">
        <v>876</v>
      </c>
      <c r="R297" s="52" t="s">
        <v>9</v>
      </c>
      <c r="S297" s="26" t="str">
        <f t="shared" si="105"/>
        <v>Arquitetônico</v>
      </c>
      <c r="T297" s="26" t="str">
        <f t="shared" si="106"/>
        <v>Elementos Sanitários</v>
      </c>
      <c r="U297" s="26" t="str">
        <f t="shared" si="107"/>
        <v>De Banheiros</v>
      </c>
      <c r="V297" s="20" t="s">
        <v>85</v>
      </c>
      <c r="W297" s="71" t="str">
        <f t="shared" si="91"/>
        <v>Key-ARQ-297</v>
      </c>
      <c r="X297" s="20" t="s">
        <v>1534</v>
      </c>
      <c r="Y297" s="26" t="s">
        <v>1452</v>
      </c>
      <c r="Z297" s="52" t="s">
        <v>9</v>
      </c>
      <c r="AA297" s="20" t="str">
        <f t="shared" si="108"/>
        <v>Sanitary terminal that provides a low-pressure jet of water for a specific purpose.</v>
      </c>
    </row>
    <row r="298" spans="1:27" ht="6" customHeight="1" x14ac:dyDescent="0.4">
      <c r="A298" s="22">
        <v>298</v>
      </c>
      <c r="B298" s="1" t="s">
        <v>1604</v>
      </c>
      <c r="C298" s="1" t="s">
        <v>1383</v>
      </c>
      <c r="D298" s="1" t="s">
        <v>1403</v>
      </c>
      <c r="E298" s="1" t="s">
        <v>1248</v>
      </c>
      <c r="F298" s="24" t="s">
        <v>877</v>
      </c>
      <c r="G298" s="56" t="s">
        <v>9</v>
      </c>
      <c r="H298" s="54" t="s">
        <v>9</v>
      </c>
      <c r="I298" s="54" t="s">
        <v>9</v>
      </c>
      <c r="J298" s="56" t="s">
        <v>9</v>
      </c>
      <c r="K298" s="56" t="s">
        <v>9</v>
      </c>
      <c r="L298" s="25" t="str">
        <f t="shared" si="102"/>
        <v>Arquitetônico</v>
      </c>
      <c r="M298" s="25" t="str">
        <f t="shared" si="103"/>
        <v>Elementos.Sanitários</v>
      </c>
      <c r="N298" s="25" t="str">
        <f t="shared" si="104"/>
        <v>De Banheiros</v>
      </c>
      <c r="O298" s="25" t="str">
        <f t="shared" si="104"/>
        <v>Bidet</v>
      </c>
      <c r="P298" s="20" t="s">
        <v>878</v>
      </c>
      <c r="Q298" s="20" t="s">
        <v>879</v>
      </c>
      <c r="R298" s="52" t="s">
        <v>9</v>
      </c>
      <c r="S298" s="26" t="str">
        <f t="shared" si="105"/>
        <v>Arquitetônico</v>
      </c>
      <c r="T298" s="26" t="str">
        <f t="shared" si="106"/>
        <v>Elementos Sanitários</v>
      </c>
      <c r="U298" s="26" t="str">
        <f t="shared" si="107"/>
        <v>De Banheiros</v>
      </c>
      <c r="V298" s="20" t="s">
        <v>85</v>
      </c>
      <c r="W298" s="71" t="str">
        <f t="shared" si="91"/>
        <v>Key-ARQ-298</v>
      </c>
      <c r="X298" s="20" t="s">
        <v>1534</v>
      </c>
      <c r="Y298" s="26" t="s">
        <v>1453</v>
      </c>
      <c r="Z298" s="52" t="s">
        <v>9</v>
      </c>
      <c r="AA298" s="20" t="str">
        <f t="shared" si="108"/>
        <v>Wastewater apparatus for flushing excretory organs while seated mounted on the toilet.</v>
      </c>
    </row>
    <row r="299" spans="1:27" ht="6" customHeight="1" x14ac:dyDescent="0.4">
      <c r="A299" s="22">
        <v>299</v>
      </c>
      <c r="B299" s="1" t="s">
        <v>1604</v>
      </c>
      <c r="C299" s="1" t="s">
        <v>1383</v>
      </c>
      <c r="D299" s="1" t="s">
        <v>1403</v>
      </c>
      <c r="E299" s="1" t="s">
        <v>1248</v>
      </c>
      <c r="F299" s="24" t="s">
        <v>880</v>
      </c>
      <c r="G299" s="56" t="s">
        <v>9</v>
      </c>
      <c r="H299" s="54" t="s">
        <v>9</v>
      </c>
      <c r="I299" s="54" t="s">
        <v>9</v>
      </c>
      <c r="J299" s="56" t="s">
        <v>9</v>
      </c>
      <c r="K299" s="56" t="s">
        <v>9</v>
      </c>
      <c r="L299" s="25" t="str">
        <f t="shared" si="102"/>
        <v>Arquitetônico</v>
      </c>
      <c r="M299" s="25" t="str">
        <f t="shared" si="103"/>
        <v>Elementos.Sanitários</v>
      </c>
      <c r="N299" s="25" t="str">
        <f t="shared" si="104"/>
        <v>De Banheiros</v>
      </c>
      <c r="O299" s="25" t="str">
        <f t="shared" si="104"/>
        <v>Chuveiro</v>
      </c>
      <c r="P299" s="20" t="s">
        <v>881</v>
      </c>
      <c r="Q299" s="20" t="s">
        <v>882</v>
      </c>
      <c r="R299" s="52" t="s">
        <v>9</v>
      </c>
      <c r="S299" s="26" t="str">
        <f t="shared" si="105"/>
        <v>Arquitetônico</v>
      </c>
      <c r="T299" s="26" t="str">
        <f t="shared" si="106"/>
        <v>Elementos Sanitários</v>
      </c>
      <c r="U299" s="26" t="str">
        <f t="shared" si="107"/>
        <v>De Banheiros</v>
      </c>
      <c r="V299" s="20" t="s">
        <v>85</v>
      </c>
      <c r="W299" s="71" t="str">
        <f t="shared" si="91"/>
        <v>Key-ARQ-299</v>
      </c>
      <c r="X299" s="20" t="s">
        <v>1534</v>
      </c>
      <c r="Y299" s="26" t="s">
        <v>1454</v>
      </c>
      <c r="Z299" s="52" t="s">
        <v>9</v>
      </c>
      <c r="AA299" s="20" t="str">
        <f t="shared" si="108"/>
        <v>A wastewater facility or appliance that emits a jet of water to wash the human body.</v>
      </c>
    </row>
    <row r="300" spans="1:27" ht="6" customHeight="1" x14ac:dyDescent="0.4">
      <c r="A300" s="22">
        <v>300</v>
      </c>
      <c r="B300" s="1" t="s">
        <v>1604</v>
      </c>
      <c r="C300" s="1" t="s">
        <v>1383</v>
      </c>
      <c r="D300" s="1" t="s">
        <v>1403</v>
      </c>
      <c r="E300" s="1" t="s">
        <v>1248</v>
      </c>
      <c r="F300" s="24" t="s">
        <v>1139</v>
      </c>
      <c r="G300" s="56" t="s">
        <v>9</v>
      </c>
      <c r="H300" s="54" t="s">
        <v>9</v>
      </c>
      <c r="I300" s="54" t="s">
        <v>9</v>
      </c>
      <c r="J300" s="56" t="s">
        <v>9</v>
      </c>
      <c r="K300" s="56" t="s">
        <v>9</v>
      </c>
      <c r="L300" s="25" t="str">
        <f t="shared" si="102"/>
        <v>Arquitetônico</v>
      </c>
      <c r="M300" s="25" t="str">
        <f t="shared" si="103"/>
        <v>Elementos.Sanitários</v>
      </c>
      <c r="N300" s="25" t="str">
        <f t="shared" si="104"/>
        <v>De Banheiros</v>
      </c>
      <c r="O300" s="25" t="str">
        <f t="shared" si="104"/>
        <v>Lavatório</v>
      </c>
      <c r="P300" s="20" t="s">
        <v>883</v>
      </c>
      <c r="Q300" s="20" t="s">
        <v>884</v>
      </c>
      <c r="R300" s="52" t="s">
        <v>9</v>
      </c>
      <c r="S300" s="26" t="str">
        <f t="shared" si="105"/>
        <v>Arquitetônico</v>
      </c>
      <c r="T300" s="26" t="str">
        <f t="shared" si="106"/>
        <v>Elementos Sanitários</v>
      </c>
      <c r="U300" s="26" t="str">
        <f t="shared" si="107"/>
        <v>De Banheiros</v>
      </c>
      <c r="V300" s="20" t="s">
        <v>85</v>
      </c>
      <c r="W300" s="71" t="str">
        <f t="shared" si="91"/>
        <v>Key-ARQ-300</v>
      </c>
      <c r="X300" s="20" t="s">
        <v>1534</v>
      </c>
      <c r="Y300" s="26" t="s">
        <v>1455</v>
      </c>
      <c r="Z300" s="52" t="s">
        <v>9</v>
      </c>
      <c r="AA300" s="20" t="str">
        <f t="shared" si="108"/>
        <v>Wastewater apparatus for washing the upper parts of the body.</v>
      </c>
    </row>
    <row r="301" spans="1:27" ht="6" customHeight="1" x14ac:dyDescent="0.4">
      <c r="A301" s="22">
        <v>301</v>
      </c>
      <c r="B301" s="1" t="s">
        <v>1604</v>
      </c>
      <c r="C301" s="1" t="s">
        <v>1383</v>
      </c>
      <c r="D301" s="1" t="s">
        <v>1403</v>
      </c>
      <c r="E301" s="1" t="s">
        <v>1248</v>
      </c>
      <c r="F301" s="24" t="s">
        <v>885</v>
      </c>
      <c r="G301" s="56" t="s">
        <v>9</v>
      </c>
      <c r="H301" s="54" t="s">
        <v>9</v>
      </c>
      <c r="I301" s="54" t="s">
        <v>9</v>
      </c>
      <c r="J301" s="56" t="s">
        <v>9</v>
      </c>
      <c r="K301" s="56" t="s">
        <v>9</v>
      </c>
      <c r="L301" s="25" t="str">
        <f t="shared" si="102"/>
        <v>Arquitetônico</v>
      </c>
      <c r="M301" s="25" t="str">
        <f t="shared" si="103"/>
        <v>Elementos.Sanitários</v>
      </c>
      <c r="N301" s="25" t="str">
        <f t="shared" si="104"/>
        <v>De Banheiros</v>
      </c>
      <c r="O301" s="25" t="str">
        <f t="shared" si="104"/>
        <v>Mictório</v>
      </c>
      <c r="P301" s="20" t="s">
        <v>886</v>
      </c>
      <c r="Q301" s="20" t="s">
        <v>887</v>
      </c>
      <c r="R301" s="52" t="s">
        <v>9</v>
      </c>
      <c r="S301" s="26" t="str">
        <f t="shared" si="105"/>
        <v>Arquitetônico</v>
      </c>
      <c r="T301" s="26" t="str">
        <f t="shared" si="106"/>
        <v>Elementos Sanitários</v>
      </c>
      <c r="U301" s="26" t="str">
        <f t="shared" si="107"/>
        <v>De Banheiros</v>
      </c>
      <c r="V301" s="20" t="s">
        <v>85</v>
      </c>
      <c r="W301" s="71" t="str">
        <f t="shared" si="91"/>
        <v>Key-ARQ-301</v>
      </c>
      <c r="X301" s="20" t="s">
        <v>1534</v>
      </c>
      <c r="Y301" s="26" t="s">
        <v>1456</v>
      </c>
      <c r="Z301" s="52" t="s">
        <v>9</v>
      </c>
      <c r="AA301" s="20" t="str">
        <f t="shared" si="108"/>
        <v>Ground apparatus that receives urine and directs it to a waste outlet.</v>
      </c>
    </row>
    <row r="302" spans="1:27" ht="6" customHeight="1" x14ac:dyDescent="0.4">
      <c r="A302" s="22">
        <v>302</v>
      </c>
      <c r="B302" s="1" t="s">
        <v>1604</v>
      </c>
      <c r="C302" s="1" t="s">
        <v>1383</v>
      </c>
      <c r="D302" s="1" t="s">
        <v>1403</v>
      </c>
      <c r="E302" s="1" t="s">
        <v>1248</v>
      </c>
      <c r="F302" s="24" t="s">
        <v>888</v>
      </c>
      <c r="G302" s="56" t="s">
        <v>9</v>
      </c>
      <c r="H302" s="54" t="s">
        <v>9</v>
      </c>
      <c r="I302" s="54" t="s">
        <v>9</v>
      </c>
      <c r="J302" s="56" t="s">
        <v>9</v>
      </c>
      <c r="K302" s="56" t="s">
        <v>9</v>
      </c>
      <c r="L302" s="25" t="str">
        <f t="shared" si="102"/>
        <v>Arquitetônico</v>
      </c>
      <c r="M302" s="25" t="str">
        <f t="shared" si="103"/>
        <v>Elementos.Sanitários</v>
      </c>
      <c r="N302" s="25" t="str">
        <f t="shared" si="104"/>
        <v>De Banheiros</v>
      </c>
      <c r="O302" s="25" t="str">
        <f t="shared" si="104"/>
        <v>Pia</v>
      </c>
      <c r="P302" s="20" t="s">
        <v>889</v>
      </c>
      <c r="Q302" s="20" t="s">
        <v>890</v>
      </c>
      <c r="R302" s="52" t="s">
        <v>9</v>
      </c>
      <c r="S302" s="26" t="str">
        <f t="shared" si="105"/>
        <v>Arquitetônico</v>
      </c>
      <c r="T302" s="26" t="str">
        <f t="shared" si="106"/>
        <v>Elementos Sanitários</v>
      </c>
      <c r="U302" s="26" t="str">
        <f t="shared" si="107"/>
        <v>De Banheiros</v>
      </c>
      <c r="V302" s="20" t="s">
        <v>85</v>
      </c>
      <c r="W302" s="71" t="str">
        <f t="shared" si="91"/>
        <v>Key-ARQ-302</v>
      </c>
      <c r="X302" s="20" t="s">
        <v>1534</v>
      </c>
      <c r="Y302" s="26" t="s">
        <v>1457</v>
      </c>
      <c r="Z302" s="52" t="s">
        <v>9</v>
      </c>
      <c r="AA302" s="20" t="str">
        <f t="shared" si="108"/>
        <v>Wastewater apparatus for receiving, retaining or disposing of domestic, culinary, laboratory appliances.</v>
      </c>
    </row>
    <row r="303" spans="1:27" ht="6" customHeight="1" x14ac:dyDescent="0.4">
      <c r="A303" s="22">
        <v>303</v>
      </c>
      <c r="B303" s="1" t="s">
        <v>1604</v>
      </c>
      <c r="C303" s="1" t="s">
        <v>1383</v>
      </c>
      <c r="D303" s="1" t="s">
        <v>1403</v>
      </c>
      <c r="E303" s="1" t="s">
        <v>1248</v>
      </c>
      <c r="F303" s="24" t="s">
        <v>893</v>
      </c>
      <c r="G303" s="56" t="s">
        <v>9</v>
      </c>
      <c r="H303" s="54" t="s">
        <v>9</v>
      </c>
      <c r="I303" s="54" t="s">
        <v>9</v>
      </c>
      <c r="J303" s="56" t="s">
        <v>9</v>
      </c>
      <c r="K303" s="56" t="s">
        <v>9</v>
      </c>
      <c r="L303" s="25" t="str">
        <f t="shared" si="102"/>
        <v>Arquitetônico</v>
      </c>
      <c r="M303" s="25" t="str">
        <f t="shared" si="103"/>
        <v>Elementos.Sanitários</v>
      </c>
      <c r="N303" s="25" t="str">
        <f t="shared" si="104"/>
        <v>De Banheiros</v>
      </c>
      <c r="O303" s="25" t="str">
        <f t="shared" si="104"/>
        <v>Vaso Sanitário</v>
      </c>
      <c r="P303" s="20" t="s">
        <v>894</v>
      </c>
      <c r="Q303" s="20" t="s">
        <v>895</v>
      </c>
      <c r="R303" s="52" t="s">
        <v>9</v>
      </c>
      <c r="S303" s="26" t="str">
        <f t="shared" si="105"/>
        <v>Arquitetônico</v>
      </c>
      <c r="T303" s="26" t="str">
        <f t="shared" si="106"/>
        <v>Elementos Sanitários</v>
      </c>
      <c r="U303" s="26" t="str">
        <f t="shared" si="107"/>
        <v>De Banheiros</v>
      </c>
      <c r="V303" s="20" t="s">
        <v>85</v>
      </c>
      <c r="W303" s="71" t="str">
        <f t="shared" si="91"/>
        <v>Key-ARQ-303</v>
      </c>
      <c r="X303" s="20" t="s">
        <v>1534</v>
      </c>
      <c r="Y303" s="26" t="s">
        <v>1458</v>
      </c>
      <c r="Z303" s="52" t="s">
        <v>9</v>
      </c>
      <c r="AA303" s="20" t="str">
        <f t="shared" si="108"/>
        <v>Soil apparatus for excrement disposal.</v>
      </c>
    </row>
    <row r="304" spans="1:27" ht="6" customHeight="1" x14ac:dyDescent="0.4">
      <c r="A304" s="22">
        <v>304</v>
      </c>
      <c r="B304" s="1" t="s">
        <v>1604</v>
      </c>
      <c r="C304" s="1" t="s">
        <v>1383</v>
      </c>
      <c r="D304" s="1" t="s">
        <v>1403</v>
      </c>
      <c r="E304" s="1" t="s">
        <v>1248</v>
      </c>
      <c r="F304" s="24" t="s">
        <v>896</v>
      </c>
      <c r="G304" s="56" t="s">
        <v>9</v>
      </c>
      <c r="H304" s="54" t="s">
        <v>9</v>
      </c>
      <c r="I304" s="54" t="s">
        <v>9</v>
      </c>
      <c r="J304" s="56" t="s">
        <v>9</v>
      </c>
      <c r="K304" s="56" t="s">
        <v>9</v>
      </c>
      <c r="L304" s="25" t="str">
        <f t="shared" si="102"/>
        <v>Arquitetônico</v>
      </c>
      <c r="M304" s="25" t="str">
        <f t="shared" si="103"/>
        <v>Elementos.Sanitários</v>
      </c>
      <c r="N304" s="25" t="str">
        <f t="shared" si="104"/>
        <v>De Banheiros</v>
      </c>
      <c r="O304" s="25" t="str">
        <f t="shared" si="104"/>
        <v>Vaso Sanitário Assento</v>
      </c>
      <c r="P304" s="20" t="s">
        <v>897</v>
      </c>
      <c r="Q304" s="20" t="s">
        <v>898</v>
      </c>
      <c r="R304" s="52" t="s">
        <v>9</v>
      </c>
      <c r="S304" s="26" t="str">
        <f t="shared" si="105"/>
        <v>Arquitetônico</v>
      </c>
      <c r="T304" s="26" t="str">
        <f t="shared" si="106"/>
        <v>Elementos Sanitários</v>
      </c>
      <c r="U304" s="26" t="str">
        <f t="shared" si="107"/>
        <v>De Banheiros</v>
      </c>
      <c r="V304" s="20" t="s">
        <v>85</v>
      </c>
      <c r="W304" s="71" t="str">
        <f t="shared" si="91"/>
        <v>Key-ARQ-304</v>
      </c>
      <c r="X304" s="20" t="s">
        <v>1534</v>
      </c>
      <c r="Y304" s="26" t="s">
        <v>1459</v>
      </c>
      <c r="Z304" s="52" t="s">
        <v>9</v>
      </c>
      <c r="AA304" s="20" t="str">
        <f t="shared" si="108"/>
        <v>Obsolete hinged seat that fits on top of a toilet pan (toilet).</v>
      </c>
    </row>
    <row r="305" spans="1:27" ht="6" customHeight="1" x14ac:dyDescent="0.4">
      <c r="A305" s="22">
        <v>305</v>
      </c>
      <c r="B305" s="1" t="s">
        <v>1604</v>
      </c>
      <c r="C305" s="1" t="s">
        <v>1383</v>
      </c>
      <c r="D305" s="1" t="s">
        <v>1403</v>
      </c>
      <c r="E305" s="1" t="s">
        <v>1248</v>
      </c>
      <c r="F305" s="24" t="s">
        <v>1140</v>
      </c>
      <c r="G305" s="56" t="s">
        <v>9</v>
      </c>
      <c r="H305" s="54" t="s">
        <v>9</v>
      </c>
      <c r="I305" s="54" t="s">
        <v>9</v>
      </c>
      <c r="J305" s="56" t="s">
        <v>9</v>
      </c>
      <c r="K305" s="56" t="s">
        <v>9</v>
      </c>
      <c r="L305" s="25" t="str">
        <f t="shared" si="102"/>
        <v>Arquitetônico</v>
      </c>
      <c r="M305" s="25" t="str">
        <f t="shared" si="103"/>
        <v>Elementos.Sanitários</v>
      </c>
      <c r="N305" s="25" t="str">
        <f t="shared" si="104"/>
        <v>De Banheiros</v>
      </c>
      <c r="O305" s="25" t="str">
        <f t="shared" si="104"/>
        <v>Vaso Sanitário Caixa</v>
      </c>
      <c r="P305" s="20" t="s">
        <v>899</v>
      </c>
      <c r="Q305" s="20" t="s">
        <v>900</v>
      </c>
      <c r="R305" s="52" t="s">
        <v>9</v>
      </c>
      <c r="S305" s="26" t="str">
        <f t="shared" si="105"/>
        <v>Arquitetônico</v>
      </c>
      <c r="T305" s="26" t="str">
        <f t="shared" si="106"/>
        <v>Elementos Sanitários</v>
      </c>
      <c r="U305" s="26" t="str">
        <f t="shared" si="107"/>
        <v>De Banheiros</v>
      </c>
      <c r="V305" s="20" t="s">
        <v>85</v>
      </c>
      <c r="W305" s="71" t="str">
        <f t="shared" si="91"/>
        <v>Key-ARQ-305</v>
      </c>
      <c r="X305" s="20" t="s">
        <v>1534</v>
      </c>
      <c r="Y305" s="26" t="s">
        <v>1460</v>
      </c>
      <c r="Z305" s="52" t="s">
        <v>9</v>
      </c>
      <c r="AA305" s="20" t="str">
        <f t="shared" si="108"/>
        <v>Water storage unit connected to a sanitary terminal equipped with a device, operated automatically.</v>
      </c>
    </row>
    <row r="306" spans="1:27" ht="6" customHeight="1" x14ac:dyDescent="0.4">
      <c r="A306" s="22">
        <v>306</v>
      </c>
      <c r="B306" s="1" t="s">
        <v>1604</v>
      </c>
      <c r="C306" s="1" t="s">
        <v>1383</v>
      </c>
      <c r="D306" s="1" t="s">
        <v>1404</v>
      </c>
      <c r="E306" s="1" t="s">
        <v>1135</v>
      </c>
      <c r="F306" s="24" t="s">
        <v>961</v>
      </c>
      <c r="G306" s="56" t="s">
        <v>9</v>
      </c>
      <c r="H306" s="54" t="s">
        <v>9</v>
      </c>
      <c r="I306" s="54" t="s">
        <v>9</v>
      </c>
      <c r="J306" s="56" t="s">
        <v>9</v>
      </c>
      <c r="K306" s="56" t="s">
        <v>9</v>
      </c>
      <c r="L306" s="25" t="str">
        <f t="shared" ref="L306:L312" si="109">CONCATENATE("", C306)</f>
        <v>Arquitetônico</v>
      </c>
      <c r="M306" s="25" t="str">
        <f t="shared" ref="M306:M312" si="110">CONCATENATE("", D306)</f>
        <v>Elementos.Hospitalares</v>
      </c>
      <c r="N306" s="25" t="str">
        <f t="shared" ref="N306:O312" si="111">(SUBSTITUTE(SUBSTITUTE(CONCATENATE("",E306),"."," ")," De "," de "))</f>
        <v>Aparelho Saúde</v>
      </c>
      <c r="O306" s="25" t="str">
        <f t="shared" si="111"/>
        <v>Dispositivo Médico</v>
      </c>
      <c r="P306" s="20" t="s">
        <v>962</v>
      </c>
      <c r="Q306" s="20" t="s">
        <v>963</v>
      </c>
      <c r="R306" s="52" t="s">
        <v>9</v>
      </c>
      <c r="S306" s="26" t="str">
        <f t="shared" ref="S306:S312" si="112">SUBSTITUTE(C306, ".", " ")</f>
        <v>Arquitetônico</v>
      </c>
      <c r="T306" s="26" t="str">
        <f t="shared" ref="T306:T312" si="113">SUBSTITUTE(D306, ".", " ")</f>
        <v>Elementos Hospitalares</v>
      </c>
      <c r="U306" s="26" t="str">
        <f t="shared" ref="U306:U312" si="114">SUBSTITUTE(E306, ".", " ")</f>
        <v>Aparelho Saúde</v>
      </c>
      <c r="V306" s="20" t="s">
        <v>85</v>
      </c>
      <c r="W306" s="71" t="str">
        <f t="shared" si="91"/>
        <v>Key-ARQ-306</v>
      </c>
      <c r="X306" s="20" t="s">
        <v>1538</v>
      </c>
      <c r="Y306" s="26" t="s">
        <v>1461</v>
      </c>
      <c r="Z306" s="52" t="s">
        <v>9</v>
      </c>
      <c r="AA306" s="20" t="str">
        <f t="shared" si="108"/>
        <v>Medical device is connected to medical piping system and operates on medical gases.</v>
      </c>
    </row>
    <row r="307" spans="1:27" ht="6" customHeight="1" x14ac:dyDescent="0.4">
      <c r="A307" s="22">
        <v>307</v>
      </c>
      <c r="B307" s="1" t="s">
        <v>1604</v>
      </c>
      <c r="C307" s="1" t="s">
        <v>1383</v>
      </c>
      <c r="D307" s="1" t="s">
        <v>1404</v>
      </c>
      <c r="E307" s="1" t="s">
        <v>1135</v>
      </c>
      <c r="F307" s="24" t="s">
        <v>977</v>
      </c>
      <c r="G307" s="56" t="s">
        <v>9</v>
      </c>
      <c r="H307" s="54" t="s">
        <v>9</v>
      </c>
      <c r="I307" s="54" t="s">
        <v>9</v>
      </c>
      <c r="J307" s="56" t="s">
        <v>9</v>
      </c>
      <c r="K307" s="56" t="s">
        <v>9</v>
      </c>
      <c r="L307" s="25" t="str">
        <f t="shared" si="109"/>
        <v>Arquitetônico</v>
      </c>
      <c r="M307" s="25" t="str">
        <f t="shared" si="110"/>
        <v>Elementos.Hospitalares</v>
      </c>
      <c r="N307" s="25" t="str">
        <f t="shared" si="111"/>
        <v>Aparelho Saúde</v>
      </c>
      <c r="O307" s="25" t="str">
        <f t="shared" si="111"/>
        <v>Ar Medicinal Estação</v>
      </c>
      <c r="P307" s="20" t="s">
        <v>964</v>
      </c>
      <c r="Q307" s="20" t="s">
        <v>965</v>
      </c>
      <c r="R307" s="52" t="s">
        <v>9</v>
      </c>
      <c r="S307" s="26" t="str">
        <f t="shared" si="112"/>
        <v>Arquitetônico</v>
      </c>
      <c r="T307" s="26" t="str">
        <f t="shared" si="113"/>
        <v>Elementos Hospitalares</v>
      </c>
      <c r="U307" s="26" t="str">
        <f t="shared" si="114"/>
        <v>Aparelho Saúde</v>
      </c>
      <c r="V307" s="20" t="s">
        <v>85</v>
      </c>
      <c r="W307" s="71" t="str">
        <f t="shared" si="91"/>
        <v>Key-ARQ-307</v>
      </c>
      <c r="X307" s="20" t="s">
        <v>1538</v>
      </c>
      <c r="Y307" s="26" t="s">
        <v>1462</v>
      </c>
      <c r="Z307" s="52" t="s">
        <v>9</v>
      </c>
      <c r="AA307" s="20" t="str">
        <f t="shared" si="108"/>
        <v>Device that provides purified medical air, consisting of an overhead compressor.</v>
      </c>
    </row>
    <row r="308" spans="1:27" ht="6" customHeight="1" x14ac:dyDescent="0.4">
      <c r="A308" s="22">
        <v>308</v>
      </c>
      <c r="B308" s="1" t="s">
        <v>1604</v>
      </c>
      <c r="C308" s="1" t="s">
        <v>1383</v>
      </c>
      <c r="D308" s="1" t="s">
        <v>1404</v>
      </c>
      <c r="E308" s="1" t="s">
        <v>1135</v>
      </c>
      <c r="F308" s="24" t="s">
        <v>976</v>
      </c>
      <c r="G308" s="56" t="s">
        <v>9</v>
      </c>
      <c r="H308" s="54" t="s">
        <v>9</v>
      </c>
      <c r="I308" s="54" t="s">
        <v>9</v>
      </c>
      <c r="J308" s="56" t="s">
        <v>9</v>
      </c>
      <c r="K308" s="56" t="s">
        <v>9</v>
      </c>
      <c r="L308" s="25" t="str">
        <f t="shared" si="109"/>
        <v>Arquitetônico</v>
      </c>
      <c r="M308" s="25" t="str">
        <f t="shared" si="110"/>
        <v>Elementos.Hospitalares</v>
      </c>
      <c r="N308" s="25" t="str">
        <f t="shared" si="111"/>
        <v>Aparelho Saúde</v>
      </c>
      <c r="O308" s="25" t="str">
        <f t="shared" si="111"/>
        <v>Ar Medicinal Alimentador</v>
      </c>
      <c r="P308" s="20" t="s">
        <v>966</v>
      </c>
      <c r="Q308" s="20" t="s">
        <v>967</v>
      </c>
      <c r="R308" s="52" t="s">
        <v>9</v>
      </c>
      <c r="S308" s="26" t="str">
        <f t="shared" si="112"/>
        <v>Arquitetônico</v>
      </c>
      <c r="T308" s="26" t="str">
        <f t="shared" si="113"/>
        <v>Elementos Hospitalares</v>
      </c>
      <c r="U308" s="26" t="str">
        <f t="shared" si="114"/>
        <v>Aparelho Saúde</v>
      </c>
      <c r="V308" s="20" t="s">
        <v>85</v>
      </c>
      <c r="W308" s="71" t="str">
        <f t="shared" si="91"/>
        <v>Key-ARQ-308</v>
      </c>
      <c r="X308" s="20" t="s">
        <v>1538</v>
      </c>
      <c r="Y308" s="26" t="s">
        <v>1463</v>
      </c>
      <c r="Z308" s="52" t="s">
        <v>9</v>
      </c>
      <c r="AA308" s="20" t="str">
        <f t="shared" si="108"/>
        <v>Device that powers an oxygen generator, consisting of an air compressor, air handling line.</v>
      </c>
    </row>
    <row r="309" spans="1:27" ht="6" customHeight="1" x14ac:dyDescent="0.4">
      <c r="A309" s="22">
        <v>309</v>
      </c>
      <c r="B309" s="1" t="s">
        <v>1604</v>
      </c>
      <c r="C309" s="1" t="s">
        <v>1383</v>
      </c>
      <c r="D309" s="1" t="s">
        <v>1404</v>
      </c>
      <c r="E309" s="1" t="s">
        <v>1135</v>
      </c>
      <c r="F309" s="24" t="s">
        <v>980</v>
      </c>
      <c r="G309" s="56" t="s">
        <v>9</v>
      </c>
      <c r="H309" s="54" t="s">
        <v>9</v>
      </c>
      <c r="I309" s="54" t="s">
        <v>9</v>
      </c>
      <c r="J309" s="56" t="s">
        <v>9</v>
      </c>
      <c r="K309" s="56" t="s">
        <v>9</v>
      </c>
      <c r="L309" s="25" t="str">
        <f t="shared" si="109"/>
        <v>Arquitetônico</v>
      </c>
      <c r="M309" s="25" t="str">
        <f t="shared" si="110"/>
        <v>Elementos.Hospitalares</v>
      </c>
      <c r="N309" s="25" t="str">
        <f t="shared" si="111"/>
        <v>Aparelho Saúde</v>
      </c>
      <c r="O309" s="25" t="str">
        <f t="shared" si="111"/>
        <v>Vácuo Medicinal Estação</v>
      </c>
      <c r="P309" s="20" t="s">
        <v>972</v>
      </c>
      <c r="Q309" s="20" t="s">
        <v>973</v>
      </c>
      <c r="R309" s="52" t="s">
        <v>9</v>
      </c>
      <c r="S309" s="26" t="str">
        <f t="shared" si="112"/>
        <v>Arquitetônico</v>
      </c>
      <c r="T309" s="26" t="str">
        <f t="shared" si="113"/>
        <v>Elementos Hospitalares</v>
      </c>
      <c r="U309" s="26" t="str">
        <f t="shared" si="114"/>
        <v>Aparelho Saúde</v>
      </c>
      <c r="V309" s="20" t="s">
        <v>85</v>
      </c>
      <c r="W309" s="71" t="str">
        <f t="shared" si="91"/>
        <v>Key-ARQ-309</v>
      </c>
      <c r="X309" s="20" t="s">
        <v>1538</v>
      </c>
      <c r="Y309" s="26" t="s">
        <v>1464</v>
      </c>
      <c r="Z309" s="52" t="s">
        <v>9</v>
      </c>
      <c r="AA309" s="20" t="str">
        <f t="shared" si="108"/>
        <v>Device that provides suction, consisting of a vacuum pump and bacterial filtration line.</v>
      </c>
    </row>
    <row r="310" spans="1:27" ht="6" customHeight="1" x14ac:dyDescent="0.4">
      <c r="A310" s="22">
        <v>310</v>
      </c>
      <c r="B310" s="1" t="s">
        <v>1604</v>
      </c>
      <c r="C310" s="1" t="s">
        <v>1383</v>
      </c>
      <c r="D310" s="1" t="s">
        <v>1404</v>
      </c>
      <c r="E310" s="1" t="s">
        <v>1135</v>
      </c>
      <c r="F310" s="24" t="s">
        <v>978</v>
      </c>
      <c r="G310" s="56" t="s">
        <v>9</v>
      </c>
      <c r="H310" s="54" t="s">
        <v>9</v>
      </c>
      <c r="I310" s="54" t="s">
        <v>9</v>
      </c>
      <c r="J310" s="56" t="s">
        <v>9</v>
      </c>
      <c r="K310" s="56" t="s">
        <v>9</v>
      </c>
      <c r="L310" s="25" t="str">
        <f t="shared" si="109"/>
        <v>Arquitetônico</v>
      </c>
      <c r="M310" s="25" t="str">
        <f t="shared" si="110"/>
        <v>Elementos.Hospitalares</v>
      </c>
      <c r="N310" s="25" t="str">
        <f t="shared" si="111"/>
        <v>Aparelho Saúde</v>
      </c>
      <c r="O310" s="25" t="str">
        <f t="shared" si="111"/>
        <v>Oxigênio Gerador</v>
      </c>
      <c r="P310" s="20" t="s">
        <v>968</v>
      </c>
      <c r="Q310" s="20" t="s">
        <v>969</v>
      </c>
      <c r="R310" s="52" t="s">
        <v>9</v>
      </c>
      <c r="S310" s="26" t="str">
        <f t="shared" si="112"/>
        <v>Arquitetônico</v>
      </c>
      <c r="T310" s="26" t="str">
        <f t="shared" si="113"/>
        <v>Elementos Hospitalares</v>
      </c>
      <c r="U310" s="26" t="str">
        <f t="shared" si="114"/>
        <v>Aparelho Saúde</v>
      </c>
      <c r="V310" s="20" t="s">
        <v>85</v>
      </c>
      <c r="W310" s="71" t="str">
        <f t="shared" si="91"/>
        <v>Key-ARQ-310</v>
      </c>
      <c r="X310" s="20" t="s">
        <v>1538</v>
      </c>
      <c r="Y310" s="26" t="s">
        <v>1465</v>
      </c>
      <c r="Z310" s="52" t="s">
        <v>9</v>
      </c>
      <c r="AA310" s="20" t="str">
        <f t="shared" si="108"/>
        <v>A device that generates oxygen from the air.</v>
      </c>
    </row>
    <row r="311" spans="1:27" ht="6" customHeight="1" x14ac:dyDescent="0.4">
      <c r="A311" s="22">
        <v>311</v>
      </c>
      <c r="B311" s="1" t="s">
        <v>1604</v>
      </c>
      <c r="C311" s="1" t="s">
        <v>1383</v>
      </c>
      <c r="D311" s="1" t="s">
        <v>1404</v>
      </c>
      <c r="E311" s="1" t="s">
        <v>1135</v>
      </c>
      <c r="F311" s="24" t="s">
        <v>979</v>
      </c>
      <c r="G311" s="56" t="s">
        <v>9</v>
      </c>
      <c r="H311" s="54" t="s">
        <v>9</v>
      </c>
      <c r="I311" s="54" t="s">
        <v>9</v>
      </c>
      <c r="J311" s="56" t="s">
        <v>9</v>
      </c>
      <c r="K311" s="56" t="s">
        <v>9</v>
      </c>
      <c r="L311" s="25" t="str">
        <f t="shared" si="109"/>
        <v>Arquitetônico</v>
      </c>
      <c r="M311" s="25" t="str">
        <f t="shared" si="110"/>
        <v>Elementos.Hospitalares</v>
      </c>
      <c r="N311" s="25" t="str">
        <f t="shared" si="111"/>
        <v>Aparelho Saúde</v>
      </c>
      <c r="O311" s="25" t="str">
        <f t="shared" si="111"/>
        <v>Oxigênio Usina</v>
      </c>
      <c r="P311" s="20" t="s">
        <v>970</v>
      </c>
      <c r="Q311" s="20" t="s">
        <v>971</v>
      </c>
      <c r="R311" s="52" t="s">
        <v>9</v>
      </c>
      <c r="S311" s="26" t="str">
        <f t="shared" si="112"/>
        <v>Arquitetônico</v>
      </c>
      <c r="T311" s="26" t="str">
        <f t="shared" si="113"/>
        <v>Elementos Hospitalares</v>
      </c>
      <c r="U311" s="26" t="str">
        <f t="shared" si="114"/>
        <v>Aparelho Saúde</v>
      </c>
      <c r="V311" s="20" t="s">
        <v>85</v>
      </c>
      <c r="W311" s="71" t="str">
        <f t="shared" si="91"/>
        <v>Key-ARQ-311</v>
      </c>
      <c r="X311" s="20" t="s">
        <v>1538</v>
      </c>
      <c r="Y311" s="26" t="s">
        <v>1466</v>
      </c>
      <c r="Z311" s="52" t="s">
        <v>9</v>
      </c>
      <c r="AA311" s="20" t="str">
        <f t="shared" si="108"/>
        <v>Device that combines a supply air unit, oxygen generator and backup cylinders.</v>
      </c>
    </row>
    <row r="312" spans="1:27" ht="6" customHeight="1" x14ac:dyDescent="0.4">
      <c r="A312" s="22">
        <v>312</v>
      </c>
      <c r="B312" s="1" t="s">
        <v>1604</v>
      </c>
      <c r="C312" s="1" t="s">
        <v>1383</v>
      </c>
      <c r="D312" s="1" t="s">
        <v>1404</v>
      </c>
      <c r="E312" s="1" t="s">
        <v>1135</v>
      </c>
      <c r="F312" s="1" t="s">
        <v>981</v>
      </c>
      <c r="G312" s="56" t="s">
        <v>9</v>
      </c>
      <c r="H312" s="54" t="s">
        <v>9</v>
      </c>
      <c r="I312" s="54" t="s">
        <v>9</v>
      </c>
      <c r="J312" s="56" t="s">
        <v>9</v>
      </c>
      <c r="K312" s="56" t="s">
        <v>9</v>
      </c>
      <c r="L312" s="25" t="str">
        <f t="shared" si="109"/>
        <v>Arquitetônico</v>
      </c>
      <c r="M312" s="25" t="str">
        <f t="shared" si="110"/>
        <v>Elementos.Hospitalares</v>
      </c>
      <c r="N312" s="25" t="str">
        <f t="shared" si="111"/>
        <v>Aparelho Saúde</v>
      </c>
      <c r="O312" s="25" t="str">
        <f t="shared" si="111"/>
        <v>Chamada Enfermagem</v>
      </c>
      <c r="P312" s="20" t="s">
        <v>974</v>
      </c>
      <c r="Q312" s="20" t="s">
        <v>975</v>
      </c>
      <c r="R312" s="52" t="s">
        <v>9</v>
      </c>
      <c r="S312" s="26" t="str">
        <f t="shared" si="112"/>
        <v>Arquitetônico</v>
      </c>
      <c r="T312" s="26" t="str">
        <f t="shared" si="113"/>
        <v>Elementos Hospitalares</v>
      </c>
      <c r="U312" s="26" t="str">
        <f t="shared" si="114"/>
        <v>Aparelho Saúde</v>
      </c>
      <c r="V312" s="20" t="s">
        <v>85</v>
      </c>
      <c r="W312" s="71" t="str">
        <f t="shared" si="91"/>
        <v>Key-ARQ-312</v>
      </c>
      <c r="X312" s="20" t="s">
        <v>1539</v>
      </c>
      <c r="Y312" s="26" t="s">
        <v>1467</v>
      </c>
      <c r="Z312" s="52" t="s">
        <v>9</v>
      </c>
      <c r="AA312" s="20" t="str">
        <f t="shared" si="108"/>
        <v>Device to call nursing.</v>
      </c>
    </row>
    <row r="313" spans="1:27" ht="6" customHeight="1" x14ac:dyDescent="0.4">
      <c r="A313" s="22">
        <v>313</v>
      </c>
      <c r="B313" s="1" t="s">
        <v>1604</v>
      </c>
      <c r="C313" s="1" t="s">
        <v>1383</v>
      </c>
      <c r="D313" s="1" t="s">
        <v>1405</v>
      </c>
      <c r="E313" s="1" t="s">
        <v>1409</v>
      </c>
      <c r="F313" s="24" t="s">
        <v>916</v>
      </c>
      <c r="G313" s="56" t="s">
        <v>9</v>
      </c>
      <c r="H313" s="54" t="s">
        <v>9</v>
      </c>
      <c r="I313" s="54" t="s">
        <v>9</v>
      </c>
      <c r="J313" s="56" t="s">
        <v>9</v>
      </c>
      <c r="K313" s="56" t="s">
        <v>9</v>
      </c>
      <c r="L313" s="25" t="str">
        <f t="shared" ref="L313:L348" si="115">CONCATENATE("", C313)</f>
        <v>Arquitetônico</v>
      </c>
      <c r="M313" s="25" t="str">
        <f t="shared" ref="M313:M348" si="116">CONCATENATE("", D313)</f>
        <v>Elementos.de.Mobiliário</v>
      </c>
      <c r="N313" s="25" t="str">
        <f t="shared" ref="N313:O348" si="117">(SUBSTITUTE(SUBSTITUTE(CONCATENATE("",E313),"."," ")," De "," de "))</f>
        <v>Mob Composto</v>
      </c>
      <c r="O313" s="25" t="str">
        <f t="shared" si="117"/>
        <v>Móvel Sistema</v>
      </c>
      <c r="P313" s="20" t="s">
        <v>905</v>
      </c>
      <c r="Q313" s="20" t="s">
        <v>1032</v>
      </c>
      <c r="R313" s="52" t="s">
        <v>9</v>
      </c>
      <c r="S313" s="26" t="str">
        <f t="shared" ref="S313:S348" si="118">SUBSTITUTE(C313, ".", " ")</f>
        <v>Arquitetônico</v>
      </c>
      <c r="T313" s="26" t="str">
        <f t="shared" ref="T313:T348" si="119">SUBSTITUTE(D313, ".", " ")</f>
        <v>Elementos de Mobiliário</v>
      </c>
      <c r="U313" s="26" t="str">
        <f t="shared" ref="U313:U348" si="120">SUBSTITUTE(E313, ".", " ")</f>
        <v>Mob Composto</v>
      </c>
      <c r="V313" s="20" t="s">
        <v>85</v>
      </c>
      <c r="W313" s="71" t="str">
        <f t="shared" si="91"/>
        <v>Key-ARQ-313</v>
      </c>
      <c r="X313" s="20" t="s">
        <v>1540</v>
      </c>
      <c r="Y313" s="26" t="s">
        <v>1468</v>
      </c>
      <c r="Z313" s="52" t="s">
        <v>9</v>
      </c>
      <c r="AA313" s="20" t="str">
        <f t="shared" si="108"/>
        <v>Furniture defines complete furniture, such as a table, desk, chair, or cabinet.</v>
      </c>
    </row>
    <row r="314" spans="1:27" ht="6.65" customHeight="1" x14ac:dyDescent="0.4">
      <c r="A314" s="22">
        <v>314</v>
      </c>
      <c r="B314" s="1" t="s">
        <v>1604</v>
      </c>
      <c r="C314" s="1" t="s">
        <v>1383</v>
      </c>
      <c r="D314" s="1" t="s">
        <v>1405</v>
      </c>
      <c r="E314" s="1" t="s">
        <v>1409</v>
      </c>
      <c r="F314" s="24" t="s">
        <v>1260</v>
      </c>
      <c r="G314" s="56" t="s">
        <v>9</v>
      </c>
      <c r="H314" s="54" t="s">
        <v>9</v>
      </c>
      <c r="I314" s="54" t="s">
        <v>9</v>
      </c>
      <c r="J314" s="56" t="s">
        <v>9</v>
      </c>
      <c r="K314" s="56" t="s">
        <v>9</v>
      </c>
      <c r="L314" s="25" t="str">
        <f t="shared" si="115"/>
        <v>Arquitetônico</v>
      </c>
      <c r="M314" s="25" t="str">
        <f t="shared" si="116"/>
        <v>Elementos.de.Mobiliário</v>
      </c>
      <c r="N314" s="25" t="str">
        <f t="shared" si="117"/>
        <v>Mob Composto</v>
      </c>
      <c r="O314" s="25" t="str">
        <f t="shared" si="117"/>
        <v>Móvel Sistema Elemento</v>
      </c>
      <c r="P314" s="20" t="s">
        <v>1249</v>
      </c>
      <c r="Q314" s="20" t="s">
        <v>1250</v>
      </c>
      <c r="R314" s="52" t="s">
        <v>9</v>
      </c>
      <c r="S314" s="26" t="str">
        <f t="shared" si="118"/>
        <v>Arquitetônico</v>
      </c>
      <c r="T314" s="26" t="str">
        <f t="shared" si="119"/>
        <v>Elementos de Mobiliário</v>
      </c>
      <c r="U314" s="26" t="str">
        <f t="shared" si="120"/>
        <v>Mob Composto</v>
      </c>
      <c r="V314" s="20" t="s">
        <v>85</v>
      </c>
      <c r="W314" s="71" t="str">
        <f t="shared" si="91"/>
        <v>Key-ARQ-314</v>
      </c>
      <c r="X314" s="20" t="s">
        <v>1540</v>
      </c>
      <c r="Y314" s="26" t="s">
        <v>1468</v>
      </c>
      <c r="Z314" s="52" t="s">
        <v>9</v>
      </c>
      <c r="AA314" s="20" t="str">
        <f t="shared" si="108"/>
        <v>Furniture element system defines modular furniture components that are not placed directly.</v>
      </c>
    </row>
    <row r="315" spans="1:27" ht="6.65" customHeight="1" x14ac:dyDescent="0.4">
      <c r="A315" s="22">
        <v>315</v>
      </c>
      <c r="B315" s="1" t="s">
        <v>1604</v>
      </c>
      <c r="C315" s="1" t="s">
        <v>1383</v>
      </c>
      <c r="D315" s="1" t="s">
        <v>1405</v>
      </c>
      <c r="E315" s="1" t="s">
        <v>1409</v>
      </c>
      <c r="F315" s="24" t="s">
        <v>1257</v>
      </c>
      <c r="G315" s="56" t="s">
        <v>9</v>
      </c>
      <c r="H315" s="54" t="s">
        <v>9</v>
      </c>
      <c r="I315" s="54" t="s">
        <v>9</v>
      </c>
      <c r="J315" s="56" t="s">
        <v>9</v>
      </c>
      <c r="K315" s="56" t="s">
        <v>9</v>
      </c>
      <c r="L315" s="25" t="str">
        <f t="shared" si="115"/>
        <v>Arquitetônico</v>
      </c>
      <c r="M315" s="25" t="str">
        <f t="shared" si="116"/>
        <v>Elementos.de.Mobiliário</v>
      </c>
      <c r="N315" s="25" t="str">
        <f t="shared" si="117"/>
        <v>Mob Composto</v>
      </c>
      <c r="O315" s="25" t="str">
        <f t="shared" si="117"/>
        <v>Móvel Sistema Painel</v>
      </c>
      <c r="P315" s="20" t="s">
        <v>1251</v>
      </c>
      <c r="Q315" s="20" t="s">
        <v>1252</v>
      </c>
      <c r="R315" s="52" t="s">
        <v>9</v>
      </c>
      <c r="S315" s="26" t="str">
        <f t="shared" si="118"/>
        <v>Arquitetônico</v>
      </c>
      <c r="T315" s="26" t="str">
        <f t="shared" si="119"/>
        <v>Elementos de Mobiliário</v>
      </c>
      <c r="U315" s="26" t="str">
        <f t="shared" si="120"/>
        <v>Mob Composto</v>
      </c>
      <c r="V315" s="20" t="s">
        <v>85</v>
      </c>
      <c r="W315" s="71" t="str">
        <f t="shared" si="91"/>
        <v>Key-ARQ-315</v>
      </c>
      <c r="X315" s="20" t="s">
        <v>1540</v>
      </c>
      <c r="Y315" s="26" t="s">
        <v>1469</v>
      </c>
      <c r="Z315" s="52" t="s">
        <v>9</v>
      </c>
      <c r="AA315" s="20" t="str">
        <f t="shared" si="108"/>
        <v>Vertical panel used to divide workspaces.</v>
      </c>
    </row>
    <row r="316" spans="1:27" ht="6.65" customHeight="1" x14ac:dyDescent="0.4">
      <c r="A316" s="22">
        <v>316</v>
      </c>
      <c r="B316" s="1" t="s">
        <v>1604</v>
      </c>
      <c r="C316" s="1" t="s">
        <v>1383</v>
      </c>
      <c r="D316" s="1" t="s">
        <v>1405</v>
      </c>
      <c r="E316" s="1" t="s">
        <v>1409</v>
      </c>
      <c r="F316" s="24" t="s">
        <v>1258</v>
      </c>
      <c r="G316" s="56" t="s">
        <v>9</v>
      </c>
      <c r="H316" s="54" t="s">
        <v>9</v>
      </c>
      <c r="I316" s="54" t="s">
        <v>9</v>
      </c>
      <c r="J316" s="56" t="s">
        <v>9</v>
      </c>
      <c r="K316" s="56" t="s">
        <v>9</v>
      </c>
      <c r="L316" s="25" t="str">
        <f t="shared" si="115"/>
        <v>Arquitetônico</v>
      </c>
      <c r="M316" s="25" t="str">
        <f t="shared" si="116"/>
        <v>Elementos.de.Mobiliário</v>
      </c>
      <c r="N316" s="25" t="str">
        <f t="shared" si="117"/>
        <v>Mob Composto</v>
      </c>
      <c r="O316" s="25" t="str">
        <f t="shared" si="117"/>
        <v>Móvel Sistema Modulo</v>
      </c>
      <c r="P316" s="20" t="s">
        <v>1253</v>
      </c>
      <c r="Q316" s="20" t="s">
        <v>1254</v>
      </c>
      <c r="R316" s="52" t="s">
        <v>9</v>
      </c>
      <c r="S316" s="26" t="str">
        <f t="shared" si="118"/>
        <v>Arquitetônico</v>
      </c>
      <c r="T316" s="26" t="str">
        <f t="shared" si="119"/>
        <v>Elementos de Mobiliário</v>
      </c>
      <c r="U316" s="26" t="str">
        <f t="shared" si="120"/>
        <v>Mob Composto</v>
      </c>
      <c r="V316" s="20" t="s">
        <v>85</v>
      </c>
      <c r="W316" s="71" t="str">
        <f t="shared" si="91"/>
        <v>Key-ARQ-316</v>
      </c>
      <c r="X316" s="20" t="s">
        <v>1540</v>
      </c>
      <c r="Y316" s="26" t="s">
        <v>1470</v>
      </c>
      <c r="Z316" s="52" t="s">
        <v>9</v>
      </c>
      <c r="AA316" s="20" t="str">
        <f t="shared" si="108"/>
        <v>Subrack is a part of the technical cabinet that is used to store and assemble pluggable electrical subunits.</v>
      </c>
    </row>
    <row r="317" spans="1:27" ht="6.65" customHeight="1" x14ac:dyDescent="0.4">
      <c r="A317" s="22">
        <v>317</v>
      </c>
      <c r="B317" s="1" t="s">
        <v>1604</v>
      </c>
      <c r="C317" s="1" t="s">
        <v>1383</v>
      </c>
      <c r="D317" s="1" t="s">
        <v>1405</v>
      </c>
      <c r="E317" s="1" t="s">
        <v>1409</v>
      </c>
      <c r="F317" s="24" t="s">
        <v>1259</v>
      </c>
      <c r="G317" s="56" t="s">
        <v>9</v>
      </c>
      <c r="H317" s="54" t="s">
        <v>9</v>
      </c>
      <c r="I317" s="54" t="s">
        <v>9</v>
      </c>
      <c r="J317" s="56" t="s">
        <v>9</v>
      </c>
      <c r="K317" s="56" t="s">
        <v>9</v>
      </c>
      <c r="L317" s="25" t="str">
        <f t="shared" si="115"/>
        <v>Arquitetônico</v>
      </c>
      <c r="M317" s="25" t="str">
        <f t="shared" si="116"/>
        <v>Elementos.de.Mobiliário</v>
      </c>
      <c r="N317" s="25" t="str">
        <f t="shared" si="117"/>
        <v>Mob Composto</v>
      </c>
      <c r="O317" s="25" t="str">
        <f t="shared" si="117"/>
        <v>Móvel Sistema Tampo</v>
      </c>
      <c r="P317" s="20" t="s">
        <v>1255</v>
      </c>
      <c r="Q317" s="20" t="s">
        <v>1256</v>
      </c>
      <c r="R317" s="52" t="s">
        <v>9</v>
      </c>
      <c r="S317" s="26" t="str">
        <f t="shared" si="118"/>
        <v>Arquitetônico</v>
      </c>
      <c r="T317" s="26" t="str">
        <f t="shared" si="119"/>
        <v>Elementos de Mobiliário</v>
      </c>
      <c r="U317" s="26" t="str">
        <f t="shared" si="120"/>
        <v>Mob Composto</v>
      </c>
      <c r="V317" s="20" t="s">
        <v>85</v>
      </c>
      <c r="W317" s="71" t="str">
        <f t="shared" si="91"/>
        <v>Key-ARQ-317</v>
      </c>
      <c r="X317" s="20" t="s">
        <v>1540</v>
      </c>
      <c r="Y317" s="26" t="s">
        <v>1471</v>
      </c>
      <c r="Z317" s="52" t="s">
        <v>9</v>
      </c>
      <c r="AA317" s="20" t="str">
        <f t="shared" si="108"/>
        <v>Workstation workbench.</v>
      </c>
    </row>
    <row r="318" spans="1:27" ht="6" customHeight="1" x14ac:dyDescent="0.4">
      <c r="A318" s="22">
        <v>318</v>
      </c>
      <c r="B318" s="1" t="s">
        <v>1604</v>
      </c>
      <c r="C318" s="1" t="s">
        <v>1383</v>
      </c>
      <c r="D318" s="1" t="s">
        <v>1405</v>
      </c>
      <c r="E318" s="1" t="s">
        <v>1234</v>
      </c>
      <c r="F318" s="24" t="s">
        <v>911</v>
      </c>
      <c r="G318" s="56" t="s">
        <v>9</v>
      </c>
      <c r="H318" s="54" t="s">
        <v>9</v>
      </c>
      <c r="I318" s="54" t="s">
        <v>9</v>
      </c>
      <c r="J318" s="56" t="s">
        <v>9</v>
      </c>
      <c r="K318" s="56" t="s">
        <v>9</v>
      </c>
      <c r="L318" s="25" t="str">
        <f t="shared" si="115"/>
        <v>Arquitetônico</v>
      </c>
      <c r="M318" s="25" t="str">
        <f t="shared" si="116"/>
        <v>Elementos.de.Mobiliário</v>
      </c>
      <c r="N318" s="25" t="str">
        <f t="shared" si="117"/>
        <v>Mob Residenciais</v>
      </c>
      <c r="O318" s="25" t="str">
        <f t="shared" si="117"/>
        <v>Móvel</v>
      </c>
      <c r="P318" s="20" t="s">
        <v>905</v>
      </c>
      <c r="Q318" s="20" t="s">
        <v>906</v>
      </c>
      <c r="R318" s="52" t="s">
        <v>9</v>
      </c>
      <c r="S318" s="26" t="str">
        <f t="shared" si="118"/>
        <v>Arquitetônico</v>
      </c>
      <c r="T318" s="26" t="str">
        <f t="shared" si="119"/>
        <v>Elementos de Mobiliário</v>
      </c>
      <c r="U318" s="26" t="str">
        <f t="shared" si="120"/>
        <v>Mob Residenciais</v>
      </c>
      <c r="V318" s="20" t="s">
        <v>85</v>
      </c>
      <c r="W318" s="71" t="str">
        <f t="shared" si="91"/>
        <v>Key-ARQ-318</v>
      </c>
      <c r="X318" s="20" t="s">
        <v>1541</v>
      </c>
      <c r="Y318" s="26" t="s">
        <v>1472</v>
      </c>
      <c r="Z318" s="52" t="s">
        <v>9</v>
      </c>
      <c r="AA318" s="20" t="str">
        <f t="shared" si="108"/>
        <v>Furniture defines complete furniture, such as a table, desk, chair, or cabinet.</v>
      </c>
    </row>
    <row r="319" spans="1:27" ht="6" customHeight="1" x14ac:dyDescent="0.4">
      <c r="A319" s="22">
        <v>319</v>
      </c>
      <c r="B319" s="1" t="s">
        <v>1604</v>
      </c>
      <c r="C319" s="1" t="s">
        <v>1383</v>
      </c>
      <c r="D319" s="1" t="s">
        <v>1405</v>
      </c>
      <c r="E319" s="1" t="s">
        <v>1234</v>
      </c>
      <c r="F319" s="24" t="s">
        <v>1219</v>
      </c>
      <c r="G319" s="56" t="s">
        <v>9</v>
      </c>
      <c r="H319" s="54" t="s">
        <v>9</v>
      </c>
      <c r="I319" s="54" t="s">
        <v>9</v>
      </c>
      <c r="J319" s="56" t="s">
        <v>9</v>
      </c>
      <c r="K319" s="56" t="s">
        <v>9</v>
      </c>
      <c r="L319" s="25" t="str">
        <f t="shared" si="115"/>
        <v>Arquitetônico</v>
      </c>
      <c r="M319" s="25" t="str">
        <f t="shared" si="116"/>
        <v>Elementos.de.Mobiliário</v>
      </c>
      <c r="N319" s="25" t="str">
        <f t="shared" si="117"/>
        <v>Mob Residenciais</v>
      </c>
      <c r="O319" s="25" t="str">
        <f t="shared" si="117"/>
        <v>Cama Solteirx</v>
      </c>
      <c r="P319" s="20" t="s">
        <v>1044</v>
      </c>
      <c r="Q319" s="20" t="s">
        <v>1048</v>
      </c>
      <c r="R319" s="52" t="s">
        <v>9</v>
      </c>
      <c r="S319" s="26" t="str">
        <f t="shared" si="118"/>
        <v>Arquitetônico</v>
      </c>
      <c r="T319" s="26" t="str">
        <f t="shared" si="119"/>
        <v>Elementos de Mobiliário</v>
      </c>
      <c r="U319" s="26" t="str">
        <f t="shared" si="120"/>
        <v>Mob Residenciais</v>
      </c>
      <c r="V319" s="20" t="s">
        <v>85</v>
      </c>
      <c r="W319" s="71" t="str">
        <f t="shared" si="91"/>
        <v>Key-ARQ-319</v>
      </c>
      <c r="X319" s="20" t="s">
        <v>1541</v>
      </c>
      <c r="Y319" s="26" t="s">
        <v>1473</v>
      </c>
      <c r="Z319" s="52" t="s">
        <v>9</v>
      </c>
      <c r="AA319" s="20" t="str">
        <f t="shared" si="108"/>
        <v>Standard one person bed.</v>
      </c>
    </row>
    <row r="320" spans="1:27" ht="6" customHeight="1" x14ac:dyDescent="0.4">
      <c r="A320" s="22">
        <v>320</v>
      </c>
      <c r="B320" s="1" t="s">
        <v>1604</v>
      </c>
      <c r="C320" s="1" t="s">
        <v>1383</v>
      </c>
      <c r="D320" s="1" t="s">
        <v>1405</v>
      </c>
      <c r="E320" s="1" t="s">
        <v>1234</v>
      </c>
      <c r="F320" s="24" t="s">
        <v>1220</v>
      </c>
      <c r="G320" s="56" t="s">
        <v>9</v>
      </c>
      <c r="H320" s="54" t="s">
        <v>9</v>
      </c>
      <c r="I320" s="54" t="s">
        <v>9</v>
      </c>
      <c r="J320" s="56" t="s">
        <v>9</v>
      </c>
      <c r="K320" s="56" t="s">
        <v>9</v>
      </c>
      <c r="L320" s="25" t="str">
        <f t="shared" si="115"/>
        <v>Arquitetônico</v>
      </c>
      <c r="M320" s="25" t="str">
        <f t="shared" si="116"/>
        <v>Elementos.de.Mobiliário</v>
      </c>
      <c r="N320" s="25" t="str">
        <f t="shared" si="117"/>
        <v>Mob Residenciais</v>
      </c>
      <c r="O320" s="25" t="str">
        <f t="shared" si="117"/>
        <v>Cama Viuvx</v>
      </c>
      <c r="P320" s="20" t="s">
        <v>1043</v>
      </c>
      <c r="Q320" s="20" t="s">
        <v>1049</v>
      </c>
      <c r="R320" s="52" t="s">
        <v>9</v>
      </c>
      <c r="S320" s="26" t="str">
        <f t="shared" si="118"/>
        <v>Arquitetônico</v>
      </c>
      <c r="T320" s="26" t="str">
        <f t="shared" si="119"/>
        <v>Elementos de Mobiliário</v>
      </c>
      <c r="U320" s="26" t="str">
        <f t="shared" si="120"/>
        <v>Mob Residenciais</v>
      </c>
      <c r="V320" s="20" t="s">
        <v>85</v>
      </c>
      <c r="W320" s="71" t="str">
        <f t="shared" si="91"/>
        <v>Key-ARQ-320</v>
      </c>
      <c r="X320" s="20" t="s">
        <v>1541</v>
      </c>
      <c r="Y320" s="26" t="s">
        <v>1473</v>
      </c>
      <c r="Z320" s="52" t="s">
        <v>9</v>
      </c>
      <c r="AA320" s="20" t="str">
        <f t="shared" si="108"/>
        <v>Large bed for one person.</v>
      </c>
    </row>
    <row r="321" spans="1:27" ht="6" customHeight="1" x14ac:dyDescent="0.4">
      <c r="A321" s="22">
        <v>321</v>
      </c>
      <c r="B321" s="1" t="s">
        <v>1604</v>
      </c>
      <c r="C321" s="1" t="s">
        <v>1383</v>
      </c>
      <c r="D321" s="1" t="s">
        <v>1405</v>
      </c>
      <c r="E321" s="1" t="s">
        <v>1234</v>
      </c>
      <c r="F321" s="24" t="s">
        <v>1040</v>
      </c>
      <c r="G321" s="56" t="s">
        <v>9</v>
      </c>
      <c r="H321" s="54" t="s">
        <v>9</v>
      </c>
      <c r="I321" s="54" t="s">
        <v>9</v>
      </c>
      <c r="J321" s="56" t="s">
        <v>9</v>
      </c>
      <c r="K321" s="56" t="s">
        <v>9</v>
      </c>
      <c r="L321" s="25" t="str">
        <f t="shared" si="115"/>
        <v>Arquitetônico</v>
      </c>
      <c r="M321" s="25" t="str">
        <f t="shared" si="116"/>
        <v>Elementos.de.Mobiliário</v>
      </c>
      <c r="N321" s="25" t="str">
        <f t="shared" si="117"/>
        <v>Mob Residenciais</v>
      </c>
      <c r="O321" s="25" t="str">
        <f t="shared" si="117"/>
        <v>Cama Casal</v>
      </c>
      <c r="P321" s="20" t="s">
        <v>1045</v>
      </c>
      <c r="Q321" s="20" t="s">
        <v>1052</v>
      </c>
      <c r="R321" s="52" t="s">
        <v>9</v>
      </c>
      <c r="S321" s="26" t="str">
        <f t="shared" si="118"/>
        <v>Arquitetônico</v>
      </c>
      <c r="T321" s="26" t="str">
        <f t="shared" si="119"/>
        <v>Elementos de Mobiliário</v>
      </c>
      <c r="U321" s="26" t="str">
        <f t="shared" si="120"/>
        <v>Mob Residenciais</v>
      </c>
      <c r="V321" s="20" t="s">
        <v>85</v>
      </c>
      <c r="W321" s="71" t="str">
        <f t="shared" si="91"/>
        <v>Key-ARQ-321</v>
      </c>
      <c r="X321" s="20" t="s">
        <v>1541</v>
      </c>
      <c r="Y321" s="26" t="s">
        <v>1473</v>
      </c>
      <c r="Z321" s="52" t="s">
        <v>9</v>
      </c>
      <c r="AA321" s="20" t="str">
        <f t="shared" si="108"/>
        <v>Standard bed for double.</v>
      </c>
    </row>
    <row r="322" spans="1:27" ht="6" customHeight="1" x14ac:dyDescent="0.4">
      <c r="A322" s="22">
        <v>322</v>
      </c>
      <c r="B322" s="1" t="s">
        <v>1604</v>
      </c>
      <c r="C322" s="1" t="s">
        <v>1383</v>
      </c>
      <c r="D322" s="1" t="s">
        <v>1405</v>
      </c>
      <c r="E322" s="1" t="s">
        <v>1234</v>
      </c>
      <c r="F322" s="24" t="s">
        <v>1041</v>
      </c>
      <c r="G322" s="56" t="s">
        <v>9</v>
      </c>
      <c r="H322" s="54" t="s">
        <v>9</v>
      </c>
      <c r="I322" s="54" t="s">
        <v>9</v>
      </c>
      <c r="J322" s="56" t="s">
        <v>9</v>
      </c>
      <c r="K322" s="56" t="s">
        <v>9</v>
      </c>
      <c r="L322" s="25" t="str">
        <f t="shared" si="115"/>
        <v>Arquitetônico</v>
      </c>
      <c r="M322" s="25" t="str">
        <f t="shared" si="116"/>
        <v>Elementos.de.Mobiliário</v>
      </c>
      <c r="N322" s="25" t="str">
        <f t="shared" si="117"/>
        <v>Mob Residenciais</v>
      </c>
      <c r="O322" s="25" t="str">
        <f t="shared" si="117"/>
        <v>Cama Queen</v>
      </c>
      <c r="P322" s="20" t="s">
        <v>1046</v>
      </c>
      <c r="Q322" s="20" t="s">
        <v>1051</v>
      </c>
      <c r="R322" s="52" t="s">
        <v>9</v>
      </c>
      <c r="S322" s="26" t="str">
        <f t="shared" si="118"/>
        <v>Arquitetônico</v>
      </c>
      <c r="T322" s="26" t="str">
        <f t="shared" si="119"/>
        <v>Elementos de Mobiliário</v>
      </c>
      <c r="U322" s="26" t="str">
        <f t="shared" si="120"/>
        <v>Mob Residenciais</v>
      </c>
      <c r="V322" s="20" t="s">
        <v>85</v>
      </c>
      <c r="W322" s="71" t="str">
        <f t="shared" si="91"/>
        <v>Key-ARQ-322</v>
      </c>
      <c r="X322" s="20" t="s">
        <v>1541</v>
      </c>
      <c r="Y322" s="26" t="s">
        <v>1473</v>
      </c>
      <c r="Z322" s="52" t="s">
        <v>9</v>
      </c>
      <c r="AA322" s="20" t="str">
        <f t="shared" si="108"/>
        <v>Large bed for double.</v>
      </c>
    </row>
    <row r="323" spans="1:27" ht="6" customHeight="1" x14ac:dyDescent="0.4">
      <c r="A323" s="22">
        <v>323</v>
      </c>
      <c r="B323" s="1" t="s">
        <v>1604</v>
      </c>
      <c r="C323" s="1" t="s">
        <v>1383</v>
      </c>
      <c r="D323" s="1" t="s">
        <v>1405</v>
      </c>
      <c r="E323" s="1" t="s">
        <v>1234</v>
      </c>
      <c r="F323" s="24" t="s">
        <v>1042</v>
      </c>
      <c r="G323" s="56" t="s">
        <v>9</v>
      </c>
      <c r="H323" s="54" t="s">
        <v>9</v>
      </c>
      <c r="I323" s="54" t="s">
        <v>9</v>
      </c>
      <c r="J323" s="56" t="s">
        <v>9</v>
      </c>
      <c r="K323" s="56" t="s">
        <v>9</v>
      </c>
      <c r="L323" s="25" t="str">
        <f t="shared" si="115"/>
        <v>Arquitetônico</v>
      </c>
      <c r="M323" s="25" t="str">
        <f t="shared" si="116"/>
        <v>Elementos.de.Mobiliário</v>
      </c>
      <c r="N323" s="25" t="str">
        <f t="shared" si="117"/>
        <v>Mob Residenciais</v>
      </c>
      <c r="O323" s="25" t="str">
        <f t="shared" si="117"/>
        <v>Cama King</v>
      </c>
      <c r="P323" s="20" t="s">
        <v>1047</v>
      </c>
      <c r="Q323" s="20" t="s">
        <v>1050</v>
      </c>
      <c r="R323" s="52" t="s">
        <v>9</v>
      </c>
      <c r="S323" s="26" t="str">
        <f t="shared" si="118"/>
        <v>Arquitetônico</v>
      </c>
      <c r="T323" s="26" t="str">
        <f t="shared" si="119"/>
        <v>Elementos de Mobiliário</v>
      </c>
      <c r="U323" s="26" t="str">
        <f t="shared" si="120"/>
        <v>Mob Residenciais</v>
      </c>
      <c r="V323" s="20" t="s">
        <v>85</v>
      </c>
      <c r="W323" s="71" t="str">
        <f t="shared" ref="W323:W348" si="121">CONCATENATE("Key-ARQ-",A323)</f>
        <v>Key-ARQ-323</v>
      </c>
      <c r="X323" s="20" t="s">
        <v>1541</v>
      </c>
      <c r="Y323" s="26" t="s">
        <v>1473</v>
      </c>
      <c r="Z323" s="52" t="s">
        <v>9</v>
      </c>
      <c r="AA323" s="20" t="str">
        <f t="shared" si="108"/>
        <v>Very large bed for a couple.</v>
      </c>
    </row>
    <row r="324" spans="1:27" ht="6" customHeight="1" x14ac:dyDescent="0.4">
      <c r="A324" s="22">
        <v>324</v>
      </c>
      <c r="B324" s="1" t="s">
        <v>1604</v>
      </c>
      <c r="C324" s="1" t="s">
        <v>1383</v>
      </c>
      <c r="D324" s="1" t="s">
        <v>1405</v>
      </c>
      <c r="E324" s="1" t="s">
        <v>1234</v>
      </c>
      <c r="F324" s="24" t="s">
        <v>912</v>
      </c>
      <c r="G324" s="56" t="s">
        <v>9</v>
      </c>
      <c r="H324" s="54" t="s">
        <v>9</v>
      </c>
      <c r="I324" s="54" t="s">
        <v>9</v>
      </c>
      <c r="J324" s="56" t="s">
        <v>9</v>
      </c>
      <c r="K324" s="56" t="s">
        <v>9</v>
      </c>
      <c r="L324" s="25" t="str">
        <f t="shared" si="115"/>
        <v>Arquitetônico</v>
      </c>
      <c r="M324" s="25" t="str">
        <f t="shared" si="116"/>
        <v>Elementos.de.Mobiliário</v>
      </c>
      <c r="N324" s="25" t="str">
        <f t="shared" si="117"/>
        <v>Mob Residenciais</v>
      </c>
      <c r="O324" s="25" t="str">
        <f t="shared" si="117"/>
        <v>Cadeira</v>
      </c>
      <c r="P324" s="20" t="s">
        <v>907</v>
      </c>
      <c r="Q324" s="20" t="str">
        <f>_xlfn.TRANSLATE(P324,"pt","es")</f>
        <v>Muebles para sentar a una sola persona.</v>
      </c>
      <c r="R324" s="52" t="s">
        <v>9</v>
      </c>
      <c r="S324" s="26" t="str">
        <f t="shared" si="118"/>
        <v>Arquitetônico</v>
      </c>
      <c r="T324" s="26" t="str">
        <f t="shared" si="119"/>
        <v>Elementos de Mobiliário</v>
      </c>
      <c r="U324" s="26" t="str">
        <f t="shared" si="120"/>
        <v>Mob Residenciais</v>
      </c>
      <c r="V324" s="20" t="s">
        <v>85</v>
      </c>
      <c r="W324" s="71" t="str">
        <f t="shared" si="121"/>
        <v>Key-ARQ-324</v>
      </c>
      <c r="X324" s="20" t="s">
        <v>1541</v>
      </c>
      <c r="Y324" s="26" t="s">
        <v>1474</v>
      </c>
      <c r="Z324" s="52" t="s">
        <v>9</v>
      </c>
      <c r="AA324" s="20" t="str">
        <f t="shared" si="108"/>
        <v>Furniture to seat a single person.</v>
      </c>
    </row>
    <row r="325" spans="1:27" ht="6" customHeight="1" x14ac:dyDescent="0.4">
      <c r="A325" s="22">
        <v>325</v>
      </c>
      <c r="B325" s="1" t="s">
        <v>1604</v>
      </c>
      <c r="C325" s="1" t="s">
        <v>1383</v>
      </c>
      <c r="D325" s="1" t="s">
        <v>1405</v>
      </c>
      <c r="E325" s="1" t="s">
        <v>1234</v>
      </c>
      <c r="F325" s="24" t="s">
        <v>913</v>
      </c>
      <c r="G325" s="56" t="s">
        <v>9</v>
      </c>
      <c r="H325" s="54" t="s">
        <v>9</v>
      </c>
      <c r="I325" s="54" t="s">
        <v>9</v>
      </c>
      <c r="J325" s="56" t="s">
        <v>9</v>
      </c>
      <c r="K325" s="56" t="s">
        <v>9</v>
      </c>
      <c r="L325" s="25" t="str">
        <f t="shared" si="115"/>
        <v>Arquitetônico</v>
      </c>
      <c r="M325" s="25" t="str">
        <f t="shared" si="116"/>
        <v>Elementos.de.Mobiliário</v>
      </c>
      <c r="N325" s="25" t="str">
        <f t="shared" si="117"/>
        <v>Mob Residenciais</v>
      </c>
      <c r="O325" s="25" t="str">
        <f t="shared" si="117"/>
        <v>Escribania</v>
      </c>
      <c r="P325" s="20" t="s">
        <v>908</v>
      </c>
      <c r="Q325" s="20" t="str">
        <f t="shared" ref="Q325:Q336" si="122">_xlfn.TRANSLATE(P325,"pt","es")</f>
        <v>Muebles con encimera y cajones opcionales para una sola persona.</v>
      </c>
      <c r="R325" s="52" t="s">
        <v>9</v>
      </c>
      <c r="S325" s="26" t="str">
        <f t="shared" si="118"/>
        <v>Arquitetônico</v>
      </c>
      <c r="T325" s="26" t="str">
        <f t="shared" si="119"/>
        <v>Elementos de Mobiliário</v>
      </c>
      <c r="U325" s="26" t="str">
        <f t="shared" si="120"/>
        <v>Mob Residenciais</v>
      </c>
      <c r="V325" s="20" t="s">
        <v>85</v>
      </c>
      <c r="W325" s="71" t="str">
        <f t="shared" si="121"/>
        <v>Key-ARQ-325</v>
      </c>
      <c r="X325" s="20" t="s">
        <v>1541</v>
      </c>
      <c r="Y325" s="26" t="s">
        <v>1475</v>
      </c>
      <c r="Z325" s="52" t="s">
        <v>9</v>
      </c>
      <c r="AA325" s="20" t="str">
        <f t="shared" si="108"/>
        <v>Furniture with countertop and optional drawers for a single person.</v>
      </c>
    </row>
    <row r="326" spans="1:27" ht="6" customHeight="1" x14ac:dyDescent="0.4">
      <c r="A326" s="22">
        <v>326</v>
      </c>
      <c r="B326" s="1" t="s">
        <v>1604</v>
      </c>
      <c r="C326" s="1" t="s">
        <v>1383</v>
      </c>
      <c r="D326" s="1" t="s">
        <v>1405</v>
      </c>
      <c r="E326" s="1" t="s">
        <v>1234</v>
      </c>
      <c r="F326" s="24" t="s">
        <v>1036</v>
      </c>
      <c r="G326" s="56" t="s">
        <v>9</v>
      </c>
      <c r="H326" s="54" t="s">
        <v>9</v>
      </c>
      <c r="I326" s="54" t="s">
        <v>9</v>
      </c>
      <c r="J326" s="56" t="s">
        <v>9</v>
      </c>
      <c r="K326" s="56" t="s">
        <v>9</v>
      </c>
      <c r="L326" s="25" t="str">
        <f t="shared" si="115"/>
        <v>Arquitetônico</v>
      </c>
      <c r="M326" s="25" t="str">
        <f t="shared" si="116"/>
        <v>Elementos.de.Mobiliário</v>
      </c>
      <c r="N326" s="25" t="str">
        <f t="shared" si="117"/>
        <v>Mob Residenciais</v>
      </c>
      <c r="O326" s="25" t="str">
        <f t="shared" si="117"/>
        <v>Poltrona</v>
      </c>
      <c r="P326" s="20" t="s">
        <v>1037</v>
      </c>
      <c r="Q326" s="20" t="str">
        <f t="shared" si="122"/>
        <v>Muebles para que una persona se siente cómodamente.</v>
      </c>
      <c r="R326" s="52" t="s">
        <v>9</v>
      </c>
      <c r="S326" s="26" t="str">
        <f t="shared" si="118"/>
        <v>Arquitetônico</v>
      </c>
      <c r="T326" s="26" t="str">
        <f t="shared" si="119"/>
        <v>Elementos de Mobiliário</v>
      </c>
      <c r="U326" s="26" t="str">
        <f t="shared" si="120"/>
        <v>Mob Residenciais</v>
      </c>
      <c r="V326" s="20" t="s">
        <v>85</v>
      </c>
      <c r="W326" s="71" t="str">
        <f t="shared" si="121"/>
        <v>Key-ARQ-326</v>
      </c>
      <c r="X326" s="20" t="s">
        <v>1541</v>
      </c>
      <c r="Y326" s="26" t="s">
        <v>1476</v>
      </c>
      <c r="Z326" s="52" t="s">
        <v>9</v>
      </c>
      <c r="AA326" s="20" t="str">
        <f t="shared" si="108"/>
        <v>Furniture so that a person sits comfortably.</v>
      </c>
    </row>
    <row r="327" spans="1:27" ht="6" customHeight="1" x14ac:dyDescent="0.4">
      <c r="A327" s="22">
        <v>327</v>
      </c>
      <c r="B327" s="1" t="s">
        <v>1604</v>
      </c>
      <c r="C327" s="1" t="s">
        <v>1383</v>
      </c>
      <c r="D327" s="1" t="s">
        <v>1405</v>
      </c>
      <c r="E327" s="1" t="s">
        <v>1234</v>
      </c>
      <c r="F327" s="24" t="s">
        <v>1034</v>
      </c>
      <c r="G327" s="56" t="s">
        <v>9</v>
      </c>
      <c r="H327" s="54" t="s">
        <v>9</v>
      </c>
      <c r="I327" s="54" t="s">
        <v>9</v>
      </c>
      <c r="J327" s="56" t="s">
        <v>9</v>
      </c>
      <c r="K327" s="56" t="s">
        <v>9</v>
      </c>
      <c r="L327" s="25" t="str">
        <f t="shared" si="115"/>
        <v>Arquitetônico</v>
      </c>
      <c r="M327" s="25" t="str">
        <f t="shared" si="116"/>
        <v>Elementos.de.Mobiliário</v>
      </c>
      <c r="N327" s="25" t="str">
        <f t="shared" si="117"/>
        <v>Mob Residenciais</v>
      </c>
      <c r="O327" s="25" t="str">
        <f t="shared" si="117"/>
        <v>Sofá 2 Lugares</v>
      </c>
      <c r="P327" s="20" t="s">
        <v>1038</v>
      </c>
      <c r="Q327" s="20" t="str">
        <f t="shared" si="122"/>
        <v>Muebles para que dos personas se sienten cómodamente.</v>
      </c>
      <c r="R327" s="52" t="s">
        <v>9</v>
      </c>
      <c r="S327" s="26" t="str">
        <f t="shared" si="118"/>
        <v>Arquitetônico</v>
      </c>
      <c r="T327" s="26" t="str">
        <f t="shared" si="119"/>
        <v>Elementos de Mobiliário</v>
      </c>
      <c r="U327" s="26" t="str">
        <f t="shared" si="120"/>
        <v>Mob Residenciais</v>
      </c>
      <c r="V327" s="20" t="s">
        <v>85</v>
      </c>
      <c r="W327" s="71" t="str">
        <f t="shared" si="121"/>
        <v>Key-ARQ-327</v>
      </c>
      <c r="X327" s="20" t="s">
        <v>1541</v>
      </c>
      <c r="Y327" s="26" t="s">
        <v>1476</v>
      </c>
      <c r="Z327" s="52" t="s">
        <v>9</v>
      </c>
      <c r="AA327" s="20" t="str">
        <f t="shared" si="108"/>
        <v>Furniture so that two people sit comfortably.</v>
      </c>
    </row>
    <row r="328" spans="1:27" ht="6" customHeight="1" x14ac:dyDescent="0.4">
      <c r="A328" s="22">
        <v>328</v>
      </c>
      <c r="B328" s="1" t="s">
        <v>1604</v>
      </c>
      <c r="C328" s="1" t="s">
        <v>1383</v>
      </c>
      <c r="D328" s="1" t="s">
        <v>1405</v>
      </c>
      <c r="E328" s="1" t="s">
        <v>1234</v>
      </c>
      <c r="F328" s="24" t="s">
        <v>1035</v>
      </c>
      <c r="G328" s="56" t="s">
        <v>9</v>
      </c>
      <c r="H328" s="54" t="s">
        <v>9</v>
      </c>
      <c r="I328" s="54" t="s">
        <v>9</v>
      </c>
      <c r="J328" s="56" t="s">
        <v>9</v>
      </c>
      <c r="K328" s="56" t="s">
        <v>9</v>
      </c>
      <c r="L328" s="25" t="str">
        <f t="shared" si="115"/>
        <v>Arquitetônico</v>
      </c>
      <c r="M328" s="25" t="str">
        <f t="shared" si="116"/>
        <v>Elementos.de.Mobiliário</v>
      </c>
      <c r="N328" s="25" t="str">
        <f t="shared" si="117"/>
        <v>Mob Residenciais</v>
      </c>
      <c r="O328" s="25" t="str">
        <f t="shared" si="117"/>
        <v>Sofá 3 Lugares</v>
      </c>
      <c r="P328" s="20" t="s">
        <v>1039</v>
      </c>
      <c r="Q328" s="20" t="str">
        <f t="shared" si="122"/>
        <v>Muebles para que tres personas se sienten cómodamente.</v>
      </c>
      <c r="R328" s="52" t="s">
        <v>9</v>
      </c>
      <c r="S328" s="26" t="str">
        <f t="shared" si="118"/>
        <v>Arquitetônico</v>
      </c>
      <c r="T328" s="26" t="str">
        <f t="shared" si="119"/>
        <v>Elementos de Mobiliário</v>
      </c>
      <c r="U328" s="26" t="str">
        <f t="shared" si="120"/>
        <v>Mob Residenciais</v>
      </c>
      <c r="V328" s="20" t="s">
        <v>85</v>
      </c>
      <c r="W328" s="71" t="str">
        <f t="shared" si="121"/>
        <v>Key-ARQ-328</v>
      </c>
      <c r="X328" s="20" t="s">
        <v>1541</v>
      </c>
      <c r="Y328" s="26" t="s">
        <v>1476</v>
      </c>
      <c r="Z328" s="52" t="s">
        <v>9</v>
      </c>
      <c r="AA328" s="20" t="str">
        <f t="shared" si="108"/>
        <v>Furniture so that three people sit comfortably.</v>
      </c>
    </row>
    <row r="329" spans="1:27" ht="6" customHeight="1" x14ac:dyDescent="0.4">
      <c r="A329" s="22">
        <v>329</v>
      </c>
      <c r="B329" s="1" t="s">
        <v>1604</v>
      </c>
      <c r="C329" s="1" t="s">
        <v>1383</v>
      </c>
      <c r="D329" s="1" t="s">
        <v>1405</v>
      </c>
      <c r="E329" s="1" t="s">
        <v>1234</v>
      </c>
      <c r="F329" s="24" t="s">
        <v>915</v>
      </c>
      <c r="G329" s="56" t="s">
        <v>9</v>
      </c>
      <c r="H329" s="54" t="s">
        <v>9</v>
      </c>
      <c r="I329" s="54" t="s">
        <v>9</v>
      </c>
      <c r="J329" s="56" t="s">
        <v>9</v>
      </c>
      <c r="K329" s="56" t="s">
        <v>9</v>
      </c>
      <c r="L329" s="25" t="str">
        <f t="shared" si="115"/>
        <v>Arquitetônico</v>
      </c>
      <c r="M329" s="25" t="str">
        <f t="shared" si="116"/>
        <v>Elementos.de.Mobiliário</v>
      </c>
      <c r="N329" s="25" t="str">
        <f t="shared" si="117"/>
        <v>Mob Residenciais</v>
      </c>
      <c r="O329" s="25" t="str">
        <f t="shared" si="117"/>
        <v>Mesa</v>
      </c>
      <c r="P329" s="20" t="s">
        <v>910</v>
      </c>
      <c r="Q329" s="20" t="str">
        <f t="shared" si="122"/>
        <v>Muebles con encimera para varias personas.</v>
      </c>
      <c r="R329" s="52" t="s">
        <v>9</v>
      </c>
      <c r="S329" s="26" t="str">
        <f t="shared" si="118"/>
        <v>Arquitetônico</v>
      </c>
      <c r="T329" s="26" t="str">
        <f t="shared" si="119"/>
        <v>Elementos de Mobiliário</v>
      </c>
      <c r="U329" s="26" t="str">
        <f t="shared" si="120"/>
        <v>Mob Residenciais</v>
      </c>
      <c r="V329" s="20" t="s">
        <v>85</v>
      </c>
      <c r="W329" s="71" t="str">
        <f t="shared" si="121"/>
        <v>Key-ARQ-329</v>
      </c>
      <c r="X329" s="20" t="s">
        <v>1541</v>
      </c>
      <c r="Y329" s="26" t="s">
        <v>1477</v>
      </c>
      <c r="Z329" s="52" t="s">
        <v>9</v>
      </c>
      <c r="AA329" s="20" t="str">
        <f t="shared" si="108"/>
        <v>Furniture with countertop for several people.</v>
      </c>
    </row>
    <row r="330" spans="1:27" ht="6" customHeight="1" x14ac:dyDescent="0.4">
      <c r="A330" s="22">
        <v>330</v>
      </c>
      <c r="B330" s="1" t="s">
        <v>1604</v>
      </c>
      <c r="C330" s="1" t="s">
        <v>1383</v>
      </c>
      <c r="D330" s="1" t="s">
        <v>1405</v>
      </c>
      <c r="E330" s="1" t="s">
        <v>1234</v>
      </c>
      <c r="F330" s="24" t="s">
        <v>956</v>
      </c>
      <c r="G330" s="56" t="s">
        <v>9</v>
      </c>
      <c r="H330" s="54" t="s">
        <v>9</v>
      </c>
      <c r="I330" s="54" t="s">
        <v>9</v>
      </c>
      <c r="J330" s="56" t="s">
        <v>9</v>
      </c>
      <c r="K330" s="56" t="s">
        <v>9</v>
      </c>
      <c r="L330" s="25" t="str">
        <f t="shared" si="115"/>
        <v>Arquitetônico</v>
      </c>
      <c r="M330" s="25" t="str">
        <f t="shared" si="116"/>
        <v>Elementos.de.Mobiliário</v>
      </c>
      <c r="N330" s="25" t="str">
        <f t="shared" si="117"/>
        <v>Mob Residenciais</v>
      </c>
      <c r="O330" s="25" t="str">
        <f t="shared" si="117"/>
        <v>Armário de Livros</v>
      </c>
      <c r="P330" s="20" t="s">
        <v>1356</v>
      </c>
      <c r="Q330" s="20" t="str">
        <f t="shared" si="122"/>
        <v>Armario abierto para guardar libros.</v>
      </c>
      <c r="R330" s="52" t="s">
        <v>9</v>
      </c>
      <c r="S330" s="26" t="str">
        <f t="shared" si="118"/>
        <v>Arquitetônico</v>
      </c>
      <c r="T330" s="26" t="str">
        <f t="shared" si="119"/>
        <v>Elementos de Mobiliário</v>
      </c>
      <c r="U330" s="26" t="str">
        <f t="shared" si="120"/>
        <v>Mob Residenciais</v>
      </c>
      <c r="V330" s="20" t="s">
        <v>85</v>
      </c>
      <c r="W330" s="71" t="str">
        <f t="shared" si="121"/>
        <v>Key-ARQ-330</v>
      </c>
      <c r="X330" s="20" t="s">
        <v>1542</v>
      </c>
      <c r="Y330" s="26" t="s">
        <v>1478</v>
      </c>
      <c r="Z330" s="52" t="s">
        <v>9</v>
      </c>
      <c r="AA330" s="20" t="str">
        <f t="shared" si="108"/>
        <v>Open cabinet for storing books.</v>
      </c>
    </row>
    <row r="331" spans="1:27" ht="6" customHeight="1" x14ac:dyDescent="0.4">
      <c r="A331" s="22">
        <v>331</v>
      </c>
      <c r="B331" s="1" t="s">
        <v>1604</v>
      </c>
      <c r="C331" s="1" t="s">
        <v>1383</v>
      </c>
      <c r="D331" s="1" t="s">
        <v>1405</v>
      </c>
      <c r="E331" s="1" t="s">
        <v>1234</v>
      </c>
      <c r="F331" s="24" t="s">
        <v>957</v>
      </c>
      <c r="G331" s="56" t="s">
        <v>9</v>
      </c>
      <c r="H331" s="54" t="s">
        <v>9</v>
      </c>
      <c r="I331" s="54" t="s">
        <v>9</v>
      </c>
      <c r="J331" s="56" t="s">
        <v>9</v>
      </c>
      <c r="K331" s="56" t="s">
        <v>9</v>
      </c>
      <c r="L331" s="25" t="str">
        <f t="shared" si="115"/>
        <v>Arquitetônico</v>
      </c>
      <c r="M331" s="25" t="str">
        <f t="shared" si="116"/>
        <v>Elementos.de.Mobiliário</v>
      </c>
      <c r="N331" s="25" t="str">
        <f t="shared" si="117"/>
        <v>Mob Residenciais</v>
      </c>
      <c r="O331" s="25" t="str">
        <f t="shared" si="117"/>
        <v>Armário de Ferramentas</v>
      </c>
      <c r="P331" s="20" t="s">
        <v>1355</v>
      </c>
      <c r="Q331" s="20" t="str">
        <f t="shared" si="122"/>
        <v>El armario técnico es un mueble para contener, exhibir y proteger aparatos técnicos.</v>
      </c>
      <c r="R331" s="52" t="s">
        <v>9</v>
      </c>
      <c r="S331" s="26" t="str">
        <f t="shared" si="118"/>
        <v>Arquitetônico</v>
      </c>
      <c r="T331" s="26" t="str">
        <f t="shared" si="119"/>
        <v>Elementos de Mobiliário</v>
      </c>
      <c r="U331" s="26" t="str">
        <f t="shared" si="120"/>
        <v>Mob Residenciais</v>
      </c>
      <c r="V331" s="20" t="s">
        <v>85</v>
      </c>
      <c r="W331" s="71" t="str">
        <f t="shared" si="121"/>
        <v>Key-ARQ-331</v>
      </c>
      <c r="X331" s="20" t="s">
        <v>1542</v>
      </c>
      <c r="Y331" s="26" t="s">
        <v>1479</v>
      </c>
      <c r="Z331" s="52" t="s">
        <v>9</v>
      </c>
      <c r="AA331" s="20" t="str">
        <f t="shared" si="108"/>
        <v>Technical cabinet is a piece of furniture to hold, display and protect technical appliances.</v>
      </c>
    </row>
    <row r="332" spans="1:27" ht="6" customHeight="1" x14ac:dyDescent="0.4">
      <c r="A332" s="22">
        <v>332</v>
      </c>
      <c r="B332" s="1" t="s">
        <v>1604</v>
      </c>
      <c r="C332" s="1" t="s">
        <v>1383</v>
      </c>
      <c r="D332" s="1" t="s">
        <v>1405</v>
      </c>
      <c r="E332" s="1" t="s">
        <v>1234</v>
      </c>
      <c r="F332" s="24" t="s">
        <v>1351</v>
      </c>
      <c r="G332" s="56" t="s">
        <v>9</v>
      </c>
      <c r="H332" s="54" t="s">
        <v>9</v>
      </c>
      <c r="I332" s="54" t="s">
        <v>9</v>
      </c>
      <c r="J332" s="56" t="s">
        <v>9</v>
      </c>
      <c r="K332" s="56" t="s">
        <v>9</v>
      </c>
      <c r="L332" s="25" t="str">
        <f t="shared" ref="L332:L333" si="123">CONCATENATE("", C332)</f>
        <v>Arquitetônico</v>
      </c>
      <c r="M332" s="25" t="str">
        <f t="shared" ref="M332:M333" si="124">CONCATENATE("", D332)</f>
        <v>Elementos.de.Mobiliário</v>
      </c>
      <c r="N332" s="25" t="str">
        <f t="shared" ref="N332:N333" si="125">(SUBSTITUTE(SUBSTITUTE(CONCATENATE("",E332),"."," ")," De "," de "))</f>
        <v>Mob Residenciais</v>
      </c>
      <c r="O332" s="25" t="str">
        <f t="shared" ref="O332:O333" si="126">(SUBSTITUTE(SUBSTITUTE(CONCATENATE("",F332),"."," ")," De "," de "))</f>
        <v>Armário de Roupas</v>
      </c>
      <c r="P332" s="20" t="s">
        <v>1354</v>
      </c>
      <c r="Q332" s="20" t="str">
        <f t="shared" si="122"/>
        <v>Armario con cajones correderos y espacios para colgar perchas.</v>
      </c>
      <c r="R332" s="52" t="s">
        <v>9</v>
      </c>
      <c r="S332" s="26" t="str">
        <f t="shared" ref="S332:S333" si="127">SUBSTITUTE(C332, ".", " ")</f>
        <v>Arquitetônico</v>
      </c>
      <c r="T332" s="26" t="str">
        <f t="shared" ref="T332:T333" si="128">SUBSTITUTE(D332, ".", " ")</f>
        <v>Elementos de Mobiliário</v>
      </c>
      <c r="U332" s="26" t="str">
        <f t="shared" ref="U332:U333" si="129">SUBSTITUTE(E332, ".", " ")</f>
        <v>Mob Residenciais</v>
      </c>
      <c r="V332" s="20" t="s">
        <v>85</v>
      </c>
      <c r="W332" s="71" t="str">
        <f t="shared" si="121"/>
        <v>Key-ARQ-332</v>
      </c>
      <c r="X332" s="20" t="s">
        <v>1542</v>
      </c>
      <c r="Y332" s="26" t="s">
        <v>1478</v>
      </c>
      <c r="Z332" s="52" t="s">
        <v>9</v>
      </c>
      <c r="AA332" s="20" t="str">
        <f t="shared" ref="AA332:AA333" si="130">_xlfn.TRANSLATE(P332,"pt","en")</f>
        <v>Closet with sliding drawers and spaces to hang clothes hangers.</v>
      </c>
    </row>
    <row r="333" spans="1:27" ht="6" customHeight="1" x14ac:dyDescent="0.4">
      <c r="A333" s="22">
        <v>333</v>
      </c>
      <c r="B333" s="1" t="s">
        <v>1604</v>
      </c>
      <c r="C333" s="1" t="s">
        <v>1383</v>
      </c>
      <c r="D333" s="1" t="s">
        <v>1405</v>
      </c>
      <c r="E333" s="1" t="s">
        <v>1234</v>
      </c>
      <c r="F333" s="24" t="s">
        <v>1352</v>
      </c>
      <c r="G333" s="56" t="s">
        <v>9</v>
      </c>
      <c r="H333" s="54" t="s">
        <v>9</v>
      </c>
      <c r="I333" s="54" t="s">
        <v>9</v>
      </c>
      <c r="J333" s="56" t="s">
        <v>9</v>
      </c>
      <c r="K333" s="56" t="s">
        <v>9</v>
      </c>
      <c r="L333" s="25" t="str">
        <f t="shared" si="123"/>
        <v>Arquitetônico</v>
      </c>
      <c r="M333" s="25" t="str">
        <f t="shared" si="124"/>
        <v>Elementos.de.Mobiliário</v>
      </c>
      <c r="N333" s="25" t="str">
        <f t="shared" si="125"/>
        <v>Mob Residenciais</v>
      </c>
      <c r="O333" s="25" t="str">
        <f t="shared" si="126"/>
        <v>Armário de Cozinha</v>
      </c>
      <c r="P333" s="20" t="s">
        <v>1353</v>
      </c>
      <c r="Q333" s="20" t="str">
        <f t="shared" si="122"/>
        <v>El armario para elementos de cocina puede ser de encimera alta o baja.</v>
      </c>
      <c r="R333" s="52" t="s">
        <v>9</v>
      </c>
      <c r="S333" s="26" t="str">
        <f t="shared" si="127"/>
        <v>Arquitetônico</v>
      </c>
      <c r="T333" s="26" t="str">
        <f t="shared" si="128"/>
        <v>Elementos de Mobiliário</v>
      </c>
      <c r="U333" s="26" t="str">
        <f t="shared" si="129"/>
        <v>Mob Residenciais</v>
      </c>
      <c r="V333" s="20" t="s">
        <v>85</v>
      </c>
      <c r="W333" s="71" t="str">
        <f t="shared" si="121"/>
        <v>Key-ARQ-333</v>
      </c>
      <c r="X333" s="20" t="s">
        <v>1542</v>
      </c>
      <c r="Y333" s="26" t="s">
        <v>1479</v>
      </c>
      <c r="Z333" s="52" t="s">
        <v>9</v>
      </c>
      <c r="AA333" s="20" t="str">
        <f t="shared" si="130"/>
        <v>Cabinet for kitchen elements, can be high or low countertop.</v>
      </c>
    </row>
    <row r="334" spans="1:27" ht="6" customHeight="1" x14ac:dyDescent="0.4">
      <c r="A334" s="22">
        <v>334</v>
      </c>
      <c r="B334" s="1" t="s">
        <v>1604</v>
      </c>
      <c r="C334" s="1" t="s">
        <v>1383</v>
      </c>
      <c r="D334" s="1" t="s">
        <v>1405</v>
      </c>
      <c r="E334" s="1" t="s">
        <v>1234</v>
      </c>
      <c r="F334" s="24" t="s">
        <v>914</v>
      </c>
      <c r="G334" s="56" t="s">
        <v>9</v>
      </c>
      <c r="H334" s="54" t="s">
        <v>9</v>
      </c>
      <c r="I334" s="54" t="s">
        <v>9</v>
      </c>
      <c r="J334" s="56" t="s">
        <v>9</v>
      </c>
      <c r="K334" s="56" t="s">
        <v>9</v>
      </c>
      <c r="L334" s="25" t="str">
        <f t="shared" si="115"/>
        <v>Arquitetônico</v>
      </c>
      <c r="M334" s="25" t="str">
        <f t="shared" si="116"/>
        <v>Elementos.de.Mobiliário</v>
      </c>
      <c r="N334" s="25" t="str">
        <f t="shared" si="117"/>
        <v>Mob Residenciais</v>
      </c>
      <c r="O334" s="25" t="str">
        <f t="shared" si="117"/>
        <v>Prateleira</v>
      </c>
      <c r="P334" s="20" t="s">
        <v>909</v>
      </c>
      <c r="Q334" s="20" t="str">
        <f t="shared" si="122"/>
        <v>Muebles para guardar libros u otros objetos.</v>
      </c>
      <c r="R334" s="52" t="s">
        <v>9</v>
      </c>
      <c r="S334" s="26" t="str">
        <f t="shared" si="118"/>
        <v>Arquitetônico</v>
      </c>
      <c r="T334" s="26" t="str">
        <f t="shared" si="119"/>
        <v>Elementos de Mobiliário</v>
      </c>
      <c r="U334" s="26" t="str">
        <f t="shared" si="120"/>
        <v>Mob Residenciais</v>
      </c>
      <c r="V334" s="20" t="s">
        <v>85</v>
      </c>
      <c r="W334" s="71" t="str">
        <f t="shared" si="121"/>
        <v>Key-ARQ-334</v>
      </c>
      <c r="X334" s="20" t="s">
        <v>1541</v>
      </c>
      <c r="Y334" s="26" t="s">
        <v>1480</v>
      </c>
      <c r="Z334" s="52" t="s">
        <v>9</v>
      </c>
      <c r="AA334" s="20" t="str">
        <f t="shared" ref="AA334:AA348" si="131">_xlfn.TRANSLATE(P334,"pt","en")</f>
        <v>Furniture to store books or other items.</v>
      </c>
    </row>
    <row r="335" spans="1:27" ht="6" customHeight="1" x14ac:dyDescent="0.4">
      <c r="A335" s="22">
        <v>335</v>
      </c>
      <c r="B335" s="1" t="s">
        <v>1604</v>
      </c>
      <c r="C335" s="1" t="s">
        <v>1383</v>
      </c>
      <c r="D335" s="1" t="s">
        <v>1405</v>
      </c>
      <c r="E335" s="1" t="s">
        <v>1235</v>
      </c>
      <c r="F335" s="24" t="s">
        <v>1080</v>
      </c>
      <c r="G335" s="56" t="s">
        <v>9</v>
      </c>
      <c r="H335" s="54" t="s">
        <v>9</v>
      </c>
      <c r="I335" s="54" t="s">
        <v>9</v>
      </c>
      <c r="J335" s="56" t="s">
        <v>9</v>
      </c>
      <c r="K335" s="56" t="s">
        <v>9</v>
      </c>
      <c r="L335" s="25" t="str">
        <f t="shared" si="115"/>
        <v>Arquitetônico</v>
      </c>
      <c r="M335" s="25" t="str">
        <f t="shared" si="116"/>
        <v>Elementos.de.Mobiliário</v>
      </c>
      <c r="N335" s="25" t="str">
        <f t="shared" si="117"/>
        <v>Mob Ensino</v>
      </c>
      <c r="O335" s="25" t="str">
        <f t="shared" si="117"/>
        <v>Cadeira Aula</v>
      </c>
      <c r="P335" s="20" t="s">
        <v>1088</v>
      </c>
      <c r="Q335" s="20" t="str">
        <f t="shared" si="122"/>
        <v>Silla para el aula.</v>
      </c>
      <c r="R335" s="52" t="s">
        <v>9</v>
      </c>
      <c r="S335" s="26" t="str">
        <f t="shared" si="118"/>
        <v>Arquitetônico</v>
      </c>
      <c r="T335" s="26" t="str">
        <f t="shared" si="119"/>
        <v>Elementos de Mobiliário</v>
      </c>
      <c r="U335" s="26" t="str">
        <f t="shared" si="120"/>
        <v>Mob Ensino</v>
      </c>
      <c r="V335" s="20" t="s">
        <v>85</v>
      </c>
      <c r="W335" s="71" t="str">
        <f t="shared" si="121"/>
        <v>Key-ARQ-335</v>
      </c>
      <c r="X335" s="20" t="s">
        <v>1541</v>
      </c>
      <c r="Y335" s="26" t="s">
        <v>1474</v>
      </c>
      <c r="Z335" s="52" t="s">
        <v>9</v>
      </c>
      <c r="AA335" s="20" t="str">
        <f t="shared" si="131"/>
        <v>Chair for classroom.</v>
      </c>
    </row>
    <row r="336" spans="1:27" ht="6" customHeight="1" x14ac:dyDescent="0.4">
      <c r="A336" s="22">
        <v>336</v>
      </c>
      <c r="B336" s="1" t="s">
        <v>1604</v>
      </c>
      <c r="C336" s="1" t="s">
        <v>1383</v>
      </c>
      <c r="D336" s="1" t="s">
        <v>1405</v>
      </c>
      <c r="E336" s="1" t="s">
        <v>1235</v>
      </c>
      <c r="F336" s="24" t="s">
        <v>1077</v>
      </c>
      <c r="G336" s="56" t="s">
        <v>9</v>
      </c>
      <c r="H336" s="54" t="s">
        <v>9</v>
      </c>
      <c r="I336" s="54" t="s">
        <v>9</v>
      </c>
      <c r="J336" s="56" t="s">
        <v>9</v>
      </c>
      <c r="K336" s="56" t="s">
        <v>9</v>
      </c>
      <c r="L336" s="25" t="str">
        <f t="shared" si="115"/>
        <v>Arquitetônico</v>
      </c>
      <c r="M336" s="25" t="str">
        <f t="shared" si="116"/>
        <v>Elementos.de.Mobiliário</v>
      </c>
      <c r="N336" s="25" t="str">
        <f t="shared" si="117"/>
        <v>Mob Ensino</v>
      </c>
      <c r="O336" s="25" t="str">
        <f t="shared" si="117"/>
        <v>Mesa Desenho</v>
      </c>
      <c r="P336" s="20" t="s">
        <v>1087</v>
      </c>
      <c r="Q336" s="20" t="str">
        <f t="shared" si="122"/>
        <v>Mesa de dibujo.</v>
      </c>
      <c r="R336" s="52" t="s">
        <v>9</v>
      </c>
      <c r="S336" s="26" t="str">
        <f t="shared" si="118"/>
        <v>Arquitetônico</v>
      </c>
      <c r="T336" s="26" t="str">
        <f t="shared" si="119"/>
        <v>Elementos de Mobiliário</v>
      </c>
      <c r="U336" s="26" t="str">
        <f t="shared" si="120"/>
        <v>Mob Ensino</v>
      </c>
      <c r="V336" s="20" t="s">
        <v>85</v>
      </c>
      <c r="W336" s="71" t="str">
        <f t="shared" si="121"/>
        <v>Key-ARQ-336</v>
      </c>
      <c r="X336" s="20" t="s">
        <v>1541</v>
      </c>
      <c r="Y336" s="26" t="s">
        <v>1475</v>
      </c>
      <c r="Z336" s="52" t="s">
        <v>9</v>
      </c>
      <c r="AA336" s="20" t="str">
        <f t="shared" si="131"/>
        <v>Drawing table.</v>
      </c>
    </row>
    <row r="337" spans="1:27" ht="6" customHeight="1" x14ac:dyDescent="0.4">
      <c r="A337" s="22">
        <v>337</v>
      </c>
      <c r="B337" s="1" t="s">
        <v>1604</v>
      </c>
      <c r="C337" s="1" t="s">
        <v>1383</v>
      </c>
      <c r="D337" s="1" t="s">
        <v>1405</v>
      </c>
      <c r="E337" s="1" t="s">
        <v>1235</v>
      </c>
      <c r="F337" s="24" t="s">
        <v>1076</v>
      </c>
      <c r="G337" s="56" t="s">
        <v>9</v>
      </c>
      <c r="H337" s="54" t="s">
        <v>9</v>
      </c>
      <c r="I337" s="54" t="s">
        <v>9</v>
      </c>
      <c r="J337" s="56" t="s">
        <v>9</v>
      </c>
      <c r="K337" s="56" t="s">
        <v>9</v>
      </c>
      <c r="L337" s="25" t="str">
        <f t="shared" si="115"/>
        <v>Arquitetônico</v>
      </c>
      <c r="M337" s="25" t="str">
        <f t="shared" si="116"/>
        <v>Elementos.de.Mobiliário</v>
      </c>
      <c r="N337" s="25" t="str">
        <f t="shared" si="117"/>
        <v>Mob Ensino</v>
      </c>
      <c r="O337" s="25" t="str">
        <f t="shared" si="117"/>
        <v>Mesa Computador</v>
      </c>
      <c r="P337" s="20" t="s">
        <v>1086</v>
      </c>
      <c r="Q337" s="20" t="s">
        <v>1084</v>
      </c>
      <c r="R337" s="52" t="s">
        <v>9</v>
      </c>
      <c r="S337" s="26" t="str">
        <f t="shared" si="118"/>
        <v>Arquitetônico</v>
      </c>
      <c r="T337" s="26" t="str">
        <f t="shared" si="119"/>
        <v>Elementos de Mobiliário</v>
      </c>
      <c r="U337" s="26" t="str">
        <f t="shared" si="120"/>
        <v>Mob Ensino</v>
      </c>
      <c r="V337" s="20" t="s">
        <v>85</v>
      </c>
      <c r="W337" s="71" t="str">
        <f t="shared" si="121"/>
        <v>Key-ARQ-337</v>
      </c>
      <c r="X337" s="20" t="s">
        <v>1541</v>
      </c>
      <c r="Y337" s="26" t="s">
        <v>1477</v>
      </c>
      <c r="Z337" s="52" t="s">
        <v>9</v>
      </c>
      <c r="AA337" s="20" t="str">
        <f t="shared" si="131"/>
        <v>Computer table.</v>
      </c>
    </row>
    <row r="338" spans="1:27" ht="6" customHeight="1" x14ac:dyDescent="0.4">
      <c r="A338" s="22">
        <v>338</v>
      </c>
      <c r="B338" s="1" t="s">
        <v>1604</v>
      </c>
      <c r="C338" s="1" t="s">
        <v>1383</v>
      </c>
      <c r="D338" s="1" t="s">
        <v>1405</v>
      </c>
      <c r="E338" s="1" t="s">
        <v>1235</v>
      </c>
      <c r="F338" s="24" t="s">
        <v>1079</v>
      </c>
      <c r="G338" s="56" t="s">
        <v>9</v>
      </c>
      <c r="H338" s="54" t="s">
        <v>9</v>
      </c>
      <c r="I338" s="54" t="s">
        <v>9</v>
      </c>
      <c r="J338" s="56" t="s">
        <v>9</v>
      </c>
      <c r="K338" s="56" t="s">
        <v>9</v>
      </c>
      <c r="L338" s="25" t="str">
        <f t="shared" si="115"/>
        <v>Arquitetônico</v>
      </c>
      <c r="M338" s="25" t="str">
        <f t="shared" si="116"/>
        <v>Elementos.de.Mobiliário</v>
      </c>
      <c r="N338" s="25" t="str">
        <f t="shared" si="117"/>
        <v>Mob Ensino</v>
      </c>
      <c r="O338" s="25" t="str">
        <f t="shared" si="117"/>
        <v>Armário Modelos</v>
      </c>
      <c r="P338" s="20" t="s">
        <v>1083</v>
      </c>
      <c r="Q338" s="20" t="s">
        <v>1083</v>
      </c>
      <c r="R338" s="52" t="s">
        <v>9</v>
      </c>
      <c r="S338" s="26" t="str">
        <f t="shared" si="118"/>
        <v>Arquitetônico</v>
      </c>
      <c r="T338" s="26" t="str">
        <f t="shared" si="119"/>
        <v>Elementos de Mobiliário</v>
      </c>
      <c r="U338" s="26" t="str">
        <f t="shared" si="120"/>
        <v>Mob Ensino</v>
      </c>
      <c r="V338" s="20" t="s">
        <v>85</v>
      </c>
      <c r="W338" s="71" t="str">
        <f t="shared" si="121"/>
        <v>Key-ARQ-338</v>
      </c>
      <c r="X338" s="20" t="s">
        <v>1542</v>
      </c>
      <c r="Y338" s="26" t="s">
        <v>1478</v>
      </c>
      <c r="Z338" s="52" t="s">
        <v>9</v>
      </c>
      <c r="AA338" s="20" t="str">
        <f t="shared" si="131"/>
        <v>Cabinet for models.</v>
      </c>
    </row>
    <row r="339" spans="1:27" ht="6" customHeight="1" x14ac:dyDescent="0.4">
      <c r="A339" s="22">
        <v>339</v>
      </c>
      <c r="B339" s="1" t="s">
        <v>1604</v>
      </c>
      <c r="C339" s="1" t="s">
        <v>1383</v>
      </c>
      <c r="D339" s="1" t="s">
        <v>1405</v>
      </c>
      <c r="E339" s="1" t="s">
        <v>1235</v>
      </c>
      <c r="F339" s="24" t="s">
        <v>1078</v>
      </c>
      <c r="G339" s="56" t="s">
        <v>9</v>
      </c>
      <c r="H339" s="54" t="s">
        <v>9</v>
      </c>
      <c r="I339" s="54" t="s">
        <v>9</v>
      </c>
      <c r="J339" s="56" t="s">
        <v>9</v>
      </c>
      <c r="K339" s="56" t="s">
        <v>9</v>
      </c>
      <c r="L339" s="25" t="str">
        <f t="shared" si="115"/>
        <v>Arquitetônico</v>
      </c>
      <c r="M339" s="25" t="str">
        <f t="shared" si="116"/>
        <v>Elementos.de.Mobiliário</v>
      </c>
      <c r="N339" s="25" t="str">
        <f t="shared" si="117"/>
        <v>Mob Ensino</v>
      </c>
      <c r="O339" s="25" t="str">
        <f t="shared" si="117"/>
        <v>Armário Livros</v>
      </c>
      <c r="P339" s="20" t="s">
        <v>1082</v>
      </c>
      <c r="Q339" s="20" t="s">
        <v>1082</v>
      </c>
      <c r="R339" s="52" t="s">
        <v>9</v>
      </c>
      <c r="S339" s="26" t="str">
        <f t="shared" si="118"/>
        <v>Arquitetônico</v>
      </c>
      <c r="T339" s="26" t="str">
        <f t="shared" si="119"/>
        <v>Elementos de Mobiliário</v>
      </c>
      <c r="U339" s="26" t="str">
        <f t="shared" si="120"/>
        <v>Mob Ensino</v>
      </c>
      <c r="V339" s="20" t="s">
        <v>85</v>
      </c>
      <c r="W339" s="71" t="str">
        <f t="shared" si="121"/>
        <v>Key-ARQ-339</v>
      </c>
      <c r="X339" s="20" t="s">
        <v>1542</v>
      </c>
      <c r="Y339" s="26" t="s">
        <v>1479</v>
      </c>
      <c r="Z339" s="52" t="s">
        <v>9</v>
      </c>
      <c r="AA339" s="20" t="str">
        <f t="shared" si="131"/>
        <v>Cabinet for books.</v>
      </c>
    </row>
    <row r="340" spans="1:27" ht="6" customHeight="1" x14ac:dyDescent="0.4">
      <c r="A340" s="22">
        <v>340</v>
      </c>
      <c r="B340" s="1" t="s">
        <v>1604</v>
      </c>
      <c r="C340" s="1" t="s">
        <v>1383</v>
      </c>
      <c r="D340" s="1" t="s">
        <v>1405</v>
      </c>
      <c r="E340" s="1" t="s">
        <v>1235</v>
      </c>
      <c r="F340" s="24" t="s">
        <v>1075</v>
      </c>
      <c r="G340" s="56" t="s">
        <v>9</v>
      </c>
      <c r="H340" s="54" t="s">
        <v>9</v>
      </c>
      <c r="I340" s="54" t="s">
        <v>9</v>
      </c>
      <c r="J340" s="56" t="s">
        <v>9</v>
      </c>
      <c r="K340" s="56" t="s">
        <v>9</v>
      </c>
      <c r="L340" s="25" t="str">
        <f t="shared" si="115"/>
        <v>Arquitetônico</v>
      </c>
      <c r="M340" s="25" t="str">
        <f t="shared" si="116"/>
        <v>Elementos.de.Mobiliário</v>
      </c>
      <c r="N340" s="25" t="str">
        <f t="shared" si="117"/>
        <v>Mob Ensino</v>
      </c>
      <c r="O340" s="25" t="str">
        <f t="shared" si="117"/>
        <v>Prateleira Livros</v>
      </c>
      <c r="P340" s="20" t="s">
        <v>1085</v>
      </c>
      <c r="Q340" s="20" t="s">
        <v>1081</v>
      </c>
      <c r="R340" s="52" t="s">
        <v>9</v>
      </c>
      <c r="S340" s="26" t="str">
        <f t="shared" si="118"/>
        <v>Arquitetônico</v>
      </c>
      <c r="T340" s="26" t="str">
        <f t="shared" si="119"/>
        <v>Elementos de Mobiliário</v>
      </c>
      <c r="U340" s="26" t="str">
        <f t="shared" si="120"/>
        <v>Mob Ensino</v>
      </c>
      <c r="V340" s="20" t="s">
        <v>85</v>
      </c>
      <c r="W340" s="71" t="str">
        <f t="shared" si="121"/>
        <v>Key-ARQ-340</v>
      </c>
      <c r="X340" s="20" t="s">
        <v>1541</v>
      </c>
      <c r="Y340" s="26" t="s">
        <v>1480</v>
      </c>
      <c r="Z340" s="52" t="s">
        <v>9</v>
      </c>
      <c r="AA340" s="20" t="str">
        <f t="shared" si="131"/>
        <v>Shelf for books.</v>
      </c>
    </row>
    <row r="341" spans="1:27" ht="6" customHeight="1" x14ac:dyDescent="0.4">
      <c r="A341" s="22">
        <v>341</v>
      </c>
      <c r="B341" s="1" t="s">
        <v>1604</v>
      </c>
      <c r="C341" s="1" t="s">
        <v>1383</v>
      </c>
      <c r="D341" s="1" t="s">
        <v>1405</v>
      </c>
      <c r="E341" s="1" t="s">
        <v>1410</v>
      </c>
      <c r="F341" s="24" t="s">
        <v>1060</v>
      </c>
      <c r="G341" s="56" t="s">
        <v>9</v>
      </c>
      <c r="H341" s="54" t="s">
        <v>9</v>
      </c>
      <c r="I341" s="54" t="s">
        <v>9</v>
      </c>
      <c r="J341" s="56" t="s">
        <v>9</v>
      </c>
      <c r="K341" s="56" t="s">
        <v>9</v>
      </c>
      <c r="L341" s="25" t="str">
        <f t="shared" si="115"/>
        <v>Arquitetônico</v>
      </c>
      <c r="M341" s="25" t="str">
        <f t="shared" si="116"/>
        <v>Elementos.de.Mobiliário</v>
      </c>
      <c r="N341" s="25" t="str">
        <f t="shared" si="117"/>
        <v>Mob Hospitalar</v>
      </c>
      <c r="O341" s="25" t="str">
        <f t="shared" si="117"/>
        <v>Cama Hospitalar</v>
      </c>
      <c r="P341" s="20" t="s">
        <v>1061</v>
      </c>
      <c r="Q341" s="20" t="s">
        <v>1061</v>
      </c>
      <c r="R341" s="52" t="s">
        <v>9</v>
      </c>
      <c r="S341" s="26" t="str">
        <f t="shared" si="118"/>
        <v>Arquitetônico</v>
      </c>
      <c r="T341" s="26" t="str">
        <f t="shared" si="119"/>
        <v>Elementos de Mobiliário</v>
      </c>
      <c r="U341" s="26" t="str">
        <f t="shared" si="120"/>
        <v>Mob Hospitalar</v>
      </c>
      <c r="V341" s="20" t="s">
        <v>85</v>
      </c>
      <c r="W341" s="71" t="str">
        <f t="shared" si="121"/>
        <v>Key-ARQ-341</v>
      </c>
      <c r="X341" s="20" t="s">
        <v>1541</v>
      </c>
      <c r="Y341" s="26" t="s">
        <v>1473</v>
      </c>
      <c r="Z341" s="52" t="s">
        <v>9</v>
      </c>
      <c r="AA341" s="20" t="str">
        <f t="shared" si="131"/>
        <v>Hospital bed.</v>
      </c>
    </row>
    <row r="342" spans="1:27" ht="6" customHeight="1" x14ac:dyDescent="0.4">
      <c r="A342" s="22">
        <v>342</v>
      </c>
      <c r="B342" s="1" t="s">
        <v>1604</v>
      </c>
      <c r="C342" s="1" t="s">
        <v>1383</v>
      </c>
      <c r="D342" s="1" t="s">
        <v>1405</v>
      </c>
      <c r="E342" s="1" t="s">
        <v>1410</v>
      </c>
      <c r="F342" s="24" t="s">
        <v>1055</v>
      </c>
      <c r="G342" s="56" t="s">
        <v>9</v>
      </c>
      <c r="H342" s="54" t="s">
        <v>9</v>
      </c>
      <c r="I342" s="54" t="s">
        <v>9</v>
      </c>
      <c r="J342" s="56" t="s">
        <v>9</v>
      </c>
      <c r="K342" s="56" t="s">
        <v>9</v>
      </c>
      <c r="L342" s="25" t="str">
        <f t="shared" si="115"/>
        <v>Arquitetônico</v>
      </c>
      <c r="M342" s="25" t="str">
        <f t="shared" si="116"/>
        <v>Elementos.de.Mobiliário</v>
      </c>
      <c r="N342" s="25" t="str">
        <f t="shared" si="117"/>
        <v>Mob Hospitalar</v>
      </c>
      <c r="O342" s="25" t="str">
        <f t="shared" si="117"/>
        <v>Maca</v>
      </c>
      <c r="P342" s="20" t="s">
        <v>1062</v>
      </c>
      <c r="Q342" s="20" t="s">
        <v>1069</v>
      </c>
      <c r="R342" s="52" t="s">
        <v>9</v>
      </c>
      <c r="S342" s="26" t="str">
        <f t="shared" si="118"/>
        <v>Arquitetônico</v>
      </c>
      <c r="T342" s="26" t="str">
        <f t="shared" si="119"/>
        <v>Elementos de Mobiliário</v>
      </c>
      <c r="U342" s="26" t="str">
        <f t="shared" si="120"/>
        <v>Mob Hospitalar</v>
      </c>
      <c r="V342" s="20" t="s">
        <v>85</v>
      </c>
      <c r="W342" s="71" t="str">
        <f t="shared" si="121"/>
        <v>Key-ARQ-342</v>
      </c>
      <c r="X342" s="20" t="s">
        <v>1541</v>
      </c>
      <c r="Y342" s="26" t="s">
        <v>1473</v>
      </c>
      <c r="Z342" s="52" t="s">
        <v>9</v>
      </c>
      <c r="AA342" s="20" t="str">
        <f t="shared" si="131"/>
        <v>Hospital stretcher.</v>
      </c>
    </row>
    <row r="343" spans="1:27" ht="6" customHeight="1" x14ac:dyDescent="0.4">
      <c r="A343" s="22">
        <v>343</v>
      </c>
      <c r="B343" s="1" t="s">
        <v>1604</v>
      </c>
      <c r="C343" s="1" t="s">
        <v>1383</v>
      </c>
      <c r="D343" s="1" t="s">
        <v>1405</v>
      </c>
      <c r="E343" s="1" t="s">
        <v>1410</v>
      </c>
      <c r="F343" s="24" t="s">
        <v>1059</v>
      </c>
      <c r="G343" s="56" t="s">
        <v>9</v>
      </c>
      <c r="H343" s="54" t="s">
        <v>9</v>
      </c>
      <c r="I343" s="54" t="s">
        <v>9</v>
      </c>
      <c r="J343" s="56" t="s">
        <v>9</v>
      </c>
      <c r="K343" s="56" t="s">
        <v>9</v>
      </c>
      <c r="L343" s="25" t="str">
        <f t="shared" si="115"/>
        <v>Arquitetônico</v>
      </c>
      <c r="M343" s="25" t="str">
        <f t="shared" si="116"/>
        <v>Elementos.de.Mobiliário</v>
      </c>
      <c r="N343" s="25" t="str">
        <f t="shared" si="117"/>
        <v>Mob Hospitalar</v>
      </c>
      <c r="O343" s="25" t="str">
        <f t="shared" si="117"/>
        <v>Cadeira Paciente</v>
      </c>
      <c r="P343" s="20" t="s">
        <v>1068</v>
      </c>
      <c r="Q343" s="20" t="s">
        <v>1070</v>
      </c>
      <c r="R343" s="52" t="s">
        <v>9</v>
      </c>
      <c r="S343" s="26" t="str">
        <f t="shared" si="118"/>
        <v>Arquitetônico</v>
      </c>
      <c r="T343" s="26" t="str">
        <f t="shared" si="119"/>
        <v>Elementos de Mobiliário</v>
      </c>
      <c r="U343" s="26" t="str">
        <f t="shared" si="120"/>
        <v>Mob Hospitalar</v>
      </c>
      <c r="V343" s="20" t="s">
        <v>85</v>
      </c>
      <c r="W343" s="71" t="str">
        <f t="shared" si="121"/>
        <v>Key-ARQ-343</v>
      </c>
      <c r="X343" s="20" t="s">
        <v>1541</v>
      </c>
      <c r="Y343" s="26" t="s">
        <v>1474</v>
      </c>
      <c r="Z343" s="52" t="s">
        <v>9</v>
      </c>
      <c r="AA343" s="20" t="str">
        <f t="shared" si="131"/>
        <v>Patient chair.</v>
      </c>
    </row>
    <row r="344" spans="1:27" ht="6" customHeight="1" x14ac:dyDescent="0.4">
      <c r="A344" s="22">
        <v>344</v>
      </c>
      <c r="B344" s="1" t="s">
        <v>1604</v>
      </c>
      <c r="C344" s="1" t="s">
        <v>1383</v>
      </c>
      <c r="D344" s="1" t="s">
        <v>1405</v>
      </c>
      <c r="E344" s="1" t="s">
        <v>1410</v>
      </c>
      <c r="F344" s="24" t="s">
        <v>1054</v>
      </c>
      <c r="G344" s="56" t="s">
        <v>9</v>
      </c>
      <c r="H344" s="54" t="s">
        <v>9</v>
      </c>
      <c r="I344" s="54" t="s">
        <v>9</v>
      </c>
      <c r="J344" s="56" t="s">
        <v>9</v>
      </c>
      <c r="K344" s="56" t="s">
        <v>9</v>
      </c>
      <c r="L344" s="25" t="str">
        <f t="shared" si="115"/>
        <v>Arquitetônico</v>
      </c>
      <c r="M344" s="25" t="str">
        <f t="shared" si="116"/>
        <v>Elementos.de.Mobiliário</v>
      </c>
      <c r="N344" s="25" t="str">
        <f t="shared" si="117"/>
        <v>Mob Hospitalar</v>
      </c>
      <c r="O344" s="25" t="str">
        <f t="shared" si="117"/>
        <v>Poltrona Paciente</v>
      </c>
      <c r="P344" s="20" t="s">
        <v>1067</v>
      </c>
      <c r="Q344" s="20" t="s">
        <v>1071</v>
      </c>
      <c r="R344" s="52" t="s">
        <v>9</v>
      </c>
      <c r="S344" s="26" t="str">
        <f t="shared" si="118"/>
        <v>Arquitetônico</v>
      </c>
      <c r="T344" s="26" t="str">
        <f t="shared" si="119"/>
        <v>Elementos de Mobiliário</v>
      </c>
      <c r="U344" s="26" t="str">
        <f t="shared" si="120"/>
        <v>Mob Hospitalar</v>
      </c>
      <c r="V344" s="20" t="s">
        <v>85</v>
      </c>
      <c r="W344" s="71" t="str">
        <f t="shared" si="121"/>
        <v>Key-ARQ-344</v>
      </c>
      <c r="X344" s="20" t="s">
        <v>1541</v>
      </c>
      <c r="Y344" s="26" t="s">
        <v>1476</v>
      </c>
      <c r="Z344" s="52" t="s">
        <v>9</v>
      </c>
      <c r="AA344" s="20" t="str">
        <f t="shared" si="131"/>
        <v>Patient armchair.</v>
      </c>
    </row>
    <row r="345" spans="1:27" ht="6" customHeight="1" x14ac:dyDescent="0.4">
      <c r="A345" s="22">
        <v>345</v>
      </c>
      <c r="B345" s="1" t="s">
        <v>1604</v>
      </c>
      <c r="C345" s="1" t="s">
        <v>1383</v>
      </c>
      <c r="D345" s="1" t="s">
        <v>1405</v>
      </c>
      <c r="E345" s="1" t="s">
        <v>1410</v>
      </c>
      <c r="F345" s="24" t="s">
        <v>1058</v>
      </c>
      <c r="G345" s="56" t="s">
        <v>9</v>
      </c>
      <c r="H345" s="54" t="s">
        <v>9</v>
      </c>
      <c r="I345" s="54" t="s">
        <v>9</v>
      </c>
      <c r="J345" s="56" t="s">
        <v>9</v>
      </c>
      <c r="K345" s="56" t="s">
        <v>9</v>
      </c>
      <c r="L345" s="25" t="str">
        <f t="shared" si="115"/>
        <v>Arquitetônico</v>
      </c>
      <c r="M345" s="25" t="str">
        <f t="shared" si="116"/>
        <v>Elementos.de.Mobiliário</v>
      </c>
      <c r="N345" s="25" t="str">
        <f t="shared" si="117"/>
        <v>Mob Hospitalar</v>
      </c>
      <c r="O345" s="25" t="str">
        <f t="shared" si="117"/>
        <v>Mesa Atendimento</v>
      </c>
      <c r="P345" s="20" t="s">
        <v>1066</v>
      </c>
      <c r="Q345" s="20" t="s">
        <v>1072</v>
      </c>
      <c r="R345" s="52" t="s">
        <v>9</v>
      </c>
      <c r="S345" s="26" t="str">
        <f t="shared" si="118"/>
        <v>Arquitetônico</v>
      </c>
      <c r="T345" s="26" t="str">
        <f t="shared" si="119"/>
        <v>Elementos de Mobiliário</v>
      </c>
      <c r="U345" s="26" t="str">
        <f t="shared" si="120"/>
        <v>Mob Hospitalar</v>
      </c>
      <c r="V345" s="20" t="s">
        <v>85</v>
      </c>
      <c r="W345" s="71" t="str">
        <f t="shared" si="121"/>
        <v>Key-ARQ-345</v>
      </c>
      <c r="X345" s="20" t="s">
        <v>1541</v>
      </c>
      <c r="Y345" s="26" t="s">
        <v>1477</v>
      </c>
      <c r="Z345" s="52" t="s">
        <v>9</v>
      </c>
      <c r="AA345" s="20" t="str">
        <f t="shared" si="131"/>
        <v>Service table.</v>
      </c>
    </row>
    <row r="346" spans="1:27" ht="6" customHeight="1" x14ac:dyDescent="0.4">
      <c r="A346" s="22">
        <v>346</v>
      </c>
      <c r="B346" s="1" t="s">
        <v>1604</v>
      </c>
      <c r="C346" s="1" t="s">
        <v>1383</v>
      </c>
      <c r="D346" s="1" t="s">
        <v>1405</v>
      </c>
      <c r="E346" s="1" t="s">
        <v>1410</v>
      </c>
      <c r="F346" s="24" t="s">
        <v>1057</v>
      </c>
      <c r="G346" s="56" t="s">
        <v>9</v>
      </c>
      <c r="H346" s="54" t="s">
        <v>9</v>
      </c>
      <c r="I346" s="54" t="s">
        <v>9</v>
      </c>
      <c r="J346" s="56" t="s">
        <v>9</v>
      </c>
      <c r="K346" s="56" t="s">
        <v>9</v>
      </c>
      <c r="L346" s="25" t="str">
        <f t="shared" si="115"/>
        <v>Arquitetônico</v>
      </c>
      <c r="M346" s="25" t="str">
        <f t="shared" si="116"/>
        <v>Elementos.de.Mobiliário</v>
      </c>
      <c r="N346" s="25" t="str">
        <f t="shared" si="117"/>
        <v>Mob Hospitalar</v>
      </c>
      <c r="O346" s="25" t="str">
        <f t="shared" si="117"/>
        <v>Armário de Roupa</v>
      </c>
      <c r="P346" s="20" t="s">
        <v>1065</v>
      </c>
      <c r="Q346" s="20" t="s">
        <v>1073</v>
      </c>
      <c r="R346" s="52" t="s">
        <v>9</v>
      </c>
      <c r="S346" s="26" t="str">
        <f t="shared" si="118"/>
        <v>Arquitetônico</v>
      </c>
      <c r="T346" s="26" t="str">
        <f t="shared" si="119"/>
        <v>Elementos de Mobiliário</v>
      </c>
      <c r="U346" s="26" t="str">
        <f t="shared" si="120"/>
        <v>Mob Hospitalar</v>
      </c>
      <c r="V346" s="20" t="s">
        <v>85</v>
      </c>
      <c r="W346" s="71" t="str">
        <f t="shared" si="121"/>
        <v>Key-ARQ-346</v>
      </c>
      <c r="X346" s="20" t="s">
        <v>1542</v>
      </c>
      <c r="Y346" s="26" t="s">
        <v>1478</v>
      </c>
      <c r="Z346" s="52" t="s">
        <v>9</v>
      </c>
      <c r="AA346" s="20" t="str">
        <f t="shared" si="131"/>
        <v>Clothes closet.</v>
      </c>
    </row>
    <row r="347" spans="1:27" ht="6" customHeight="1" x14ac:dyDescent="0.4">
      <c r="A347" s="22">
        <v>347</v>
      </c>
      <c r="B347" s="1" t="s">
        <v>1604</v>
      </c>
      <c r="C347" s="1" t="s">
        <v>1383</v>
      </c>
      <c r="D347" s="1" t="s">
        <v>1405</v>
      </c>
      <c r="E347" s="1" t="s">
        <v>1410</v>
      </c>
      <c r="F347" s="24" t="s">
        <v>1053</v>
      </c>
      <c r="G347" s="56" t="s">
        <v>9</v>
      </c>
      <c r="H347" s="54" t="s">
        <v>9</v>
      </c>
      <c r="I347" s="54" t="s">
        <v>9</v>
      </c>
      <c r="J347" s="56" t="s">
        <v>9</v>
      </c>
      <c r="K347" s="56" t="s">
        <v>9</v>
      </c>
      <c r="L347" s="25" t="str">
        <f t="shared" si="115"/>
        <v>Arquitetônico</v>
      </c>
      <c r="M347" s="25" t="str">
        <f t="shared" si="116"/>
        <v>Elementos.de.Mobiliário</v>
      </c>
      <c r="N347" s="25" t="str">
        <f t="shared" si="117"/>
        <v>Mob Hospitalar</v>
      </c>
      <c r="O347" s="25" t="str">
        <f t="shared" si="117"/>
        <v>Armário de Medicinas</v>
      </c>
      <c r="P347" s="20" t="s">
        <v>1064</v>
      </c>
      <c r="Q347" s="20" t="s">
        <v>1074</v>
      </c>
      <c r="R347" s="52" t="s">
        <v>9</v>
      </c>
      <c r="S347" s="26" t="str">
        <f t="shared" si="118"/>
        <v>Arquitetônico</v>
      </c>
      <c r="T347" s="26" t="str">
        <f t="shared" si="119"/>
        <v>Elementos de Mobiliário</v>
      </c>
      <c r="U347" s="26" t="str">
        <f t="shared" si="120"/>
        <v>Mob Hospitalar</v>
      </c>
      <c r="V347" s="20" t="s">
        <v>85</v>
      </c>
      <c r="W347" s="71" t="str">
        <f t="shared" si="121"/>
        <v>Key-ARQ-347</v>
      </c>
      <c r="X347" s="20" t="s">
        <v>1542</v>
      </c>
      <c r="Y347" s="26" t="s">
        <v>1479</v>
      </c>
      <c r="Z347" s="52" t="s">
        <v>9</v>
      </c>
      <c r="AA347" s="20" t="str">
        <f t="shared" si="131"/>
        <v>Medicine cabinet.</v>
      </c>
    </row>
    <row r="348" spans="1:27" ht="6" customHeight="1" x14ac:dyDescent="0.4">
      <c r="A348" s="22">
        <v>348</v>
      </c>
      <c r="B348" s="1" t="s">
        <v>1604</v>
      </c>
      <c r="C348" s="1" t="s">
        <v>1383</v>
      </c>
      <c r="D348" s="1" t="s">
        <v>1405</v>
      </c>
      <c r="E348" s="1" t="s">
        <v>1410</v>
      </c>
      <c r="F348" s="24" t="s">
        <v>1056</v>
      </c>
      <c r="G348" s="56" t="s">
        <v>9</v>
      </c>
      <c r="H348" s="54" t="s">
        <v>9</v>
      </c>
      <c r="I348" s="54" t="s">
        <v>9</v>
      </c>
      <c r="J348" s="56" t="s">
        <v>9</v>
      </c>
      <c r="K348" s="56" t="s">
        <v>9</v>
      </c>
      <c r="L348" s="25" t="str">
        <f t="shared" si="115"/>
        <v>Arquitetônico</v>
      </c>
      <c r="M348" s="25" t="str">
        <f t="shared" si="116"/>
        <v>Elementos.de.Mobiliário</v>
      </c>
      <c r="N348" s="25" t="str">
        <f t="shared" si="117"/>
        <v>Mob Hospitalar</v>
      </c>
      <c r="O348" s="25" t="str">
        <f t="shared" si="117"/>
        <v>Prateleira Medicinas</v>
      </c>
      <c r="P348" s="20" t="s">
        <v>1063</v>
      </c>
      <c r="Q348" s="20" t="s">
        <v>1033</v>
      </c>
      <c r="R348" s="52" t="s">
        <v>9</v>
      </c>
      <c r="S348" s="26" t="str">
        <f t="shared" si="118"/>
        <v>Arquitetônico</v>
      </c>
      <c r="T348" s="26" t="str">
        <f t="shared" si="119"/>
        <v>Elementos de Mobiliário</v>
      </c>
      <c r="U348" s="26" t="str">
        <f t="shared" si="120"/>
        <v>Mob Hospitalar</v>
      </c>
      <c r="V348" s="20" t="s">
        <v>85</v>
      </c>
      <c r="W348" s="71" t="str">
        <f t="shared" si="121"/>
        <v>Key-ARQ-348</v>
      </c>
      <c r="X348" s="20" t="s">
        <v>1541</v>
      </c>
      <c r="Y348" s="26" t="s">
        <v>1480</v>
      </c>
      <c r="Z348" s="52" t="s">
        <v>9</v>
      </c>
      <c r="AA348" s="20" t="str">
        <f t="shared" si="131"/>
        <v>Medicine shelf.</v>
      </c>
    </row>
    <row r="349" spans="1:27" ht="6" customHeight="1" x14ac:dyDescent="0.4">
      <c r="A349" s="22">
        <v>349</v>
      </c>
      <c r="B349" s="1" t="s">
        <v>43</v>
      </c>
      <c r="C349" s="1" t="s">
        <v>1634</v>
      </c>
      <c r="D349" s="1" t="s">
        <v>1636</v>
      </c>
      <c r="E349" s="1" t="s">
        <v>1635</v>
      </c>
      <c r="F349" s="24" t="s">
        <v>1637</v>
      </c>
      <c r="G349" s="56" t="s">
        <v>9</v>
      </c>
      <c r="H349" s="54" t="s">
        <v>9</v>
      </c>
      <c r="I349" s="54" t="s">
        <v>9</v>
      </c>
      <c r="J349" s="56" t="s">
        <v>9</v>
      </c>
      <c r="K349" s="56" t="s">
        <v>9</v>
      </c>
      <c r="L349" s="25" t="str">
        <f t="shared" ref="L349:L351" si="132">CONCATENATE("", C349)</f>
        <v>De.Arquitetura</v>
      </c>
      <c r="M349" s="25" t="str">
        <f t="shared" ref="M349:M351" si="133">CONCATENATE("", D349)</f>
        <v>Elementos.Projetados</v>
      </c>
      <c r="N349" s="25" t="str">
        <f t="shared" ref="N349:N351" si="134">(SUBSTITUTE(SUBSTITUTE(CONCATENATE("",E349),"."," ")," De "," de "))</f>
        <v>Tipos</v>
      </c>
      <c r="O349" s="25" t="str">
        <f t="shared" ref="O349:O351" si="135">(SUBSTITUTE(SUBSTITUTE(CONCATENATE("",F349),"."," ")," De "," de "))</f>
        <v>Projeto de Edifício</v>
      </c>
      <c r="P349" s="20" t="s">
        <v>1644</v>
      </c>
      <c r="Q349" s="20" t="str">
        <f t="shared" ref="Q349:Q356" si="136">_xlfn.TRANSLATE(P349,"pt","es")</f>
        <v>Diseño del edificio</v>
      </c>
      <c r="R349" s="52" t="s">
        <v>9</v>
      </c>
      <c r="S349" s="26" t="str">
        <f t="shared" ref="S349:S351" si="137">SUBSTITUTE(C349, ".", " ")</f>
        <v>De Arquitetura</v>
      </c>
      <c r="T349" s="26" t="str">
        <f t="shared" ref="T349:T351" si="138">SUBSTITUTE(D349, ".", " ")</f>
        <v>Elementos Projetados</v>
      </c>
      <c r="U349" s="26" t="str">
        <f t="shared" ref="U349:U351" si="139">SUBSTITUTE(E349, ".", " ")</f>
        <v>Tipos</v>
      </c>
      <c r="V349" s="20" t="s">
        <v>85</v>
      </c>
      <c r="W349" s="71" t="str">
        <f t="shared" ref="W349:W351" si="140">CONCATENATE("Key-ARQ-",A349)</f>
        <v>Key-ARQ-349</v>
      </c>
      <c r="X349" s="26" t="s">
        <v>9</v>
      </c>
      <c r="Y349" s="26" t="s">
        <v>9</v>
      </c>
      <c r="Z349" s="52" t="s">
        <v>9</v>
      </c>
      <c r="AA349" s="20" t="str">
        <f>_xlfn.TRANSLATE(P349,"pt","en")</f>
        <v>Building Design</v>
      </c>
    </row>
    <row r="350" spans="1:27" ht="6" customHeight="1" x14ac:dyDescent="0.4">
      <c r="A350" s="22">
        <v>350</v>
      </c>
      <c r="B350" s="1" t="s">
        <v>43</v>
      </c>
      <c r="C350" s="1" t="s">
        <v>1634</v>
      </c>
      <c r="D350" s="1" t="s">
        <v>1636</v>
      </c>
      <c r="E350" s="1" t="s">
        <v>1635</v>
      </c>
      <c r="F350" s="24" t="s">
        <v>1639</v>
      </c>
      <c r="G350" s="56" t="s">
        <v>9</v>
      </c>
      <c r="H350" s="54" t="s">
        <v>9</v>
      </c>
      <c r="I350" s="54" t="s">
        <v>9</v>
      </c>
      <c r="J350" s="56" t="s">
        <v>9</v>
      </c>
      <c r="K350" s="56" t="s">
        <v>9</v>
      </c>
      <c r="L350" s="25" t="str">
        <f t="shared" si="132"/>
        <v>De.Arquitetura</v>
      </c>
      <c r="M350" s="25" t="str">
        <f t="shared" si="133"/>
        <v>Elementos.Projetados</v>
      </c>
      <c r="N350" s="25" t="str">
        <f t="shared" si="134"/>
        <v>Tipos</v>
      </c>
      <c r="O350" s="25" t="str">
        <f t="shared" si="135"/>
        <v>Projeto de Telhado</v>
      </c>
      <c r="P350" s="20" t="s">
        <v>1645</v>
      </c>
      <c r="Q350" s="20" t="str">
        <f t="shared" si="136"/>
        <v>Diseño de tejados</v>
      </c>
      <c r="R350" s="52" t="s">
        <v>9</v>
      </c>
      <c r="S350" s="26" t="str">
        <f t="shared" si="137"/>
        <v>De Arquitetura</v>
      </c>
      <c r="T350" s="26" t="str">
        <f t="shared" si="138"/>
        <v>Elementos Projetados</v>
      </c>
      <c r="U350" s="26" t="str">
        <f t="shared" si="139"/>
        <v>Tipos</v>
      </c>
      <c r="V350" s="20" t="s">
        <v>85</v>
      </c>
      <c r="W350" s="71" t="str">
        <f t="shared" si="140"/>
        <v>Key-ARQ-350</v>
      </c>
      <c r="X350" s="26" t="s">
        <v>9</v>
      </c>
      <c r="Y350" s="26" t="s">
        <v>9</v>
      </c>
      <c r="Z350" s="52" t="s">
        <v>9</v>
      </c>
      <c r="AA350" s="20" t="str">
        <f t="shared" ref="AA350:AA355" si="141">_xlfn.TRANSLATE(P350,"pt","en")</f>
        <v>Roof Design</v>
      </c>
    </row>
    <row r="351" spans="1:27" ht="6" customHeight="1" x14ac:dyDescent="0.4">
      <c r="A351" s="22">
        <v>351</v>
      </c>
      <c r="B351" s="1" t="s">
        <v>43</v>
      </c>
      <c r="C351" s="1" t="s">
        <v>1634</v>
      </c>
      <c r="D351" s="1" t="s">
        <v>1636</v>
      </c>
      <c r="E351" s="1" t="s">
        <v>1635</v>
      </c>
      <c r="F351" s="24" t="s">
        <v>1638</v>
      </c>
      <c r="G351" s="56" t="s">
        <v>9</v>
      </c>
      <c r="H351" s="54" t="s">
        <v>9</v>
      </c>
      <c r="I351" s="54" t="s">
        <v>9</v>
      </c>
      <c r="J351" s="56" t="s">
        <v>9</v>
      </c>
      <c r="K351" s="56" t="s">
        <v>9</v>
      </c>
      <c r="L351" s="25" t="str">
        <f t="shared" si="132"/>
        <v>De.Arquitetura</v>
      </c>
      <c r="M351" s="25" t="str">
        <f t="shared" si="133"/>
        <v>Elementos.Projetados</v>
      </c>
      <c r="N351" s="25" t="str">
        <f t="shared" si="134"/>
        <v>Tipos</v>
      </c>
      <c r="O351" s="25" t="str">
        <f t="shared" si="135"/>
        <v>Projeto de Parede</v>
      </c>
      <c r="P351" s="20" t="s">
        <v>1646</v>
      </c>
      <c r="Q351" s="20" t="str">
        <f t="shared" si="136"/>
        <v>Diseño de muros</v>
      </c>
      <c r="R351" s="52" t="s">
        <v>9</v>
      </c>
      <c r="S351" s="26" t="str">
        <f t="shared" si="137"/>
        <v>De Arquitetura</v>
      </c>
      <c r="T351" s="26" t="str">
        <f t="shared" si="138"/>
        <v>Elementos Projetados</v>
      </c>
      <c r="U351" s="26" t="str">
        <f t="shared" si="139"/>
        <v>Tipos</v>
      </c>
      <c r="V351" s="20" t="s">
        <v>85</v>
      </c>
      <c r="W351" s="71" t="str">
        <f t="shared" si="140"/>
        <v>Key-ARQ-351</v>
      </c>
      <c r="X351" s="26" t="s">
        <v>9</v>
      </c>
      <c r="Y351" s="26" t="s">
        <v>9</v>
      </c>
      <c r="Z351" s="52" t="s">
        <v>9</v>
      </c>
      <c r="AA351" s="20" t="str">
        <f t="shared" ref="AA351" si="142">_xlfn.TRANSLATE(P351,"pt","en")</f>
        <v>Wall Design</v>
      </c>
    </row>
    <row r="352" spans="1:27" ht="6" customHeight="1" x14ac:dyDescent="0.4">
      <c r="A352" s="22">
        <v>352</v>
      </c>
      <c r="B352" s="1" t="s">
        <v>43</v>
      </c>
      <c r="C352" s="1" t="s">
        <v>1634</v>
      </c>
      <c r="D352" s="1" t="s">
        <v>1636</v>
      </c>
      <c r="E352" s="1" t="s">
        <v>1635</v>
      </c>
      <c r="F352" s="24" t="s">
        <v>1640</v>
      </c>
      <c r="G352" s="56" t="s">
        <v>9</v>
      </c>
      <c r="H352" s="54" t="s">
        <v>9</v>
      </c>
      <c r="I352" s="54" t="s">
        <v>9</v>
      </c>
      <c r="J352" s="56" t="s">
        <v>9</v>
      </c>
      <c r="K352" s="56" t="s">
        <v>9</v>
      </c>
      <c r="L352" s="25" t="str">
        <f t="shared" ref="L352:L354" si="143">CONCATENATE("", C352)</f>
        <v>De.Arquitetura</v>
      </c>
      <c r="M352" s="25" t="str">
        <f t="shared" ref="M352:M354" si="144">CONCATENATE("", D352)</f>
        <v>Elementos.Projetados</v>
      </c>
      <c r="N352" s="25" t="str">
        <f t="shared" ref="N352:N354" si="145">(SUBSTITUTE(SUBSTITUTE(CONCATENATE("",E352),"."," ")," De "," de "))</f>
        <v>Tipos</v>
      </c>
      <c r="O352" s="25" t="str">
        <f t="shared" ref="O352:O354" si="146">(SUBSTITUTE(SUBSTITUTE(CONCATENATE("",F352),"."," ")," De "," de "))</f>
        <v>Projeto de Piso</v>
      </c>
      <c r="P352" s="20" t="s">
        <v>1647</v>
      </c>
      <c r="Q352" s="20" t="str">
        <f t="shared" si="136"/>
        <v>Diseño de suelos</v>
      </c>
      <c r="R352" s="52" t="s">
        <v>9</v>
      </c>
      <c r="S352" s="26" t="str">
        <f t="shared" ref="S352:S354" si="147">SUBSTITUTE(C352, ".", " ")</f>
        <v>De Arquitetura</v>
      </c>
      <c r="T352" s="26" t="str">
        <f t="shared" ref="T352:T354" si="148">SUBSTITUTE(D352, ".", " ")</f>
        <v>Elementos Projetados</v>
      </c>
      <c r="U352" s="26" t="str">
        <f t="shared" ref="U352:U354" si="149">SUBSTITUTE(E352, ".", " ")</f>
        <v>Tipos</v>
      </c>
      <c r="V352" s="20" t="s">
        <v>85</v>
      </c>
      <c r="W352" s="71" t="str">
        <f t="shared" ref="W352:W354" si="150">CONCATENATE("Key-ARQ-",A352)</f>
        <v>Key-ARQ-352</v>
      </c>
      <c r="X352" s="26" t="s">
        <v>9</v>
      </c>
      <c r="Y352" s="26" t="s">
        <v>9</v>
      </c>
      <c r="Z352" s="52" t="s">
        <v>9</v>
      </c>
      <c r="AA352" s="20" t="str">
        <f t="shared" si="141"/>
        <v>Floor Design</v>
      </c>
    </row>
    <row r="353" spans="1:27" ht="6" customHeight="1" x14ac:dyDescent="0.4">
      <c r="A353" s="22">
        <v>353</v>
      </c>
      <c r="B353" s="1" t="s">
        <v>43</v>
      </c>
      <c r="C353" s="1" t="s">
        <v>1634</v>
      </c>
      <c r="D353" s="1" t="s">
        <v>1636</v>
      </c>
      <c r="E353" s="1" t="s">
        <v>1635</v>
      </c>
      <c r="F353" s="24" t="s">
        <v>1651</v>
      </c>
      <c r="G353" s="56" t="s">
        <v>9</v>
      </c>
      <c r="H353" s="54" t="s">
        <v>9</v>
      </c>
      <c r="I353" s="54" t="s">
        <v>9</v>
      </c>
      <c r="J353" s="56" t="s">
        <v>9</v>
      </c>
      <c r="K353" s="56" t="s">
        <v>9</v>
      </c>
      <c r="L353" s="25" t="str">
        <f t="shared" si="143"/>
        <v>De.Arquitetura</v>
      </c>
      <c r="M353" s="25" t="str">
        <f t="shared" si="144"/>
        <v>Elementos.Projetados</v>
      </c>
      <c r="N353" s="25" t="str">
        <f t="shared" si="145"/>
        <v>Tipos</v>
      </c>
      <c r="O353" s="25" t="str">
        <f t="shared" si="146"/>
        <v>Projeto de Circulação</v>
      </c>
      <c r="P353" s="20" t="s">
        <v>1619</v>
      </c>
      <c r="Q353" s="20" t="str">
        <f t="shared" si="136"/>
        <v>Circulación diseñada</v>
      </c>
      <c r="R353" s="52" t="s">
        <v>9</v>
      </c>
      <c r="S353" s="26" t="str">
        <f t="shared" si="147"/>
        <v>De Arquitetura</v>
      </c>
      <c r="T353" s="26" t="str">
        <f t="shared" si="148"/>
        <v>Elementos Projetados</v>
      </c>
      <c r="U353" s="26" t="str">
        <f t="shared" si="149"/>
        <v>Tipos</v>
      </c>
      <c r="V353" s="20" t="s">
        <v>85</v>
      </c>
      <c r="W353" s="71" t="str">
        <f t="shared" si="150"/>
        <v>Key-ARQ-353</v>
      </c>
      <c r="X353" s="26" t="s">
        <v>9</v>
      </c>
      <c r="Y353" s="26" t="s">
        <v>9</v>
      </c>
      <c r="Z353" s="52" t="s">
        <v>9</v>
      </c>
      <c r="AA353" s="20" t="str">
        <f t="shared" si="141"/>
        <v>Designed Circulation</v>
      </c>
    </row>
    <row r="354" spans="1:27" ht="6" customHeight="1" x14ac:dyDescent="0.4">
      <c r="A354" s="22">
        <v>354</v>
      </c>
      <c r="B354" s="1" t="s">
        <v>43</v>
      </c>
      <c r="C354" s="1" t="s">
        <v>1634</v>
      </c>
      <c r="D354" s="1" t="s">
        <v>1636</v>
      </c>
      <c r="E354" s="1" t="s">
        <v>1635</v>
      </c>
      <c r="F354" s="24" t="s">
        <v>1641</v>
      </c>
      <c r="G354" s="56" t="s">
        <v>9</v>
      </c>
      <c r="H354" s="54" t="s">
        <v>9</v>
      </c>
      <c r="I354" s="54" t="s">
        <v>9</v>
      </c>
      <c r="J354" s="56" t="s">
        <v>9</v>
      </c>
      <c r="K354" s="56" t="s">
        <v>9</v>
      </c>
      <c r="L354" s="25" t="str">
        <f t="shared" si="143"/>
        <v>De.Arquitetura</v>
      </c>
      <c r="M354" s="25" t="str">
        <f t="shared" si="144"/>
        <v>Elementos.Projetados</v>
      </c>
      <c r="N354" s="25" t="str">
        <f t="shared" si="145"/>
        <v>Tipos</v>
      </c>
      <c r="O354" s="25" t="str">
        <f t="shared" si="146"/>
        <v>Projeto de Acesso</v>
      </c>
      <c r="P354" s="20" t="s">
        <v>1648</v>
      </c>
      <c r="Q354" s="20" t="str">
        <f t="shared" si="136"/>
        <v>Proyecto de Acceso</v>
      </c>
      <c r="R354" s="52" t="s">
        <v>9</v>
      </c>
      <c r="S354" s="26" t="str">
        <f t="shared" si="147"/>
        <v>De Arquitetura</v>
      </c>
      <c r="T354" s="26" t="str">
        <f t="shared" si="148"/>
        <v>Elementos Projetados</v>
      </c>
      <c r="U354" s="26" t="str">
        <f t="shared" si="149"/>
        <v>Tipos</v>
      </c>
      <c r="V354" s="20" t="s">
        <v>85</v>
      </c>
      <c r="W354" s="71" t="str">
        <f t="shared" si="150"/>
        <v>Key-ARQ-354</v>
      </c>
      <c r="X354" s="26" t="s">
        <v>9</v>
      </c>
      <c r="Y354" s="26" t="s">
        <v>9</v>
      </c>
      <c r="Z354" s="52" t="s">
        <v>9</v>
      </c>
      <c r="AA354" s="20" t="str">
        <f t="shared" si="141"/>
        <v>Access Project</v>
      </c>
    </row>
    <row r="355" spans="1:27" ht="6" customHeight="1" x14ac:dyDescent="0.4">
      <c r="A355" s="22">
        <v>355</v>
      </c>
      <c r="B355" s="1" t="s">
        <v>43</v>
      </c>
      <c r="C355" s="1" t="s">
        <v>1634</v>
      </c>
      <c r="D355" s="1" t="s">
        <v>1636</v>
      </c>
      <c r="E355" s="1" t="s">
        <v>1635</v>
      </c>
      <c r="F355" s="24" t="s">
        <v>1642</v>
      </c>
      <c r="G355" s="56" t="s">
        <v>9</v>
      </c>
      <c r="H355" s="54" t="s">
        <v>9</v>
      </c>
      <c r="I355" s="54" t="s">
        <v>9</v>
      </c>
      <c r="J355" s="56" t="s">
        <v>9</v>
      </c>
      <c r="K355" s="56" t="s">
        <v>9</v>
      </c>
      <c r="L355" s="25" t="str">
        <f t="shared" ref="L355" si="151">CONCATENATE("", C355)</f>
        <v>De.Arquitetura</v>
      </c>
      <c r="M355" s="25" t="str">
        <f t="shared" ref="M355" si="152">CONCATENATE("", D355)</f>
        <v>Elementos.Projetados</v>
      </c>
      <c r="N355" s="25" t="str">
        <f t="shared" ref="N355" si="153">(SUBSTITUTE(SUBSTITUTE(CONCATENATE("",E355),"."," ")," De "," de "))</f>
        <v>Tipos</v>
      </c>
      <c r="O355" s="25" t="str">
        <f t="shared" ref="O355" si="154">(SUBSTITUTE(SUBSTITUTE(CONCATENATE("",F355),"."," ")," De "," de "))</f>
        <v>Projeto de Layout</v>
      </c>
      <c r="P355" s="20" t="s">
        <v>1649</v>
      </c>
      <c r="Q355" s="20" t="str">
        <f t="shared" si="136"/>
        <v>Diseño de maquetas</v>
      </c>
      <c r="R355" s="52" t="s">
        <v>9</v>
      </c>
      <c r="S355" s="26" t="str">
        <f t="shared" ref="S355" si="155">SUBSTITUTE(C355, ".", " ")</f>
        <v>De Arquitetura</v>
      </c>
      <c r="T355" s="26" t="str">
        <f t="shared" ref="T355" si="156">SUBSTITUTE(D355, ".", " ")</f>
        <v>Elementos Projetados</v>
      </c>
      <c r="U355" s="26" t="str">
        <f t="shared" ref="U355" si="157">SUBSTITUTE(E355, ".", " ")</f>
        <v>Tipos</v>
      </c>
      <c r="V355" s="20" t="s">
        <v>85</v>
      </c>
      <c r="W355" s="71" t="str">
        <f t="shared" ref="W355" si="158">CONCATENATE("Key-ARQ-",A355)</f>
        <v>Key-ARQ-355</v>
      </c>
      <c r="X355" s="26" t="s">
        <v>9</v>
      </c>
      <c r="Y355" s="26" t="s">
        <v>9</v>
      </c>
      <c r="Z355" s="52" t="s">
        <v>9</v>
      </c>
      <c r="AA355" s="20" t="str">
        <f t="shared" si="141"/>
        <v>Layout Design</v>
      </c>
    </row>
    <row r="356" spans="1:27" ht="6" customHeight="1" x14ac:dyDescent="0.4">
      <c r="A356" s="22">
        <v>356</v>
      </c>
      <c r="B356" s="1" t="s">
        <v>43</v>
      </c>
      <c r="C356" s="1" t="s">
        <v>1634</v>
      </c>
      <c r="D356" s="1" t="s">
        <v>1636</v>
      </c>
      <c r="E356" s="1" t="s">
        <v>1635</v>
      </c>
      <c r="F356" s="24" t="s">
        <v>1643</v>
      </c>
      <c r="G356" s="56" t="s">
        <v>9</v>
      </c>
      <c r="H356" s="54" t="s">
        <v>9</v>
      </c>
      <c r="I356" s="54" t="s">
        <v>9</v>
      </c>
      <c r="J356" s="56" t="s">
        <v>9</v>
      </c>
      <c r="K356" s="56" t="s">
        <v>9</v>
      </c>
      <c r="L356" s="25" t="str">
        <f t="shared" ref="L356" si="159">CONCATENATE("", C356)</f>
        <v>De.Arquitetura</v>
      </c>
      <c r="M356" s="25" t="str">
        <f t="shared" ref="M356" si="160">CONCATENATE("", D356)</f>
        <v>Elementos.Projetados</v>
      </c>
      <c r="N356" s="25" t="str">
        <f t="shared" ref="N356" si="161">(SUBSTITUTE(SUBSTITUTE(CONCATENATE("",E356),"."," ")," De "," de "))</f>
        <v>Tipos</v>
      </c>
      <c r="O356" s="25" t="str">
        <f t="shared" ref="O356" si="162">(SUBSTITUTE(SUBSTITUTE(CONCATENATE("",F356),"."," ")," De "," de "))</f>
        <v>Projeto de Acabamento</v>
      </c>
      <c r="P356" s="20" t="s">
        <v>1650</v>
      </c>
      <c r="Q356" s="20" t="str">
        <f t="shared" si="136"/>
        <v>Diseño de acabado</v>
      </c>
      <c r="R356" s="52" t="s">
        <v>9</v>
      </c>
      <c r="S356" s="26" t="str">
        <f t="shared" ref="S356" si="163">SUBSTITUTE(C356, ".", " ")</f>
        <v>De Arquitetura</v>
      </c>
      <c r="T356" s="26" t="str">
        <f t="shared" ref="T356" si="164">SUBSTITUTE(D356, ".", " ")</f>
        <v>Elementos Projetados</v>
      </c>
      <c r="U356" s="26" t="str">
        <f t="shared" ref="U356" si="165">SUBSTITUTE(E356, ".", " ")</f>
        <v>Tipos</v>
      </c>
      <c r="V356" s="20" t="s">
        <v>85</v>
      </c>
      <c r="W356" s="71" t="str">
        <f t="shared" ref="W356" si="166">CONCATENATE("Key-ARQ-",A356)</f>
        <v>Key-ARQ-356</v>
      </c>
      <c r="X356" s="26" t="s">
        <v>9</v>
      </c>
      <c r="Y356" s="26" t="s">
        <v>9</v>
      </c>
      <c r="Z356" s="52" t="s">
        <v>9</v>
      </c>
      <c r="AA356" s="20" t="str">
        <f t="shared" ref="AA356" si="167">_xlfn.TRANSLATE(P356,"pt","en")</f>
        <v>Finishing Design</v>
      </c>
    </row>
  </sheetData>
  <phoneticPr fontId="1" type="noConversion"/>
  <conditionalFormatting sqref="F1 F7:F1048576">
    <cfRule type="duplicateValues" dxfId="34" priority="564"/>
  </conditionalFormatting>
  <conditionalFormatting sqref="F2:F6">
    <cfRule type="duplicateValues" dxfId="33" priority="3"/>
    <cfRule type="duplicateValues" dxfId="32" priority="5"/>
    <cfRule type="duplicateValues" dxfId="31" priority="6"/>
    <cfRule type="duplicateValues" dxfId="30" priority="7"/>
  </conditionalFormatting>
  <conditionalFormatting sqref="F22:F41">
    <cfRule type="duplicateValues" dxfId="29" priority="465"/>
  </conditionalFormatting>
  <conditionalFormatting sqref="F277">
    <cfRule type="duplicateValues" dxfId="28" priority="70"/>
  </conditionalFormatting>
  <conditionalFormatting sqref="F278:F279 F1 F281:F286 F7:F21 F288:F1048576 F42:F276">
    <cfRule type="duplicateValues" dxfId="27" priority="636"/>
  </conditionalFormatting>
  <conditionalFormatting sqref="F278:F279 F1 F281:F286 F288:F1048576 F7:F276">
    <cfRule type="duplicateValues" dxfId="26" priority="644"/>
  </conditionalFormatting>
  <conditionalFormatting sqref="F280">
    <cfRule type="duplicateValues" dxfId="25" priority="62"/>
  </conditionalFormatting>
  <conditionalFormatting sqref="F287">
    <cfRule type="duplicateValues" dxfId="24" priority="524"/>
  </conditionalFormatting>
  <conditionalFormatting sqref="F357:F1048576">
    <cfRule type="duplicateValues" dxfId="23" priority="651"/>
  </conditionalFormatting>
  <conditionalFormatting sqref="L1:Y1 AA1:XFD1 L357:Y1048576">
    <cfRule type="cellIs" dxfId="22" priority="4" operator="equal">
      <formula>"null"</formula>
    </cfRule>
  </conditionalFormatting>
  <conditionalFormatting sqref="W357:W1048576 W1">
    <cfRule type="duplicateValues" dxfId="21" priority="631"/>
  </conditionalFormatting>
  <conditionalFormatting sqref="X22:X41">
    <cfRule type="duplicateValues" dxfId="20" priority="2"/>
  </conditionalFormatting>
  <conditionalFormatting sqref="X7:Y348 A1:F1 A2:A356 B7:F356 L7:Q356 S7:V356 A357:F1048576">
    <cfRule type="cellIs" dxfId="19" priority="23" operator="equal">
      <formula>"null"</formula>
    </cfRule>
  </conditionalFormatting>
  <conditionalFormatting sqref="AA2:AA6">
    <cfRule type="cellIs" dxfId="18" priority="8" operator="equal">
      <formula>"null"</formula>
    </cfRule>
  </conditionalFormatting>
  <conditionalFormatting sqref="AA7:XFD1048576">
    <cfRule type="cellIs" dxfId="17"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
  <sheetViews>
    <sheetView zoomScale="180" zoomScaleNormal="180" workbookViewId="0">
      <selection activeCell="B6" sqref="B6"/>
    </sheetView>
  </sheetViews>
  <sheetFormatPr defaultColWidth="11.15234375" defaultRowHeight="7.75" x14ac:dyDescent="0.2"/>
  <cols>
    <col min="1" max="1" width="2.84375" style="10" customWidth="1"/>
    <col min="2" max="10" width="6.53515625" style="11" customWidth="1"/>
    <col min="11" max="21" width="6.53515625" style="9" customWidth="1"/>
    <col min="22" max="16384" width="11.15234375" style="9"/>
  </cols>
  <sheetData>
    <row r="1" spans="1:21" s="4" customFormat="1" x14ac:dyDescent="0.2">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2">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row r="3" spans="1:21" ht="10.5" customHeight="1" x14ac:dyDescent="0.2">
      <c r="A3" s="6">
        <v>3</v>
      </c>
      <c r="B3" s="7" t="s">
        <v>9</v>
      </c>
      <c r="C3" s="7" t="s">
        <v>9</v>
      </c>
      <c r="D3" s="7" t="s">
        <v>9</v>
      </c>
      <c r="E3" s="7" t="s">
        <v>9</v>
      </c>
      <c r="F3" s="7" t="s">
        <v>9</v>
      </c>
      <c r="G3" s="7" t="s">
        <v>9</v>
      </c>
      <c r="H3" s="7" t="s">
        <v>9</v>
      </c>
      <c r="I3" s="7" t="s">
        <v>9</v>
      </c>
      <c r="J3" s="7" t="s">
        <v>9</v>
      </c>
      <c r="K3" s="7" t="s">
        <v>9</v>
      </c>
      <c r="L3" s="7" t="s">
        <v>9</v>
      </c>
      <c r="M3" s="7" t="s">
        <v>9</v>
      </c>
      <c r="N3" s="7" t="s">
        <v>9</v>
      </c>
      <c r="O3" s="7" t="s">
        <v>9</v>
      </c>
      <c r="P3" s="7" t="s">
        <v>9</v>
      </c>
      <c r="Q3" s="7" t="s">
        <v>9</v>
      </c>
      <c r="R3" s="7" t="s">
        <v>9</v>
      </c>
      <c r="S3" s="7" t="s">
        <v>9</v>
      </c>
      <c r="T3" s="7" t="s">
        <v>9</v>
      </c>
      <c r="U3" s="8" t="s">
        <v>9</v>
      </c>
    </row>
  </sheetData>
  <conditionalFormatting sqref="A1:XFD1048576">
    <cfRule type="cellIs" dxfId="16"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AU132"/>
  <sheetViews>
    <sheetView tabSelected="1" zoomScale="220" zoomScaleNormal="220" workbookViewId="0">
      <pane ySplit="1" topLeftCell="A110" activePane="bottomLeft" state="frozen"/>
      <selection pane="bottomLeft" activeCell="A2" sqref="A2:A132"/>
    </sheetView>
  </sheetViews>
  <sheetFormatPr defaultColWidth="9.3046875" defaultRowHeight="6.75" customHeight="1" x14ac:dyDescent="0.4"/>
  <cols>
    <col min="1" max="1" width="3.3046875" style="85" customWidth="1"/>
    <col min="2" max="2" width="7.23046875" style="50" customWidth="1"/>
    <col min="3" max="3" width="9.61328125" style="50" bestFit="1" customWidth="1"/>
    <col min="4" max="4" width="7.07421875" style="50" bestFit="1" customWidth="1"/>
    <col min="5" max="5" width="5.84375" style="50" bestFit="1" customWidth="1"/>
    <col min="6" max="6" width="6.84375" style="50" customWidth="1"/>
    <col min="7" max="7" width="5.69140625" style="50" bestFit="1" customWidth="1"/>
    <col min="8" max="8" width="6.4609375" style="50" bestFit="1" customWidth="1"/>
    <col min="9" max="9" width="4.15234375" style="50" bestFit="1" customWidth="1"/>
    <col min="10" max="10" width="4.61328125" style="30" customWidth="1"/>
    <col min="11" max="11" width="74.4609375" style="30" bestFit="1" customWidth="1"/>
    <col min="12" max="12" width="4.07421875" style="50" bestFit="1" customWidth="1"/>
    <col min="13" max="13" width="57.4609375" style="50" bestFit="1" customWidth="1"/>
    <col min="14" max="14" width="9.07421875" style="50" bestFit="1" customWidth="1"/>
    <col min="15" max="15" width="9.3046875" style="50" bestFit="1" customWidth="1"/>
    <col min="16" max="16" width="7.61328125" style="50" bestFit="1" customWidth="1"/>
    <col min="17" max="17" width="2.84375" style="49" bestFit="1" customWidth="1"/>
    <col min="18" max="18" width="5.4609375" style="50" bestFit="1" customWidth="1"/>
    <col min="19" max="19" width="3.15234375" style="49" bestFit="1" customWidth="1"/>
    <col min="20" max="20" width="4.921875" style="50" bestFit="1" customWidth="1"/>
    <col min="21" max="21" width="2.84375" style="49" bestFit="1" customWidth="1"/>
    <col min="22" max="22" width="7.61328125" style="50" bestFit="1" customWidth="1"/>
    <col min="23" max="23" width="8.84375" style="50" bestFit="1" customWidth="1"/>
    <col min="24" max="24" width="6.15234375" style="50" bestFit="1" customWidth="1"/>
    <col min="25" max="25" width="6.69140625" style="50" bestFit="1" customWidth="1"/>
    <col min="26" max="26" width="12" style="50" bestFit="1" customWidth="1"/>
    <col min="27" max="27" width="5.69140625" style="50" customWidth="1"/>
    <col min="28" max="28" width="10.4609375" style="50" bestFit="1" customWidth="1"/>
    <col min="29" max="29" width="3.84375" style="50" bestFit="1" customWidth="1"/>
    <col min="30" max="30" width="8.4609375" style="50" bestFit="1" customWidth="1"/>
    <col min="31" max="31" width="3.84375" style="50" bestFit="1" customWidth="1"/>
    <col min="32" max="32" width="11" style="50" bestFit="1" customWidth="1"/>
    <col min="33" max="33" width="3.84375" style="50" bestFit="1" customWidth="1"/>
    <col min="34" max="34" width="11.3046875" style="50" bestFit="1" customWidth="1"/>
    <col min="35" max="35" width="3.84375" style="50" bestFit="1" customWidth="1"/>
    <col min="36" max="36" width="7.921875" style="50" bestFit="1" customWidth="1"/>
    <col min="37" max="37" width="3.84375" style="50" bestFit="1" customWidth="1"/>
    <col min="38" max="38" width="4.3046875" style="50" bestFit="1" customWidth="1"/>
    <col min="39" max="39" width="3.84375" style="50" bestFit="1" customWidth="1"/>
    <col min="40" max="40" width="4.3046875" style="50" bestFit="1" customWidth="1"/>
    <col min="41" max="41" width="13.921875" style="50" customWidth="1"/>
    <col min="42" max="42" width="5.765625" style="50" bestFit="1" customWidth="1"/>
    <col min="43" max="43" width="9.23046875" style="50" bestFit="1" customWidth="1"/>
    <col min="44" max="44" width="5.921875" style="50" bestFit="1" customWidth="1"/>
    <col min="45" max="45" width="13.23046875" style="50" bestFit="1" customWidth="1"/>
    <col min="46" max="46" width="5.3828125" style="50" customWidth="1"/>
    <col min="47" max="47" width="3.765625" style="50" customWidth="1"/>
    <col min="48" max="16384" width="9.3046875" style="50"/>
  </cols>
  <sheetData>
    <row r="1" spans="1:47" s="76" customFormat="1" ht="18.75" customHeight="1" x14ac:dyDescent="0.4">
      <c r="A1" s="83" t="s">
        <v>10</v>
      </c>
      <c r="B1" s="36" t="s">
        <v>71</v>
      </c>
      <c r="C1" s="36" t="s">
        <v>72</v>
      </c>
      <c r="D1" s="36" t="s">
        <v>73</v>
      </c>
      <c r="E1" s="36" t="s">
        <v>45</v>
      </c>
      <c r="F1" s="36" t="s">
        <v>73</v>
      </c>
      <c r="G1" s="36" t="s">
        <v>45</v>
      </c>
      <c r="H1" s="36" t="s">
        <v>73</v>
      </c>
      <c r="I1" s="36" t="s">
        <v>45</v>
      </c>
      <c r="J1" s="86" t="s">
        <v>73</v>
      </c>
      <c r="K1" s="87" t="s">
        <v>1605</v>
      </c>
      <c r="L1" s="36" t="s">
        <v>73</v>
      </c>
      <c r="M1" s="36" t="s">
        <v>45</v>
      </c>
      <c r="N1" s="36" t="s">
        <v>73</v>
      </c>
      <c r="O1" s="36" t="s">
        <v>45</v>
      </c>
      <c r="P1" s="36" t="s">
        <v>73</v>
      </c>
      <c r="Q1" s="35" t="s">
        <v>45</v>
      </c>
      <c r="R1" s="36" t="s">
        <v>73</v>
      </c>
      <c r="S1" s="35" t="s">
        <v>45</v>
      </c>
      <c r="T1" s="36" t="s">
        <v>73</v>
      </c>
      <c r="U1" s="35" t="s">
        <v>45</v>
      </c>
      <c r="V1" s="36" t="s">
        <v>73</v>
      </c>
      <c r="W1" s="36" t="s">
        <v>45</v>
      </c>
      <c r="X1" s="36" t="s">
        <v>73</v>
      </c>
      <c r="Y1" s="36" t="s">
        <v>45</v>
      </c>
      <c r="Z1" s="36" t="s">
        <v>73</v>
      </c>
      <c r="AA1" s="36" t="s">
        <v>75</v>
      </c>
      <c r="AB1" s="36" t="s">
        <v>73</v>
      </c>
      <c r="AC1" s="36" t="s">
        <v>75</v>
      </c>
      <c r="AD1" s="36" t="s">
        <v>73</v>
      </c>
      <c r="AE1" s="36" t="s">
        <v>75</v>
      </c>
      <c r="AF1" s="36" t="s">
        <v>73</v>
      </c>
      <c r="AG1" s="36" t="s">
        <v>75</v>
      </c>
      <c r="AH1" s="66" t="s">
        <v>74</v>
      </c>
      <c r="AI1" s="36" t="s">
        <v>75</v>
      </c>
      <c r="AJ1" s="36" t="s">
        <v>73</v>
      </c>
      <c r="AK1" s="36" t="s">
        <v>75</v>
      </c>
      <c r="AL1" s="36" t="s">
        <v>73</v>
      </c>
      <c r="AM1" s="36" t="s">
        <v>75</v>
      </c>
      <c r="AN1" s="36" t="s">
        <v>73</v>
      </c>
      <c r="AO1" s="36" t="s">
        <v>75</v>
      </c>
      <c r="AP1" s="36" t="s">
        <v>73</v>
      </c>
      <c r="AQ1" s="36"/>
      <c r="AR1" s="36" t="s">
        <v>73</v>
      </c>
      <c r="AS1" s="36"/>
      <c r="AT1" s="36" t="s">
        <v>73</v>
      </c>
      <c r="AU1" s="36" t="s">
        <v>75</v>
      </c>
    </row>
    <row r="2" spans="1:47" s="77" customFormat="1" ht="6.75" customHeight="1" x14ac:dyDescent="0.4">
      <c r="A2" s="84">
        <v>2</v>
      </c>
      <c r="B2" s="44" t="s">
        <v>1596</v>
      </c>
      <c r="C2" s="46" t="s">
        <v>1380</v>
      </c>
      <c r="D2" s="62" t="s">
        <v>9</v>
      </c>
      <c r="E2" s="68" t="s">
        <v>9</v>
      </c>
      <c r="F2" s="62" t="s">
        <v>9</v>
      </c>
      <c r="G2" s="68" t="s">
        <v>9</v>
      </c>
      <c r="H2" s="62" t="s">
        <v>9</v>
      </c>
      <c r="I2" s="68" t="s">
        <v>9</v>
      </c>
      <c r="J2" s="61" t="s">
        <v>86</v>
      </c>
      <c r="K2" s="45" t="s">
        <v>1606</v>
      </c>
      <c r="L2" s="61" t="s">
        <v>86</v>
      </c>
      <c r="M2" s="45" t="s">
        <v>1598</v>
      </c>
      <c r="N2" s="61" t="s">
        <v>1600</v>
      </c>
      <c r="O2" s="45" t="s">
        <v>1601</v>
      </c>
      <c r="P2" s="61" t="s">
        <v>9</v>
      </c>
      <c r="Q2" s="39" t="s">
        <v>9</v>
      </c>
      <c r="R2" s="61" t="s">
        <v>9</v>
      </c>
      <c r="S2" s="39" t="s">
        <v>9</v>
      </c>
      <c r="T2" s="61" t="s">
        <v>9</v>
      </c>
      <c r="U2" s="39" t="s">
        <v>9</v>
      </c>
      <c r="V2" s="61" t="s">
        <v>9</v>
      </c>
      <c r="W2" s="45" t="s">
        <v>9</v>
      </c>
      <c r="X2" s="61" t="s">
        <v>9</v>
      </c>
      <c r="Y2" s="45" t="s">
        <v>9</v>
      </c>
      <c r="Z2" s="61" t="s">
        <v>9</v>
      </c>
      <c r="AA2" s="45" t="s">
        <v>9</v>
      </c>
      <c r="AB2" s="61" t="s">
        <v>9</v>
      </c>
      <c r="AC2" s="45" t="s">
        <v>9</v>
      </c>
      <c r="AD2" s="61" t="s">
        <v>9</v>
      </c>
      <c r="AE2" s="45" t="s">
        <v>9</v>
      </c>
      <c r="AF2" s="61" t="s">
        <v>9</v>
      </c>
      <c r="AG2" s="45" t="s">
        <v>9</v>
      </c>
      <c r="AH2" s="61" t="s">
        <v>9</v>
      </c>
      <c r="AI2" s="45" t="s">
        <v>9</v>
      </c>
      <c r="AJ2" s="61" t="s">
        <v>9</v>
      </c>
      <c r="AK2" s="45" t="s">
        <v>9</v>
      </c>
      <c r="AL2" s="61" t="s">
        <v>9</v>
      </c>
      <c r="AM2" s="45" t="s">
        <v>9</v>
      </c>
      <c r="AN2" s="61" t="s">
        <v>9</v>
      </c>
      <c r="AO2" s="45" t="s">
        <v>9</v>
      </c>
      <c r="AP2" s="61" t="s">
        <v>1599</v>
      </c>
      <c r="AQ2" s="45" t="s">
        <v>1609</v>
      </c>
      <c r="AR2" s="61" t="s">
        <v>1602</v>
      </c>
      <c r="AS2" s="45" t="s">
        <v>1615</v>
      </c>
      <c r="AT2" s="61" t="s">
        <v>1623</v>
      </c>
      <c r="AU2" s="45" t="s">
        <v>1624</v>
      </c>
    </row>
    <row r="3" spans="1:47" s="77" customFormat="1" ht="6.75" customHeight="1" x14ac:dyDescent="0.4">
      <c r="A3" s="84">
        <v>3</v>
      </c>
      <c r="B3" s="44" t="s">
        <v>124</v>
      </c>
      <c r="C3" s="46" t="s">
        <v>1380</v>
      </c>
      <c r="D3" s="62" t="s">
        <v>1597</v>
      </c>
      <c r="E3" s="68" t="s">
        <v>1596</v>
      </c>
      <c r="F3" s="62" t="s">
        <v>9</v>
      </c>
      <c r="G3" s="68" t="s">
        <v>9</v>
      </c>
      <c r="H3" s="62" t="s">
        <v>9</v>
      </c>
      <c r="I3" s="68" t="s">
        <v>9</v>
      </c>
      <c r="J3" s="61" t="s">
        <v>86</v>
      </c>
      <c r="K3" s="45" t="s">
        <v>1606</v>
      </c>
      <c r="L3" s="61" t="s">
        <v>86</v>
      </c>
      <c r="M3" s="45" t="s">
        <v>491</v>
      </c>
      <c r="N3" s="61" t="s">
        <v>9</v>
      </c>
      <c r="O3" s="45" t="s">
        <v>9</v>
      </c>
      <c r="P3" s="61" t="s">
        <v>9</v>
      </c>
      <c r="Q3" s="39" t="s">
        <v>9</v>
      </c>
      <c r="R3" s="61" t="s">
        <v>9</v>
      </c>
      <c r="S3" s="39" t="s">
        <v>9</v>
      </c>
      <c r="T3" s="61" t="s">
        <v>9</v>
      </c>
      <c r="U3" s="39" t="s">
        <v>9</v>
      </c>
      <c r="V3" s="61" t="s">
        <v>9</v>
      </c>
      <c r="W3" s="45" t="s">
        <v>9</v>
      </c>
      <c r="X3" s="61" t="s">
        <v>9</v>
      </c>
      <c r="Y3" s="45" t="s">
        <v>9</v>
      </c>
      <c r="Z3" s="61" t="s">
        <v>9</v>
      </c>
      <c r="AA3" s="45" t="s">
        <v>9</v>
      </c>
      <c r="AB3" s="61" t="s">
        <v>9</v>
      </c>
      <c r="AC3" s="45" t="s">
        <v>9</v>
      </c>
      <c r="AD3" s="61" t="s">
        <v>9</v>
      </c>
      <c r="AE3" s="45" t="s">
        <v>9</v>
      </c>
      <c r="AF3" s="61" t="s">
        <v>9</v>
      </c>
      <c r="AG3" s="45" t="s">
        <v>9</v>
      </c>
      <c r="AH3" s="61" t="s">
        <v>9</v>
      </c>
      <c r="AI3" s="45" t="s">
        <v>9</v>
      </c>
      <c r="AJ3" s="61" t="s">
        <v>9</v>
      </c>
      <c r="AK3" s="45" t="s">
        <v>9</v>
      </c>
      <c r="AL3" s="61" t="s">
        <v>9</v>
      </c>
      <c r="AM3" s="45" t="s">
        <v>9</v>
      </c>
      <c r="AN3" s="61" t="s">
        <v>9</v>
      </c>
      <c r="AO3" s="45" t="s">
        <v>9</v>
      </c>
      <c r="AP3" s="61" t="s">
        <v>134</v>
      </c>
      <c r="AQ3" s="45" t="s">
        <v>1610</v>
      </c>
      <c r="AR3" s="61" t="s">
        <v>135</v>
      </c>
      <c r="AS3" s="45" t="s">
        <v>1611</v>
      </c>
      <c r="AT3" s="61" t="s">
        <v>1623</v>
      </c>
      <c r="AU3" s="45" t="s">
        <v>1624</v>
      </c>
    </row>
    <row r="4" spans="1:47" s="77" customFormat="1" ht="6.75" customHeight="1" x14ac:dyDescent="0.4">
      <c r="A4" s="84">
        <v>4</v>
      </c>
      <c r="B4" s="44" t="s">
        <v>163</v>
      </c>
      <c r="C4" s="46" t="s">
        <v>1380</v>
      </c>
      <c r="D4" s="62" t="s">
        <v>1597</v>
      </c>
      <c r="E4" s="68" t="s">
        <v>1596</v>
      </c>
      <c r="F4" s="62" t="s">
        <v>9</v>
      </c>
      <c r="G4" s="68" t="s">
        <v>9</v>
      </c>
      <c r="H4" s="62" t="s">
        <v>9</v>
      </c>
      <c r="I4" s="68" t="s">
        <v>9</v>
      </c>
      <c r="J4" s="61" t="s">
        <v>86</v>
      </c>
      <c r="K4" s="45" t="s">
        <v>1606</v>
      </c>
      <c r="L4" s="61" t="s">
        <v>86</v>
      </c>
      <c r="M4" s="45" t="s">
        <v>493</v>
      </c>
      <c r="N4" s="61" t="s">
        <v>9</v>
      </c>
      <c r="O4" s="45" t="s">
        <v>9</v>
      </c>
      <c r="P4" s="61" t="s">
        <v>9</v>
      </c>
      <c r="Q4" s="39" t="s">
        <v>9</v>
      </c>
      <c r="R4" s="61" t="s">
        <v>9</v>
      </c>
      <c r="S4" s="39" t="s">
        <v>9</v>
      </c>
      <c r="T4" s="61" t="s">
        <v>9</v>
      </c>
      <c r="U4" s="39" t="s">
        <v>9</v>
      </c>
      <c r="V4" s="61" t="s">
        <v>9</v>
      </c>
      <c r="W4" s="45" t="s">
        <v>9</v>
      </c>
      <c r="X4" s="61" t="s">
        <v>9</v>
      </c>
      <c r="Y4" s="45" t="s">
        <v>9</v>
      </c>
      <c r="Z4" s="61" t="s">
        <v>9</v>
      </c>
      <c r="AA4" s="45" t="s">
        <v>9</v>
      </c>
      <c r="AB4" s="61" t="s">
        <v>9</v>
      </c>
      <c r="AC4" s="45" t="s">
        <v>9</v>
      </c>
      <c r="AD4" s="61" t="s">
        <v>9</v>
      </c>
      <c r="AE4" s="45" t="s">
        <v>9</v>
      </c>
      <c r="AF4" s="61" t="s">
        <v>9</v>
      </c>
      <c r="AG4" s="45" t="s">
        <v>9</v>
      </c>
      <c r="AH4" s="61" t="s">
        <v>9</v>
      </c>
      <c r="AI4" s="45" t="s">
        <v>9</v>
      </c>
      <c r="AJ4" s="61" t="s">
        <v>9</v>
      </c>
      <c r="AK4" s="45" t="s">
        <v>9</v>
      </c>
      <c r="AL4" s="61" t="s">
        <v>9</v>
      </c>
      <c r="AM4" s="45" t="s">
        <v>9</v>
      </c>
      <c r="AN4" s="61" t="s">
        <v>9</v>
      </c>
      <c r="AO4" s="45" t="s">
        <v>9</v>
      </c>
      <c r="AP4" s="61" t="s">
        <v>134</v>
      </c>
      <c r="AQ4" s="45" t="s">
        <v>1611</v>
      </c>
      <c r="AR4" s="61" t="s">
        <v>135</v>
      </c>
      <c r="AS4" s="45" t="s">
        <v>1611</v>
      </c>
      <c r="AT4" s="61" t="s">
        <v>1623</v>
      </c>
      <c r="AU4" s="45" t="s">
        <v>1624</v>
      </c>
    </row>
    <row r="5" spans="1:47" s="77" customFormat="1" ht="6.75" customHeight="1" x14ac:dyDescent="0.4">
      <c r="A5" s="84">
        <v>5</v>
      </c>
      <c r="B5" s="44" t="s">
        <v>197</v>
      </c>
      <c r="C5" s="46" t="s">
        <v>1380</v>
      </c>
      <c r="D5" s="62" t="s">
        <v>1597</v>
      </c>
      <c r="E5" s="68" t="s">
        <v>1596</v>
      </c>
      <c r="F5" s="62" t="s">
        <v>9</v>
      </c>
      <c r="G5" s="68" t="s">
        <v>9</v>
      </c>
      <c r="H5" s="62" t="s">
        <v>9</v>
      </c>
      <c r="I5" s="68" t="s">
        <v>9</v>
      </c>
      <c r="J5" s="61" t="s">
        <v>86</v>
      </c>
      <c r="K5" s="45" t="s">
        <v>1607</v>
      </c>
      <c r="L5" s="61" t="s">
        <v>86</v>
      </c>
      <c r="M5" s="45" t="s">
        <v>492</v>
      </c>
      <c r="N5" s="61" t="s">
        <v>9</v>
      </c>
      <c r="O5" s="45" t="s">
        <v>9</v>
      </c>
      <c r="P5" s="61" t="s">
        <v>9</v>
      </c>
      <c r="Q5" s="39" t="s">
        <v>9</v>
      </c>
      <c r="R5" s="61" t="s">
        <v>9</v>
      </c>
      <c r="S5" s="39" t="s">
        <v>9</v>
      </c>
      <c r="T5" s="61" t="s">
        <v>9</v>
      </c>
      <c r="U5" s="39" t="s">
        <v>9</v>
      </c>
      <c r="V5" s="61" t="s">
        <v>9</v>
      </c>
      <c r="W5" s="45" t="s">
        <v>9</v>
      </c>
      <c r="X5" s="61" t="s">
        <v>9</v>
      </c>
      <c r="Y5" s="45" t="s">
        <v>9</v>
      </c>
      <c r="Z5" s="61" t="s">
        <v>9</v>
      </c>
      <c r="AA5" s="45" t="s">
        <v>9</v>
      </c>
      <c r="AB5" s="61" t="s">
        <v>9</v>
      </c>
      <c r="AC5" s="45" t="s">
        <v>9</v>
      </c>
      <c r="AD5" s="61" t="s">
        <v>9</v>
      </c>
      <c r="AE5" s="45" t="s">
        <v>9</v>
      </c>
      <c r="AF5" s="61" t="s">
        <v>9</v>
      </c>
      <c r="AG5" s="45" t="s">
        <v>9</v>
      </c>
      <c r="AH5" s="61" t="s">
        <v>9</v>
      </c>
      <c r="AI5" s="45" t="s">
        <v>9</v>
      </c>
      <c r="AJ5" s="61" t="s">
        <v>9</v>
      </c>
      <c r="AK5" s="45" t="s">
        <v>9</v>
      </c>
      <c r="AL5" s="61" t="s">
        <v>9</v>
      </c>
      <c r="AM5" s="45" t="s">
        <v>9</v>
      </c>
      <c r="AN5" s="61" t="s">
        <v>9</v>
      </c>
      <c r="AO5" s="45" t="s">
        <v>9</v>
      </c>
      <c r="AP5" s="61" t="s">
        <v>134</v>
      </c>
      <c r="AQ5" s="45" t="s">
        <v>1611</v>
      </c>
      <c r="AR5" s="61" t="s">
        <v>135</v>
      </c>
      <c r="AS5" s="45" t="s">
        <v>1611</v>
      </c>
      <c r="AT5" s="61" t="s">
        <v>1623</v>
      </c>
      <c r="AU5" s="45" t="s">
        <v>1624</v>
      </c>
    </row>
    <row r="6" spans="1:47" s="77" customFormat="1" ht="6.75" customHeight="1" x14ac:dyDescent="0.4">
      <c r="A6" s="84">
        <v>6</v>
      </c>
      <c r="B6" s="78" t="s">
        <v>494</v>
      </c>
      <c r="C6" s="41" t="s">
        <v>1159</v>
      </c>
      <c r="D6" s="62" t="s">
        <v>9</v>
      </c>
      <c r="E6" s="68" t="s">
        <v>9</v>
      </c>
      <c r="F6" s="62" t="s">
        <v>9</v>
      </c>
      <c r="G6" s="68" t="s">
        <v>9</v>
      </c>
      <c r="H6" s="62" t="s">
        <v>9</v>
      </c>
      <c r="I6" s="68" t="s">
        <v>9</v>
      </c>
      <c r="J6" s="61" t="s">
        <v>86</v>
      </c>
      <c r="K6" s="45" t="s">
        <v>1607</v>
      </c>
      <c r="L6" s="61" t="s">
        <v>86</v>
      </c>
      <c r="M6" s="47" t="s">
        <v>139</v>
      </c>
      <c r="N6" s="61" t="s">
        <v>9</v>
      </c>
      <c r="O6" s="45" t="s">
        <v>9</v>
      </c>
      <c r="P6" s="61" t="s">
        <v>9</v>
      </c>
      <c r="Q6" s="39" t="s">
        <v>9</v>
      </c>
      <c r="R6" s="61" t="s">
        <v>9</v>
      </c>
      <c r="S6" s="39" t="s">
        <v>9</v>
      </c>
      <c r="T6" s="61" t="s">
        <v>9</v>
      </c>
      <c r="U6" s="39" t="s">
        <v>9</v>
      </c>
      <c r="V6" s="61" t="s">
        <v>9</v>
      </c>
      <c r="W6" s="45" t="s">
        <v>9</v>
      </c>
      <c r="X6" s="61" t="s">
        <v>9</v>
      </c>
      <c r="Y6" s="45" t="s">
        <v>9</v>
      </c>
      <c r="Z6" s="61" t="s">
        <v>9</v>
      </c>
      <c r="AA6" s="45" t="s">
        <v>9</v>
      </c>
      <c r="AB6" s="61" t="s">
        <v>9</v>
      </c>
      <c r="AC6" s="45" t="s">
        <v>9</v>
      </c>
      <c r="AD6" s="61" t="s">
        <v>9</v>
      </c>
      <c r="AE6" s="45" t="s">
        <v>9</v>
      </c>
      <c r="AF6" s="61" t="s">
        <v>9</v>
      </c>
      <c r="AG6" s="45" t="s">
        <v>9</v>
      </c>
      <c r="AH6" s="61" t="s">
        <v>9</v>
      </c>
      <c r="AI6" s="45" t="s">
        <v>9</v>
      </c>
      <c r="AJ6" s="61" t="s">
        <v>9</v>
      </c>
      <c r="AK6" s="45" t="s">
        <v>9</v>
      </c>
      <c r="AL6" s="61" t="s">
        <v>9</v>
      </c>
      <c r="AM6" s="45" t="s">
        <v>9</v>
      </c>
      <c r="AN6" s="61" t="s">
        <v>9</v>
      </c>
      <c r="AO6" s="45" t="s">
        <v>9</v>
      </c>
      <c r="AP6" s="61" t="s">
        <v>134</v>
      </c>
      <c r="AQ6" s="45" t="s">
        <v>1611</v>
      </c>
      <c r="AR6" s="61" t="s">
        <v>135</v>
      </c>
      <c r="AS6" s="45" t="s">
        <v>1611</v>
      </c>
      <c r="AT6" s="61" t="s">
        <v>1623</v>
      </c>
      <c r="AU6" s="45" t="s">
        <v>1624</v>
      </c>
    </row>
    <row r="7" spans="1:47" ht="6.75" customHeight="1" x14ac:dyDescent="0.4">
      <c r="A7" s="84">
        <v>7</v>
      </c>
      <c r="B7" s="79" t="s">
        <v>496</v>
      </c>
      <c r="C7" s="41" t="s">
        <v>1544</v>
      </c>
      <c r="D7" s="62" t="s">
        <v>9</v>
      </c>
      <c r="E7" s="68" t="s">
        <v>9</v>
      </c>
      <c r="F7" s="62" t="s">
        <v>9</v>
      </c>
      <c r="G7" s="68" t="s">
        <v>9</v>
      </c>
      <c r="H7" s="62" t="s">
        <v>9</v>
      </c>
      <c r="I7" s="68" t="s">
        <v>9</v>
      </c>
      <c r="J7" s="61" t="s">
        <v>86</v>
      </c>
      <c r="K7" s="45" t="s">
        <v>1607</v>
      </c>
      <c r="L7" s="61" t="s">
        <v>86</v>
      </c>
      <c r="M7" s="42" t="s">
        <v>449</v>
      </c>
      <c r="N7" s="61" t="s">
        <v>9</v>
      </c>
      <c r="O7" s="45" t="s">
        <v>9</v>
      </c>
      <c r="P7" s="61" t="s">
        <v>9</v>
      </c>
      <c r="Q7" s="39" t="s">
        <v>9</v>
      </c>
      <c r="R7" s="61" t="s">
        <v>9</v>
      </c>
      <c r="S7" s="39" t="s">
        <v>9</v>
      </c>
      <c r="T7" s="61" t="s">
        <v>9</v>
      </c>
      <c r="U7" s="39" t="s">
        <v>9</v>
      </c>
      <c r="V7" s="61" t="s">
        <v>9</v>
      </c>
      <c r="W7" s="45" t="s">
        <v>9</v>
      </c>
      <c r="X7" s="61" t="s">
        <v>1652</v>
      </c>
      <c r="Y7" s="45" t="s">
        <v>425</v>
      </c>
      <c r="Z7" s="61" t="s">
        <v>9</v>
      </c>
      <c r="AA7" s="45" t="s">
        <v>9</v>
      </c>
      <c r="AB7" s="61" t="s">
        <v>9</v>
      </c>
      <c r="AC7" s="45" t="s">
        <v>9</v>
      </c>
      <c r="AD7" s="61" t="s">
        <v>9</v>
      </c>
      <c r="AE7" s="45" t="s">
        <v>9</v>
      </c>
      <c r="AF7" s="61" t="s">
        <v>9</v>
      </c>
      <c r="AG7" s="45" t="s">
        <v>9</v>
      </c>
      <c r="AH7" s="61" t="s">
        <v>9</v>
      </c>
      <c r="AI7" s="45" t="s">
        <v>9</v>
      </c>
      <c r="AJ7" s="61" t="s">
        <v>9</v>
      </c>
      <c r="AK7" s="45" t="s">
        <v>9</v>
      </c>
      <c r="AL7" s="61" t="s">
        <v>9</v>
      </c>
      <c r="AM7" s="45" t="s">
        <v>9</v>
      </c>
      <c r="AN7" s="61" t="s">
        <v>9</v>
      </c>
      <c r="AO7" s="45" t="s">
        <v>9</v>
      </c>
      <c r="AP7" s="61" t="s">
        <v>134</v>
      </c>
      <c r="AQ7" s="45" t="s">
        <v>1611</v>
      </c>
      <c r="AR7" s="61" t="s">
        <v>135</v>
      </c>
      <c r="AS7" s="45" t="s">
        <v>1611</v>
      </c>
      <c r="AT7" s="61" t="s">
        <v>1623</v>
      </c>
      <c r="AU7" s="45" t="s">
        <v>1624</v>
      </c>
    </row>
    <row r="8" spans="1:47" ht="6.75" customHeight="1" x14ac:dyDescent="0.4">
      <c r="A8" s="84">
        <v>8</v>
      </c>
      <c r="B8" s="79" t="s">
        <v>497</v>
      </c>
      <c r="C8" s="41" t="s">
        <v>1544</v>
      </c>
      <c r="D8" s="62" t="s">
        <v>9</v>
      </c>
      <c r="E8" s="68" t="s">
        <v>9</v>
      </c>
      <c r="F8" s="62" t="s">
        <v>9</v>
      </c>
      <c r="G8" s="68" t="s">
        <v>9</v>
      </c>
      <c r="H8" s="62" t="s">
        <v>9</v>
      </c>
      <c r="I8" s="68" t="s">
        <v>9</v>
      </c>
      <c r="J8" s="61" t="s">
        <v>86</v>
      </c>
      <c r="K8" s="45" t="s">
        <v>1607</v>
      </c>
      <c r="L8" s="61" t="s">
        <v>86</v>
      </c>
      <c r="M8" s="42" t="s">
        <v>450</v>
      </c>
      <c r="N8" s="61" t="s">
        <v>9</v>
      </c>
      <c r="O8" s="45" t="s">
        <v>9</v>
      </c>
      <c r="P8" s="61" t="s">
        <v>9</v>
      </c>
      <c r="Q8" s="39" t="s">
        <v>9</v>
      </c>
      <c r="R8" s="61" t="s">
        <v>9</v>
      </c>
      <c r="S8" s="39" t="s">
        <v>9</v>
      </c>
      <c r="T8" s="61" t="s">
        <v>9</v>
      </c>
      <c r="U8" s="39" t="s">
        <v>9</v>
      </c>
      <c r="V8" s="61" t="s">
        <v>9</v>
      </c>
      <c r="W8" s="45" t="s">
        <v>9</v>
      </c>
      <c r="X8" s="61" t="s">
        <v>1652</v>
      </c>
      <c r="Y8" s="45" t="s">
        <v>425</v>
      </c>
      <c r="Z8" s="61" t="s">
        <v>9</v>
      </c>
      <c r="AA8" s="45" t="s">
        <v>9</v>
      </c>
      <c r="AB8" s="61" t="s">
        <v>9</v>
      </c>
      <c r="AC8" s="45" t="s">
        <v>9</v>
      </c>
      <c r="AD8" s="61" t="s">
        <v>9</v>
      </c>
      <c r="AE8" s="45" t="s">
        <v>9</v>
      </c>
      <c r="AF8" s="61" t="s">
        <v>9</v>
      </c>
      <c r="AG8" s="45" t="s">
        <v>9</v>
      </c>
      <c r="AH8" s="61" t="s">
        <v>9</v>
      </c>
      <c r="AI8" s="45" t="s">
        <v>9</v>
      </c>
      <c r="AJ8" s="61" t="s">
        <v>9</v>
      </c>
      <c r="AK8" s="45" t="s">
        <v>9</v>
      </c>
      <c r="AL8" s="61" t="s">
        <v>9</v>
      </c>
      <c r="AM8" s="45" t="s">
        <v>9</v>
      </c>
      <c r="AN8" s="61" t="s">
        <v>9</v>
      </c>
      <c r="AO8" s="45" t="s">
        <v>9</v>
      </c>
      <c r="AP8" s="61" t="s">
        <v>134</v>
      </c>
      <c r="AQ8" s="45" t="s">
        <v>1611</v>
      </c>
      <c r="AR8" s="61" t="s">
        <v>135</v>
      </c>
      <c r="AS8" s="45" t="s">
        <v>1611</v>
      </c>
      <c r="AT8" s="61" t="s">
        <v>1623</v>
      </c>
      <c r="AU8" s="45" t="s">
        <v>1624</v>
      </c>
    </row>
    <row r="9" spans="1:47" ht="6.75" customHeight="1" x14ac:dyDescent="0.4">
      <c r="A9" s="84">
        <v>9</v>
      </c>
      <c r="B9" s="79" t="s">
        <v>498</v>
      </c>
      <c r="C9" s="41" t="s">
        <v>1544</v>
      </c>
      <c r="D9" s="62" t="s">
        <v>9</v>
      </c>
      <c r="E9" s="68" t="s">
        <v>9</v>
      </c>
      <c r="F9" s="62" t="s">
        <v>9</v>
      </c>
      <c r="G9" s="68" t="s">
        <v>9</v>
      </c>
      <c r="H9" s="62" t="s">
        <v>9</v>
      </c>
      <c r="I9" s="68" t="s">
        <v>9</v>
      </c>
      <c r="J9" s="61" t="s">
        <v>86</v>
      </c>
      <c r="K9" s="45" t="s">
        <v>1607</v>
      </c>
      <c r="L9" s="61" t="s">
        <v>86</v>
      </c>
      <c r="M9" s="42" t="s">
        <v>451</v>
      </c>
      <c r="N9" s="61" t="s">
        <v>9</v>
      </c>
      <c r="O9" s="45" t="s">
        <v>9</v>
      </c>
      <c r="P9" s="61" t="s">
        <v>9</v>
      </c>
      <c r="Q9" s="39" t="s">
        <v>9</v>
      </c>
      <c r="R9" s="61" t="s">
        <v>9</v>
      </c>
      <c r="S9" s="39" t="s">
        <v>9</v>
      </c>
      <c r="T9" s="61" t="s">
        <v>9</v>
      </c>
      <c r="U9" s="39" t="s">
        <v>9</v>
      </c>
      <c r="V9" s="61" t="s">
        <v>9</v>
      </c>
      <c r="W9" s="45" t="s">
        <v>9</v>
      </c>
      <c r="X9" s="61" t="s">
        <v>1652</v>
      </c>
      <c r="Y9" s="45" t="s">
        <v>425</v>
      </c>
      <c r="Z9" s="61" t="s">
        <v>9</v>
      </c>
      <c r="AA9" s="45" t="s">
        <v>9</v>
      </c>
      <c r="AB9" s="61" t="s">
        <v>9</v>
      </c>
      <c r="AC9" s="45" t="s">
        <v>9</v>
      </c>
      <c r="AD9" s="61" t="s">
        <v>9</v>
      </c>
      <c r="AE9" s="45" t="s">
        <v>9</v>
      </c>
      <c r="AF9" s="61" t="s">
        <v>9</v>
      </c>
      <c r="AG9" s="45" t="s">
        <v>9</v>
      </c>
      <c r="AH9" s="61" t="s">
        <v>9</v>
      </c>
      <c r="AI9" s="45" t="s">
        <v>9</v>
      </c>
      <c r="AJ9" s="61" t="s">
        <v>9</v>
      </c>
      <c r="AK9" s="45" t="s">
        <v>9</v>
      </c>
      <c r="AL9" s="61" t="s">
        <v>9</v>
      </c>
      <c r="AM9" s="45" t="s">
        <v>9</v>
      </c>
      <c r="AN9" s="61" t="s">
        <v>9</v>
      </c>
      <c r="AO9" s="45" t="s">
        <v>9</v>
      </c>
      <c r="AP9" s="61" t="s">
        <v>134</v>
      </c>
      <c r="AQ9" s="45" t="s">
        <v>1611</v>
      </c>
      <c r="AR9" s="61" t="s">
        <v>135</v>
      </c>
      <c r="AS9" s="45" t="s">
        <v>1611</v>
      </c>
      <c r="AT9" s="61" t="s">
        <v>1623</v>
      </c>
      <c r="AU9" s="45" t="s">
        <v>1624</v>
      </c>
    </row>
    <row r="10" spans="1:47" ht="6.75" customHeight="1" x14ac:dyDescent="0.4">
      <c r="A10" s="84">
        <v>10</v>
      </c>
      <c r="B10" s="79" t="s">
        <v>499</v>
      </c>
      <c r="C10" s="41" t="s">
        <v>1544</v>
      </c>
      <c r="D10" s="62" t="s">
        <v>9</v>
      </c>
      <c r="E10" s="68" t="s">
        <v>9</v>
      </c>
      <c r="F10" s="62" t="s">
        <v>9</v>
      </c>
      <c r="G10" s="68" t="s">
        <v>9</v>
      </c>
      <c r="H10" s="62" t="s">
        <v>9</v>
      </c>
      <c r="I10" s="68" t="s">
        <v>9</v>
      </c>
      <c r="J10" s="61" t="s">
        <v>86</v>
      </c>
      <c r="K10" s="45" t="s">
        <v>1607</v>
      </c>
      <c r="L10" s="61" t="s">
        <v>86</v>
      </c>
      <c r="M10" s="42" t="s">
        <v>452</v>
      </c>
      <c r="N10" s="61" t="s">
        <v>9</v>
      </c>
      <c r="O10" s="45" t="s">
        <v>9</v>
      </c>
      <c r="P10" s="61" t="s">
        <v>9</v>
      </c>
      <c r="Q10" s="39" t="s">
        <v>9</v>
      </c>
      <c r="R10" s="61" t="s">
        <v>9</v>
      </c>
      <c r="S10" s="39" t="s">
        <v>9</v>
      </c>
      <c r="T10" s="61" t="s">
        <v>9</v>
      </c>
      <c r="U10" s="39" t="s">
        <v>9</v>
      </c>
      <c r="V10" s="61" t="s">
        <v>9</v>
      </c>
      <c r="W10" s="45" t="s">
        <v>9</v>
      </c>
      <c r="X10" s="61" t="s">
        <v>1652</v>
      </c>
      <c r="Y10" s="45" t="s">
        <v>425</v>
      </c>
      <c r="Z10" s="61" t="s">
        <v>9</v>
      </c>
      <c r="AA10" s="45" t="s">
        <v>9</v>
      </c>
      <c r="AB10" s="61" t="s">
        <v>9</v>
      </c>
      <c r="AC10" s="45" t="s">
        <v>9</v>
      </c>
      <c r="AD10" s="61" t="s">
        <v>9</v>
      </c>
      <c r="AE10" s="45" t="s">
        <v>9</v>
      </c>
      <c r="AF10" s="61" t="s">
        <v>9</v>
      </c>
      <c r="AG10" s="45" t="s">
        <v>9</v>
      </c>
      <c r="AH10" s="61" t="s">
        <v>9</v>
      </c>
      <c r="AI10" s="45" t="s">
        <v>9</v>
      </c>
      <c r="AJ10" s="61" t="s">
        <v>9</v>
      </c>
      <c r="AK10" s="45" t="s">
        <v>9</v>
      </c>
      <c r="AL10" s="61" t="s">
        <v>9</v>
      </c>
      <c r="AM10" s="45" t="s">
        <v>9</v>
      </c>
      <c r="AN10" s="61" t="s">
        <v>9</v>
      </c>
      <c r="AO10" s="45" t="s">
        <v>9</v>
      </c>
      <c r="AP10" s="61" t="s">
        <v>134</v>
      </c>
      <c r="AQ10" s="45" t="s">
        <v>1611</v>
      </c>
      <c r="AR10" s="61" t="s">
        <v>135</v>
      </c>
      <c r="AS10" s="45" t="s">
        <v>1611</v>
      </c>
      <c r="AT10" s="61" t="s">
        <v>1623</v>
      </c>
      <c r="AU10" s="45" t="s">
        <v>1624</v>
      </c>
    </row>
    <row r="11" spans="1:47" ht="6.75" customHeight="1" x14ac:dyDescent="0.4">
      <c r="A11" s="84">
        <v>11</v>
      </c>
      <c r="B11" s="79" t="s">
        <v>500</v>
      </c>
      <c r="C11" s="41" t="s">
        <v>1544</v>
      </c>
      <c r="D11" s="62" t="s">
        <v>9</v>
      </c>
      <c r="E11" s="68" t="s">
        <v>9</v>
      </c>
      <c r="F11" s="62" t="s">
        <v>9</v>
      </c>
      <c r="G11" s="68" t="s">
        <v>9</v>
      </c>
      <c r="H11" s="62" t="s">
        <v>9</v>
      </c>
      <c r="I11" s="68" t="s">
        <v>9</v>
      </c>
      <c r="J11" s="61" t="s">
        <v>86</v>
      </c>
      <c r="K11" s="45" t="s">
        <v>1607</v>
      </c>
      <c r="L11" s="61" t="s">
        <v>86</v>
      </c>
      <c r="M11" s="42" t="s">
        <v>453</v>
      </c>
      <c r="N11" s="61" t="s">
        <v>9</v>
      </c>
      <c r="O11" s="45" t="s">
        <v>9</v>
      </c>
      <c r="P11" s="61" t="s">
        <v>9</v>
      </c>
      <c r="Q11" s="39" t="s">
        <v>9</v>
      </c>
      <c r="R11" s="61" t="s">
        <v>9</v>
      </c>
      <c r="S11" s="39" t="s">
        <v>9</v>
      </c>
      <c r="T11" s="61" t="s">
        <v>9</v>
      </c>
      <c r="U11" s="39" t="s">
        <v>9</v>
      </c>
      <c r="V11" s="61" t="s">
        <v>9</v>
      </c>
      <c r="W11" s="45" t="s">
        <v>9</v>
      </c>
      <c r="X11" s="61" t="s">
        <v>1652</v>
      </c>
      <c r="Y11" s="45" t="s">
        <v>425</v>
      </c>
      <c r="Z11" s="61" t="s">
        <v>9</v>
      </c>
      <c r="AA11" s="45" t="s">
        <v>9</v>
      </c>
      <c r="AB11" s="61" t="s">
        <v>9</v>
      </c>
      <c r="AC11" s="45" t="s">
        <v>9</v>
      </c>
      <c r="AD11" s="61" t="s">
        <v>9</v>
      </c>
      <c r="AE11" s="45" t="s">
        <v>9</v>
      </c>
      <c r="AF11" s="61" t="s">
        <v>9</v>
      </c>
      <c r="AG11" s="45" t="s">
        <v>9</v>
      </c>
      <c r="AH11" s="61" t="s">
        <v>9</v>
      </c>
      <c r="AI11" s="45" t="s">
        <v>9</v>
      </c>
      <c r="AJ11" s="61" t="s">
        <v>9</v>
      </c>
      <c r="AK11" s="45" t="s">
        <v>9</v>
      </c>
      <c r="AL11" s="61" t="s">
        <v>9</v>
      </c>
      <c r="AM11" s="45" t="s">
        <v>9</v>
      </c>
      <c r="AN11" s="61" t="s">
        <v>9</v>
      </c>
      <c r="AO11" s="45" t="s">
        <v>9</v>
      </c>
      <c r="AP11" s="61" t="s">
        <v>134</v>
      </c>
      <c r="AQ11" s="45" t="s">
        <v>1611</v>
      </c>
      <c r="AR11" s="61" t="s">
        <v>135</v>
      </c>
      <c r="AS11" s="45" t="s">
        <v>1611</v>
      </c>
      <c r="AT11" s="61" t="s">
        <v>1623</v>
      </c>
      <c r="AU11" s="45" t="s">
        <v>1624</v>
      </c>
    </row>
    <row r="12" spans="1:47" s="77" customFormat="1" ht="6.75" customHeight="1" x14ac:dyDescent="0.4">
      <c r="A12" s="84">
        <v>12</v>
      </c>
      <c r="B12" s="78" t="s">
        <v>501</v>
      </c>
      <c r="C12" s="41" t="s">
        <v>1544</v>
      </c>
      <c r="D12" s="62" t="s">
        <v>9</v>
      </c>
      <c r="E12" s="68" t="s">
        <v>9</v>
      </c>
      <c r="F12" s="62" t="s">
        <v>9</v>
      </c>
      <c r="G12" s="68" t="s">
        <v>9</v>
      </c>
      <c r="H12" s="62" t="s">
        <v>9</v>
      </c>
      <c r="I12" s="68" t="s">
        <v>9</v>
      </c>
      <c r="J12" s="61" t="s">
        <v>86</v>
      </c>
      <c r="K12" s="45" t="s">
        <v>1607</v>
      </c>
      <c r="L12" s="61" t="s">
        <v>86</v>
      </c>
      <c r="M12" s="47" t="s">
        <v>122</v>
      </c>
      <c r="N12" s="61" t="s">
        <v>9</v>
      </c>
      <c r="O12" s="45" t="s">
        <v>9</v>
      </c>
      <c r="P12" s="61" t="s">
        <v>9</v>
      </c>
      <c r="Q12" s="39" t="s">
        <v>9</v>
      </c>
      <c r="R12" s="61" t="s">
        <v>9</v>
      </c>
      <c r="S12" s="39" t="s">
        <v>9</v>
      </c>
      <c r="T12" s="61" t="s">
        <v>9</v>
      </c>
      <c r="U12" s="39" t="s">
        <v>9</v>
      </c>
      <c r="V12" s="61" t="s">
        <v>9</v>
      </c>
      <c r="W12" s="45" t="s">
        <v>9</v>
      </c>
      <c r="X12" s="61" t="s">
        <v>1652</v>
      </c>
      <c r="Y12" s="45" t="s">
        <v>1363</v>
      </c>
      <c r="Z12" s="61" t="s">
        <v>9</v>
      </c>
      <c r="AA12" s="45" t="s">
        <v>9</v>
      </c>
      <c r="AB12" s="61" t="s">
        <v>9</v>
      </c>
      <c r="AC12" s="45" t="s">
        <v>9</v>
      </c>
      <c r="AD12" s="61" t="s">
        <v>9</v>
      </c>
      <c r="AE12" s="45" t="s">
        <v>9</v>
      </c>
      <c r="AF12" s="61" t="s">
        <v>9</v>
      </c>
      <c r="AG12" s="45" t="s">
        <v>9</v>
      </c>
      <c r="AH12" s="61" t="s">
        <v>9</v>
      </c>
      <c r="AI12" s="45" t="s">
        <v>9</v>
      </c>
      <c r="AJ12" s="61" t="s">
        <v>9</v>
      </c>
      <c r="AK12" s="45" t="s">
        <v>9</v>
      </c>
      <c r="AL12" s="61" t="s">
        <v>9</v>
      </c>
      <c r="AM12" s="45" t="s">
        <v>9</v>
      </c>
      <c r="AN12" s="61" t="s">
        <v>9</v>
      </c>
      <c r="AO12" s="45" t="s">
        <v>9</v>
      </c>
      <c r="AP12" s="61" t="s">
        <v>134</v>
      </c>
      <c r="AQ12" s="45" t="s">
        <v>1611</v>
      </c>
      <c r="AR12" s="61" t="s">
        <v>135</v>
      </c>
      <c r="AS12" s="45" t="s">
        <v>1611</v>
      </c>
      <c r="AT12" s="61" t="s">
        <v>1623</v>
      </c>
      <c r="AU12" s="45" t="s">
        <v>1624</v>
      </c>
    </row>
    <row r="13" spans="1:47" s="77" customFormat="1" ht="6.75" customHeight="1" x14ac:dyDescent="0.4">
      <c r="A13" s="84">
        <v>13</v>
      </c>
      <c r="B13" s="78" t="s">
        <v>502</v>
      </c>
      <c r="C13" s="41" t="s">
        <v>1544</v>
      </c>
      <c r="D13" s="62" t="s">
        <v>9</v>
      </c>
      <c r="E13" s="68" t="s">
        <v>9</v>
      </c>
      <c r="F13" s="62" t="s">
        <v>9</v>
      </c>
      <c r="G13" s="68" t="s">
        <v>9</v>
      </c>
      <c r="H13" s="62" t="s">
        <v>9</v>
      </c>
      <c r="I13" s="68" t="s">
        <v>9</v>
      </c>
      <c r="J13" s="61" t="s">
        <v>86</v>
      </c>
      <c r="K13" s="45" t="s">
        <v>1607</v>
      </c>
      <c r="L13" s="61" t="s">
        <v>86</v>
      </c>
      <c r="M13" s="47" t="s">
        <v>123</v>
      </c>
      <c r="N13" s="61" t="s">
        <v>9</v>
      </c>
      <c r="O13" s="45" t="s">
        <v>9</v>
      </c>
      <c r="P13" s="61" t="s">
        <v>9</v>
      </c>
      <c r="Q13" s="39" t="s">
        <v>9</v>
      </c>
      <c r="R13" s="61" t="s">
        <v>9</v>
      </c>
      <c r="S13" s="39" t="s">
        <v>9</v>
      </c>
      <c r="T13" s="61" t="s">
        <v>9</v>
      </c>
      <c r="U13" s="39" t="s">
        <v>9</v>
      </c>
      <c r="V13" s="61" t="s">
        <v>9</v>
      </c>
      <c r="W13" s="45" t="s">
        <v>9</v>
      </c>
      <c r="X13" s="61" t="s">
        <v>1652</v>
      </c>
      <c r="Y13" s="45" t="s">
        <v>1363</v>
      </c>
      <c r="Z13" s="61" t="s">
        <v>9</v>
      </c>
      <c r="AA13" s="45" t="s">
        <v>9</v>
      </c>
      <c r="AB13" s="61" t="s">
        <v>9</v>
      </c>
      <c r="AC13" s="45" t="s">
        <v>9</v>
      </c>
      <c r="AD13" s="61" t="s">
        <v>9</v>
      </c>
      <c r="AE13" s="45" t="s">
        <v>9</v>
      </c>
      <c r="AF13" s="61" t="s">
        <v>9</v>
      </c>
      <c r="AG13" s="45" t="s">
        <v>9</v>
      </c>
      <c r="AH13" s="61" t="s">
        <v>9</v>
      </c>
      <c r="AI13" s="45" t="s">
        <v>9</v>
      </c>
      <c r="AJ13" s="61" t="s">
        <v>9</v>
      </c>
      <c r="AK13" s="45" t="s">
        <v>9</v>
      </c>
      <c r="AL13" s="61" t="s">
        <v>9</v>
      </c>
      <c r="AM13" s="45" t="s">
        <v>9</v>
      </c>
      <c r="AN13" s="61" t="s">
        <v>9</v>
      </c>
      <c r="AO13" s="45" t="s">
        <v>9</v>
      </c>
      <c r="AP13" s="61" t="s">
        <v>134</v>
      </c>
      <c r="AQ13" s="45" t="s">
        <v>1611</v>
      </c>
      <c r="AR13" s="61" t="s">
        <v>135</v>
      </c>
      <c r="AS13" s="45" t="s">
        <v>1611</v>
      </c>
      <c r="AT13" s="61" t="s">
        <v>1623</v>
      </c>
      <c r="AU13" s="45" t="s">
        <v>1624</v>
      </c>
    </row>
    <row r="14" spans="1:47" ht="6.75" customHeight="1" x14ac:dyDescent="0.4">
      <c r="A14" s="84">
        <v>14</v>
      </c>
      <c r="B14" s="79" t="s">
        <v>503</v>
      </c>
      <c r="C14" s="41" t="s">
        <v>1544</v>
      </c>
      <c r="D14" s="62" t="s">
        <v>9</v>
      </c>
      <c r="E14" s="68" t="s">
        <v>9</v>
      </c>
      <c r="F14" s="62" t="s">
        <v>9</v>
      </c>
      <c r="G14" s="68" t="s">
        <v>9</v>
      </c>
      <c r="H14" s="62" t="s">
        <v>9</v>
      </c>
      <c r="I14" s="68" t="s">
        <v>9</v>
      </c>
      <c r="J14" s="61" t="s">
        <v>86</v>
      </c>
      <c r="K14" s="45" t="s">
        <v>1607</v>
      </c>
      <c r="L14" s="61" t="s">
        <v>86</v>
      </c>
      <c r="M14" s="42" t="s">
        <v>115</v>
      </c>
      <c r="N14" s="61" t="s">
        <v>9</v>
      </c>
      <c r="O14" s="45" t="s">
        <v>9</v>
      </c>
      <c r="P14" s="61" t="s">
        <v>9</v>
      </c>
      <c r="Q14" s="39" t="s">
        <v>9</v>
      </c>
      <c r="R14" s="61" t="s">
        <v>9</v>
      </c>
      <c r="S14" s="39" t="s">
        <v>9</v>
      </c>
      <c r="T14" s="61" t="s">
        <v>9</v>
      </c>
      <c r="U14" s="39" t="s">
        <v>9</v>
      </c>
      <c r="V14" s="61" t="s">
        <v>9</v>
      </c>
      <c r="W14" s="45" t="s">
        <v>9</v>
      </c>
      <c r="X14" s="61" t="s">
        <v>1652</v>
      </c>
      <c r="Y14" s="45" t="s">
        <v>119</v>
      </c>
      <c r="Z14" s="61" t="s">
        <v>9</v>
      </c>
      <c r="AA14" s="45" t="s">
        <v>9</v>
      </c>
      <c r="AB14" s="61" t="s">
        <v>9</v>
      </c>
      <c r="AC14" s="45" t="s">
        <v>9</v>
      </c>
      <c r="AD14" s="61" t="s">
        <v>9</v>
      </c>
      <c r="AE14" s="45" t="s">
        <v>9</v>
      </c>
      <c r="AF14" s="61" t="s">
        <v>9</v>
      </c>
      <c r="AG14" s="45" t="s">
        <v>9</v>
      </c>
      <c r="AH14" s="61" t="s">
        <v>9</v>
      </c>
      <c r="AI14" s="45" t="s">
        <v>9</v>
      </c>
      <c r="AJ14" s="61" t="s">
        <v>9</v>
      </c>
      <c r="AK14" s="45" t="s">
        <v>9</v>
      </c>
      <c r="AL14" s="61" t="s">
        <v>9</v>
      </c>
      <c r="AM14" s="45" t="s">
        <v>9</v>
      </c>
      <c r="AN14" s="61" t="s">
        <v>9</v>
      </c>
      <c r="AO14" s="45" t="s">
        <v>9</v>
      </c>
      <c r="AP14" s="61" t="s">
        <v>134</v>
      </c>
      <c r="AQ14" s="45" t="s">
        <v>1611</v>
      </c>
      <c r="AR14" s="61" t="s">
        <v>135</v>
      </c>
      <c r="AS14" s="45" t="s">
        <v>1611</v>
      </c>
      <c r="AT14" s="61" t="s">
        <v>1623</v>
      </c>
      <c r="AU14" s="45" t="s">
        <v>1624</v>
      </c>
    </row>
    <row r="15" spans="1:47" ht="6.75" customHeight="1" x14ac:dyDescent="0.4">
      <c r="A15" s="84">
        <v>15</v>
      </c>
      <c r="B15" s="79" t="s">
        <v>504</v>
      </c>
      <c r="C15" s="41" t="s">
        <v>1544</v>
      </c>
      <c r="D15" s="62" t="s">
        <v>9</v>
      </c>
      <c r="E15" s="68" t="s">
        <v>9</v>
      </c>
      <c r="F15" s="62" t="s">
        <v>9</v>
      </c>
      <c r="G15" s="68" t="s">
        <v>9</v>
      </c>
      <c r="H15" s="62" t="s">
        <v>9</v>
      </c>
      <c r="I15" s="68" t="s">
        <v>9</v>
      </c>
      <c r="J15" s="61" t="s">
        <v>86</v>
      </c>
      <c r="K15" s="45" t="s">
        <v>1607</v>
      </c>
      <c r="L15" s="61" t="s">
        <v>86</v>
      </c>
      <c r="M15" s="42" t="s">
        <v>117</v>
      </c>
      <c r="N15" s="61" t="s">
        <v>9</v>
      </c>
      <c r="O15" s="45" t="s">
        <v>9</v>
      </c>
      <c r="P15" s="61" t="s">
        <v>9</v>
      </c>
      <c r="Q15" s="39" t="s">
        <v>9</v>
      </c>
      <c r="R15" s="61" t="s">
        <v>9</v>
      </c>
      <c r="S15" s="39" t="s">
        <v>9</v>
      </c>
      <c r="T15" s="61" t="s">
        <v>9</v>
      </c>
      <c r="U15" s="39" t="s">
        <v>9</v>
      </c>
      <c r="V15" s="61" t="s">
        <v>9</v>
      </c>
      <c r="W15" s="45" t="s">
        <v>9</v>
      </c>
      <c r="X15" s="61" t="s">
        <v>1652</v>
      </c>
      <c r="Y15" s="45" t="s">
        <v>119</v>
      </c>
      <c r="Z15" s="61" t="s">
        <v>9</v>
      </c>
      <c r="AA15" s="45" t="s">
        <v>9</v>
      </c>
      <c r="AB15" s="61" t="s">
        <v>9</v>
      </c>
      <c r="AC15" s="45" t="s">
        <v>9</v>
      </c>
      <c r="AD15" s="61" t="s">
        <v>9</v>
      </c>
      <c r="AE15" s="45" t="s">
        <v>9</v>
      </c>
      <c r="AF15" s="61" t="s">
        <v>9</v>
      </c>
      <c r="AG15" s="45" t="s">
        <v>9</v>
      </c>
      <c r="AH15" s="61" t="s">
        <v>9</v>
      </c>
      <c r="AI15" s="45" t="s">
        <v>9</v>
      </c>
      <c r="AJ15" s="61" t="s">
        <v>9</v>
      </c>
      <c r="AK15" s="45" t="s">
        <v>9</v>
      </c>
      <c r="AL15" s="61" t="s">
        <v>9</v>
      </c>
      <c r="AM15" s="45" t="s">
        <v>9</v>
      </c>
      <c r="AN15" s="61" t="s">
        <v>9</v>
      </c>
      <c r="AO15" s="45" t="s">
        <v>9</v>
      </c>
      <c r="AP15" s="61" t="s">
        <v>134</v>
      </c>
      <c r="AQ15" s="45" t="s">
        <v>1611</v>
      </c>
      <c r="AR15" s="61" t="s">
        <v>135</v>
      </c>
      <c r="AS15" s="45" t="s">
        <v>1611</v>
      </c>
      <c r="AT15" s="61" t="s">
        <v>1623</v>
      </c>
      <c r="AU15" s="45" t="s">
        <v>1624</v>
      </c>
    </row>
    <row r="16" spans="1:47" ht="6.75" customHeight="1" x14ac:dyDescent="0.4">
      <c r="A16" s="84">
        <v>16</v>
      </c>
      <c r="B16" s="79" t="s">
        <v>505</v>
      </c>
      <c r="C16" s="41" t="s">
        <v>1544</v>
      </c>
      <c r="D16" s="62" t="s">
        <v>9</v>
      </c>
      <c r="E16" s="68" t="s">
        <v>9</v>
      </c>
      <c r="F16" s="62" t="s">
        <v>9</v>
      </c>
      <c r="G16" s="68" t="s">
        <v>9</v>
      </c>
      <c r="H16" s="62" t="s">
        <v>9</v>
      </c>
      <c r="I16" s="68" t="s">
        <v>9</v>
      </c>
      <c r="J16" s="61" t="s">
        <v>86</v>
      </c>
      <c r="K16" s="45" t="s">
        <v>1607</v>
      </c>
      <c r="L16" s="61" t="s">
        <v>86</v>
      </c>
      <c r="M16" s="42" t="s">
        <v>116</v>
      </c>
      <c r="N16" s="61" t="s">
        <v>9</v>
      </c>
      <c r="O16" s="45" t="s">
        <v>9</v>
      </c>
      <c r="P16" s="61" t="s">
        <v>9</v>
      </c>
      <c r="Q16" s="39" t="s">
        <v>9</v>
      </c>
      <c r="R16" s="61" t="s">
        <v>9</v>
      </c>
      <c r="S16" s="39" t="s">
        <v>9</v>
      </c>
      <c r="T16" s="61" t="s">
        <v>9</v>
      </c>
      <c r="U16" s="39" t="s">
        <v>9</v>
      </c>
      <c r="V16" s="61" t="s">
        <v>9</v>
      </c>
      <c r="W16" s="45" t="s">
        <v>9</v>
      </c>
      <c r="X16" s="61" t="s">
        <v>1652</v>
      </c>
      <c r="Y16" s="45" t="s">
        <v>119</v>
      </c>
      <c r="Z16" s="61" t="s">
        <v>9</v>
      </c>
      <c r="AA16" s="45" t="s">
        <v>9</v>
      </c>
      <c r="AB16" s="61" t="s">
        <v>9</v>
      </c>
      <c r="AC16" s="45" t="s">
        <v>9</v>
      </c>
      <c r="AD16" s="61" t="s">
        <v>9</v>
      </c>
      <c r="AE16" s="45" t="s">
        <v>9</v>
      </c>
      <c r="AF16" s="61" t="s">
        <v>9</v>
      </c>
      <c r="AG16" s="45" t="s">
        <v>9</v>
      </c>
      <c r="AH16" s="61" t="s">
        <v>9</v>
      </c>
      <c r="AI16" s="45" t="s">
        <v>9</v>
      </c>
      <c r="AJ16" s="61" t="s">
        <v>9</v>
      </c>
      <c r="AK16" s="45" t="s">
        <v>9</v>
      </c>
      <c r="AL16" s="61" t="s">
        <v>9</v>
      </c>
      <c r="AM16" s="45" t="s">
        <v>9</v>
      </c>
      <c r="AN16" s="61" t="s">
        <v>9</v>
      </c>
      <c r="AO16" s="45" t="s">
        <v>9</v>
      </c>
      <c r="AP16" s="61" t="s">
        <v>134</v>
      </c>
      <c r="AQ16" s="45" t="s">
        <v>1611</v>
      </c>
      <c r="AR16" s="61" t="s">
        <v>135</v>
      </c>
      <c r="AS16" s="45" t="s">
        <v>1611</v>
      </c>
      <c r="AT16" s="61" t="s">
        <v>1623</v>
      </c>
      <c r="AU16" s="45" t="s">
        <v>1624</v>
      </c>
    </row>
    <row r="17" spans="1:47" ht="6.75" customHeight="1" x14ac:dyDescent="0.4">
      <c r="A17" s="84">
        <v>17</v>
      </c>
      <c r="B17" s="79" t="s">
        <v>506</v>
      </c>
      <c r="C17" s="41" t="s">
        <v>1544</v>
      </c>
      <c r="D17" s="62" t="s">
        <v>9</v>
      </c>
      <c r="E17" s="68" t="s">
        <v>9</v>
      </c>
      <c r="F17" s="62" t="s">
        <v>9</v>
      </c>
      <c r="G17" s="68" t="s">
        <v>9</v>
      </c>
      <c r="H17" s="62" t="s">
        <v>9</v>
      </c>
      <c r="I17" s="68" t="s">
        <v>9</v>
      </c>
      <c r="J17" s="61" t="s">
        <v>86</v>
      </c>
      <c r="K17" s="45" t="s">
        <v>1607</v>
      </c>
      <c r="L17" s="61" t="s">
        <v>86</v>
      </c>
      <c r="M17" s="42" t="s">
        <v>118</v>
      </c>
      <c r="N17" s="61" t="s">
        <v>9</v>
      </c>
      <c r="O17" s="45" t="s">
        <v>9</v>
      </c>
      <c r="P17" s="61" t="s">
        <v>9</v>
      </c>
      <c r="Q17" s="39" t="s">
        <v>9</v>
      </c>
      <c r="R17" s="61" t="s">
        <v>9</v>
      </c>
      <c r="S17" s="39" t="s">
        <v>9</v>
      </c>
      <c r="T17" s="61" t="s">
        <v>9</v>
      </c>
      <c r="U17" s="39" t="s">
        <v>9</v>
      </c>
      <c r="V17" s="61" t="s">
        <v>9</v>
      </c>
      <c r="W17" s="45" t="s">
        <v>9</v>
      </c>
      <c r="X17" s="61" t="s">
        <v>1652</v>
      </c>
      <c r="Y17" s="45" t="s">
        <v>119</v>
      </c>
      <c r="Z17" s="61" t="s">
        <v>9</v>
      </c>
      <c r="AA17" s="45" t="s">
        <v>9</v>
      </c>
      <c r="AB17" s="61" t="s">
        <v>9</v>
      </c>
      <c r="AC17" s="45" t="s">
        <v>9</v>
      </c>
      <c r="AD17" s="61" t="s">
        <v>9</v>
      </c>
      <c r="AE17" s="45" t="s">
        <v>9</v>
      </c>
      <c r="AF17" s="61" t="s">
        <v>9</v>
      </c>
      <c r="AG17" s="45" t="s">
        <v>9</v>
      </c>
      <c r="AH17" s="61" t="s">
        <v>9</v>
      </c>
      <c r="AI17" s="45" t="s">
        <v>9</v>
      </c>
      <c r="AJ17" s="61" t="s">
        <v>9</v>
      </c>
      <c r="AK17" s="45" t="s">
        <v>9</v>
      </c>
      <c r="AL17" s="61" t="s">
        <v>9</v>
      </c>
      <c r="AM17" s="45" t="s">
        <v>9</v>
      </c>
      <c r="AN17" s="61" t="s">
        <v>9</v>
      </c>
      <c r="AO17" s="45" t="s">
        <v>9</v>
      </c>
      <c r="AP17" s="61" t="s">
        <v>134</v>
      </c>
      <c r="AQ17" s="45" t="s">
        <v>1611</v>
      </c>
      <c r="AR17" s="61" t="s">
        <v>135</v>
      </c>
      <c r="AS17" s="45" t="s">
        <v>1611</v>
      </c>
      <c r="AT17" s="61" t="s">
        <v>1623</v>
      </c>
      <c r="AU17" s="45" t="s">
        <v>1624</v>
      </c>
    </row>
    <row r="18" spans="1:47" ht="6.75" customHeight="1" x14ac:dyDescent="0.4">
      <c r="A18" s="84">
        <v>18</v>
      </c>
      <c r="B18" s="79" t="s">
        <v>507</v>
      </c>
      <c r="C18" s="41" t="s">
        <v>1544</v>
      </c>
      <c r="D18" s="62" t="s">
        <v>9</v>
      </c>
      <c r="E18" s="68" t="s">
        <v>9</v>
      </c>
      <c r="F18" s="62" t="s">
        <v>9</v>
      </c>
      <c r="G18" s="68" t="s">
        <v>9</v>
      </c>
      <c r="H18" s="62" t="s">
        <v>9</v>
      </c>
      <c r="I18" s="68" t="s">
        <v>9</v>
      </c>
      <c r="J18" s="61" t="s">
        <v>86</v>
      </c>
      <c r="K18" s="45" t="s">
        <v>1607</v>
      </c>
      <c r="L18" s="61" t="s">
        <v>86</v>
      </c>
      <c r="M18" s="42" t="s">
        <v>125</v>
      </c>
      <c r="N18" s="61" t="s">
        <v>9</v>
      </c>
      <c r="O18" s="45" t="s">
        <v>9</v>
      </c>
      <c r="P18" s="61" t="s">
        <v>9</v>
      </c>
      <c r="Q18" s="39" t="s">
        <v>9</v>
      </c>
      <c r="R18" s="61" t="s">
        <v>9</v>
      </c>
      <c r="S18" s="39" t="s">
        <v>9</v>
      </c>
      <c r="T18" s="61" t="s">
        <v>9</v>
      </c>
      <c r="U18" s="39" t="s">
        <v>9</v>
      </c>
      <c r="V18" s="63" t="s">
        <v>96</v>
      </c>
      <c r="W18" s="45" t="s">
        <v>127</v>
      </c>
      <c r="X18" s="61" t="s">
        <v>1652</v>
      </c>
      <c r="Y18" s="45" t="s">
        <v>126</v>
      </c>
      <c r="Z18" s="61" t="s">
        <v>9</v>
      </c>
      <c r="AA18" s="45" t="s">
        <v>9</v>
      </c>
      <c r="AB18" s="61" t="s">
        <v>9</v>
      </c>
      <c r="AC18" s="45" t="s">
        <v>9</v>
      </c>
      <c r="AD18" s="61" t="s">
        <v>9</v>
      </c>
      <c r="AE18" s="45" t="s">
        <v>9</v>
      </c>
      <c r="AF18" s="61" t="s">
        <v>9</v>
      </c>
      <c r="AG18" s="45" t="s">
        <v>9</v>
      </c>
      <c r="AH18" s="61" t="s">
        <v>9</v>
      </c>
      <c r="AI18" s="45" t="s">
        <v>9</v>
      </c>
      <c r="AJ18" s="61" t="s">
        <v>9</v>
      </c>
      <c r="AK18" s="45" t="s">
        <v>9</v>
      </c>
      <c r="AL18" s="61" t="s">
        <v>9</v>
      </c>
      <c r="AM18" s="45" t="s">
        <v>9</v>
      </c>
      <c r="AN18" s="61" t="s">
        <v>9</v>
      </c>
      <c r="AO18" s="45" t="s">
        <v>9</v>
      </c>
      <c r="AP18" s="61" t="s">
        <v>134</v>
      </c>
      <c r="AQ18" s="45" t="s">
        <v>1611</v>
      </c>
      <c r="AR18" s="61" t="s">
        <v>135</v>
      </c>
      <c r="AS18" s="45" t="s">
        <v>1611</v>
      </c>
      <c r="AT18" s="61" t="s">
        <v>1623</v>
      </c>
      <c r="AU18" s="45" t="s">
        <v>1624</v>
      </c>
    </row>
    <row r="19" spans="1:47" ht="6.75" customHeight="1" x14ac:dyDescent="0.4">
      <c r="A19" s="84">
        <v>19</v>
      </c>
      <c r="B19" s="79" t="s">
        <v>495</v>
      </c>
      <c r="C19" s="41" t="s">
        <v>539</v>
      </c>
      <c r="D19" s="62" t="s">
        <v>120</v>
      </c>
      <c r="E19" s="68" t="s">
        <v>503</v>
      </c>
      <c r="F19" s="62" t="s">
        <v>9</v>
      </c>
      <c r="G19" s="68" t="s">
        <v>9</v>
      </c>
      <c r="H19" s="62" t="s">
        <v>9</v>
      </c>
      <c r="I19" s="68" t="s">
        <v>9</v>
      </c>
      <c r="J19" s="61" t="s">
        <v>86</v>
      </c>
      <c r="K19" s="45" t="s">
        <v>1607</v>
      </c>
      <c r="L19" s="61" t="s">
        <v>86</v>
      </c>
      <c r="M19" s="42" t="s">
        <v>136</v>
      </c>
      <c r="N19" s="61" t="s">
        <v>87</v>
      </c>
      <c r="O19" s="45">
        <v>1.1000000000000001</v>
      </c>
      <c r="P19" s="61" t="s">
        <v>88</v>
      </c>
      <c r="Q19" s="75">
        <v>7</v>
      </c>
      <c r="R19" s="61" t="s">
        <v>89</v>
      </c>
      <c r="S19" s="75">
        <v>21</v>
      </c>
      <c r="T19" s="61" t="s">
        <v>9</v>
      </c>
      <c r="U19" s="39" t="s">
        <v>9</v>
      </c>
      <c r="V19" s="63" t="s">
        <v>96</v>
      </c>
      <c r="W19" s="64" t="s">
        <v>137</v>
      </c>
      <c r="X19" s="61" t="s">
        <v>1652</v>
      </c>
      <c r="Y19" s="45" t="s">
        <v>138</v>
      </c>
      <c r="Z19" s="61" t="s">
        <v>9</v>
      </c>
      <c r="AA19" s="45" t="s">
        <v>9</v>
      </c>
      <c r="AB19" s="61" t="s">
        <v>9</v>
      </c>
      <c r="AC19" s="45" t="s">
        <v>9</v>
      </c>
      <c r="AD19" s="61" t="s">
        <v>9</v>
      </c>
      <c r="AE19" s="45" t="s">
        <v>9</v>
      </c>
      <c r="AF19" s="61" t="s">
        <v>9</v>
      </c>
      <c r="AG19" s="45" t="s">
        <v>9</v>
      </c>
      <c r="AH19" s="61" t="s">
        <v>9</v>
      </c>
      <c r="AI19" s="45" t="s">
        <v>9</v>
      </c>
      <c r="AJ19" s="61" t="s">
        <v>9</v>
      </c>
      <c r="AK19" s="45" t="s">
        <v>9</v>
      </c>
      <c r="AL19" s="61" t="s">
        <v>9</v>
      </c>
      <c r="AM19" s="45" t="s">
        <v>9</v>
      </c>
      <c r="AN19" s="61" t="s">
        <v>9</v>
      </c>
      <c r="AO19" s="45" t="s">
        <v>9</v>
      </c>
      <c r="AP19" s="61" t="s">
        <v>134</v>
      </c>
      <c r="AQ19" s="45" t="s">
        <v>1611</v>
      </c>
      <c r="AR19" s="61" t="s">
        <v>135</v>
      </c>
      <c r="AS19" s="45" t="s">
        <v>1611</v>
      </c>
      <c r="AT19" s="61" t="s">
        <v>1623</v>
      </c>
      <c r="AU19" s="45" t="s">
        <v>1624</v>
      </c>
    </row>
    <row r="20" spans="1:47" ht="6.75" customHeight="1" x14ac:dyDescent="0.4">
      <c r="A20" s="84">
        <v>20</v>
      </c>
      <c r="B20" s="79" t="s">
        <v>97</v>
      </c>
      <c r="C20" s="41" t="s">
        <v>1395</v>
      </c>
      <c r="D20" s="62" t="s">
        <v>120</v>
      </c>
      <c r="E20" s="68" t="s">
        <v>503</v>
      </c>
      <c r="F20" s="62" t="s">
        <v>9</v>
      </c>
      <c r="G20" s="68" t="s">
        <v>9</v>
      </c>
      <c r="H20" s="62" t="s">
        <v>9</v>
      </c>
      <c r="I20" s="68" t="s">
        <v>9</v>
      </c>
      <c r="J20" s="61" t="s">
        <v>86</v>
      </c>
      <c r="K20" s="45" t="s">
        <v>1607</v>
      </c>
      <c r="L20" s="61" t="s">
        <v>86</v>
      </c>
      <c r="M20" s="42" t="str">
        <f>_xlfn.CONCAT("""","Peça para revestimento de pisos ou paredes. Deve ser colocado com paginação definida. Marca Eliane.",B20,"""")</f>
        <v>"Peça para revestimento de pisos ou paredes. Deve ser colocado com paginação definida. Marca Eliane.CE.25x25"</v>
      </c>
      <c r="N20" s="61" t="s">
        <v>87</v>
      </c>
      <c r="O20" s="45">
        <v>1.1000000000000001</v>
      </c>
      <c r="P20" s="61" t="s">
        <v>88</v>
      </c>
      <c r="Q20" s="75">
        <v>25</v>
      </c>
      <c r="R20" s="61" t="s">
        <v>89</v>
      </c>
      <c r="S20" s="75">
        <v>25</v>
      </c>
      <c r="T20" s="61" t="s">
        <v>9</v>
      </c>
      <c r="U20" s="39" t="s">
        <v>9</v>
      </c>
      <c r="V20" s="63" t="s">
        <v>96</v>
      </c>
      <c r="W20" s="64" t="s">
        <v>114</v>
      </c>
      <c r="X20" s="61" t="s">
        <v>1652</v>
      </c>
      <c r="Y20" s="45" t="s">
        <v>113</v>
      </c>
      <c r="Z20" s="61" t="s">
        <v>1652</v>
      </c>
      <c r="AA20" s="45" t="s">
        <v>1653</v>
      </c>
      <c r="AB20" s="61" t="s">
        <v>9</v>
      </c>
      <c r="AC20" s="45" t="s">
        <v>9</v>
      </c>
      <c r="AD20" s="61" t="s">
        <v>9</v>
      </c>
      <c r="AE20" s="45" t="s">
        <v>9</v>
      </c>
      <c r="AF20" s="61" t="s">
        <v>9</v>
      </c>
      <c r="AG20" s="45" t="s">
        <v>9</v>
      </c>
      <c r="AH20" s="61" t="s">
        <v>9</v>
      </c>
      <c r="AI20" s="45" t="s">
        <v>9</v>
      </c>
      <c r="AJ20" s="61" t="s">
        <v>9</v>
      </c>
      <c r="AK20" s="45" t="s">
        <v>9</v>
      </c>
      <c r="AL20" s="61" t="s">
        <v>9</v>
      </c>
      <c r="AM20" s="45" t="s">
        <v>9</v>
      </c>
      <c r="AN20" s="61" t="s">
        <v>9</v>
      </c>
      <c r="AO20" s="45" t="s">
        <v>9</v>
      </c>
      <c r="AP20" s="61" t="s">
        <v>134</v>
      </c>
      <c r="AQ20" s="45" t="s">
        <v>1611</v>
      </c>
      <c r="AR20" s="61" t="s">
        <v>135</v>
      </c>
      <c r="AS20" s="45" t="s">
        <v>1611</v>
      </c>
      <c r="AT20" s="61" t="s">
        <v>1623</v>
      </c>
      <c r="AU20" s="45" t="s">
        <v>1624</v>
      </c>
    </row>
    <row r="21" spans="1:47" ht="6.75" customHeight="1" x14ac:dyDescent="0.4">
      <c r="A21" s="84">
        <v>21</v>
      </c>
      <c r="B21" s="79" t="s">
        <v>98</v>
      </c>
      <c r="C21" s="41" t="s">
        <v>1395</v>
      </c>
      <c r="D21" s="62" t="s">
        <v>120</v>
      </c>
      <c r="E21" s="68" t="s">
        <v>504</v>
      </c>
      <c r="F21" s="62" t="s">
        <v>9</v>
      </c>
      <c r="G21" s="68" t="s">
        <v>9</v>
      </c>
      <c r="H21" s="62" t="s">
        <v>9</v>
      </c>
      <c r="I21" s="68" t="s">
        <v>9</v>
      </c>
      <c r="J21" s="61" t="s">
        <v>86</v>
      </c>
      <c r="K21" s="45" t="s">
        <v>1607</v>
      </c>
      <c r="L21" s="61" t="s">
        <v>86</v>
      </c>
      <c r="M21" s="42" t="str">
        <f t="shared" ref="M21:M35" si="0">_xlfn.CONCAT("""","Peça para revestimento de pisos ou paredes. Deve ser colocado com paginação definida. Marca Eliane.",B21,"""")</f>
        <v>"Peça para revestimento de pisos ou paredes. Deve ser colocado com paginação definida. Marca Eliane.CE.30x60"</v>
      </c>
      <c r="N21" s="61" t="s">
        <v>87</v>
      </c>
      <c r="O21" s="45">
        <v>1.1000000000000001</v>
      </c>
      <c r="P21" s="61" t="s">
        <v>88</v>
      </c>
      <c r="Q21" s="75">
        <v>30</v>
      </c>
      <c r="R21" s="61" t="s">
        <v>89</v>
      </c>
      <c r="S21" s="75">
        <v>60</v>
      </c>
      <c r="T21" s="61" t="s">
        <v>9</v>
      </c>
      <c r="U21" s="39" t="s">
        <v>9</v>
      </c>
      <c r="V21" s="63" t="s">
        <v>96</v>
      </c>
      <c r="W21" s="64" t="s">
        <v>121</v>
      </c>
      <c r="X21" s="61" t="s">
        <v>1652</v>
      </c>
      <c r="Y21" s="45" t="s">
        <v>113</v>
      </c>
      <c r="Z21" s="61" t="s">
        <v>1652</v>
      </c>
      <c r="AA21" s="45" t="s">
        <v>1653</v>
      </c>
      <c r="AB21" s="61" t="s">
        <v>9</v>
      </c>
      <c r="AC21" s="45" t="s">
        <v>9</v>
      </c>
      <c r="AD21" s="61" t="s">
        <v>9</v>
      </c>
      <c r="AE21" s="45" t="s">
        <v>9</v>
      </c>
      <c r="AF21" s="61" t="s">
        <v>9</v>
      </c>
      <c r="AG21" s="45" t="s">
        <v>9</v>
      </c>
      <c r="AH21" s="61" t="s">
        <v>9</v>
      </c>
      <c r="AI21" s="45" t="s">
        <v>9</v>
      </c>
      <c r="AJ21" s="61" t="s">
        <v>9</v>
      </c>
      <c r="AK21" s="45" t="s">
        <v>9</v>
      </c>
      <c r="AL21" s="61" t="s">
        <v>9</v>
      </c>
      <c r="AM21" s="45" t="s">
        <v>9</v>
      </c>
      <c r="AN21" s="61" t="s">
        <v>9</v>
      </c>
      <c r="AO21" s="45" t="s">
        <v>9</v>
      </c>
      <c r="AP21" s="61" t="s">
        <v>134</v>
      </c>
      <c r="AQ21" s="45" t="s">
        <v>1611</v>
      </c>
      <c r="AR21" s="61" t="s">
        <v>135</v>
      </c>
      <c r="AS21" s="45" t="s">
        <v>1611</v>
      </c>
      <c r="AT21" s="61" t="s">
        <v>1623</v>
      </c>
      <c r="AU21" s="45" t="s">
        <v>1624</v>
      </c>
    </row>
    <row r="22" spans="1:47" ht="6.75" customHeight="1" x14ac:dyDescent="0.4">
      <c r="A22" s="84">
        <v>22</v>
      </c>
      <c r="B22" s="79" t="s">
        <v>99</v>
      </c>
      <c r="C22" s="41" t="s">
        <v>1395</v>
      </c>
      <c r="D22" s="62" t="s">
        <v>120</v>
      </c>
      <c r="E22" s="68" t="s">
        <v>503</v>
      </c>
      <c r="F22" s="62" t="s">
        <v>9</v>
      </c>
      <c r="G22" s="68" t="s">
        <v>9</v>
      </c>
      <c r="H22" s="62" t="s">
        <v>9</v>
      </c>
      <c r="I22" s="68" t="s">
        <v>9</v>
      </c>
      <c r="J22" s="61" t="s">
        <v>86</v>
      </c>
      <c r="K22" s="45" t="s">
        <v>1607</v>
      </c>
      <c r="L22" s="61" t="s">
        <v>86</v>
      </c>
      <c r="M22" s="42" t="str">
        <f t="shared" si="0"/>
        <v>"Peça para revestimento de pisos ou paredes. Deve ser colocado com paginação definida. Marca Eliane.CE.50x10"</v>
      </c>
      <c r="N22" s="61" t="s">
        <v>87</v>
      </c>
      <c r="O22" s="45">
        <v>1.1000000000000001</v>
      </c>
      <c r="P22" s="61" t="s">
        <v>88</v>
      </c>
      <c r="Q22" s="75">
        <v>50</v>
      </c>
      <c r="R22" s="61" t="s">
        <v>89</v>
      </c>
      <c r="S22" s="75">
        <v>10</v>
      </c>
      <c r="T22" s="61" t="s">
        <v>9</v>
      </c>
      <c r="U22" s="39" t="s">
        <v>9</v>
      </c>
      <c r="V22" s="63" t="s">
        <v>96</v>
      </c>
      <c r="W22" s="64" t="s">
        <v>114</v>
      </c>
      <c r="X22" s="61" t="s">
        <v>1652</v>
      </c>
      <c r="Y22" s="45" t="s">
        <v>113</v>
      </c>
      <c r="Z22" s="61" t="s">
        <v>1652</v>
      </c>
      <c r="AA22" s="45" t="s">
        <v>1653</v>
      </c>
      <c r="AB22" s="61" t="s">
        <v>9</v>
      </c>
      <c r="AC22" s="45" t="s">
        <v>9</v>
      </c>
      <c r="AD22" s="61" t="s">
        <v>9</v>
      </c>
      <c r="AE22" s="45" t="s">
        <v>9</v>
      </c>
      <c r="AF22" s="61" t="s">
        <v>9</v>
      </c>
      <c r="AG22" s="45" t="s">
        <v>9</v>
      </c>
      <c r="AH22" s="61" t="s">
        <v>9</v>
      </c>
      <c r="AI22" s="45" t="s">
        <v>9</v>
      </c>
      <c r="AJ22" s="61" t="s">
        <v>9</v>
      </c>
      <c r="AK22" s="45" t="s">
        <v>9</v>
      </c>
      <c r="AL22" s="61" t="s">
        <v>9</v>
      </c>
      <c r="AM22" s="45" t="s">
        <v>9</v>
      </c>
      <c r="AN22" s="61" t="s">
        <v>9</v>
      </c>
      <c r="AO22" s="45" t="s">
        <v>9</v>
      </c>
      <c r="AP22" s="61" t="s">
        <v>134</v>
      </c>
      <c r="AQ22" s="45" t="s">
        <v>1611</v>
      </c>
      <c r="AR22" s="61" t="s">
        <v>135</v>
      </c>
      <c r="AS22" s="45" t="s">
        <v>1611</v>
      </c>
      <c r="AT22" s="61" t="s">
        <v>1623</v>
      </c>
      <c r="AU22" s="45" t="s">
        <v>1624</v>
      </c>
    </row>
    <row r="23" spans="1:47" ht="6.75" customHeight="1" x14ac:dyDescent="0.4">
      <c r="A23" s="84">
        <v>23</v>
      </c>
      <c r="B23" s="79" t="s">
        <v>100</v>
      </c>
      <c r="C23" s="41" t="s">
        <v>1395</v>
      </c>
      <c r="D23" s="62" t="s">
        <v>120</v>
      </c>
      <c r="E23" s="68" t="s">
        <v>505</v>
      </c>
      <c r="F23" s="62" t="s">
        <v>9</v>
      </c>
      <c r="G23" s="68" t="s">
        <v>9</v>
      </c>
      <c r="H23" s="62" t="s">
        <v>9</v>
      </c>
      <c r="I23" s="68" t="s">
        <v>9</v>
      </c>
      <c r="J23" s="61" t="s">
        <v>86</v>
      </c>
      <c r="K23" s="45" t="s">
        <v>1607</v>
      </c>
      <c r="L23" s="61" t="s">
        <v>86</v>
      </c>
      <c r="M23" s="42" t="str">
        <f t="shared" si="0"/>
        <v>"Peça para revestimento de pisos ou paredes. Deve ser colocado com paginação definida. Marca Eliane.CE.60x60"</v>
      </c>
      <c r="N23" s="61" t="s">
        <v>87</v>
      </c>
      <c r="O23" s="45">
        <v>1.1000000000000001</v>
      </c>
      <c r="P23" s="61" t="s">
        <v>88</v>
      </c>
      <c r="Q23" s="75">
        <v>60</v>
      </c>
      <c r="R23" s="61" t="s">
        <v>89</v>
      </c>
      <c r="S23" s="75">
        <v>60</v>
      </c>
      <c r="T23" s="61" t="s">
        <v>9</v>
      </c>
      <c r="U23" s="39" t="s">
        <v>9</v>
      </c>
      <c r="V23" s="63" t="s">
        <v>96</v>
      </c>
      <c r="W23" s="64" t="s">
        <v>114</v>
      </c>
      <c r="X23" s="61" t="s">
        <v>1652</v>
      </c>
      <c r="Y23" s="45" t="s">
        <v>113</v>
      </c>
      <c r="Z23" s="61" t="s">
        <v>1652</v>
      </c>
      <c r="AA23" s="45" t="s">
        <v>1653</v>
      </c>
      <c r="AB23" s="61" t="s">
        <v>9</v>
      </c>
      <c r="AC23" s="45" t="s">
        <v>9</v>
      </c>
      <c r="AD23" s="61" t="s">
        <v>9</v>
      </c>
      <c r="AE23" s="45" t="s">
        <v>9</v>
      </c>
      <c r="AF23" s="61" t="s">
        <v>9</v>
      </c>
      <c r="AG23" s="45" t="s">
        <v>9</v>
      </c>
      <c r="AH23" s="61" t="s">
        <v>9</v>
      </c>
      <c r="AI23" s="45" t="s">
        <v>9</v>
      </c>
      <c r="AJ23" s="61" t="s">
        <v>9</v>
      </c>
      <c r="AK23" s="45" t="s">
        <v>9</v>
      </c>
      <c r="AL23" s="61" t="s">
        <v>9</v>
      </c>
      <c r="AM23" s="45" t="s">
        <v>9</v>
      </c>
      <c r="AN23" s="61" t="s">
        <v>9</v>
      </c>
      <c r="AO23" s="45" t="s">
        <v>9</v>
      </c>
      <c r="AP23" s="61" t="s">
        <v>134</v>
      </c>
      <c r="AQ23" s="45" t="s">
        <v>1611</v>
      </c>
      <c r="AR23" s="61" t="s">
        <v>135</v>
      </c>
      <c r="AS23" s="45" t="s">
        <v>1611</v>
      </c>
      <c r="AT23" s="61" t="s">
        <v>1623</v>
      </c>
      <c r="AU23" s="45" t="s">
        <v>1624</v>
      </c>
    </row>
    <row r="24" spans="1:47" ht="6.75" customHeight="1" x14ac:dyDescent="0.4">
      <c r="A24" s="84">
        <v>24</v>
      </c>
      <c r="B24" s="79" t="s">
        <v>106</v>
      </c>
      <c r="C24" s="41" t="s">
        <v>1395</v>
      </c>
      <c r="D24" s="62" t="s">
        <v>120</v>
      </c>
      <c r="E24" s="68" t="s">
        <v>503</v>
      </c>
      <c r="F24" s="62" t="s">
        <v>9</v>
      </c>
      <c r="G24" s="68" t="s">
        <v>9</v>
      </c>
      <c r="H24" s="62" t="s">
        <v>9</v>
      </c>
      <c r="I24" s="68" t="s">
        <v>9</v>
      </c>
      <c r="J24" s="61" t="s">
        <v>86</v>
      </c>
      <c r="K24" s="45" t="s">
        <v>1607</v>
      </c>
      <c r="L24" s="61" t="s">
        <v>86</v>
      </c>
      <c r="M24" s="42" t="str">
        <f t="shared" si="0"/>
        <v>"Peça para revestimento de pisos ou paredes. Deve ser colocado com paginação definida. Marca Eliane.CE.60x14"</v>
      </c>
      <c r="N24" s="61" t="s">
        <v>87</v>
      </c>
      <c r="O24" s="45">
        <v>1.1000000000000001</v>
      </c>
      <c r="P24" s="61" t="s">
        <v>88</v>
      </c>
      <c r="Q24" s="75">
        <v>60</v>
      </c>
      <c r="R24" s="61" t="s">
        <v>89</v>
      </c>
      <c r="S24" s="75">
        <v>14.5</v>
      </c>
      <c r="T24" s="61" t="s">
        <v>9</v>
      </c>
      <c r="U24" s="39" t="s">
        <v>9</v>
      </c>
      <c r="V24" s="63" t="s">
        <v>96</v>
      </c>
      <c r="W24" s="64" t="s">
        <v>114</v>
      </c>
      <c r="X24" s="61" t="s">
        <v>1652</v>
      </c>
      <c r="Y24" s="45" t="s">
        <v>113</v>
      </c>
      <c r="Z24" s="61" t="s">
        <v>1652</v>
      </c>
      <c r="AA24" s="45" t="s">
        <v>1653</v>
      </c>
      <c r="AB24" s="61" t="s">
        <v>9</v>
      </c>
      <c r="AC24" s="45" t="s">
        <v>9</v>
      </c>
      <c r="AD24" s="61" t="s">
        <v>9</v>
      </c>
      <c r="AE24" s="45" t="s">
        <v>9</v>
      </c>
      <c r="AF24" s="61" t="s">
        <v>9</v>
      </c>
      <c r="AG24" s="45" t="s">
        <v>9</v>
      </c>
      <c r="AH24" s="61" t="s">
        <v>9</v>
      </c>
      <c r="AI24" s="45" t="s">
        <v>9</v>
      </c>
      <c r="AJ24" s="61" t="s">
        <v>9</v>
      </c>
      <c r="AK24" s="45" t="s">
        <v>9</v>
      </c>
      <c r="AL24" s="61" t="s">
        <v>9</v>
      </c>
      <c r="AM24" s="45" t="s">
        <v>9</v>
      </c>
      <c r="AN24" s="61" t="s">
        <v>9</v>
      </c>
      <c r="AO24" s="45" t="s">
        <v>9</v>
      </c>
      <c r="AP24" s="61" t="s">
        <v>134</v>
      </c>
      <c r="AQ24" s="45" t="s">
        <v>1611</v>
      </c>
      <c r="AR24" s="61" t="s">
        <v>135</v>
      </c>
      <c r="AS24" s="45" t="s">
        <v>1611</v>
      </c>
      <c r="AT24" s="61" t="s">
        <v>1623</v>
      </c>
      <c r="AU24" s="45" t="s">
        <v>1624</v>
      </c>
    </row>
    <row r="25" spans="1:47" ht="6.75" customHeight="1" x14ac:dyDescent="0.4">
      <c r="A25" s="84">
        <v>25</v>
      </c>
      <c r="B25" s="79" t="s">
        <v>107</v>
      </c>
      <c r="C25" s="41" t="s">
        <v>1395</v>
      </c>
      <c r="D25" s="62" t="s">
        <v>120</v>
      </c>
      <c r="E25" s="68" t="s">
        <v>503</v>
      </c>
      <c r="F25" s="62" t="s">
        <v>9</v>
      </c>
      <c r="G25" s="68" t="s">
        <v>9</v>
      </c>
      <c r="H25" s="62" t="s">
        <v>9</v>
      </c>
      <c r="I25" s="68" t="s">
        <v>9</v>
      </c>
      <c r="J25" s="61" t="s">
        <v>86</v>
      </c>
      <c r="K25" s="45" t="s">
        <v>1607</v>
      </c>
      <c r="L25" s="61" t="s">
        <v>86</v>
      </c>
      <c r="M25" s="42" t="str">
        <f t="shared" si="0"/>
        <v>"Peça para revestimento de pisos ou paredes. Deve ser colocado com paginação definida. Marca Eliane.CE.60x9"</v>
      </c>
      <c r="N25" s="61" t="s">
        <v>87</v>
      </c>
      <c r="O25" s="45">
        <v>1.1000000000000001</v>
      </c>
      <c r="P25" s="61" t="s">
        <v>88</v>
      </c>
      <c r="Q25" s="75">
        <v>60</v>
      </c>
      <c r="R25" s="61" t="s">
        <v>89</v>
      </c>
      <c r="S25" s="75">
        <v>9.5</v>
      </c>
      <c r="T25" s="61" t="s">
        <v>9</v>
      </c>
      <c r="U25" s="39" t="s">
        <v>9</v>
      </c>
      <c r="V25" s="63" t="s">
        <v>96</v>
      </c>
      <c r="W25" s="64" t="s">
        <v>114</v>
      </c>
      <c r="X25" s="61" t="s">
        <v>1652</v>
      </c>
      <c r="Y25" s="45" t="s">
        <v>113</v>
      </c>
      <c r="Z25" s="61" t="s">
        <v>1652</v>
      </c>
      <c r="AA25" s="45" t="s">
        <v>1653</v>
      </c>
      <c r="AB25" s="61" t="s">
        <v>9</v>
      </c>
      <c r="AC25" s="45" t="s">
        <v>9</v>
      </c>
      <c r="AD25" s="61" t="s">
        <v>9</v>
      </c>
      <c r="AE25" s="45" t="s">
        <v>9</v>
      </c>
      <c r="AF25" s="61" t="s">
        <v>9</v>
      </c>
      <c r="AG25" s="45" t="s">
        <v>9</v>
      </c>
      <c r="AH25" s="61" t="s">
        <v>9</v>
      </c>
      <c r="AI25" s="45" t="s">
        <v>9</v>
      </c>
      <c r="AJ25" s="61" t="s">
        <v>9</v>
      </c>
      <c r="AK25" s="45" t="s">
        <v>9</v>
      </c>
      <c r="AL25" s="61" t="s">
        <v>9</v>
      </c>
      <c r="AM25" s="45" t="s">
        <v>9</v>
      </c>
      <c r="AN25" s="61" t="s">
        <v>9</v>
      </c>
      <c r="AO25" s="45" t="s">
        <v>9</v>
      </c>
      <c r="AP25" s="61" t="s">
        <v>134</v>
      </c>
      <c r="AQ25" s="45" t="s">
        <v>1611</v>
      </c>
      <c r="AR25" s="61" t="s">
        <v>135</v>
      </c>
      <c r="AS25" s="45" t="s">
        <v>1611</v>
      </c>
      <c r="AT25" s="61" t="s">
        <v>1623</v>
      </c>
      <c r="AU25" s="45" t="s">
        <v>1624</v>
      </c>
    </row>
    <row r="26" spans="1:47" ht="6.75" customHeight="1" x14ac:dyDescent="0.4">
      <c r="A26" s="84">
        <v>26</v>
      </c>
      <c r="B26" s="79" t="s">
        <v>101</v>
      </c>
      <c r="C26" s="41" t="s">
        <v>1395</v>
      </c>
      <c r="D26" s="62" t="s">
        <v>120</v>
      </c>
      <c r="E26" s="68" t="s">
        <v>504</v>
      </c>
      <c r="F26" s="62" t="s">
        <v>9</v>
      </c>
      <c r="G26" s="68" t="s">
        <v>9</v>
      </c>
      <c r="H26" s="62" t="s">
        <v>9</v>
      </c>
      <c r="I26" s="68" t="s">
        <v>9</v>
      </c>
      <c r="J26" s="61" t="s">
        <v>86</v>
      </c>
      <c r="K26" s="45" t="s">
        <v>1607</v>
      </c>
      <c r="L26" s="61" t="s">
        <v>86</v>
      </c>
      <c r="M26" s="42" t="str">
        <f t="shared" si="0"/>
        <v>"Peça para revestimento de pisos ou paredes. Deve ser colocado com paginação definida. Marca Eliane.CE.60x10"</v>
      </c>
      <c r="N26" s="61" t="s">
        <v>87</v>
      </c>
      <c r="O26" s="45">
        <v>1.1000000000000001</v>
      </c>
      <c r="P26" s="61" t="s">
        <v>88</v>
      </c>
      <c r="Q26" s="75">
        <v>60</v>
      </c>
      <c r="R26" s="61" t="s">
        <v>89</v>
      </c>
      <c r="S26" s="75">
        <v>10</v>
      </c>
      <c r="T26" s="61" t="s">
        <v>9</v>
      </c>
      <c r="U26" s="39" t="s">
        <v>9</v>
      </c>
      <c r="V26" s="63" t="s">
        <v>96</v>
      </c>
      <c r="W26" s="64" t="s">
        <v>121</v>
      </c>
      <c r="X26" s="61" t="s">
        <v>1652</v>
      </c>
      <c r="Y26" s="45" t="s">
        <v>113</v>
      </c>
      <c r="Z26" s="61" t="s">
        <v>1652</v>
      </c>
      <c r="AA26" s="45" t="s">
        <v>1653</v>
      </c>
      <c r="AB26" s="61" t="s">
        <v>9</v>
      </c>
      <c r="AC26" s="45" t="s">
        <v>9</v>
      </c>
      <c r="AD26" s="61" t="s">
        <v>9</v>
      </c>
      <c r="AE26" s="45" t="s">
        <v>9</v>
      </c>
      <c r="AF26" s="61" t="s">
        <v>9</v>
      </c>
      <c r="AG26" s="45" t="s">
        <v>9</v>
      </c>
      <c r="AH26" s="61" t="s">
        <v>9</v>
      </c>
      <c r="AI26" s="45" t="s">
        <v>9</v>
      </c>
      <c r="AJ26" s="61" t="s">
        <v>9</v>
      </c>
      <c r="AK26" s="45" t="s">
        <v>9</v>
      </c>
      <c r="AL26" s="61" t="s">
        <v>9</v>
      </c>
      <c r="AM26" s="45" t="s">
        <v>9</v>
      </c>
      <c r="AN26" s="61" t="s">
        <v>9</v>
      </c>
      <c r="AO26" s="45" t="s">
        <v>9</v>
      </c>
      <c r="AP26" s="61" t="s">
        <v>134</v>
      </c>
      <c r="AQ26" s="45" t="s">
        <v>1611</v>
      </c>
      <c r="AR26" s="61" t="s">
        <v>135</v>
      </c>
      <c r="AS26" s="45" t="s">
        <v>1611</v>
      </c>
      <c r="AT26" s="61" t="s">
        <v>1623</v>
      </c>
      <c r="AU26" s="45" t="s">
        <v>1624</v>
      </c>
    </row>
    <row r="27" spans="1:47" ht="6.75" customHeight="1" x14ac:dyDescent="0.4">
      <c r="A27" s="84">
        <v>27</v>
      </c>
      <c r="B27" s="79" t="s">
        <v>102</v>
      </c>
      <c r="C27" s="41" t="s">
        <v>1395</v>
      </c>
      <c r="D27" s="62" t="s">
        <v>120</v>
      </c>
      <c r="E27" s="68" t="s">
        <v>505</v>
      </c>
      <c r="F27" s="62" t="s">
        <v>9</v>
      </c>
      <c r="G27" s="68" t="s">
        <v>9</v>
      </c>
      <c r="H27" s="62" t="s">
        <v>9</v>
      </c>
      <c r="I27" s="68" t="s">
        <v>9</v>
      </c>
      <c r="J27" s="61" t="s">
        <v>86</v>
      </c>
      <c r="K27" s="45" t="s">
        <v>1607</v>
      </c>
      <c r="L27" s="61" t="s">
        <v>86</v>
      </c>
      <c r="M27" s="42" t="str">
        <f t="shared" si="0"/>
        <v>"Peça para revestimento de pisos ou paredes. Deve ser colocado com paginação definida. Marca Eliane.CE.70x70"</v>
      </c>
      <c r="N27" s="61" t="s">
        <v>87</v>
      </c>
      <c r="O27" s="45">
        <v>1.1000000000000001</v>
      </c>
      <c r="P27" s="61" t="s">
        <v>88</v>
      </c>
      <c r="Q27" s="75">
        <v>70</v>
      </c>
      <c r="R27" s="61" t="s">
        <v>89</v>
      </c>
      <c r="S27" s="75">
        <v>70</v>
      </c>
      <c r="T27" s="61" t="s">
        <v>9</v>
      </c>
      <c r="U27" s="39" t="s">
        <v>9</v>
      </c>
      <c r="V27" s="63" t="s">
        <v>96</v>
      </c>
      <c r="W27" s="64" t="s">
        <v>114</v>
      </c>
      <c r="X27" s="61" t="s">
        <v>1652</v>
      </c>
      <c r="Y27" s="45" t="s">
        <v>113</v>
      </c>
      <c r="Z27" s="61" t="s">
        <v>1652</v>
      </c>
      <c r="AA27" s="45" t="s">
        <v>1653</v>
      </c>
      <c r="AB27" s="61" t="s">
        <v>9</v>
      </c>
      <c r="AC27" s="45" t="s">
        <v>9</v>
      </c>
      <c r="AD27" s="61" t="s">
        <v>9</v>
      </c>
      <c r="AE27" s="45" t="s">
        <v>9</v>
      </c>
      <c r="AF27" s="61" t="s">
        <v>9</v>
      </c>
      <c r="AG27" s="45" t="s">
        <v>9</v>
      </c>
      <c r="AH27" s="61" t="s">
        <v>9</v>
      </c>
      <c r="AI27" s="45" t="s">
        <v>9</v>
      </c>
      <c r="AJ27" s="61" t="s">
        <v>9</v>
      </c>
      <c r="AK27" s="45" t="s">
        <v>9</v>
      </c>
      <c r="AL27" s="61" t="s">
        <v>9</v>
      </c>
      <c r="AM27" s="45" t="s">
        <v>9</v>
      </c>
      <c r="AN27" s="61" t="s">
        <v>9</v>
      </c>
      <c r="AO27" s="45" t="s">
        <v>9</v>
      </c>
      <c r="AP27" s="61" t="s">
        <v>134</v>
      </c>
      <c r="AQ27" s="45" t="s">
        <v>1611</v>
      </c>
      <c r="AR27" s="61" t="s">
        <v>135</v>
      </c>
      <c r="AS27" s="45" t="s">
        <v>1611</v>
      </c>
      <c r="AT27" s="61" t="s">
        <v>1623</v>
      </c>
      <c r="AU27" s="45" t="s">
        <v>1624</v>
      </c>
    </row>
    <row r="28" spans="1:47" ht="6.75" customHeight="1" x14ac:dyDescent="0.4">
      <c r="A28" s="84">
        <v>28</v>
      </c>
      <c r="B28" s="79" t="s">
        <v>103</v>
      </c>
      <c r="C28" s="41" t="s">
        <v>1395</v>
      </c>
      <c r="D28" s="62" t="s">
        <v>120</v>
      </c>
      <c r="E28" s="68" t="s">
        <v>505</v>
      </c>
      <c r="F28" s="62" t="s">
        <v>9</v>
      </c>
      <c r="G28" s="68" t="s">
        <v>9</v>
      </c>
      <c r="H28" s="62" t="s">
        <v>9</v>
      </c>
      <c r="I28" s="68" t="s">
        <v>9</v>
      </c>
      <c r="J28" s="61" t="s">
        <v>86</v>
      </c>
      <c r="K28" s="45" t="s">
        <v>1607</v>
      </c>
      <c r="L28" s="61" t="s">
        <v>86</v>
      </c>
      <c r="M28" s="42" t="str">
        <f t="shared" si="0"/>
        <v>"Peça para revestimento de pisos ou paredes. Deve ser colocado com paginação definida. Marca Eliane.CE.80x80"</v>
      </c>
      <c r="N28" s="61" t="s">
        <v>87</v>
      </c>
      <c r="O28" s="45">
        <v>1.1000000000000001</v>
      </c>
      <c r="P28" s="61" t="s">
        <v>88</v>
      </c>
      <c r="Q28" s="75">
        <v>80</v>
      </c>
      <c r="R28" s="61" t="s">
        <v>89</v>
      </c>
      <c r="S28" s="75">
        <v>80</v>
      </c>
      <c r="T28" s="61" t="s">
        <v>9</v>
      </c>
      <c r="U28" s="39" t="s">
        <v>9</v>
      </c>
      <c r="V28" s="63" t="s">
        <v>96</v>
      </c>
      <c r="W28" s="64" t="s">
        <v>114</v>
      </c>
      <c r="X28" s="61" t="s">
        <v>1652</v>
      </c>
      <c r="Y28" s="45" t="s">
        <v>113</v>
      </c>
      <c r="Z28" s="61" t="s">
        <v>1652</v>
      </c>
      <c r="AA28" s="45" t="s">
        <v>1653</v>
      </c>
      <c r="AB28" s="61" t="s">
        <v>9</v>
      </c>
      <c r="AC28" s="45" t="s">
        <v>9</v>
      </c>
      <c r="AD28" s="61" t="s">
        <v>9</v>
      </c>
      <c r="AE28" s="45" t="s">
        <v>9</v>
      </c>
      <c r="AF28" s="61" t="s">
        <v>9</v>
      </c>
      <c r="AG28" s="45" t="s">
        <v>9</v>
      </c>
      <c r="AH28" s="61" t="s">
        <v>9</v>
      </c>
      <c r="AI28" s="45" t="s">
        <v>9</v>
      </c>
      <c r="AJ28" s="61" t="s">
        <v>9</v>
      </c>
      <c r="AK28" s="45" t="s">
        <v>9</v>
      </c>
      <c r="AL28" s="61" t="s">
        <v>9</v>
      </c>
      <c r="AM28" s="45" t="s">
        <v>9</v>
      </c>
      <c r="AN28" s="61" t="s">
        <v>9</v>
      </c>
      <c r="AO28" s="45" t="s">
        <v>9</v>
      </c>
      <c r="AP28" s="61" t="s">
        <v>134</v>
      </c>
      <c r="AQ28" s="45" t="s">
        <v>1611</v>
      </c>
      <c r="AR28" s="61" t="s">
        <v>135</v>
      </c>
      <c r="AS28" s="45" t="s">
        <v>1611</v>
      </c>
      <c r="AT28" s="61" t="s">
        <v>1623</v>
      </c>
      <c r="AU28" s="45" t="s">
        <v>1624</v>
      </c>
    </row>
    <row r="29" spans="1:47" ht="6.75" customHeight="1" x14ac:dyDescent="0.4">
      <c r="A29" s="84">
        <v>29</v>
      </c>
      <c r="B29" s="79" t="s">
        <v>108</v>
      </c>
      <c r="C29" s="41" t="s">
        <v>1395</v>
      </c>
      <c r="D29" s="62" t="s">
        <v>120</v>
      </c>
      <c r="E29" s="68" t="s">
        <v>503</v>
      </c>
      <c r="F29" s="62" t="s">
        <v>9</v>
      </c>
      <c r="G29" s="68" t="s">
        <v>9</v>
      </c>
      <c r="H29" s="62" t="s">
        <v>9</v>
      </c>
      <c r="I29" s="68" t="s">
        <v>9</v>
      </c>
      <c r="J29" s="61" t="s">
        <v>86</v>
      </c>
      <c r="K29" s="45" t="s">
        <v>1607</v>
      </c>
      <c r="L29" s="61" t="s">
        <v>86</v>
      </c>
      <c r="M29" s="42" t="str">
        <f t="shared" si="0"/>
        <v>"Peça para revestimento de pisos ou paredes. Deve ser colocado com paginação definida. Marca Eliane.CE.80x29"</v>
      </c>
      <c r="N29" s="61" t="s">
        <v>87</v>
      </c>
      <c r="O29" s="45">
        <v>1.1000000000000001</v>
      </c>
      <c r="P29" s="61" t="s">
        <v>88</v>
      </c>
      <c r="Q29" s="75">
        <v>80</v>
      </c>
      <c r="R29" s="61" t="s">
        <v>89</v>
      </c>
      <c r="S29" s="75">
        <v>29.8</v>
      </c>
      <c r="T29" s="61" t="s">
        <v>9</v>
      </c>
      <c r="U29" s="39" t="s">
        <v>9</v>
      </c>
      <c r="V29" s="63" t="s">
        <v>96</v>
      </c>
      <c r="W29" s="64" t="s">
        <v>114</v>
      </c>
      <c r="X29" s="61" t="s">
        <v>1652</v>
      </c>
      <c r="Y29" s="45" t="s">
        <v>113</v>
      </c>
      <c r="Z29" s="61" t="s">
        <v>1652</v>
      </c>
      <c r="AA29" s="45" t="s">
        <v>1653</v>
      </c>
      <c r="AB29" s="61" t="s">
        <v>9</v>
      </c>
      <c r="AC29" s="45" t="s">
        <v>9</v>
      </c>
      <c r="AD29" s="61" t="s">
        <v>9</v>
      </c>
      <c r="AE29" s="45" t="s">
        <v>9</v>
      </c>
      <c r="AF29" s="61" t="s">
        <v>9</v>
      </c>
      <c r="AG29" s="45" t="s">
        <v>9</v>
      </c>
      <c r="AH29" s="61" t="s">
        <v>9</v>
      </c>
      <c r="AI29" s="45" t="s">
        <v>9</v>
      </c>
      <c r="AJ29" s="61" t="s">
        <v>9</v>
      </c>
      <c r="AK29" s="45" t="s">
        <v>9</v>
      </c>
      <c r="AL29" s="61" t="s">
        <v>9</v>
      </c>
      <c r="AM29" s="45" t="s">
        <v>9</v>
      </c>
      <c r="AN29" s="61" t="s">
        <v>9</v>
      </c>
      <c r="AO29" s="45" t="s">
        <v>9</v>
      </c>
      <c r="AP29" s="61" t="s">
        <v>134</v>
      </c>
      <c r="AQ29" s="45" t="s">
        <v>1611</v>
      </c>
      <c r="AR29" s="61" t="s">
        <v>135</v>
      </c>
      <c r="AS29" s="45" t="s">
        <v>1611</v>
      </c>
      <c r="AT29" s="61" t="s">
        <v>1623</v>
      </c>
      <c r="AU29" s="45" t="s">
        <v>1624</v>
      </c>
    </row>
    <row r="30" spans="1:47" ht="6.75" customHeight="1" x14ac:dyDescent="0.4">
      <c r="A30" s="84">
        <v>30</v>
      </c>
      <c r="B30" s="79" t="s">
        <v>109</v>
      </c>
      <c r="C30" s="41" t="s">
        <v>1395</v>
      </c>
      <c r="D30" s="62" t="s">
        <v>120</v>
      </c>
      <c r="E30" s="68" t="s">
        <v>503</v>
      </c>
      <c r="F30" s="62" t="s">
        <v>9</v>
      </c>
      <c r="G30" s="68" t="s">
        <v>9</v>
      </c>
      <c r="H30" s="62" t="s">
        <v>9</v>
      </c>
      <c r="I30" s="68" t="s">
        <v>9</v>
      </c>
      <c r="J30" s="61" t="s">
        <v>86</v>
      </c>
      <c r="K30" s="45" t="s">
        <v>1607</v>
      </c>
      <c r="L30" s="61" t="s">
        <v>86</v>
      </c>
      <c r="M30" s="42" t="str">
        <f t="shared" si="0"/>
        <v>"Peça para revestimento de pisos ou paredes. Deve ser colocado com paginação definida. Marca Eliane.CE.80x14"</v>
      </c>
      <c r="N30" s="61" t="s">
        <v>87</v>
      </c>
      <c r="O30" s="45">
        <v>1.1000000000000001</v>
      </c>
      <c r="P30" s="61" t="s">
        <v>88</v>
      </c>
      <c r="Q30" s="75">
        <v>80</v>
      </c>
      <c r="R30" s="61" t="s">
        <v>89</v>
      </c>
      <c r="S30" s="75">
        <v>14.5</v>
      </c>
      <c r="T30" s="61" t="s">
        <v>9</v>
      </c>
      <c r="U30" s="39" t="s">
        <v>9</v>
      </c>
      <c r="V30" s="63" t="s">
        <v>96</v>
      </c>
      <c r="W30" s="64" t="s">
        <v>114</v>
      </c>
      <c r="X30" s="61" t="s">
        <v>1652</v>
      </c>
      <c r="Y30" s="45" t="s">
        <v>113</v>
      </c>
      <c r="Z30" s="61" t="s">
        <v>1652</v>
      </c>
      <c r="AA30" s="45" t="s">
        <v>1653</v>
      </c>
      <c r="AB30" s="61" t="s">
        <v>9</v>
      </c>
      <c r="AC30" s="45" t="s">
        <v>9</v>
      </c>
      <c r="AD30" s="61" t="s">
        <v>9</v>
      </c>
      <c r="AE30" s="45" t="s">
        <v>9</v>
      </c>
      <c r="AF30" s="61" t="s">
        <v>9</v>
      </c>
      <c r="AG30" s="45" t="s">
        <v>9</v>
      </c>
      <c r="AH30" s="61" t="s">
        <v>9</v>
      </c>
      <c r="AI30" s="45" t="s">
        <v>9</v>
      </c>
      <c r="AJ30" s="61" t="s">
        <v>9</v>
      </c>
      <c r="AK30" s="45" t="s">
        <v>9</v>
      </c>
      <c r="AL30" s="61" t="s">
        <v>9</v>
      </c>
      <c r="AM30" s="45" t="s">
        <v>9</v>
      </c>
      <c r="AN30" s="61" t="s">
        <v>9</v>
      </c>
      <c r="AO30" s="45" t="s">
        <v>9</v>
      </c>
      <c r="AP30" s="61" t="s">
        <v>134</v>
      </c>
      <c r="AQ30" s="45" t="s">
        <v>1611</v>
      </c>
      <c r="AR30" s="61" t="s">
        <v>135</v>
      </c>
      <c r="AS30" s="45" t="s">
        <v>1611</v>
      </c>
      <c r="AT30" s="61" t="s">
        <v>1623</v>
      </c>
      <c r="AU30" s="45" t="s">
        <v>1624</v>
      </c>
    </row>
    <row r="31" spans="1:47" ht="6.75" customHeight="1" x14ac:dyDescent="0.4">
      <c r="A31" s="84">
        <v>31</v>
      </c>
      <c r="B31" s="79" t="s">
        <v>110</v>
      </c>
      <c r="C31" s="41" t="s">
        <v>1395</v>
      </c>
      <c r="D31" s="62" t="s">
        <v>120</v>
      </c>
      <c r="E31" s="68" t="s">
        <v>503</v>
      </c>
      <c r="F31" s="62" t="s">
        <v>9</v>
      </c>
      <c r="G31" s="68" t="s">
        <v>9</v>
      </c>
      <c r="H31" s="62" t="s">
        <v>9</v>
      </c>
      <c r="I31" s="68" t="s">
        <v>9</v>
      </c>
      <c r="J31" s="61" t="s">
        <v>86</v>
      </c>
      <c r="K31" s="45" t="s">
        <v>1607</v>
      </c>
      <c r="L31" s="61" t="s">
        <v>86</v>
      </c>
      <c r="M31" s="42" t="str">
        <f t="shared" si="0"/>
        <v>"Peça para revestimento de pisos ou paredes. Deve ser colocado com paginação definida. Marca Eliane.CE.80x9"</v>
      </c>
      <c r="N31" s="61" t="s">
        <v>87</v>
      </c>
      <c r="O31" s="45">
        <v>1.1000000000000001</v>
      </c>
      <c r="P31" s="61" t="s">
        <v>88</v>
      </c>
      <c r="Q31" s="75">
        <v>80</v>
      </c>
      <c r="R31" s="61" t="s">
        <v>89</v>
      </c>
      <c r="S31" s="75">
        <v>9.5</v>
      </c>
      <c r="T31" s="61" t="s">
        <v>9</v>
      </c>
      <c r="U31" s="39" t="s">
        <v>9</v>
      </c>
      <c r="V31" s="63" t="s">
        <v>96</v>
      </c>
      <c r="W31" s="64" t="s">
        <v>114</v>
      </c>
      <c r="X31" s="61" t="s">
        <v>1652</v>
      </c>
      <c r="Y31" s="45" t="s">
        <v>113</v>
      </c>
      <c r="Z31" s="61" t="s">
        <v>1652</v>
      </c>
      <c r="AA31" s="45" t="s">
        <v>1653</v>
      </c>
      <c r="AB31" s="61" t="s">
        <v>9</v>
      </c>
      <c r="AC31" s="45" t="s">
        <v>9</v>
      </c>
      <c r="AD31" s="61" t="s">
        <v>9</v>
      </c>
      <c r="AE31" s="45" t="s">
        <v>9</v>
      </c>
      <c r="AF31" s="61" t="s">
        <v>9</v>
      </c>
      <c r="AG31" s="45" t="s">
        <v>9</v>
      </c>
      <c r="AH31" s="61" t="s">
        <v>9</v>
      </c>
      <c r="AI31" s="45" t="s">
        <v>9</v>
      </c>
      <c r="AJ31" s="61" t="s">
        <v>9</v>
      </c>
      <c r="AK31" s="45" t="s">
        <v>9</v>
      </c>
      <c r="AL31" s="61" t="s">
        <v>9</v>
      </c>
      <c r="AM31" s="45" t="s">
        <v>9</v>
      </c>
      <c r="AN31" s="61" t="s">
        <v>9</v>
      </c>
      <c r="AO31" s="45" t="s">
        <v>9</v>
      </c>
      <c r="AP31" s="61" t="s">
        <v>134</v>
      </c>
      <c r="AQ31" s="45" t="s">
        <v>1611</v>
      </c>
      <c r="AR31" s="61" t="s">
        <v>135</v>
      </c>
      <c r="AS31" s="45" t="s">
        <v>1611</v>
      </c>
      <c r="AT31" s="61" t="s">
        <v>1623</v>
      </c>
      <c r="AU31" s="45" t="s">
        <v>1624</v>
      </c>
    </row>
    <row r="32" spans="1:47" ht="6.75" customHeight="1" x14ac:dyDescent="0.4">
      <c r="A32" s="84">
        <v>32</v>
      </c>
      <c r="B32" s="79" t="s">
        <v>104</v>
      </c>
      <c r="C32" s="41" t="s">
        <v>1395</v>
      </c>
      <c r="D32" s="62" t="s">
        <v>120</v>
      </c>
      <c r="E32" s="68" t="s">
        <v>505</v>
      </c>
      <c r="F32" s="62" t="s">
        <v>9</v>
      </c>
      <c r="G32" s="68" t="s">
        <v>9</v>
      </c>
      <c r="H32" s="62" t="s">
        <v>9</v>
      </c>
      <c r="I32" s="68" t="s">
        <v>9</v>
      </c>
      <c r="J32" s="61" t="s">
        <v>86</v>
      </c>
      <c r="K32" s="45" t="s">
        <v>1607</v>
      </c>
      <c r="L32" s="61" t="s">
        <v>86</v>
      </c>
      <c r="M32" s="42" t="str">
        <f t="shared" si="0"/>
        <v>"Peça para revestimento de pisos ou paredes. Deve ser colocado com paginação definida. Marca Eliane.CE.90x90"</v>
      </c>
      <c r="N32" s="61" t="s">
        <v>87</v>
      </c>
      <c r="O32" s="45">
        <v>1.1000000000000001</v>
      </c>
      <c r="P32" s="61" t="s">
        <v>88</v>
      </c>
      <c r="Q32" s="75">
        <v>90</v>
      </c>
      <c r="R32" s="61" t="s">
        <v>89</v>
      </c>
      <c r="S32" s="75">
        <v>90</v>
      </c>
      <c r="T32" s="61" t="s">
        <v>9</v>
      </c>
      <c r="U32" s="39" t="s">
        <v>9</v>
      </c>
      <c r="V32" s="63" t="s">
        <v>96</v>
      </c>
      <c r="W32" s="64" t="s">
        <v>114</v>
      </c>
      <c r="X32" s="61" t="s">
        <v>1652</v>
      </c>
      <c r="Y32" s="45" t="s">
        <v>113</v>
      </c>
      <c r="Z32" s="61" t="s">
        <v>1652</v>
      </c>
      <c r="AA32" s="45" t="s">
        <v>1653</v>
      </c>
      <c r="AB32" s="61" t="s">
        <v>9</v>
      </c>
      <c r="AC32" s="45" t="s">
        <v>9</v>
      </c>
      <c r="AD32" s="61" t="s">
        <v>9</v>
      </c>
      <c r="AE32" s="45" t="s">
        <v>9</v>
      </c>
      <c r="AF32" s="61" t="s">
        <v>9</v>
      </c>
      <c r="AG32" s="45" t="s">
        <v>9</v>
      </c>
      <c r="AH32" s="61" t="s">
        <v>9</v>
      </c>
      <c r="AI32" s="45" t="s">
        <v>9</v>
      </c>
      <c r="AJ32" s="61" t="s">
        <v>9</v>
      </c>
      <c r="AK32" s="45" t="s">
        <v>9</v>
      </c>
      <c r="AL32" s="61" t="s">
        <v>9</v>
      </c>
      <c r="AM32" s="45" t="s">
        <v>9</v>
      </c>
      <c r="AN32" s="61" t="s">
        <v>9</v>
      </c>
      <c r="AO32" s="45" t="s">
        <v>9</v>
      </c>
      <c r="AP32" s="61" t="s">
        <v>134</v>
      </c>
      <c r="AQ32" s="45" t="s">
        <v>1611</v>
      </c>
      <c r="AR32" s="61" t="s">
        <v>135</v>
      </c>
      <c r="AS32" s="45" t="s">
        <v>1611</v>
      </c>
      <c r="AT32" s="61" t="s">
        <v>1623</v>
      </c>
      <c r="AU32" s="45" t="s">
        <v>1624</v>
      </c>
    </row>
    <row r="33" spans="1:47" ht="6.75" customHeight="1" x14ac:dyDescent="0.4">
      <c r="A33" s="84">
        <v>33</v>
      </c>
      <c r="B33" s="79" t="s">
        <v>111</v>
      </c>
      <c r="C33" s="41" t="s">
        <v>1395</v>
      </c>
      <c r="D33" s="62" t="s">
        <v>120</v>
      </c>
      <c r="E33" s="68" t="s">
        <v>503</v>
      </c>
      <c r="F33" s="62" t="s">
        <v>9</v>
      </c>
      <c r="G33" s="68" t="s">
        <v>9</v>
      </c>
      <c r="H33" s="62" t="s">
        <v>9</v>
      </c>
      <c r="I33" s="68" t="s">
        <v>9</v>
      </c>
      <c r="J33" s="61" t="s">
        <v>86</v>
      </c>
      <c r="K33" s="45" t="s">
        <v>1607</v>
      </c>
      <c r="L33" s="61" t="s">
        <v>86</v>
      </c>
      <c r="M33" s="42" t="str">
        <f t="shared" si="0"/>
        <v>"Peça para revestimento de pisos ou paredes. Deve ser colocado com paginação definida. Marca Eliane.CE.90x14"</v>
      </c>
      <c r="N33" s="61" t="s">
        <v>87</v>
      </c>
      <c r="O33" s="45">
        <v>1.1000000000000001</v>
      </c>
      <c r="P33" s="61" t="s">
        <v>88</v>
      </c>
      <c r="Q33" s="75">
        <v>90</v>
      </c>
      <c r="R33" s="61" t="s">
        <v>89</v>
      </c>
      <c r="S33" s="75">
        <v>14.5</v>
      </c>
      <c r="T33" s="61" t="s">
        <v>9</v>
      </c>
      <c r="U33" s="39" t="s">
        <v>9</v>
      </c>
      <c r="V33" s="63" t="s">
        <v>96</v>
      </c>
      <c r="W33" s="64" t="s">
        <v>114</v>
      </c>
      <c r="X33" s="61" t="s">
        <v>1652</v>
      </c>
      <c r="Y33" s="45" t="s">
        <v>113</v>
      </c>
      <c r="Z33" s="61" t="s">
        <v>1652</v>
      </c>
      <c r="AA33" s="45" t="s">
        <v>1653</v>
      </c>
      <c r="AB33" s="61" t="s">
        <v>9</v>
      </c>
      <c r="AC33" s="45" t="s">
        <v>9</v>
      </c>
      <c r="AD33" s="61" t="s">
        <v>9</v>
      </c>
      <c r="AE33" s="45" t="s">
        <v>9</v>
      </c>
      <c r="AF33" s="61" t="s">
        <v>9</v>
      </c>
      <c r="AG33" s="45" t="s">
        <v>9</v>
      </c>
      <c r="AH33" s="61" t="s">
        <v>9</v>
      </c>
      <c r="AI33" s="45" t="s">
        <v>9</v>
      </c>
      <c r="AJ33" s="61" t="s">
        <v>9</v>
      </c>
      <c r="AK33" s="45" t="s">
        <v>9</v>
      </c>
      <c r="AL33" s="61" t="s">
        <v>9</v>
      </c>
      <c r="AM33" s="45" t="s">
        <v>9</v>
      </c>
      <c r="AN33" s="61" t="s">
        <v>9</v>
      </c>
      <c r="AO33" s="45" t="s">
        <v>9</v>
      </c>
      <c r="AP33" s="61" t="s">
        <v>134</v>
      </c>
      <c r="AQ33" s="45" t="s">
        <v>1611</v>
      </c>
      <c r="AR33" s="61" t="s">
        <v>135</v>
      </c>
      <c r="AS33" s="45" t="s">
        <v>1611</v>
      </c>
      <c r="AT33" s="61" t="s">
        <v>1623</v>
      </c>
      <c r="AU33" s="45" t="s">
        <v>1624</v>
      </c>
    </row>
    <row r="34" spans="1:47" ht="6.75" customHeight="1" x14ac:dyDescent="0.4">
      <c r="A34" s="84">
        <v>34</v>
      </c>
      <c r="B34" s="79" t="s">
        <v>105</v>
      </c>
      <c r="C34" s="41" t="s">
        <v>1395</v>
      </c>
      <c r="D34" s="62" t="s">
        <v>120</v>
      </c>
      <c r="E34" s="68" t="s">
        <v>505</v>
      </c>
      <c r="F34" s="62" t="s">
        <v>9</v>
      </c>
      <c r="G34" s="68" t="s">
        <v>9</v>
      </c>
      <c r="H34" s="62" t="s">
        <v>9</v>
      </c>
      <c r="I34" s="68" t="s">
        <v>9</v>
      </c>
      <c r="J34" s="61" t="s">
        <v>86</v>
      </c>
      <c r="K34" s="45" t="s">
        <v>1607</v>
      </c>
      <c r="L34" s="61" t="s">
        <v>86</v>
      </c>
      <c r="M34" s="42" t="str">
        <f t="shared" si="0"/>
        <v>"Peça para revestimento de pisos ou paredes. Deve ser colocado com paginação definida. Marca Eliane.CE.120x60"</v>
      </c>
      <c r="N34" s="61" t="s">
        <v>87</v>
      </c>
      <c r="O34" s="45">
        <v>1.1000000000000001</v>
      </c>
      <c r="P34" s="61" t="s">
        <v>88</v>
      </c>
      <c r="Q34" s="75">
        <v>120</v>
      </c>
      <c r="R34" s="61" t="s">
        <v>89</v>
      </c>
      <c r="S34" s="75">
        <v>60</v>
      </c>
      <c r="T34" s="61" t="s">
        <v>9</v>
      </c>
      <c r="U34" s="39" t="s">
        <v>9</v>
      </c>
      <c r="V34" s="63" t="s">
        <v>96</v>
      </c>
      <c r="W34" s="64" t="s">
        <v>114</v>
      </c>
      <c r="X34" s="61" t="s">
        <v>1652</v>
      </c>
      <c r="Y34" s="45" t="s">
        <v>113</v>
      </c>
      <c r="Z34" s="61" t="s">
        <v>1652</v>
      </c>
      <c r="AA34" s="45" t="s">
        <v>1653</v>
      </c>
      <c r="AB34" s="61" t="s">
        <v>9</v>
      </c>
      <c r="AC34" s="45" t="s">
        <v>9</v>
      </c>
      <c r="AD34" s="61" t="s">
        <v>9</v>
      </c>
      <c r="AE34" s="45" t="s">
        <v>9</v>
      </c>
      <c r="AF34" s="61" t="s">
        <v>9</v>
      </c>
      <c r="AG34" s="45" t="s">
        <v>9</v>
      </c>
      <c r="AH34" s="61" t="s">
        <v>9</v>
      </c>
      <c r="AI34" s="45" t="s">
        <v>9</v>
      </c>
      <c r="AJ34" s="61" t="s">
        <v>9</v>
      </c>
      <c r="AK34" s="45" t="s">
        <v>9</v>
      </c>
      <c r="AL34" s="61" t="s">
        <v>9</v>
      </c>
      <c r="AM34" s="45" t="s">
        <v>9</v>
      </c>
      <c r="AN34" s="61" t="s">
        <v>9</v>
      </c>
      <c r="AO34" s="45" t="s">
        <v>9</v>
      </c>
      <c r="AP34" s="61" t="s">
        <v>134</v>
      </c>
      <c r="AQ34" s="45" t="s">
        <v>1611</v>
      </c>
      <c r="AR34" s="61" t="s">
        <v>135</v>
      </c>
      <c r="AS34" s="45" t="s">
        <v>1611</v>
      </c>
      <c r="AT34" s="61" t="s">
        <v>1623</v>
      </c>
      <c r="AU34" s="45" t="s">
        <v>1624</v>
      </c>
    </row>
    <row r="35" spans="1:47" ht="6.75" customHeight="1" x14ac:dyDescent="0.4">
      <c r="A35" s="84">
        <v>35</v>
      </c>
      <c r="B35" s="79" t="s">
        <v>112</v>
      </c>
      <c r="C35" s="41" t="s">
        <v>1395</v>
      </c>
      <c r="D35" s="62" t="s">
        <v>120</v>
      </c>
      <c r="E35" s="68" t="s">
        <v>505</v>
      </c>
      <c r="F35" s="62" t="s">
        <v>9</v>
      </c>
      <c r="G35" s="68" t="s">
        <v>9</v>
      </c>
      <c r="H35" s="62" t="s">
        <v>9</v>
      </c>
      <c r="I35" s="68" t="s">
        <v>9</v>
      </c>
      <c r="J35" s="61" t="s">
        <v>86</v>
      </c>
      <c r="K35" s="45" t="s">
        <v>1607</v>
      </c>
      <c r="L35" s="61" t="s">
        <v>86</v>
      </c>
      <c r="M35" s="42" t="str">
        <f t="shared" si="0"/>
        <v>"Peça para revestimento de pisos ou paredes. Deve ser colocado com paginação definida. Marca Eliane.CE.120x29"</v>
      </c>
      <c r="N35" s="61" t="s">
        <v>87</v>
      </c>
      <c r="O35" s="45">
        <v>1.1000000000000001</v>
      </c>
      <c r="P35" s="61" t="s">
        <v>88</v>
      </c>
      <c r="Q35" s="75">
        <v>120</v>
      </c>
      <c r="R35" s="61" t="s">
        <v>89</v>
      </c>
      <c r="S35" s="75">
        <v>29.4</v>
      </c>
      <c r="T35" s="61" t="s">
        <v>9</v>
      </c>
      <c r="U35" s="39" t="s">
        <v>9</v>
      </c>
      <c r="V35" s="63" t="s">
        <v>96</v>
      </c>
      <c r="W35" s="64" t="s">
        <v>114</v>
      </c>
      <c r="X35" s="61" t="s">
        <v>1652</v>
      </c>
      <c r="Y35" s="45" t="s">
        <v>113</v>
      </c>
      <c r="Z35" s="61" t="s">
        <v>1652</v>
      </c>
      <c r="AA35" s="45" t="s">
        <v>1653</v>
      </c>
      <c r="AB35" s="61" t="s">
        <v>9</v>
      </c>
      <c r="AC35" s="45" t="s">
        <v>9</v>
      </c>
      <c r="AD35" s="61" t="s">
        <v>9</v>
      </c>
      <c r="AE35" s="45" t="s">
        <v>9</v>
      </c>
      <c r="AF35" s="61" t="s">
        <v>9</v>
      </c>
      <c r="AG35" s="45" t="s">
        <v>9</v>
      </c>
      <c r="AH35" s="61" t="s">
        <v>9</v>
      </c>
      <c r="AI35" s="45" t="s">
        <v>9</v>
      </c>
      <c r="AJ35" s="61" t="s">
        <v>9</v>
      </c>
      <c r="AK35" s="45" t="s">
        <v>9</v>
      </c>
      <c r="AL35" s="61" t="s">
        <v>9</v>
      </c>
      <c r="AM35" s="45" t="s">
        <v>9</v>
      </c>
      <c r="AN35" s="61" t="s">
        <v>9</v>
      </c>
      <c r="AO35" s="45" t="s">
        <v>9</v>
      </c>
      <c r="AP35" s="61" t="s">
        <v>134</v>
      </c>
      <c r="AQ35" s="45" t="s">
        <v>1611</v>
      </c>
      <c r="AR35" s="61" t="s">
        <v>135</v>
      </c>
      <c r="AS35" s="45" t="s">
        <v>1611</v>
      </c>
      <c r="AT35" s="61" t="s">
        <v>1623</v>
      </c>
      <c r="AU35" s="45" t="s">
        <v>1624</v>
      </c>
    </row>
    <row r="36" spans="1:47" s="77" customFormat="1" ht="6.75" customHeight="1" x14ac:dyDescent="0.4">
      <c r="A36" s="84">
        <v>36</v>
      </c>
      <c r="B36" s="44" t="s">
        <v>352</v>
      </c>
      <c r="C36" s="41" t="s">
        <v>1543</v>
      </c>
      <c r="D36" s="62" t="s">
        <v>9</v>
      </c>
      <c r="E36" s="68" t="s">
        <v>9</v>
      </c>
      <c r="F36" s="62" t="s">
        <v>9</v>
      </c>
      <c r="G36" s="68" t="s">
        <v>9</v>
      </c>
      <c r="H36" s="62" t="s">
        <v>9</v>
      </c>
      <c r="I36" s="68" t="s">
        <v>9</v>
      </c>
      <c r="J36" s="61" t="s">
        <v>86</v>
      </c>
      <c r="K36" s="45" t="s">
        <v>1607</v>
      </c>
      <c r="L36" s="61" t="s">
        <v>86</v>
      </c>
      <c r="M36" s="42" t="s">
        <v>353</v>
      </c>
      <c r="N36" s="61" t="s">
        <v>87</v>
      </c>
      <c r="O36" s="45">
        <v>9</v>
      </c>
      <c r="P36" s="61" t="s">
        <v>88</v>
      </c>
      <c r="Q36" s="39">
        <v>19</v>
      </c>
      <c r="R36" s="61" t="s">
        <v>89</v>
      </c>
      <c r="S36" s="39">
        <v>39</v>
      </c>
      <c r="T36" s="61" t="s">
        <v>9</v>
      </c>
      <c r="U36" s="39" t="s">
        <v>9</v>
      </c>
      <c r="V36" s="63" t="s">
        <v>96</v>
      </c>
      <c r="W36" s="64" t="s">
        <v>354</v>
      </c>
      <c r="X36" s="61" t="s">
        <v>1652</v>
      </c>
      <c r="Y36" s="45" t="s">
        <v>355</v>
      </c>
      <c r="Z36" s="61" t="s">
        <v>9</v>
      </c>
      <c r="AA36" s="45" t="s">
        <v>9</v>
      </c>
      <c r="AB36" s="61" t="s">
        <v>9</v>
      </c>
      <c r="AC36" s="45" t="s">
        <v>9</v>
      </c>
      <c r="AD36" s="61" t="s">
        <v>9</v>
      </c>
      <c r="AE36" s="45" t="s">
        <v>9</v>
      </c>
      <c r="AF36" s="61" t="s">
        <v>9</v>
      </c>
      <c r="AG36" s="45" t="s">
        <v>9</v>
      </c>
      <c r="AH36" s="61" t="s">
        <v>9</v>
      </c>
      <c r="AI36" s="45" t="s">
        <v>9</v>
      </c>
      <c r="AJ36" s="61" t="s">
        <v>9</v>
      </c>
      <c r="AK36" s="45" t="s">
        <v>9</v>
      </c>
      <c r="AL36" s="61" t="s">
        <v>9</v>
      </c>
      <c r="AM36" s="45" t="s">
        <v>9</v>
      </c>
      <c r="AN36" s="61" t="s">
        <v>9</v>
      </c>
      <c r="AO36" s="45" t="s">
        <v>9</v>
      </c>
      <c r="AP36" s="61" t="s">
        <v>134</v>
      </c>
      <c r="AQ36" s="45" t="s">
        <v>1611</v>
      </c>
      <c r="AR36" s="61" t="s">
        <v>135</v>
      </c>
      <c r="AS36" s="45" t="s">
        <v>1611</v>
      </c>
      <c r="AT36" s="61" t="s">
        <v>1623</v>
      </c>
      <c r="AU36" s="45" t="s">
        <v>1624</v>
      </c>
    </row>
    <row r="37" spans="1:47" s="77" customFormat="1" ht="6.75" customHeight="1" x14ac:dyDescent="0.4">
      <c r="A37" s="84">
        <v>37</v>
      </c>
      <c r="B37" s="44" t="s">
        <v>356</v>
      </c>
      <c r="C37" s="41" t="s">
        <v>1543</v>
      </c>
      <c r="D37" s="62" t="s">
        <v>9</v>
      </c>
      <c r="E37" s="68" t="s">
        <v>9</v>
      </c>
      <c r="F37" s="62" t="s">
        <v>9</v>
      </c>
      <c r="G37" s="68" t="s">
        <v>9</v>
      </c>
      <c r="H37" s="62" t="s">
        <v>9</v>
      </c>
      <c r="I37" s="68" t="s">
        <v>9</v>
      </c>
      <c r="J37" s="61" t="s">
        <v>86</v>
      </c>
      <c r="K37" s="45" t="s">
        <v>1607</v>
      </c>
      <c r="L37" s="61" t="s">
        <v>86</v>
      </c>
      <c r="M37" s="42" t="s">
        <v>357</v>
      </c>
      <c r="N37" s="61" t="s">
        <v>87</v>
      </c>
      <c r="O37" s="45">
        <v>14</v>
      </c>
      <c r="P37" s="61" t="s">
        <v>88</v>
      </c>
      <c r="Q37" s="39">
        <v>19</v>
      </c>
      <c r="R37" s="61" t="s">
        <v>89</v>
      </c>
      <c r="S37" s="39">
        <v>39</v>
      </c>
      <c r="T37" s="61" t="s">
        <v>9</v>
      </c>
      <c r="U37" s="39" t="s">
        <v>9</v>
      </c>
      <c r="V37" s="63" t="s">
        <v>96</v>
      </c>
      <c r="W37" s="64" t="s">
        <v>354</v>
      </c>
      <c r="X37" s="61" t="s">
        <v>1652</v>
      </c>
      <c r="Y37" s="45" t="s">
        <v>355</v>
      </c>
      <c r="Z37" s="61" t="s">
        <v>9</v>
      </c>
      <c r="AA37" s="45" t="s">
        <v>9</v>
      </c>
      <c r="AB37" s="61" t="s">
        <v>9</v>
      </c>
      <c r="AC37" s="45" t="s">
        <v>9</v>
      </c>
      <c r="AD37" s="61" t="s">
        <v>9</v>
      </c>
      <c r="AE37" s="45" t="s">
        <v>9</v>
      </c>
      <c r="AF37" s="61" t="s">
        <v>9</v>
      </c>
      <c r="AG37" s="45" t="s">
        <v>9</v>
      </c>
      <c r="AH37" s="61" t="s">
        <v>9</v>
      </c>
      <c r="AI37" s="45" t="s">
        <v>9</v>
      </c>
      <c r="AJ37" s="61" t="s">
        <v>9</v>
      </c>
      <c r="AK37" s="45" t="s">
        <v>9</v>
      </c>
      <c r="AL37" s="61" t="s">
        <v>9</v>
      </c>
      <c r="AM37" s="45" t="s">
        <v>9</v>
      </c>
      <c r="AN37" s="61" t="s">
        <v>9</v>
      </c>
      <c r="AO37" s="45" t="s">
        <v>9</v>
      </c>
      <c r="AP37" s="61" t="s">
        <v>134</v>
      </c>
      <c r="AQ37" s="45" t="s">
        <v>1611</v>
      </c>
      <c r="AR37" s="61" t="s">
        <v>135</v>
      </c>
      <c r="AS37" s="45" t="s">
        <v>1611</v>
      </c>
      <c r="AT37" s="61" t="s">
        <v>1623</v>
      </c>
      <c r="AU37" s="45" t="s">
        <v>1624</v>
      </c>
    </row>
    <row r="38" spans="1:47" s="77" customFormat="1" ht="6.75" customHeight="1" x14ac:dyDescent="0.4">
      <c r="A38" s="84">
        <v>38</v>
      </c>
      <c r="B38" s="44" t="s">
        <v>358</v>
      </c>
      <c r="C38" s="41" t="s">
        <v>1543</v>
      </c>
      <c r="D38" s="62" t="s">
        <v>9</v>
      </c>
      <c r="E38" s="68" t="s">
        <v>9</v>
      </c>
      <c r="F38" s="62" t="s">
        <v>9</v>
      </c>
      <c r="G38" s="68" t="s">
        <v>9</v>
      </c>
      <c r="H38" s="62" t="s">
        <v>9</v>
      </c>
      <c r="I38" s="68" t="s">
        <v>9</v>
      </c>
      <c r="J38" s="61" t="s">
        <v>86</v>
      </c>
      <c r="K38" s="45" t="s">
        <v>1607</v>
      </c>
      <c r="L38" s="61" t="s">
        <v>86</v>
      </c>
      <c r="M38" s="42" t="s">
        <v>359</v>
      </c>
      <c r="N38" s="61" t="s">
        <v>87</v>
      </c>
      <c r="O38" s="45">
        <v>19</v>
      </c>
      <c r="P38" s="61" t="s">
        <v>88</v>
      </c>
      <c r="Q38" s="39">
        <v>19</v>
      </c>
      <c r="R38" s="61" t="s">
        <v>89</v>
      </c>
      <c r="S38" s="39">
        <v>39</v>
      </c>
      <c r="T38" s="61" t="s">
        <v>9</v>
      </c>
      <c r="U38" s="39" t="s">
        <v>9</v>
      </c>
      <c r="V38" s="63" t="s">
        <v>96</v>
      </c>
      <c r="W38" s="64" t="s">
        <v>354</v>
      </c>
      <c r="X38" s="61" t="s">
        <v>1652</v>
      </c>
      <c r="Y38" s="45" t="s">
        <v>355</v>
      </c>
      <c r="Z38" s="61" t="s">
        <v>9</v>
      </c>
      <c r="AA38" s="45" t="s">
        <v>9</v>
      </c>
      <c r="AB38" s="61" t="s">
        <v>9</v>
      </c>
      <c r="AC38" s="45" t="s">
        <v>9</v>
      </c>
      <c r="AD38" s="61" t="s">
        <v>9</v>
      </c>
      <c r="AE38" s="45" t="s">
        <v>9</v>
      </c>
      <c r="AF38" s="61" t="s">
        <v>9</v>
      </c>
      <c r="AG38" s="45" t="s">
        <v>9</v>
      </c>
      <c r="AH38" s="61" t="s">
        <v>9</v>
      </c>
      <c r="AI38" s="45" t="s">
        <v>9</v>
      </c>
      <c r="AJ38" s="61" t="s">
        <v>9</v>
      </c>
      <c r="AK38" s="45" t="s">
        <v>9</v>
      </c>
      <c r="AL38" s="61" t="s">
        <v>9</v>
      </c>
      <c r="AM38" s="45" t="s">
        <v>9</v>
      </c>
      <c r="AN38" s="61" t="s">
        <v>9</v>
      </c>
      <c r="AO38" s="45" t="s">
        <v>9</v>
      </c>
      <c r="AP38" s="61" t="s">
        <v>134</v>
      </c>
      <c r="AQ38" s="45" t="s">
        <v>1611</v>
      </c>
      <c r="AR38" s="61" t="s">
        <v>135</v>
      </c>
      <c r="AS38" s="45" t="s">
        <v>1611</v>
      </c>
      <c r="AT38" s="61" t="s">
        <v>1623</v>
      </c>
      <c r="AU38" s="45" t="s">
        <v>1624</v>
      </c>
    </row>
    <row r="39" spans="1:47" ht="6.75" customHeight="1" x14ac:dyDescent="0.4">
      <c r="A39" s="84">
        <v>39</v>
      </c>
      <c r="B39" s="80" t="s">
        <v>360</v>
      </c>
      <c r="C39" s="41" t="s">
        <v>1543</v>
      </c>
      <c r="D39" s="62" t="s">
        <v>9</v>
      </c>
      <c r="E39" s="68" t="s">
        <v>9</v>
      </c>
      <c r="F39" s="62" t="s">
        <v>9</v>
      </c>
      <c r="G39" s="68" t="s">
        <v>9</v>
      </c>
      <c r="H39" s="62" t="s">
        <v>9</v>
      </c>
      <c r="I39" s="68" t="s">
        <v>9</v>
      </c>
      <c r="J39" s="61" t="s">
        <v>86</v>
      </c>
      <c r="K39" s="45" t="s">
        <v>1607</v>
      </c>
      <c r="L39" s="61" t="s">
        <v>86</v>
      </c>
      <c r="M39" s="42" t="s">
        <v>361</v>
      </c>
      <c r="N39" s="61" t="s">
        <v>87</v>
      </c>
      <c r="O39" s="45">
        <v>9</v>
      </c>
      <c r="P39" s="61" t="s">
        <v>88</v>
      </c>
      <c r="Q39" s="39">
        <v>19</v>
      </c>
      <c r="R39" s="61" t="s">
        <v>89</v>
      </c>
      <c r="S39" s="39">
        <v>19</v>
      </c>
      <c r="T39" s="61" t="s">
        <v>362</v>
      </c>
      <c r="U39" s="39">
        <v>2.2999999999999998</v>
      </c>
      <c r="V39" s="63" t="s">
        <v>96</v>
      </c>
      <c r="W39" s="64" t="s">
        <v>363</v>
      </c>
      <c r="X39" s="61" t="s">
        <v>1652</v>
      </c>
      <c r="Y39" s="64" t="s">
        <v>364</v>
      </c>
      <c r="Z39" s="61" t="s">
        <v>9</v>
      </c>
      <c r="AA39" s="64" t="s">
        <v>9</v>
      </c>
      <c r="AB39" s="61" t="s">
        <v>9</v>
      </c>
      <c r="AC39" s="64" t="s">
        <v>9</v>
      </c>
      <c r="AD39" s="61" t="s">
        <v>9</v>
      </c>
      <c r="AE39" s="64" t="s">
        <v>9</v>
      </c>
      <c r="AF39" s="61" t="s">
        <v>9</v>
      </c>
      <c r="AG39" s="64" t="s">
        <v>9</v>
      </c>
      <c r="AH39" s="61" t="s">
        <v>9</v>
      </c>
      <c r="AI39" s="64" t="s">
        <v>9</v>
      </c>
      <c r="AJ39" s="61" t="s">
        <v>9</v>
      </c>
      <c r="AK39" s="64" t="s">
        <v>9</v>
      </c>
      <c r="AL39" s="61" t="s">
        <v>9</v>
      </c>
      <c r="AM39" s="64" t="s">
        <v>9</v>
      </c>
      <c r="AN39" s="61" t="s">
        <v>9</v>
      </c>
      <c r="AO39" s="64" t="s">
        <v>9</v>
      </c>
      <c r="AP39" s="61" t="s">
        <v>134</v>
      </c>
      <c r="AQ39" s="45" t="s">
        <v>1611</v>
      </c>
      <c r="AR39" s="61" t="s">
        <v>135</v>
      </c>
      <c r="AS39" s="45" t="s">
        <v>1611</v>
      </c>
      <c r="AT39" s="61" t="s">
        <v>1623</v>
      </c>
      <c r="AU39" s="45" t="s">
        <v>1624</v>
      </c>
    </row>
    <row r="40" spans="1:47" ht="6.75" customHeight="1" x14ac:dyDescent="0.4">
      <c r="A40" s="84">
        <v>40</v>
      </c>
      <c r="B40" s="80" t="s">
        <v>365</v>
      </c>
      <c r="C40" s="41" t="s">
        <v>1543</v>
      </c>
      <c r="D40" s="62" t="s">
        <v>9</v>
      </c>
      <c r="E40" s="68" t="s">
        <v>9</v>
      </c>
      <c r="F40" s="62" t="s">
        <v>9</v>
      </c>
      <c r="G40" s="68" t="s">
        <v>9</v>
      </c>
      <c r="H40" s="62" t="s">
        <v>9</v>
      </c>
      <c r="I40" s="68" t="s">
        <v>9</v>
      </c>
      <c r="J40" s="61" t="s">
        <v>86</v>
      </c>
      <c r="K40" s="45" t="s">
        <v>1607</v>
      </c>
      <c r="L40" s="61" t="s">
        <v>86</v>
      </c>
      <c r="M40" s="42" t="s">
        <v>361</v>
      </c>
      <c r="N40" s="61" t="s">
        <v>87</v>
      </c>
      <c r="O40" s="45">
        <v>9</v>
      </c>
      <c r="P40" s="61" t="s">
        <v>88</v>
      </c>
      <c r="Q40" s="39">
        <v>19</v>
      </c>
      <c r="R40" s="61" t="s">
        <v>89</v>
      </c>
      <c r="S40" s="39">
        <v>29</v>
      </c>
      <c r="T40" s="61" t="s">
        <v>362</v>
      </c>
      <c r="U40" s="43">
        <v>3.2</v>
      </c>
      <c r="V40" s="63" t="s">
        <v>96</v>
      </c>
      <c r="W40" s="64" t="s">
        <v>363</v>
      </c>
      <c r="X40" s="61" t="s">
        <v>1652</v>
      </c>
      <c r="Y40" s="64" t="s">
        <v>364</v>
      </c>
      <c r="Z40" s="61" t="s">
        <v>9</v>
      </c>
      <c r="AA40" s="64" t="s">
        <v>9</v>
      </c>
      <c r="AB40" s="61" t="s">
        <v>9</v>
      </c>
      <c r="AC40" s="64" t="s">
        <v>9</v>
      </c>
      <c r="AD40" s="61" t="s">
        <v>9</v>
      </c>
      <c r="AE40" s="64" t="s">
        <v>9</v>
      </c>
      <c r="AF40" s="61" t="s">
        <v>9</v>
      </c>
      <c r="AG40" s="64" t="s">
        <v>9</v>
      </c>
      <c r="AH40" s="61" t="s">
        <v>9</v>
      </c>
      <c r="AI40" s="64" t="s">
        <v>9</v>
      </c>
      <c r="AJ40" s="61" t="s">
        <v>9</v>
      </c>
      <c r="AK40" s="64" t="s">
        <v>9</v>
      </c>
      <c r="AL40" s="61" t="s">
        <v>9</v>
      </c>
      <c r="AM40" s="64" t="s">
        <v>9</v>
      </c>
      <c r="AN40" s="61" t="s">
        <v>9</v>
      </c>
      <c r="AO40" s="64" t="s">
        <v>9</v>
      </c>
      <c r="AP40" s="61" t="s">
        <v>134</v>
      </c>
      <c r="AQ40" s="45" t="s">
        <v>1611</v>
      </c>
      <c r="AR40" s="61" t="s">
        <v>135</v>
      </c>
      <c r="AS40" s="45" t="s">
        <v>1611</v>
      </c>
      <c r="AT40" s="61" t="s">
        <v>1623</v>
      </c>
      <c r="AU40" s="45" t="s">
        <v>1624</v>
      </c>
    </row>
    <row r="41" spans="1:47" ht="6.75" customHeight="1" x14ac:dyDescent="0.4">
      <c r="A41" s="84">
        <v>41</v>
      </c>
      <c r="B41" s="80" t="s">
        <v>366</v>
      </c>
      <c r="C41" s="41" t="s">
        <v>1543</v>
      </c>
      <c r="D41" s="62" t="s">
        <v>9</v>
      </c>
      <c r="E41" s="68" t="s">
        <v>9</v>
      </c>
      <c r="F41" s="62" t="s">
        <v>9</v>
      </c>
      <c r="G41" s="68" t="s">
        <v>9</v>
      </c>
      <c r="H41" s="62" t="s">
        <v>9</v>
      </c>
      <c r="I41" s="68" t="s">
        <v>9</v>
      </c>
      <c r="J41" s="61" t="s">
        <v>86</v>
      </c>
      <c r="K41" s="45" t="s">
        <v>1607</v>
      </c>
      <c r="L41" s="61" t="s">
        <v>86</v>
      </c>
      <c r="M41" s="42" t="s">
        <v>361</v>
      </c>
      <c r="N41" s="61" t="s">
        <v>87</v>
      </c>
      <c r="O41" s="45">
        <v>9</v>
      </c>
      <c r="P41" s="61" t="s">
        <v>88</v>
      </c>
      <c r="Q41" s="39">
        <v>19</v>
      </c>
      <c r="R41" s="61" t="s">
        <v>89</v>
      </c>
      <c r="S41" s="39">
        <v>39</v>
      </c>
      <c r="T41" s="61" t="s">
        <v>362</v>
      </c>
      <c r="U41" s="43">
        <v>4.5</v>
      </c>
      <c r="V41" s="63" t="s">
        <v>96</v>
      </c>
      <c r="W41" s="64" t="s">
        <v>363</v>
      </c>
      <c r="X41" s="61" t="s">
        <v>1652</v>
      </c>
      <c r="Y41" s="64" t="s">
        <v>364</v>
      </c>
      <c r="Z41" s="61" t="s">
        <v>9</v>
      </c>
      <c r="AA41" s="64" t="s">
        <v>9</v>
      </c>
      <c r="AB41" s="61" t="s">
        <v>9</v>
      </c>
      <c r="AC41" s="64" t="s">
        <v>9</v>
      </c>
      <c r="AD41" s="61" t="s">
        <v>9</v>
      </c>
      <c r="AE41" s="64" t="s">
        <v>9</v>
      </c>
      <c r="AF41" s="61" t="s">
        <v>9</v>
      </c>
      <c r="AG41" s="64" t="s">
        <v>9</v>
      </c>
      <c r="AH41" s="61" t="s">
        <v>9</v>
      </c>
      <c r="AI41" s="64" t="s">
        <v>9</v>
      </c>
      <c r="AJ41" s="61" t="s">
        <v>9</v>
      </c>
      <c r="AK41" s="64" t="s">
        <v>9</v>
      </c>
      <c r="AL41" s="61" t="s">
        <v>9</v>
      </c>
      <c r="AM41" s="64" t="s">
        <v>9</v>
      </c>
      <c r="AN41" s="61" t="s">
        <v>9</v>
      </c>
      <c r="AO41" s="64" t="s">
        <v>9</v>
      </c>
      <c r="AP41" s="61" t="s">
        <v>134</v>
      </c>
      <c r="AQ41" s="45" t="s">
        <v>1611</v>
      </c>
      <c r="AR41" s="61" t="s">
        <v>135</v>
      </c>
      <c r="AS41" s="45" t="s">
        <v>1611</v>
      </c>
      <c r="AT41" s="61" t="s">
        <v>1623</v>
      </c>
      <c r="AU41" s="45" t="s">
        <v>1624</v>
      </c>
    </row>
    <row r="42" spans="1:47" ht="6.75" customHeight="1" x14ac:dyDescent="0.4">
      <c r="A42" s="84">
        <v>42</v>
      </c>
      <c r="B42" s="80" t="s">
        <v>367</v>
      </c>
      <c r="C42" s="41" t="s">
        <v>1543</v>
      </c>
      <c r="D42" s="62" t="s">
        <v>9</v>
      </c>
      <c r="E42" s="68" t="s">
        <v>9</v>
      </c>
      <c r="F42" s="62" t="s">
        <v>9</v>
      </c>
      <c r="G42" s="68" t="s">
        <v>9</v>
      </c>
      <c r="H42" s="62" t="s">
        <v>9</v>
      </c>
      <c r="I42" s="68" t="s">
        <v>9</v>
      </c>
      <c r="J42" s="61" t="s">
        <v>86</v>
      </c>
      <c r="K42" s="45" t="s">
        <v>1607</v>
      </c>
      <c r="L42" s="61" t="s">
        <v>86</v>
      </c>
      <c r="M42" s="42" t="s">
        <v>368</v>
      </c>
      <c r="N42" s="61" t="s">
        <v>87</v>
      </c>
      <c r="O42" s="45">
        <v>11.5</v>
      </c>
      <c r="P42" s="61" t="s">
        <v>88</v>
      </c>
      <c r="Q42" s="39">
        <v>14</v>
      </c>
      <c r="R42" s="61" t="s">
        <v>89</v>
      </c>
      <c r="S42" s="39">
        <v>24</v>
      </c>
      <c r="T42" s="61" t="s">
        <v>362</v>
      </c>
      <c r="U42" s="43">
        <v>2.2999999999999998</v>
      </c>
      <c r="V42" s="63" t="s">
        <v>96</v>
      </c>
      <c r="W42" s="64" t="s">
        <v>363</v>
      </c>
      <c r="X42" s="61" t="s">
        <v>1652</v>
      </c>
      <c r="Y42" s="64" t="s">
        <v>364</v>
      </c>
      <c r="Z42" s="61" t="s">
        <v>9</v>
      </c>
      <c r="AA42" s="64" t="s">
        <v>9</v>
      </c>
      <c r="AB42" s="61" t="s">
        <v>9</v>
      </c>
      <c r="AC42" s="64" t="s">
        <v>9</v>
      </c>
      <c r="AD42" s="61" t="s">
        <v>9</v>
      </c>
      <c r="AE42" s="64" t="s">
        <v>9</v>
      </c>
      <c r="AF42" s="61" t="s">
        <v>9</v>
      </c>
      <c r="AG42" s="64" t="s">
        <v>9</v>
      </c>
      <c r="AH42" s="61" t="s">
        <v>9</v>
      </c>
      <c r="AI42" s="64" t="s">
        <v>9</v>
      </c>
      <c r="AJ42" s="61" t="s">
        <v>9</v>
      </c>
      <c r="AK42" s="64" t="s">
        <v>9</v>
      </c>
      <c r="AL42" s="61" t="s">
        <v>9</v>
      </c>
      <c r="AM42" s="64" t="s">
        <v>9</v>
      </c>
      <c r="AN42" s="61" t="s">
        <v>9</v>
      </c>
      <c r="AO42" s="64" t="s">
        <v>9</v>
      </c>
      <c r="AP42" s="61" t="s">
        <v>134</v>
      </c>
      <c r="AQ42" s="45" t="s">
        <v>1611</v>
      </c>
      <c r="AR42" s="61" t="s">
        <v>135</v>
      </c>
      <c r="AS42" s="45" t="s">
        <v>1611</v>
      </c>
      <c r="AT42" s="61" t="s">
        <v>1623</v>
      </c>
      <c r="AU42" s="45" t="s">
        <v>1624</v>
      </c>
    </row>
    <row r="43" spans="1:47" ht="6.75" customHeight="1" x14ac:dyDescent="0.4">
      <c r="A43" s="84">
        <v>43</v>
      </c>
      <c r="B43" s="80" t="s">
        <v>369</v>
      </c>
      <c r="C43" s="41" t="s">
        <v>1543</v>
      </c>
      <c r="D43" s="62" t="s">
        <v>9</v>
      </c>
      <c r="E43" s="68" t="s">
        <v>9</v>
      </c>
      <c r="F43" s="62" t="s">
        <v>9</v>
      </c>
      <c r="G43" s="68" t="s">
        <v>9</v>
      </c>
      <c r="H43" s="62" t="s">
        <v>9</v>
      </c>
      <c r="I43" s="68" t="s">
        <v>9</v>
      </c>
      <c r="J43" s="61" t="s">
        <v>86</v>
      </c>
      <c r="K43" s="45" t="s">
        <v>1607</v>
      </c>
      <c r="L43" s="61" t="s">
        <v>86</v>
      </c>
      <c r="M43" s="42" t="s">
        <v>368</v>
      </c>
      <c r="N43" s="61" t="s">
        <v>87</v>
      </c>
      <c r="O43" s="45">
        <v>11.5</v>
      </c>
      <c r="P43" s="61" t="s">
        <v>88</v>
      </c>
      <c r="Q43" s="39">
        <v>19</v>
      </c>
      <c r="R43" s="61" t="s">
        <v>89</v>
      </c>
      <c r="S43" s="39">
        <v>39</v>
      </c>
      <c r="T43" s="61" t="s">
        <v>362</v>
      </c>
      <c r="U43" s="43">
        <v>5.0999999999999996</v>
      </c>
      <c r="V43" s="63" t="s">
        <v>96</v>
      </c>
      <c r="W43" s="64" t="s">
        <v>363</v>
      </c>
      <c r="X43" s="61" t="s">
        <v>1652</v>
      </c>
      <c r="Y43" s="64" t="s">
        <v>364</v>
      </c>
      <c r="Z43" s="61" t="s">
        <v>9</v>
      </c>
      <c r="AA43" s="64" t="s">
        <v>9</v>
      </c>
      <c r="AB43" s="61" t="s">
        <v>9</v>
      </c>
      <c r="AC43" s="64" t="s">
        <v>9</v>
      </c>
      <c r="AD43" s="61" t="s">
        <v>9</v>
      </c>
      <c r="AE43" s="64" t="s">
        <v>9</v>
      </c>
      <c r="AF43" s="61" t="s">
        <v>9</v>
      </c>
      <c r="AG43" s="64" t="s">
        <v>9</v>
      </c>
      <c r="AH43" s="61" t="s">
        <v>9</v>
      </c>
      <c r="AI43" s="64" t="s">
        <v>9</v>
      </c>
      <c r="AJ43" s="61" t="s">
        <v>9</v>
      </c>
      <c r="AK43" s="64" t="s">
        <v>9</v>
      </c>
      <c r="AL43" s="61" t="s">
        <v>9</v>
      </c>
      <c r="AM43" s="64" t="s">
        <v>9</v>
      </c>
      <c r="AN43" s="61" t="s">
        <v>9</v>
      </c>
      <c r="AO43" s="64" t="s">
        <v>9</v>
      </c>
      <c r="AP43" s="61" t="s">
        <v>134</v>
      </c>
      <c r="AQ43" s="45" t="s">
        <v>1611</v>
      </c>
      <c r="AR43" s="61" t="s">
        <v>135</v>
      </c>
      <c r="AS43" s="45" t="s">
        <v>1611</v>
      </c>
      <c r="AT43" s="61" t="s">
        <v>1623</v>
      </c>
      <c r="AU43" s="45" t="s">
        <v>1624</v>
      </c>
    </row>
    <row r="44" spans="1:47" ht="6.75" customHeight="1" x14ac:dyDescent="0.4">
      <c r="A44" s="84">
        <v>44</v>
      </c>
      <c r="B44" s="80" t="s">
        <v>370</v>
      </c>
      <c r="C44" s="41" t="s">
        <v>1543</v>
      </c>
      <c r="D44" s="62" t="s">
        <v>9</v>
      </c>
      <c r="E44" s="68" t="s">
        <v>9</v>
      </c>
      <c r="F44" s="62" t="s">
        <v>9</v>
      </c>
      <c r="G44" s="68" t="s">
        <v>9</v>
      </c>
      <c r="H44" s="62" t="s">
        <v>9</v>
      </c>
      <c r="I44" s="68" t="s">
        <v>9</v>
      </c>
      <c r="J44" s="61" t="s">
        <v>86</v>
      </c>
      <c r="K44" s="45" t="s">
        <v>1607</v>
      </c>
      <c r="L44" s="61" t="s">
        <v>86</v>
      </c>
      <c r="M44" s="42" t="s">
        <v>371</v>
      </c>
      <c r="N44" s="61" t="s">
        <v>87</v>
      </c>
      <c r="O44" s="45">
        <v>14</v>
      </c>
      <c r="P44" s="61" t="s">
        <v>88</v>
      </c>
      <c r="Q44" s="39">
        <v>19</v>
      </c>
      <c r="R44" s="61" t="s">
        <v>89</v>
      </c>
      <c r="S44" s="39">
        <v>29</v>
      </c>
      <c r="T44" s="61" t="s">
        <v>362</v>
      </c>
      <c r="U44" s="43">
        <v>4.5</v>
      </c>
      <c r="V44" s="63" t="s">
        <v>96</v>
      </c>
      <c r="W44" s="64" t="s">
        <v>363</v>
      </c>
      <c r="X44" s="61" t="s">
        <v>1652</v>
      </c>
      <c r="Y44" s="64" t="s">
        <v>364</v>
      </c>
      <c r="Z44" s="61" t="s">
        <v>9</v>
      </c>
      <c r="AA44" s="64" t="s">
        <v>9</v>
      </c>
      <c r="AB44" s="61" t="s">
        <v>9</v>
      </c>
      <c r="AC44" s="64" t="s">
        <v>9</v>
      </c>
      <c r="AD44" s="61" t="s">
        <v>9</v>
      </c>
      <c r="AE44" s="64" t="s">
        <v>9</v>
      </c>
      <c r="AF44" s="61" t="s">
        <v>9</v>
      </c>
      <c r="AG44" s="64" t="s">
        <v>9</v>
      </c>
      <c r="AH44" s="61" t="s">
        <v>9</v>
      </c>
      <c r="AI44" s="64" t="s">
        <v>9</v>
      </c>
      <c r="AJ44" s="61" t="s">
        <v>9</v>
      </c>
      <c r="AK44" s="64" t="s">
        <v>9</v>
      </c>
      <c r="AL44" s="61" t="s">
        <v>9</v>
      </c>
      <c r="AM44" s="64" t="s">
        <v>9</v>
      </c>
      <c r="AN44" s="61" t="s">
        <v>9</v>
      </c>
      <c r="AO44" s="64" t="s">
        <v>9</v>
      </c>
      <c r="AP44" s="61" t="s">
        <v>134</v>
      </c>
      <c r="AQ44" s="45" t="s">
        <v>1611</v>
      </c>
      <c r="AR44" s="61" t="s">
        <v>135</v>
      </c>
      <c r="AS44" s="45" t="s">
        <v>1611</v>
      </c>
      <c r="AT44" s="61" t="s">
        <v>1623</v>
      </c>
      <c r="AU44" s="45" t="s">
        <v>1624</v>
      </c>
    </row>
    <row r="45" spans="1:47" ht="6.75" customHeight="1" x14ac:dyDescent="0.4">
      <c r="A45" s="84">
        <v>45</v>
      </c>
      <c r="B45" s="80" t="s">
        <v>372</v>
      </c>
      <c r="C45" s="41" t="s">
        <v>1543</v>
      </c>
      <c r="D45" s="62" t="s">
        <v>9</v>
      </c>
      <c r="E45" s="68" t="s">
        <v>9</v>
      </c>
      <c r="F45" s="62" t="s">
        <v>9</v>
      </c>
      <c r="G45" s="68" t="s">
        <v>9</v>
      </c>
      <c r="H45" s="62" t="s">
        <v>9</v>
      </c>
      <c r="I45" s="68" t="s">
        <v>9</v>
      </c>
      <c r="J45" s="61" t="s">
        <v>86</v>
      </c>
      <c r="K45" s="45" t="s">
        <v>1607</v>
      </c>
      <c r="L45" s="61" t="s">
        <v>86</v>
      </c>
      <c r="M45" s="42" t="s">
        <v>371</v>
      </c>
      <c r="N45" s="61" t="s">
        <v>87</v>
      </c>
      <c r="O45" s="45">
        <v>14</v>
      </c>
      <c r="P45" s="61" t="s">
        <v>88</v>
      </c>
      <c r="Q45" s="39">
        <v>19</v>
      </c>
      <c r="R45" s="61" t="s">
        <v>89</v>
      </c>
      <c r="S45" s="39">
        <v>39</v>
      </c>
      <c r="T45" s="61" t="s">
        <v>362</v>
      </c>
      <c r="U45" s="43">
        <v>6.4</v>
      </c>
      <c r="V45" s="63" t="s">
        <v>96</v>
      </c>
      <c r="W45" s="64" t="s">
        <v>363</v>
      </c>
      <c r="X45" s="61" t="s">
        <v>1652</v>
      </c>
      <c r="Y45" s="64" t="s">
        <v>364</v>
      </c>
      <c r="Z45" s="61" t="s">
        <v>9</v>
      </c>
      <c r="AA45" s="64" t="s">
        <v>9</v>
      </c>
      <c r="AB45" s="61" t="s">
        <v>9</v>
      </c>
      <c r="AC45" s="64" t="s">
        <v>9</v>
      </c>
      <c r="AD45" s="61" t="s">
        <v>9</v>
      </c>
      <c r="AE45" s="64" t="s">
        <v>9</v>
      </c>
      <c r="AF45" s="61" t="s">
        <v>9</v>
      </c>
      <c r="AG45" s="64" t="s">
        <v>9</v>
      </c>
      <c r="AH45" s="61" t="s">
        <v>9</v>
      </c>
      <c r="AI45" s="64" t="s">
        <v>9</v>
      </c>
      <c r="AJ45" s="61" t="s">
        <v>9</v>
      </c>
      <c r="AK45" s="64" t="s">
        <v>9</v>
      </c>
      <c r="AL45" s="61" t="s">
        <v>9</v>
      </c>
      <c r="AM45" s="64" t="s">
        <v>9</v>
      </c>
      <c r="AN45" s="61" t="s">
        <v>9</v>
      </c>
      <c r="AO45" s="64" t="s">
        <v>9</v>
      </c>
      <c r="AP45" s="61" t="s">
        <v>134</v>
      </c>
      <c r="AQ45" s="45" t="s">
        <v>1611</v>
      </c>
      <c r="AR45" s="61" t="s">
        <v>135</v>
      </c>
      <c r="AS45" s="45" t="s">
        <v>1611</v>
      </c>
      <c r="AT45" s="61" t="s">
        <v>1623</v>
      </c>
      <c r="AU45" s="45" t="s">
        <v>1624</v>
      </c>
    </row>
    <row r="46" spans="1:47" ht="6.75" customHeight="1" x14ac:dyDescent="0.4">
      <c r="A46" s="84">
        <v>46</v>
      </c>
      <c r="B46" s="80" t="s">
        <v>373</v>
      </c>
      <c r="C46" s="41" t="s">
        <v>1543</v>
      </c>
      <c r="D46" s="62" t="s">
        <v>9</v>
      </c>
      <c r="E46" s="68" t="s">
        <v>9</v>
      </c>
      <c r="F46" s="62" t="s">
        <v>9</v>
      </c>
      <c r="G46" s="68" t="s">
        <v>9</v>
      </c>
      <c r="H46" s="62" t="s">
        <v>9</v>
      </c>
      <c r="I46" s="68" t="s">
        <v>9</v>
      </c>
      <c r="J46" s="61" t="s">
        <v>86</v>
      </c>
      <c r="K46" s="45" t="s">
        <v>1607</v>
      </c>
      <c r="L46" s="61" t="s">
        <v>86</v>
      </c>
      <c r="M46" s="42" t="s">
        <v>374</v>
      </c>
      <c r="N46" s="61" t="s">
        <v>87</v>
      </c>
      <c r="O46" s="45">
        <v>19</v>
      </c>
      <c r="P46" s="61" t="s">
        <v>88</v>
      </c>
      <c r="Q46" s="39">
        <v>19</v>
      </c>
      <c r="R46" s="61" t="s">
        <v>89</v>
      </c>
      <c r="S46" s="39">
        <v>29</v>
      </c>
      <c r="T46" s="61" t="s">
        <v>362</v>
      </c>
      <c r="U46" s="43">
        <v>5.3</v>
      </c>
      <c r="V46" s="63" t="s">
        <v>96</v>
      </c>
      <c r="W46" s="64" t="s">
        <v>363</v>
      </c>
      <c r="X46" s="61" t="s">
        <v>1652</v>
      </c>
      <c r="Y46" s="64" t="s">
        <v>364</v>
      </c>
      <c r="Z46" s="61" t="s">
        <v>9</v>
      </c>
      <c r="AA46" s="64" t="s">
        <v>9</v>
      </c>
      <c r="AB46" s="61" t="s">
        <v>9</v>
      </c>
      <c r="AC46" s="64" t="s">
        <v>9</v>
      </c>
      <c r="AD46" s="61" t="s">
        <v>9</v>
      </c>
      <c r="AE46" s="64" t="s">
        <v>9</v>
      </c>
      <c r="AF46" s="61" t="s">
        <v>9</v>
      </c>
      <c r="AG46" s="64" t="s">
        <v>9</v>
      </c>
      <c r="AH46" s="61" t="s">
        <v>9</v>
      </c>
      <c r="AI46" s="64" t="s">
        <v>9</v>
      </c>
      <c r="AJ46" s="61" t="s">
        <v>9</v>
      </c>
      <c r="AK46" s="64" t="s">
        <v>9</v>
      </c>
      <c r="AL46" s="61" t="s">
        <v>9</v>
      </c>
      <c r="AM46" s="64" t="s">
        <v>9</v>
      </c>
      <c r="AN46" s="61" t="s">
        <v>9</v>
      </c>
      <c r="AO46" s="64" t="s">
        <v>9</v>
      </c>
      <c r="AP46" s="61" t="s">
        <v>134</v>
      </c>
      <c r="AQ46" s="45" t="s">
        <v>1611</v>
      </c>
      <c r="AR46" s="61" t="s">
        <v>135</v>
      </c>
      <c r="AS46" s="45" t="s">
        <v>1611</v>
      </c>
      <c r="AT46" s="61" t="s">
        <v>1623</v>
      </c>
      <c r="AU46" s="45" t="s">
        <v>1624</v>
      </c>
    </row>
    <row r="47" spans="1:47" ht="6.75" customHeight="1" x14ac:dyDescent="0.4">
      <c r="A47" s="84">
        <v>47</v>
      </c>
      <c r="B47" s="80" t="s">
        <v>375</v>
      </c>
      <c r="C47" s="41" t="s">
        <v>1543</v>
      </c>
      <c r="D47" s="62" t="s">
        <v>9</v>
      </c>
      <c r="E47" s="68" t="s">
        <v>9</v>
      </c>
      <c r="F47" s="62" t="s">
        <v>9</v>
      </c>
      <c r="G47" s="68" t="s">
        <v>9</v>
      </c>
      <c r="H47" s="62" t="s">
        <v>9</v>
      </c>
      <c r="I47" s="68" t="s">
        <v>9</v>
      </c>
      <c r="J47" s="61" t="s">
        <v>86</v>
      </c>
      <c r="K47" s="45" t="s">
        <v>1607</v>
      </c>
      <c r="L47" s="61" t="s">
        <v>86</v>
      </c>
      <c r="M47" s="42" t="s">
        <v>376</v>
      </c>
      <c r="N47" s="61" t="s">
        <v>87</v>
      </c>
      <c r="O47" s="45">
        <v>9</v>
      </c>
      <c r="P47" s="61" t="s">
        <v>88</v>
      </c>
      <c r="Q47" s="39">
        <v>19</v>
      </c>
      <c r="R47" s="61" t="s">
        <v>89</v>
      </c>
      <c r="S47" s="39">
        <v>19</v>
      </c>
      <c r="T47" s="61" t="s">
        <v>362</v>
      </c>
      <c r="U47" s="43">
        <v>3.3</v>
      </c>
      <c r="V47" s="63" t="s">
        <v>96</v>
      </c>
      <c r="W47" s="64" t="s">
        <v>363</v>
      </c>
      <c r="X47" s="61" t="s">
        <v>1652</v>
      </c>
      <c r="Y47" s="64" t="s">
        <v>377</v>
      </c>
      <c r="Z47" s="61" t="s">
        <v>9</v>
      </c>
      <c r="AA47" s="64" t="s">
        <v>9</v>
      </c>
      <c r="AB47" s="61" t="s">
        <v>9</v>
      </c>
      <c r="AC47" s="64" t="s">
        <v>9</v>
      </c>
      <c r="AD47" s="61" t="s">
        <v>9</v>
      </c>
      <c r="AE47" s="64" t="s">
        <v>9</v>
      </c>
      <c r="AF47" s="61" t="s">
        <v>9</v>
      </c>
      <c r="AG47" s="64" t="s">
        <v>9</v>
      </c>
      <c r="AH47" s="61" t="s">
        <v>9</v>
      </c>
      <c r="AI47" s="64" t="s">
        <v>9</v>
      </c>
      <c r="AJ47" s="61" t="s">
        <v>9</v>
      </c>
      <c r="AK47" s="64" t="s">
        <v>9</v>
      </c>
      <c r="AL47" s="61" t="s">
        <v>9</v>
      </c>
      <c r="AM47" s="64" t="s">
        <v>9</v>
      </c>
      <c r="AN47" s="61" t="s">
        <v>9</v>
      </c>
      <c r="AO47" s="64" t="s">
        <v>9</v>
      </c>
      <c r="AP47" s="61" t="s">
        <v>134</v>
      </c>
      <c r="AQ47" s="45" t="s">
        <v>1611</v>
      </c>
      <c r="AR47" s="61" t="s">
        <v>135</v>
      </c>
      <c r="AS47" s="45" t="s">
        <v>1611</v>
      </c>
      <c r="AT47" s="61" t="s">
        <v>1623</v>
      </c>
      <c r="AU47" s="45" t="s">
        <v>1624</v>
      </c>
    </row>
    <row r="48" spans="1:47" ht="6.75" customHeight="1" x14ac:dyDescent="0.4">
      <c r="A48" s="84">
        <v>48</v>
      </c>
      <c r="B48" s="80" t="s">
        <v>378</v>
      </c>
      <c r="C48" s="41" t="s">
        <v>1543</v>
      </c>
      <c r="D48" s="62" t="s">
        <v>9</v>
      </c>
      <c r="E48" s="68" t="s">
        <v>9</v>
      </c>
      <c r="F48" s="62" t="s">
        <v>9</v>
      </c>
      <c r="G48" s="68" t="s">
        <v>9</v>
      </c>
      <c r="H48" s="62" t="s">
        <v>9</v>
      </c>
      <c r="I48" s="68" t="s">
        <v>9</v>
      </c>
      <c r="J48" s="61" t="s">
        <v>86</v>
      </c>
      <c r="K48" s="45" t="s">
        <v>1607</v>
      </c>
      <c r="L48" s="61" t="s">
        <v>86</v>
      </c>
      <c r="M48" s="42" t="s">
        <v>376</v>
      </c>
      <c r="N48" s="61" t="s">
        <v>87</v>
      </c>
      <c r="O48" s="45">
        <v>9</v>
      </c>
      <c r="P48" s="61" t="s">
        <v>88</v>
      </c>
      <c r="Q48" s="39">
        <v>19</v>
      </c>
      <c r="R48" s="61" t="s">
        <v>89</v>
      </c>
      <c r="S48" s="39">
        <v>29</v>
      </c>
      <c r="T48" s="61" t="s">
        <v>362</v>
      </c>
      <c r="U48" s="43">
        <v>4.5</v>
      </c>
      <c r="V48" s="63" t="s">
        <v>96</v>
      </c>
      <c r="W48" s="64" t="s">
        <v>363</v>
      </c>
      <c r="X48" s="61" t="s">
        <v>1652</v>
      </c>
      <c r="Y48" s="64" t="s">
        <v>377</v>
      </c>
      <c r="Z48" s="61" t="s">
        <v>9</v>
      </c>
      <c r="AA48" s="64" t="s">
        <v>9</v>
      </c>
      <c r="AB48" s="61" t="s">
        <v>9</v>
      </c>
      <c r="AC48" s="64" t="s">
        <v>9</v>
      </c>
      <c r="AD48" s="61" t="s">
        <v>9</v>
      </c>
      <c r="AE48" s="64" t="s">
        <v>9</v>
      </c>
      <c r="AF48" s="61" t="s">
        <v>9</v>
      </c>
      <c r="AG48" s="64" t="s">
        <v>9</v>
      </c>
      <c r="AH48" s="61" t="s">
        <v>9</v>
      </c>
      <c r="AI48" s="64" t="s">
        <v>9</v>
      </c>
      <c r="AJ48" s="61" t="s">
        <v>9</v>
      </c>
      <c r="AK48" s="64" t="s">
        <v>9</v>
      </c>
      <c r="AL48" s="61" t="s">
        <v>9</v>
      </c>
      <c r="AM48" s="64" t="s">
        <v>9</v>
      </c>
      <c r="AN48" s="61" t="s">
        <v>9</v>
      </c>
      <c r="AO48" s="64" t="s">
        <v>9</v>
      </c>
      <c r="AP48" s="61" t="s">
        <v>134</v>
      </c>
      <c r="AQ48" s="45" t="s">
        <v>1611</v>
      </c>
      <c r="AR48" s="61" t="s">
        <v>135</v>
      </c>
      <c r="AS48" s="45" t="s">
        <v>1611</v>
      </c>
      <c r="AT48" s="61" t="s">
        <v>1623</v>
      </c>
      <c r="AU48" s="45" t="s">
        <v>1624</v>
      </c>
    </row>
    <row r="49" spans="1:47" ht="6.75" customHeight="1" x14ac:dyDescent="0.4">
      <c r="A49" s="84">
        <v>49</v>
      </c>
      <c r="B49" s="80" t="s">
        <v>379</v>
      </c>
      <c r="C49" s="41" t="s">
        <v>1543</v>
      </c>
      <c r="D49" s="62" t="s">
        <v>9</v>
      </c>
      <c r="E49" s="68" t="s">
        <v>9</v>
      </c>
      <c r="F49" s="62" t="s">
        <v>9</v>
      </c>
      <c r="G49" s="68" t="s">
        <v>9</v>
      </c>
      <c r="H49" s="62" t="s">
        <v>9</v>
      </c>
      <c r="I49" s="68" t="s">
        <v>9</v>
      </c>
      <c r="J49" s="61" t="s">
        <v>86</v>
      </c>
      <c r="K49" s="45" t="s">
        <v>1607</v>
      </c>
      <c r="L49" s="61" t="s">
        <v>86</v>
      </c>
      <c r="M49" s="42" t="s">
        <v>376</v>
      </c>
      <c r="N49" s="61" t="s">
        <v>87</v>
      </c>
      <c r="O49" s="45">
        <v>9</v>
      </c>
      <c r="P49" s="61" t="s">
        <v>88</v>
      </c>
      <c r="Q49" s="39">
        <v>19</v>
      </c>
      <c r="R49" s="61" t="s">
        <v>89</v>
      </c>
      <c r="S49" s="39">
        <v>39</v>
      </c>
      <c r="T49" s="61" t="s">
        <v>362</v>
      </c>
      <c r="U49" s="43">
        <v>5.3</v>
      </c>
      <c r="V49" s="63" t="s">
        <v>96</v>
      </c>
      <c r="W49" s="64" t="s">
        <v>363</v>
      </c>
      <c r="X49" s="61" t="s">
        <v>1652</v>
      </c>
      <c r="Y49" s="64" t="s">
        <v>377</v>
      </c>
      <c r="Z49" s="61" t="s">
        <v>9</v>
      </c>
      <c r="AA49" s="64" t="s">
        <v>9</v>
      </c>
      <c r="AB49" s="61" t="s">
        <v>9</v>
      </c>
      <c r="AC49" s="64" t="s">
        <v>9</v>
      </c>
      <c r="AD49" s="61" t="s">
        <v>9</v>
      </c>
      <c r="AE49" s="64" t="s">
        <v>9</v>
      </c>
      <c r="AF49" s="61" t="s">
        <v>9</v>
      </c>
      <c r="AG49" s="64" t="s">
        <v>9</v>
      </c>
      <c r="AH49" s="61" t="s">
        <v>9</v>
      </c>
      <c r="AI49" s="64" t="s">
        <v>9</v>
      </c>
      <c r="AJ49" s="61" t="s">
        <v>9</v>
      </c>
      <c r="AK49" s="64" t="s">
        <v>9</v>
      </c>
      <c r="AL49" s="61" t="s">
        <v>9</v>
      </c>
      <c r="AM49" s="64" t="s">
        <v>9</v>
      </c>
      <c r="AN49" s="61" t="s">
        <v>9</v>
      </c>
      <c r="AO49" s="64" t="s">
        <v>9</v>
      </c>
      <c r="AP49" s="61" t="s">
        <v>134</v>
      </c>
      <c r="AQ49" s="45" t="s">
        <v>1611</v>
      </c>
      <c r="AR49" s="61" t="s">
        <v>135</v>
      </c>
      <c r="AS49" s="45" t="s">
        <v>1611</v>
      </c>
      <c r="AT49" s="61" t="s">
        <v>1623</v>
      </c>
      <c r="AU49" s="45" t="s">
        <v>1624</v>
      </c>
    </row>
    <row r="50" spans="1:47" ht="6.75" customHeight="1" x14ac:dyDescent="0.4">
      <c r="A50" s="84">
        <v>50</v>
      </c>
      <c r="B50" s="80" t="s">
        <v>380</v>
      </c>
      <c r="C50" s="41" t="s">
        <v>1543</v>
      </c>
      <c r="D50" s="62" t="s">
        <v>9</v>
      </c>
      <c r="E50" s="68" t="s">
        <v>9</v>
      </c>
      <c r="F50" s="62" t="s">
        <v>9</v>
      </c>
      <c r="G50" s="68" t="s">
        <v>9</v>
      </c>
      <c r="H50" s="62" t="s">
        <v>9</v>
      </c>
      <c r="I50" s="68" t="s">
        <v>9</v>
      </c>
      <c r="J50" s="61" t="s">
        <v>86</v>
      </c>
      <c r="K50" s="45" t="s">
        <v>1607</v>
      </c>
      <c r="L50" s="61" t="s">
        <v>86</v>
      </c>
      <c r="M50" s="42" t="s">
        <v>381</v>
      </c>
      <c r="N50" s="61" t="s">
        <v>87</v>
      </c>
      <c r="O50" s="45">
        <v>11.5</v>
      </c>
      <c r="P50" s="61" t="s">
        <v>88</v>
      </c>
      <c r="Q50" s="39">
        <v>19</v>
      </c>
      <c r="R50" s="61" t="s">
        <v>89</v>
      </c>
      <c r="S50" s="39">
        <v>39</v>
      </c>
      <c r="T50" s="61" t="s">
        <v>362</v>
      </c>
      <c r="U50" s="43">
        <v>5.2</v>
      </c>
      <c r="V50" s="63" t="s">
        <v>96</v>
      </c>
      <c r="W50" s="64" t="s">
        <v>354</v>
      </c>
      <c r="X50" s="61" t="s">
        <v>1652</v>
      </c>
      <c r="Y50" s="64" t="s">
        <v>364</v>
      </c>
      <c r="Z50" s="61" t="s">
        <v>9</v>
      </c>
      <c r="AA50" s="64" t="s">
        <v>9</v>
      </c>
      <c r="AB50" s="61" t="s">
        <v>9</v>
      </c>
      <c r="AC50" s="64" t="s">
        <v>9</v>
      </c>
      <c r="AD50" s="61" t="s">
        <v>9</v>
      </c>
      <c r="AE50" s="64" t="s">
        <v>9</v>
      </c>
      <c r="AF50" s="61" t="s">
        <v>9</v>
      </c>
      <c r="AG50" s="64" t="s">
        <v>9</v>
      </c>
      <c r="AH50" s="61" t="s">
        <v>9</v>
      </c>
      <c r="AI50" s="64" t="s">
        <v>9</v>
      </c>
      <c r="AJ50" s="61" t="s">
        <v>9</v>
      </c>
      <c r="AK50" s="64" t="s">
        <v>9</v>
      </c>
      <c r="AL50" s="61" t="s">
        <v>9</v>
      </c>
      <c r="AM50" s="64" t="s">
        <v>9</v>
      </c>
      <c r="AN50" s="61" t="s">
        <v>9</v>
      </c>
      <c r="AO50" s="64" t="s">
        <v>9</v>
      </c>
      <c r="AP50" s="61" t="s">
        <v>134</v>
      </c>
      <c r="AQ50" s="45" t="s">
        <v>1611</v>
      </c>
      <c r="AR50" s="61" t="s">
        <v>135</v>
      </c>
      <c r="AS50" s="45" t="s">
        <v>1611</v>
      </c>
      <c r="AT50" s="61" t="s">
        <v>1623</v>
      </c>
      <c r="AU50" s="45" t="s">
        <v>1624</v>
      </c>
    </row>
    <row r="51" spans="1:47" ht="6.75" customHeight="1" x14ac:dyDescent="0.4">
      <c r="A51" s="84">
        <v>51</v>
      </c>
      <c r="B51" s="80" t="s">
        <v>382</v>
      </c>
      <c r="C51" s="41" t="s">
        <v>1543</v>
      </c>
      <c r="D51" s="62" t="s">
        <v>9</v>
      </c>
      <c r="E51" s="68" t="s">
        <v>9</v>
      </c>
      <c r="F51" s="62" t="s">
        <v>9</v>
      </c>
      <c r="G51" s="68" t="s">
        <v>9</v>
      </c>
      <c r="H51" s="62" t="s">
        <v>9</v>
      </c>
      <c r="I51" s="68" t="s">
        <v>9</v>
      </c>
      <c r="J51" s="61" t="s">
        <v>86</v>
      </c>
      <c r="K51" s="45" t="s">
        <v>1607</v>
      </c>
      <c r="L51" s="61" t="s">
        <v>86</v>
      </c>
      <c r="M51" s="42" t="s">
        <v>381</v>
      </c>
      <c r="N51" s="61" t="s">
        <v>87</v>
      </c>
      <c r="O51" s="45">
        <v>11.5</v>
      </c>
      <c r="P51" s="61" t="s">
        <v>88</v>
      </c>
      <c r="Q51" s="39">
        <v>19</v>
      </c>
      <c r="R51" s="61" t="s">
        <v>89</v>
      </c>
      <c r="S51" s="39">
        <v>14</v>
      </c>
      <c r="T51" s="61" t="s">
        <v>362</v>
      </c>
      <c r="U51" s="43">
        <v>2.6</v>
      </c>
      <c r="V51" s="63" t="s">
        <v>96</v>
      </c>
      <c r="W51" s="64" t="s">
        <v>354</v>
      </c>
      <c r="X51" s="61" t="s">
        <v>1652</v>
      </c>
      <c r="Y51" s="64" t="s">
        <v>364</v>
      </c>
      <c r="Z51" s="61" t="s">
        <v>9</v>
      </c>
      <c r="AA51" s="64" t="s">
        <v>9</v>
      </c>
      <c r="AB51" s="61" t="s">
        <v>9</v>
      </c>
      <c r="AC51" s="64" t="s">
        <v>9</v>
      </c>
      <c r="AD51" s="61" t="s">
        <v>9</v>
      </c>
      <c r="AE51" s="64" t="s">
        <v>9</v>
      </c>
      <c r="AF51" s="61" t="s">
        <v>9</v>
      </c>
      <c r="AG51" s="64" t="s">
        <v>9</v>
      </c>
      <c r="AH51" s="61" t="s">
        <v>9</v>
      </c>
      <c r="AI51" s="64" t="s">
        <v>9</v>
      </c>
      <c r="AJ51" s="61" t="s">
        <v>9</v>
      </c>
      <c r="AK51" s="64" t="s">
        <v>9</v>
      </c>
      <c r="AL51" s="61" t="s">
        <v>9</v>
      </c>
      <c r="AM51" s="64" t="s">
        <v>9</v>
      </c>
      <c r="AN51" s="61" t="s">
        <v>9</v>
      </c>
      <c r="AO51" s="64" t="s">
        <v>9</v>
      </c>
      <c r="AP51" s="61" t="s">
        <v>134</v>
      </c>
      <c r="AQ51" s="45" t="s">
        <v>1611</v>
      </c>
      <c r="AR51" s="61" t="s">
        <v>135</v>
      </c>
      <c r="AS51" s="45" t="s">
        <v>1611</v>
      </c>
      <c r="AT51" s="61" t="s">
        <v>1623</v>
      </c>
      <c r="AU51" s="45" t="s">
        <v>1624</v>
      </c>
    </row>
    <row r="52" spans="1:47" ht="6.75" customHeight="1" x14ac:dyDescent="0.4">
      <c r="A52" s="84">
        <v>52</v>
      </c>
      <c r="B52" s="80" t="s">
        <v>383</v>
      </c>
      <c r="C52" s="41" t="s">
        <v>1543</v>
      </c>
      <c r="D52" s="62" t="s">
        <v>9</v>
      </c>
      <c r="E52" s="68" t="s">
        <v>9</v>
      </c>
      <c r="F52" s="62" t="s">
        <v>9</v>
      </c>
      <c r="G52" s="68" t="s">
        <v>9</v>
      </c>
      <c r="H52" s="62" t="s">
        <v>9</v>
      </c>
      <c r="I52" s="68" t="s">
        <v>9</v>
      </c>
      <c r="J52" s="61" t="s">
        <v>86</v>
      </c>
      <c r="K52" s="45" t="s">
        <v>1607</v>
      </c>
      <c r="L52" s="61" t="s">
        <v>86</v>
      </c>
      <c r="M52" s="42" t="s">
        <v>381</v>
      </c>
      <c r="N52" s="61" t="s">
        <v>87</v>
      </c>
      <c r="O52" s="45">
        <v>11.5</v>
      </c>
      <c r="P52" s="61" t="s">
        <v>88</v>
      </c>
      <c r="Q52" s="39">
        <v>19</v>
      </c>
      <c r="R52" s="61" t="s">
        <v>89</v>
      </c>
      <c r="S52" s="39">
        <v>39</v>
      </c>
      <c r="T52" s="61" t="s">
        <v>362</v>
      </c>
      <c r="U52" s="43">
        <v>6.5</v>
      </c>
      <c r="V52" s="63" t="s">
        <v>96</v>
      </c>
      <c r="W52" s="64" t="s">
        <v>354</v>
      </c>
      <c r="X52" s="61" t="s">
        <v>1652</v>
      </c>
      <c r="Y52" s="64" t="s">
        <v>364</v>
      </c>
      <c r="Z52" s="61" t="s">
        <v>9</v>
      </c>
      <c r="AA52" s="64" t="s">
        <v>9</v>
      </c>
      <c r="AB52" s="61" t="s">
        <v>9</v>
      </c>
      <c r="AC52" s="64" t="s">
        <v>9</v>
      </c>
      <c r="AD52" s="61" t="s">
        <v>9</v>
      </c>
      <c r="AE52" s="64" t="s">
        <v>9</v>
      </c>
      <c r="AF52" s="61" t="s">
        <v>9</v>
      </c>
      <c r="AG52" s="64" t="s">
        <v>9</v>
      </c>
      <c r="AH52" s="61" t="s">
        <v>9</v>
      </c>
      <c r="AI52" s="64" t="s">
        <v>9</v>
      </c>
      <c r="AJ52" s="61" t="s">
        <v>9</v>
      </c>
      <c r="AK52" s="64" t="s">
        <v>9</v>
      </c>
      <c r="AL52" s="61" t="s">
        <v>9</v>
      </c>
      <c r="AM52" s="64" t="s">
        <v>9</v>
      </c>
      <c r="AN52" s="61" t="s">
        <v>9</v>
      </c>
      <c r="AO52" s="64" t="s">
        <v>9</v>
      </c>
      <c r="AP52" s="61" t="s">
        <v>134</v>
      </c>
      <c r="AQ52" s="45" t="s">
        <v>1611</v>
      </c>
      <c r="AR52" s="61" t="s">
        <v>135</v>
      </c>
      <c r="AS52" s="45" t="s">
        <v>1611</v>
      </c>
      <c r="AT52" s="61" t="s">
        <v>1623</v>
      </c>
      <c r="AU52" s="45" t="s">
        <v>1624</v>
      </c>
    </row>
    <row r="53" spans="1:47" ht="6.75" customHeight="1" x14ac:dyDescent="0.4">
      <c r="A53" s="84">
        <v>53</v>
      </c>
      <c r="B53" s="80" t="s">
        <v>384</v>
      </c>
      <c r="C53" s="41" t="s">
        <v>1543</v>
      </c>
      <c r="D53" s="62" t="s">
        <v>9</v>
      </c>
      <c r="E53" s="68" t="s">
        <v>9</v>
      </c>
      <c r="F53" s="62" t="s">
        <v>9</v>
      </c>
      <c r="G53" s="68" t="s">
        <v>9</v>
      </c>
      <c r="H53" s="62" t="s">
        <v>9</v>
      </c>
      <c r="I53" s="68" t="s">
        <v>9</v>
      </c>
      <c r="J53" s="61" t="s">
        <v>86</v>
      </c>
      <c r="K53" s="45" t="s">
        <v>1607</v>
      </c>
      <c r="L53" s="61" t="s">
        <v>86</v>
      </c>
      <c r="M53" s="42" t="s">
        <v>381</v>
      </c>
      <c r="N53" s="61" t="s">
        <v>87</v>
      </c>
      <c r="O53" s="45">
        <v>11.5</v>
      </c>
      <c r="P53" s="61" t="s">
        <v>88</v>
      </c>
      <c r="Q53" s="39">
        <v>19</v>
      </c>
      <c r="R53" s="61" t="s">
        <v>89</v>
      </c>
      <c r="S53" s="39">
        <v>19</v>
      </c>
      <c r="T53" s="61" t="s">
        <v>362</v>
      </c>
      <c r="U53" s="43">
        <v>3.6</v>
      </c>
      <c r="V53" s="63" t="s">
        <v>96</v>
      </c>
      <c r="W53" s="64" t="s">
        <v>354</v>
      </c>
      <c r="X53" s="61" t="s">
        <v>1652</v>
      </c>
      <c r="Y53" s="64" t="s">
        <v>364</v>
      </c>
      <c r="Z53" s="61" t="s">
        <v>9</v>
      </c>
      <c r="AA53" s="64" t="s">
        <v>9</v>
      </c>
      <c r="AB53" s="61" t="s">
        <v>9</v>
      </c>
      <c r="AC53" s="64" t="s">
        <v>9</v>
      </c>
      <c r="AD53" s="61" t="s">
        <v>9</v>
      </c>
      <c r="AE53" s="64" t="s">
        <v>9</v>
      </c>
      <c r="AF53" s="61" t="s">
        <v>9</v>
      </c>
      <c r="AG53" s="64" t="s">
        <v>9</v>
      </c>
      <c r="AH53" s="61" t="s">
        <v>9</v>
      </c>
      <c r="AI53" s="64" t="s">
        <v>9</v>
      </c>
      <c r="AJ53" s="61" t="s">
        <v>9</v>
      </c>
      <c r="AK53" s="64" t="s">
        <v>9</v>
      </c>
      <c r="AL53" s="61" t="s">
        <v>9</v>
      </c>
      <c r="AM53" s="64" t="s">
        <v>9</v>
      </c>
      <c r="AN53" s="61" t="s">
        <v>9</v>
      </c>
      <c r="AO53" s="64" t="s">
        <v>9</v>
      </c>
      <c r="AP53" s="61" t="s">
        <v>134</v>
      </c>
      <c r="AQ53" s="45" t="s">
        <v>1611</v>
      </c>
      <c r="AR53" s="61" t="s">
        <v>135</v>
      </c>
      <c r="AS53" s="45" t="s">
        <v>1611</v>
      </c>
      <c r="AT53" s="61" t="s">
        <v>1623</v>
      </c>
      <c r="AU53" s="45" t="s">
        <v>1624</v>
      </c>
    </row>
    <row r="54" spans="1:47" ht="6.75" customHeight="1" x14ac:dyDescent="0.4">
      <c r="A54" s="84">
        <v>54</v>
      </c>
      <c r="B54" s="80" t="s">
        <v>385</v>
      </c>
      <c r="C54" s="41" t="s">
        <v>1543</v>
      </c>
      <c r="D54" s="62" t="s">
        <v>9</v>
      </c>
      <c r="E54" s="68" t="s">
        <v>9</v>
      </c>
      <c r="F54" s="62" t="s">
        <v>9</v>
      </c>
      <c r="G54" s="68" t="s">
        <v>9</v>
      </c>
      <c r="H54" s="62" t="s">
        <v>9</v>
      </c>
      <c r="I54" s="68" t="s">
        <v>9</v>
      </c>
      <c r="J54" s="61" t="s">
        <v>86</v>
      </c>
      <c r="K54" s="45" t="s">
        <v>1607</v>
      </c>
      <c r="L54" s="61" t="s">
        <v>86</v>
      </c>
      <c r="M54" s="42" t="s">
        <v>386</v>
      </c>
      <c r="N54" s="61" t="s">
        <v>87</v>
      </c>
      <c r="O54" s="45">
        <v>14</v>
      </c>
      <c r="P54" s="61" t="s">
        <v>88</v>
      </c>
      <c r="Q54" s="39">
        <v>19</v>
      </c>
      <c r="R54" s="61" t="s">
        <v>89</v>
      </c>
      <c r="S54" s="39">
        <v>29</v>
      </c>
      <c r="T54" s="61" t="s">
        <v>362</v>
      </c>
      <c r="U54" s="43">
        <v>5.7</v>
      </c>
      <c r="V54" s="63" t="s">
        <v>96</v>
      </c>
      <c r="W54" s="64" t="s">
        <v>354</v>
      </c>
      <c r="X54" s="61" t="s">
        <v>1652</v>
      </c>
      <c r="Y54" s="64" t="s">
        <v>364</v>
      </c>
      <c r="Z54" s="61" t="s">
        <v>9</v>
      </c>
      <c r="AA54" s="64" t="s">
        <v>9</v>
      </c>
      <c r="AB54" s="61" t="s">
        <v>9</v>
      </c>
      <c r="AC54" s="64" t="s">
        <v>9</v>
      </c>
      <c r="AD54" s="61" t="s">
        <v>9</v>
      </c>
      <c r="AE54" s="64" t="s">
        <v>9</v>
      </c>
      <c r="AF54" s="61" t="s">
        <v>9</v>
      </c>
      <c r="AG54" s="64" t="s">
        <v>9</v>
      </c>
      <c r="AH54" s="61" t="s">
        <v>9</v>
      </c>
      <c r="AI54" s="64" t="s">
        <v>9</v>
      </c>
      <c r="AJ54" s="61" t="s">
        <v>9</v>
      </c>
      <c r="AK54" s="64" t="s">
        <v>9</v>
      </c>
      <c r="AL54" s="61" t="s">
        <v>9</v>
      </c>
      <c r="AM54" s="64" t="s">
        <v>9</v>
      </c>
      <c r="AN54" s="61" t="s">
        <v>9</v>
      </c>
      <c r="AO54" s="64" t="s">
        <v>9</v>
      </c>
      <c r="AP54" s="61" t="s">
        <v>134</v>
      </c>
      <c r="AQ54" s="45" t="s">
        <v>1611</v>
      </c>
      <c r="AR54" s="61" t="s">
        <v>135</v>
      </c>
      <c r="AS54" s="45" t="s">
        <v>1611</v>
      </c>
      <c r="AT54" s="61" t="s">
        <v>1623</v>
      </c>
      <c r="AU54" s="45" t="s">
        <v>1624</v>
      </c>
    </row>
    <row r="55" spans="1:47" ht="6.75" customHeight="1" x14ac:dyDescent="0.4">
      <c r="A55" s="84">
        <v>55</v>
      </c>
      <c r="B55" s="80" t="s">
        <v>387</v>
      </c>
      <c r="C55" s="41" t="s">
        <v>1543</v>
      </c>
      <c r="D55" s="62" t="s">
        <v>9</v>
      </c>
      <c r="E55" s="68" t="s">
        <v>9</v>
      </c>
      <c r="F55" s="62" t="s">
        <v>9</v>
      </c>
      <c r="G55" s="68" t="s">
        <v>9</v>
      </c>
      <c r="H55" s="62" t="s">
        <v>9</v>
      </c>
      <c r="I55" s="68" t="s">
        <v>9</v>
      </c>
      <c r="J55" s="61" t="s">
        <v>86</v>
      </c>
      <c r="K55" s="45" t="s">
        <v>1607</v>
      </c>
      <c r="L55" s="61" t="s">
        <v>86</v>
      </c>
      <c r="M55" s="42" t="s">
        <v>386</v>
      </c>
      <c r="N55" s="61" t="s">
        <v>87</v>
      </c>
      <c r="O55" s="45">
        <v>14</v>
      </c>
      <c r="P55" s="61" t="s">
        <v>88</v>
      </c>
      <c r="Q55" s="39">
        <v>19</v>
      </c>
      <c r="R55" s="61" t="s">
        <v>89</v>
      </c>
      <c r="S55" s="39">
        <v>14</v>
      </c>
      <c r="T55" s="61" t="s">
        <v>362</v>
      </c>
      <c r="U55" s="43">
        <v>3.1</v>
      </c>
      <c r="V55" s="63" t="s">
        <v>96</v>
      </c>
      <c r="W55" s="64" t="s">
        <v>354</v>
      </c>
      <c r="X55" s="61" t="s">
        <v>1652</v>
      </c>
      <c r="Y55" s="64" t="s">
        <v>364</v>
      </c>
      <c r="Z55" s="61" t="s">
        <v>9</v>
      </c>
      <c r="AA55" s="64" t="s">
        <v>9</v>
      </c>
      <c r="AB55" s="61" t="s">
        <v>9</v>
      </c>
      <c r="AC55" s="64" t="s">
        <v>9</v>
      </c>
      <c r="AD55" s="61" t="s">
        <v>9</v>
      </c>
      <c r="AE55" s="64" t="s">
        <v>9</v>
      </c>
      <c r="AF55" s="61" t="s">
        <v>9</v>
      </c>
      <c r="AG55" s="64" t="s">
        <v>9</v>
      </c>
      <c r="AH55" s="61" t="s">
        <v>9</v>
      </c>
      <c r="AI55" s="64" t="s">
        <v>9</v>
      </c>
      <c r="AJ55" s="61" t="s">
        <v>9</v>
      </c>
      <c r="AK55" s="64" t="s">
        <v>9</v>
      </c>
      <c r="AL55" s="61" t="s">
        <v>9</v>
      </c>
      <c r="AM55" s="64" t="s">
        <v>9</v>
      </c>
      <c r="AN55" s="61" t="s">
        <v>9</v>
      </c>
      <c r="AO55" s="64" t="s">
        <v>9</v>
      </c>
      <c r="AP55" s="61" t="s">
        <v>134</v>
      </c>
      <c r="AQ55" s="45" t="s">
        <v>1611</v>
      </c>
      <c r="AR55" s="61" t="s">
        <v>135</v>
      </c>
      <c r="AS55" s="45" t="s">
        <v>1611</v>
      </c>
      <c r="AT55" s="61" t="s">
        <v>1623</v>
      </c>
      <c r="AU55" s="45" t="s">
        <v>1624</v>
      </c>
    </row>
    <row r="56" spans="1:47" ht="6.75" customHeight="1" x14ac:dyDescent="0.4">
      <c r="A56" s="84">
        <v>56</v>
      </c>
      <c r="B56" s="80" t="s">
        <v>388</v>
      </c>
      <c r="C56" s="41" t="s">
        <v>1543</v>
      </c>
      <c r="D56" s="62" t="s">
        <v>9</v>
      </c>
      <c r="E56" s="68" t="s">
        <v>9</v>
      </c>
      <c r="F56" s="62" t="s">
        <v>9</v>
      </c>
      <c r="G56" s="68" t="s">
        <v>9</v>
      </c>
      <c r="H56" s="62" t="s">
        <v>9</v>
      </c>
      <c r="I56" s="68" t="s">
        <v>9</v>
      </c>
      <c r="J56" s="61" t="s">
        <v>86</v>
      </c>
      <c r="K56" s="45" t="s">
        <v>1607</v>
      </c>
      <c r="L56" s="61" t="s">
        <v>86</v>
      </c>
      <c r="M56" s="42" t="s">
        <v>386</v>
      </c>
      <c r="N56" s="61" t="s">
        <v>87</v>
      </c>
      <c r="O56" s="45">
        <v>14</v>
      </c>
      <c r="P56" s="61" t="s">
        <v>88</v>
      </c>
      <c r="Q56" s="39">
        <v>19</v>
      </c>
      <c r="R56" s="61" t="s">
        <v>89</v>
      </c>
      <c r="S56" s="39">
        <v>39</v>
      </c>
      <c r="T56" s="61" t="s">
        <v>362</v>
      </c>
      <c r="U56" s="43">
        <v>6.7</v>
      </c>
      <c r="V56" s="63" t="s">
        <v>96</v>
      </c>
      <c r="W56" s="64" t="s">
        <v>354</v>
      </c>
      <c r="X56" s="61" t="s">
        <v>1652</v>
      </c>
      <c r="Y56" s="64" t="s">
        <v>364</v>
      </c>
      <c r="Z56" s="61" t="s">
        <v>9</v>
      </c>
      <c r="AA56" s="64" t="s">
        <v>9</v>
      </c>
      <c r="AB56" s="61" t="s">
        <v>9</v>
      </c>
      <c r="AC56" s="64" t="s">
        <v>9</v>
      </c>
      <c r="AD56" s="61" t="s">
        <v>9</v>
      </c>
      <c r="AE56" s="64" t="s">
        <v>9</v>
      </c>
      <c r="AF56" s="61" t="s">
        <v>9</v>
      </c>
      <c r="AG56" s="64" t="s">
        <v>9</v>
      </c>
      <c r="AH56" s="61" t="s">
        <v>9</v>
      </c>
      <c r="AI56" s="64" t="s">
        <v>9</v>
      </c>
      <c r="AJ56" s="61" t="s">
        <v>9</v>
      </c>
      <c r="AK56" s="64" t="s">
        <v>9</v>
      </c>
      <c r="AL56" s="61" t="s">
        <v>9</v>
      </c>
      <c r="AM56" s="64" t="s">
        <v>9</v>
      </c>
      <c r="AN56" s="61" t="s">
        <v>9</v>
      </c>
      <c r="AO56" s="64" t="s">
        <v>9</v>
      </c>
      <c r="AP56" s="61" t="s">
        <v>134</v>
      </c>
      <c r="AQ56" s="45" t="s">
        <v>1611</v>
      </c>
      <c r="AR56" s="61" t="s">
        <v>135</v>
      </c>
      <c r="AS56" s="45" t="s">
        <v>1611</v>
      </c>
      <c r="AT56" s="61" t="s">
        <v>1623</v>
      </c>
      <c r="AU56" s="45" t="s">
        <v>1624</v>
      </c>
    </row>
    <row r="57" spans="1:47" ht="6.75" customHeight="1" x14ac:dyDescent="0.4">
      <c r="A57" s="84">
        <v>57</v>
      </c>
      <c r="B57" s="80" t="s">
        <v>389</v>
      </c>
      <c r="C57" s="41" t="s">
        <v>1543</v>
      </c>
      <c r="D57" s="62" t="s">
        <v>9</v>
      </c>
      <c r="E57" s="68" t="s">
        <v>9</v>
      </c>
      <c r="F57" s="62" t="s">
        <v>9</v>
      </c>
      <c r="G57" s="68" t="s">
        <v>9</v>
      </c>
      <c r="H57" s="62" t="s">
        <v>9</v>
      </c>
      <c r="I57" s="68" t="s">
        <v>9</v>
      </c>
      <c r="J57" s="61" t="s">
        <v>86</v>
      </c>
      <c r="K57" s="45" t="s">
        <v>1607</v>
      </c>
      <c r="L57" s="61" t="s">
        <v>86</v>
      </c>
      <c r="M57" s="42" t="s">
        <v>386</v>
      </c>
      <c r="N57" s="61" t="s">
        <v>87</v>
      </c>
      <c r="O57" s="45">
        <v>14</v>
      </c>
      <c r="P57" s="61" t="s">
        <v>88</v>
      </c>
      <c r="Q57" s="39">
        <v>19</v>
      </c>
      <c r="R57" s="61" t="s">
        <v>89</v>
      </c>
      <c r="S57" s="39">
        <v>19</v>
      </c>
      <c r="T57" s="61" t="s">
        <v>362</v>
      </c>
      <c r="U57" s="43">
        <v>4.7</v>
      </c>
      <c r="V57" s="63" t="s">
        <v>96</v>
      </c>
      <c r="W57" s="64" t="s">
        <v>354</v>
      </c>
      <c r="X57" s="61" t="s">
        <v>1652</v>
      </c>
      <c r="Y57" s="64" t="s">
        <v>364</v>
      </c>
      <c r="Z57" s="61" t="s">
        <v>9</v>
      </c>
      <c r="AA57" s="64" t="s">
        <v>9</v>
      </c>
      <c r="AB57" s="61" t="s">
        <v>9</v>
      </c>
      <c r="AC57" s="64" t="s">
        <v>9</v>
      </c>
      <c r="AD57" s="61" t="s">
        <v>9</v>
      </c>
      <c r="AE57" s="64" t="s">
        <v>9</v>
      </c>
      <c r="AF57" s="61" t="s">
        <v>9</v>
      </c>
      <c r="AG57" s="64" t="s">
        <v>9</v>
      </c>
      <c r="AH57" s="61" t="s">
        <v>9</v>
      </c>
      <c r="AI57" s="64" t="s">
        <v>9</v>
      </c>
      <c r="AJ57" s="61" t="s">
        <v>9</v>
      </c>
      <c r="AK57" s="64" t="s">
        <v>9</v>
      </c>
      <c r="AL57" s="61" t="s">
        <v>9</v>
      </c>
      <c r="AM57" s="64" t="s">
        <v>9</v>
      </c>
      <c r="AN57" s="61" t="s">
        <v>9</v>
      </c>
      <c r="AO57" s="64" t="s">
        <v>9</v>
      </c>
      <c r="AP57" s="61" t="s">
        <v>134</v>
      </c>
      <c r="AQ57" s="45" t="s">
        <v>1611</v>
      </c>
      <c r="AR57" s="61" t="s">
        <v>135</v>
      </c>
      <c r="AS57" s="45" t="s">
        <v>1611</v>
      </c>
      <c r="AT57" s="61" t="s">
        <v>1623</v>
      </c>
      <c r="AU57" s="45" t="s">
        <v>1624</v>
      </c>
    </row>
    <row r="58" spans="1:47" ht="6.75" customHeight="1" x14ac:dyDescent="0.4">
      <c r="A58" s="84">
        <v>58</v>
      </c>
      <c r="B58" s="80" t="s">
        <v>390</v>
      </c>
      <c r="C58" s="41" t="s">
        <v>1543</v>
      </c>
      <c r="D58" s="62" t="s">
        <v>9</v>
      </c>
      <c r="E58" s="68" t="s">
        <v>9</v>
      </c>
      <c r="F58" s="62" t="s">
        <v>9</v>
      </c>
      <c r="G58" s="68" t="s">
        <v>9</v>
      </c>
      <c r="H58" s="62" t="s">
        <v>9</v>
      </c>
      <c r="I58" s="68" t="s">
        <v>9</v>
      </c>
      <c r="J58" s="61" t="s">
        <v>86</v>
      </c>
      <c r="K58" s="45" t="s">
        <v>1607</v>
      </c>
      <c r="L58" s="61" t="s">
        <v>86</v>
      </c>
      <c r="M58" s="42" t="s">
        <v>391</v>
      </c>
      <c r="N58" s="61" t="s">
        <v>87</v>
      </c>
      <c r="O58" s="45">
        <v>19</v>
      </c>
      <c r="P58" s="61" t="s">
        <v>88</v>
      </c>
      <c r="Q58" s="39">
        <v>19</v>
      </c>
      <c r="R58" s="61" t="s">
        <v>89</v>
      </c>
      <c r="S58" s="39">
        <v>29</v>
      </c>
      <c r="T58" s="61" t="s">
        <v>362</v>
      </c>
      <c r="U58" s="43">
        <v>7.3</v>
      </c>
      <c r="V58" s="63" t="s">
        <v>96</v>
      </c>
      <c r="W58" s="64" t="s">
        <v>354</v>
      </c>
      <c r="X58" s="61" t="s">
        <v>1652</v>
      </c>
      <c r="Y58" s="64" t="s">
        <v>364</v>
      </c>
      <c r="Z58" s="61" t="s">
        <v>9</v>
      </c>
      <c r="AA58" s="64" t="s">
        <v>9</v>
      </c>
      <c r="AB58" s="61" t="s">
        <v>9</v>
      </c>
      <c r="AC58" s="64" t="s">
        <v>9</v>
      </c>
      <c r="AD58" s="61" t="s">
        <v>9</v>
      </c>
      <c r="AE58" s="64" t="s">
        <v>9</v>
      </c>
      <c r="AF58" s="61" t="s">
        <v>9</v>
      </c>
      <c r="AG58" s="64" t="s">
        <v>9</v>
      </c>
      <c r="AH58" s="61" t="s">
        <v>9</v>
      </c>
      <c r="AI58" s="64" t="s">
        <v>9</v>
      </c>
      <c r="AJ58" s="61" t="s">
        <v>9</v>
      </c>
      <c r="AK58" s="64" t="s">
        <v>9</v>
      </c>
      <c r="AL58" s="61" t="s">
        <v>9</v>
      </c>
      <c r="AM58" s="64" t="s">
        <v>9</v>
      </c>
      <c r="AN58" s="61" t="s">
        <v>9</v>
      </c>
      <c r="AO58" s="64" t="s">
        <v>9</v>
      </c>
      <c r="AP58" s="61" t="s">
        <v>134</v>
      </c>
      <c r="AQ58" s="45" t="s">
        <v>1611</v>
      </c>
      <c r="AR58" s="61" t="s">
        <v>135</v>
      </c>
      <c r="AS58" s="45" t="s">
        <v>1611</v>
      </c>
      <c r="AT58" s="61" t="s">
        <v>1623</v>
      </c>
      <c r="AU58" s="45" t="s">
        <v>1624</v>
      </c>
    </row>
    <row r="59" spans="1:47" ht="6.75" customHeight="1" x14ac:dyDescent="0.4">
      <c r="A59" s="84">
        <v>59</v>
      </c>
      <c r="B59" s="80" t="s">
        <v>392</v>
      </c>
      <c r="C59" s="41" t="s">
        <v>1543</v>
      </c>
      <c r="D59" s="62" t="s">
        <v>9</v>
      </c>
      <c r="E59" s="68" t="s">
        <v>9</v>
      </c>
      <c r="F59" s="62" t="s">
        <v>9</v>
      </c>
      <c r="G59" s="68" t="s">
        <v>9</v>
      </c>
      <c r="H59" s="62" t="s">
        <v>9</v>
      </c>
      <c r="I59" s="68" t="s">
        <v>9</v>
      </c>
      <c r="J59" s="61" t="s">
        <v>86</v>
      </c>
      <c r="K59" s="45" t="s">
        <v>1607</v>
      </c>
      <c r="L59" s="61" t="s">
        <v>86</v>
      </c>
      <c r="M59" s="42" t="s">
        <v>391</v>
      </c>
      <c r="N59" s="61" t="s">
        <v>87</v>
      </c>
      <c r="O59" s="45">
        <v>19</v>
      </c>
      <c r="P59" s="61" t="s">
        <v>88</v>
      </c>
      <c r="Q59" s="39">
        <v>19</v>
      </c>
      <c r="R59" s="61" t="s">
        <v>89</v>
      </c>
      <c r="S59" s="39">
        <v>14</v>
      </c>
      <c r="T59" s="61" t="s">
        <v>362</v>
      </c>
      <c r="U59" s="43">
        <v>4.3</v>
      </c>
      <c r="V59" s="63" t="s">
        <v>96</v>
      </c>
      <c r="W59" s="64" t="s">
        <v>354</v>
      </c>
      <c r="X59" s="61" t="s">
        <v>1652</v>
      </c>
      <c r="Y59" s="64" t="s">
        <v>364</v>
      </c>
      <c r="Z59" s="61" t="s">
        <v>9</v>
      </c>
      <c r="AA59" s="64" t="s">
        <v>9</v>
      </c>
      <c r="AB59" s="61" t="s">
        <v>9</v>
      </c>
      <c r="AC59" s="64" t="s">
        <v>9</v>
      </c>
      <c r="AD59" s="61" t="s">
        <v>9</v>
      </c>
      <c r="AE59" s="64" t="s">
        <v>9</v>
      </c>
      <c r="AF59" s="61" t="s">
        <v>9</v>
      </c>
      <c r="AG59" s="64" t="s">
        <v>9</v>
      </c>
      <c r="AH59" s="61" t="s">
        <v>9</v>
      </c>
      <c r="AI59" s="64" t="s">
        <v>9</v>
      </c>
      <c r="AJ59" s="61" t="s">
        <v>9</v>
      </c>
      <c r="AK59" s="64" t="s">
        <v>9</v>
      </c>
      <c r="AL59" s="61" t="s">
        <v>9</v>
      </c>
      <c r="AM59" s="64" t="s">
        <v>9</v>
      </c>
      <c r="AN59" s="61" t="s">
        <v>9</v>
      </c>
      <c r="AO59" s="64" t="s">
        <v>9</v>
      </c>
      <c r="AP59" s="61" t="s">
        <v>134</v>
      </c>
      <c r="AQ59" s="45" t="s">
        <v>1611</v>
      </c>
      <c r="AR59" s="61" t="s">
        <v>135</v>
      </c>
      <c r="AS59" s="45" t="s">
        <v>1611</v>
      </c>
      <c r="AT59" s="61" t="s">
        <v>1623</v>
      </c>
      <c r="AU59" s="45" t="s">
        <v>1624</v>
      </c>
    </row>
    <row r="60" spans="1:47" ht="6.75" customHeight="1" x14ac:dyDescent="0.4">
      <c r="A60" s="84">
        <v>60</v>
      </c>
      <c r="B60" s="80" t="s">
        <v>393</v>
      </c>
      <c r="C60" s="41" t="s">
        <v>1543</v>
      </c>
      <c r="D60" s="62" t="s">
        <v>9</v>
      </c>
      <c r="E60" s="68" t="s">
        <v>9</v>
      </c>
      <c r="F60" s="62" t="s">
        <v>9</v>
      </c>
      <c r="G60" s="68" t="s">
        <v>9</v>
      </c>
      <c r="H60" s="62" t="s">
        <v>9</v>
      </c>
      <c r="I60" s="68" t="s">
        <v>9</v>
      </c>
      <c r="J60" s="61" t="s">
        <v>86</v>
      </c>
      <c r="K60" s="45" t="s">
        <v>1607</v>
      </c>
      <c r="L60" s="61" t="s">
        <v>86</v>
      </c>
      <c r="M60" s="42" t="s">
        <v>391</v>
      </c>
      <c r="N60" s="61" t="s">
        <v>87</v>
      </c>
      <c r="O60" s="45">
        <v>19</v>
      </c>
      <c r="P60" s="61" t="s">
        <v>88</v>
      </c>
      <c r="Q60" s="39">
        <v>19</v>
      </c>
      <c r="R60" s="61" t="s">
        <v>89</v>
      </c>
      <c r="S60" s="39">
        <v>30</v>
      </c>
      <c r="T60" s="61" t="s">
        <v>362</v>
      </c>
      <c r="U60" s="43">
        <v>8.6999999999999993</v>
      </c>
      <c r="V60" s="63" t="s">
        <v>96</v>
      </c>
      <c r="W60" s="64" t="s">
        <v>354</v>
      </c>
      <c r="X60" s="61" t="s">
        <v>1652</v>
      </c>
      <c r="Y60" s="64" t="s">
        <v>364</v>
      </c>
      <c r="Z60" s="61" t="s">
        <v>9</v>
      </c>
      <c r="AA60" s="64" t="s">
        <v>9</v>
      </c>
      <c r="AB60" s="61" t="s">
        <v>9</v>
      </c>
      <c r="AC60" s="64" t="s">
        <v>9</v>
      </c>
      <c r="AD60" s="61" t="s">
        <v>9</v>
      </c>
      <c r="AE60" s="64" t="s">
        <v>9</v>
      </c>
      <c r="AF60" s="61" t="s">
        <v>9</v>
      </c>
      <c r="AG60" s="64" t="s">
        <v>9</v>
      </c>
      <c r="AH60" s="61" t="s">
        <v>9</v>
      </c>
      <c r="AI60" s="64" t="s">
        <v>9</v>
      </c>
      <c r="AJ60" s="61" t="s">
        <v>9</v>
      </c>
      <c r="AK60" s="64" t="s">
        <v>9</v>
      </c>
      <c r="AL60" s="61" t="s">
        <v>9</v>
      </c>
      <c r="AM60" s="64" t="s">
        <v>9</v>
      </c>
      <c r="AN60" s="61" t="s">
        <v>9</v>
      </c>
      <c r="AO60" s="64" t="s">
        <v>9</v>
      </c>
      <c r="AP60" s="61" t="s">
        <v>134</v>
      </c>
      <c r="AQ60" s="45" t="s">
        <v>1611</v>
      </c>
      <c r="AR60" s="61" t="s">
        <v>135</v>
      </c>
      <c r="AS60" s="45" t="s">
        <v>1611</v>
      </c>
      <c r="AT60" s="61" t="s">
        <v>1623</v>
      </c>
      <c r="AU60" s="45" t="s">
        <v>1624</v>
      </c>
    </row>
    <row r="61" spans="1:47" ht="6.75" customHeight="1" x14ac:dyDescent="0.4">
      <c r="A61" s="84">
        <v>61</v>
      </c>
      <c r="B61" s="80" t="s">
        <v>394</v>
      </c>
      <c r="C61" s="41" t="s">
        <v>1543</v>
      </c>
      <c r="D61" s="62" t="s">
        <v>9</v>
      </c>
      <c r="E61" s="68" t="s">
        <v>9</v>
      </c>
      <c r="F61" s="62" t="s">
        <v>9</v>
      </c>
      <c r="G61" s="68" t="s">
        <v>9</v>
      </c>
      <c r="H61" s="62" t="s">
        <v>9</v>
      </c>
      <c r="I61" s="68" t="s">
        <v>9</v>
      </c>
      <c r="J61" s="61" t="s">
        <v>86</v>
      </c>
      <c r="K61" s="45" t="s">
        <v>1607</v>
      </c>
      <c r="L61" s="61" t="s">
        <v>86</v>
      </c>
      <c r="M61" s="42" t="s">
        <v>391</v>
      </c>
      <c r="N61" s="61" t="s">
        <v>87</v>
      </c>
      <c r="O61" s="45">
        <v>19</v>
      </c>
      <c r="P61" s="61" t="s">
        <v>88</v>
      </c>
      <c r="Q61" s="39">
        <v>19</v>
      </c>
      <c r="R61" s="61" t="s">
        <v>89</v>
      </c>
      <c r="S61" s="39">
        <v>19</v>
      </c>
      <c r="T61" s="61" t="s">
        <v>362</v>
      </c>
      <c r="U61" s="43">
        <v>5.7</v>
      </c>
      <c r="V61" s="63" t="s">
        <v>96</v>
      </c>
      <c r="W61" s="64" t="s">
        <v>354</v>
      </c>
      <c r="X61" s="61" t="s">
        <v>1652</v>
      </c>
      <c r="Y61" s="64" t="s">
        <v>364</v>
      </c>
      <c r="Z61" s="61" t="s">
        <v>9</v>
      </c>
      <c r="AA61" s="64" t="s">
        <v>9</v>
      </c>
      <c r="AB61" s="61" t="s">
        <v>9</v>
      </c>
      <c r="AC61" s="64" t="s">
        <v>9</v>
      </c>
      <c r="AD61" s="61" t="s">
        <v>9</v>
      </c>
      <c r="AE61" s="64" t="s">
        <v>9</v>
      </c>
      <c r="AF61" s="61" t="s">
        <v>9</v>
      </c>
      <c r="AG61" s="64" t="s">
        <v>9</v>
      </c>
      <c r="AH61" s="61" t="s">
        <v>9</v>
      </c>
      <c r="AI61" s="64" t="s">
        <v>9</v>
      </c>
      <c r="AJ61" s="61" t="s">
        <v>9</v>
      </c>
      <c r="AK61" s="64" t="s">
        <v>9</v>
      </c>
      <c r="AL61" s="61" t="s">
        <v>9</v>
      </c>
      <c r="AM61" s="64" t="s">
        <v>9</v>
      </c>
      <c r="AN61" s="61" t="s">
        <v>9</v>
      </c>
      <c r="AO61" s="64" t="s">
        <v>9</v>
      </c>
      <c r="AP61" s="61" t="s">
        <v>134</v>
      </c>
      <c r="AQ61" s="45" t="s">
        <v>1611</v>
      </c>
      <c r="AR61" s="61" t="s">
        <v>135</v>
      </c>
      <c r="AS61" s="45" t="s">
        <v>1611</v>
      </c>
      <c r="AT61" s="61" t="s">
        <v>1623</v>
      </c>
      <c r="AU61" s="45" t="s">
        <v>1624</v>
      </c>
    </row>
    <row r="62" spans="1:47" s="77" customFormat="1" ht="6.75" customHeight="1" x14ac:dyDescent="0.4">
      <c r="A62" s="84">
        <v>62</v>
      </c>
      <c r="B62" s="44" t="s">
        <v>411</v>
      </c>
      <c r="C62" s="41" t="s">
        <v>1543</v>
      </c>
      <c r="D62" s="62" t="s">
        <v>9</v>
      </c>
      <c r="E62" s="68" t="s">
        <v>9</v>
      </c>
      <c r="F62" s="62" t="s">
        <v>9</v>
      </c>
      <c r="G62" s="68" t="s">
        <v>9</v>
      </c>
      <c r="H62" s="62" t="s">
        <v>9</v>
      </c>
      <c r="I62" s="68" t="s">
        <v>9</v>
      </c>
      <c r="J62" s="61" t="s">
        <v>86</v>
      </c>
      <c r="K62" s="45" t="s">
        <v>1607</v>
      </c>
      <c r="L62" s="61" t="s">
        <v>86</v>
      </c>
      <c r="M62" s="42" t="s">
        <v>412</v>
      </c>
      <c r="N62" s="61" t="s">
        <v>87</v>
      </c>
      <c r="O62" s="45">
        <v>7</v>
      </c>
      <c r="P62" s="61" t="s">
        <v>88</v>
      </c>
      <c r="Q62" s="39">
        <v>66.7</v>
      </c>
      <c r="R62" s="61" t="s">
        <v>89</v>
      </c>
      <c r="S62" s="39">
        <v>50</v>
      </c>
      <c r="T62" s="61" t="s">
        <v>362</v>
      </c>
      <c r="U62" s="39">
        <v>18</v>
      </c>
      <c r="V62" s="61" t="s">
        <v>9</v>
      </c>
      <c r="W62" s="45" t="s">
        <v>9</v>
      </c>
      <c r="X62" s="61" t="s">
        <v>1652</v>
      </c>
      <c r="Y62" s="45" t="s">
        <v>413</v>
      </c>
      <c r="Z62" s="61" t="s">
        <v>9</v>
      </c>
      <c r="AA62" s="64" t="s">
        <v>9</v>
      </c>
      <c r="AB62" s="61" t="s">
        <v>9</v>
      </c>
      <c r="AC62" s="64" t="s">
        <v>9</v>
      </c>
      <c r="AD62" s="61" t="s">
        <v>9</v>
      </c>
      <c r="AE62" s="64" t="s">
        <v>9</v>
      </c>
      <c r="AF62" s="61" t="s">
        <v>9</v>
      </c>
      <c r="AG62" s="64" t="s">
        <v>9</v>
      </c>
      <c r="AH62" s="61" t="s">
        <v>9</v>
      </c>
      <c r="AI62" s="45" t="s">
        <v>9</v>
      </c>
      <c r="AJ62" s="61" t="s">
        <v>9</v>
      </c>
      <c r="AK62" s="45" t="s">
        <v>9</v>
      </c>
      <c r="AL62" s="61" t="s">
        <v>9</v>
      </c>
      <c r="AM62" s="45" t="s">
        <v>9</v>
      </c>
      <c r="AN62" s="61" t="s">
        <v>9</v>
      </c>
      <c r="AO62" s="45" t="s">
        <v>9</v>
      </c>
      <c r="AP62" s="61" t="s">
        <v>134</v>
      </c>
      <c r="AQ62" s="45" t="s">
        <v>1611</v>
      </c>
      <c r="AR62" s="61" t="s">
        <v>135</v>
      </c>
      <c r="AS62" s="45" t="s">
        <v>1611</v>
      </c>
      <c r="AT62" s="61" t="s">
        <v>1623</v>
      </c>
      <c r="AU62" s="45" t="s">
        <v>1624</v>
      </c>
    </row>
    <row r="63" spans="1:47" s="77" customFormat="1" ht="6.75" customHeight="1" x14ac:dyDescent="0.4">
      <c r="A63" s="84">
        <v>63</v>
      </c>
      <c r="B63" s="44" t="s">
        <v>414</v>
      </c>
      <c r="C63" s="41" t="s">
        <v>1543</v>
      </c>
      <c r="D63" s="62" t="s">
        <v>9</v>
      </c>
      <c r="E63" s="68" t="s">
        <v>9</v>
      </c>
      <c r="F63" s="62" t="s">
        <v>9</v>
      </c>
      <c r="G63" s="68" t="s">
        <v>9</v>
      </c>
      <c r="H63" s="62" t="s">
        <v>9</v>
      </c>
      <c r="I63" s="68" t="s">
        <v>9</v>
      </c>
      <c r="J63" s="61" t="s">
        <v>86</v>
      </c>
      <c r="K63" s="45" t="s">
        <v>1607</v>
      </c>
      <c r="L63" s="61" t="s">
        <v>86</v>
      </c>
      <c r="M63" s="42" t="s">
        <v>415</v>
      </c>
      <c r="N63" s="61" t="s">
        <v>87</v>
      </c>
      <c r="O63" s="45">
        <v>10</v>
      </c>
      <c r="P63" s="61" t="s">
        <v>88</v>
      </c>
      <c r="Q63" s="39">
        <v>30</v>
      </c>
      <c r="R63" s="61" t="s">
        <v>89</v>
      </c>
      <c r="S63" s="39">
        <v>60</v>
      </c>
      <c r="T63" s="61" t="s">
        <v>9</v>
      </c>
      <c r="U63" s="39" t="s">
        <v>9</v>
      </c>
      <c r="V63" s="61" t="s">
        <v>9</v>
      </c>
      <c r="W63" s="45" t="s">
        <v>9</v>
      </c>
      <c r="X63" s="61" t="s">
        <v>1652</v>
      </c>
      <c r="Y63" s="45" t="s">
        <v>416</v>
      </c>
      <c r="Z63" s="61" t="s">
        <v>9</v>
      </c>
      <c r="AA63" s="64" t="s">
        <v>9</v>
      </c>
      <c r="AB63" s="61" t="s">
        <v>9</v>
      </c>
      <c r="AC63" s="64" t="s">
        <v>9</v>
      </c>
      <c r="AD63" s="61" t="s">
        <v>9</v>
      </c>
      <c r="AE63" s="64" t="s">
        <v>9</v>
      </c>
      <c r="AF63" s="61" t="s">
        <v>9</v>
      </c>
      <c r="AG63" s="64" t="s">
        <v>9</v>
      </c>
      <c r="AH63" s="61" t="s">
        <v>9</v>
      </c>
      <c r="AI63" s="45" t="s">
        <v>9</v>
      </c>
      <c r="AJ63" s="61" t="s">
        <v>9</v>
      </c>
      <c r="AK63" s="45" t="s">
        <v>9</v>
      </c>
      <c r="AL63" s="61" t="s">
        <v>9</v>
      </c>
      <c r="AM63" s="45" t="s">
        <v>9</v>
      </c>
      <c r="AN63" s="61" t="s">
        <v>9</v>
      </c>
      <c r="AO63" s="45" t="s">
        <v>9</v>
      </c>
      <c r="AP63" s="61" t="s">
        <v>134</v>
      </c>
      <c r="AQ63" s="45" t="s">
        <v>1611</v>
      </c>
      <c r="AR63" s="61" t="s">
        <v>135</v>
      </c>
      <c r="AS63" s="45" t="s">
        <v>1611</v>
      </c>
      <c r="AT63" s="61" t="s">
        <v>1623</v>
      </c>
      <c r="AU63" s="45" t="s">
        <v>1624</v>
      </c>
    </row>
    <row r="64" spans="1:47" s="77" customFormat="1" ht="6.75" customHeight="1" x14ac:dyDescent="0.4">
      <c r="A64" s="84">
        <v>64</v>
      </c>
      <c r="B64" s="44" t="s">
        <v>417</v>
      </c>
      <c r="C64" s="41" t="s">
        <v>1543</v>
      </c>
      <c r="D64" s="62" t="s">
        <v>9</v>
      </c>
      <c r="E64" s="68" t="s">
        <v>9</v>
      </c>
      <c r="F64" s="62" t="s">
        <v>9</v>
      </c>
      <c r="G64" s="68" t="s">
        <v>9</v>
      </c>
      <c r="H64" s="62" t="s">
        <v>9</v>
      </c>
      <c r="I64" s="68" t="s">
        <v>9</v>
      </c>
      <c r="J64" s="61" t="s">
        <v>86</v>
      </c>
      <c r="K64" s="45" t="s">
        <v>1607</v>
      </c>
      <c r="L64" s="61" t="s">
        <v>86</v>
      </c>
      <c r="M64" s="42" t="s">
        <v>418</v>
      </c>
      <c r="N64" s="61" t="s">
        <v>87</v>
      </c>
      <c r="O64" s="45">
        <v>5.5</v>
      </c>
      <c r="P64" s="61" t="s">
        <v>88</v>
      </c>
      <c r="Q64" s="39">
        <v>11</v>
      </c>
      <c r="R64" s="61" t="s">
        <v>89</v>
      </c>
      <c r="S64" s="39">
        <v>23</v>
      </c>
      <c r="T64" s="61" t="s">
        <v>362</v>
      </c>
      <c r="U64" s="39">
        <v>2.6</v>
      </c>
      <c r="V64" s="63" t="s">
        <v>96</v>
      </c>
      <c r="W64" s="64" t="s">
        <v>419</v>
      </c>
      <c r="X64" s="61" t="s">
        <v>1652</v>
      </c>
      <c r="Y64" s="45" t="s">
        <v>377</v>
      </c>
      <c r="Z64" s="61" t="s">
        <v>9</v>
      </c>
      <c r="AA64" s="45" t="s">
        <v>9</v>
      </c>
      <c r="AB64" s="61" t="s">
        <v>9</v>
      </c>
      <c r="AC64" s="45" t="s">
        <v>9</v>
      </c>
      <c r="AD64" s="61" t="s">
        <v>9</v>
      </c>
      <c r="AE64" s="45" t="s">
        <v>9</v>
      </c>
      <c r="AF64" s="61" t="s">
        <v>9</v>
      </c>
      <c r="AG64" s="45" t="s">
        <v>9</v>
      </c>
      <c r="AH64" s="61" t="s">
        <v>9</v>
      </c>
      <c r="AI64" s="45" t="s">
        <v>9</v>
      </c>
      <c r="AJ64" s="61" t="s">
        <v>9</v>
      </c>
      <c r="AK64" s="45" t="s">
        <v>9</v>
      </c>
      <c r="AL64" s="61" t="s">
        <v>9</v>
      </c>
      <c r="AM64" s="45" t="s">
        <v>9</v>
      </c>
      <c r="AN64" s="61" t="s">
        <v>9</v>
      </c>
      <c r="AO64" s="45" t="s">
        <v>9</v>
      </c>
      <c r="AP64" s="61" t="s">
        <v>134</v>
      </c>
      <c r="AQ64" s="45" t="s">
        <v>1611</v>
      </c>
      <c r="AR64" s="61" t="s">
        <v>135</v>
      </c>
      <c r="AS64" s="45" t="s">
        <v>1611</v>
      </c>
      <c r="AT64" s="61" t="s">
        <v>1623</v>
      </c>
      <c r="AU64" s="45" t="s">
        <v>1624</v>
      </c>
    </row>
    <row r="65" spans="1:47" s="77" customFormat="1" ht="6.75" customHeight="1" x14ac:dyDescent="0.4">
      <c r="A65" s="84">
        <v>65</v>
      </c>
      <c r="B65" s="44" t="s">
        <v>420</v>
      </c>
      <c r="C65" s="41" t="s">
        <v>1543</v>
      </c>
      <c r="D65" s="62" t="s">
        <v>9</v>
      </c>
      <c r="E65" s="68" t="s">
        <v>9</v>
      </c>
      <c r="F65" s="62" t="s">
        <v>9</v>
      </c>
      <c r="G65" s="68" t="s">
        <v>9</v>
      </c>
      <c r="H65" s="62" t="s">
        <v>9</v>
      </c>
      <c r="I65" s="68" t="s">
        <v>9</v>
      </c>
      <c r="J65" s="61" t="s">
        <v>86</v>
      </c>
      <c r="K65" s="45" t="s">
        <v>1607</v>
      </c>
      <c r="L65" s="61" t="s">
        <v>86</v>
      </c>
      <c r="M65" s="42" t="s">
        <v>421</v>
      </c>
      <c r="N65" s="61" t="s">
        <v>87</v>
      </c>
      <c r="O65" s="45">
        <v>6</v>
      </c>
      <c r="P65" s="61" t="s">
        <v>88</v>
      </c>
      <c r="Q65" s="39">
        <v>10</v>
      </c>
      <c r="R65" s="61" t="s">
        <v>89</v>
      </c>
      <c r="S65" s="39">
        <v>22</v>
      </c>
      <c r="T65" s="61" t="s">
        <v>362</v>
      </c>
      <c r="U65" s="39">
        <v>2.6</v>
      </c>
      <c r="V65" s="61" t="s">
        <v>9</v>
      </c>
      <c r="W65" s="45" t="s">
        <v>9</v>
      </c>
      <c r="X65" s="61" t="s">
        <v>1652</v>
      </c>
      <c r="Y65" s="45" t="s">
        <v>422</v>
      </c>
      <c r="Z65" s="61" t="s">
        <v>9</v>
      </c>
      <c r="AA65" s="45" t="s">
        <v>9</v>
      </c>
      <c r="AB65" s="61" t="s">
        <v>9</v>
      </c>
      <c r="AC65" s="45" t="s">
        <v>9</v>
      </c>
      <c r="AD65" s="61" t="s">
        <v>9</v>
      </c>
      <c r="AE65" s="45" t="s">
        <v>9</v>
      </c>
      <c r="AF65" s="61" t="s">
        <v>9</v>
      </c>
      <c r="AG65" s="45" t="s">
        <v>9</v>
      </c>
      <c r="AH65" s="61" t="s">
        <v>9</v>
      </c>
      <c r="AI65" s="45" t="s">
        <v>9</v>
      </c>
      <c r="AJ65" s="61" t="s">
        <v>9</v>
      </c>
      <c r="AK65" s="45" t="s">
        <v>9</v>
      </c>
      <c r="AL65" s="61" t="s">
        <v>9</v>
      </c>
      <c r="AM65" s="45" t="s">
        <v>9</v>
      </c>
      <c r="AN65" s="61" t="s">
        <v>9</v>
      </c>
      <c r="AO65" s="45" t="s">
        <v>9</v>
      </c>
      <c r="AP65" s="61" t="s">
        <v>134</v>
      </c>
      <c r="AQ65" s="45" t="s">
        <v>1611</v>
      </c>
      <c r="AR65" s="61" t="s">
        <v>135</v>
      </c>
      <c r="AS65" s="45" t="s">
        <v>1611</v>
      </c>
      <c r="AT65" s="61" t="s">
        <v>1623</v>
      </c>
      <c r="AU65" s="45" t="s">
        <v>1624</v>
      </c>
    </row>
    <row r="66" spans="1:47" s="77" customFormat="1" ht="6.75" customHeight="1" x14ac:dyDescent="0.4">
      <c r="A66" s="84">
        <v>66</v>
      </c>
      <c r="B66" s="44" t="s">
        <v>423</v>
      </c>
      <c r="C66" s="41" t="s">
        <v>1543</v>
      </c>
      <c r="D66" s="62" t="s">
        <v>9</v>
      </c>
      <c r="E66" s="68" t="s">
        <v>9</v>
      </c>
      <c r="F66" s="62" t="s">
        <v>9</v>
      </c>
      <c r="G66" s="68" t="s">
        <v>9</v>
      </c>
      <c r="H66" s="62" t="s">
        <v>9</v>
      </c>
      <c r="I66" s="68" t="s">
        <v>9</v>
      </c>
      <c r="J66" s="61" t="s">
        <v>86</v>
      </c>
      <c r="K66" s="45" t="s">
        <v>1607</v>
      </c>
      <c r="L66" s="61" t="s">
        <v>86</v>
      </c>
      <c r="M66" s="42" t="s">
        <v>424</v>
      </c>
      <c r="N66" s="61" t="s">
        <v>87</v>
      </c>
      <c r="O66" s="45">
        <v>11</v>
      </c>
      <c r="P66" s="61" t="s">
        <v>88</v>
      </c>
      <c r="Q66" s="39">
        <v>10</v>
      </c>
      <c r="R66" s="61" t="s">
        <v>89</v>
      </c>
      <c r="S66" s="39">
        <v>22</v>
      </c>
      <c r="T66" s="61" t="s">
        <v>9</v>
      </c>
      <c r="U66" s="39" t="s">
        <v>9</v>
      </c>
      <c r="V66" s="61" t="s">
        <v>9</v>
      </c>
      <c r="W66" s="45" t="s">
        <v>9</v>
      </c>
      <c r="X66" s="61" t="s">
        <v>1652</v>
      </c>
      <c r="Y66" s="45" t="s">
        <v>425</v>
      </c>
      <c r="Z66" s="61" t="s">
        <v>9</v>
      </c>
      <c r="AA66" s="45" t="s">
        <v>9</v>
      </c>
      <c r="AB66" s="61" t="s">
        <v>9</v>
      </c>
      <c r="AC66" s="45" t="s">
        <v>9</v>
      </c>
      <c r="AD66" s="61" t="s">
        <v>9</v>
      </c>
      <c r="AE66" s="45" t="s">
        <v>9</v>
      </c>
      <c r="AF66" s="61" t="s">
        <v>9</v>
      </c>
      <c r="AG66" s="45" t="s">
        <v>9</v>
      </c>
      <c r="AH66" s="61" t="s">
        <v>9</v>
      </c>
      <c r="AI66" s="45" t="s">
        <v>9</v>
      </c>
      <c r="AJ66" s="61" t="s">
        <v>9</v>
      </c>
      <c r="AK66" s="45" t="s">
        <v>9</v>
      </c>
      <c r="AL66" s="61" t="s">
        <v>9</v>
      </c>
      <c r="AM66" s="45" t="s">
        <v>9</v>
      </c>
      <c r="AN66" s="61" t="s">
        <v>9</v>
      </c>
      <c r="AO66" s="45" t="s">
        <v>9</v>
      </c>
      <c r="AP66" s="61" t="s">
        <v>134</v>
      </c>
      <c r="AQ66" s="45" t="s">
        <v>1611</v>
      </c>
      <c r="AR66" s="61" t="s">
        <v>135</v>
      </c>
      <c r="AS66" s="45" t="s">
        <v>1611</v>
      </c>
      <c r="AT66" s="61" t="s">
        <v>1623</v>
      </c>
      <c r="AU66" s="45" t="s">
        <v>1624</v>
      </c>
    </row>
    <row r="67" spans="1:47" s="77" customFormat="1" ht="6.75" customHeight="1" x14ac:dyDescent="0.4">
      <c r="A67" s="84">
        <v>67</v>
      </c>
      <c r="B67" s="44" t="s">
        <v>426</v>
      </c>
      <c r="C67" s="41" t="s">
        <v>1543</v>
      </c>
      <c r="D67" s="62" t="s">
        <v>9</v>
      </c>
      <c r="E67" s="68" t="s">
        <v>9</v>
      </c>
      <c r="F67" s="62" t="s">
        <v>9</v>
      </c>
      <c r="G67" s="68" t="s">
        <v>9</v>
      </c>
      <c r="H67" s="62" t="s">
        <v>9</v>
      </c>
      <c r="I67" s="68" t="s">
        <v>9</v>
      </c>
      <c r="J67" s="61" t="s">
        <v>86</v>
      </c>
      <c r="K67" s="45" t="s">
        <v>1607</v>
      </c>
      <c r="L67" s="61" t="s">
        <v>86</v>
      </c>
      <c r="M67" s="42" t="s">
        <v>427</v>
      </c>
      <c r="N67" s="61" t="s">
        <v>87</v>
      </c>
      <c r="O67" s="45">
        <v>11</v>
      </c>
      <c r="P67" s="61" t="s">
        <v>88</v>
      </c>
      <c r="Q67" s="39">
        <v>10</v>
      </c>
      <c r="R67" s="61" t="s">
        <v>89</v>
      </c>
      <c r="S67" s="39">
        <v>11</v>
      </c>
      <c r="T67" s="61" t="s">
        <v>9</v>
      </c>
      <c r="U67" s="39" t="s">
        <v>9</v>
      </c>
      <c r="V67" s="61" t="s">
        <v>9</v>
      </c>
      <c r="W67" s="45" t="s">
        <v>9</v>
      </c>
      <c r="X67" s="61" t="s">
        <v>1652</v>
      </c>
      <c r="Y67" s="45" t="s">
        <v>425</v>
      </c>
      <c r="Z67" s="61" t="s">
        <v>9</v>
      </c>
      <c r="AA67" s="45" t="s">
        <v>9</v>
      </c>
      <c r="AB67" s="61" t="s">
        <v>9</v>
      </c>
      <c r="AC67" s="45" t="s">
        <v>9</v>
      </c>
      <c r="AD67" s="61" t="s">
        <v>9</v>
      </c>
      <c r="AE67" s="45" t="s">
        <v>9</v>
      </c>
      <c r="AF67" s="61" t="s">
        <v>9</v>
      </c>
      <c r="AG67" s="45" t="s">
        <v>9</v>
      </c>
      <c r="AH67" s="61" t="s">
        <v>9</v>
      </c>
      <c r="AI67" s="45" t="s">
        <v>9</v>
      </c>
      <c r="AJ67" s="61" t="s">
        <v>9</v>
      </c>
      <c r="AK67" s="45" t="s">
        <v>9</v>
      </c>
      <c r="AL67" s="61" t="s">
        <v>9</v>
      </c>
      <c r="AM67" s="45" t="s">
        <v>9</v>
      </c>
      <c r="AN67" s="61" t="s">
        <v>9</v>
      </c>
      <c r="AO67" s="45" t="s">
        <v>9</v>
      </c>
      <c r="AP67" s="61" t="s">
        <v>134</v>
      </c>
      <c r="AQ67" s="45" t="s">
        <v>1611</v>
      </c>
      <c r="AR67" s="61" t="s">
        <v>135</v>
      </c>
      <c r="AS67" s="45" t="s">
        <v>1611</v>
      </c>
      <c r="AT67" s="61" t="s">
        <v>1623</v>
      </c>
      <c r="AU67" s="45" t="s">
        <v>1624</v>
      </c>
    </row>
    <row r="68" spans="1:47" s="77" customFormat="1" ht="6.75" customHeight="1" x14ac:dyDescent="0.4">
      <c r="A68" s="84">
        <v>68</v>
      </c>
      <c r="B68" s="44" t="s">
        <v>428</v>
      </c>
      <c r="C68" s="41" t="s">
        <v>1543</v>
      </c>
      <c r="D68" s="62" t="s">
        <v>9</v>
      </c>
      <c r="E68" s="68" t="s">
        <v>9</v>
      </c>
      <c r="F68" s="62" t="s">
        <v>9</v>
      </c>
      <c r="G68" s="68" t="s">
        <v>9</v>
      </c>
      <c r="H68" s="62" t="s">
        <v>9</v>
      </c>
      <c r="I68" s="68" t="s">
        <v>9</v>
      </c>
      <c r="J68" s="61" t="s">
        <v>86</v>
      </c>
      <c r="K68" s="45" t="s">
        <v>1607</v>
      </c>
      <c r="L68" s="61" t="s">
        <v>86</v>
      </c>
      <c r="M68" s="42" t="s">
        <v>429</v>
      </c>
      <c r="N68" s="61" t="s">
        <v>87</v>
      </c>
      <c r="O68" s="45">
        <v>11</v>
      </c>
      <c r="P68" s="61" t="s">
        <v>88</v>
      </c>
      <c r="Q68" s="39">
        <v>10</v>
      </c>
      <c r="R68" s="61" t="s">
        <v>89</v>
      </c>
      <c r="S68" s="39">
        <v>22</v>
      </c>
      <c r="T68" s="61" t="s">
        <v>9</v>
      </c>
      <c r="U68" s="39" t="s">
        <v>9</v>
      </c>
      <c r="V68" s="61" t="s">
        <v>9</v>
      </c>
      <c r="W68" s="45" t="s">
        <v>9</v>
      </c>
      <c r="X68" s="61" t="s">
        <v>1652</v>
      </c>
      <c r="Y68" s="45" t="s">
        <v>425</v>
      </c>
      <c r="Z68" s="61" t="s">
        <v>9</v>
      </c>
      <c r="AA68" s="45" t="s">
        <v>9</v>
      </c>
      <c r="AB68" s="61" t="s">
        <v>9</v>
      </c>
      <c r="AC68" s="45" t="s">
        <v>9</v>
      </c>
      <c r="AD68" s="61" t="s">
        <v>9</v>
      </c>
      <c r="AE68" s="45" t="s">
        <v>9</v>
      </c>
      <c r="AF68" s="61" t="s">
        <v>9</v>
      </c>
      <c r="AG68" s="45" t="s">
        <v>9</v>
      </c>
      <c r="AH68" s="61" t="s">
        <v>9</v>
      </c>
      <c r="AI68" s="45" t="s">
        <v>9</v>
      </c>
      <c r="AJ68" s="61" t="s">
        <v>9</v>
      </c>
      <c r="AK68" s="45" t="s">
        <v>9</v>
      </c>
      <c r="AL68" s="61" t="s">
        <v>9</v>
      </c>
      <c r="AM68" s="45" t="s">
        <v>9</v>
      </c>
      <c r="AN68" s="61" t="s">
        <v>9</v>
      </c>
      <c r="AO68" s="45" t="s">
        <v>9</v>
      </c>
      <c r="AP68" s="61" t="s">
        <v>134</v>
      </c>
      <c r="AQ68" s="45" t="s">
        <v>1611</v>
      </c>
      <c r="AR68" s="61" t="s">
        <v>135</v>
      </c>
      <c r="AS68" s="45" t="s">
        <v>1611</v>
      </c>
      <c r="AT68" s="61" t="s">
        <v>1623</v>
      </c>
      <c r="AU68" s="45" t="s">
        <v>1624</v>
      </c>
    </row>
    <row r="69" spans="1:47" s="77" customFormat="1" ht="6.75" customHeight="1" x14ac:dyDescent="0.4">
      <c r="A69" s="84">
        <v>69</v>
      </c>
      <c r="B69" s="44" t="s">
        <v>430</v>
      </c>
      <c r="C69" s="41" t="s">
        <v>1543</v>
      </c>
      <c r="D69" s="62" t="s">
        <v>9</v>
      </c>
      <c r="E69" s="68" t="s">
        <v>9</v>
      </c>
      <c r="F69" s="62" t="s">
        <v>9</v>
      </c>
      <c r="G69" s="68" t="s">
        <v>9</v>
      </c>
      <c r="H69" s="62" t="s">
        <v>9</v>
      </c>
      <c r="I69" s="68" t="s">
        <v>9</v>
      </c>
      <c r="J69" s="61" t="s">
        <v>86</v>
      </c>
      <c r="K69" s="45" t="s">
        <v>1607</v>
      </c>
      <c r="L69" s="61" t="s">
        <v>86</v>
      </c>
      <c r="M69" s="42" t="s">
        <v>429</v>
      </c>
      <c r="N69" s="61" t="s">
        <v>87</v>
      </c>
      <c r="O69" s="45">
        <v>11</v>
      </c>
      <c r="P69" s="61" t="s">
        <v>88</v>
      </c>
      <c r="Q69" s="39">
        <v>10</v>
      </c>
      <c r="R69" s="61" t="s">
        <v>89</v>
      </c>
      <c r="S69" s="39">
        <v>22</v>
      </c>
      <c r="T69" s="61" t="s">
        <v>9</v>
      </c>
      <c r="U69" s="39" t="s">
        <v>9</v>
      </c>
      <c r="V69" s="61" t="s">
        <v>9</v>
      </c>
      <c r="W69" s="45" t="s">
        <v>9</v>
      </c>
      <c r="X69" s="61" t="s">
        <v>1652</v>
      </c>
      <c r="Y69" s="45" t="s">
        <v>425</v>
      </c>
      <c r="Z69" s="61" t="s">
        <v>9</v>
      </c>
      <c r="AA69" s="45" t="s">
        <v>9</v>
      </c>
      <c r="AB69" s="61" t="s">
        <v>9</v>
      </c>
      <c r="AC69" s="45" t="s">
        <v>9</v>
      </c>
      <c r="AD69" s="61" t="s">
        <v>9</v>
      </c>
      <c r="AE69" s="45" t="s">
        <v>9</v>
      </c>
      <c r="AF69" s="61" t="s">
        <v>9</v>
      </c>
      <c r="AG69" s="45" t="s">
        <v>9</v>
      </c>
      <c r="AH69" s="61" t="s">
        <v>9</v>
      </c>
      <c r="AI69" s="45" t="s">
        <v>9</v>
      </c>
      <c r="AJ69" s="61" t="s">
        <v>9</v>
      </c>
      <c r="AK69" s="45" t="s">
        <v>9</v>
      </c>
      <c r="AL69" s="61" t="s">
        <v>9</v>
      </c>
      <c r="AM69" s="45" t="s">
        <v>9</v>
      </c>
      <c r="AN69" s="61" t="s">
        <v>9</v>
      </c>
      <c r="AO69" s="45" t="s">
        <v>9</v>
      </c>
      <c r="AP69" s="61" t="s">
        <v>134</v>
      </c>
      <c r="AQ69" s="45" t="s">
        <v>1611</v>
      </c>
      <c r="AR69" s="61" t="s">
        <v>135</v>
      </c>
      <c r="AS69" s="45" t="s">
        <v>1611</v>
      </c>
      <c r="AT69" s="61" t="s">
        <v>1623</v>
      </c>
      <c r="AU69" s="45" t="s">
        <v>1624</v>
      </c>
    </row>
    <row r="70" spans="1:47" s="77" customFormat="1" ht="6.75" customHeight="1" x14ac:dyDescent="0.4">
      <c r="A70" s="84">
        <v>70</v>
      </c>
      <c r="B70" s="44" t="s">
        <v>431</v>
      </c>
      <c r="C70" s="41" t="s">
        <v>1543</v>
      </c>
      <c r="D70" s="62" t="s">
        <v>9</v>
      </c>
      <c r="E70" s="68" t="s">
        <v>9</v>
      </c>
      <c r="F70" s="62" t="s">
        <v>9</v>
      </c>
      <c r="G70" s="68" t="s">
        <v>9</v>
      </c>
      <c r="H70" s="62" t="s">
        <v>9</v>
      </c>
      <c r="I70" s="68" t="s">
        <v>9</v>
      </c>
      <c r="J70" s="61" t="s">
        <v>86</v>
      </c>
      <c r="K70" s="45" t="s">
        <v>1607</v>
      </c>
      <c r="L70" s="61" t="s">
        <v>86</v>
      </c>
      <c r="M70" s="42" t="s">
        <v>432</v>
      </c>
      <c r="N70" s="61" t="s">
        <v>87</v>
      </c>
      <c r="O70" s="45">
        <v>11</v>
      </c>
      <c r="P70" s="61" t="s">
        <v>88</v>
      </c>
      <c r="Q70" s="39">
        <v>10</v>
      </c>
      <c r="R70" s="61" t="s">
        <v>89</v>
      </c>
      <c r="S70" s="39">
        <v>22</v>
      </c>
      <c r="T70" s="61" t="s">
        <v>9</v>
      </c>
      <c r="U70" s="39" t="s">
        <v>9</v>
      </c>
      <c r="V70" s="61" t="s">
        <v>9</v>
      </c>
      <c r="W70" s="45" t="s">
        <v>9</v>
      </c>
      <c r="X70" s="61" t="s">
        <v>1652</v>
      </c>
      <c r="Y70" s="45" t="s">
        <v>425</v>
      </c>
      <c r="Z70" s="61" t="s">
        <v>9</v>
      </c>
      <c r="AA70" s="45" t="s">
        <v>9</v>
      </c>
      <c r="AB70" s="61" t="s">
        <v>9</v>
      </c>
      <c r="AC70" s="45" t="s">
        <v>9</v>
      </c>
      <c r="AD70" s="61" t="s">
        <v>9</v>
      </c>
      <c r="AE70" s="45" t="s">
        <v>9</v>
      </c>
      <c r="AF70" s="61" t="s">
        <v>9</v>
      </c>
      <c r="AG70" s="45" t="s">
        <v>9</v>
      </c>
      <c r="AH70" s="61" t="s">
        <v>9</v>
      </c>
      <c r="AI70" s="45" t="s">
        <v>9</v>
      </c>
      <c r="AJ70" s="61" t="s">
        <v>9</v>
      </c>
      <c r="AK70" s="45" t="s">
        <v>9</v>
      </c>
      <c r="AL70" s="61" t="s">
        <v>9</v>
      </c>
      <c r="AM70" s="45" t="s">
        <v>9</v>
      </c>
      <c r="AN70" s="61" t="s">
        <v>9</v>
      </c>
      <c r="AO70" s="45" t="s">
        <v>9</v>
      </c>
      <c r="AP70" s="61" t="s">
        <v>134</v>
      </c>
      <c r="AQ70" s="45" t="s">
        <v>1611</v>
      </c>
      <c r="AR70" s="61" t="s">
        <v>135</v>
      </c>
      <c r="AS70" s="45" t="s">
        <v>1611</v>
      </c>
      <c r="AT70" s="61" t="s">
        <v>1623</v>
      </c>
      <c r="AU70" s="45" t="s">
        <v>1624</v>
      </c>
    </row>
    <row r="71" spans="1:47" ht="6.75" customHeight="1" x14ac:dyDescent="0.4">
      <c r="A71" s="84">
        <v>71</v>
      </c>
      <c r="B71" s="80" t="s">
        <v>395</v>
      </c>
      <c r="C71" s="41" t="s">
        <v>235</v>
      </c>
      <c r="D71" s="62" t="s">
        <v>9</v>
      </c>
      <c r="E71" s="68" t="s">
        <v>9</v>
      </c>
      <c r="F71" s="62" t="s">
        <v>9</v>
      </c>
      <c r="G71" s="68" t="s">
        <v>9</v>
      </c>
      <c r="H71" s="62" t="s">
        <v>9</v>
      </c>
      <c r="I71" s="68" t="s">
        <v>9</v>
      </c>
      <c r="J71" s="61" t="s">
        <v>86</v>
      </c>
      <c r="K71" s="45" t="s">
        <v>1607</v>
      </c>
      <c r="L71" s="61" t="s">
        <v>86</v>
      </c>
      <c r="M71" s="42" t="s">
        <v>396</v>
      </c>
      <c r="N71" s="61" t="s">
        <v>87</v>
      </c>
      <c r="O71" s="45">
        <v>9</v>
      </c>
      <c r="P71" s="61" t="s">
        <v>88</v>
      </c>
      <c r="Q71" s="39">
        <v>19</v>
      </c>
      <c r="R71" s="61" t="s">
        <v>89</v>
      </c>
      <c r="S71" s="39">
        <v>29</v>
      </c>
      <c r="T71" s="61" t="s">
        <v>362</v>
      </c>
      <c r="U71" s="43">
        <v>3.5</v>
      </c>
      <c r="V71" s="63" t="s">
        <v>96</v>
      </c>
      <c r="W71" s="64" t="s">
        <v>354</v>
      </c>
      <c r="X71" s="61" t="s">
        <v>1652</v>
      </c>
      <c r="Y71" s="64" t="s">
        <v>364</v>
      </c>
      <c r="Z71" s="61" t="s">
        <v>9</v>
      </c>
      <c r="AA71" s="64" t="s">
        <v>9</v>
      </c>
      <c r="AB71" s="61" t="s">
        <v>9</v>
      </c>
      <c r="AC71" s="64" t="s">
        <v>9</v>
      </c>
      <c r="AD71" s="61" t="s">
        <v>9</v>
      </c>
      <c r="AE71" s="64" t="s">
        <v>9</v>
      </c>
      <c r="AF71" s="61" t="s">
        <v>9</v>
      </c>
      <c r="AG71" s="64" t="s">
        <v>9</v>
      </c>
      <c r="AH71" s="61" t="s">
        <v>9</v>
      </c>
      <c r="AI71" s="64" t="s">
        <v>9</v>
      </c>
      <c r="AJ71" s="61" t="s">
        <v>9</v>
      </c>
      <c r="AK71" s="64" t="s">
        <v>9</v>
      </c>
      <c r="AL71" s="61" t="s">
        <v>9</v>
      </c>
      <c r="AM71" s="64" t="s">
        <v>9</v>
      </c>
      <c r="AN71" s="61" t="s">
        <v>9</v>
      </c>
      <c r="AO71" s="64" t="s">
        <v>9</v>
      </c>
      <c r="AP71" s="61" t="s">
        <v>134</v>
      </c>
      <c r="AQ71" s="45" t="s">
        <v>1611</v>
      </c>
      <c r="AR71" s="61" t="s">
        <v>135</v>
      </c>
      <c r="AS71" s="45" t="s">
        <v>1611</v>
      </c>
      <c r="AT71" s="61" t="s">
        <v>1623</v>
      </c>
      <c r="AU71" s="45" t="s">
        <v>1624</v>
      </c>
    </row>
    <row r="72" spans="1:47" ht="6.75" customHeight="1" x14ac:dyDescent="0.4">
      <c r="A72" s="84">
        <v>72</v>
      </c>
      <c r="B72" s="80" t="s">
        <v>397</v>
      </c>
      <c r="C72" s="41" t="s">
        <v>235</v>
      </c>
      <c r="D72" s="62" t="s">
        <v>9</v>
      </c>
      <c r="E72" s="68" t="s">
        <v>9</v>
      </c>
      <c r="F72" s="62" t="s">
        <v>9</v>
      </c>
      <c r="G72" s="68" t="s">
        <v>9</v>
      </c>
      <c r="H72" s="62" t="s">
        <v>9</v>
      </c>
      <c r="I72" s="68" t="s">
        <v>9</v>
      </c>
      <c r="J72" s="61" t="s">
        <v>86</v>
      </c>
      <c r="K72" s="45" t="s">
        <v>1607</v>
      </c>
      <c r="L72" s="61" t="s">
        <v>86</v>
      </c>
      <c r="M72" s="42" t="s">
        <v>398</v>
      </c>
      <c r="N72" s="61" t="s">
        <v>87</v>
      </c>
      <c r="O72" s="45">
        <v>11.5</v>
      </c>
      <c r="P72" s="61" t="s">
        <v>88</v>
      </c>
      <c r="Q72" s="39">
        <v>19</v>
      </c>
      <c r="R72" s="61" t="s">
        <v>89</v>
      </c>
      <c r="S72" s="39">
        <v>29</v>
      </c>
      <c r="T72" s="61" t="s">
        <v>362</v>
      </c>
      <c r="U72" s="43">
        <v>3.8</v>
      </c>
      <c r="V72" s="63" t="s">
        <v>96</v>
      </c>
      <c r="W72" s="64" t="s">
        <v>354</v>
      </c>
      <c r="X72" s="61" t="s">
        <v>1652</v>
      </c>
      <c r="Y72" s="64" t="s">
        <v>364</v>
      </c>
      <c r="Z72" s="61" t="s">
        <v>9</v>
      </c>
      <c r="AA72" s="64" t="s">
        <v>9</v>
      </c>
      <c r="AB72" s="61" t="s">
        <v>9</v>
      </c>
      <c r="AC72" s="64" t="s">
        <v>9</v>
      </c>
      <c r="AD72" s="61" t="s">
        <v>9</v>
      </c>
      <c r="AE72" s="64" t="s">
        <v>9</v>
      </c>
      <c r="AF72" s="61" t="s">
        <v>9</v>
      </c>
      <c r="AG72" s="64" t="s">
        <v>9</v>
      </c>
      <c r="AH72" s="61" t="s">
        <v>9</v>
      </c>
      <c r="AI72" s="64" t="s">
        <v>9</v>
      </c>
      <c r="AJ72" s="61" t="s">
        <v>9</v>
      </c>
      <c r="AK72" s="64" t="s">
        <v>9</v>
      </c>
      <c r="AL72" s="61" t="s">
        <v>9</v>
      </c>
      <c r="AM72" s="64" t="s">
        <v>9</v>
      </c>
      <c r="AN72" s="61" t="s">
        <v>9</v>
      </c>
      <c r="AO72" s="64" t="s">
        <v>9</v>
      </c>
      <c r="AP72" s="61" t="s">
        <v>134</v>
      </c>
      <c r="AQ72" s="45" t="s">
        <v>1611</v>
      </c>
      <c r="AR72" s="61" t="s">
        <v>135</v>
      </c>
      <c r="AS72" s="45" t="s">
        <v>1611</v>
      </c>
      <c r="AT72" s="61" t="s">
        <v>1623</v>
      </c>
      <c r="AU72" s="45" t="s">
        <v>1624</v>
      </c>
    </row>
    <row r="73" spans="1:47" ht="6.75" customHeight="1" x14ac:dyDescent="0.4">
      <c r="A73" s="84">
        <v>73</v>
      </c>
      <c r="B73" s="80" t="s">
        <v>399</v>
      </c>
      <c r="C73" s="41" t="s">
        <v>235</v>
      </c>
      <c r="D73" s="62" t="s">
        <v>9</v>
      </c>
      <c r="E73" s="68" t="s">
        <v>9</v>
      </c>
      <c r="F73" s="62" t="s">
        <v>9</v>
      </c>
      <c r="G73" s="68" t="s">
        <v>9</v>
      </c>
      <c r="H73" s="62" t="s">
        <v>9</v>
      </c>
      <c r="I73" s="68" t="s">
        <v>9</v>
      </c>
      <c r="J73" s="61" t="s">
        <v>86</v>
      </c>
      <c r="K73" s="45" t="s">
        <v>1607</v>
      </c>
      <c r="L73" s="61" t="s">
        <v>86</v>
      </c>
      <c r="M73" s="42" t="s">
        <v>400</v>
      </c>
      <c r="N73" s="61" t="s">
        <v>87</v>
      </c>
      <c r="O73" s="45">
        <v>14</v>
      </c>
      <c r="P73" s="61" t="s">
        <v>88</v>
      </c>
      <c r="Q73" s="39">
        <v>19</v>
      </c>
      <c r="R73" s="61" t="s">
        <v>89</v>
      </c>
      <c r="S73" s="39">
        <v>29</v>
      </c>
      <c r="T73" s="61" t="s">
        <v>362</v>
      </c>
      <c r="U73" s="43">
        <v>4.5</v>
      </c>
      <c r="V73" s="63" t="s">
        <v>96</v>
      </c>
      <c r="W73" s="64" t="s">
        <v>354</v>
      </c>
      <c r="X73" s="61" t="s">
        <v>1652</v>
      </c>
      <c r="Y73" s="64" t="s">
        <v>364</v>
      </c>
      <c r="Z73" s="61" t="s">
        <v>9</v>
      </c>
      <c r="AA73" s="64" t="s">
        <v>9</v>
      </c>
      <c r="AB73" s="61" t="s">
        <v>9</v>
      </c>
      <c r="AC73" s="64" t="s">
        <v>9</v>
      </c>
      <c r="AD73" s="61" t="s">
        <v>9</v>
      </c>
      <c r="AE73" s="64" t="s">
        <v>9</v>
      </c>
      <c r="AF73" s="61" t="s">
        <v>9</v>
      </c>
      <c r="AG73" s="64" t="s">
        <v>9</v>
      </c>
      <c r="AH73" s="61" t="s">
        <v>9</v>
      </c>
      <c r="AI73" s="64" t="s">
        <v>9</v>
      </c>
      <c r="AJ73" s="61" t="s">
        <v>9</v>
      </c>
      <c r="AK73" s="64" t="s">
        <v>9</v>
      </c>
      <c r="AL73" s="61" t="s">
        <v>9</v>
      </c>
      <c r="AM73" s="64" t="s">
        <v>9</v>
      </c>
      <c r="AN73" s="61" t="s">
        <v>9</v>
      </c>
      <c r="AO73" s="64" t="s">
        <v>9</v>
      </c>
      <c r="AP73" s="61" t="s">
        <v>134</v>
      </c>
      <c r="AQ73" s="45" t="s">
        <v>1611</v>
      </c>
      <c r="AR73" s="61" t="s">
        <v>135</v>
      </c>
      <c r="AS73" s="45" t="s">
        <v>1611</v>
      </c>
      <c r="AT73" s="61" t="s">
        <v>1623</v>
      </c>
      <c r="AU73" s="45" t="s">
        <v>1624</v>
      </c>
    </row>
    <row r="74" spans="1:47" ht="6.75" customHeight="1" x14ac:dyDescent="0.4">
      <c r="A74" s="84">
        <v>74</v>
      </c>
      <c r="B74" s="80" t="s">
        <v>401</v>
      </c>
      <c r="C74" s="41" t="s">
        <v>235</v>
      </c>
      <c r="D74" s="62" t="s">
        <v>9</v>
      </c>
      <c r="E74" s="68" t="s">
        <v>9</v>
      </c>
      <c r="F74" s="62" t="s">
        <v>9</v>
      </c>
      <c r="G74" s="68" t="s">
        <v>9</v>
      </c>
      <c r="H74" s="62" t="s">
        <v>9</v>
      </c>
      <c r="I74" s="68" t="s">
        <v>9</v>
      </c>
      <c r="J74" s="61" t="s">
        <v>86</v>
      </c>
      <c r="K74" s="45" t="s">
        <v>1607</v>
      </c>
      <c r="L74" s="61" t="s">
        <v>86</v>
      </c>
      <c r="M74" s="42" t="s">
        <v>402</v>
      </c>
      <c r="N74" s="61" t="s">
        <v>87</v>
      </c>
      <c r="O74" s="45">
        <v>19</v>
      </c>
      <c r="P74" s="61" t="s">
        <v>88</v>
      </c>
      <c r="Q74" s="39">
        <v>19</v>
      </c>
      <c r="R74" s="61" t="s">
        <v>89</v>
      </c>
      <c r="S74" s="39">
        <v>29</v>
      </c>
      <c r="T74" s="61" t="s">
        <v>362</v>
      </c>
      <c r="U74" s="43">
        <v>5</v>
      </c>
      <c r="V74" s="63" t="s">
        <v>96</v>
      </c>
      <c r="W74" s="64" t="s">
        <v>354</v>
      </c>
      <c r="X74" s="61" t="s">
        <v>1652</v>
      </c>
      <c r="Y74" s="64" t="s">
        <v>364</v>
      </c>
      <c r="Z74" s="61" t="s">
        <v>9</v>
      </c>
      <c r="AA74" s="64" t="s">
        <v>9</v>
      </c>
      <c r="AB74" s="61" t="s">
        <v>9</v>
      </c>
      <c r="AC74" s="64" t="s">
        <v>9</v>
      </c>
      <c r="AD74" s="61" t="s">
        <v>9</v>
      </c>
      <c r="AE74" s="64" t="s">
        <v>9</v>
      </c>
      <c r="AF74" s="61" t="s">
        <v>9</v>
      </c>
      <c r="AG74" s="64" t="s">
        <v>9</v>
      </c>
      <c r="AH74" s="61" t="s">
        <v>9</v>
      </c>
      <c r="AI74" s="64" t="s">
        <v>9</v>
      </c>
      <c r="AJ74" s="61" t="s">
        <v>9</v>
      </c>
      <c r="AK74" s="64" t="s">
        <v>9</v>
      </c>
      <c r="AL74" s="61" t="s">
        <v>9</v>
      </c>
      <c r="AM74" s="64" t="s">
        <v>9</v>
      </c>
      <c r="AN74" s="61" t="s">
        <v>9</v>
      </c>
      <c r="AO74" s="64" t="s">
        <v>9</v>
      </c>
      <c r="AP74" s="61" t="s">
        <v>134</v>
      </c>
      <c r="AQ74" s="45" t="s">
        <v>1611</v>
      </c>
      <c r="AR74" s="61" t="s">
        <v>135</v>
      </c>
      <c r="AS74" s="45" t="s">
        <v>1611</v>
      </c>
      <c r="AT74" s="61" t="s">
        <v>1623</v>
      </c>
      <c r="AU74" s="45" t="s">
        <v>1624</v>
      </c>
    </row>
    <row r="75" spans="1:47" ht="6.75" customHeight="1" x14ac:dyDescent="0.4">
      <c r="A75" s="84">
        <v>75</v>
      </c>
      <c r="B75" s="80" t="s">
        <v>403</v>
      </c>
      <c r="C75" s="41" t="s">
        <v>232</v>
      </c>
      <c r="D75" s="62" t="s">
        <v>9</v>
      </c>
      <c r="E75" s="68" t="s">
        <v>9</v>
      </c>
      <c r="F75" s="62" t="s">
        <v>9</v>
      </c>
      <c r="G75" s="68" t="s">
        <v>9</v>
      </c>
      <c r="H75" s="62" t="s">
        <v>9</v>
      </c>
      <c r="I75" s="68" t="s">
        <v>9</v>
      </c>
      <c r="J75" s="61" t="s">
        <v>86</v>
      </c>
      <c r="K75" s="45" t="s">
        <v>1607</v>
      </c>
      <c r="L75" s="61" t="s">
        <v>86</v>
      </c>
      <c r="M75" s="42" t="s">
        <v>404</v>
      </c>
      <c r="N75" s="61" t="s">
        <v>87</v>
      </c>
      <c r="O75" s="45">
        <v>9</v>
      </c>
      <c r="P75" s="61" t="s">
        <v>88</v>
      </c>
      <c r="Q75" s="39">
        <v>19</v>
      </c>
      <c r="R75" s="61" t="s">
        <v>89</v>
      </c>
      <c r="S75" s="39">
        <v>29</v>
      </c>
      <c r="T75" s="61" t="s">
        <v>362</v>
      </c>
      <c r="U75" s="43">
        <v>3.5</v>
      </c>
      <c r="V75" s="63" t="s">
        <v>96</v>
      </c>
      <c r="W75" s="64" t="s">
        <v>354</v>
      </c>
      <c r="X75" s="61" t="s">
        <v>1652</v>
      </c>
      <c r="Y75" s="64" t="s">
        <v>364</v>
      </c>
      <c r="Z75" s="61" t="s">
        <v>9</v>
      </c>
      <c r="AA75" s="64" t="s">
        <v>9</v>
      </c>
      <c r="AB75" s="61" t="s">
        <v>9</v>
      </c>
      <c r="AC75" s="64" t="s">
        <v>9</v>
      </c>
      <c r="AD75" s="61" t="s">
        <v>9</v>
      </c>
      <c r="AE75" s="64" t="s">
        <v>9</v>
      </c>
      <c r="AF75" s="61" t="s">
        <v>9</v>
      </c>
      <c r="AG75" s="64" t="s">
        <v>9</v>
      </c>
      <c r="AH75" s="61" t="s">
        <v>9</v>
      </c>
      <c r="AI75" s="64" t="s">
        <v>9</v>
      </c>
      <c r="AJ75" s="61" t="s">
        <v>9</v>
      </c>
      <c r="AK75" s="64" t="s">
        <v>9</v>
      </c>
      <c r="AL75" s="61" t="s">
        <v>9</v>
      </c>
      <c r="AM75" s="64" t="s">
        <v>9</v>
      </c>
      <c r="AN75" s="61" t="s">
        <v>9</v>
      </c>
      <c r="AO75" s="64" t="s">
        <v>9</v>
      </c>
      <c r="AP75" s="61" t="s">
        <v>134</v>
      </c>
      <c r="AQ75" s="45" t="s">
        <v>1611</v>
      </c>
      <c r="AR75" s="61" t="s">
        <v>135</v>
      </c>
      <c r="AS75" s="45" t="s">
        <v>1611</v>
      </c>
      <c r="AT75" s="61" t="s">
        <v>1623</v>
      </c>
      <c r="AU75" s="45" t="s">
        <v>1624</v>
      </c>
    </row>
    <row r="76" spans="1:47" ht="6.75" customHeight="1" x14ac:dyDescent="0.4">
      <c r="A76" s="84">
        <v>76</v>
      </c>
      <c r="B76" s="80" t="s">
        <v>405</v>
      </c>
      <c r="C76" s="41" t="s">
        <v>232</v>
      </c>
      <c r="D76" s="62" t="s">
        <v>9</v>
      </c>
      <c r="E76" s="68" t="s">
        <v>9</v>
      </c>
      <c r="F76" s="62" t="s">
        <v>9</v>
      </c>
      <c r="G76" s="68" t="s">
        <v>9</v>
      </c>
      <c r="H76" s="62" t="s">
        <v>9</v>
      </c>
      <c r="I76" s="68" t="s">
        <v>9</v>
      </c>
      <c r="J76" s="61" t="s">
        <v>86</v>
      </c>
      <c r="K76" s="45" t="s">
        <v>1607</v>
      </c>
      <c r="L76" s="61" t="s">
        <v>86</v>
      </c>
      <c r="M76" s="42" t="s">
        <v>406</v>
      </c>
      <c r="N76" s="61" t="s">
        <v>87</v>
      </c>
      <c r="O76" s="45">
        <v>11.5</v>
      </c>
      <c r="P76" s="61" t="s">
        <v>88</v>
      </c>
      <c r="Q76" s="39">
        <v>19</v>
      </c>
      <c r="R76" s="61" t="s">
        <v>89</v>
      </c>
      <c r="S76" s="39">
        <v>29</v>
      </c>
      <c r="T76" s="61" t="s">
        <v>362</v>
      </c>
      <c r="U76" s="43">
        <v>3.8</v>
      </c>
      <c r="V76" s="63" t="s">
        <v>96</v>
      </c>
      <c r="W76" s="64" t="s">
        <v>354</v>
      </c>
      <c r="X76" s="61" t="s">
        <v>1652</v>
      </c>
      <c r="Y76" s="64" t="s">
        <v>364</v>
      </c>
      <c r="Z76" s="61" t="s">
        <v>9</v>
      </c>
      <c r="AA76" s="64" t="s">
        <v>9</v>
      </c>
      <c r="AB76" s="61" t="s">
        <v>9</v>
      </c>
      <c r="AC76" s="64" t="s">
        <v>9</v>
      </c>
      <c r="AD76" s="61" t="s">
        <v>9</v>
      </c>
      <c r="AE76" s="64" t="s">
        <v>9</v>
      </c>
      <c r="AF76" s="61" t="s">
        <v>9</v>
      </c>
      <c r="AG76" s="64" t="s">
        <v>9</v>
      </c>
      <c r="AH76" s="61" t="s">
        <v>9</v>
      </c>
      <c r="AI76" s="64" t="s">
        <v>9</v>
      </c>
      <c r="AJ76" s="61" t="s">
        <v>9</v>
      </c>
      <c r="AK76" s="64" t="s">
        <v>9</v>
      </c>
      <c r="AL76" s="61" t="s">
        <v>9</v>
      </c>
      <c r="AM76" s="64" t="s">
        <v>9</v>
      </c>
      <c r="AN76" s="61" t="s">
        <v>9</v>
      </c>
      <c r="AO76" s="64" t="s">
        <v>9</v>
      </c>
      <c r="AP76" s="61" t="s">
        <v>134</v>
      </c>
      <c r="AQ76" s="45" t="s">
        <v>1611</v>
      </c>
      <c r="AR76" s="61" t="s">
        <v>135</v>
      </c>
      <c r="AS76" s="45" t="s">
        <v>1611</v>
      </c>
      <c r="AT76" s="61" t="s">
        <v>1623</v>
      </c>
      <c r="AU76" s="45" t="s">
        <v>1624</v>
      </c>
    </row>
    <row r="77" spans="1:47" ht="6.75" customHeight="1" x14ac:dyDescent="0.4">
      <c r="A77" s="84">
        <v>77</v>
      </c>
      <c r="B77" s="80" t="s">
        <v>407</v>
      </c>
      <c r="C77" s="41" t="s">
        <v>232</v>
      </c>
      <c r="D77" s="62" t="s">
        <v>9</v>
      </c>
      <c r="E77" s="68" t="s">
        <v>9</v>
      </c>
      <c r="F77" s="62" t="s">
        <v>9</v>
      </c>
      <c r="G77" s="68" t="s">
        <v>9</v>
      </c>
      <c r="H77" s="62" t="s">
        <v>9</v>
      </c>
      <c r="I77" s="68" t="s">
        <v>9</v>
      </c>
      <c r="J77" s="61" t="s">
        <v>86</v>
      </c>
      <c r="K77" s="45" t="s">
        <v>1607</v>
      </c>
      <c r="L77" s="61" t="s">
        <v>86</v>
      </c>
      <c r="M77" s="42" t="s">
        <v>408</v>
      </c>
      <c r="N77" s="61" t="s">
        <v>87</v>
      </c>
      <c r="O77" s="45">
        <v>14</v>
      </c>
      <c r="P77" s="61" t="s">
        <v>88</v>
      </c>
      <c r="Q77" s="39">
        <v>19</v>
      </c>
      <c r="R77" s="61" t="s">
        <v>89</v>
      </c>
      <c r="S77" s="39">
        <v>29</v>
      </c>
      <c r="T77" s="61" t="s">
        <v>362</v>
      </c>
      <c r="U77" s="43">
        <v>4.5</v>
      </c>
      <c r="V77" s="63" t="s">
        <v>96</v>
      </c>
      <c r="W77" s="64" t="s">
        <v>354</v>
      </c>
      <c r="X77" s="61" t="s">
        <v>1652</v>
      </c>
      <c r="Y77" s="64" t="s">
        <v>364</v>
      </c>
      <c r="Z77" s="61" t="s">
        <v>9</v>
      </c>
      <c r="AA77" s="64" t="s">
        <v>9</v>
      </c>
      <c r="AB77" s="61" t="s">
        <v>9</v>
      </c>
      <c r="AC77" s="64" t="s">
        <v>9</v>
      </c>
      <c r="AD77" s="61" t="s">
        <v>9</v>
      </c>
      <c r="AE77" s="64" t="s">
        <v>9</v>
      </c>
      <c r="AF77" s="61" t="s">
        <v>9</v>
      </c>
      <c r="AG77" s="64" t="s">
        <v>9</v>
      </c>
      <c r="AH77" s="61" t="s">
        <v>9</v>
      </c>
      <c r="AI77" s="64" t="s">
        <v>9</v>
      </c>
      <c r="AJ77" s="61" t="s">
        <v>9</v>
      </c>
      <c r="AK77" s="64" t="s">
        <v>9</v>
      </c>
      <c r="AL77" s="61" t="s">
        <v>9</v>
      </c>
      <c r="AM77" s="64" t="s">
        <v>9</v>
      </c>
      <c r="AN77" s="61" t="s">
        <v>9</v>
      </c>
      <c r="AO77" s="64" t="s">
        <v>9</v>
      </c>
      <c r="AP77" s="61" t="s">
        <v>134</v>
      </c>
      <c r="AQ77" s="45" t="s">
        <v>1611</v>
      </c>
      <c r="AR77" s="61" t="s">
        <v>135</v>
      </c>
      <c r="AS77" s="45" t="s">
        <v>1611</v>
      </c>
      <c r="AT77" s="61" t="s">
        <v>1623</v>
      </c>
      <c r="AU77" s="45" t="s">
        <v>1624</v>
      </c>
    </row>
    <row r="78" spans="1:47" ht="6.75" customHeight="1" x14ac:dyDescent="0.4">
      <c r="A78" s="84">
        <v>78</v>
      </c>
      <c r="B78" s="80" t="s">
        <v>409</v>
      </c>
      <c r="C78" s="41" t="s">
        <v>232</v>
      </c>
      <c r="D78" s="62" t="s">
        <v>9</v>
      </c>
      <c r="E78" s="68" t="s">
        <v>9</v>
      </c>
      <c r="F78" s="62" t="s">
        <v>9</v>
      </c>
      <c r="G78" s="68" t="s">
        <v>9</v>
      </c>
      <c r="H78" s="62" t="s">
        <v>9</v>
      </c>
      <c r="I78" s="68" t="s">
        <v>9</v>
      </c>
      <c r="J78" s="61" t="s">
        <v>86</v>
      </c>
      <c r="K78" s="45" t="s">
        <v>1607</v>
      </c>
      <c r="L78" s="61" t="s">
        <v>86</v>
      </c>
      <c r="M78" s="42" t="s">
        <v>410</v>
      </c>
      <c r="N78" s="61" t="s">
        <v>87</v>
      </c>
      <c r="O78" s="45">
        <v>19</v>
      </c>
      <c r="P78" s="61" t="s">
        <v>88</v>
      </c>
      <c r="Q78" s="39">
        <v>19</v>
      </c>
      <c r="R78" s="61" t="s">
        <v>89</v>
      </c>
      <c r="S78" s="39">
        <v>29</v>
      </c>
      <c r="T78" s="61" t="s">
        <v>362</v>
      </c>
      <c r="U78" s="43">
        <v>5</v>
      </c>
      <c r="V78" s="63" t="s">
        <v>96</v>
      </c>
      <c r="W78" s="64" t="s">
        <v>354</v>
      </c>
      <c r="X78" s="61" t="s">
        <v>1652</v>
      </c>
      <c r="Y78" s="64" t="s">
        <v>364</v>
      </c>
      <c r="Z78" s="61" t="s">
        <v>9</v>
      </c>
      <c r="AA78" s="64" t="s">
        <v>9</v>
      </c>
      <c r="AB78" s="61" t="s">
        <v>9</v>
      </c>
      <c r="AC78" s="64" t="s">
        <v>9</v>
      </c>
      <c r="AD78" s="61" t="s">
        <v>9</v>
      </c>
      <c r="AE78" s="64" t="s">
        <v>9</v>
      </c>
      <c r="AF78" s="61" t="s">
        <v>9</v>
      </c>
      <c r="AG78" s="64" t="s">
        <v>9</v>
      </c>
      <c r="AH78" s="61" t="s">
        <v>9</v>
      </c>
      <c r="AI78" s="64" t="s">
        <v>9</v>
      </c>
      <c r="AJ78" s="61" t="s">
        <v>9</v>
      </c>
      <c r="AK78" s="64" t="s">
        <v>9</v>
      </c>
      <c r="AL78" s="61" t="s">
        <v>9</v>
      </c>
      <c r="AM78" s="64" t="s">
        <v>9</v>
      </c>
      <c r="AN78" s="61" t="s">
        <v>9</v>
      </c>
      <c r="AO78" s="64" t="s">
        <v>9</v>
      </c>
      <c r="AP78" s="61" t="s">
        <v>134</v>
      </c>
      <c r="AQ78" s="45" t="s">
        <v>1611</v>
      </c>
      <c r="AR78" s="61" t="s">
        <v>135</v>
      </c>
      <c r="AS78" s="45" t="s">
        <v>1611</v>
      </c>
      <c r="AT78" s="61" t="s">
        <v>1623</v>
      </c>
      <c r="AU78" s="45" t="s">
        <v>1624</v>
      </c>
    </row>
    <row r="79" spans="1:47" ht="6.75" customHeight="1" x14ac:dyDescent="0.4">
      <c r="A79" s="84">
        <v>79</v>
      </c>
      <c r="B79" s="79" t="s">
        <v>164</v>
      </c>
      <c r="C79" s="48" t="s">
        <v>159</v>
      </c>
      <c r="D79" s="62" t="s">
        <v>9</v>
      </c>
      <c r="E79" s="68" t="s">
        <v>9</v>
      </c>
      <c r="F79" s="62" t="s">
        <v>9</v>
      </c>
      <c r="G79" s="68" t="s">
        <v>9</v>
      </c>
      <c r="H79" s="62" t="s">
        <v>9</v>
      </c>
      <c r="I79" s="68" t="s">
        <v>9</v>
      </c>
      <c r="J79" s="61" t="s">
        <v>86</v>
      </c>
      <c r="K79" s="45" t="s">
        <v>1607</v>
      </c>
      <c r="L79" s="61" t="s">
        <v>86</v>
      </c>
      <c r="M79" s="42" t="s">
        <v>165</v>
      </c>
      <c r="N79" s="61" t="s">
        <v>87</v>
      </c>
      <c r="O79" s="45">
        <v>3.5</v>
      </c>
      <c r="P79" s="61" t="s">
        <v>166</v>
      </c>
      <c r="Q79" s="75">
        <v>62.5</v>
      </c>
      <c r="R79" s="61" t="s">
        <v>89</v>
      </c>
      <c r="S79" s="75">
        <v>125</v>
      </c>
      <c r="T79" s="61" t="s">
        <v>9</v>
      </c>
      <c r="U79" s="39" t="s">
        <v>9</v>
      </c>
      <c r="V79" s="63" t="s">
        <v>96</v>
      </c>
      <c r="W79" s="64" t="s">
        <v>167</v>
      </c>
      <c r="X79" s="61" t="s">
        <v>1652</v>
      </c>
      <c r="Y79" s="45" t="s">
        <v>168</v>
      </c>
      <c r="Z79" s="61" t="s">
        <v>169</v>
      </c>
      <c r="AA79" s="45">
        <v>0.15</v>
      </c>
      <c r="AB79" s="61" t="s">
        <v>170</v>
      </c>
      <c r="AC79" s="45">
        <v>0.48</v>
      </c>
      <c r="AD79" s="61" t="s">
        <v>171</v>
      </c>
      <c r="AE79" s="45">
        <v>0.76</v>
      </c>
      <c r="AF79" s="61" t="s">
        <v>172</v>
      </c>
      <c r="AG79" s="45">
        <v>0.86</v>
      </c>
      <c r="AH79" s="61" t="s">
        <v>173</v>
      </c>
      <c r="AI79" s="45">
        <v>1.08</v>
      </c>
      <c r="AJ79" s="61" t="s">
        <v>174</v>
      </c>
      <c r="AK79" s="45">
        <v>1.03</v>
      </c>
      <c r="AL79" s="61" t="s">
        <v>175</v>
      </c>
      <c r="AM79" s="45">
        <v>0.8</v>
      </c>
      <c r="AN79" s="61" t="s">
        <v>9</v>
      </c>
      <c r="AO79" s="45" t="s">
        <v>9</v>
      </c>
      <c r="AP79" s="61" t="s">
        <v>134</v>
      </c>
      <c r="AQ79" s="45" t="s">
        <v>1611</v>
      </c>
      <c r="AR79" s="61" t="s">
        <v>135</v>
      </c>
      <c r="AS79" s="45" t="s">
        <v>1611</v>
      </c>
      <c r="AT79" s="61" t="s">
        <v>1623</v>
      </c>
      <c r="AU79" s="45" t="s">
        <v>1624</v>
      </c>
    </row>
    <row r="80" spans="1:47" ht="6.75" customHeight="1" x14ac:dyDescent="0.4">
      <c r="A80" s="84">
        <v>80</v>
      </c>
      <c r="B80" s="79" t="s">
        <v>176</v>
      </c>
      <c r="C80" s="48" t="s">
        <v>159</v>
      </c>
      <c r="D80" s="62" t="s">
        <v>9</v>
      </c>
      <c r="E80" s="68" t="s">
        <v>9</v>
      </c>
      <c r="F80" s="62" t="s">
        <v>9</v>
      </c>
      <c r="G80" s="68" t="s">
        <v>9</v>
      </c>
      <c r="H80" s="62" t="s">
        <v>9</v>
      </c>
      <c r="I80" s="68" t="s">
        <v>9</v>
      </c>
      <c r="J80" s="61" t="s">
        <v>86</v>
      </c>
      <c r="K80" s="45" t="s">
        <v>1607</v>
      </c>
      <c r="L80" s="61" t="s">
        <v>86</v>
      </c>
      <c r="M80" s="42" t="s">
        <v>165</v>
      </c>
      <c r="N80" s="61" t="s">
        <v>87</v>
      </c>
      <c r="O80" s="45">
        <v>3.5</v>
      </c>
      <c r="P80" s="61" t="s">
        <v>166</v>
      </c>
      <c r="Q80" s="75">
        <v>31.2</v>
      </c>
      <c r="R80" s="61" t="s">
        <v>89</v>
      </c>
      <c r="S80" s="75">
        <v>125</v>
      </c>
      <c r="T80" s="61" t="s">
        <v>9</v>
      </c>
      <c r="U80" s="39" t="s">
        <v>9</v>
      </c>
      <c r="V80" s="63" t="s">
        <v>96</v>
      </c>
      <c r="W80" s="64" t="s">
        <v>167</v>
      </c>
      <c r="X80" s="61" t="s">
        <v>1652</v>
      </c>
      <c r="Y80" s="45" t="s">
        <v>168</v>
      </c>
      <c r="Z80" s="61" t="s">
        <v>169</v>
      </c>
      <c r="AA80" s="45">
        <v>0.15</v>
      </c>
      <c r="AB80" s="61" t="s">
        <v>170</v>
      </c>
      <c r="AC80" s="45">
        <v>0.48</v>
      </c>
      <c r="AD80" s="61" t="s">
        <v>171</v>
      </c>
      <c r="AE80" s="45">
        <v>0.76</v>
      </c>
      <c r="AF80" s="61" t="s">
        <v>172</v>
      </c>
      <c r="AG80" s="45">
        <v>0.86</v>
      </c>
      <c r="AH80" s="61" t="s">
        <v>173</v>
      </c>
      <c r="AI80" s="45">
        <v>1.08</v>
      </c>
      <c r="AJ80" s="61" t="s">
        <v>174</v>
      </c>
      <c r="AK80" s="45">
        <v>1.03</v>
      </c>
      <c r="AL80" s="61" t="s">
        <v>175</v>
      </c>
      <c r="AM80" s="45">
        <v>0.8</v>
      </c>
      <c r="AN80" s="61" t="s">
        <v>9</v>
      </c>
      <c r="AO80" s="45" t="s">
        <v>9</v>
      </c>
      <c r="AP80" s="61" t="s">
        <v>134</v>
      </c>
      <c r="AQ80" s="45" t="s">
        <v>1611</v>
      </c>
      <c r="AR80" s="61" t="s">
        <v>135</v>
      </c>
      <c r="AS80" s="45" t="s">
        <v>1611</v>
      </c>
      <c r="AT80" s="61" t="s">
        <v>1623</v>
      </c>
      <c r="AU80" s="45" t="s">
        <v>1624</v>
      </c>
    </row>
    <row r="81" spans="1:47" ht="6.75" customHeight="1" x14ac:dyDescent="0.4">
      <c r="A81" s="84">
        <v>81</v>
      </c>
      <c r="B81" s="79" t="s">
        <v>177</v>
      </c>
      <c r="C81" s="48" t="s">
        <v>159</v>
      </c>
      <c r="D81" s="62" t="s">
        <v>9</v>
      </c>
      <c r="E81" s="68" t="s">
        <v>9</v>
      </c>
      <c r="F81" s="62" t="s">
        <v>9</v>
      </c>
      <c r="G81" s="68" t="s">
        <v>9</v>
      </c>
      <c r="H81" s="62" t="s">
        <v>9</v>
      </c>
      <c r="I81" s="68" t="s">
        <v>9</v>
      </c>
      <c r="J81" s="61" t="s">
        <v>86</v>
      </c>
      <c r="K81" s="45" t="s">
        <v>1607</v>
      </c>
      <c r="L81" s="61" t="s">
        <v>86</v>
      </c>
      <c r="M81" s="42" t="s">
        <v>165</v>
      </c>
      <c r="N81" s="61" t="s">
        <v>87</v>
      </c>
      <c r="O81" s="45">
        <v>3.5</v>
      </c>
      <c r="P81" s="61" t="s">
        <v>166</v>
      </c>
      <c r="Q81" s="75">
        <v>15.6</v>
      </c>
      <c r="R81" s="61" t="s">
        <v>89</v>
      </c>
      <c r="S81" s="75">
        <v>125</v>
      </c>
      <c r="T81" s="61" t="s">
        <v>9</v>
      </c>
      <c r="U81" s="39" t="s">
        <v>9</v>
      </c>
      <c r="V81" s="63" t="s">
        <v>96</v>
      </c>
      <c r="W81" s="64" t="s">
        <v>167</v>
      </c>
      <c r="X81" s="61" t="s">
        <v>1652</v>
      </c>
      <c r="Y81" s="45" t="s">
        <v>168</v>
      </c>
      <c r="Z81" s="61" t="s">
        <v>169</v>
      </c>
      <c r="AA81" s="45">
        <v>0.15</v>
      </c>
      <c r="AB81" s="61" t="s">
        <v>170</v>
      </c>
      <c r="AC81" s="45">
        <v>0.48</v>
      </c>
      <c r="AD81" s="61" t="s">
        <v>171</v>
      </c>
      <c r="AE81" s="45">
        <v>0.76</v>
      </c>
      <c r="AF81" s="61" t="s">
        <v>172</v>
      </c>
      <c r="AG81" s="45">
        <v>0.86</v>
      </c>
      <c r="AH81" s="61" t="s">
        <v>173</v>
      </c>
      <c r="AI81" s="45">
        <v>1.08</v>
      </c>
      <c r="AJ81" s="61" t="s">
        <v>174</v>
      </c>
      <c r="AK81" s="45">
        <v>1.03</v>
      </c>
      <c r="AL81" s="61" t="s">
        <v>175</v>
      </c>
      <c r="AM81" s="45">
        <v>0.8</v>
      </c>
      <c r="AN81" s="61" t="s">
        <v>9</v>
      </c>
      <c r="AO81" s="45" t="s">
        <v>9</v>
      </c>
      <c r="AP81" s="61" t="s">
        <v>134</v>
      </c>
      <c r="AQ81" s="45" t="s">
        <v>1611</v>
      </c>
      <c r="AR81" s="61" t="s">
        <v>135</v>
      </c>
      <c r="AS81" s="45" t="s">
        <v>1611</v>
      </c>
      <c r="AT81" s="61" t="s">
        <v>1623</v>
      </c>
      <c r="AU81" s="45" t="s">
        <v>1624</v>
      </c>
    </row>
    <row r="82" spans="1:47" ht="6.75" customHeight="1" x14ac:dyDescent="0.4">
      <c r="A82" s="84">
        <v>82</v>
      </c>
      <c r="B82" s="79" t="s">
        <v>178</v>
      </c>
      <c r="C82" s="48" t="s">
        <v>159</v>
      </c>
      <c r="D82" s="62" t="s">
        <v>9</v>
      </c>
      <c r="E82" s="68" t="s">
        <v>9</v>
      </c>
      <c r="F82" s="62" t="s">
        <v>9</v>
      </c>
      <c r="G82" s="68" t="s">
        <v>9</v>
      </c>
      <c r="H82" s="62" t="s">
        <v>9</v>
      </c>
      <c r="I82" s="68" t="s">
        <v>9</v>
      </c>
      <c r="J82" s="61" t="s">
        <v>86</v>
      </c>
      <c r="K82" s="45" t="s">
        <v>1607</v>
      </c>
      <c r="L82" s="61" t="s">
        <v>86</v>
      </c>
      <c r="M82" s="42" t="s">
        <v>179</v>
      </c>
      <c r="N82" s="61" t="s">
        <v>87</v>
      </c>
      <c r="O82" s="45">
        <v>4</v>
      </c>
      <c r="P82" s="61" t="s">
        <v>166</v>
      </c>
      <c r="Q82" s="75">
        <v>20</v>
      </c>
      <c r="R82" s="61" t="s">
        <v>89</v>
      </c>
      <c r="S82" s="75">
        <v>80</v>
      </c>
      <c r="T82" s="61" t="s">
        <v>9</v>
      </c>
      <c r="U82" s="39" t="s">
        <v>9</v>
      </c>
      <c r="V82" s="63" t="s">
        <v>96</v>
      </c>
      <c r="W82" s="64" t="s">
        <v>167</v>
      </c>
      <c r="X82" s="61" t="s">
        <v>1652</v>
      </c>
      <c r="Y82" s="45" t="s">
        <v>180</v>
      </c>
      <c r="Z82" s="61" t="s">
        <v>169</v>
      </c>
      <c r="AA82" s="45">
        <v>0.71</v>
      </c>
      <c r="AB82" s="61" t="s">
        <v>170</v>
      </c>
      <c r="AC82" s="45">
        <v>1.1100000000000001</v>
      </c>
      <c r="AD82" s="61" t="s">
        <v>171</v>
      </c>
      <c r="AE82" s="45">
        <v>1.45</v>
      </c>
      <c r="AF82" s="61" t="s">
        <v>172</v>
      </c>
      <c r="AG82" s="45">
        <v>2.0299999999999998</v>
      </c>
      <c r="AH82" s="61" t="s">
        <v>173</v>
      </c>
      <c r="AI82" s="45">
        <v>2.08</v>
      </c>
      <c r="AJ82" s="61" t="s">
        <v>174</v>
      </c>
      <c r="AK82" s="45">
        <v>1.96</v>
      </c>
      <c r="AL82" s="61" t="s">
        <v>9</v>
      </c>
      <c r="AM82" s="45" t="s">
        <v>9</v>
      </c>
      <c r="AN82" s="61" t="s">
        <v>9</v>
      </c>
      <c r="AO82" s="45" t="s">
        <v>9</v>
      </c>
      <c r="AP82" s="61" t="s">
        <v>134</v>
      </c>
      <c r="AQ82" s="45" t="s">
        <v>1611</v>
      </c>
      <c r="AR82" s="61" t="s">
        <v>135</v>
      </c>
      <c r="AS82" s="45" t="s">
        <v>1611</v>
      </c>
      <c r="AT82" s="61" t="s">
        <v>1623</v>
      </c>
      <c r="AU82" s="45" t="s">
        <v>1624</v>
      </c>
    </row>
    <row r="83" spans="1:47" ht="6.75" customHeight="1" x14ac:dyDescent="0.4">
      <c r="A83" s="84">
        <v>83</v>
      </c>
      <c r="B83" s="79" t="s">
        <v>181</v>
      </c>
      <c r="C83" s="48" t="s">
        <v>159</v>
      </c>
      <c r="D83" s="62" t="s">
        <v>9</v>
      </c>
      <c r="E83" s="68" t="s">
        <v>9</v>
      </c>
      <c r="F83" s="62" t="s">
        <v>9</v>
      </c>
      <c r="G83" s="68" t="s">
        <v>9</v>
      </c>
      <c r="H83" s="62" t="s">
        <v>9</v>
      </c>
      <c r="I83" s="68" t="s">
        <v>9</v>
      </c>
      <c r="J83" s="61" t="s">
        <v>86</v>
      </c>
      <c r="K83" s="45" t="s">
        <v>1607</v>
      </c>
      <c r="L83" s="61" t="s">
        <v>86</v>
      </c>
      <c r="M83" s="42" t="s">
        <v>179</v>
      </c>
      <c r="N83" s="61" t="s">
        <v>87</v>
      </c>
      <c r="O83" s="45">
        <v>4</v>
      </c>
      <c r="P83" s="61" t="s">
        <v>166</v>
      </c>
      <c r="Q83" s="75">
        <v>20</v>
      </c>
      <c r="R83" s="61" t="s">
        <v>89</v>
      </c>
      <c r="S83" s="75">
        <v>120</v>
      </c>
      <c r="T83" s="61" t="s">
        <v>9</v>
      </c>
      <c r="U83" s="39" t="s">
        <v>9</v>
      </c>
      <c r="V83" s="63" t="s">
        <v>96</v>
      </c>
      <c r="W83" s="64" t="s">
        <v>167</v>
      </c>
      <c r="X83" s="61" t="s">
        <v>1652</v>
      </c>
      <c r="Y83" s="45" t="s">
        <v>180</v>
      </c>
      <c r="Z83" s="61" t="s">
        <v>169</v>
      </c>
      <c r="AA83" s="45">
        <v>0.71</v>
      </c>
      <c r="AB83" s="61" t="s">
        <v>170</v>
      </c>
      <c r="AC83" s="45">
        <v>1.1100000000000001</v>
      </c>
      <c r="AD83" s="61" t="s">
        <v>171</v>
      </c>
      <c r="AE83" s="45">
        <v>1.45</v>
      </c>
      <c r="AF83" s="61" t="s">
        <v>172</v>
      </c>
      <c r="AG83" s="45">
        <v>2.0299999999999998</v>
      </c>
      <c r="AH83" s="61" t="s">
        <v>173</v>
      </c>
      <c r="AI83" s="45">
        <v>2.08</v>
      </c>
      <c r="AJ83" s="61" t="s">
        <v>174</v>
      </c>
      <c r="AK83" s="45">
        <v>1.96</v>
      </c>
      <c r="AL83" s="61" t="s">
        <v>9</v>
      </c>
      <c r="AM83" s="45" t="s">
        <v>9</v>
      </c>
      <c r="AN83" s="61" t="s">
        <v>9</v>
      </c>
      <c r="AO83" s="45" t="s">
        <v>9</v>
      </c>
      <c r="AP83" s="61" t="s">
        <v>134</v>
      </c>
      <c r="AQ83" s="45" t="s">
        <v>1611</v>
      </c>
      <c r="AR83" s="61" t="s">
        <v>135</v>
      </c>
      <c r="AS83" s="45" t="s">
        <v>1611</v>
      </c>
      <c r="AT83" s="61" t="s">
        <v>1623</v>
      </c>
      <c r="AU83" s="45" t="s">
        <v>1624</v>
      </c>
    </row>
    <row r="84" spans="1:47" ht="6.75" customHeight="1" x14ac:dyDescent="0.4">
      <c r="A84" s="84">
        <v>84</v>
      </c>
      <c r="B84" s="79" t="s">
        <v>182</v>
      </c>
      <c r="C84" s="48" t="s">
        <v>159</v>
      </c>
      <c r="D84" s="62" t="s">
        <v>9</v>
      </c>
      <c r="E84" s="68" t="s">
        <v>9</v>
      </c>
      <c r="F84" s="62" t="s">
        <v>9</v>
      </c>
      <c r="G84" s="68" t="s">
        <v>9</v>
      </c>
      <c r="H84" s="62" t="s">
        <v>9</v>
      </c>
      <c r="I84" s="68" t="s">
        <v>9</v>
      </c>
      <c r="J84" s="61" t="s">
        <v>86</v>
      </c>
      <c r="K84" s="45" t="s">
        <v>1607</v>
      </c>
      <c r="L84" s="61" t="s">
        <v>86</v>
      </c>
      <c r="M84" s="42" t="s">
        <v>179</v>
      </c>
      <c r="N84" s="61" t="s">
        <v>87</v>
      </c>
      <c r="O84" s="45">
        <v>4</v>
      </c>
      <c r="P84" s="61" t="s">
        <v>166</v>
      </c>
      <c r="Q84" s="75">
        <v>20</v>
      </c>
      <c r="R84" s="61" t="s">
        <v>89</v>
      </c>
      <c r="S84" s="75">
        <v>120</v>
      </c>
      <c r="T84" s="61" t="s">
        <v>9</v>
      </c>
      <c r="U84" s="39" t="s">
        <v>9</v>
      </c>
      <c r="V84" s="63" t="s">
        <v>96</v>
      </c>
      <c r="W84" s="64" t="s">
        <v>167</v>
      </c>
      <c r="X84" s="61" t="s">
        <v>1652</v>
      </c>
      <c r="Y84" s="45" t="s">
        <v>180</v>
      </c>
      <c r="Z84" s="61" t="s">
        <v>169</v>
      </c>
      <c r="AA84" s="45">
        <v>0.71</v>
      </c>
      <c r="AB84" s="61" t="s">
        <v>170</v>
      </c>
      <c r="AC84" s="45">
        <v>1.1100000000000001</v>
      </c>
      <c r="AD84" s="61" t="s">
        <v>171</v>
      </c>
      <c r="AE84" s="45">
        <v>1.45</v>
      </c>
      <c r="AF84" s="61" t="s">
        <v>172</v>
      </c>
      <c r="AG84" s="45">
        <v>2.0299999999999998</v>
      </c>
      <c r="AH84" s="61" t="s">
        <v>173</v>
      </c>
      <c r="AI84" s="45">
        <v>2.08</v>
      </c>
      <c r="AJ84" s="61" t="s">
        <v>174</v>
      </c>
      <c r="AK84" s="45">
        <v>1.96</v>
      </c>
      <c r="AL84" s="61" t="s">
        <v>9</v>
      </c>
      <c r="AM84" s="45" t="s">
        <v>9</v>
      </c>
      <c r="AN84" s="61" t="s">
        <v>9</v>
      </c>
      <c r="AO84" s="45" t="s">
        <v>9</v>
      </c>
      <c r="AP84" s="61" t="s">
        <v>134</v>
      </c>
      <c r="AQ84" s="45" t="s">
        <v>1611</v>
      </c>
      <c r="AR84" s="61" t="s">
        <v>135</v>
      </c>
      <c r="AS84" s="45" t="s">
        <v>1611</v>
      </c>
      <c r="AT84" s="61" t="s">
        <v>1623</v>
      </c>
      <c r="AU84" s="45" t="s">
        <v>1624</v>
      </c>
    </row>
    <row r="85" spans="1:47" ht="6.75" customHeight="1" x14ac:dyDescent="0.4">
      <c r="A85" s="84">
        <v>85</v>
      </c>
      <c r="B85" s="79" t="s">
        <v>183</v>
      </c>
      <c r="C85" s="48" t="s">
        <v>159</v>
      </c>
      <c r="D85" s="62" t="s">
        <v>9</v>
      </c>
      <c r="E85" s="68" t="s">
        <v>9</v>
      </c>
      <c r="F85" s="62" t="s">
        <v>9</v>
      </c>
      <c r="G85" s="68" t="s">
        <v>9</v>
      </c>
      <c r="H85" s="62" t="s">
        <v>9</v>
      </c>
      <c r="I85" s="68" t="s">
        <v>9</v>
      </c>
      <c r="J85" s="61" t="s">
        <v>86</v>
      </c>
      <c r="K85" s="45" t="s">
        <v>1607</v>
      </c>
      <c r="L85" s="61" t="s">
        <v>86</v>
      </c>
      <c r="M85" s="42" t="s">
        <v>179</v>
      </c>
      <c r="N85" s="61" t="s">
        <v>87</v>
      </c>
      <c r="O85" s="45">
        <v>4</v>
      </c>
      <c r="P85" s="61" t="s">
        <v>166</v>
      </c>
      <c r="Q85" s="75">
        <v>40</v>
      </c>
      <c r="R85" s="61" t="s">
        <v>89</v>
      </c>
      <c r="S85" s="75">
        <v>120</v>
      </c>
      <c r="T85" s="61" t="s">
        <v>9</v>
      </c>
      <c r="U85" s="39" t="s">
        <v>9</v>
      </c>
      <c r="V85" s="63" t="s">
        <v>96</v>
      </c>
      <c r="W85" s="64" t="s">
        <v>167</v>
      </c>
      <c r="X85" s="61" t="s">
        <v>1652</v>
      </c>
      <c r="Y85" s="45" t="s">
        <v>180</v>
      </c>
      <c r="Z85" s="61" t="s">
        <v>169</v>
      </c>
      <c r="AA85" s="45">
        <v>0.71</v>
      </c>
      <c r="AB85" s="61" t="s">
        <v>170</v>
      </c>
      <c r="AC85" s="45">
        <v>1.1100000000000001</v>
      </c>
      <c r="AD85" s="61" t="s">
        <v>171</v>
      </c>
      <c r="AE85" s="45">
        <v>1.45</v>
      </c>
      <c r="AF85" s="61" t="s">
        <v>172</v>
      </c>
      <c r="AG85" s="45">
        <v>2.0299999999999998</v>
      </c>
      <c r="AH85" s="61" t="s">
        <v>173</v>
      </c>
      <c r="AI85" s="45">
        <v>2.08</v>
      </c>
      <c r="AJ85" s="61" t="s">
        <v>174</v>
      </c>
      <c r="AK85" s="45">
        <v>1.96</v>
      </c>
      <c r="AL85" s="61" t="s">
        <v>9</v>
      </c>
      <c r="AM85" s="45" t="s">
        <v>9</v>
      </c>
      <c r="AN85" s="61" t="s">
        <v>9</v>
      </c>
      <c r="AO85" s="45" t="s">
        <v>9</v>
      </c>
      <c r="AP85" s="61" t="s">
        <v>134</v>
      </c>
      <c r="AQ85" s="45" t="s">
        <v>1611</v>
      </c>
      <c r="AR85" s="61" t="s">
        <v>135</v>
      </c>
      <c r="AS85" s="45" t="s">
        <v>1611</v>
      </c>
      <c r="AT85" s="61" t="s">
        <v>1623</v>
      </c>
      <c r="AU85" s="45" t="s">
        <v>1624</v>
      </c>
    </row>
    <row r="86" spans="1:47" ht="6.75" customHeight="1" x14ac:dyDescent="0.4">
      <c r="A86" s="84">
        <v>86</v>
      </c>
      <c r="B86" s="79" t="s">
        <v>184</v>
      </c>
      <c r="C86" s="48" t="s">
        <v>159</v>
      </c>
      <c r="D86" s="62" t="s">
        <v>9</v>
      </c>
      <c r="E86" s="68" t="s">
        <v>9</v>
      </c>
      <c r="F86" s="62" t="s">
        <v>9</v>
      </c>
      <c r="G86" s="68" t="s">
        <v>9</v>
      </c>
      <c r="H86" s="62" t="s">
        <v>9</v>
      </c>
      <c r="I86" s="68" t="s">
        <v>9</v>
      </c>
      <c r="J86" s="61" t="s">
        <v>86</v>
      </c>
      <c r="K86" s="45" t="s">
        <v>1607</v>
      </c>
      <c r="L86" s="61" t="s">
        <v>86</v>
      </c>
      <c r="M86" s="42" t="s">
        <v>179</v>
      </c>
      <c r="N86" s="61" t="s">
        <v>87</v>
      </c>
      <c r="O86" s="45">
        <v>4</v>
      </c>
      <c r="P86" s="61" t="s">
        <v>166</v>
      </c>
      <c r="Q86" s="75">
        <v>40</v>
      </c>
      <c r="R86" s="61" t="s">
        <v>89</v>
      </c>
      <c r="S86" s="75">
        <v>180</v>
      </c>
      <c r="T86" s="61" t="s">
        <v>9</v>
      </c>
      <c r="U86" s="39" t="s">
        <v>9</v>
      </c>
      <c r="V86" s="63" t="s">
        <v>96</v>
      </c>
      <c r="W86" s="64" t="s">
        <v>167</v>
      </c>
      <c r="X86" s="61" t="s">
        <v>1652</v>
      </c>
      <c r="Y86" s="45" t="s">
        <v>180</v>
      </c>
      <c r="Z86" s="61" t="s">
        <v>169</v>
      </c>
      <c r="AA86" s="45">
        <v>0.71</v>
      </c>
      <c r="AB86" s="61" t="s">
        <v>170</v>
      </c>
      <c r="AC86" s="45">
        <v>1.1100000000000001</v>
      </c>
      <c r="AD86" s="61" t="s">
        <v>171</v>
      </c>
      <c r="AE86" s="45">
        <v>1.45</v>
      </c>
      <c r="AF86" s="61" t="s">
        <v>172</v>
      </c>
      <c r="AG86" s="45">
        <v>2.0299999999999998</v>
      </c>
      <c r="AH86" s="61" t="s">
        <v>173</v>
      </c>
      <c r="AI86" s="45">
        <v>2.08</v>
      </c>
      <c r="AJ86" s="61" t="s">
        <v>174</v>
      </c>
      <c r="AK86" s="45">
        <v>1.96</v>
      </c>
      <c r="AL86" s="61" t="s">
        <v>9</v>
      </c>
      <c r="AM86" s="45" t="s">
        <v>9</v>
      </c>
      <c r="AN86" s="61" t="s">
        <v>9</v>
      </c>
      <c r="AO86" s="45" t="s">
        <v>9</v>
      </c>
      <c r="AP86" s="61" t="s">
        <v>134</v>
      </c>
      <c r="AQ86" s="45" t="s">
        <v>1611</v>
      </c>
      <c r="AR86" s="61" t="s">
        <v>135</v>
      </c>
      <c r="AS86" s="45" t="s">
        <v>1611</v>
      </c>
      <c r="AT86" s="61" t="s">
        <v>1623</v>
      </c>
      <c r="AU86" s="45" t="s">
        <v>1624</v>
      </c>
    </row>
    <row r="87" spans="1:47" ht="6.75" customHeight="1" x14ac:dyDescent="0.4">
      <c r="A87" s="84">
        <v>87</v>
      </c>
      <c r="B87" s="79" t="s">
        <v>185</v>
      </c>
      <c r="C87" s="48" t="s">
        <v>149</v>
      </c>
      <c r="D87" s="62" t="s">
        <v>9</v>
      </c>
      <c r="E87" s="68" t="s">
        <v>9</v>
      </c>
      <c r="F87" s="62" t="s">
        <v>9</v>
      </c>
      <c r="G87" s="68" t="s">
        <v>9</v>
      </c>
      <c r="H87" s="62" t="s">
        <v>9</v>
      </c>
      <c r="I87" s="68" t="s">
        <v>9</v>
      </c>
      <c r="J87" s="61" t="s">
        <v>86</v>
      </c>
      <c r="K87" s="45" t="s">
        <v>1607</v>
      </c>
      <c r="L87" s="61" t="s">
        <v>86</v>
      </c>
      <c r="M87" s="42" t="s">
        <v>186</v>
      </c>
      <c r="N87" s="61" t="s">
        <v>87</v>
      </c>
      <c r="O87" s="45">
        <v>2.5</v>
      </c>
      <c r="P87" s="61" t="s">
        <v>88</v>
      </c>
      <c r="Q87" s="75">
        <v>62.5</v>
      </c>
      <c r="R87" s="61" t="s">
        <v>89</v>
      </c>
      <c r="S87" s="75">
        <v>125</v>
      </c>
      <c r="T87" s="61" t="s">
        <v>9</v>
      </c>
      <c r="U87" s="39" t="s">
        <v>9</v>
      </c>
      <c r="V87" s="63" t="s">
        <v>96</v>
      </c>
      <c r="W87" s="64" t="s">
        <v>187</v>
      </c>
      <c r="X87" s="61" t="s">
        <v>1652</v>
      </c>
      <c r="Y87" s="45" t="s">
        <v>188</v>
      </c>
      <c r="Z87" s="61" t="s">
        <v>9</v>
      </c>
      <c r="AA87" s="45" t="s">
        <v>9</v>
      </c>
      <c r="AB87" s="61" t="s">
        <v>9</v>
      </c>
      <c r="AC87" s="45" t="s">
        <v>9</v>
      </c>
      <c r="AD87" s="61" t="s">
        <v>9</v>
      </c>
      <c r="AE87" s="45" t="s">
        <v>9</v>
      </c>
      <c r="AF87" s="61" t="s">
        <v>9</v>
      </c>
      <c r="AG87" s="45" t="s">
        <v>9</v>
      </c>
      <c r="AH87" s="61" t="s">
        <v>9</v>
      </c>
      <c r="AI87" s="45" t="s">
        <v>9</v>
      </c>
      <c r="AJ87" s="61" t="s">
        <v>9</v>
      </c>
      <c r="AK87" s="45" t="s">
        <v>9</v>
      </c>
      <c r="AL87" s="61" t="s">
        <v>175</v>
      </c>
      <c r="AM87" s="45">
        <v>0.85</v>
      </c>
      <c r="AN87" s="61" t="s">
        <v>9</v>
      </c>
      <c r="AO87" s="45" t="s">
        <v>9</v>
      </c>
      <c r="AP87" s="61" t="s">
        <v>134</v>
      </c>
      <c r="AQ87" s="45" t="s">
        <v>1611</v>
      </c>
      <c r="AR87" s="61" t="s">
        <v>135</v>
      </c>
      <c r="AS87" s="45" t="s">
        <v>1611</v>
      </c>
      <c r="AT87" s="61" t="s">
        <v>1623</v>
      </c>
      <c r="AU87" s="45" t="s">
        <v>1624</v>
      </c>
    </row>
    <row r="88" spans="1:47" ht="6.75" customHeight="1" x14ac:dyDescent="0.4">
      <c r="A88" s="84">
        <v>88</v>
      </c>
      <c r="B88" s="79" t="s">
        <v>189</v>
      </c>
      <c r="C88" s="48" t="s">
        <v>160</v>
      </c>
      <c r="D88" s="62" t="s">
        <v>9</v>
      </c>
      <c r="E88" s="68" t="s">
        <v>9</v>
      </c>
      <c r="F88" s="62" t="s">
        <v>9</v>
      </c>
      <c r="G88" s="68" t="s">
        <v>9</v>
      </c>
      <c r="H88" s="62" t="s">
        <v>9</v>
      </c>
      <c r="I88" s="68" t="s">
        <v>9</v>
      </c>
      <c r="J88" s="61" t="s">
        <v>86</v>
      </c>
      <c r="K88" s="45" t="s">
        <v>1607</v>
      </c>
      <c r="L88" s="61" t="s">
        <v>86</v>
      </c>
      <c r="M88" s="42" t="s">
        <v>190</v>
      </c>
      <c r="N88" s="61" t="s">
        <v>87</v>
      </c>
      <c r="O88" s="45">
        <v>4</v>
      </c>
      <c r="P88" s="61" t="s">
        <v>88</v>
      </c>
      <c r="Q88" s="75">
        <v>120</v>
      </c>
      <c r="R88" s="61" t="s">
        <v>89</v>
      </c>
      <c r="S88" s="75">
        <v>120</v>
      </c>
      <c r="T88" s="61" t="s">
        <v>9</v>
      </c>
      <c r="U88" s="39" t="s">
        <v>9</v>
      </c>
      <c r="V88" s="63" t="s">
        <v>96</v>
      </c>
      <c r="W88" s="64" t="s">
        <v>167</v>
      </c>
      <c r="X88" s="61" t="s">
        <v>1652</v>
      </c>
      <c r="Y88" s="45" t="s">
        <v>180</v>
      </c>
      <c r="Z88" s="61" t="s">
        <v>169</v>
      </c>
      <c r="AA88" s="45">
        <v>0.71</v>
      </c>
      <c r="AB88" s="61" t="s">
        <v>170</v>
      </c>
      <c r="AC88" s="45">
        <v>1.1100000000000001</v>
      </c>
      <c r="AD88" s="61" t="s">
        <v>171</v>
      </c>
      <c r="AE88" s="45">
        <v>1.45</v>
      </c>
      <c r="AF88" s="61" t="s">
        <v>172</v>
      </c>
      <c r="AG88" s="45">
        <v>2.0299999999999998</v>
      </c>
      <c r="AH88" s="61" t="s">
        <v>173</v>
      </c>
      <c r="AI88" s="45">
        <v>2.08</v>
      </c>
      <c r="AJ88" s="61" t="s">
        <v>174</v>
      </c>
      <c r="AK88" s="45">
        <v>1.96</v>
      </c>
      <c r="AL88" s="61" t="s">
        <v>9</v>
      </c>
      <c r="AM88" s="45" t="s">
        <v>9</v>
      </c>
      <c r="AN88" s="61" t="s">
        <v>9</v>
      </c>
      <c r="AO88" s="45" t="s">
        <v>9</v>
      </c>
      <c r="AP88" s="61" t="s">
        <v>134</v>
      </c>
      <c r="AQ88" s="45" t="s">
        <v>1611</v>
      </c>
      <c r="AR88" s="61" t="s">
        <v>135</v>
      </c>
      <c r="AS88" s="45" t="s">
        <v>1611</v>
      </c>
      <c r="AT88" s="61" t="s">
        <v>1623</v>
      </c>
      <c r="AU88" s="45" t="s">
        <v>1624</v>
      </c>
    </row>
    <row r="89" spans="1:47" ht="6.75" customHeight="1" x14ac:dyDescent="0.4">
      <c r="A89" s="84">
        <v>89</v>
      </c>
      <c r="B89" s="79" t="s">
        <v>191</v>
      </c>
      <c r="C89" s="48" t="s">
        <v>161</v>
      </c>
      <c r="D89" s="62" t="s">
        <v>9</v>
      </c>
      <c r="E89" s="68" t="s">
        <v>9</v>
      </c>
      <c r="F89" s="62" t="s">
        <v>9</v>
      </c>
      <c r="G89" s="68" t="s">
        <v>9</v>
      </c>
      <c r="H89" s="62" t="s">
        <v>9</v>
      </c>
      <c r="I89" s="68" t="s">
        <v>9</v>
      </c>
      <c r="J89" s="61" t="s">
        <v>86</v>
      </c>
      <c r="K89" s="45" t="s">
        <v>1607</v>
      </c>
      <c r="L89" s="61" t="s">
        <v>86</v>
      </c>
      <c r="M89" s="42" t="s">
        <v>192</v>
      </c>
      <c r="N89" s="61" t="s">
        <v>87</v>
      </c>
      <c r="O89" s="45">
        <v>4</v>
      </c>
      <c r="P89" s="61" t="s">
        <v>9</v>
      </c>
      <c r="Q89" s="39" t="s">
        <v>9</v>
      </c>
      <c r="R89" s="61" t="s">
        <v>1594</v>
      </c>
      <c r="S89" s="75">
        <v>120</v>
      </c>
      <c r="T89" s="61" t="s">
        <v>9</v>
      </c>
      <c r="U89" s="39" t="s">
        <v>9</v>
      </c>
      <c r="V89" s="63" t="s">
        <v>96</v>
      </c>
      <c r="W89" s="64" t="s">
        <v>167</v>
      </c>
      <c r="X89" s="61" t="s">
        <v>1652</v>
      </c>
      <c r="Y89" s="45" t="s">
        <v>180</v>
      </c>
      <c r="Z89" s="61" t="s">
        <v>169</v>
      </c>
      <c r="AA89" s="45">
        <v>0.71</v>
      </c>
      <c r="AB89" s="61" t="s">
        <v>170</v>
      </c>
      <c r="AC89" s="45">
        <v>1.1100000000000001</v>
      </c>
      <c r="AD89" s="61" t="s">
        <v>171</v>
      </c>
      <c r="AE89" s="45">
        <v>1.45</v>
      </c>
      <c r="AF89" s="61" t="s">
        <v>172</v>
      </c>
      <c r="AG89" s="45">
        <v>2.0299999999999998</v>
      </c>
      <c r="AH89" s="61" t="s">
        <v>173</v>
      </c>
      <c r="AI89" s="45">
        <v>2.08</v>
      </c>
      <c r="AJ89" s="61" t="s">
        <v>174</v>
      </c>
      <c r="AK89" s="45">
        <v>1.96</v>
      </c>
      <c r="AL89" s="61" t="s">
        <v>9</v>
      </c>
      <c r="AM89" s="45" t="s">
        <v>9</v>
      </c>
      <c r="AN89" s="61" t="s">
        <v>9</v>
      </c>
      <c r="AO89" s="45" t="s">
        <v>9</v>
      </c>
      <c r="AP89" s="61" t="s">
        <v>134</v>
      </c>
      <c r="AQ89" s="45" t="s">
        <v>1611</v>
      </c>
      <c r="AR89" s="61" t="s">
        <v>135</v>
      </c>
      <c r="AS89" s="45" t="s">
        <v>1611</v>
      </c>
      <c r="AT89" s="61" t="s">
        <v>1623</v>
      </c>
      <c r="AU89" s="45" t="s">
        <v>1624</v>
      </c>
    </row>
    <row r="90" spans="1:47" ht="6.75" customHeight="1" x14ac:dyDescent="0.4">
      <c r="A90" s="84">
        <v>90</v>
      </c>
      <c r="B90" s="79" t="s">
        <v>193</v>
      </c>
      <c r="C90" s="48" t="s">
        <v>1398</v>
      </c>
      <c r="D90" s="62" t="s">
        <v>9</v>
      </c>
      <c r="E90" s="68" t="s">
        <v>9</v>
      </c>
      <c r="F90" s="65" t="s">
        <v>196</v>
      </c>
      <c r="G90" s="68" t="s">
        <v>185</v>
      </c>
      <c r="H90" s="62" t="s">
        <v>9</v>
      </c>
      <c r="I90" s="68" t="s">
        <v>9</v>
      </c>
      <c r="J90" s="61" t="s">
        <v>86</v>
      </c>
      <c r="K90" s="45" t="s">
        <v>1607</v>
      </c>
      <c r="L90" s="61" t="s">
        <v>86</v>
      </c>
      <c r="M90" s="42" t="s">
        <v>194</v>
      </c>
      <c r="N90" s="61" t="s">
        <v>9</v>
      </c>
      <c r="O90" s="45" t="s">
        <v>9</v>
      </c>
      <c r="P90" s="61" t="s">
        <v>9</v>
      </c>
      <c r="Q90" s="39" t="s">
        <v>9</v>
      </c>
      <c r="R90" s="61" t="s">
        <v>9</v>
      </c>
      <c r="S90" s="39" t="s">
        <v>9</v>
      </c>
      <c r="T90" s="61" t="s">
        <v>9</v>
      </c>
      <c r="U90" s="39" t="s">
        <v>9</v>
      </c>
      <c r="V90" s="63" t="s">
        <v>96</v>
      </c>
      <c r="W90" s="64" t="s">
        <v>195</v>
      </c>
      <c r="X90" s="61" t="s">
        <v>1652</v>
      </c>
      <c r="Y90" s="45" t="s">
        <v>180</v>
      </c>
      <c r="Z90" s="61" t="s">
        <v>9</v>
      </c>
      <c r="AA90" s="45" t="s">
        <v>9</v>
      </c>
      <c r="AB90" s="61" t="s">
        <v>9</v>
      </c>
      <c r="AC90" s="45" t="s">
        <v>9</v>
      </c>
      <c r="AD90" s="61" t="s">
        <v>9</v>
      </c>
      <c r="AE90" s="45" t="s">
        <v>9</v>
      </c>
      <c r="AF90" s="61" t="s">
        <v>9</v>
      </c>
      <c r="AG90" s="45" t="s">
        <v>9</v>
      </c>
      <c r="AH90" s="61" t="s">
        <v>9</v>
      </c>
      <c r="AI90" s="45" t="s">
        <v>9</v>
      </c>
      <c r="AJ90" s="61" t="s">
        <v>9</v>
      </c>
      <c r="AK90" s="45" t="s">
        <v>9</v>
      </c>
      <c r="AL90" s="61" t="s">
        <v>175</v>
      </c>
      <c r="AM90" s="45">
        <v>0.85</v>
      </c>
      <c r="AN90" s="61" t="s">
        <v>9</v>
      </c>
      <c r="AO90" s="45" t="s">
        <v>9</v>
      </c>
      <c r="AP90" s="61" t="s">
        <v>134</v>
      </c>
      <c r="AQ90" s="45" t="s">
        <v>1611</v>
      </c>
      <c r="AR90" s="61" t="s">
        <v>135</v>
      </c>
      <c r="AS90" s="45" t="s">
        <v>1611</v>
      </c>
      <c r="AT90" s="61" t="s">
        <v>1623</v>
      </c>
      <c r="AU90" s="45" t="s">
        <v>1624</v>
      </c>
    </row>
    <row r="91" spans="1:47" s="77" customFormat="1" ht="6.75" customHeight="1" x14ac:dyDescent="0.4">
      <c r="A91" s="84">
        <v>91</v>
      </c>
      <c r="B91" s="44" t="s">
        <v>433</v>
      </c>
      <c r="C91" s="41" t="s">
        <v>1240</v>
      </c>
      <c r="D91" s="62" t="s">
        <v>457</v>
      </c>
      <c r="E91" s="68" t="s">
        <v>458</v>
      </c>
      <c r="F91" s="62" t="s">
        <v>9</v>
      </c>
      <c r="G91" s="68" t="s">
        <v>9</v>
      </c>
      <c r="H91" s="62" t="s">
        <v>9</v>
      </c>
      <c r="I91" s="68" t="s">
        <v>9</v>
      </c>
      <c r="J91" s="61" t="s">
        <v>86</v>
      </c>
      <c r="K91" s="45" t="s">
        <v>1607</v>
      </c>
      <c r="L91" s="61" t="s">
        <v>86</v>
      </c>
      <c r="M91" s="45" t="s">
        <v>434</v>
      </c>
      <c r="N91" s="61" t="s">
        <v>87</v>
      </c>
      <c r="O91" s="45">
        <v>8</v>
      </c>
      <c r="P91" s="61" t="s">
        <v>88</v>
      </c>
      <c r="Q91" s="39">
        <v>1.2</v>
      </c>
      <c r="R91" s="61" t="s">
        <v>89</v>
      </c>
      <c r="S91" s="39">
        <v>2.4</v>
      </c>
      <c r="T91" s="61" t="s">
        <v>362</v>
      </c>
      <c r="U91" s="39">
        <v>31.68</v>
      </c>
      <c r="V91" s="61" t="s">
        <v>9</v>
      </c>
      <c r="W91" s="45" t="s">
        <v>9</v>
      </c>
      <c r="X91" s="61" t="s">
        <v>1652</v>
      </c>
      <c r="Y91" s="45" t="s">
        <v>435</v>
      </c>
      <c r="Z91" s="61" t="s">
        <v>9</v>
      </c>
      <c r="AA91" s="45" t="s">
        <v>9</v>
      </c>
      <c r="AB91" s="61" t="s">
        <v>9</v>
      </c>
      <c r="AC91" s="45" t="s">
        <v>9</v>
      </c>
      <c r="AD91" s="61" t="s">
        <v>9</v>
      </c>
      <c r="AE91" s="45" t="s">
        <v>9</v>
      </c>
      <c r="AF91" s="61" t="s">
        <v>9</v>
      </c>
      <c r="AG91" s="45" t="s">
        <v>9</v>
      </c>
      <c r="AH91" s="61" t="s">
        <v>9</v>
      </c>
      <c r="AI91" s="45" t="s">
        <v>9</v>
      </c>
      <c r="AJ91" s="61" t="s">
        <v>9</v>
      </c>
      <c r="AK91" s="45" t="s">
        <v>9</v>
      </c>
      <c r="AL91" s="61" t="s">
        <v>9</v>
      </c>
      <c r="AM91" s="45" t="s">
        <v>9</v>
      </c>
      <c r="AN91" s="61" t="s">
        <v>9</v>
      </c>
      <c r="AO91" s="45" t="s">
        <v>9</v>
      </c>
      <c r="AP91" s="61" t="s">
        <v>134</v>
      </c>
      <c r="AQ91" s="45" t="s">
        <v>1611</v>
      </c>
      <c r="AR91" s="61" t="s">
        <v>135</v>
      </c>
      <c r="AS91" s="45" t="s">
        <v>1611</v>
      </c>
      <c r="AT91" s="61" t="s">
        <v>1623</v>
      </c>
      <c r="AU91" s="45" t="s">
        <v>1624</v>
      </c>
    </row>
    <row r="92" spans="1:47" s="77" customFormat="1" ht="6.75" customHeight="1" x14ac:dyDescent="0.4">
      <c r="A92" s="84">
        <v>92</v>
      </c>
      <c r="B92" s="44" t="s">
        <v>436</v>
      </c>
      <c r="C92" s="41" t="s">
        <v>1245</v>
      </c>
      <c r="D92" s="62" t="s">
        <v>457</v>
      </c>
      <c r="E92" s="68" t="s">
        <v>460</v>
      </c>
      <c r="F92" s="62" t="s">
        <v>9</v>
      </c>
      <c r="G92" s="68" t="s">
        <v>9</v>
      </c>
      <c r="H92" s="62" t="s">
        <v>9</v>
      </c>
      <c r="I92" s="68" t="s">
        <v>9</v>
      </c>
      <c r="J92" s="61" t="s">
        <v>86</v>
      </c>
      <c r="K92" s="45" t="s">
        <v>1607</v>
      </c>
      <c r="L92" s="61" t="s">
        <v>86</v>
      </c>
      <c r="M92" s="45" t="s">
        <v>437</v>
      </c>
      <c r="N92" s="61" t="s">
        <v>87</v>
      </c>
      <c r="O92" s="45">
        <v>12.5</v>
      </c>
      <c r="P92" s="61" t="s">
        <v>88</v>
      </c>
      <c r="Q92" s="39">
        <v>1.2</v>
      </c>
      <c r="R92" s="61" t="s">
        <v>89</v>
      </c>
      <c r="S92" s="39">
        <v>2.4</v>
      </c>
      <c r="T92" s="61" t="s">
        <v>362</v>
      </c>
      <c r="U92" s="39">
        <v>34.56</v>
      </c>
      <c r="V92" s="61" t="s">
        <v>9</v>
      </c>
      <c r="W92" s="45" t="s">
        <v>9</v>
      </c>
      <c r="X92" s="61" t="s">
        <v>1652</v>
      </c>
      <c r="Y92" s="45" t="s">
        <v>435</v>
      </c>
      <c r="Z92" s="61" t="s">
        <v>9</v>
      </c>
      <c r="AA92" s="45" t="s">
        <v>9</v>
      </c>
      <c r="AB92" s="61" t="s">
        <v>9</v>
      </c>
      <c r="AC92" s="45" t="s">
        <v>9</v>
      </c>
      <c r="AD92" s="61" t="s">
        <v>9</v>
      </c>
      <c r="AE92" s="45" t="s">
        <v>9</v>
      </c>
      <c r="AF92" s="61" t="s">
        <v>9</v>
      </c>
      <c r="AG92" s="45" t="s">
        <v>9</v>
      </c>
      <c r="AH92" s="61" t="s">
        <v>9</v>
      </c>
      <c r="AI92" s="45" t="s">
        <v>9</v>
      </c>
      <c r="AJ92" s="61" t="s">
        <v>9</v>
      </c>
      <c r="AK92" s="45" t="s">
        <v>9</v>
      </c>
      <c r="AL92" s="61" t="s">
        <v>9</v>
      </c>
      <c r="AM92" s="45" t="s">
        <v>9</v>
      </c>
      <c r="AN92" s="61" t="s">
        <v>9</v>
      </c>
      <c r="AO92" s="45" t="s">
        <v>9</v>
      </c>
      <c r="AP92" s="61" t="s">
        <v>134</v>
      </c>
      <c r="AQ92" s="45" t="s">
        <v>1611</v>
      </c>
      <c r="AR92" s="61" t="s">
        <v>135</v>
      </c>
      <c r="AS92" s="45" t="s">
        <v>1611</v>
      </c>
      <c r="AT92" s="61" t="s">
        <v>1623</v>
      </c>
      <c r="AU92" s="45" t="s">
        <v>1624</v>
      </c>
    </row>
    <row r="93" spans="1:47" s="77" customFormat="1" ht="6.75" customHeight="1" x14ac:dyDescent="0.4">
      <c r="A93" s="84">
        <v>93</v>
      </c>
      <c r="B93" s="44" t="s">
        <v>438</v>
      </c>
      <c r="C93" s="41" t="s">
        <v>1242</v>
      </c>
      <c r="D93" s="62" t="s">
        <v>457</v>
      </c>
      <c r="E93" s="68" t="s">
        <v>462</v>
      </c>
      <c r="F93" s="62" t="s">
        <v>9</v>
      </c>
      <c r="G93" s="68" t="s">
        <v>9</v>
      </c>
      <c r="H93" s="62" t="s">
        <v>9</v>
      </c>
      <c r="I93" s="68" t="s">
        <v>9</v>
      </c>
      <c r="J93" s="61" t="s">
        <v>86</v>
      </c>
      <c r="K93" s="45" t="s">
        <v>1607</v>
      </c>
      <c r="L93" s="61" t="s">
        <v>86</v>
      </c>
      <c r="M93" s="45" t="s">
        <v>732</v>
      </c>
      <c r="N93" s="61" t="s">
        <v>87</v>
      </c>
      <c r="O93" s="45">
        <v>35</v>
      </c>
      <c r="P93" s="61" t="s">
        <v>88</v>
      </c>
      <c r="Q93" s="39">
        <v>1.2</v>
      </c>
      <c r="R93" s="61" t="s">
        <v>89</v>
      </c>
      <c r="S93" s="39">
        <v>2.11</v>
      </c>
      <c r="T93" s="61" t="s">
        <v>362</v>
      </c>
      <c r="U93" s="39">
        <v>22</v>
      </c>
      <c r="V93" s="61" t="s">
        <v>9</v>
      </c>
      <c r="W93" s="45" t="s">
        <v>9</v>
      </c>
      <c r="X93" s="61" t="s">
        <v>1652</v>
      </c>
      <c r="Y93" s="45" t="s">
        <v>439</v>
      </c>
      <c r="Z93" s="61" t="s">
        <v>9</v>
      </c>
      <c r="AA93" s="45" t="s">
        <v>9</v>
      </c>
      <c r="AB93" s="61" t="s">
        <v>9</v>
      </c>
      <c r="AC93" s="45" t="s">
        <v>9</v>
      </c>
      <c r="AD93" s="61" t="s">
        <v>9</v>
      </c>
      <c r="AE93" s="45" t="s">
        <v>9</v>
      </c>
      <c r="AF93" s="61" t="s">
        <v>9</v>
      </c>
      <c r="AG93" s="45" t="s">
        <v>9</v>
      </c>
      <c r="AH93" s="61" t="s">
        <v>9</v>
      </c>
      <c r="AI93" s="45" t="s">
        <v>9</v>
      </c>
      <c r="AJ93" s="61" t="s">
        <v>9</v>
      </c>
      <c r="AK93" s="45" t="s">
        <v>9</v>
      </c>
      <c r="AL93" s="61" t="s">
        <v>9</v>
      </c>
      <c r="AM93" s="45" t="s">
        <v>9</v>
      </c>
      <c r="AN93" s="61" t="s">
        <v>9</v>
      </c>
      <c r="AO93" s="45" t="s">
        <v>9</v>
      </c>
      <c r="AP93" s="61" t="s">
        <v>134</v>
      </c>
      <c r="AQ93" s="45" t="s">
        <v>1611</v>
      </c>
      <c r="AR93" s="61" t="s">
        <v>135</v>
      </c>
      <c r="AS93" s="45" t="s">
        <v>1611</v>
      </c>
      <c r="AT93" s="61" t="s">
        <v>1623</v>
      </c>
      <c r="AU93" s="45" t="s">
        <v>1624</v>
      </c>
    </row>
    <row r="94" spans="1:47" s="77" customFormat="1" ht="6.75" customHeight="1" x14ac:dyDescent="0.4">
      <c r="A94" s="84">
        <v>94</v>
      </c>
      <c r="B94" s="44" t="s">
        <v>440</v>
      </c>
      <c r="C94" s="41" t="s">
        <v>296</v>
      </c>
      <c r="D94" s="62" t="s">
        <v>9</v>
      </c>
      <c r="E94" s="68" t="s">
        <v>9</v>
      </c>
      <c r="F94" s="62" t="s">
        <v>9</v>
      </c>
      <c r="G94" s="68" t="s">
        <v>9</v>
      </c>
      <c r="H94" s="62" t="s">
        <v>9</v>
      </c>
      <c r="I94" s="68" t="s">
        <v>9</v>
      </c>
      <c r="J94" s="61" t="s">
        <v>86</v>
      </c>
      <c r="K94" s="45" t="s">
        <v>1607</v>
      </c>
      <c r="L94" s="61" t="s">
        <v>86</v>
      </c>
      <c r="M94" s="45" t="s">
        <v>441</v>
      </c>
      <c r="N94" s="61" t="s">
        <v>87</v>
      </c>
      <c r="O94" s="45">
        <v>1.2</v>
      </c>
      <c r="P94" s="61" t="s">
        <v>9</v>
      </c>
      <c r="Q94" s="39" t="s">
        <v>9</v>
      </c>
      <c r="R94" s="61" t="s">
        <v>9</v>
      </c>
      <c r="S94" s="39" t="s">
        <v>9</v>
      </c>
      <c r="T94" s="61" t="s">
        <v>9</v>
      </c>
      <c r="U94" s="39" t="s">
        <v>9</v>
      </c>
      <c r="V94" s="61" t="s">
        <v>9</v>
      </c>
      <c r="W94" s="45" t="s">
        <v>9</v>
      </c>
      <c r="X94" s="61" t="s">
        <v>1652</v>
      </c>
      <c r="Y94" s="45" t="s">
        <v>442</v>
      </c>
      <c r="Z94" s="61" t="s">
        <v>9</v>
      </c>
      <c r="AA94" s="45" t="s">
        <v>9</v>
      </c>
      <c r="AB94" s="61" t="s">
        <v>9</v>
      </c>
      <c r="AC94" s="45" t="s">
        <v>9</v>
      </c>
      <c r="AD94" s="61" t="s">
        <v>9</v>
      </c>
      <c r="AE94" s="45" t="s">
        <v>9</v>
      </c>
      <c r="AF94" s="61" t="s">
        <v>9</v>
      </c>
      <c r="AG94" s="45" t="s">
        <v>9</v>
      </c>
      <c r="AH94" s="61" t="s">
        <v>9</v>
      </c>
      <c r="AI94" s="45" t="s">
        <v>9</v>
      </c>
      <c r="AJ94" s="61" t="s">
        <v>9</v>
      </c>
      <c r="AK94" s="45" t="s">
        <v>9</v>
      </c>
      <c r="AL94" s="61" t="s">
        <v>9</v>
      </c>
      <c r="AM94" s="45" t="s">
        <v>9</v>
      </c>
      <c r="AN94" s="61" t="s">
        <v>9</v>
      </c>
      <c r="AO94" s="45" t="s">
        <v>9</v>
      </c>
      <c r="AP94" s="61" t="s">
        <v>134</v>
      </c>
      <c r="AQ94" s="45" t="s">
        <v>1611</v>
      </c>
      <c r="AR94" s="61" t="s">
        <v>135</v>
      </c>
      <c r="AS94" s="45" t="s">
        <v>1611</v>
      </c>
      <c r="AT94" s="61" t="s">
        <v>1623</v>
      </c>
      <c r="AU94" s="45" t="s">
        <v>1624</v>
      </c>
    </row>
    <row r="95" spans="1:47" s="77" customFormat="1" ht="6.75" customHeight="1" x14ac:dyDescent="0.4">
      <c r="A95" s="84">
        <v>95</v>
      </c>
      <c r="B95" s="44" t="s">
        <v>443</v>
      </c>
      <c r="C95" s="41" t="s">
        <v>308</v>
      </c>
      <c r="D95" s="62" t="s">
        <v>9</v>
      </c>
      <c r="E95" s="68" t="s">
        <v>9</v>
      </c>
      <c r="F95" s="62" t="s">
        <v>9</v>
      </c>
      <c r="G95" s="68" t="s">
        <v>9</v>
      </c>
      <c r="H95" s="62" t="s">
        <v>9</v>
      </c>
      <c r="I95" s="68" t="s">
        <v>9</v>
      </c>
      <c r="J95" s="61" t="s">
        <v>86</v>
      </c>
      <c r="K95" s="45" t="s">
        <v>1607</v>
      </c>
      <c r="L95" s="61" t="s">
        <v>86</v>
      </c>
      <c r="M95" s="45" t="s">
        <v>444</v>
      </c>
      <c r="N95" s="61" t="s">
        <v>87</v>
      </c>
      <c r="O95" s="45">
        <v>0.8</v>
      </c>
      <c r="P95" s="61" t="s">
        <v>88</v>
      </c>
      <c r="Q95" s="39">
        <v>1.2</v>
      </c>
      <c r="R95" s="61" t="s">
        <v>89</v>
      </c>
      <c r="S95" s="39">
        <v>1.2</v>
      </c>
      <c r="T95" s="61" t="s">
        <v>9</v>
      </c>
      <c r="U95" s="39" t="s">
        <v>9</v>
      </c>
      <c r="V95" s="63" t="s">
        <v>96</v>
      </c>
      <c r="W95" s="45" t="s">
        <v>445</v>
      </c>
      <c r="X95" s="61" t="s">
        <v>1652</v>
      </c>
      <c r="Y95" s="45" t="s">
        <v>446</v>
      </c>
      <c r="Z95" s="61" t="s">
        <v>447</v>
      </c>
      <c r="AA95" s="45">
        <v>2</v>
      </c>
      <c r="AB95" s="61" t="s">
        <v>9</v>
      </c>
      <c r="AC95" s="45" t="s">
        <v>9</v>
      </c>
      <c r="AD95" s="61" t="s">
        <v>9</v>
      </c>
      <c r="AE95" s="45" t="s">
        <v>9</v>
      </c>
      <c r="AF95" s="61" t="s">
        <v>9</v>
      </c>
      <c r="AG95" s="45" t="s">
        <v>9</v>
      </c>
      <c r="AH95" s="61" t="s">
        <v>9</v>
      </c>
      <c r="AI95" s="45" t="s">
        <v>9</v>
      </c>
      <c r="AJ95" s="61" t="s">
        <v>9</v>
      </c>
      <c r="AK95" s="45" t="s">
        <v>9</v>
      </c>
      <c r="AL95" s="61" t="s">
        <v>9</v>
      </c>
      <c r="AM95" s="45" t="s">
        <v>9</v>
      </c>
      <c r="AN95" s="61" t="s">
        <v>9</v>
      </c>
      <c r="AO95" s="45" t="s">
        <v>9</v>
      </c>
      <c r="AP95" s="61" t="s">
        <v>134</v>
      </c>
      <c r="AQ95" s="45" t="s">
        <v>1611</v>
      </c>
      <c r="AR95" s="61" t="s">
        <v>135</v>
      </c>
      <c r="AS95" s="45" t="s">
        <v>1611</v>
      </c>
      <c r="AT95" s="61" t="s">
        <v>1623</v>
      </c>
      <c r="AU95" s="45" t="s">
        <v>1624</v>
      </c>
    </row>
    <row r="96" spans="1:47" s="77" customFormat="1" ht="6.75" customHeight="1" x14ac:dyDescent="0.4">
      <c r="A96" s="84">
        <v>96</v>
      </c>
      <c r="B96" s="44" t="s">
        <v>448</v>
      </c>
      <c r="C96" s="41" t="s">
        <v>1244</v>
      </c>
      <c r="D96" s="62" t="s">
        <v>9</v>
      </c>
      <c r="E96" s="68" t="s">
        <v>9</v>
      </c>
      <c r="F96" s="62" t="s">
        <v>9</v>
      </c>
      <c r="G96" s="68" t="s">
        <v>9</v>
      </c>
      <c r="H96" s="62" t="s">
        <v>9</v>
      </c>
      <c r="I96" s="68" t="s">
        <v>9</v>
      </c>
      <c r="J96" s="61" t="s">
        <v>86</v>
      </c>
      <c r="K96" s="45" t="s">
        <v>1607</v>
      </c>
      <c r="L96" s="61" t="s">
        <v>86</v>
      </c>
      <c r="M96" s="45" t="s">
        <v>731</v>
      </c>
      <c r="N96" s="61" t="s">
        <v>9</v>
      </c>
      <c r="O96" s="45" t="s">
        <v>9</v>
      </c>
      <c r="P96" s="61" t="s">
        <v>9</v>
      </c>
      <c r="Q96" s="39" t="s">
        <v>9</v>
      </c>
      <c r="R96" s="61" t="s">
        <v>9</v>
      </c>
      <c r="S96" s="39" t="s">
        <v>9</v>
      </c>
      <c r="T96" s="61" t="s">
        <v>9</v>
      </c>
      <c r="U96" s="39" t="s">
        <v>9</v>
      </c>
      <c r="V96" s="61" t="s">
        <v>9</v>
      </c>
      <c r="W96" s="45" t="s">
        <v>9</v>
      </c>
      <c r="X96" s="61" t="s">
        <v>1652</v>
      </c>
      <c r="Y96" s="45" t="s">
        <v>442</v>
      </c>
      <c r="Z96" s="61" t="s">
        <v>9</v>
      </c>
      <c r="AA96" s="45" t="s">
        <v>9</v>
      </c>
      <c r="AB96" s="61" t="s">
        <v>9</v>
      </c>
      <c r="AC96" s="45" t="s">
        <v>9</v>
      </c>
      <c r="AD96" s="61" t="s">
        <v>9</v>
      </c>
      <c r="AE96" s="45" t="s">
        <v>9</v>
      </c>
      <c r="AF96" s="61" t="s">
        <v>9</v>
      </c>
      <c r="AG96" s="45" t="s">
        <v>9</v>
      </c>
      <c r="AH96" s="61" t="s">
        <v>9</v>
      </c>
      <c r="AI96" s="45" t="s">
        <v>9</v>
      </c>
      <c r="AJ96" s="61" t="s">
        <v>9</v>
      </c>
      <c r="AK96" s="45" t="s">
        <v>9</v>
      </c>
      <c r="AL96" s="61" t="s">
        <v>9</v>
      </c>
      <c r="AM96" s="45" t="s">
        <v>9</v>
      </c>
      <c r="AN96" s="61" t="s">
        <v>9</v>
      </c>
      <c r="AO96" s="45" t="s">
        <v>9</v>
      </c>
      <c r="AP96" s="61" t="s">
        <v>134</v>
      </c>
      <c r="AQ96" s="45" t="s">
        <v>1611</v>
      </c>
      <c r="AR96" s="61" t="s">
        <v>135</v>
      </c>
      <c r="AS96" s="45" t="s">
        <v>1611</v>
      </c>
      <c r="AT96" s="61" t="s">
        <v>1623</v>
      </c>
      <c r="AU96" s="45" t="s">
        <v>1624</v>
      </c>
    </row>
    <row r="97" spans="1:47" ht="6.75" customHeight="1" x14ac:dyDescent="0.4">
      <c r="A97" s="84">
        <v>97</v>
      </c>
      <c r="B97" s="79" t="s">
        <v>669</v>
      </c>
      <c r="C97" s="41" t="s">
        <v>149</v>
      </c>
      <c r="D97" s="62" t="s">
        <v>9</v>
      </c>
      <c r="E97" s="68" t="s">
        <v>9</v>
      </c>
      <c r="F97" s="62" t="s">
        <v>9</v>
      </c>
      <c r="G97" s="68" t="s">
        <v>9</v>
      </c>
      <c r="H97" s="62" t="s">
        <v>9</v>
      </c>
      <c r="I97" s="68" t="s">
        <v>9</v>
      </c>
      <c r="J97" s="61" t="s">
        <v>86</v>
      </c>
      <c r="K97" s="45" t="s">
        <v>1607</v>
      </c>
      <c r="L97" s="61" t="s">
        <v>86</v>
      </c>
      <c r="M97" s="42" t="s">
        <v>454</v>
      </c>
      <c r="N97" s="61" t="s">
        <v>87</v>
      </c>
      <c r="O97" s="45">
        <v>1.6</v>
      </c>
      <c r="P97" s="61" t="s">
        <v>88</v>
      </c>
      <c r="Q97" s="75">
        <v>16</v>
      </c>
      <c r="R97" s="61" t="s">
        <v>89</v>
      </c>
      <c r="S97" s="75">
        <v>243</v>
      </c>
      <c r="T97" s="61" t="s">
        <v>362</v>
      </c>
      <c r="U97" s="39">
        <v>11</v>
      </c>
      <c r="V97" s="63" t="s">
        <v>96</v>
      </c>
      <c r="W97" s="64" t="s">
        <v>455</v>
      </c>
      <c r="X97" s="61" t="s">
        <v>1652</v>
      </c>
      <c r="Y97" s="45" t="s">
        <v>168</v>
      </c>
      <c r="Z97" s="61" t="s">
        <v>169</v>
      </c>
      <c r="AA97" s="45">
        <v>0.41</v>
      </c>
      <c r="AB97" s="61" t="s">
        <v>170</v>
      </c>
      <c r="AC97" s="45">
        <v>1.02</v>
      </c>
      <c r="AD97" s="61" t="s">
        <v>171</v>
      </c>
      <c r="AE97" s="45">
        <v>0.9</v>
      </c>
      <c r="AF97" s="61" t="s">
        <v>172</v>
      </c>
      <c r="AG97" s="45">
        <v>0.7</v>
      </c>
      <c r="AH97" s="61" t="s">
        <v>173</v>
      </c>
      <c r="AI97" s="45">
        <v>0.47</v>
      </c>
      <c r="AJ97" s="61" t="s">
        <v>174</v>
      </c>
      <c r="AK97" s="45">
        <v>0.44</v>
      </c>
      <c r="AL97" s="61" t="s">
        <v>175</v>
      </c>
      <c r="AM97" s="45">
        <v>0.8</v>
      </c>
      <c r="AN97" s="61" t="s">
        <v>9</v>
      </c>
      <c r="AO97" s="45" t="s">
        <v>9</v>
      </c>
      <c r="AP97" s="61" t="s">
        <v>134</v>
      </c>
      <c r="AQ97" s="45" t="s">
        <v>1611</v>
      </c>
      <c r="AR97" s="61" t="s">
        <v>135</v>
      </c>
      <c r="AS97" s="45" t="s">
        <v>1611</v>
      </c>
      <c r="AT97" s="61" t="s">
        <v>1623</v>
      </c>
      <c r="AU97" s="45" t="s">
        <v>1624</v>
      </c>
    </row>
    <row r="98" spans="1:47" ht="6.75" customHeight="1" x14ac:dyDescent="0.4">
      <c r="A98" s="84">
        <v>98</v>
      </c>
      <c r="B98" s="79" t="s">
        <v>670</v>
      </c>
      <c r="C98" s="41" t="s">
        <v>149</v>
      </c>
      <c r="D98" s="62" t="s">
        <v>9</v>
      </c>
      <c r="E98" s="68" t="s">
        <v>9</v>
      </c>
      <c r="F98" s="62" t="s">
        <v>9</v>
      </c>
      <c r="G98" s="68" t="s">
        <v>9</v>
      </c>
      <c r="H98" s="62" t="s">
        <v>9</v>
      </c>
      <c r="I98" s="68" t="s">
        <v>9</v>
      </c>
      <c r="J98" s="61" t="s">
        <v>86</v>
      </c>
      <c r="K98" s="45" t="s">
        <v>1607</v>
      </c>
      <c r="L98" s="61" t="s">
        <v>86</v>
      </c>
      <c r="M98" s="42" t="s">
        <v>456</v>
      </c>
      <c r="N98" s="61" t="s">
        <v>87</v>
      </c>
      <c r="O98" s="45">
        <v>1.6</v>
      </c>
      <c r="P98" s="61" t="s">
        <v>88</v>
      </c>
      <c r="Q98" s="75">
        <v>16</v>
      </c>
      <c r="R98" s="61" t="s">
        <v>89</v>
      </c>
      <c r="S98" s="75">
        <v>274</v>
      </c>
      <c r="T98" s="61" t="s">
        <v>362</v>
      </c>
      <c r="U98" s="39">
        <v>11</v>
      </c>
      <c r="V98" s="63" t="s">
        <v>96</v>
      </c>
      <c r="W98" s="64" t="s">
        <v>455</v>
      </c>
      <c r="X98" s="61" t="s">
        <v>1652</v>
      </c>
      <c r="Y98" s="45" t="s">
        <v>168</v>
      </c>
      <c r="Z98" s="61" t="s">
        <v>169</v>
      </c>
      <c r="AA98" s="45">
        <v>0.45</v>
      </c>
      <c r="AB98" s="61" t="s">
        <v>170</v>
      </c>
      <c r="AC98" s="45">
        <v>0.96</v>
      </c>
      <c r="AD98" s="61" t="s">
        <v>171</v>
      </c>
      <c r="AE98" s="45">
        <v>0.92</v>
      </c>
      <c r="AF98" s="61" t="s">
        <v>172</v>
      </c>
      <c r="AG98" s="45">
        <v>0.62</v>
      </c>
      <c r="AH98" s="61" t="s">
        <v>173</v>
      </c>
      <c r="AI98" s="45">
        <v>0.41</v>
      </c>
      <c r="AJ98" s="61" t="s">
        <v>174</v>
      </c>
      <c r="AK98" s="45">
        <v>0.41</v>
      </c>
      <c r="AL98" s="61" t="s">
        <v>175</v>
      </c>
      <c r="AM98" s="45">
        <v>0.75</v>
      </c>
      <c r="AN98" s="61" t="s">
        <v>9</v>
      </c>
      <c r="AO98" s="45" t="s">
        <v>9</v>
      </c>
      <c r="AP98" s="61" t="s">
        <v>134</v>
      </c>
      <c r="AQ98" s="45" t="s">
        <v>1611</v>
      </c>
      <c r="AR98" s="61" t="s">
        <v>135</v>
      </c>
      <c r="AS98" s="45" t="s">
        <v>1611</v>
      </c>
      <c r="AT98" s="61" t="s">
        <v>1623</v>
      </c>
      <c r="AU98" s="45" t="s">
        <v>1624</v>
      </c>
    </row>
    <row r="99" spans="1:47" s="77" customFormat="1" ht="6.75" customHeight="1" x14ac:dyDescent="0.4">
      <c r="A99" s="84">
        <v>99</v>
      </c>
      <c r="B99" s="44" t="s">
        <v>458</v>
      </c>
      <c r="C99" s="41" t="s">
        <v>657</v>
      </c>
      <c r="D99" s="62" t="s">
        <v>1595</v>
      </c>
      <c r="E99" s="69" t="s">
        <v>436</v>
      </c>
      <c r="F99" s="62" t="s">
        <v>9</v>
      </c>
      <c r="G99" s="68" t="s">
        <v>9</v>
      </c>
      <c r="H99" s="62" t="s">
        <v>9</v>
      </c>
      <c r="I99" s="68" t="s">
        <v>9</v>
      </c>
      <c r="J99" s="61" t="s">
        <v>86</v>
      </c>
      <c r="K99" s="45" t="s">
        <v>1607</v>
      </c>
      <c r="L99" s="61" t="s">
        <v>86</v>
      </c>
      <c r="M99" s="45" t="s">
        <v>459</v>
      </c>
      <c r="N99" s="61" t="s">
        <v>9</v>
      </c>
      <c r="O99" s="45" t="s">
        <v>9</v>
      </c>
      <c r="P99" s="61" t="s">
        <v>9</v>
      </c>
      <c r="Q99" s="39" t="s">
        <v>9</v>
      </c>
      <c r="R99" s="61" t="s">
        <v>9</v>
      </c>
      <c r="S99" s="39" t="s">
        <v>9</v>
      </c>
      <c r="T99" s="61" t="s">
        <v>9</v>
      </c>
      <c r="U99" s="39" t="s">
        <v>9</v>
      </c>
      <c r="V99" s="61" t="s">
        <v>9</v>
      </c>
      <c r="W99" s="45" t="s">
        <v>9</v>
      </c>
      <c r="X99" s="61" t="s">
        <v>1652</v>
      </c>
      <c r="Y99" s="45" t="s">
        <v>425</v>
      </c>
      <c r="Z99" s="61" t="s">
        <v>9</v>
      </c>
      <c r="AA99" s="45" t="s">
        <v>9</v>
      </c>
      <c r="AB99" s="61" t="s">
        <v>9</v>
      </c>
      <c r="AC99" s="45" t="s">
        <v>9</v>
      </c>
      <c r="AD99" s="61" t="s">
        <v>9</v>
      </c>
      <c r="AE99" s="45" t="s">
        <v>9</v>
      </c>
      <c r="AF99" s="61" t="s">
        <v>9</v>
      </c>
      <c r="AG99" s="45" t="s">
        <v>9</v>
      </c>
      <c r="AH99" s="61" t="s">
        <v>9</v>
      </c>
      <c r="AI99" s="45" t="s">
        <v>9</v>
      </c>
      <c r="AJ99" s="61" t="s">
        <v>9</v>
      </c>
      <c r="AK99" s="45" t="s">
        <v>9</v>
      </c>
      <c r="AL99" s="61" t="s">
        <v>9</v>
      </c>
      <c r="AM99" s="45" t="s">
        <v>9</v>
      </c>
      <c r="AN99" s="61" t="s">
        <v>9</v>
      </c>
      <c r="AO99" s="45" t="s">
        <v>9</v>
      </c>
      <c r="AP99" s="61" t="s">
        <v>134</v>
      </c>
      <c r="AQ99" s="45" t="s">
        <v>1612</v>
      </c>
      <c r="AR99" s="61" t="s">
        <v>135</v>
      </c>
      <c r="AS99" s="45" t="s">
        <v>1616</v>
      </c>
      <c r="AT99" s="61" t="s">
        <v>1623</v>
      </c>
      <c r="AU99" s="45" t="s">
        <v>1624</v>
      </c>
    </row>
    <row r="100" spans="1:47" s="77" customFormat="1" ht="6.75" customHeight="1" x14ac:dyDescent="0.4">
      <c r="A100" s="84">
        <v>100</v>
      </c>
      <c r="B100" s="44" t="s">
        <v>460</v>
      </c>
      <c r="C100" s="41" t="s">
        <v>658</v>
      </c>
      <c r="D100" s="62" t="s">
        <v>1595</v>
      </c>
      <c r="E100" s="69" t="s">
        <v>436</v>
      </c>
      <c r="F100" s="62" t="s">
        <v>9</v>
      </c>
      <c r="G100" s="68" t="s">
        <v>9</v>
      </c>
      <c r="H100" s="62" t="s">
        <v>9</v>
      </c>
      <c r="I100" s="68" t="s">
        <v>9</v>
      </c>
      <c r="J100" s="61" t="s">
        <v>86</v>
      </c>
      <c r="K100" s="45" t="s">
        <v>1607</v>
      </c>
      <c r="L100" s="61" t="s">
        <v>86</v>
      </c>
      <c r="M100" s="45" t="s">
        <v>461</v>
      </c>
      <c r="N100" s="61" t="s">
        <v>9</v>
      </c>
      <c r="O100" s="45" t="s">
        <v>9</v>
      </c>
      <c r="P100" s="61" t="s">
        <v>9</v>
      </c>
      <c r="Q100" s="39" t="s">
        <v>9</v>
      </c>
      <c r="R100" s="61" t="s">
        <v>9</v>
      </c>
      <c r="S100" s="39" t="s">
        <v>9</v>
      </c>
      <c r="T100" s="61" t="s">
        <v>9</v>
      </c>
      <c r="U100" s="39" t="s">
        <v>9</v>
      </c>
      <c r="V100" s="61" t="s">
        <v>9</v>
      </c>
      <c r="W100" s="45" t="s">
        <v>9</v>
      </c>
      <c r="X100" s="61" t="s">
        <v>1652</v>
      </c>
      <c r="Y100" s="45" t="s">
        <v>425</v>
      </c>
      <c r="Z100" s="61" t="s">
        <v>9</v>
      </c>
      <c r="AA100" s="45" t="s">
        <v>9</v>
      </c>
      <c r="AB100" s="61" t="s">
        <v>9</v>
      </c>
      <c r="AC100" s="45" t="s">
        <v>9</v>
      </c>
      <c r="AD100" s="61" t="s">
        <v>9</v>
      </c>
      <c r="AE100" s="45" t="s">
        <v>9</v>
      </c>
      <c r="AF100" s="61" t="s">
        <v>9</v>
      </c>
      <c r="AG100" s="45" t="s">
        <v>9</v>
      </c>
      <c r="AH100" s="61" t="s">
        <v>9</v>
      </c>
      <c r="AI100" s="45" t="s">
        <v>9</v>
      </c>
      <c r="AJ100" s="61" t="s">
        <v>9</v>
      </c>
      <c r="AK100" s="45" t="s">
        <v>9</v>
      </c>
      <c r="AL100" s="61" t="s">
        <v>9</v>
      </c>
      <c r="AM100" s="45" t="s">
        <v>9</v>
      </c>
      <c r="AN100" s="61" t="s">
        <v>9</v>
      </c>
      <c r="AO100" s="45" t="s">
        <v>9</v>
      </c>
      <c r="AP100" s="61" t="s">
        <v>134</v>
      </c>
      <c r="AQ100" s="45" t="s">
        <v>1612</v>
      </c>
      <c r="AR100" s="61" t="s">
        <v>135</v>
      </c>
      <c r="AS100" s="45" t="s">
        <v>1616</v>
      </c>
      <c r="AT100" s="61" t="s">
        <v>1623</v>
      </c>
      <c r="AU100" s="45" t="s">
        <v>1624</v>
      </c>
    </row>
    <row r="101" spans="1:47" s="77" customFormat="1" ht="6.75" customHeight="1" x14ac:dyDescent="0.4">
      <c r="A101" s="84">
        <v>101</v>
      </c>
      <c r="B101" s="44" t="s">
        <v>462</v>
      </c>
      <c r="C101" s="41" t="s">
        <v>722</v>
      </c>
      <c r="D101" s="62" t="s">
        <v>1595</v>
      </c>
      <c r="E101" s="69" t="s">
        <v>438</v>
      </c>
      <c r="F101" s="62" t="s">
        <v>9</v>
      </c>
      <c r="G101" s="68" t="s">
        <v>9</v>
      </c>
      <c r="H101" s="62" t="s">
        <v>9</v>
      </c>
      <c r="I101" s="68" t="s">
        <v>9</v>
      </c>
      <c r="J101" s="61" t="s">
        <v>86</v>
      </c>
      <c r="K101" s="45" t="s">
        <v>1607</v>
      </c>
      <c r="L101" s="61" t="s">
        <v>86</v>
      </c>
      <c r="M101" s="45" t="s">
        <v>463</v>
      </c>
      <c r="N101" s="61" t="s">
        <v>9</v>
      </c>
      <c r="O101" s="45" t="s">
        <v>9</v>
      </c>
      <c r="P101" s="61" t="s">
        <v>9</v>
      </c>
      <c r="Q101" s="39" t="s">
        <v>9</v>
      </c>
      <c r="R101" s="61" t="s">
        <v>9</v>
      </c>
      <c r="S101" s="39" t="s">
        <v>9</v>
      </c>
      <c r="T101" s="61" t="s">
        <v>9</v>
      </c>
      <c r="U101" s="39" t="s">
        <v>9</v>
      </c>
      <c r="V101" s="61" t="s">
        <v>9</v>
      </c>
      <c r="W101" s="45" t="s">
        <v>9</v>
      </c>
      <c r="X101" s="61" t="s">
        <v>1652</v>
      </c>
      <c r="Y101" s="45" t="s">
        <v>425</v>
      </c>
      <c r="Z101" s="61" t="s">
        <v>9</v>
      </c>
      <c r="AA101" s="45" t="s">
        <v>9</v>
      </c>
      <c r="AB101" s="61" t="s">
        <v>9</v>
      </c>
      <c r="AC101" s="45" t="s">
        <v>9</v>
      </c>
      <c r="AD101" s="61" t="s">
        <v>9</v>
      </c>
      <c r="AE101" s="45" t="s">
        <v>9</v>
      </c>
      <c r="AF101" s="61" t="s">
        <v>9</v>
      </c>
      <c r="AG101" s="45" t="s">
        <v>9</v>
      </c>
      <c r="AH101" s="61" t="s">
        <v>9</v>
      </c>
      <c r="AI101" s="45" t="s">
        <v>9</v>
      </c>
      <c r="AJ101" s="61" t="s">
        <v>9</v>
      </c>
      <c r="AK101" s="45" t="s">
        <v>9</v>
      </c>
      <c r="AL101" s="61" t="s">
        <v>9</v>
      </c>
      <c r="AM101" s="45" t="s">
        <v>9</v>
      </c>
      <c r="AN101" s="61" t="s">
        <v>9</v>
      </c>
      <c r="AO101" s="45" t="s">
        <v>9</v>
      </c>
      <c r="AP101" s="61" t="s">
        <v>134</v>
      </c>
      <c r="AQ101" s="45" t="s">
        <v>1612</v>
      </c>
      <c r="AR101" s="61" t="s">
        <v>135</v>
      </c>
      <c r="AS101" s="45" t="s">
        <v>1616</v>
      </c>
      <c r="AT101" s="61" t="s">
        <v>1623</v>
      </c>
      <c r="AU101" s="45" t="s">
        <v>1624</v>
      </c>
    </row>
    <row r="102" spans="1:47" s="77" customFormat="1" ht="6.75" customHeight="1" x14ac:dyDescent="0.4">
      <c r="A102" s="84">
        <v>102</v>
      </c>
      <c r="B102" s="44" t="s">
        <v>464</v>
      </c>
      <c r="C102" s="41" t="s">
        <v>661</v>
      </c>
      <c r="D102" s="62" t="s">
        <v>457</v>
      </c>
      <c r="E102" s="69" t="s">
        <v>440</v>
      </c>
      <c r="F102" s="62" t="s">
        <v>9</v>
      </c>
      <c r="G102" s="68" t="s">
        <v>9</v>
      </c>
      <c r="H102" s="62" t="s">
        <v>9</v>
      </c>
      <c r="I102" s="68" t="s">
        <v>9</v>
      </c>
      <c r="J102" s="61" t="s">
        <v>86</v>
      </c>
      <c r="K102" s="45" t="s">
        <v>1607</v>
      </c>
      <c r="L102" s="61" t="s">
        <v>86</v>
      </c>
      <c r="M102" s="45" t="s">
        <v>465</v>
      </c>
      <c r="N102" s="61" t="s">
        <v>9</v>
      </c>
      <c r="O102" s="45" t="s">
        <v>9</v>
      </c>
      <c r="P102" s="61" t="s">
        <v>9</v>
      </c>
      <c r="Q102" s="39" t="s">
        <v>9</v>
      </c>
      <c r="R102" s="61" t="s">
        <v>9</v>
      </c>
      <c r="S102" s="39" t="s">
        <v>9</v>
      </c>
      <c r="T102" s="61" t="s">
        <v>9</v>
      </c>
      <c r="U102" s="39" t="s">
        <v>9</v>
      </c>
      <c r="V102" s="61" t="s">
        <v>9</v>
      </c>
      <c r="W102" s="45" t="s">
        <v>9</v>
      </c>
      <c r="X102" s="61" t="s">
        <v>1652</v>
      </c>
      <c r="Y102" s="45" t="s">
        <v>425</v>
      </c>
      <c r="Z102" s="61" t="s">
        <v>9</v>
      </c>
      <c r="AA102" s="45" t="s">
        <v>9</v>
      </c>
      <c r="AB102" s="61" t="s">
        <v>9</v>
      </c>
      <c r="AC102" s="45" t="s">
        <v>9</v>
      </c>
      <c r="AD102" s="61" t="s">
        <v>9</v>
      </c>
      <c r="AE102" s="45" t="s">
        <v>9</v>
      </c>
      <c r="AF102" s="61" t="s">
        <v>9</v>
      </c>
      <c r="AG102" s="45" t="s">
        <v>9</v>
      </c>
      <c r="AH102" s="61" t="s">
        <v>9</v>
      </c>
      <c r="AI102" s="45" t="s">
        <v>9</v>
      </c>
      <c r="AJ102" s="61" t="s">
        <v>9</v>
      </c>
      <c r="AK102" s="45" t="s">
        <v>9</v>
      </c>
      <c r="AL102" s="61" t="s">
        <v>9</v>
      </c>
      <c r="AM102" s="45" t="s">
        <v>9</v>
      </c>
      <c r="AN102" s="61" t="s">
        <v>9</v>
      </c>
      <c r="AO102" s="45" t="s">
        <v>9</v>
      </c>
      <c r="AP102" s="61" t="s">
        <v>134</v>
      </c>
      <c r="AQ102" s="45" t="s">
        <v>1612</v>
      </c>
      <c r="AR102" s="61" t="s">
        <v>135</v>
      </c>
      <c r="AS102" s="45" t="s">
        <v>1616</v>
      </c>
      <c r="AT102" s="61" t="s">
        <v>1623</v>
      </c>
      <c r="AU102" s="45" t="s">
        <v>1624</v>
      </c>
    </row>
    <row r="103" spans="1:47" s="77" customFormat="1" ht="6.75" customHeight="1" x14ac:dyDescent="0.4">
      <c r="A103" s="84">
        <v>103</v>
      </c>
      <c r="B103" s="44" t="s">
        <v>466</v>
      </c>
      <c r="C103" s="41" t="s">
        <v>659</v>
      </c>
      <c r="D103" s="62" t="s">
        <v>457</v>
      </c>
      <c r="E103" s="69" t="s">
        <v>448</v>
      </c>
      <c r="F103" s="62" t="s">
        <v>9</v>
      </c>
      <c r="G103" s="68" t="s">
        <v>9</v>
      </c>
      <c r="H103" s="62" t="s">
        <v>9</v>
      </c>
      <c r="I103" s="68" t="s">
        <v>9</v>
      </c>
      <c r="J103" s="61" t="s">
        <v>86</v>
      </c>
      <c r="K103" s="45" t="s">
        <v>1607</v>
      </c>
      <c r="L103" s="61" t="s">
        <v>86</v>
      </c>
      <c r="M103" s="45" t="s">
        <v>730</v>
      </c>
      <c r="N103" s="61" t="s">
        <v>9</v>
      </c>
      <c r="O103" s="45" t="s">
        <v>9</v>
      </c>
      <c r="P103" s="61" t="s">
        <v>9</v>
      </c>
      <c r="Q103" s="39" t="s">
        <v>9</v>
      </c>
      <c r="R103" s="61" t="s">
        <v>9</v>
      </c>
      <c r="S103" s="39" t="s">
        <v>9</v>
      </c>
      <c r="T103" s="61" t="s">
        <v>9</v>
      </c>
      <c r="U103" s="39" t="s">
        <v>9</v>
      </c>
      <c r="V103" s="61" t="s">
        <v>9</v>
      </c>
      <c r="W103" s="45" t="s">
        <v>9</v>
      </c>
      <c r="X103" s="61" t="s">
        <v>1652</v>
      </c>
      <c r="Y103" s="45" t="s">
        <v>425</v>
      </c>
      <c r="Z103" s="61" t="s">
        <v>9</v>
      </c>
      <c r="AA103" s="45" t="s">
        <v>9</v>
      </c>
      <c r="AB103" s="61" t="s">
        <v>9</v>
      </c>
      <c r="AC103" s="45" t="s">
        <v>9</v>
      </c>
      <c r="AD103" s="61" t="s">
        <v>9</v>
      </c>
      <c r="AE103" s="45" t="s">
        <v>9</v>
      </c>
      <c r="AF103" s="61" t="s">
        <v>9</v>
      </c>
      <c r="AG103" s="45" t="s">
        <v>9</v>
      </c>
      <c r="AH103" s="61" t="s">
        <v>9</v>
      </c>
      <c r="AI103" s="45" t="s">
        <v>9</v>
      </c>
      <c r="AJ103" s="61" t="s">
        <v>9</v>
      </c>
      <c r="AK103" s="45" t="s">
        <v>9</v>
      </c>
      <c r="AL103" s="61" t="s">
        <v>9</v>
      </c>
      <c r="AM103" s="45" t="s">
        <v>9</v>
      </c>
      <c r="AN103" s="61" t="s">
        <v>9</v>
      </c>
      <c r="AO103" s="45" t="s">
        <v>9</v>
      </c>
      <c r="AP103" s="61" t="s">
        <v>134</v>
      </c>
      <c r="AQ103" s="45" t="s">
        <v>1612</v>
      </c>
      <c r="AR103" s="61" t="s">
        <v>135</v>
      </c>
      <c r="AS103" s="45" t="s">
        <v>1616</v>
      </c>
      <c r="AT103" s="61" t="s">
        <v>1623</v>
      </c>
      <c r="AU103" s="45" t="s">
        <v>1624</v>
      </c>
    </row>
    <row r="104" spans="1:47" s="77" customFormat="1" ht="6.75" customHeight="1" x14ac:dyDescent="0.4">
      <c r="A104" s="84">
        <v>104</v>
      </c>
      <c r="B104" s="44" t="s">
        <v>467</v>
      </c>
      <c r="C104" s="41" t="s">
        <v>653</v>
      </c>
      <c r="D104" s="62" t="s">
        <v>469</v>
      </c>
      <c r="E104" s="69" t="s">
        <v>420</v>
      </c>
      <c r="F104" s="62" t="s">
        <v>470</v>
      </c>
      <c r="G104" s="69" t="s">
        <v>420</v>
      </c>
      <c r="H104" s="62" t="s">
        <v>471</v>
      </c>
      <c r="I104" s="68" t="s">
        <v>103</v>
      </c>
      <c r="J104" s="61" t="s">
        <v>86</v>
      </c>
      <c r="K104" s="45" t="s">
        <v>1607</v>
      </c>
      <c r="L104" s="61" t="s">
        <v>86</v>
      </c>
      <c r="M104" s="45" t="s">
        <v>468</v>
      </c>
      <c r="N104" s="61" t="s">
        <v>9</v>
      </c>
      <c r="O104" s="45" t="s">
        <v>9</v>
      </c>
      <c r="P104" s="61" t="s">
        <v>9</v>
      </c>
      <c r="Q104" s="39" t="s">
        <v>9</v>
      </c>
      <c r="R104" s="61" t="s">
        <v>9</v>
      </c>
      <c r="S104" s="39" t="s">
        <v>9</v>
      </c>
      <c r="T104" s="61" t="s">
        <v>9</v>
      </c>
      <c r="U104" s="39" t="s">
        <v>9</v>
      </c>
      <c r="V104" s="61" t="s">
        <v>472</v>
      </c>
      <c r="W104" s="45">
        <v>60</v>
      </c>
      <c r="X104" s="61" t="s">
        <v>1652</v>
      </c>
      <c r="Y104" s="45" t="s">
        <v>425</v>
      </c>
      <c r="Z104" s="61" t="s">
        <v>9</v>
      </c>
      <c r="AA104" s="45" t="s">
        <v>9</v>
      </c>
      <c r="AB104" s="61" t="s">
        <v>9</v>
      </c>
      <c r="AC104" s="45" t="s">
        <v>9</v>
      </c>
      <c r="AD104" s="61" t="s">
        <v>9</v>
      </c>
      <c r="AE104" s="45" t="s">
        <v>9</v>
      </c>
      <c r="AF104" s="61" t="s">
        <v>9</v>
      </c>
      <c r="AG104" s="45" t="s">
        <v>9</v>
      </c>
      <c r="AH104" s="61" t="s">
        <v>9</v>
      </c>
      <c r="AI104" s="45" t="s">
        <v>9</v>
      </c>
      <c r="AJ104" s="61" t="s">
        <v>9</v>
      </c>
      <c r="AK104" s="45" t="s">
        <v>9</v>
      </c>
      <c r="AL104" s="61" t="s">
        <v>9</v>
      </c>
      <c r="AM104" s="45" t="s">
        <v>9</v>
      </c>
      <c r="AN104" s="61" t="s">
        <v>9</v>
      </c>
      <c r="AO104" s="45" t="s">
        <v>9</v>
      </c>
      <c r="AP104" s="61" t="s">
        <v>134</v>
      </c>
      <c r="AQ104" s="45" t="s">
        <v>1612</v>
      </c>
      <c r="AR104" s="61" t="s">
        <v>135</v>
      </c>
      <c r="AS104" s="45" t="s">
        <v>1616</v>
      </c>
      <c r="AT104" s="61" t="s">
        <v>1623</v>
      </c>
      <c r="AU104" s="45" t="s">
        <v>1624</v>
      </c>
    </row>
    <row r="105" spans="1:47" s="77" customFormat="1" ht="6.75" customHeight="1" x14ac:dyDescent="0.4">
      <c r="A105" s="84">
        <v>105</v>
      </c>
      <c r="B105" s="44" t="s">
        <v>473</v>
      </c>
      <c r="C105" s="41" t="s">
        <v>653</v>
      </c>
      <c r="D105" s="62" t="s">
        <v>469</v>
      </c>
      <c r="E105" s="69" t="s">
        <v>420</v>
      </c>
      <c r="F105" s="62" t="s">
        <v>475</v>
      </c>
      <c r="G105" s="69" t="s">
        <v>420</v>
      </c>
      <c r="H105" s="62" t="s">
        <v>471</v>
      </c>
      <c r="I105" s="68" t="s">
        <v>103</v>
      </c>
      <c r="J105" s="61" t="s">
        <v>86</v>
      </c>
      <c r="K105" s="45" t="s">
        <v>1607</v>
      </c>
      <c r="L105" s="61" t="s">
        <v>86</v>
      </c>
      <c r="M105" s="45" t="s">
        <v>474</v>
      </c>
      <c r="N105" s="61" t="s">
        <v>9</v>
      </c>
      <c r="O105" s="45" t="s">
        <v>9</v>
      </c>
      <c r="P105" s="61" t="s">
        <v>9</v>
      </c>
      <c r="Q105" s="39" t="s">
        <v>9</v>
      </c>
      <c r="R105" s="61" t="s">
        <v>9</v>
      </c>
      <c r="S105" s="39" t="s">
        <v>9</v>
      </c>
      <c r="T105" s="61" t="s">
        <v>9</v>
      </c>
      <c r="U105" s="39" t="s">
        <v>9</v>
      </c>
      <c r="V105" s="61" t="s">
        <v>472</v>
      </c>
      <c r="W105" s="45">
        <v>120</v>
      </c>
      <c r="X105" s="61" t="s">
        <v>1652</v>
      </c>
      <c r="Y105" s="45" t="s">
        <v>425</v>
      </c>
      <c r="Z105" s="61" t="s">
        <v>9</v>
      </c>
      <c r="AA105" s="45" t="s">
        <v>9</v>
      </c>
      <c r="AB105" s="61" t="s">
        <v>9</v>
      </c>
      <c r="AC105" s="45" t="s">
        <v>9</v>
      </c>
      <c r="AD105" s="61" t="s">
        <v>9</v>
      </c>
      <c r="AE105" s="45" t="s">
        <v>9</v>
      </c>
      <c r="AF105" s="61" t="s">
        <v>9</v>
      </c>
      <c r="AG105" s="45" t="s">
        <v>9</v>
      </c>
      <c r="AH105" s="61" t="s">
        <v>9</v>
      </c>
      <c r="AI105" s="45" t="s">
        <v>9</v>
      </c>
      <c r="AJ105" s="61" t="s">
        <v>9</v>
      </c>
      <c r="AK105" s="45" t="s">
        <v>9</v>
      </c>
      <c r="AL105" s="61" t="s">
        <v>9</v>
      </c>
      <c r="AM105" s="45" t="s">
        <v>9</v>
      </c>
      <c r="AN105" s="61" t="s">
        <v>9</v>
      </c>
      <c r="AO105" s="45" t="s">
        <v>9</v>
      </c>
      <c r="AP105" s="61" t="s">
        <v>134</v>
      </c>
      <c r="AQ105" s="45" t="s">
        <v>1612</v>
      </c>
      <c r="AR105" s="61" t="s">
        <v>135</v>
      </c>
      <c r="AS105" s="45" t="s">
        <v>1616</v>
      </c>
      <c r="AT105" s="61" t="s">
        <v>1623</v>
      </c>
      <c r="AU105" s="45" t="s">
        <v>1624</v>
      </c>
    </row>
    <row r="106" spans="1:47" s="77" customFormat="1" ht="6.75" customHeight="1" x14ac:dyDescent="0.4">
      <c r="A106" s="84">
        <v>106</v>
      </c>
      <c r="B106" s="44" t="s">
        <v>476</v>
      </c>
      <c r="C106" s="41" t="s">
        <v>653</v>
      </c>
      <c r="D106" s="62" t="s">
        <v>469</v>
      </c>
      <c r="E106" s="69" t="s">
        <v>417</v>
      </c>
      <c r="F106" s="62" t="s">
        <v>475</v>
      </c>
      <c r="G106" s="69" t="s">
        <v>417</v>
      </c>
      <c r="H106" s="62" t="s">
        <v>471</v>
      </c>
      <c r="I106" s="68" t="s">
        <v>103</v>
      </c>
      <c r="J106" s="61" t="s">
        <v>86</v>
      </c>
      <c r="K106" s="45" t="s">
        <v>1607</v>
      </c>
      <c r="L106" s="61" t="s">
        <v>86</v>
      </c>
      <c r="M106" s="45" t="s">
        <v>474</v>
      </c>
      <c r="N106" s="61" t="s">
        <v>9</v>
      </c>
      <c r="O106" s="45" t="s">
        <v>9</v>
      </c>
      <c r="P106" s="61" t="s">
        <v>9</v>
      </c>
      <c r="Q106" s="39" t="s">
        <v>9</v>
      </c>
      <c r="R106" s="61" t="s">
        <v>9</v>
      </c>
      <c r="S106" s="39" t="s">
        <v>9</v>
      </c>
      <c r="T106" s="61" t="s">
        <v>9</v>
      </c>
      <c r="U106" s="39" t="s">
        <v>9</v>
      </c>
      <c r="V106" s="61" t="s">
        <v>472</v>
      </c>
      <c r="W106" s="45">
        <v>120</v>
      </c>
      <c r="X106" s="61" t="s">
        <v>1652</v>
      </c>
      <c r="Y106" s="45" t="s">
        <v>425</v>
      </c>
      <c r="Z106" s="61" t="s">
        <v>9</v>
      </c>
      <c r="AA106" s="45" t="s">
        <v>9</v>
      </c>
      <c r="AB106" s="61" t="s">
        <v>9</v>
      </c>
      <c r="AC106" s="45" t="s">
        <v>9</v>
      </c>
      <c r="AD106" s="61" t="s">
        <v>9</v>
      </c>
      <c r="AE106" s="45" t="s">
        <v>9</v>
      </c>
      <c r="AF106" s="61" t="s">
        <v>9</v>
      </c>
      <c r="AG106" s="45" t="s">
        <v>9</v>
      </c>
      <c r="AH106" s="61" t="s">
        <v>9</v>
      </c>
      <c r="AI106" s="45" t="s">
        <v>9</v>
      </c>
      <c r="AJ106" s="61" t="s">
        <v>9</v>
      </c>
      <c r="AK106" s="45" t="s">
        <v>9</v>
      </c>
      <c r="AL106" s="61" t="s">
        <v>9</v>
      </c>
      <c r="AM106" s="45" t="s">
        <v>9</v>
      </c>
      <c r="AN106" s="61" t="s">
        <v>9</v>
      </c>
      <c r="AO106" s="45" t="s">
        <v>9</v>
      </c>
      <c r="AP106" s="61" t="s">
        <v>134</v>
      </c>
      <c r="AQ106" s="45" t="s">
        <v>1612</v>
      </c>
      <c r="AR106" s="61" t="s">
        <v>135</v>
      </c>
      <c r="AS106" s="45" t="s">
        <v>1616</v>
      </c>
      <c r="AT106" s="61" t="s">
        <v>1623</v>
      </c>
      <c r="AU106" s="45" t="s">
        <v>1624</v>
      </c>
    </row>
    <row r="107" spans="1:47" s="77" customFormat="1" ht="6.75" customHeight="1" x14ac:dyDescent="0.4">
      <c r="A107" s="84">
        <v>107</v>
      </c>
      <c r="B107" s="44" t="s">
        <v>477</v>
      </c>
      <c r="C107" s="41" t="s">
        <v>653</v>
      </c>
      <c r="D107" s="62" t="s">
        <v>469</v>
      </c>
      <c r="E107" s="70" t="s">
        <v>379</v>
      </c>
      <c r="F107" s="62" t="s">
        <v>470</v>
      </c>
      <c r="G107" s="70" t="s">
        <v>379</v>
      </c>
      <c r="H107" s="62" t="s">
        <v>9</v>
      </c>
      <c r="I107" s="68" t="s">
        <v>9</v>
      </c>
      <c r="J107" s="61" t="s">
        <v>86</v>
      </c>
      <c r="K107" s="45" t="s">
        <v>1607</v>
      </c>
      <c r="L107" s="61" t="s">
        <v>86</v>
      </c>
      <c r="M107" s="42" t="s">
        <v>478</v>
      </c>
      <c r="N107" s="61" t="s">
        <v>9</v>
      </c>
      <c r="O107" s="45" t="s">
        <v>9</v>
      </c>
      <c r="P107" s="61" t="s">
        <v>9</v>
      </c>
      <c r="Q107" s="39" t="s">
        <v>9</v>
      </c>
      <c r="R107" s="61" t="s">
        <v>9</v>
      </c>
      <c r="S107" s="39" t="s">
        <v>9</v>
      </c>
      <c r="T107" s="61" t="s">
        <v>9</v>
      </c>
      <c r="U107" s="39" t="s">
        <v>9</v>
      </c>
      <c r="V107" s="61" t="s">
        <v>9</v>
      </c>
      <c r="W107" s="45" t="s">
        <v>9</v>
      </c>
      <c r="X107" s="61" t="s">
        <v>1652</v>
      </c>
      <c r="Y107" s="45" t="s">
        <v>425</v>
      </c>
      <c r="Z107" s="61" t="s">
        <v>9</v>
      </c>
      <c r="AA107" s="45" t="s">
        <v>9</v>
      </c>
      <c r="AB107" s="61" t="s">
        <v>9</v>
      </c>
      <c r="AC107" s="45" t="s">
        <v>9</v>
      </c>
      <c r="AD107" s="61" t="s">
        <v>9</v>
      </c>
      <c r="AE107" s="45" t="s">
        <v>9</v>
      </c>
      <c r="AF107" s="61" t="s">
        <v>9</v>
      </c>
      <c r="AG107" s="45" t="s">
        <v>9</v>
      </c>
      <c r="AH107" s="61" t="s">
        <v>9</v>
      </c>
      <c r="AI107" s="45" t="s">
        <v>9</v>
      </c>
      <c r="AJ107" s="61" t="s">
        <v>9</v>
      </c>
      <c r="AK107" s="45" t="s">
        <v>9</v>
      </c>
      <c r="AL107" s="61" t="s">
        <v>9</v>
      </c>
      <c r="AM107" s="45" t="s">
        <v>9</v>
      </c>
      <c r="AN107" s="61" t="s">
        <v>9</v>
      </c>
      <c r="AO107" s="45" t="s">
        <v>9</v>
      </c>
      <c r="AP107" s="61" t="s">
        <v>134</v>
      </c>
      <c r="AQ107" s="45" t="s">
        <v>1612</v>
      </c>
      <c r="AR107" s="61" t="s">
        <v>135</v>
      </c>
      <c r="AS107" s="45" t="s">
        <v>1616</v>
      </c>
      <c r="AT107" s="61" t="s">
        <v>1623</v>
      </c>
      <c r="AU107" s="45" t="s">
        <v>1624</v>
      </c>
    </row>
    <row r="108" spans="1:47" s="77" customFormat="1" ht="6.75" customHeight="1" x14ac:dyDescent="0.4">
      <c r="A108" s="84">
        <v>108</v>
      </c>
      <c r="B108" s="44" t="s">
        <v>479</v>
      </c>
      <c r="C108" s="41" t="s">
        <v>653</v>
      </c>
      <c r="D108" s="62" t="s">
        <v>469</v>
      </c>
      <c r="E108" s="70" t="s">
        <v>379</v>
      </c>
      <c r="F108" s="62" t="s">
        <v>470</v>
      </c>
      <c r="G108" s="70" t="s">
        <v>379</v>
      </c>
      <c r="H108" s="62" t="s">
        <v>9</v>
      </c>
      <c r="I108" s="68" t="s">
        <v>9</v>
      </c>
      <c r="J108" s="61" t="s">
        <v>86</v>
      </c>
      <c r="K108" s="45" t="s">
        <v>1607</v>
      </c>
      <c r="L108" s="61" t="s">
        <v>86</v>
      </c>
      <c r="M108" s="42" t="s">
        <v>478</v>
      </c>
      <c r="N108" s="61" t="s">
        <v>9</v>
      </c>
      <c r="O108" s="45" t="s">
        <v>9</v>
      </c>
      <c r="P108" s="61" t="s">
        <v>9</v>
      </c>
      <c r="Q108" s="39" t="s">
        <v>9</v>
      </c>
      <c r="R108" s="61" t="s">
        <v>9</v>
      </c>
      <c r="S108" s="39" t="s">
        <v>9</v>
      </c>
      <c r="T108" s="61" t="s">
        <v>9</v>
      </c>
      <c r="U108" s="39" t="s">
        <v>9</v>
      </c>
      <c r="V108" s="61" t="s">
        <v>9</v>
      </c>
      <c r="W108" s="45" t="s">
        <v>9</v>
      </c>
      <c r="X108" s="61" t="s">
        <v>1652</v>
      </c>
      <c r="Y108" s="45" t="s">
        <v>425</v>
      </c>
      <c r="Z108" s="61" t="s">
        <v>9</v>
      </c>
      <c r="AA108" s="45" t="s">
        <v>9</v>
      </c>
      <c r="AB108" s="61" t="s">
        <v>9</v>
      </c>
      <c r="AC108" s="45" t="s">
        <v>9</v>
      </c>
      <c r="AD108" s="61" t="s">
        <v>9</v>
      </c>
      <c r="AE108" s="45" t="s">
        <v>9</v>
      </c>
      <c r="AF108" s="61" t="s">
        <v>9</v>
      </c>
      <c r="AG108" s="45" t="s">
        <v>9</v>
      </c>
      <c r="AH108" s="61" t="s">
        <v>9</v>
      </c>
      <c r="AI108" s="45" t="s">
        <v>9</v>
      </c>
      <c r="AJ108" s="61" t="s">
        <v>9</v>
      </c>
      <c r="AK108" s="45" t="s">
        <v>9</v>
      </c>
      <c r="AL108" s="61" t="s">
        <v>9</v>
      </c>
      <c r="AM108" s="45" t="s">
        <v>9</v>
      </c>
      <c r="AN108" s="61" t="s">
        <v>9</v>
      </c>
      <c r="AO108" s="45" t="s">
        <v>9</v>
      </c>
      <c r="AP108" s="61" t="s">
        <v>134</v>
      </c>
      <c r="AQ108" s="45" t="s">
        <v>1612</v>
      </c>
      <c r="AR108" s="61" t="s">
        <v>135</v>
      </c>
      <c r="AS108" s="45" t="s">
        <v>1616</v>
      </c>
      <c r="AT108" s="61" t="s">
        <v>1623</v>
      </c>
      <c r="AU108" s="45" t="s">
        <v>1624</v>
      </c>
    </row>
    <row r="109" spans="1:47" s="77" customFormat="1" ht="6.75" customHeight="1" x14ac:dyDescent="0.4">
      <c r="A109" s="84">
        <v>109</v>
      </c>
      <c r="B109" s="44" t="s">
        <v>480</v>
      </c>
      <c r="C109" s="41" t="s">
        <v>653</v>
      </c>
      <c r="D109" s="62" t="s">
        <v>469</v>
      </c>
      <c r="E109" s="70" t="s">
        <v>379</v>
      </c>
      <c r="F109" s="62" t="s">
        <v>470</v>
      </c>
      <c r="G109" s="70" t="s">
        <v>379</v>
      </c>
      <c r="H109" s="62" t="s">
        <v>9</v>
      </c>
      <c r="I109" s="68" t="s">
        <v>9</v>
      </c>
      <c r="J109" s="61" t="s">
        <v>86</v>
      </c>
      <c r="K109" s="45" t="s">
        <v>1607</v>
      </c>
      <c r="L109" s="61" t="s">
        <v>86</v>
      </c>
      <c r="M109" s="42" t="s">
        <v>478</v>
      </c>
      <c r="N109" s="61" t="s">
        <v>9</v>
      </c>
      <c r="O109" s="45" t="s">
        <v>9</v>
      </c>
      <c r="P109" s="61" t="s">
        <v>9</v>
      </c>
      <c r="Q109" s="39" t="s">
        <v>9</v>
      </c>
      <c r="R109" s="61" t="s">
        <v>9</v>
      </c>
      <c r="S109" s="39" t="s">
        <v>9</v>
      </c>
      <c r="T109" s="61" t="s">
        <v>9</v>
      </c>
      <c r="U109" s="39" t="s">
        <v>9</v>
      </c>
      <c r="V109" s="61" t="s">
        <v>9</v>
      </c>
      <c r="W109" s="45" t="s">
        <v>9</v>
      </c>
      <c r="X109" s="61" t="s">
        <v>1652</v>
      </c>
      <c r="Y109" s="45" t="s">
        <v>425</v>
      </c>
      <c r="Z109" s="61" t="s">
        <v>9</v>
      </c>
      <c r="AA109" s="45" t="s">
        <v>9</v>
      </c>
      <c r="AB109" s="61" t="s">
        <v>9</v>
      </c>
      <c r="AC109" s="45" t="s">
        <v>9</v>
      </c>
      <c r="AD109" s="61" t="s">
        <v>9</v>
      </c>
      <c r="AE109" s="45" t="s">
        <v>9</v>
      </c>
      <c r="AF109" s="61" t="s">
        <v>9</v>
      </c>
      <c r="AG109" s="45" t="s">
        <v>9</v>
      </c>
      <c r="AH109" s="61" t="s">
        <v>9</v>
      </c>
      <c r="AI109" s="45" t="s">
        <v>9</v>
      </c>
      <c r="AJ109" s="61" t="s">
        <v>9</v>
      </c>
      <c r="AK109" s="45" t="s">
        <v>9</v>
      </c>
      <c r="AL109" s="61" t="s">
        <v>9</v>
      </c>
      <c r="AM109" s="45" t="s">
        <v>9</v>
      </c>
      <c r="AN109" s="61" t="s">
        <v>9</v>
      </c>
      <c r="AO109" s="45" t="s">
        <v>9</v>
      </c>
      <c r="AP109" s="61" t="s">
        <v>134</v>
      </c>
      <c r="AQ109" s="45" t="s">
        <v>1612</v>
      </c>
      <c r="AR109" s="61" t="s">
        <v>135</v>
      </c>
      <c r="AS109" s="45" t="s">
        <v>1616</v>
      </c>
      <c r="AT109" s="61" t="s">
        <v>1623</v>
      </c>
      <c r="AU109" s="45" t="s">
        <v>1624</v>
      </c>
    </row>
    <row r="110" spans="1:47" s="77" customFormat="1" ht="6.75" customHeight="1" x14ac:dyDescent="0.4">
      <c r="A110" s="84">
        <v>110</v>
      </c>
      <c r="B110" s="44" t="s">
        <v>481</v>
      </c>
      <c r="C110" s="41" t="s">
        <v>653</v>
      </c>
      <c r="D110" s="62" t="s">
        <v>469</v>
      </c>
      <c r="E110" s="70" t="s">
        <v>379</v>
      </c>
      <c r="F110" s="62" t="s">
        <v>470</v>
      </c>
      <c r="G110" s="70" t="s">
        <v>379</v>
      </c>
      <c r="H110" s="62" t="s">
        <v>9</v>
      </c>
      <c r="I110" s="68" t="s">
        <v>9</v>
      </c>
      <c r="J110" s="61" t="s">
        <v>86</v>
      </c>
      <c r="K110" s="45" t="s">
        <v>1607</v>
      </c>
      <c r="L110" s="61" t="s">
        <v>86</v>
      </c>
      <c r="M110" s="42" t="s">
        <v>478</v>
      </c>
      <c r="N110" s="61" t="s">
        <v>9</v>
      </c>
      <c r="O110" s="45" t="s">
        <v>9</v>
      </c>
      <c r="P110" s="61" t="s">
        <v>9</v>
      </c>
      <c r="Q110" s="39" t="s">
        <v>9</v>
      </c>
      <c r="R110" s="61" t="s">
        <v>9</v>
      </c>
      <c r="S110" s="39" t="s">
        <v>9</v>
      </c>
      <c r="T110" s="61" t="s">
        <v>9</v>
      </c>
      <c r="U110" s="39" t="s">
        <v>9</v>
      </c>
      <c r="V110" s="61" t="s">
        <v>9</v>
      </c>
      <c r="W110" s="45" t="s">
        <v>9</v>
      </c>
      <c r="X110" s="61" t="s">
        <v>1652</v>
      </c>
      <c r="Y110" s="45" t="s">
        <v>425</v>
      </c>
      <c r="Z110" s="61" t="s">
        <v>9</v>
      </c>
      <c r="AA110" s="45" t="s">
        <v>9</v>
      </c>
      <c r="AB110" s="61" t="s">
        <v>9</v>
      </c>
      <c r="AC110" s="45" t="s">
        <v>9</v>
      </c>
      <c r="AD110" s="61" t="s">
        <v>9</v>
      </c>
      <c r="AE110" s="45" t="s">
        <v>9</v>
      </c>
      <c r="AF110" s="61" t="s">
        <v>9</v>
      </c>
      <c r="AG110" s="45" t="s">
        <v>9</v>
      </c>
      <c r="AH110" s="61" t="s">
        <v>9</v>
      </c>
      <c r="AI110" s="45" t="s">
        <v>9</v>
      </c>
      <c r="AJ110" s="61" t="s">
        <v>9</v>
      </c>
      <c r="AK110" s="45" t="s">
        <v>9</v>
      </c>
      <c r="AL110" s="61" t="s">
        <v>9</v>
      </c>
      <c r="AM110" s="45" t="s">
        <v>9</v>
      </c>
      <c r="AN110" s="61" t="s">
        <v>9</v>
      </c>
      <c r="AO110" s="45" t="s">
        <v>9</v>
      </c>
      <c r="AP110" s="61" t="s">
        <v>134</v>
      </c>
      <c r="AQ110" s="45" t="s">
        <v>1612</v>
      </c>
      <c r="AR110" s="61" t="s">
        <v>135</v>
      </c>
      <c r="AS110" s="45" t="s">
        <v>1616</v>
      </c>
      <c r="AT110" s="61" t="s">
        <v>1623</v>
      </c>
      <c r="AU110" s="45" t="s">
        <v>1624</v>
      </c>
    </row>
    <row r="111" spans="1:47" s="77" customFormat="1" ht="6.75" customHeight="1" x14ac:dyDescent="0.4">
      <c r="A111" s="84">
        <v>111</v>
      </c>
      <c r="B111" s="44" t="s">
        <v>482</v>
      </c>
      <c r="C111" s="41" t="s">
        <v>653</v>
      </c>
      <c r="D111" s="62" t="s">
        <v>469</v>
      </c>
      <c r="E111" s="70" t="s">
        <v>379</v>
      </c>
      <c r="F111" s="62" t="s">
        <v>470</v>
      </c>
      <c r="G111" s="70" t="s">
        <v>379</v>
      </c>
      <c r="H111" s="62" t="s">
        <v>9</v>
      </c>
      <c r="I111" s="68" t="s">
        <v>9</v>
      </c>
      <c r="J111" s="61" t="s">
        <v>86</v>
      </c>
      <c r="K111" s="45" t="s">
        <v>1607</v>
      </c>
      <c r="L111" s="61" t="s">
        <v>86</v>
      </c>
      <c r="M111" s="42" t="s">
        <v>483</v>
      </c>
      <c r="N111" s="61" t="s">
        <v>9</v>
      </c>
      <c r="O111" s="45" t="s">
        <v>9</v>
      </c>
      <c r="P111" s="61" t="s">
        <v>9</v>
      </c>
      <c r="Q111" s="39" t="s">
        <v>9</v>
      </c>
      <c r="R111" s="61" t="s">
        <v>9</v>
      </c>
      <c r="S111" s="39" t="s">
        <v>9</v>
      </c>
      <c r="T111" s="61" t="s">
        <v>9</v>
      </c>
      <c r="U111" s="39" t="s">
        <v>9</v>
      </c>
      <c r="V111" s="61" t="s">
        <v>9</v>
      </c>
      <c r="W111" s="45" t="s">
        <v>9</v>
      </c>
      <c r="X111" s="61" t="s">
        <v>1652</v>
      </c>
      <c r="Y111" s="45" t="s">
        <v>425</v>
      </c>
      <c r="Z111" s="61" t="s">
        <v>9</v>
      </c>
      <c r="AA111" s="45" t="s">
        <v>9</v>
      </c>
      <c r="AB111" s="61" t="s">
        <v>9</v>
      </c>
      <c r="AC111" s="45" t="s">
        <v>9</v>
      </c>
      <c r="AD111" s="61" t="s">
        <v>9</v>
      </c>
      <c r="AE111" s="45" t="s">
        <v>9</v>
      </c>
      <c r="AF111" s="61" t="s">
        <v>9</v>
      </c>
      <c r="AG111" s="45" t="s">
        <v>9</v>
      </c>
      <c r="AH111" s="61" t="s">
        <v>9</v>
      </c>
      <c r="AI111" s="45" t="s">
        <v>9</v>
      </c>
      <c r="AJ111" s="61" t="s">
        <v>9</v>
      </c>
      <c r="AK111" s="45" t="s">
        <v>9</v>
      </c>
      <c r="AL111" s="61" t="s">
        <v>9</v>
      </c>
      <c r="AM111" s="45" t="s">
        <v>9</v>
      </c>
      <c r="AN111" s="61" t="s">
        <v>9</v>
      </c>
      <c r="AO111" s="45" t="s">
        <v>9</v>
      </c>
      <c r="AP111" s="61" t="s">
        <v>134</v>
      </c>
      <c r="AQ111" s="45" t="s">
        <v>1612</v>
      </c>
      <c r="AR111" s="61" t="s">
        <v>135</v>
      </c>
      <c r="AS111" s="45" t="s">
        <v>1616</v>
      </c>
      <c r="AT111" s="61" t="s">
        <v>1623</v>
      </c>
      <c r="AU111" s="45" t="s">
        <v>1624</v>
      </c>
    </row>
    <row r="112" spans="1:47" s="77" customFormat="1" ht="6.75" customHeight="1" x14ac:dyDescent="0.4">
      <c r="A112" s="84">
        <v>112</v>
      </c>
      <c r="B112" s="44" t="s">
        <v>484</v>
      </c>
      <c r="C112" s="41" t="s">
        <v>653</v>
      </c>
      <c r="D112" s="62" t="s">
        <v>469</v>
      </c>
      <c r="E112" s="70" t="s">
        <v>379</v>
      </c>
      <c r="F112" s="62" t="s">
        <v>470</v>
      </c>
      <c r="G112" s="70" t="s">
        <v>379</v>
      </c>
      <c r="H112" s="62" t="s">
        <v>9</v>
      </c>
      <c r="I112" s="68" t="s">
        <v>9</v>
      </c>
      <c r="J112" s="61" t="s">
        <v>86</v>
      </c>
      <c r="K112" s="45" t="s">
        <v>1607</v>
      </c>
      <c r="L112" s="61" t="s">
        <v>86</v>
      </c>
      <c r="M112" s="42" t="s">
        <v>483</v>
      </c>
      <c r="N112" s="61" t="s">
        <v>9</v>
      </c>
      <c r="O112" s="45" t="s">
        <v>9</v>
      </c>
      <c r="P112" s="61" t="s">
        <v>9</v>
      </c>
      <c r="Q112" s="39" t="s">
        <v>9</v>
      </c>
      <c r="R112" s="61" t="s">
        <v>9</v>
      </c>
      <c r="S112" s="39" t="s">
        <v>9</v>
      </c>
      <c r="T112" s="61" t="s">
        <v>9</v>
      </c>
      <c r="U112" s="39" t="s">
        <v>9</v>
      </c>
      <c r="V112" s="61" t="s">
        <v>9</v>
      </c>
      <c r="W112" s="45" t="s">
        <v>9</v>
      </c>
      <c r="X112" s="61" t="s">
        <v>1652</v>
      </c>
      <c r="Y112" s="45" t="s">
        <v>425</v>
      </c>
      <c r="Z112" s="61" t="s">
        <v>9</v>
      </c>
      <c r="AA112" s="45" t="s">
        <v>9</v>
      </c>
      <c r="AB112" s="61" t="s">
        <v>9</v>
      </c>
      <c r="AC112" s="45" t="s">
        <v>9</v>
      </c>
      <c r="AD112" s="61" t="s">
        <v>9</v>
      </c>
      <c r="AE112" s="45" t="s">
        <v>9</v>
      </c>
      <c r="AF112" s="61" t="s">
        <v>9</v>
      </c>
      <c r="AG112" s="45" t="s">
        <v>9</v>
      </c>
      <c r="AH112" s="61" t="s">
        <v>9</v>
      </c>
      <c r="AI112" s="45" t="s">
        <v>9</v>
      </c>
      <c r="AJ112" s="61" t="s">
        <v>9</v>
      </c>
      <c r="AK112" s="45" t="s">
        <v>9</v>
      </c>
      <c r="AL112" s="61" t="s">
        <v>9</v>
      </c>
      <c r="AM112" s="45" t="s">
        <v>9</v>
      </c>
      <c r="AN112" s="61" t="s">
        <v>9</v>
      </c>
      <c r="AO112" s="45" t="s">
        <v>9</v>
      </c>
      <c r="AP112" s="61" t="s">
        <v>134</v>
      </c>
      <c r="AQ112" s="45" t="s">
        <v>1612</v>
      </c>
      <c r="AR112" s="61" t="s">
        <v>135</v>
      </c>
      <c r="AS112" s="45" t="s">
        <v>1616</v>
      </c>
      <c r="AT112" s="61" t="s">
        <v>1623</v>
      </c>
      <c r="AU112" s="45" t="s">
        <v>1624</v>
      </c>
    </row>
    <row r="113" spans="1:47" s="77" customFormat="1" ht="6.75" customHeight="1" x14ac:dyDescent="0.4">
      <c r="A113" s="84">
        <v>113</v>
      </c>
      <c r="B113" s="44" t="s">
        <v>485</v>
      </c>
      <c r="C113" s="41" t="s">
        <v>653</v>
      </c>
      <c r="D113" s="62" t="s">
        <v>469</v>
      </c>
      <c r="E113" s="70" t="s">
        <v>379</v>
      </c>
      <c r="F113" s="62" t="s">
        <v>470</v>
      </c>
      <c r="G113" s="70" t="s">
        <v>379</v>
      </c>
      <c r="H113" s="62" t="s">
        <v>9</v>
      </c>
      <c r="I113" s="68" t="s">
        <v>9</v>
      </c>
      <c r="J113" s="61" t="s">
        <v>86</v>
      </c>
      <c r="K113" s="45" t="s">
        <v>1607</v>
      </c>
      <c r="L113" s="61" t="s">
        <v>86</v>
      </c>
      <c r="M113" s="42" t="s">
        <v>483</v>
      </c>
      <c r="N113" s="61" t="s">
        <v>9</v>
      </c>
      <c r="O113" s="45" t="s">
        <v>9</v>
      </c>
      <c r="P113" s="61" t="s">
        <v>9</v>
      </c>
      <c r="Q113" s="39" t="s">
        <v>9</v>
      </c>
      <c r="R113" s="61" t="s">
        <v>9</v>
      </c>
      <c r="S113" s="39" t="s">
        <v>9</v>
      </c>
      <c r="T113" s="61" t="s">
        <v>9</v>
      </c>
      <c r="U113" s="39" t="s">
        <v>9</v>
      </c>
      <c r="V113" s="61" t="s">
        <v>9</v>
      </c>
      <c r="W113" s="45" t="s">
        <v>9</v>
      </c>
      <c r="X113" s="61" t="s">
        <v>1652</v>
      </c>
      <c r="Y113" s="45" t="s">
        <v>425</v>
      </c>
      <c r="Z113" s="61" t="s">
        <v>9</v>
      </c>
      <c r="AA113" s="45" t="s">
        <v>9</v>
      </c>
      <c r="AB113" s="61" t="s">
        <v>9</v>
      </c>
      <c r="AC113" s="45" t="s">
        <v>9</v>
      </c>
      <c r="AD113" s="61" t="s">
        <v>9</v>
      </c>
      <c r="AE113" s="45" t="s">
        <v>9</v>
      </c>
      <c r="AF113" s="61" t="s">
        <v>9</v>
      </c>
      <c r="AG113" s="45" t="s">
        <v>9</v>
      </c>
      <c r="AH113" s="61" t="s">
        <v>9</v>
      </c>
      <c r="AI113" s="45" t="s">
        <v>9</v>
      </c>
      <c r="AJ113" s="61" t="s">
        <v>9</v>
      </c>
      <c r="AK113" s="45" t="s">
        <v>9</v>
      </c>
      <c r="AL113" s="61" t="s">
        <v>9</v>
      </c>
      <c r="AM113" s="45" t="s">
        <v>9</v>
      </c>
      <c r="AN113" s="61" t="s">
        <v>9</v>
      </c>
      <c r="AO113" s="45" t="s">
        <v>9</v>
      </c>
      <c r="AP113" s="61" t="s">
        <v>134</v>
      </c>
      <c r="AQ113" s="45" t="s">
        <v>1612</v>
      </c>
      <c r="AR113" s="61" t="s">
        <v>135</v>
      </c>
      <c r="AS113" s="45" t="s">
        <v>1616</v>
      </c>
      <c r="AT113" s="61" t="s">
        <v>1623</v>
      </c>
      <c r="AU113" s="45" t="s">
        <v>1624</v>
      </c>
    </row>
    <row r="114" spans="1:47" s="77" customFormat="1" ht="6.75" customHeight="1" x14ac:dyDescent="0.4">
      <c r="A114" s="84">
        <v>114</v>
      </c>
      <c r="B114" s="44" t="s">
        <v>486</v>
      </c>
      <c r="C114" s="41" t="s">
        <v>653</v>
      </c>
      <c r="D114" s="62" t="s">
        <v>469</v>
      </c>
      <c r="E114" s="70" t="s">
        <v>379</v>
      </c>
      <c r="F114" s="62" t="s">
        <v>470</v>
      </c>
      <c r="G114" s="70" t="s">
        <v>379</v>
      </c>
      <c r="H114" s="62" t="s">
        <v>9</v>
      </c>
      <c r="I114" s="68" t="s">
        <v>9</v>
      </c>
      <c r="J114" s="61" t="s">
        <v>86</v>
      </c>
      <c r="K114" s="45" t="s">
        <v>1607</v>
      </c>
      <c r="L114" s="61" t="s">
        <v>86</v>
      </c>
      <c r="M114" s="42" t="s">
        <v>483</v>
      </c>
      <c r="N114" s="61" t="s">
        <v>9</v>
      </c>
      <c r="O114" s="45" t="s">
        <v>9</v>
      </c>
      <c r="P114" s="61" t="s">
        <v>9</v>
      </c>
      <c r="Q114" s="39" t="s">
        <v>9</v>
      </c>
      <c r="R114" s="61" t="s">
        <v>9</v>
      </c>
      <c r="S114" s="39" t="s">
        <v>9</v>
      </c>
      <c r="T114" s="61" t="s">
        <v>9</v>
      </c>
      <c r="U114" s="39" t="s">
        <v>9</v>
      </c>
      <c r="V114" s="61" t="s">
        <v>9</v>
      </c>
      <c r="W114" s="45" t="s">
        <v>9</v>
      </c>
      <c r="X114" s="61" t="s">
        <v>1652</v>
      </c>
      <c r="Y114" s="45" t="s">
        <v>425</v>
      </c>
      <c r="Z114" s="61" t="s">
        <v>9</v>
      </c>
      <c r="AA114" s="45" t="s">
        <v>9</v>
      </c>
      <c r="AB114" s="61" t="s">
        <v>9</v>
      </c>
      <c r="AC114" s="45" t="s">
        <v>9</v>
      </c>
      <c r="AD114" s="61" t="s">
        <v>9</v>
      </c>
      <c r="AE114" s="45" t="s">
        <v>9</v>
      </c>
      <c r="AF114" s="61" t="s">
        <v>9</v>
      </c>
      <c r="AG114" s="45" t="s">
        <v>9</v>
      </c>
      <c r="AH114" s="61" t="s">
        <v>9</v>
      </c>
      <c r="AI114" s="45" t="s">
        <v>9</v>
      </c>
      <c r="AJ114" s="61" t="s">
        <v>9</v>
      </c>
      <c r="AK114" s="45" t="s">
        <v>9</v>
      </c>
      <c r="AL114" s="61" t="s">
        <v>9</v>
      </c>
      <c r="AM114" s="45" t="s">
        <v>9</v>
      </c>
      <c r="AN114" s="61" t="s">
        <v>9</v>
      </c>
      <c r="AO114" s="45" t="s">
        <v>9</v>
      </c>
      <c r="AP114" s="61" t="s">
        <v>134</v>
      </c>
      <c r="AQ114" s="45" t="s">
        <v>1612</v>
      </c>
      <c r="AR114" s="61" t="s">
        <v>135</v>
      </c>
      <c r="AS114" s="45" t="s">
        <v>1616</v>
      </c>
      <c r="AT114" s="61" t="s">
        <v>1623</v>
      </c>
      <c r="AU114" s="45" t="s">
        <v>1624</v>
      </c>
    </row>
    <row r="115" spans="1:47" s="77" customFormat="1" ht="6.75" customHeight="1" x14ac:dyDescent="0.4">
      <c r="A115" s="84">
        <v>115</v>
      </c>
      <c r="B115" s="44" t="s">
        <v>487</v>
      </c>
      <c r="C115" s="41" t="s">
        <v>653</v>
      </c>
      <c r="D115" s="62" t="s">
        <v>469</v>
      </c>
      <c r="E115" s="69" t="s">
        <v>411</v>
      </c>
      <c r="F115" s="62" t="s">
        <v>9</v>
      </c>
      <c r="G115" s="68" t="s">
        <v>9</v>
      </c>
      <c r="H115" s="62" t="s">
        <v>9</v>
      </c>
      <c r="I115" s="68" t="s">
        <v>9</v>
      </c>
      <c r="J115" s="61" t="s">
        <v>86</v>
      </c>
      <c r="K115" s="45" t="s">
        <v>1607</v>
      </c>
      <c r="L115" s="61" t="s">
        <v>86</v>
      </c>
      <c r="M115" s="42" t="s">
        <v>488</v>
      </c>
      <c r="N115" s="61" t="s">
        <v>9</v>
      </c>
      <c r="O115" s="45" t="s">
        <v>9</v>
      </c>
      <c r="P115" s="61" t="s">
        <v>9</v>
      </c>
      <c r="Q115" s="39" t="s">
        <v>9</v>
      </c>
      <c r="R115" s="61" t="s">
        <v>9</v>
      </c>
      <c r="S115" s="39" t="s">
        <v>9</v>
      </c>
      <c r="T115" s="61" t="s">
        <v>9</v>
      </c>
      <c r="U115" s="39" t="s">
        <v>9</v>
      </c>
      <c r="V115" s="61" t="s">
        <v>9</v>
      </c>
      <c r="W115" s="45" t="s">
        <v>9</v>
      </c>
      <c r="X115" s="61" t="s">
        <v>1652</v>
      </c>
      <c r="Y115" s="45" t="s">
        <v>425</v>
      </c>
      <c r="Z115" s="61" t="s">
        <v>9</v>
      </c>
      <c r="AA115" s="45" t="s">
        <v>9</v>
      </c>
      <c r="AB115" s="61" t="s">
        <v>9</v>
      </c>
      <c r="AC115" s="45" t="s">
        <v>9</v>
      </c>
      <c r="AD115" s="61" t="s">
        <v>9</v>
      </c>
      <c r="AE115" s="45" t="s">
        <v>9</v>
      </c>
      <c r="AF115" s="61" t="s">
        <v>9</v>
      </c>
      <c r="AG115" s="45" t="s">
        <v>9</v>
      </c>
      <c r="AH115" s="61" t="s">
        <v>9</v>
      </c>
      <c r="AI115" s="45" t="s">
        <v>9</v>
      </c>
      <c r="AJ115" s="61" t="s">
        <v>9</v>
      </c>
      <c r="AK115" s="45" t="s">
        <v>9</v>
      </c>
      <c r="AL115" s="61" t="s">
        <v>9</v>
      </c>
      <c r="AM115" s="45" t="s">
        <v>9</v>
      </c>
      <c r="AN115" s="61" t="s">
        <v>9</v>
      </c>
      <c r="AO115" s="45" t="s">
        <v>9</v>
      </c>
      <c r="AP115" s="61" t="s">
        <v>134</v>
      </c>
      <c r="AQ115" s="45" t="s">
        <v>1612</v>
      </c>
      <c r="AR115" s="61" t="s">
        <v>135</v>
      </c>
      <c r="AS115" s="45" t="s">
        <v>1616</v>
      </c>
      <c r="AT115" s="61" t="s">
        <v>1623</v>
      </c>
      <c r="AU115" s="45" t="s">
        <v>1624</v>
      </c>
    </row>
    <row r="116" spans="1:47" s="77" customFormat="1" ht="6.75" customHeight="1" x14ac:dyDescent="0.4">
      <c r="A116" s="84">
        <v>116</v>
      </c>
      <c r="B116" s="44" t="s">
        <v>489</v>
      </c>
      <c r="C116" s="41" t="s">
        <v>653</v>
      </c>
      <c r="D116" s="62" t="s">
        <v>469</v>
      </c>
      <c r="E116" s="69" t="s">
        <v>414</v>
      </c>
      <c r="F116" s="62" t="s">
        <v>9</v>
      </c>
      <c r="G116" s="68" t="s">
        <v>9</v>
      </c>
      <c r="H116" s="62" t="s">
        <v>9</v>
      </c>
      <c r="I116" s="68" t="s">
        <v>9</v>
      </c>
      <c r="J116" s="61" t="s">
        <v>86</v>
      </c>
      <c r="K116" s="45" t="s">
        <v>1607</v>
      </c>
      <c r="L116" s="61" t="s">
        <v>86</v>
      </c>
      <c r="M116" s="42" t="s">
        <v>490</v>
      </c>
      <c r="N116" s="61" t="s">
        <v>9</v>
      </c>
      <c r="O116" s="45" t="s">
        <v>9</v>
      </c>
      <c r="P116" s="61" t="s">
        <v>9</v>
      </c>
      <c r="Q116" s="39" t="s">
        <v>9</v>
      </c>
      <c r="R116" s="61" t="s">
        <v>9</v>
      </c>
      <c r="S116" s="39" t="s">
        <v>9</v>
      </c>
      <c r="T116" s="61" t="s">
        <v>9</v>
      </c>
      <c r="U116" s="39" t="s">
        <v>9</v>
      </c>
      <c r="V116" s="61" t="s">
        <v>9</v>
      </c>
      <c r="W116" s="45" t="s">
        <v>9</v>
      </c>
      <c r="X116" s="61" t="s">
        <v>1652</v>
      </c>
      <c r="Y116" s="45" t="s">
        <v>425</v>
      </c>
      <c r="Z116" s="61" t="s">
        <v>9</v>
      </c>
      <c r="AA116" s="45" t="s">
        <v>9</v>
      </c>
      <c r="AB116" s="61" t="s">
        <v>9</v>
      </c>
      <c r="AC116" s="45" t="s">
        <v>9</v>
      </c>
      <c r="AD116" s="61" t="s">
        <v>9</v>
      </c>
      <c r="AE116" s="45" t="s">
        <v>9</v>
      </c>
      <c r="AF116" s="61" t="s">
        <v>9</v>
      </c>
      <c r="AG116" s="45" t="s">
        <v>9</v>
      </c>
      <c r="AH116" s="61" t="s">
        <v>9</v>
      </c>
      <c r="AI116" s="45" t="s">
        <v>9</v>
      </c>
      <c r="AJ116" s="61" t="s">
        <v>9</v>
      </c>
      <c r="AK116" s="45" t="s">
        <v>9</v>
      </c>
      <c r="AL116" s="61" t="s">
        <v>9</v>
      </c>
      <c r="AM116" s="45" t="s">
        <v>9</v>
      </c>
      <c r="AN116" s="61" t="s">
        <v>9</v>
      </c>
      <c r="AO116" s="45" t="s">
        <v>9</v>
      </c>
      <c r="AP116" s="61" t="s">
        <v>134</v>
      </c>
      <c r="AQ116" s="45" t="s">
        <v>1612</v>
      </c>
      <c r="AR116" s="61" t="s">
        <v>135</v>
      </c>
      <c r="AS116" s="45" t="s">
        <v>1616</v>
      </c>
      <c r="AT116" s="61" t="s">
        <v>1623</v>
      </c>
      <c r="AU116" s="45" t="s">
        <v>1624</v>
      </c>
    </row>
    <row r="117" spans="1:47" s="82" customFormat="1" ht="6.75" customHeight="1" x14ac:dyDescent="0.4">
      <c r="A117" s="84">
        <v>117</v>
      </c>
      <c r="B117" s="80" t="s">
        <v>1548</v>
      </c>
      <c r="C117" s="81" t="s">
        <v>917</v>
      </c>
      <c r="D117" s="62" t="s">
        <v>9</v>
      </c>
      <c r="E117" s="68" t="s">
        <v>9</v>
      </c>
      <c r="F117" s="62" t="s">
        <v>9</v>
      </c>
      <c r="G117" s="68" t="s">
        <v>9</v>
      </c>
      <c r="H117" s="62" t="s">
        <v>9</v>
      </c>
      <c r="I117" s="68" t="s">
        <v>9</v>
      </c>
      <c r="J117" s="61" t="s">
        <v>86</v>
      </c>
      <c r="K117" s="45" t="s">
        <v>1607</v>
      </c>
      <c r="L117" s="63" t="s">
        <v>86</v>
      </c>
      <c r="M117" s="64" t="s">
        <v>1551</v>
      </c>
      <c r="N117" s="63" t="s">
        <v>1552</v>
      </c>
      <c r="O117" s="64" t="s">
        <v>1553</v>
      </c>
      <c r="P117" s="63" t="s">
        <v>1554</v>
      </c>
      <c r="Q117" s="43">
        <v>4</v>
      </c>
      <c r="R117" s="63" t="s">
        <v>1549</v>
      </c>
      <c r="S117" s="43" t="s">
        <v>1550</v>
      </c>
      <c r="T117" s="61" t="s">
        <v>9</v>
      </c>
      <c r="U117" s="39" t="s">
        <v>9</v>
      </c>
      <c r="V117" s="61" t="s">
        <v>9</v>
      </c>
      <c r="W117" s="45" t="s">
        <v>9</v>
      </c>
      <c r="X117" s="61" t="s">
        <v>1652</v>
      </c>
      <c r="Y117" s="45" t="s">
        <v>1590</v>
      </c>
      <c r="Z117" s="63" t="s">
        <v>1555</v>
      </c>
      <c r="AA117" s="64">
        <v>550</v>
      </c>
      <c r="AB117" s="63" t="s">
        <v>1556</v>
      </c>
      <c r="AC117" s="64">
        <v>0</v>
      </c>
      <c r="AD117" s="61" t="s">
        <v>9</v>
      </c>
      <c r="AE117" s="45" t="s">
        <v>9</v>
      </c>
      <c r="AF117" s="61" t="s">
        <v>9</v>
      </c>
      <c r="AG117" s="45" t="s">
        <v>9</v>
      </c>
      <c r="AH117" s="61" t="s">
        <v>9</v>
      </c>
      <c r="AI117" s="45" t="s">
        <v>9</v>
      </c>
      <c r="AJ117" s="61" t="s">
        <v>9</v>
      </c>
      <c r="AK117" s="45" t="s">
        <v>9</v>
      </c>
      <c r="AL117" s="61" t="s">
        <v>9</v>
      </c>
      <c r="AM117" s="45" t="s">
        <v>9</v>
      </c>
      <c r="AN117" s="63" t="s">
        <v>1557</v>
      </c>
      <c r="AO117" s="64" t="s">
        <v>1591</v>
      </c>
      <c r="AP117" s="61" t="s">
        <v>134</v>
      </c>
      <c r="AQ117" s="45" t="s">
        <v>1613</v>
      </c>
      <c r="AR117" s="61" t="s">
        <v>135</v>
      </c>
      <c r="AS117" s="45" t="s">
        <v>1617</v>
      </c>
      <c r="AT117" s="61" t="s">
        <v>1623</v>
      </c>
      <c r="AU117" s="45" t="s">
        <v>1624</v>
      </c>
    </row>
    <row r="118" spans="1:47" s="82" customFormat="1" ht="6.75" customHeight="1" x14ac:dyDescent="0.4">
      <c r="A118" s="84">
        <v>118</v>
      </c>
      <c r="B118" s="80" t="s">
        <v>1558</v>
      </c>
      <c r="C118" s="81" t="s">
        <v>917</v>
      </c>
      <c r="D118" s="62" t="s">
        <v>9</v>
      </c>
      <c r="E118" s="68" t="s">
        <v>9</v>
      </c>
      <c r="F118" s="62" t="s">
        <v>9</v>
      </c>
      <c r="G118" s="68" t="s">
        <v>9</v>
      </c>
      <c r="H118" s="62" t="s">
        <v>9</v>
      </c>
      <c r="I118" s="68" t="s">
        <v>9</v>
      </c>
      <c r="J118" s="61" t="s">
        <v>86</v>
      </c>
      <c r="K118" s="45" t="s">
        <v>1607</v>
      </c>
      <c r="L118" s="63" t="s">
        <v>86</v>
      </c>
      <c r="M118" s="64" t="s">
        <v>1560</v>
      </c>
      <c r="N118" s="63" t="s">
        <v>1552</v>
      </c>
      <c r="O118" s="64" t="s">
        <v>1561</v>
      </c>
      <c r="P118" s="63" t="s">
        <v>1554</v>
      </c>
      <c r="Q118" s="43">
        <v>4</v>
      </c>
      <c r="R118" s="63" t="s">
        <v>1549</v>
      </c>
      <c r="S118" s="43" t="s">
        <v>1559</v>
      </c>
      <c r="T118" s="61" t="s">
        <v>9</v>
      </c>
      <c r="U118" s="39" t="s">
        <v>9</v>
      </c>
      <c r="V118" s="61" t="s">
        <v>9</v>
      </c>
      <c r="W118" s="45" t="s">
        <v>9</v>
      </c>
      <c r="X118" s="61" t="s">
        <v>1652</v>
      </c>
      <c r="Y118" s="45" t="s">
        <v>1590</v>
      </c>
      <c r="Z118" s="63" t="s">
        <v>1555</v>
      </c>
      <c r="AA118" s="64">
        <v>700</v>
      </c>
      <c r="AB118" s="63" t="s">
        <v>1556</v>
      </c>
      <c r="AC118" s="64">
        <v>0</v>
      </c>
      <c r="AD118" s="61" t="s">
        <v>9</v>
      </c>
      <c r="AE118" s="45" t="s">
        <v>9</v>
      </c>
      <c r="AF118" s="61" t="s">
        <v>9</v>
      </c>
      <c r="AG118" s="45" t="s">
        <v>9</v>
      </c>
      <c r="AH118" s="61" t="s">
        <v>9</v>
      </c>
      <c r="AI118" s="45" t="s">
        <v>9</v>
      </c>
      <c r="AJ118" s="61" t="s">
        <v>9</v>
      </c>
      <c r="AK118" s="45" t="s">
        <v>9</v>
      </c>
      <c r="AL118" s="61" t="s">
        <v>9</v>
      </c>
      <c r="AM118" s="45" t="s">
        <v>9</v>
      </c>
      <c r="AN118" s="63" t="s">
        <v>1557</v>
      </c>
      <c r="AO118" s="64" t="s">
        <v>1591</v>
      </c>
      <c r="AP118" s="61" t="s">
        <v>134</v>
      </c>
      <c r="AQ118" s="45" t="s">
        <v>1613</v>
      </c>
      <c r="AR118" s="61" t="s">
        <v>135</v>
      </c>
      <c r="AS118" s="45" t="s">
        <v>1617</v>
      </c>
      <c r="AT118" s="61" t="s">
        <v>1623</v>
      </c>
      <c r="AU118" s="45" t="s">
        <v>1624</v>
      </c>
    </row>
    <row r="119" spans="1:47" s="82" customFormat="1" ht="6.75" customHeight="1" x14ac:dyDescent="0.4">
      <c r="A119" s="84">
        <v>119</v>
      </c>
      <c r="B119" s="80" t="s">
        <v>1562</v>
      </c>
      <c r="C119" s="81" t="s">
        <v>917</v>
      </c>
      <c r="D119" s="62" t="s">
        <v>9</v>
      </c>
      <c r="E119" s="68" t="s">
        <v>9</v>
      </c>
      <c r="F119" s="62" t="s">
        <v>9</v>
      </c>
      <c r="G119" s="68" t="s">
        <v>9</v>
      </c>
      <c r="H119" s="62" t="s">
        <v>9</v>
      </c>
      <c r="I119" s="68" t="s">
        <v>9</v>
      </c>
      <c r="J119" s="61" t="s">
        <v>86</v>
      </c>
      <c r="K119" s="45" t="s">
        <v>1607</v>
      </c>
      <c r="L119" s="63" t="s">
        <v>86</v>
      </c>
      <c r="M119" s="64" t="s">
        <v>1560</v>
      </c>
      <c r="N119" s="63" t="s">
        <v>1552</v>
      </c>
      <c r="O119" s="64" t="s">
        <v>1561</v>
      </c>
      <c r="P119" s="63" t="s">
        <v>1554</v>
      </c>
      <c r="Q119" s="43">
        <v>5</v>
      </c>
      <c r="R119" s="63" t="s">
        <v>1549</v>
      </c>
      <c r="S119" s="43" t="s">
        <v>1563</v>
      </c>
      <c r="T119" s="61" t="s">
        <v>9</v>
      </c>
      <c r="U119" s="39" t="s">
        <v>9</v>
      </c>
      <c r="V119" s="61" t="s">
        <v>9</v>
      </c>
      <c r="W119" s="45" t="s">
        <v>9</v>
      </c>
      <c r="X119" s="61" t="s">
        <v>1652</v>
      </c>
      <c r="Y119" s="45" t="s">
        <v>1590</v>
      </c>
      <c r="Z119" s="63" t="s">
        <v>1555</v>
      </c>
      <c r="AA119" s="64">
        <v>900</v>
      </c>
      <c r="AB119" s="63" t="s">
        <v>1556</v>
      </c>
      <c r="AC119" s="64">
        <v>0</v>
      </c>
      <c r="AD119" s="61" t="s">
        <v>9</v>
      </c>
      <c r="AE119" s="45" t="s">
        <v>9</v>
      </c>
      <c r="AF119" s="61" t="s">
        <v>9</v>
      </c>
      <c r="AG119" s="45" t="s">
        <v>9</v>
      </c>
      <c r="AH119" s="61" t="s">
        <v>9</v>
      </c>
      <c r="AI119" s="45" t="s">
        <v>9</v>
      </c>
      <c r="AJ119" s="61" t="s">
        <v>9</v>
      </c>
      <c r="AK119" s="45" t="s">
        <v>9</v>
      </c>
      <c r="AL119" s="61" t="s">
        <v>9</v>
      </c>
      <c r="AM119" s="45" t="s">
        <v>9</v>
      </c>
      <c r="AN119" s="63" t="s">
        <v>1557</v>
      </c>
      <c r="AO119" s="64" t="s">
        <v>1591</v>
      </c>
      <c r="AP119" s="61" t="s">
        <v>134</v>
      </c>
      <c r="AQ119" s="45" t="s">
        <v>1613</v>
      </c>
      <c r="AR119" s="61" t="s">
        <v>135</v>
      </c>
      <c r="AS119" s="45" t="s">
        <v>1617</v>
      </c>
      <c r="AT119" s="61" t="s">
        <v>1623</v>
      </c>
      <c r="AU119" s="45" t="s">
        <v>1624</v>
      </c>
    </row>
    <row r="120" spans="1:47" s="82" customFormat="1" ht="6.75" customHeight="1" x14ac:dyDescent="0.4">
      <c r="A120" s="84">
        <v>120</v>
      </c>
      <c r="B120" s="80" t="s">
        <v>1564</v>
      </c>
      <c r="C120" s="81" t="s">
        <v>917</v>
      </c>
      <c r="D120" s="62" t="s">
        <v>9</v>
      </c>
      <c r="E120" s="68" t="s">
        <v>9</v>
      </c>
      <c r="F120" s="62" t="s">
        <v>9</v>
      </c>
      <c r="G120" s="68" t="s">
        <v>9</v>
      </c>
      <c r="H120" s="62" t="s">
        <v>9</v>
      </c>
      <c r="I120" s="68" t="s">
        <v>9</v>
      </c>
      <c r="J120" s="61" t="s">
        <v>86</v>
      </c>
      <c r="K120" s="45" t="s">
        <v>1607</v>
      </c>
      <c r="L120" s="63" t="s">
        <v>86</v>
      </c>
      <c r="M120" s="64" t="s">
        <v>1566</v>
      </c>
      <c r="N120" s="63" t="s">
        <v>1552</v>
      </c>
      <c r="O120" s="64" t="s">
        <v>1567</v>
      </c>
      <c r="P120" s="63" t="s">
        <v>1554</v>
      </c>
      <c r="Q120" s="43">
        <v>5</v>
      </c>
      <c r="R120" s="63" t="s">
        <v>1549</v>
      </c>
      <c r="S120" s="43" t="s">
        <v>1565</v>
      </c>
      <c r="T120" s="61" t="s">
        <v>9</v>
      </c>
      <c r="U120" s="39" t="s">
        <v>9</v>
      </c>
      <c r="V120" s="61" t="s">
        <v>9</v>
      </c>
      <c r="W120" s="45" t="s">
        <v>9</v>
      </c>
      <c r="X120" s="61" t="s">
        <v>1652</v>
      </c>
      <c r="Y120" s="45" t="s">
        <v>1590</v>
      </c>
      <c r="Z120" s="63" t="s">
        <v>1555</v>
      </c>
      <c r="AA120" s="64">
        <v>2250</v>
      </c>
      <c r="AB120" s="63" t="s">
        <v>1556</v>
      </c>
      <c r="AC120" s="64">
        <v>0</v>
      </c>
      <c r="AD120" s="61" t="s">
        <v>9</v>
      </c>
      <c r="AE120" s="45" t="s">
        <v>9</v>
      </c>
      <c r="AF120" s="61" t="s">
        <v>9</v>
      </c>
      <c r="AG120" s="45" t="s">
        <v>9</v>
      </c>
      <c r="AH120" s="61" t="s">
        <v>9</v>
      </c>
      <c r="AI120" s="45" t="s">
        <v>9</v>
      </c>
      <c r="AJ120" s="61" t="s">
        <v>9</v>
      </c>
      <c r="AK120" s="45" t="s">
        <v>9</v>
      </c>
      <c r="AL120" s="61" t="s">
        <v>9</v>
      </c>
      <c r="AM120" s="45" t="s">
        <v>9</v>
      </c>
      <c r="AN120" s="63" t="s">
        <v>1557</v>
      </c>
      <c r="AO120" s="64" t="s">
        <v>1591</v>
      </c>
      <c r="AP120" s="61" t="s">
        <v>134</v>
      </c>
      <c r="AQ120" s="45" t="s">
        <v>1613</v>
      </c>
      <c r="AR120" s="61" t="s">
        <v>135</v>
      </c>
      <c r="AS120" s="45" t="s">
        <v>1617</v>
      </c>
      <c r="AT120" s="61" t="s">
        <v>1623</v>
      </c>
      <c r="AU120" s="45" t="s">
        <v>1624</v>
      </c>
    </row>
    <row r="121" spans="1:47" s="82" customFormat="1" ht="6.75" customHeight="1" x14ac:dyDescent="0.4">
      <c r="A121" s="84">
        <v>121</v>
      </c>
      <c r="B121" s="80" t="s">
        <v>1568</v>
      </c>
      <c r="C121" s="81" t="s">
        <v>917</v>
      </c>
      <c r="D121" s="62" t="s">
        <v>9</v>
      </c>
      <c r="E121" s="68" t="s">
        <v>9</v>
      </c>
      <c r="F121" s="62" t="s">
        <v>9</v>
      </c>
      <c r="G121" s="68" t="s">
        <v>9</v>
      </c>
      <c r="H121" s="62" t="s">
        <v>9</v>
      </c>
      <c r="I121" s="68" t="s">
        <v>9</v>
      </c>
      <c r="J121" s="61" t="s">
        <v>86</v>
      </c>
      <c r="K121" s="45" t="s">
        <v>1607</v>
      </c>
      <c r="L121" s="63" t="s">
        <v>86</v>
      </c>
      <c r="M121" s="64" t="s">
        <v>1566</v>
      </c>
      <c r="N121" s="63" t="s">
        <v>1552</v>
      </c>
      <c r="O121" s="64" t="s">
        <v>1567</v>
      </c>
      <c r="P121" s="63" t="s">
        <v>1554</v>
      </c>
      <c r="Q121" s="43">
        <v>6</v>
      </c>
      <c r="R121" s="63" t="s">
        <v>1549</v>
      </c>
      <c r="S121" s="43" t="s">
        <v>1569</v>
      </c>
      <c r="T121" s="61" t="s">
        <v>9</v>
      </c>
      <c r="U121" s="39" t="s">
        <v>9</v>
      </c>
      <c r="V121" s="61" t="s">
        <v>9</v>
      </c>
      <c r="W121" s="45" t="s">
        <v>9</v>
      </c>
      <c r="X121" s="61" t="s">
        <v>1652</v>
      </c>
      <c r="Y121" s="45" t="s">
        <v>1590</v>
      </c>
      <c r="Z121" s="63" t="s">
        <v>1555</v>
      </c>
      <c r="AA121" s="64">
        <v>2700</v>
      </c>
      <c r="AB121" s="63" t="s">
        <v>1556</v>
      </c>
      <c r="AC121" s="64">
        <v>0</v>
      </c>
      <c r="AD121" s="61" t="s">
        <v>9</v>
      </c>
      <c r="AE121" s="45" t="s">
        <v>9</v>
      </c>
      <c r="AF121" s="61" t="s">
        <v>9</v>
      </c>
      <c r="AG121" s="45" t="s">
        <v>9</v>
      </c>
      <c r="AH121" s="61" t="s">
        <v>9</v>
      </c>
      <c r="AI121" s="45" t="s">
        <v>9</v>
      </c>
      <c r="AJ121" s="61" t="s">
        <v>9</v>
      </c>
      <c r="AK121" s="45" t="s">
        <v>9</v>
      </c>
      <c r="AL121" s="61" t="s">
        <v>9</v>
      </c>
      <c r="AM121" s="45" t="s">
        <v>9</v>
      </c>
      <c r="AN121" s="63" t="s">
        <v>1557</v>
      </c>
      <c r="AO121" s="64" t="s">
        <v>1591</v>
      </c>
      <c r="AP121" s="61" t="s">
        <v>134</v>
      </c>
      <c r="AQ121" s="45" t="s">
        <v>1613</v>
      </c>
      <c r="AR121" s="61" t="s">
        <v>135</v>
      </c>
      <c r="AS121" s="45" t="s">
        <v>1617</v>
      </c>
      <c r="AT121" s="61" t="s">
        <v>1623</v>
      </c>
      <c r="AU121" s="45" t="s">
        <v>1624</v>
      </c>
    </row>
    <row r="122" spans="1:47" s="82" customFormat="1" ht="6.75" customHeight="1" x14ac:dyDescent="0.4">
      <c r="A122" s="84">
        <v>122</v>
      </c>
      <c r="B122" s="80" t="s">
        <v>1570</v>
      </c>
      <c r="C122" s="81" t="s">
        <v>917</v>
      </c>
      <c r="D122" s="62" t="s">
        <v>9</v>
      </c>
      <c r="E122" s="68" t="s">
        <v>9</v>
      </c>
      <c r="F122" s="62" t="s">
        <v>9</v>
      </c>
      <c r="G122" s="68" t="s">
        <v>9</v>
      </c>
      <c r="H122" s="62" t="s">
        <v>9</v>
      </c>
      <c r="I122" s="68" t="s">
        <v>9</v>
      </c>
      <c r="J122" s="61" t="s">
        <v>86</v>
      </c>
      <c r="K122" s="45" t="s">
        <v>1607</v>
      </c>
      <c r="L122" s="63" t="s">
        <v>86</v>
      </c>
      <c r="M122" s="64" t="s">
        <v>1566</v>
      </c>
      <c r="N122" s="63" t="s">
        <v>1552</v>
      </c>
      <c r="O122" s="64" t="s">
        <v>1567</v>
      </c>
      <c r="P122" s="63" t="s">
        <v>1554</v>
      </c>
      <c r="Q122" s="43">
        <v>7</v>
      </c>
      <c r="R122" s="63" t="s">
        <v>1549</v>
      </c>
      <c r="S122" s="43" t="s">
        <v>1571</v>
      </c>
      <c r="T122" s="61" t="s">
        <v>9</v>
      </c>
      <c r="U122" s="39" t="s">
        <v>9</v>
      </c>
      <c r="V122" s="61" t="s">
        <v>9</v>
      </c>
      <c r="W122" s="45" t="s">
        <v>9</v>
      </c>
      <c r="X122" s="61" t="s">
        <v>1652</v>
      </c>
      <c r="Y122" s="45" t="s">
        <v>1590</v>
      </c>
      <c r="Z122" s="63" t="s">
        <v>1555</v>
      </c>
      <c r="AA122" s="64">
        <v>3150</v>
      </c>
      <c r="AB122" s="63" t="s">
        <v>1556</v>
      </c>
      <c r="AC122" s="64">
        <v>0</v>
      </c>
      <c r="AD122" s="61" t="s">
        <v>9</v>
      </c>
      <c r="AE122" s="45" t="s">
        <v>9</v>
      </c>
      <c r="AF122" s="61" t="s">
        <v>9</v>
      </c>
      <c r="AG122" s="45" t="s">
        <v>9</v>
      </c>
      <c r="AH122" s="61" t="s">
        <v>9</v>
      </c>
      <c r="AI122" s="45" t="s">
        <v>9</v>
      </c>
      <c r="AJ122" s="61" t="s">
        <v>9</v>
      </c>
      <c r="AK122" s="45" t="s">
        <v>9</v>
      </c>
      <c r="AL122" s="61" t="s">
        <v>9</v>
      </c>
      <c r="AM122" s="45" t="s">
        <v>9</v>
      </c>
      <c r="AN122" s="63" t="s">
        <v>1557</v>
      </c>
      <c r="AO122" s="64" t="s">
        <v>1591</v>
      </c>
      <c r="AP122" s="61" t="s">
        <v>134</v>
      </c>
      <c r="AQ122" s="45" t="s">
        <v>1613</v>
      </c>
      <c r="AR122" s="61" t="s">
        <v>135</v>
      </c>
      <c r="AS122" s="45" t="s">
        <v>1617</v>
      </c>
      <c r="AT122" s="61" t="s">
        <v>1623</v>
      </c>
      <c r="AU122" s="45" t="s">
        <v>1624</v>
      </c>
    </row>
    <row r="123" spans="1:47" s="82" customFormat="1" ht="6.75" customHeight="1" x14ac:dyDescent="0.4">
      <c r="A123" s="84">
        <v>123</v>
      </c>
      <c r="B123" s="80" t="s">
        <v>1572</v>
      </c>
      <c r="C123" s="81" t="s">
        <v>917</v>
      </c>
      <c r="D123" s="62" t="s">
        <v>9</v>
      </c>
      <c r="E123" s="68" t="s">
        <v>9</v>
      </c>
      <c r="F123" s="62" t="s">
        <v>9</v>
      </c>
      <c r="G123" s="68" t="s">
        <v>9</v>
      </c>
      <c r="H123" s="62" t="s">
        <v>9</v>
      </c>
      <c r="I123" s="68" t="s">
        <v>9</v>
      </c>
      <c r="J123" s="61" t="s">
        <v>86</v>
      </c>
      <c r="K123" s="45" t="s">
        <v>1607</v>
      </c>
      <c r="L123" s="63" t="s">
        <v>86</v>
      </c>
      <c r="M123" s="64" t="s">
        <v>1566</v>
      </c>
      <c r="N123" s="63" t="s">
        <v>1552</v>
      </c>
      <c r="O123" s="64" t="s">
        <v>1567</v>
      </c>
      <c r="P123" s="63" t="s">
        <v>1554</v>
      </c>
      <c r="Q123" s="43">
        <v>8</v>
      </c>
      <c r="R123" s="63" t="s">
        <v>1549</v>
      </c>
      <c r="S123" s="43" t="s">
        <v>1573</v>
      </c>
      <c r="T123" s="61" t="s">
        <v>9</v>
      </c>
      <c r="U123" s="39" t="s">
        <v>9</v>
      </c>
      <c r="V123" s="61" t="s">
        <v>9</v>
      </c>
      <c r="W123" s="45" t="s">
        <v>9</v>
      </c>
      <c r="X123" s="61" t="s">
        <v>1652</v>
      </c>
      <c r="Y123" s="45" t="s">
        <v>1590</v>
      </c>
      <c r="Z123" s="63" t="s">
        <v>1555</v>
      </c>
      <c r="AA123" s="64">
        <v>3600</v>
      </c>
      <c r="AB123" s="63" t="s">
        <v>1556</v>
      </c>
      <c r="AC123" s="64">
        <v>0</v>
      </c>
      <c r="AD123" s="61" t="s">
        <v>9</v>
      </c>
      <c r="AE123" s="45" t="s">
        <v>9</v>
      </c>
      <c r="AF123" s="61" t="s">
        <v>9</v>
      </c>
      <c r="AG123" s="45" t="s">
        <v>9</v>
      </c>
      <c r="AH123" s="61" t="s">
        <v>9</v>
      </c>
      <c r="AI123" s="45" t="s">
        <v>9</v>
      </c>
      <c r="AJ123" s="61" t="s">
        <v>9</v>
      </c>
      <c r="AK123" s="45" t="s">
        <v>9</v>
      </c>
      <c r="AL123" s="61" t="s">
        <v>9</v>
      </c>
      <c r="AM123" s="45" t="s">
        <v>9</v>
      </c>
      <c r="AN123" s="63" t="s">
        <v>1557</v>
      </c>
      <c r="AO123" s="64" t="s">
        <v>1591</v>
      </c>
      <c r="AP123" s="61" t="s">
        <v>134</v>
      </c>
      <c r="AQ123" s="45" t="s">
        <v>1613</v>
      </c>
      <c r="AR123" s="61" t="s">
        <v>135</v>
      </c>
      <c r="AS123" s="45" t="s">
        <v>1617</v>
      </c>
      <c r="AT123" s="61" t="s">
        <v>1623</v>
      </c>
      <c r="AU123" s="45" t="s">
        <v>1624</v>
      </c>
    </row>
    <row r="124" spans="1:47" s="82" customFormat="1" ht="6.75" customHeight="1" x14ac:dyDescent="0.4">
      <c r="A124" s="84">
        <v>124</v>
      </c>
      <c r="B124" s="80" t="s">
        <v>1574</v>
      </c>
      <c r="C124" s="81" t="s">
        <v>917</v>
      </c>
      <c r="D124" s="62" t="s">
        <v>9</v>
      </c>
      <c r="E124" s="68" t="s">
        <v>9</v>
      </c>
      <c r="F124" s="62" t="s">
        <v>9</v>
      </c>
      <c r="G124" s="68" t="s">
        <v>9</v>
      </c>
      <c r="H124" s="62" t="s">
        <v>9</v>
      </c>
      <c r="I124" s="68" t="s">
        <v>9</v>
      </c>
      <c r="J124" s="61" t="s">
        <v>86</v>
      </c>
      <c r="K124" s="45" t="s">
        <v>1607</v>
      </c>
      <c r="L124" s="63" t="s">
        <v>86</v>
      </c>
      <c r="M124" s="64" t="s">
        <v>1576</v>
      </c>
      <c r="N124" s="63" t="s">
        <v>1552</v>
      </c>
      <c r="O124" s="64" t="s">
        <v>1577</v>
      </c>
      <c r="P124" s="63" t="s">
        <v>1554</v>
      </c>
      <c r="Q124" s="43">
        <v>6</v>
      </c>
      <c r="R124" s="63" t="s">
        <v>1549</v>
      </c>
      <c r="S124" s="43" t="s">
        <v>1575</v>
      </c>
      <c r="T124" s="61" t="s">
        <v>9</v>
      </c>
      <c r="U124" s="39" t="s">
        <v>9</v>
      </c>
      <c r="V124" s="61" t="s">
        <v>9</v>
      </c>
      <c r="W124" s="45" t="s">
        <v>9</v>
      </c>
      <c r="X124" s="61" t="s">
        <v>1652</v>
      </c>
      <c r="Y124" s="45" t="s">
        <v>1590</v>
      </c>
      <c r="Z124" s="63" t="s">
        <v>1555</v>
      </c>
      <c r="AA124" s="64">
        <v>5000</v>
      </c>
      <c r="AB124" s="63" t="s">
        <v>1556</v>
      </c>
      <c r="AC124" s="64">
        <v>0</v>
      </c>
      <c r="AD124" s="61" t="s">
        <v>9</v>
      </c>
      <c r="AE124" s="45" t="s">
        <v>9</v>
      </c>
      <c r="AF124" s="61" t="s">
        <v>9</v>
      </c>
      <c r="AG124" s="45" t="s">
        <v>9</v>
      </c>
      <c r="AH124" s="61" t="s">
        <v>9</v>
      </c>
      <c r="AI124" s="45" t="s">
        <v>9</v>
      </c>
      <c r="AJ124" s="61" t="s">
        <v>9</v>
      </c>
      <c r="AK124" s="45" t="s">
        <v>9</v>
      </c>
      <c r="AL124" s="61" t="s">
        <v>9</v>
      </c>
      <c r="AM124" s="45" t="s">
        <v>9</v>
      </c>
      <c r="AN124" s="63" t="s">
        <v>1557</v>
      </c>
      <c r="AO124" s="64" t="s">
        <v>1591</v>
      </c>
      <c r="AP124" s="61" t="s">
        <v>134</v>
      </c>
      <c r="AQ124" s="45" t="s">
        <v>1613</v>
      </c>
      <c r="AR124" s="61" t="s">
        <v>135</v>
      </c>
      <c r="AS124" s="45" t="s">
        <v>1617</v>
      </c>
      <c r="AT124" s="61" t="s">
        <v>1623</v>
      </c>
      <c r="AU124" s="45" t="s">
        <v>1624</v>
      </c>
    </row>
    <row r="125" spans="1:47" s="82" customFormat="1" ht="6.75" customHeight="1" x14ac:dyDescent="0.4">
      <c r="A125" s="84">
        <v>125</v>
      </c>
      <c r="B125" s="80" t="s">
        <v>1578</v>
      </c>
      <c r="C125" s="81" t="s">
        <v>917</v>
      </c>
      <c r="D125" s="62" t="s">
        <v>9</v>
      </c>
      <c r="E125" s="68" t="s">
        <v>9</v>
      </c>
      <c r="F125" s="62" t="s">
        <v>9</v>
      </c>
      <c r="G125" s="68" t="s">
        <v>9</v>
      </c>
      <c r="H125" s="62" t="s">
        <v>9</v>
      </c>
      <c r="I125" s="68" t="s">
        <v>9</v>
      </c>
      <c r="J125" s="61" t="s">
        <v>86</v>
      </c>
      <c r="K125" s="45" t="s">
        <v>1607</v>
      </c>
      <c r="L125" s="63" t="s">
        <v>86</v>
      </c>
      <c r="M125" s="64" t="s">
        <v>1576</v>
      </c>
      <c r="N125" s="63" t="s">
        <v>1552</v>
      </c>
      <c r="O125" s="64" t="s">
        <v>1577</v>
      </c>
      <c r="P125" s="63" t="s">
        <v>1554</v>
      </c>
      <c r="Q125" s="43">
        <v>7</v>
      </c>
      <c r="R125" s="63" t="s">
        <v>1549</v>
      </c>
      <c r="S125" s="43" t="s">
        <v>1579</v>
      </c>
      <c r="T125" s="61" t="s">
        <v>9</v>
      </c>
      <c r="U125" s="39" t="s">
        <v>9</v>
      </c>
      <c r="V125" s="61" t="s">
        <v>9</v>
      </c>
      <c r="W125" s="45" t="s">
        <v>9</v>
      </c>
      <c r="X125" s="61" t="s">
        <v>1652</v>
      </c>
      <c r="Y125" s="45" t="s">
        <v>1590</v>
      </c>
      <c r="Z125" s="63" t="s">
        <v>1555</v>
      </c>
      <c r="AA125" s="64">
        <v>6000</v>
      </c>
      <c r="AB125" s="63" t="s">
        <v>1556</v>
      </c>
      <c r="AC125" s="64">
        <v>0</v>
      </c>
      <c r="AD125" s="61" t="s">
        <v>9</v>
      </c>
      <c r="AE125" s="45" t="s">
        <v>9</v>
      </c>
      <c r="AF125" s="61" t="s">
        <v>9</v>
      </c>
      <c r="AG125" s="45" t="s">
        <v>9</v>
      </c>
      <c r="AH125" s="61" t="s">
        <v>9</v>
      </c>
      <c r="AI125" s="45" t="s">
        <v>9</v>
      </c>
      <c r="AJ125" s="61" t="s">
        <v>9</v>
      </c>
      <c r="AK125" s="45" t="s">
        <v>9</v>
      </c>
      <c r="AL125" s="61" t="s">
        <v>9</v>
      </c>
      <c r="AM125" s="45" t="s">
        <v>9</v>
      </c>
      <c r="AN125" s="63" t="s">
        <v>1557</v>
      </c>
      <c r="AO125" s="64" t="s">
        <v>1591</v>
      </c>
      <c r="AP125" s="61" t="s">
        <v>134</v>
      </c>
      <c r="AQ125" s="45" t="s">
        <v>1613</v>
      </c>
      <c r="AR125" s="61" t="s">
        <v>135</v>
      </c>
      <c r="AS125" s="45" t="s">
        <v>1617</v>
      </c>
      <c r="AT125" s="61" t="s">
        <v>1623</v>
      </c>
      <c r="AU125" s="45" t="s">
        <v>1624</v>
      </c>
    </row>
    <row r="126" spans="1:47" s="82" customFormat="1" ht="6.75" customHeight="1" x14ac:dyDescent="0.4">
      <c r="A126" s="84">
        <v>126</v>
      </c>
      <c r="B126" s="80" t="s">
        <v>1580</v>
      </c>
      <c r="C126" s="81" t="s">
        <v>917</v>
      </c>
      <c r="D126" s="62" t="s">
        <v>9</v>
      </c>
      <c r="E126" s="68" t="s">
        <v>9</v>
      </c>
      <c r="F126" s="62" t="s">
        <v>9</v>
      </c>
      <c r="G126" s="68" t="s">
        <v>9</v>
      </c>
      <c r="H126" s="62" t="s">
        <v>9</v>
      </c>
      <c r="I126" s="68" t="s">
        <v>9</v>
      </c>
      <c r="J126" s="61" t="s">
        <v>86</v>
      </c>
      <c r="K126" s="45" t="s">
        <v>1607</v>
      </c>
      <c r="L126" s="63" t="s">
        <v>86</v>
      </c>
      <c r="M126" s="64" t="s">
        <v>1576</v>
      </c>
      <c r="N126" s="63" t="s">
        <v>1552</v>
      </c>
      <c r="O126" s="64" t="s">
        <v>1577</v>
      </c>
      <c r="P126" s="63" t="s">
        <v>1554</v>
      </c>
      <c r="Q126" s="43">
        <v>8</v>
      </c>
      <c r="R126" s="63" t="s">
        <v>1549</v>
      </c>
      <c r="S126" s="43" t="s">
        <v>1581</v>
      </c>
      <c r="T126" s="61" t="s">
        <v>9</v>
      </c>
      <c r="U126" s="39" t="s">
        <v>9</v>
      </c>
      <c r="V126" s="61" t="s">
        <v>9</v>
      </c>
      <c r="W126" s="45" t="s">
        <v>9</v>
      </c>
      <c r="X126" s="61" t="s">
        <v>1652</v>
      </c>
      <c r="Y126" s="45" t="s">
        <v>1590</v>
      </c>
      <c r="Z126" s="63" t="s">
        <v>1555</v>
      </c>
      <c r="AA126" s="64">
        <v>7000</v>
      </c>
      <c r="AB126" s="63" t="s">
        <v>1556</v>
      </c>
      <c r="AC126" s="64">
        <v>0</v>
      </c>
      <c r="AD126" s="61" t="s">
        <v>9</v>
      </c>
      <c r="AE126" s="45" t="s">
        <v>9</v>
      </c>
      <c r="AF126" s="61" t="s">
        <v>9</v>
      </c>
      <c r="AG126" s="45" t="s">
        <v>9</v>
      </c>
      <c r="AH126" s="61" t="s">
        <v>9</v>
      </c>
      <c r="AI126" s="45" t="s">
        <v>9</v>
      </c>
      <c r="AJ126" s="61" t="s">
        <v>9</v>
      </c>
      <c r="AK126" s="45" t="s">
        <v>9</v>
      </c>
      <c r="AL126" s="61" t="s">
        <v>9</v>
      </c>
      <c r="AM126" s="45" t="s">
        <v>9</v>
      </c>
      <c r="AN126" s="63" t="s">
        <v>1557</v>
      </c>
      <c r="AO126" s="64" t="s">
        <v>1591</v>
      </c>
      <c r="AP126" s="61" t="s">
        <v>134</v>
      </c>
      <c r="AQ126" s="45" t="s">
        <v>1613</v>
      </c>
      <c r="AR126" s="61" t="s">
        <v>135</v>
      </c>
      <c r="AS126" s="45" t="s">
        <v>1617</v>
      </c>
      <c r="AT126" s="61" t="s">
        <v>1623</v>
      </c>
      <c r="AU126" s="45" t="s">
        <v>1624</v>
      </c>
    </row>
    <row r="127" spans="1:47" s="82" customFormat="1" ht="6.75" customHeight="1" x14ac:dyDescent="0.4">
      <c r="A127" s="84">
        <v>127</v>
      </c>
      <c r="B127" s="80" t="s">
        <v>1582</v>
      </c>
      <c r="C127" s="81" t="s">
        <v>917</v>
      </c>
      <c r="D127" s="62" t="s">
        <v>9</v>
      </c>
      <c r="E127" s="68" t="s">
        <v>9</v>
      </c>
      <c r="F127" s="62" t="s">
        <v>9</v>
      </c>
      <c r="G127" s="68" t="s">
        <v>9</v>
      </c>
      <c r="H127" s="62" t="s">
        <v>9</v>
      </c>
      <c r="I127" s="68" t="s">
        <v>9</v>
      </c>
      <c r="J127" s="61" t="s">
        <v>86</v>
      </c>
      <c r="K127" s="45" t="s">
        <v>1607</v>
      </c>
      <c r="L127" s="63" t="s">
        <v>86</v>
      </c>
      <c r="M127" s="64" t="s">
        <v>1584</v>
      </c>
      <c r="N127" s="63" t="s">
        <v>1552</v>
      </c>
      <c r="O127" s="64" t="s">
        <v>1585</v>
      </c>
      <c r="P127" s="63" t="s">
        <v>1554</v>
      </c>
      <c r="Q127" s="43">
        <v>8</v>
      </c>
      <c r="R127" s="63" t="s">
        <v>1549</v>
      </c>
      <c r="S127" s="43" t="s">
        <v>1583</v>
      </c>
      <c r="T127" s="61" t="s">
        <v>9</v>
      </c>
      <c r="U127" s="39" t="s">
        <v>9</v>
      </c>
      <c r="V127" s="61" t="s">
        <v>9</v>
      </c>
      <c r="W127" s="45" t="s">
        <v>9</v>
      </c>
      <c r="X127" s="61" t="s">
        <v>1652</v>
      </c>
      <c r="Y127" s="45" t="s">
        <v>1590</v>
      </c>
      <c r="Z127" s="63" t="s">
        <v>1555</v>
      </c>
      <c r="AA127" s="64" t="s">
        <v>1586</v>
      </c>
      <c r="AB127" s="63" t="s">
        <v>1556</v>
      </c>
      <c r="AC127" s="64">
        <v>1800</v>
      </c>
      <c r="AD127" s="61" t="s">
        <v>9</v>
      </c>
      <c r="AE127" s="45" t="s">
        <v>9</v>
      </c>
      <c r="AF127" s="61" t="s">
        <v>9</v>
      </c>
      <c r="AG127" s="45" t="s">
        <v>9</v>
      </c>
      <c r="AH127" s="61" t="s">
        <v>9</v>
      </c>
      <c r="AI127" s="45" t="s">
        <v>9</v>
      </c>
      <c r="AJ127" s="61" t="s">
        <v>9</v>
      </c>
      <c r="AK127" s="45" t="s">
        <v>9</v>
      </c>
      <c r="AL127" s="61" t="s">
        <v>9</v>
      </c>
      <c r="AM127" s="45" t="s">
        <v>9</v>
      </c>
      <c r="AN127" s="63" t="s">
        <v>1557</v>
      </c>
      <c r="AO127" s="64" t="s">
        <v>1591</v>
      </c>
      <c r="AP127" s="61" t="s">
        <v>134</v>
      </c>
      <c r="AQ127" s="45" t="s">
        <v>1613</v>
      </c>
      <c r="AR127" s="61" t="s">
        <v>135</v>
      </c>
      <c r="AS127" s="45" t="s">
        <v>1617</v>
      </c>
      <c r="AT127" s="61" t="s">
        <v>1623</v>
      </c>
      <c r="AU127" s="45" t="s">
        <v>1624</v>
      </c>
    </row>
    <row r="128" spans="1:47" s="82" customFormat="1" ht="6.75" customHeight="1" x14ac:dyDescent="0.4">
      <c r="A128" s="84">
        <v>128</v>
      </c>
      <c r="B128" s="80" t="s">
        <v>1587</v>
      </c>
      <c r="C128" s="81" t="s">
        <v>917</v>
      </c>
      <c r="D128" s="62" t="s">
        <v>9</v>
      </c>
      <c r="E128" s="68" t="s">
        <v>9</v>
      </c>
      <c r="F128" s="62" t="s">
        <v>9</v>
      </c>
      <c r="G128" s="68" t="s">
        <v>9</v>
      </c>
      <c r="H128" s="62" t="s">
        <v>9</v>
      </c>
      <c r="I128" s="68" t="s">
        <v>9</v>
      </c>
      <c r="J128" s="61" t="s">
        <v>86</v>
      </c>
      <c r="K128" s="45" t="s">
        <v>1607</v>
      </c>
      <c r="L128" s="63" t="s">
        <v>86</v>
      </c>
      <c r="M128" s="64" t="s">
        <v>1589</v>
      </c>
      <c r="N128" s="63" t="s">
        <v>1552</v>
      </c>
      <c r="O128" s="64" t="s">
        <v>1585</v>
      </c>
      <c r="P128" s="63" t="s">
        <v>1554</v>
      </c>
      <c r="Q128" s="43">
        <v>8</v>
      </c>
      <c r="R128" s="63" t="s">
        <v>1549</v>
      </c>
      <c r="S128" s="43" t="s">
        <v>1588</v>
      </c>
      <c r="T128" s="61" t="s">
        <v>9</v>
      </c>
      <c r="U128" s="39" t="s">
        <v>9</v>
      </c>
      <c r="V128" s="61" t="s">
        <v>9</v>
      </c>
      <c r="W128" s="45" t="s">
        <v>9</v>
      </c>
      <c r="X128" s="61" t="s">
        <v>1652</v>
      </c>
      <c r="Y128" s="45" t="s">
        <v>1590</v>
      </c>
      <c r="Z128" s="63" t="s">
        <v>1555</v>
      </c>
      <c r="AA128" s="64" t="s">
        <v>1586</v>
      </c>
      <c r="AB128" s="63" t="s">
        <v>1556</v>
      </c>
      <c r="AC128" s="64">
        <v>3700</v>
      </c>
      <c r="AD128" s="61" t="s">
        <v>9</v>
      </c>
      <c r="AE128" s="45" t="s">
        <v>9</v>
      </c>
      <c r="AF128" s="61" t="s">
        <v>9</v>
      </c>
      <c r="AG128" s="45" t="s">
        <v>9</v>
      </c>
      <c r="AH128" s="61" t="s">
        <v>9</v>
      </c>
      <c r="AI128" s="45" t="s">
        <v>9</v>
      </c>
      <c r="AJ128" s="61" t="s">
        <v>9</v>
      </c>
      <c r="AK128" s="45" t="s">
        <v>9</v>
      </c>
      <c r="AL128" s="61" t="s">
        <v>9</v>
      </c>
      <c r="AM128" s="45" t="s">
        <v>9</v>
      </c>
      <c r="AN128" s="63" t="s">
        <v>1557</v>
      </c>
      <c r="AO128" s="64" t="s">
        <v>1591</v>
      </c>
      <c r="AP128" s="61" t="s">
        <v>134</v>
      </c>
      <c r="AQ128" s="45" t="s">
        <v>1613</v>
      </c>
      <c r="AR128" s="61" t="s">
        <v>135</v>
      </c>
      <c r="AS128" s="45" t="s">
        <v>1617</v>
      </c>
      <c r="AT128" s="61" t="s">
        <v>1623</v>
      </c>
      <c r="AU128" s="45" t="s">
        <v>1624</v>
      </c>
    </row>
    <row r="129" spans="1:47" ht="6.75" customHeight="1" x14ac:dyDescent="0.4">
      <c r="A129" s="84">
        <v>129</v>
      </c>
      <c r="B129" s="80" t="s">
        <v>1608</v>
      </c>
      <c r="C129" s="81" t="s">
        <v>1637</v>
      </c>
      <c r="D129" s="62" t="s">
        <v>1625</v>
      </c>
      <c r="E129" s="68" t="s">
        <v>1596</v>
      </c>
      <c r="F129" s="62" t="s">
        <v>9</v>
      </c>
      <c r="G129" s="68" t="s">
        <v>9</v>
      </c>
      <c r="H129" s="62" t="s">
        <v>9</v>
      </c>
      <c r="I129" s="68" t="s">
        <v>9</v>
      </c>
      <c r="J129" s="61" t="s">
        <v>86</v>
      </c>
      <c r="K129" s="45" t="s">
        <v>1626</v>
      </c>
      <c r="L129" s="63" t="s">
        <v>86</v>
      </c>
      <c r="M129" s="64" t="s">
        <v>1622</v>
      </c>
      <c r="N129" s="63" t="s">
        <v>9</v>
      </c>
      <c r="O129" s="64" t="s">
        <v>9</v>
      </c>
      <c r="P129" s="63" t="s">
        <v>9</v>
      </c>
      <c r="Q129" s="64" t="s">
        <v>9</v>
      </c>
      <c r="R129" s="63" t="s">
        <v>9</v>
      </c>
      <c r="S129" s="64" t="s">
        <v>9</v>
      </c>
      <c r="T129" s="61" t="s">
        <v>9</v>
      </c>
      <c r="U129" s="39" t="s">
        <v>9</v>
      </c>
      <c r="V129" s="61" t="s">
        <v>9</v>
      </c>
      <c r="W129" s="45" t="s">
        <v>9</v>
      </c>
      <c r="X129" s="63" t="s">
        <v>9</v>
      </c>
      <c r="Y129" s="64" t="s">
        <v>9</v>
      </c>
      <c r="Z129" s="63" t="s">
        <v>9</v>
      </c>
      <c r="AA129" s="64" t="s">
        <v>9</v>
      </c>
      <c r="AB129" s="63" t="s">
        <v>9</v>
      </c>
      <c r="AC129" s="64" t="s">
        <v>9</v>
      </c>
      <c r="AD129" s="63" t="s">
        <v>9</v>
      </c>
      <c r="AE129" s="64" t="s">
        <v>9</v>
      </c>
      <c r="AF129" s="61" t="s">
        <v>9</v>
      </c>
      <c r="AG129" s="45" t="s">
        <v>9</v>
      </c>
      <c r="AH129" s="61" t="s">
        <v>9</v>
      </c>
      <c r="AI129" s="45" t="s">
        <v>9</v>
      </c>
      <c r="AJ129" s="61" t="s">
        <v>9</v>
      </c>
      <c r="AK129" s="45" t="s">
        <v>9</v>
      </c>
      <c r="AL129" s="61" t="s">
        <v>9</v>
      </c>
      <c r="AM129" s="45" t="s">
        <v>9</v>
      </c>
      <c r="AN129" s="61" t="s">
        <v>9</v>
      </c>
      <c r="AO129" s="45" t="s">
        <v>9</v>
      </c>
      <c r="AP129" s="61" t="s">
        <v>134</v>
      </c>
      <c r="AQ129" s="45" t="s">
        <v>1614</v>
      </c>
      <c r="AR129" s="61" t="s">
        <v>135</v>
      </c>
      <c r="AS129" s="45" t="s">
        <v>1618</v>
      </c>
      <c r="AT129" s="61" t="s">
        <v>1623</v>
      </c>
      <c r="AU129" s="45" t="s">
        <v>1624</v>
      </c>
    </row>
    <row r="130" spans="1:47" ht="6.75" customHeight="1" x14ac:dyDescent="0.4">
      <c r="A130" s="84">
        <v>130</v>
      </c>
      <c r="B130" s="80" t="s">
        <v>1620</v>
      </c>
      <c r="C130" s="81" t="s">
        <v>1639</v>
      </c>
      <c r="D130" s="62" t="s">
        <v>1625</v>
      </c>
      <c r="E130" s="68" t="s">
        <v>1596</v>
      </c>
      <c r="F130" s="62" t="s">
        <v>9</v>
      </c>
      <c r="G130" s="68" t="s">
        <v>9</v>
      </c>
      <c r="H130" s="62" t="s">
        <v>9</v>
      </c>
      <c r="I130" s="68" t="s">
        <v>9</v>
      </c>
      <c r="J130" s="61" t="s">
        <v>86</v>
      </c>
      <c r="K130" s="45" t="s">
        <v>1626</v>
      </c>
      <c r="L130" s="63" t="s">
        <v>86</v>
      </c>
      <c r="M130" s="64" t="s">
        <v>1621</v>
      </c>
      <c r="N130" s="63" t="s">
        <v>9</v>
      </c>
      <c r="O130" s="64" t="s">
        <v>9</v>
      </c>
      <c r="P130" s="63" t="s">
        <v>9</v>
      </c>
      <c r="Q130" s="64" t="s">
        <v>9</v>
      </c>
      <c r="R130" s="63" t="s">
        <v>9</v>
      </c>
      <c r="S130" s="64" t="s">
        <v>9</v>
      </c>
      <c r="T130" s="61" t="s">
        <v>9</v>
      </c>
      <c r="U130" s="39" t="s">
        <v>9</v>
      </c>
      <c r="V130" s="61" t="s">
        <v>9</v>
      </c>
      <c r="W130" s="45" t="s">
        <v>9</v>
      </c>
      <c r="X130" s="63" t="s">
        <v>9</v>
      </c>
      <c r="Y130" s="64" t="s">
        <v>9</v>
      </c>
      <c r="Z130" s="63" t="s">
        <v>9</v>
      </c>
      <c r="AA130" s="64" t="s">
        <v>9</v>
      </c>
      <c r="AB130" s="63" t="s">
        <v>9</v>
      </c>
      <c r="AC130" s="64" t="s">
        <v>9</v>
      </c>
      <c r="AD130" s="63" t="s">
        <v>9</v>
      </c>
      <c r="AE130" s="64" t="s">
        <v>9</v>
      </c>
      <c r="AF130" s="61" t="s">
        <v>9</v>
      </c>
      <c r="AG130" s="45" t="s">
        <v>9</v>
      </c>
      <c r="AH130" s="61" t="s">
        <v>9</v>
      </c>
      <c r="AI130" s="45" t="s">
        <v>9</v>
      </c>
      <c r="AJ130" s="61" t="s">
        <v>9</v>
      </c>
      <c r="AK130" s="45" t="s">
        <v>9</v>
      </c>
      <c r="AL130" s="61" t="s">
        <v>9</v>
      </c>
      <c r="AM130" s="45" t="s">
        <v>9</v>
      </c>
      <c r="AN130" s="61" t="s">
        <v>9</v>
      </c>
      <c r="AO130" s="45" t="s">
        <v>9</v>
      </c>
      <c r="AP130" s="61" t="s">
        <v>134</v>
      </c>
      <c r="AQ130" s="45" t="s">
        <v>1613</v>
      </c>
      <c r="AR130" s="61" t="s">
        <v>135</v>
      </c>
      <c r="AS130" s="45" t="s">
        <v>1617</v>
      </c>
      <c r="AT130" s="61" t="s">
        <v>1623</v>
      </c>
      <c r="AU130" s="45" t="s">
        <v>1624</v>
      </c>
    </row>
    <row r="131" spans="1:47" ht="6.75" customHeight="1" x14ac:dyDescent="0.4">
      <c r="A131" s="84">
        <v>131</v>
      </c>
      <c r="B131" s="80" t="s">
        <v>1629</v>
      </c>
      <c r="C131" s="81" t="s">
        <v>1640</v>
      </c>
      <c r="D131" s="62" t="s">
        <v>1625</v>
      </c>
      <c r="E131" s="68" t="s">
        <v>1596</v>
      </c>
      <c r="F131" s="62" t="s">
        <v>1627</v>
      </c>
      <c r="G131" s="68" t="s">
        <v>97</v>
      </c>
      <c r="H131" s="62" t="s">
        <v>9</v>
      </c>
      <c r="I131" s="68" t="s">
        <v>9</v>
      </c>
      <c r="J131" s="61" t="s">
        <v>86</v>
      </c>
      <c r="K131" s="45" t="s">
        <v>1626</v>
      </c>
      <c r="L131" s="63" t="s">
        <v>86</v>
      </c>
      <c r="M131" s="64" t="s">
        <v>1630</v>
      </c>
      <c r="N131" s="63" t="s">
        <v>9</v>
      </c>
      <c r="O131" s="64" t="s">
        <v>9</v>
      </c>
      <c r="P131" s="63" t="s">
        <v>9</v>
      </c>
      <c r="Q131" s="64" t="s">
        <v>9</v>
      </c>
      <c r="R131" s="63" t="s">
        <v>9</v>
      </c>
      <c r="S131" s="64" t="s">
        <v>9</v>
      </c>
      <c r="T131" s="61" t="s">
        <v>9</v>
      </c>
      <c r="U131" s="39" t="s">
        <v>9</v>
      </c>
      <c r="V131" s="61" t="s">
        <v>9</v>
      </c>
      <c r="W131" s="45" t="s">
        <v>9</v>
      </c>
      <c r="X131" s="61" t="s">
        <v>1603</v>
      </c>
      <c r="Y131" s="45" t="s">
        <v>1590</v>
      </c>
      <c r="Z131" s="63" t="s">
        <v>9</v>
      </c>
      <c r="AA131" s="64" t="s">
        <v>9</v>
      </c>
      <c r="AB131" s="63" t="s">
        <v>9</v>
      </c>
      <c r="AC131" s="64" t="s">
        <v>9</v>
      </c>
      <c r="AD131" s="63" t="s">
        <v>9</v>
      </c>
      <c r="AE131" s="64" t="s">
        <v>9</v>
      </c>
      <c r="AF131" s="61" t="s">
        <v>9</v>
      </c>
      <c r="AG131" s="45" t="s">
        <v>9</v>
      </c>
      <c r="AH131" s="61" t="s">
        <v>9</v>
      </c>
      <c r="AI131" s="45" t="s">
        <v>9</v>
      </c>
      <c r="AJ131" s="61" t="s">
        <v>9</v>
      </c>
      <c r="AK131" s="45" t="s">
        <v>9</v>
      </c>
      <c r="AL131" s="61" t="s">
        <v>9</v>
      </c>
      <c r="AM131" s="45" t="s">
        <v>9</v>
      </c>
      <c r="AN131" s="61" t="s">
        <v>9</v>
      </c>
      <c r="AO131" s="45" t="s">
        <v>9</v>
      </c>
      <c r="AP131" s="61" t="s">
        <v>134</v>
      </c>
      <c r="AQ131" s="45" t="s">
        <v>1624</v>
      </c>
      <c r="AR131" s="61" t="s">
        <v>135</v>
      </c>
      <c r="AS131" s="45" t="s">
        <v>1624</v>
      </c>
      <c r="AT131" s="61" t="s">
        <v>1623</v>
      </c>
      <c r="AU131" s="45" t="s">
        <v>1624</v>
      </c>
    </row>
    <row r="132" spans="1:47" ht="6.75" customHeight="1" x14ac:dyDescent="0.4">
      <c r="A132" s="84">
        <v>132</v>
      </c>
      <c r="B132" s="80" t="s">
        <v>1628</v>
      </c>
      <c r="C132" s="81" t="s">
        <v>1640</v>
      </c>
      <c r="D132" s="62" t="s">
        <v>1625</v>
      </c>
      <c r="E132" s="68" t="s">
        <v>1596</v>
      </c>
      <c r="F132" s="62" t="s">
        <v>1627</v>
      </c>
      <c r="G132" s="68" t="s">
        <v>495</v>
      </c>
      <c r="H132" s="62" t="s">
        <v>9</v>
      </c>
      <c r="I132" s="68" t="s">
        <v>9</v>
      </c>
      <c r="J132" s="61" t="s">
        <v>86</v>
      </c>
      <c r="K132" s="45" t="s">
        <v>1626</v>
      </c>
      <c r="L132" s="63" t="s">
        <v>86</v>
      </c>
      <c r="M132" s="64" t="s">
        <v>1631</v>
      </c>
      <c r="N132" s="63" t="s">
        <v>9</v>
      </c>
      <c r="O132" s="64" t="s">
        <v>9</v>
      </c>
      <c r="P132" s="63" t="s">
        <v>9</v>
      </c>
      <c r="Q132" s="64" t="s">
        <v>9</v>
      </c>
      <c r="R132" s="63" t="s">
        <v>9</v>
      </c>
      <c r="S132" s="64" t="s">
        <v>9</v>
      </c>
      <c r="T132" s="61" t="s">
        <v>9</v>
      </c>
      <c r="U132" s="39" t="s">
        <v>9</v>
      </c>
      <c r="V132" s="61" t="s">
        <v>9</v>
      </c>
      <c r="W132" s="45" t="s">
        <v>9</v>
      </c>
      <c r="X132" s="63" t="s">
        <v>9</v>
      </c>
      <c r="Y132" s="64" t="s">
        <v>9</v>
      </c>
      <c r="Z132" s="63" t="s">
        <v>9</v>
      </c>
      <c r="AA132" s="64" t="s">
        <v>9</v>
      </c>
      <c r="AB132" s="63" t="s">
        <v>9</v>
      </c>
      <c r="AC132" s="64" t="s">
        <v>9</v>
      </c>
      <c r="AD132" s="63" t="s">
        <v>9</v>
      </c>
      <c r="AE132" s="64" t="s">
        <v>9</v>
      </c>
      <c r="AF132" s="61" t="s">
        <v>9</v>
      </c>
      <c r="AG132" s="45" t="s">
        <v>9</v>
      </c>
      <c r="AH132" s="61" t="s">
        <v>9</v>
      </c>
      <c r="AI132" s="45" t="s">
        <v>9</v>
      </c>
      <c r="AJ132" s="61" t="s">
        <v>9</v>
      </c>
      <c r="AK132" s="45" t="s">
        <v>9</v>
      </c>
      <c r="AL132" s="61" t="s">
        <v>9</v>
      </c>
      <c r="AM132" s="45" t="s">
        <v>9</v>
      </c>
      <c r="AN132" s="61" t="s">
        <v>9</v>
      </c>
      <c r="AO132" s="45" t="s">
        <v>9</v>
      </c>
      <c r="AP132" s="61" t="s">
        <v>134</v>
      </c>
      <c r="AQ132" s="45" t="s">
        <v>1624</v>
      </c>
      <c r="AR132" s="61" t="s">
        <v>135</v>
      </c>
      <c r="AS132" s="45" t="s">
        <v>1624</v>
      </c>
      <c r="AT132" s="61" t="s">
        <v>1623</v>
      </c>
      <c r="AU132" s="45" t="s">
        <v>1624</v>
      </c>
    </row>
  </sheetData>
  <phoneticPr fontId="1" type="noConversion"/>
  <conditionalFormatting sqref="A1:B2 B3:B35 B117:B132 A133:B1048576 D1:I1048576 L1:XFD1048576 A3:A132">
    <cfRule type="cellIs" dxfId="0" priority="34" operator="equal">
      <formula>"null"</formula>
    </cfRule>
  </conditionalFormatting>
  <conditionalFormatting sqref="B1:B35 B117:B1048576">
    <cfRule type="duplicateValues" dxfId="15" priority="31"/>
  </conditionalFormatting>
  <conditionalFormatting sqref="B1:B1048576">
    <cfRule type="duplicateValues" dxfId="14" priority="1"/>
  </conditionalFormatting>
  <conditionalFormatting sqref="B36:B61">
    <cfRule type="duplicateValues" dxfId="13" priority="27"/>
    <cfRule type="cellIs" dxfId="12" priority="28" operator="equal">
      <formula>"null"</formula>
    </cfRule>
  </conditionalFormatting>
  <conditionalFormatting sqref="B62:B70">
    <cfRule type="duplicateValues" dxfId="11" priority="26"/>
  </conditionalFormatting>
  <conditionalFormatting sqref="B62:B116">
    <cfRule type="cellIs" dxfId="10" priority="21" operator="equal">
      <formula>"null"</formula>
    </cfRule>
  </conditionalFormatting>
  <conditionalFormatting sqref="B71:B78">
    <cfRule type="duplicateValues" dxfId="9" priority="24"/>
  </conditionalFormatting>
  <conditionalFormatting sqref="B79:B90">
    <cfRule type="duplicateValues" dxfId="8" priority="20"/>
  </conditionalFormatting>
  <conditionalFormatting sqref="B79:B116">
    <cfRule type="duplicateValues" dxfId="7" priority="22"/>
  </conditionalFormatting>
  <conditionalFormatting sqref="B117:B1048576">
    <cfRule type="duplicateValues" dxfId="6" priority="29"/>
  </conditionalFormatting>
  <conditionalFormatting sqref="G131">
    <cfRule type="duplicateValues" dxfId="5" priority="2"/>
  </conditionalFormatting>
  <conditionalFormatting sqref="J1:K132">
    <cfRule type="cellIs" dxfId="4" priority="3"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D12" sqref="D12"/>
    </sheetView>
  </sheetViews>
  <sheetFormatPr defaultColWidth="9.15234375" defaultRowHeight="8.25" customHeight="1" x14ac:dyDescent="0.4"/>
  <cols>
    <col min="1" max="1" width="3.3046875" style="17" customWidth="1"/>
    <col min="2" max="2" width="7.53515625" style="16" customWidth="1"/>
    <col min="3" max="3" width="11.3046875" style="16" bestFit="1" customWidth="1"/>
    <col min="4" max="7" width="10.84375" style="16" bestFit="1" customWidth="1"/>
  </cols>
  <sheetData>
    <row r="1" spans="1:7" ht="28.2" customHeight="1" x14ac:dyDescent="0.4">
      <c r="A1" s="21">
        <v>0</v>
      </c>
      <c r="B1" s="18" t="s">
        <v>76</v>
      </c>
      <c r="C1" s="19" t="s">
        <v>77</v>
      </c>
      <c r="D1" s="19" t="s">
        <v>78</v>
      </c>
      <c r="E1" s="19" t="s">
        <v>78</v>
      </c>
      <c r="F1" s="19" t="s">
        <v>78</v>
      </c>
      <c r="G1" s="19" t="s">
        <v>78</v>
      </c>
    </row>
    <row r="2" spans="1:7" ht="8.25" customHeight="1" x14ac:dyDescent="0.4">
      <c r="A2" s="22">
        <v>2</v>
      </c>
      <c r="B2" s="20" t="s">
        <v>9</v>
      </c>
      <c r="C2" s="20" t="s">
        <v>9</v>
      </c>
      <c r="D2" s="20" t="s">
        <v>9</v>
      </c>
      <c r="E2" s="20" t="s">
        <v>9</v>
      </c>
      <c r="F2" s="20" t="s">
        <v>9</v>
      </c>
      <c r="G2" s="20" t="s">
        <v>9</v>
      </c>
    </row>
  </sheetData>
  <phoneticPr fontId="1" type="noConversion"/>
  <conditionalFormatting sqref="A1:G1 B3:G1048576 C2:G2">
    <cfRule type="containsText" dxfId="3" priority="5" operator="containsText" text="null">
      <formula>NOT(ISERROR(SEARCH("null",A1)))</formula>
    </cfRule>
  </conditionalFormatting>
  <conditionalFormatting sqref="B3:B1048576 A1:B1">
    <cfRule type="duplicateValues" dxfId="2" priority="6"/>
  </conditionalFormatting>
  <conditionalFormatting sqref="B3:B1048576 B1">
    <cfRule type="duplicateValues" dxfId="1" priority="4"/>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FatosIn</vt:lpstr>
      <vt:lpstr>Interop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2026-07-12T20:57:18Z</dcterms:modified>
  <dc:language>pt-BR</dc:language>
</cp:coreProperties>
</file>