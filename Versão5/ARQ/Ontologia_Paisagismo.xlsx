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CB16852E-64D5-4E3F-B554-39EFF6698E83}" xr6:coauthVersionLast="47" xr6:coauthVersionMax="47" xr10:uidLastSave="{00000000-0000-0000-0000-000000000000}"/>
  <bookViews>
    <workbookView xWindow="-120" yWindow="-120" windowWidth="24240" windowHeight="13290" tabRatio="577" activeTab="4"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9" i="31" l="1"/>
  <c r="X80" i="31"/>
  <c r="X81" i="31"/>
  <c r="X82" i="31"/>
  <c r="X83" i="31"/>
  <c r="X84" i="31"/>
  <c r="X3" i="3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2" i="31"/>
  <c r="V51" i="31"/>
  <c r="U51" i="31"/>
  <c r="T51" i="31"/>
  <c r="O51" i="31"/>
  <c r="N51" i="31"/>
  <c r="M51" i="31"/>
  <c r="L51" i="31"/>
  <c r="V50" i="31"/>
  <c r="U50" i="31"/>
  <c r="T50" i="31"/>
  <c r="O50" i="31"/>
  <c r="N50" i="31"/>
  <c r="M50" i="31"/>
  <c r="L50" i="31"/>
  <c r="V49" i="31"/>
  <c r="U49" i="31"/>
  <c r="T49" i="31"/>
  <c r="O49" i="31"/>
  <c r="N49" i="31"/>
  <c r="M49" i="31"/>
  <c r="L49" i="31"/>
  <c r="V62" i="31"/>
  <c r="U62" i="31"/>
  <c r="T62" i="31"/>
  <c r="O62" i="31"/>
  <c r="N62" i="31"/>
  <c r="M62" i="31"/>
  <c r="L62" i="31"/>
  <c r="V61" i="31"/>
  <c r="U61" i="31"/>
  <c r="T61" i="31"/>
  <c r="O61" i="31"/>
  <c r="N61" i="31"/>
  <c r="M61" i="31"/>
  <c r="L61"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B26" i="26"/>
  <c r="B25" i="26"/>
  <c r="Q43" i="31"/>
  <c r="Q34" i="31"/>
  <c r="Q48" i="31"/>
  <c r="Q36" i="31"/>
  <c r="Q47" i="31"/>
  <c r="Q41" i="31"/>
  <c r="Q37" i="31"/>
  <c r="Q35" i="31"/>
  <c r="Q33" i="31"/>
  <c r="Q38" i="31"/>
  <c r="Q42" i="31"/>
  <c r="Q40" i="31"/>
  <c r="Q31" i="31"/>
  <c r="Q44" i="31"/>
  <c r="Q29" i="31"/>
  <c r="Q30" i="31"/>
  <c r="Q39" i="31"/>
  <c r="Q32" i="31"/>
  <c r="Q46" i="31"/>
  <c r="Q45" i="31"/>
  <c r="V79" i="31" l="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V74" i="31"/>
  <c r="U74" i="31"/>
  <c r="T74" i="31"/>
  <c r="O74" i="31"/>
  <c r="N74" i="31"/>
  <c r="M74" i="31"/>
  <c r="L74" i="31"/>
  <c r="V73" i="31"/>
  <c r="U73" i="31"/>
  <c r="T73" i="31"/>
  <c r="O73" i="31"/>
  <c r="N73" i="31"/>
  <c r="M73" i="31"/>
  <c r="L73" i="31"/>
  <c r="V66" i="31"/>
  <c r="U66" i="31"/>
  <c r="T66" i="31"/>
  <c r="O66" i="31"/>
  <c r="N66" i="31"/>
  <c r="M66" i="31"/>
  <c r="L66" i="31"/>
  <c r="V67" i="31"/>
  <c r="U67" i="31"/>
  <c r="T67" i="31"/>
  <c r="O67" i="31"/>
  <c r="N67" i="31"/>
  <c r="M67" i="31"/>
  <c r="L67" i="31"/>
  <c r="V65" i="31"/>
  <c r="U65" i="31"/>
  <c r="T65" i="31"/>
  <c r="O65" i="31"/>
  <c r="N65" i="31"/>
  <c r="M65" i="31"/>
  <c r="L65" i="31"/>
  <c r="V64" i="31"/>
  <c r="U64" i="31"/>
  <c r="T64" i="31"/>
  <c r="O64" i="31"/>
  <c r="N64" i="31"/>
  <c r="M64" i="31"/>
  <c r="L64" i="31"/>
  <c r="V63" i="31"/>
  <c r="U63" i="31"/>
  <c r="T63" i="31"/>
  <c r="O63" i="31"/>
  <c r="N63" i="31"/>
  <c r="M63" i="31"/>
  <c r="L63" i="31"/>
  <c r="V60" i="31"/>
  <c r="U60" i="31"/>
  <c r="T60" i="31"/>
  <c r="O60" i="31"/>
  <c r="N60" i="31"/>
  <c r="M60" i="31"/>
  <c r="L60" i="31"/>
  <c r="V16" i="31"/>
  <c r="U16" i="31"/>
  <c r="T16" i="31"/>
  <c r="O16" i="31"/>
  <c r="N16" i="31"/>
  <c r="M16" i="31"/>
  <c r="L16" i="31"/>
  <c r="V19" i="31" l="1"/>
  <c r="U19" i="31"/>
  <c r="T19" i="31"/>
  <c r="O19" i="31"/>
  <c r="N19" i="31"/>
  <c r="M19" i="31"/>
  <c r="L19" i="31"/>
  <c r="V59" i="31"/>
  <c r="U59" i="31"/>
  <c r="T59" i="31"/>
  <c r="O59" i="31"/>
  <c r="N59" i="31"/>
  <c r="M59" i="31"/>
  <c r="L59" i="31"/>
  <c r="V70" i="31"/>
  <c r="U70" i="31"/>
  <c r="T70" i="31"/>
  <c r="O70" i="31"/>
  <c r="N70" i="31"/>
  <c r="M70" i="31"/>
  <c r="L70" i="31"/>
  <c r="V71" i="31"/>
  <c r="U71" i="31"/>
  <c r="T71" i="31"/>
  <c r="O71" i="31"/>
  <c r="N71" i="31"/>
  <c r="M71" i="31"/>
  <c r="L71" i="31"/>
  <c r="V55" i="31"/>
  <c r="U55" i="31"/>
  <c r="T55" i="31"/>
  <c r="O55" i="31"/>
  <c r="N55" i="31"/>
  <c r="M55" i="31"/>
  <c r="L55" i="31"/>
  <c r="V56" i="31"/>
  <c r="U56" i="31"/>
  <c r="T56" i="31"/>
  <c r="O56" i="31"/>
  <c r="N56" i="31"/>
  <c r="M56" i="31"/>
  <c r="L56" i="31"/>
  <c r="V57" i="31"/>
  <c r="U57" i="31"/>
  <c r="T57" i="31"/>
  <c r="O57" i="31"/>
  <c r="N57" i="31"/>
  <c r="M57" i="31"/>
  <c r="L57" i="31"/>
  <c r="V58" i="31"/>
  <c r="U58" i="31"/>
  <c r="T58" i="31"/>
  <c r="O58" i="31"/>
  <c r="N58" i="31"/>
  <c r="M58" i="31"/>
  <c r="L58" i="31"/>
  <c r="V54" i="31"/>
  <c r="U54" i="31"/>
  <c r="T54" i="31"/>
  <c r="O54" i="31"/>
  <c r="N54" i="31"/>
  <c r="M54" i="31"/>
  <c r="L54" i="31"/>
  <c r="V69" i="31" l="1"/>
  <c r="U69" i="31"/>
  <c r="T69" i="31"/>
  <c r="O69" i="31"/>
  <c r="N69" i="31"/>
  <c r="M69" i="31"/>
  <c r="L69" i="31"/>
  <c r="V68" i="31"/>
  <c r="U68" i="31"/>
  <c r="T68" i="31"/>
  <c r="O68" i="31"/>
  <c r="N68" i="31"/>
  <c r="M68" i="31"/>
  <c r="L68" i="31"/>
  <c r="V53" i="31"/>
  <c r="U53" i="31"/>
  <c r="T53" i="31"/>
  <c r="O53" i="31"/>
  <c r="N53" i="31"/>
  <c r="M53" i="31"/>
  <c r="L53" i="31"/>
  <c r="V52" i="31"/>
  <c r="U52" i="31"/>
  <c r="T52" i="31"/>
  <c r="O52" i="31"/>
  <c r="N52" i="31"/>
  <c r="M52" i="31"/>
  <c r="L52" i="31"/>
  <c r="V72" i="31"/>
  <c r="U72" i="31"/>
  <c r="T72" i="31"/>
  <c r="O72" i="31"/>
  <c r="N72" i="31"/>
  <c r="M72" i="31"/>
  <c r="L72" i="31"/>
  <c r="V21" i="31"/>
  <c r="U21" i="31"/>
  <c r="T21" i="31"/>
  <c r="O21" i="31"/>
  <c r="N21" i="31"/>
  <c r="M21" i="31"/>
  <c r="L21" i="31"/>
  <c r="V20" i="31"/>
  <c r="U20" i="31"/>
  <c r="T20" i="31"/>
  <c r="O20" i="31"/>
  <c r="N20" i="31"/>
  <c r="M20" i="31"/>
  <c r="L20" i="31"/>
  <c r="V13" i="31"/>
  <c r="U13" i="31"/>
  <c r="T13" i="31"/>
  <c r="O13" i="31"/>
  <c r="N13" i="31"/>
  <c r="M13" i="31"/>
  <c r="L13" i="31"/>
  <c r="V12" i="31"/>
  <c r="U12" i="31"/>
  <c r="T12" i="31"/>
  <c r="O12" i="31"/>
  <c r="N12" i="31"/>
  <c r="M12" i="31"/>
  <c r="L12" i="31"/>
  <c r="V11" i="31"/>
  <c r="U11" i="31"/>
  <c r="T11" i="31"/>
  <c r="O11" i="31"/>
  <c r="N11" i="31"/>
  <c r="M11" i="31"/>
  <c r="L11" i="31"/>
  <c r="V8" i="31" l="1"/>
  <c r="U8" i="31"/>
  <c r="T8" i="31"/>
  <c r="O8" i="31"/>
  <c r="N8" i="31"/>
  <c r="M8" i="31"/>
  <c r="L8" i="31"/>
  <c r="V3" i="31"/>
  <c r="U3" i="31"/>
  <c r="T3" i="31"/>
  <c r="O3" i="31"/>
  <c r="N3" i="31"/>
  <c r="M3" i="31"/>
  <c r="L3" i="31"/>
  <c r="V10" i="31"/>
  <c r="U10" i="31"/>
  <c r="T10" i="31"/>
  <c r="O10" i="31"/>
  <c r="N10" i="31"/>
  <c r="M10" i="31"/>
  <c r="L10" i="31"/>
  <c r="V9" i="31"/>
  <c r="U9" i="31"/>
  <c r="T9" i="31"/>
  <c r="O9" i="31"/>
  <c r="N9" i="31"/>
  <c r="M9" i="31"/>
  <c r="L9" i="31"/>
  <c r="V18" i="31"/>
  <c r="U18" i="31"/>
  <c r="T18" i="31"/>
  <c r="O18" i="31"/>
  <c r="N18" i="31"/>
  <c r="M18" i="31"/>
  <c r="L18" i="31"/>
  <c r="V17" i="31"/>
  <c r="U17" i="31"/>
  <c r="T17" i="31"/>
  <c r="O17" i="31"/>
  <c r="N17" i="31"/>
  <c r="M17" i="31"/>
  <c r="L17" i="31"/>
  <c r="V22" i="31"/>
  <c r="U22" i="31"/>
  <c r="T22" i="31"/>
  <c r="O22" i="31"/>
  <c r="N22" i="31"/>
  <c r="M22" i="31"/>
  <c r="L22" i="31"/>
  <c r="V6" i="31" l="1"/>
  <c r="U6" i="31"/>
  <c r="T6" i="31"/>
  <c r="O6" i="31"/>
  <c r="N6" i="31"/>
  <c r="M6" i="31"/>
  <c r="L6" i="31"/>
  <c r="V28" i="31"/>
  <c r="U28" i="31"/>
  <c r="T28" i="31"/>
  <c r="O28" i="31"/>
  <c r="N28" i="31"/>
  <c r="M28" i="31"/>
  <c r="L28" i="31"/>
  <c r="V27" i="31"/>
  <c r="U27" i="31"/>
  <c r="T27" i="31"/>
  <c r="O27" i="31"/>
  <c r="N27" i="31"/>
  <c r="M27" i="31"/>
  <c r="L27" i="31"/>
  <c r="V26" i="31"/>
  <c r="U26" i="31"/>
  <c r="T26" i="31"/>
  <c r="O26" i="31"/>
  <c r="N26" i="31"/>
  <c r="M26" i="31"/>
  <c r="L26" i="31"/>
  <c r="V24" i="31"/>
  <c r="U24" i="31"/>
  <c r="T24" i="31"/>
  <c r="O24" i="31"/>
  <c r="N24" i="31"/>
  <c r="M24" i="31"/>
  <c r="L24" i="31"/>
  <c r="V23" i="31"/>
  <c r="U23" i="31"/>
  <c r="T23" i="31"/>
  <c r="O23" i="31"/>
  <c r="N23" i="31"/>
  <c r="M23" i="31"/>
  <c r="L23" i="31"/>
  <c r="V15" i="31"/>
  <c r="U15" i="31"/>
  <c r="T15" i="31"/>
  <c r="O15" i="31"/>
  <c r="N15" i="31"/>
  <c r="M15" i="31"/>
  <c r="L15" i="31"/>
  <c r="V5" i="31"/>
  <c r="U5" i="31"/>
  <c r="T5" i="31"/>
  <c r="O5" i="31"/>
  <c r="N5" i="31"/>
  <c r="M5" i="31"/>
  <c r="L5" i="31"/>
  <c r="V4" i="31"/>
  <c r="U4" i="31"/>
  <c r="T4" i="31"/>
  <c r="O4" i="31"/>
  <c r="N4" i="31"/>
  <c r="M4" i="31"/>
  <c r="L4" i="31"/>
  <c r="V2" i="31"/>
  <c r="U2" i="31"/>
  <c r="T2" i="31"/>
  <c r="O2" i="31"/>
  <c r="N2" i="31"/>
  <c r="M2" i="31"/>
  <c r="L2" i="31"/>
  <c r="V7" i="31"/>
  <c r="U7" i="31"/>
  <c r="T7" i="31"/>
  <c r="O7" i="31"/>
  <c r="N7" i="31"/>
  <c r="M7" i="31"/>
  <c r="L7" i="31"/>
  <c r="V14" i="31" l="1"/>
  <c r="U14" i="31"/>
  <c r="T14" i="31"/>
  <c r="O14" i="31"/>
  <c r="N14" i="31"/>
  <c r="M14" i="31"/>
  <c r="L14" i="31"/>
  <c r="V25" i="31"/>
  <c r="U25" i="31"/>
  <c r="T25" i="31"/>
  <c r="O25" i="31"/>
  <c r="N25" i="31"/>
  <c r="M25" i="31"/>
  <c r="L25" i="31"/>
  <c r="B18" i="26" l="1"/>
  <c r="B6" i="26" l="1"/>
  <c r="B5" i="26"/>
</calcChain>
</file>

<file path=xl/sharedStrings.xml><?xml version="1.0" encoding="utf-8"?>
<sst xmlns="http://schemas.openxmlformats.org/spreadsheetml/2006/main" count="16653" uniqueCount="1556">
  <si>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</si>
  <si>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</si>
  <si>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</si>
  <si>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</si>
  <si>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</si>
  <si>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</si>
  <si>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</si>
  <si>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</si>
  <si>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</si>
  <si>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</si>
  <si>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</si>
  <si>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</si>
  <si>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</si>
  <si>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</si>
  <si>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</si>
  <si>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</si>
  <si>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</si>
  <si>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</si>
  <si>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</si>
  <si>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</si>
  <si>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</si>
  <si>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</si>
  <si>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</si>
  <si>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</si>
  <si>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</si>
  <si>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</si>
  <si>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</si>
  <si>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</si>
  <si>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</si>
  <si>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</si>
  <si>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</si>
  <si>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</si>
  <si>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</si>
  <si>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</si>
  <si>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</si>
  <si>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</si>
  <si>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</si>
  <si>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</si>
  <si>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</si>
  <si>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</si>
  <si>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</si>
  <si>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</si>
  <si>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</si>
  <si>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</si>
  <si>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</si>
  <si>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</si>
  <si>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</si>
  <si>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</si>
  <si>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</si>
  <si>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</si>
  <si>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</si>
  <si>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</si>
  <si>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</si>
  <si>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</si>
  <si>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</si>
  <si>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</si>
  <si>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</si>
  <si>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</si>
  <si>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</si>
  <si>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</si>
  <si>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</si>
  <si>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</si>
  <si>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</si>
  <si>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</si>
  <si>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</si>
  <si>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</si>
  <si>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</si>
  <si>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</si>
  <si>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</si>
  <si>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</si>
  <si>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</si>
  <si>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</si>
  <si>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</si>
  <si>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</si>
  <si>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</si>
  <si>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</si>
  <si>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</si>
  <si>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</si>
  <si>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</si>
  <si>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</si>
  <si>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</si>
  <si>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</si>
  <si>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</si>
  <si>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</si>
  <si>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</si>
  <si>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</si>
  <si>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</si>
  <si>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</si>
  <si>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</si>
  <si>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</si>
  <si>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</si>
  <si>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</si>
  <si>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</si>
  <si>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</si>
  <si>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</si>
  <si>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</si>
  <si>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</si>
  <si>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</si>
  <si>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</si>
  <si>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</si>
  <si>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</si>
  <si>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</si>
  <si>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</si>
  <si>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</si>
  <si>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</si>
  <si>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</si>
  <si>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</si>
  <si>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</si>
  <si>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</si>
  <si>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</si>
  <si>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</si>
  <si>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</si>
  <si>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</si>
  <si>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</si>
  <si>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</si>
  <si>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</si>
  <si>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</si>
  <si>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</si>
  <si>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</si>
  <si>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</si>
  <si>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</si>
  <si>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</si>
  <si>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</si>
  <si>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</si>
  <si>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</si>
  <si>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</si>
  <si>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</si>
  <si>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</si>
  <si>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</si>
  <si>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</si>
  <si>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</si>
  <si>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</si>
  <si>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</si>
  <si>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</si>
  <si>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</si>
  <si>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</si>
  <si>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</si>
  <si>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</si>
  <si>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</si>
  <si>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</si>
  <si>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</si>
  <si>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</si>
  <si>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</si>
  <si>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</si>
  <si>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</si>
  <si>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</si>
  <si>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</si>
  <si>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</si>
  <si>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</si>
  <si>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</si>
  <si>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</si>
  <si>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</si>
  <si>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</si>
  <si>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</si>
  <si>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</si>
  <si>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</si>
  <si>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</si>
  <si>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</si>
  <si>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</si>
  <si>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</si>
  <si>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</si>
  <si>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</si>
  <si>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</si>
  <si>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</si>
  <si>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</si>
  <si>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</si>
  <si>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</si>
  <si>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</si>
  <si>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</si>
  <si>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</si>
  <si>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</si>
  <si>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</si>
  <si>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</si>
  <si>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</si>
  <si>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</si>
  <si>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</si>
  <si>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</si>
  <si>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</si>
  <si>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</si>
  <si>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</si>
  <si>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</si>
  <si>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</si>
  <si>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</si>
  <si>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</si>
  <si>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</si>
  <si>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</si>
  <si>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</si>
  <si>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</si>
  <si>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</si>
  <si>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</si>
  <si>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</si>
  <si>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</si>
  <si>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</si>
  <si>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</si>
  <si>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</si>
  <si>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</si>
  <si>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</si>
  <si>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</si>
  <si>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</si>
  <si>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</si>
  <si>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</si>
  <si>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</si>
  <si>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</si>
  <si>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</si>
  <si>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</si>
  <si>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</si>
  <si>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</si>
  <si>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</si>
  <si>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</si>
  <si>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</si>
  <si>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</si>
  <si>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</si>
  <si>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</si>
  <si>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</si>
  <si>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</si>
  <si>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</si>
  <si>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</si>
  <si>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</si>
  <si>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</si>
  <si>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</si>
  <si>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</si>
  <si>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</si>
  <si>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</si>
  <si>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</si>
  <si>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</si>
  <si>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</si>
  <si>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</si>
  <si>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</si>
  <si>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</si>
  <si>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</si>
  <si>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</si>
  <si>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</si>
  <si>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</si>
  <si>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</si>
  <si>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</si>
  <si>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</si>
  <si>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</si>
  <si>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</si>
  <si>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</si>
  <si>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</si>
  <si>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</si>
  <si>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</si>
  <si>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</si>
  <si>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</si>
  <si>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</si>
  <si>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</si>
  <si>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</si>
  <si>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</si>
  <si>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</si>
  <si>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</si>
  <si>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</si>
  <si>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</si>
  <si>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</si>
  <si>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</si>
  <si>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</si>
  <si>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</si>
  <si>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</si>
  <si>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</si>
  <si>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</si>
  <si>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</si>
  <si>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</si>
  <si>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</si>
  <si>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</si>
  <si>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</si>
  <si>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</si>
  <si>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</si>
  <si>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</si>
  <si>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</si>
  <si>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</si>
  <si>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</si>
  <si>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</si>
  <si>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</si>
  <si>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</si>
  <si>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</si>
  <si>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</si>
  <si>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</si>
  <si>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</si>
  <si>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</si>
  <si>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</si>
  <si>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</si>
  <si>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</si>
  <si>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</si>
  <si>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</si>
  <si>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</si>
  <si>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</si>
  <si>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</si>
  <si>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</si>
  <si>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</si>
  <si>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</si>
  <si>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</si>
  <si>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</si>
  <si>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</si>
  <si>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</si>
  <si>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</si>
  <si>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</si>
  <si>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</si>
  <si>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</si>
  <si>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</si>
  <si>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</si>
  <si>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</si>
  <si>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</si>
  <si>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</si>
  <si>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</si>
  <si>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</si>
  <si>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</si>
  <si>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</si>
  <si>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</si>
  <si>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</si>
  <si>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</si>
  <si>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</si>
  <si>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</si>
  <si>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</si>
  <si>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</si>
  <si>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</si>
  <si>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</si>
  <si>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</si>
  <si>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</si>
  <si>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</si>
  <si>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</si>
  <si>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</si>
  <si>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</si>
  <si>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</si>
  <si>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</si>
  <si>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</si>
  <si>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</si>
  <si>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</si>
  <si>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</si>
  <si>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</si>
  <si>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</si>
  <si>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</si>
  <si>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</si>
  <si>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</si>
  <si>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</si>
  <si>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</si>
  <si>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</si>
  <si>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</si>
  <si>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</si>
  <si>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</si>
  <si>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</si>
  <si>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</si>
  <si>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</si>
  <si>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</si>
  <si>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</si>
  <si>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</si>
  <si>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</si>
  <si>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</si>
  <si>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</si>
  <si>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</si>
  <si>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</si>
  <si>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</si>
  <si>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</si>
  <si>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</si>
  <si>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</si>
  <si>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</si>
  <si>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</si>
  <si>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</si>
  <si>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</si>
  <si>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</si>
  <si>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</si>
  <si>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</si>
  <si>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</si>
  <si>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</si>
  <si>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</si>
  <si>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</si>
  <si>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</si>
  <si>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</si>
  <si>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</si>
  <si>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</si>
  <si>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</si>
  <si>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</si>
  <si>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</si>
  <si>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</si>
  <si>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</si>
  <si>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</si>
  <si>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</si>
  <si>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</si>
  <si>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</si>
  <si>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</si>
  <si>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</si>
  <si>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</si>
  <si>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</si>
  <si>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</si>
  <si>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</si>
  <si>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</si>
  <si>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</si>
  <si>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</si>
  <si>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</si>
  <si>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</si>
  <si>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</si>
  <si>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</si>
  <si>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</si>
  <si>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</si>
  <si>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</si>
  <si>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</si>
  <si>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</si>
  <si>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</si>
  <si>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</si>
  <si>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</si>
  <si>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</si>
  <si>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</si>
  <si>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</si>
  <si>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</si>
  <si>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</si>
  <si>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</si>
  <si>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</si>
  <si>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</si>
  <si>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</si>
  <si>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</si>
  <si>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</si>
  <si>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</si>
  <si>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</si>
  <si>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</si>
  <si>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</si>
  <si>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</si>
  <si>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</si>
  <si>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</si>
  <si>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</si>
  <si>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</si>
  <si>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</si>
  <si>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</si>
  <si>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</si>
  <si>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</si>
  <si>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</si>
  <si>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</si>
  <si>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</si>
  <si>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</si>
  <si>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</si>
  <si>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</si>
  <si>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</si>
  <si>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</si>
  <si>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</si>
  <si>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</si>
  <si>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</si>
  <si>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</si>
  <si>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</si>
  <si>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</si>
  <si>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</si>
  <si>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</si>
  <si>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</si>
  <si>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</si>
  <si>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</si>
  <si>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</si>
  <si>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</si>
  <si>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</si>
  <si>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</si>
  <si>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</si>
  <si>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</si>
  <si>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</si>
  <si>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</si>
  <si>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</si>
  <si>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</si>
  <si>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</si>
  <si>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</si>
  <si>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</si>
  <si>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</si>
  <si>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</si>
  <si>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</si>
  <si>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</si>
  <si>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</si>
  <si>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</si>
  <si>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</si>
  <si>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</si>
  <si>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</si>
  <si>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</si>
  <si>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</si>
  <si>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</si>
  <si>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</si>
  <si>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</si>
  <si>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</si>
  <si>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</si>
  <si>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</si>
  <si>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</si>
  <si>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</si>
  <si>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</si>
  <si>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</si>
  <si>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</si>
  <si>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</si>
  <si>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</si>
  <si>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</si>
  <si>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</si>
  <si>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</si>
  <si>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</si>
  <si>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</si>
  <si>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</si>
  <si>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</si>
  <si>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</si>
  <si>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</si>
  <si>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</si>
  <si>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</si>
  <si>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</si>
  <si>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</si>
  <si>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</si>
  <si>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</si>
  <si>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</si>
  <si>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</si>
  <si>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</si>
  <si>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</si>
  <si>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</si>
  <si>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</si>
  <si>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</si>
  <si>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</si>
  <si>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</si>
  <si>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</si>
  <si>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</si>
  <si>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</si>
  <si>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</si>
  <si>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</si>
  <si>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</si>
  <si>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</si>
  <si>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</si>
  <si>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</si>
  <si>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</si>
  <si>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</si>
  <si>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</si>
  <si>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</si>
  <si>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</si>
  <si>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</si>
  <si>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</si>
  <si>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</si>
  <si>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</si>
  <si>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</si>
  <si>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</si>
  <si>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</si>
  <si>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</si>
  <si>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</si>
  <si>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</si>
  <si>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</si>
  <si>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</si>
  <si>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</si>
  <si>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</si>
  <si>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</si>
  <si>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</si>
  <si>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</si>
  <si>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</si>
  <si>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</si>
  <si>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</si>
  <si>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</si>
  <si>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</si>
  <si>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</si>
  <si>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</si>
  <si>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</si>
  <si>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</si>
  <si>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</si>
  <si>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</si>
  <si>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</si>
  <si>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</si>
  <si>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</si>
  <si>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</si>
  <si>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</si>
  <si>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</si>
  <si>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</si>
  <si>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</si>
  <si>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</si>
  <si>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</si>
  <si>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</si>
  <si>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</si>
  <si>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</si>
  <si>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</si>
  <si>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</si>
  <si>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</si>
  <si>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</si>
  <si>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</si>
  <si>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</si>
  <si>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</si>
  <si>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</si>
  <si>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</si>
  <si>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</si>
  <si>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</si>
  <si>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</si>
  <si>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</si>
  <si>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</si>
  <si>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</si>
  <si>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</si>
  <si>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</si>
  <si>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</si>
  <si>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</si>
  <si>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</si>
  <si>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</si>
  <si>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</si>
  <si>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</si>
  <si>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</si>
  <si>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</si>
  <si>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</si>
  <si>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</si>
  <si>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</si>
  <si>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</si>
  <si>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</si>
  <si>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</si>
  <si>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</si>
  <si>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</si>
  <si>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</si>
  <si>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</si>
  <si>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</si>
  <si>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</si>
  <si>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</si>
  <si>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</si>
  <si>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</si>
  <si>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</si>
  <si>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</si>
  <si>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</si>
  <si>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</si>
  <si>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</si>
  <si>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</si>
  <si>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</si>
  <si>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</si>
  <si>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</si>
  <si>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</si>
  <si>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</si>
  <si>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</si>
  <si>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</si>
  <si>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</si>
  <si>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</si>
  <si>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</si>
  <si>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</si>
  <si>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</si>
  <si>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</si>
  <si>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</si>
  <si>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</si>
  <si>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</si>
  <si>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</si>
  <si>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</si>
  <si>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</si>
  <si>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</si>
  <si>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</si>
  <si>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</si>
  <si>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</si>
  <si>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</si>
  <si>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</si>
  <si>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</si>
  <si>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</si>
  <si>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</si>
  <si>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</si>
  <si>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</si>
  <si>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</si>
  <si>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</si>
  <si>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</si>
  <si>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</si>
  <si>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</si>
  <si>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</si>
  <si>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</si>
  <si>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</si>
  <si>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</si>
  <si>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</si>
  <si>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</si>
  <si>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</si>
  <si>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</si>
  <si>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</si>
  <si>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</si>
  <si>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</si>
  <si>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</si>
  <si>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</si>
  <si>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</si>
  <si>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</si>
  <si>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</si>
  <si>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</si>
  <si>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</si>
  <si>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</si>
  <si>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</si>
  <si>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</si>
  <si>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</si>
  <si>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</si>
  <si>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</si>
  <si>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</si>
  <si>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</si>
  <si>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</si>
  <si>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</si>
  <si>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</si>
  <si>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</si>
  <si>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</si>
  <si>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</si>
  <si>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</si>
  <si>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</si>
  <si>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</si>
  <si>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</si>
  <si>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</si>
  <si>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</si>
  <si>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</si>
  <si>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</si>
  <si>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</si>
  <si>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</si>
  <si>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</si>
  <si>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</si>
  <si>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</si>
  <si>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</si>
  <si>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</si>
  <si>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</si>
  <si>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</si>
  <si>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</si>
  <si>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</si>
  <si>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</si>
  <si>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</si>
  <si>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</si>
  <si>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</si>
  <si>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</si>
  <si>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</si>
  <si>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</si>
  <si>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</si>
  <si>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</si>
  <si>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</si>
  <si>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</si>
  <si>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</si>
  <si>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</si>
  <si>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</si>
  <si>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</si>
  <si>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</si>
  <si>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</si>
  <si>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</si>
  <si>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</si>
  <si>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</si>
  <si>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</si>
  <si>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</si>
  <si>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</si>
  <si>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</si>
  <si>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</si>
  <si>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</si>
  <si>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</si>
  <si>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</si>
  <si>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</si>
  <si>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</si>
  <si>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</si>
  <si>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</si>
  <si>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</si>
  <si>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</si>
  <si>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</si>
  <si>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</si>
  <si>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</si>
  <si>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</si>
  <si>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</si>
  <si>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</si>
  <si>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</si>
  <si>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</si>
  <si>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</si>
  <si>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</si>
  <si>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</si>
  <si>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</si>
  <si>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</si>
  <si>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</si>
  <si>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</si>
  <si>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</si>
  <si>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</si>
  <si>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</si>
  <si>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</si>
  <si>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</si>
  <si>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</si>
  <si>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</si>
  <si>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</si>
  <si>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</si>
  <si>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</si>
  <si>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</si>
  <si>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</si>
  <si>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</si>
  <si>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</si>
  <si>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</si>
  <si>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</si>
  <si>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</si>
  <si>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</si>
  <si>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</si>
  <si>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</si>
  <si>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</si>
  <si>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</si>
  <si>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</si>
  <si>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</si>
  <si>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</si>
  <si>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</si>
  <si>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</si>
  <si>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</si>
  <si>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</si>
  <si>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</si>
  <si>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</si>
  <si>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</si>
  <si>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</si>
  <si>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</si>
  <si>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</si>
  <si>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</si>
  <si>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</si>
  <si>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</si>
  <si>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</si>
  <si>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</si>
  <si>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</si>
  <si>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</si>
  <si>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</si>
  <si>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</si>
  <si>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</si>
  <si>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</si>
  <si>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</si>
  <si>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</si>
  <si>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</si>
  <si>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</si>
  <si>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</si>
  <si>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</si>
  <si>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</si>
  <si>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</si>
  <si>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</si>
  <si>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</si>
  <si>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</si>
  <si>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</si>
  <si>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</si>
  <si>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</si>
  <si>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</si>
  <si>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</si>
  <si>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</si>
  <si>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</si>
  <si>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</si>
  <si>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</si>
  <si>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</si>
  <si>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</si>
  <si>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</si>
  <si>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</si>
  <si>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</si>
  <si>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</si>
  <si>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</si>
  <si>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</si>
  <si>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</si>
  <si>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</si>
  <si>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</si>
  <si>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</si>
  <si>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</si>
  <si>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</si>
  <si>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</si>
  <si>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</si>
  <si>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</si>
  <si>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</si>
  <si>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</si>
  <si>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</si>
  <si>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</si>
  <si>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</si>
  <si>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</si>
  <si>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</si>
  <si>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</si>
  <si>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</si>
  <si>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</si>
  <si>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</si>
  <si>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</si>
  <si>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</si>
  <si>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</si>
  <si>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</si>
  <si>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</si>
  <si>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</si>
  <si>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</si>
  <si>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</si>
  <si>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</si>
  <si>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</si>
  <si>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</si>
  <si>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</si>
  <si>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</si>
  <si>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</si>
  <si>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</si>
  <si>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</si>
  <si>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</si>
  <si>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</si>
  <si>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</si>
  <si>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</si>
  <si>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</si>
  <si>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</si>
  <si>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</si>
  <si>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</si>
  <si>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</si>
  <si>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</si>
  <si>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</si>
  <si>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</si>
  <si>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</si>
  <si>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</si>
  <si>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</si>
  <si>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</si>
  <si>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</si>
  <si>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</si>
  <si>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</si>
  <si>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</si>
  <si>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</si>
  <si>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</si>
  <si>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</si>
  <si>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</si>
  <si>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</si>
  <si>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</si>
  <si>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</si>
  <si>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</si>
  <si>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</si>
  <si>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</si>
  <si>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</si>
  <si>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</si>
  <si>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</si>
  <si>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</si>
  <si>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</si>
  <si>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</si>
  <si>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</si>
  <si>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</si>
  <si>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</si>
  <si>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</si>
  <si>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</si>
  <si>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</si>
  <si>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</si>
  <si>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</si>
  <si>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</si>
  <si>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</si>
  <si>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</si>
  <si>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</si>
  <si>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</si>
  <si>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</si>
  <si>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</si>
  <si>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</si>
  <si>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</si>
  <si>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</si>
  <si>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</si>
  <si>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</si>
  <si>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</si>
  <si>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</si>
  <si>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</si>
  <si>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</si>
  <si>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</si>
  <si>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</si>
  <si>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</si>
  <si>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</si>
  <si>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</si>
  <si>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</si>
  <si>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</si>
  <si>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</si>
  <si>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</si>
  <si>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</si>
  <si>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</si>
  <si>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</si>
  <si>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</si>
  <si>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</si>
  <si>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</si>
  <si>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</si>
  <si>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</si>
  <si>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</si>
  <si>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</si>
  <si>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</si>
  <si>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</si>
  <si>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</si>
  <si>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</si>
  <si>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</si>
  <si>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</si>
  <si>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</si>
  <si>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</si>
  <si>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</si>
  <si>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</si>
  <si>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</si>
  <si>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</si>
  <si>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</si>
  <si>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</si>
  <si>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</si>
  <si>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</si>
  <si>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</si>
  <si>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</si>
  <si>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</si>
  <si>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</si>
  <si>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</si>
  <si>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</si>
  <si>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</si>
  <si>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</si>
  <si>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</si>
  <si>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</si>
  <si>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</si>
  <si>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</si>
  <si>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</si>
  <si>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</si>
  <si>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</si>
  <si>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</si>
  <si>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</si>
  <si>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</si>
  <si>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</si>
  <si>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</si>
  <si>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</si>
  <si>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</si>
  <si>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</si>
  <si>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</si>
  <si>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</si>
  <si>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</si>
  <si>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</si>
  <si>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</si>
  <si>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</si>
  <si>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</si>
  <si>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</si>
  <si>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</si>
  <si>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</si>
  <si>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</si>
  <si>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</si>
  <si>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</si>
  <si>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</si>
  <si>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</si>
  <si>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</si>
  <si>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</si>
  <si>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</si>
  <si>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</si>
  <si>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</si>
  <si>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</si>
  <si>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</si>
  <si>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</si>
  <si>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</si>
  <si>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</si>
  <si>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</si>
  <si>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</si>
  <si>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</si>
  <si>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</si>
  <si>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</si>
  <si>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</si>
  <si>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</si>
  <si>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</si>
  <si>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</si>
  <si>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</si>
  <si>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</si>
  <si>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</si>
  <si>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</si>
  <si>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</si>
  <si>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</si>
  <si>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</si>
  <si>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</si>
  <si>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</si>
  <si>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</si>
  <si>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</si>
  <si>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</si>
  <si>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</si>
  <si>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</si>
  <si>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</si>
  <si>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</si>
  <si>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</si>
  <si>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</si>
  <si>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</si>
  <si>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</si>
  <si>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</si>
  <si>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</si>
  <si>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</si>
  <si>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</si>
  <si>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</si>
  <si>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</si>
  <si>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</si>
  <si>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</si>
  <si>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</si>
  <si>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</si>
  <si>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</si>
  <si>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</si>
  <si>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</si>
  <si>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</si>
  <si>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</si>
  <si>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</si>
  <si>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</si>
  <si>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</si>
  <si>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</si>
  <si>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</si>
  <si>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</si>
  <si>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</si>
  <si>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</si>
  <si>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</si>
  <si>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</si>
  <si>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</si>
  <si>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</si>
  <si>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</si>
  <si>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</si>
  <si>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</si>
  <si>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</si>
  <si>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</si>
  <si>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</si>
  <si>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</si>
  <si>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</si>
  <si>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</si>
  <si>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</si>
  <si>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</si>
  <si>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</si>
  <si>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</si>
  <si>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</si>
  <si>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</si>
  <si>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</si>
  <si>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</si>
  <si>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</si>
  <si>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</si>
  <si>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</si>
  <si>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</si>
  <si>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</si>
  <si>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</si>
  <si>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</si>
  <si>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</si>
  <si>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</si>
  <si>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</si>
  <si>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</si>
  <si>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</si>
  <si>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</si>
  <si>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</si>
  <si>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</si>
  <si>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</si>
  <si>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</si>
  <si>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</si>
  <si>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</si>
  <si>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</si>
  <si>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</si>
  <si>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</si>
  <si>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</si>
  <si>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</si>
  <si>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</si>
  <si>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</si>
  <si>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</si>
  <si>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</si>
  <si>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</si>
  <si>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</si>
  <si>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</si>
  <si>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</si>
  <si>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</si>
  <si>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</si>
  <si>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</si>
  <si>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</si>
  <si>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</si>
  <si>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</si>
  <si>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</si>
  <si>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</si>
  <si>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</si>
  <si>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</si>
  <si>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</si>
  <si>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</si>
  <si>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</si>
  <si>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</si>
  <si>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</si>
  <si>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</si>
  <si>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</si>
  <si>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</si>
  <si>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</si>
  <si>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</si>
  <si>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</si>
  <si>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</si>
  <si>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</si>
  <si>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</si>
  <si>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</si>
  <si>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</si>
  <si>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</si>
  <si>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</si>
  <si>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</si>
  <si>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</si>
  <si>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</si>
  <si>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</si>
  <si>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</si>
  <si>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</si>
  <si>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</si>
  <si>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</si>
  <si>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</si>
  <si>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</si>
  <si>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</si>
  <si>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</si>
  <si>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</si>
  <si>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</si>
  <si>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</si>
  <si>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</si>
  <si>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</si>
  <si>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</si>
  <si>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</si>
  <si>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</si>
  <si>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</si>
  <si>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</si>
  <si>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</si>
  <si>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</si>
  <si>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</si>
  <si>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</si>
  <si>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</si>
  <si>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</si>
  <si>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</si>
  <si>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</si>
  <si>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</si>
  <si>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</si>
  <si>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</si>
  <si>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</si>
  <si>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</si>
  <si>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</si>
  <si>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</si>
  <si>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</si>
  <si>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</si>
  <si>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</si>
  <si>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</si>
  <si>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</si>
  <si>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</si>
  <si>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</si>
  <si>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</si>
  <si>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</si>
  <si>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</si>
  <si>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</si>
  <si>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</si>
  <si>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</si>
  <si>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</si>
  <si>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</si>
  <si>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</si>
  <si>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</si>
  <si>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</si>
  <si>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</si>
  <si>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</si>
  <si>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</si>
  <si>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</si>
  <si>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</si>
  <si>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</si>
  <si>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</si>
  <si>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</si>
  <si>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</si>
  <si>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</si>
  <si>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</si>
  <si>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</si>
  <si>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</si>
  <si>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</si>
  <si>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</si>
  <si>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</si>
  <si>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</si>
  <si>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</si>
  <si>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</si>
  <si>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</si>
  <si>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</si>
  <si>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</si>
  <si>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</si>
  <si>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</si>
  <si>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</si>
  <si>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</si>
  <si>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</si>
  <si>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</si>
  <si>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</si>
  <si>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</si>
  <si>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</si>
  <si>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</si>
  <si>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</si>
  <si>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</si>
  <si>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</si>
  <si>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</si>
  <si>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</si>
  <si>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</si>
  <si>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</si>
  <si>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</si>
  <si>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</si>
  <si>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</si>
  <si>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</si>
  <si>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</si>
  <si>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</si>
  <si>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</si>
  <si>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</si>
  <si>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</si>
  <si>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</si>
  <si>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</si>
  <si>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</si>
  <si>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</si>
  <si>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</si>
  <si>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</si>
  <si>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</si>
  <si>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</si>
  <si>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</si>
  <si>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</si>
  <si>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</si>
  <si>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</si>
  <si>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</si>
  <si>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</si>
  <si>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</si>
  <si>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</si>
  <si>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</si>
  <si>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</si>
  <si>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</si>
  <si>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</si>
  <si>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</si>
  <si>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</si>
  <si>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</si>
  <si>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</si>
  <si>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</si>
  <si>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</si>
  <si>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</si>
  <si>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</si>
  <si>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</si>
  <si>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</si>
  <si>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</si>
  <si>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</si>
  <si>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</si>
  <si>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</si>
  <si>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</si>
  <si>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</si>
  <si>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</si>
  <si>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</si>
  <si>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</si>
  <si>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</si>
  <si>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</si>
  <si>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</si>
  <si>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</si>
  <si>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</si>
  <si>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</si>
  <si>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</si>
  <si>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</si>
  <si>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</si>
  <si>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</si>
  <si>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</si>
  <si>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</si>
  <si>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</si>
  <si>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</si>
  <si>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</si>
  <si>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</si>
  <si>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</si>
  <si>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</si>
  <si>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</si>
  <si>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</si>
  <si>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</si>
  <si>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</si>
  <si>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</si>
  <si>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</si>
  <si>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</si>
  <si>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</si>
  <si>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</si>
  <si>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</si>
  <si>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</si>
  <si>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</si>
  <si>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</si>
  <si>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</si>
  <si>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</si>
  <si>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</si>
  <si>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</si>
  <si>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</si>
  <si>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</si>
  <si>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</si>
  <si>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</si>
  <si>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</si>
  <si>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</si>
  <si>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</si>
  <si>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</si>
  <si>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</si>
  <si>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</si>
  <si>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</si>
  <si>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</si>
  <si>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</si>
  <si>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</si>
  <si>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</si>
  <si>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</si>
  <si>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</si>
  <si>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</si>
  <si>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</si>
  <si>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</si>
  <si>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</si>
  <si>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</si>
  <si>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</si>
  <si>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</si>
  <si>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</si>
  <si>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</si>
  <si>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</si>
  <si>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</si>
  <si>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</si>
  <si>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</si>
  <si>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</si>
  <si>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</si>
  <si>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</si>
  <si>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</si>
  <si>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</si>
  <si>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</si>
  <si>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</si>
  <si>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</si>
  <si>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</si>
  <si>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</si>
  <si>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</si>
  <si>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</si>
  <si>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</si>
  <si>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</si>
  <si>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</si>
  <si>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</si>
  <si>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</si>
  <si>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</si>
  <si>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</si>
  <si>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</si>
  <si>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</si>
  <si>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</si>
  <si>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</si>
  <si>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</si>
  <si>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</si>
  <si>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</si>
  <si>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</si>
  <si>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</si>
  <si>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</si>
  <si>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</si>
  <si>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</si>
  <si>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</si>
  <si>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</si>
  <si>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</si>
  <si>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</si>
  <si>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</si>
  <si>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</si>
  <si>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</si>
  <si>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</si>
  <si>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</si>
  <si>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</si>
  <si>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</si>
  <si>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</si>
  <si>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</si>
  <si>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</si>
  <si>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</si>
  <si>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</si>
  <si>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</si>
  <si>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</si>
  <si>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</si>
  <si>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</si>
  <si>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</si>
  <si>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</si>
  <si>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</si>
  <si>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</si>
  <si>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</si>
  <si>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</si>
  <si>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</si>
  <si>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</si>
  <si>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</si>
  <si>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</si>
  <si>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</si>
  <si>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</si>
  <si>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</si>
  <si>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</si>
  <si>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</si>
  <si>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</si>
  <si>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</si>
  <si>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</si>
  <si>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</si>
  <si>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</si>
  <si>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</si>
  <si>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</si>
  <si>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</si>
  <si>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</si>
  <si>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</si>
  <si>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</si>
  <si>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</si>
  <si>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</si>
  <si>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</si>
  <si>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</si>
  <si>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</si>
  <si>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</si>
  <si>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</si>
  <si>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</si>
  <si>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</si>
  <si>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</si>
  <si>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</si>
  <si>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</si>
  <si>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</si>
  <si>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</si>
  <si>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</si>
  <si>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</si>
  <si>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</si>
  <si>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</si>
  <si>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</si>
  <si>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</si>
  <si>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</si>
  <si>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</si>
  <si>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</si>
  <si>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</si>
  <si>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</si>
  <si>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</si>
  <si>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</si>
  <si>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</si>
  <si>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</si>
  <si>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</si>
  <si>
    <t>Large woody plant, with a single trunk and elevated crown. Height greater than 5 m, deep root, used in urban afforestation. They photosynthesize. For the Brazilian Forest Service, it is a habit of the individual defined in the National Forest Inventory.</t>
  </si>
  <si>
    <t>Small to medium-sized woody plant, with several stems from the base. Height between 1 and 5 m, dense canopy, ideal for hedges and borders. They photosynthesize. For the Brazilian Forest Service, it is a habit of the patrimonialized individual as a plant.</t>
  </si>
  <si>
    <t>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t>
  </si>
  <si>
    <t>A plant whose growth can be led to become a tree, shrub or vine. They photosynthesize.</t>
  </si>
  <si>
    <t>A plant that grows by leaning on structures or other plants. They use tendrils, roots or thorns to attach themselves. With flexible stems they are planted to cover pergolas, walls and fences. They photosynthesize.</t>
  </si>
  <si>
    <t>Plant with strain (support structure) of great morphological variety. They photosynthesize. For the Brazilian Forest Service, it is a habit of the individual defined in the National Forest Inventory.</t>
  </si>
  <si>
    <t>Plant with a soft stem, non-woody, usually short-cycle, with low height, they are food producers, ornamental or medicinal.</t>
  </si>
  <si>
    <t>Usually herbaceous plant, with narrow leaves, hollow stems and flowers grouped in spikelets.</t>
  </si>
  <si>
    <t>Generic term for cultivated plants. It can include herbaceous plants, shrubs or vines, it has ornamental use. They photosynthesize.</t>
  </si>
  <si>
    <t>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t>
  </si>
  <si>
    <t>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t>
  </si>
  <si>
    <t>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t>
  </si>
  <si>
    <t>A generic term for cultivated plants or for parts of a plant. It can include herbaceous plants, shrubs or vines, it has ornamental use. They photosynthesize.</t>
  </si>
  <si>
    <t>Fungi do not photosynthesize and obtain energy by decomposition.</t>
  </si>
  <si>
    <t>Botanical family.</t>
  </si>
  <si>
    <t>Fauna conservation system.</t>
  </si>
  <si>
    <t>Flora conservation system.</t>
  </si>
  <si>
    <t>Mining conservation system.</t>
  </si>
  <si>
    <t>Soil conservation system.</t>
  </si>
  <si>
    <t>Created in 1997 in the Kyoto Protocol as part of the flexibility mechanisms to help countries meet emission reduction targets. Unit: Each credit is equivalent to 1 ton of Carbon Dioxide not emitted or removed from the atmosphere.</t>
  </si>
  <si>
    <t>Bonds or certificates issued by entities that certify the reduction of emissions such as Verra (VCS – Verified Carbon Standard), Gold Standard, Climate Action Reserve, American Carbon Registry, INCCarbono (National Institute of Carbon Certification) or BNDES.</t>
  </si>
  <si>
    <t>Planting soil characteristic: very draining sandy soil</t>
  </si>
  <si>
    <t>Planting soil characteristic: balanced draining clay soil</t>
  </si>
  <si>
    <t>Planting soil characteristic: compact soil with little drainage</t>
  </si>
  <si>
    <t>Exposure of plants in full sun: 6 or more hours of sunshine per day</t>
  </si>
  <si>
    <t>Exposure of plants in partial sun: between 3 and 6 hours of sunlight per day</t>
  </si>
  <si>
    <t>Plant exposure with less than 3 hours of sun</t>
  </si>
  <si>
    <t>Blue urban landscape element such as rivers, lakes, canals, reservoirs, sustainable drainage systems: It is an urban water channel.</t>
  </si>
  <si>
    <t>Blue urban landscape element such as rivers, lakes, canals, reservoirs, sustainable drainage systems: It is an urban water body.</t>
  </si>
  <si>
    <t>Blue urban landscape element such as rivers, lakes, canals, reservoirs, sustainable drainage systems: It is an ornamental fountain.</t>
  </si>
  <si>
    <t>Element of green urban landscaping, associated with urban parks, ecological corridors, street trees, green roofs. It is a shrub.</t>
  </si>
  <si>
    <t>Element of green urban landscaping, associated with urban parks, ecological corridors, street trees, green roofs. It's a tree.</t>
  </si>
  <si>
    <t>Element of green urban landscaping, associated with urban parks, ecological corridors, street trees, green roofs. It's a palm tree.</t>
  </si>
  <si>
    <t>Element of green urban landscaping, associated with urban parks, ecological corridors, street trees, green roofs. It is an arboreal.</t>
  </si>
  <si>
    <t>Element of green urban landscaping, associated with urban parks, ecological corridors, street trees, green roofs. Area covered by lawns or plants for vegetation cover.</t>
  </si>
  <si>
    <t>Element of green urban landscaping, associated with urban parks, ecological corridors, street trees, green roofs. Area covered with climbing plants.</t>
  </si>
  <si>
    <t>Element of green urban landscaping, associated with urban parks, ecological corridors, street trees, green roofs. Area covered with ornamental plants.</t>
  </si>
  <si>
    <t>Element of green urban landscaping, associated with urban parks, ecological corridors, street trees, green roofs. Area covered by floors composed of stones and gravel.</t>
  </si>
  <si>
    <t>Gray urban landscaping element, associated with conventional infrastructure (paving, paving, monuments). It is non-vegetable paving.</t>
  </si>
  <si>
    <t>Gray urban landscaping element, associated with conventional infrastructure (paving, paving, monuments). It is pavement for pedestrian circulation.</t>
  </si>
  <si>
    <t>Gray urban landscaping element, associated with conventional infrastructure (paving, paving, monuments). It is an urban monument.</t>
  </si>
  <si>
    <t>Gray urban landscaping element, associated with conventional infrastructure (paving, paving, monuments). It is an urban ornament.</t>
  </si>
  <si>
    <t>Yellow urban landscaping element, linked to energetic or luminous elements. It is low height pedestrian light pole.</t>
  </si>
  <si>
    <t>Yellow urban landscaping element, linked to energetic or luminous elements. It is tall light pole for lighting avenues.</t>
  </si>
  <si>
    <t>Yellow urban landscaping element, linked to energetic or luminous elements. It is power line support pole.</t>
  </si>
  <si>
    <t>Yellow urban landscaping element, linked to energetic or luminous elements. It is an urban traffic sign.</t>
  </si>
  <si>
    <t>Yellow urban landscaping element, linked to energetic or luminous elements. It is a totem of urban information.</t>
  </si>
  <si>
    <t>An ornamental landscape element of shallow and calm water, usually decorative. It can include aquatic plants, fish, or sculptures. Refreshes the environment and reflects the environment, enlarging the landscape</t>
  </si>
  <si>
    <t>Ornamental landscape element that uses moving water to create visual, sound and sensory effects in gardens, squares and public spaces</t>
  </si>
  <si>
    <t>Ornamental landscaping element that simulates the natural flow of falling water, integrating aesthetics, shading, freshness and sound into the landscaping project</t>
  </si>
  <si>
    <t>Dense grouping of trees, with a natural or semi-natural appearance. Ideal for contemplation areas and wildlife refuge</t>
  </si>
  <si>
    <t>A path flanked by trees, usually symmetrical and with an aesthetic and shading function.</t>
  </si>
  <si>
    <t>Strip of vegetation used to delimit paths, flowerbeds or buildings. Usually composed of small flowering plants. Create visual finish and spatial organization</t>
  </si>
  <si>
    <t>Class used to identify and position the plants used on the sidewalks of a development</t>
  </si>
  <si>
    <t>Compact grouping of plants of the same species or function to create visual impact, fill, or enhancement. It can be shrubby, herbaceous or flowery</t>
  </si>
  <si>
    <t>Line of plants arranged linearly. Used for hedges, delineation or marking of visual axes</t>
  </si>
  <si>
    <t>Plants used on the sidewalks of a project</t>
  </si>
  <si>
    <t>Class used to identify and position the plants used in the pergolas of a project</t>
  </si>
  <si>
    <t>Landscape element used to identify and position areas of grass flooring in a garden or landscaping project</t>
  </si>
  <si>
    <t>Landscape element used to identify and position plants used as boundaries or fences</t>
  </si>
  <si>
    <t>Landscape element created by association of several species forming a sculptural plant volume that can combine colors and textures in the garden</t>
  </si>
  <si>
    <t>Square characterized by little or no presence of vegetation elements. For rest, meditation or aesthetic appreciation of sculptural elements. Includes seats.</t>
  </si>
  <si>
    <t>Square characterized by the slight presence of vegetation elements. Large spaces prepared for multitudinous events, with symbolic and sculptural elements. Includes seats.</t>
  </si>
  <si>
    <t>Square with abundant presence of elements, vegetation and installations of recreational objects for young people and adults. Prepared with equipment for the elderly, it includes benches and tables for games.</t>
  </si>
  <si>
    <t>Square with abundant presence of elements, vegetation and installations of recreational objects for all ages. Prepared for the installation of sales stations, it can be an avenue edge and serve as a space for the modal transfer of public transport.</t>
  </si>
  <si>
    <t>Square with abundant presence of elements, vegetation and installations of recreational objects for all ages. Prepared to receive children and adults, preferably located in quiet streets, with little vehicular movement. Prepared for the coexistence of adults and children.</t>
  </si>
  <si>
    <t>Green or dry space for rest, meditation or aesthetic appreciation. Includes benches, aromatic spices, shading and sensory elements</t>
  </si>
  <si>
    <t>Garden with symmetrical and geometric arrangement of plants. Pruned plants. Classical inspiration (French, Italian). Use reflective edges, lines and ponds</t>
  </si>
  <si>
    <t>Asymmetrical garden, with organic shapes and freer vegetation. Naturalistic inspiration (English or tropical). Promotes biodiversity and a sense of naturalness</t>
  </si>
  <si>
    <t>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t>
  </si>
  <si>
    <t>Landscape element used to identify and position the dry floor areas of a garden or landscaping project</t>
  </si>
  <si>
    <t>Landscape element like Public Square Bench.</t>
  </si>
  <si>
    <t>Landscape element like Public square table.</t>
  </si>
  <si>
    <t>Landscaping element like Games Table for public square.</t>
  </si>
  <si>
    <t>Landscape element like Sculpture of a public square.</t>
  </si>
  <si>
    <t>Landscape element like Monument of a public square.</t>
  </si>
  <si>
    <t>Landscape element like Public lighting pole.</t>
  </si>
  <si>
    <t>Landscape element such as Totem or Panel used to inform.</t>
  </si>
  <si>
    <t>Parâmetro Rvt</t>
  </si>
  <si>
    <t>Atributo Ifc</t>
  </si>
  <si>
    <t>Código ABNT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</si>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</sst>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6">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15">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xf numFmtId="0" fontId="8" fillId="24" borderId="1" xfId="0" applyFont="1" applyFill="1" applyBorder="1" applyAlignment="1">
      <alignment horizontal="left" vertical="center"/>
    </xf>
    <xf numFmtId="0" fontId="8" fillId="14" borderId="1" xfId="0" applyFont="1" applyFill="1" applyBorder="1" applyAlignment="1">
      <alignment vertical="center"/>
    </xf>
    <xf numFmtId="0" fontId="12" fillId="25" borderId="1" xfId="0" applyFont="1" applyFill="1" applyBorder="1" applyAlignment="1">
      <alignment horizontal="left" vertical="center"/>
    </xf>
    <xf numFmtId="0" fontId="8" fillId="14" borderId="1" xfId="0" applyFont="1" applyFill="1" applyBorder="1" applyAlignment="1">
      <alignment horizontal="center" vertical="center"/>
    </xf>
    <xf numFmtId="0" fontId="15" fillId="0" borderId="0" xfId="0" applyFont="1" applyAlignment="1">
      <alignment horizontal="left" vertical="center"/>
    </xf>
    <xf numFmtId="0" fontId="11" fillId="12" borderId="3" xfId="0" applyFont="1" applyFill="1" applyBorder="1" applyAlignment="1">
      <alignment horizontal="center" vertical="center" wrapText="1"/>
    </xf>
    <xf numFmtId="0" fontId="0" fillId="0" borderId="0" xfId="0" applyAlignment="1">
      <alignment horizontal="center"/>
    </xf>
  </cellXfs>
  <cellStyles count="2">
    <cellStyle name="Hiperlink" xfId="1" builtinId="8"/>
    <cellStyle name="Normal" xfId="0" builtinId="0"/>
  </cellStyles>
  <dxfs count="26">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color theme="0" tint="-0.499984740745262"/>
      </font>
    </dxf>
    <dxf>
      <font>
        <b val="0"/>
        <i/>
        <strike val="0"/>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28515625" defaultRowHeight="9.75" customHeight="1" x14ac:dyDescent="0.25"/>
  <cols>
    <col min="1" max="1" width="10" style="6" customWidth="1"/>
    <col min="2" max="2" width="51.85546875" style="6" customWidth="1"/>
    <col min="3" max="3" width="3.42578125" style="85" bestFit="1" customWidth="1"/>
    <col min="4" max="16384" width="3.28515625" style="6"/>
  </cols>
  <sheetData>
    <row r="1" spans="1:3" ht="49.5" customHeight="1" x14ac:dyDescent="0.25">
      <c r="A1" s="7" t="s">
        <v>35</v>
      </c>
      <c r="B1" s="7" t="s">
        <v>34</v>
      </c>
      <c r="C1" s="22" t="s">
        <v>1222</v>
      </c>
    </row>
    <row r="2" spans="1:3" ht="8.25" customHeight="1" x14ac:dyDescent="0.25">
      <c r="A2" s="8" t="s">
        <v>44</v>
      </c>
      <c r="B2" s="8" t="s">
        <v>60</v>
      </c>
      <c r="C2" s="84" t="s">
        <v>1223</v>
      </c>
    </row>
    <row r="3" spans="1:3" ht="8.25" customHeight="1" x14ac:dyDescent="0.25">
      <c r="A3" s="8" t="s">
        <v>45</v>
      </c>
      <c r="B3" s="9" t="s">
        <v>1417</v>
      </c>
      <c r="C3" s="84" t="s">
        <v>1223</v>
      </c>
    </row>
    <row r="4" spans="1:3" ht="8.25" customHeight="1" x14ac:dyDescent="0.25">
      <c r="A4" s="8" t="s">
        <v>36</v>
      </c>
      <c r="B4" s="8" t="s">
        <v>46</v>
      </c>
      <c r="C4" s="84" t="s">
        <v>1223</v>
      </c>
    </row>
    <row r="5" spans="1:3" ht="8.25" customHeight="1" x14ac:dyDescent="0.25">
      <c r="A5" s="8" t="s">
        <v>37</v>
      </c>
      <c r="B5" s="8" t="str">
        <f>_xlfn.CONCAT(B4,"Prop")</f>
        <v>BIMProp</v>
      </c>
      <c r="C5" s="84" t="s">
        <v>1223</v>
      </c>
    </row>
    <row r="6" spans="1:3" ht="8.25" customHeight="1" x14ac:dyDescent="0.25">
      <c r="A6" s="8" t="s">
        <v>38</v>
      </c>
      <c r="B6" s="8" t="str">
        <f>_xlfn.CONCAT(B4,"Data")</f>
        <v>BIMData</v>
      </c>
      <c r="C6" s="84" t="s">
        <v>1223</v>
      </c>
    </row>
    <row r="7" spans="1:3" ht="8.25" customHeight="1" x14ac:dyDescent="0.25">
      <c r="A7" s="8" t="s">
        <v>39</v>
      </c>
      <c r="B7" s="8" t="s">
        <v>47</v>
      </c>
      <c r="C7" s="84" t="s">
        <v>1223</v>
      </c>
    </row>
    <row r="8" spans="1:3" ht="8.25" customHeight="1" x14ac:dyDescent="0.25">
      <c r="A8" s="8" t="s">
        <v>40</v>
      </c>
      <c r="B8" s="8" t="s">
        <v>1221</v>
      </c>
      <c r="C8" s="84" t="s">
        <v>1223</v>
      </c>
    </row>
    <row r="9" spans="1:3" ht="8.25" customHeight="1" x14ac:dyDescent="0.25">
      <c r="A9" s="8" t="s">
        <v>48</v>
      </c>
      <c r="B9" s="8" t="s">
        <v>49</v>
      </c>
      <c r="C9" s="84" t="s">
        <v>1223</v>
      </c>
    </row>
    <row r="10" spans="1:3" ht="8.25" customHeight="1" x14ac:dyDescent="0.25">
      <c r="A10" s="8" t="s">
        <v>50</v>
      </c>
      <c r="B10" s="8" t="s">
        <v>23</v>
      </c>
      <c r="C10" s="84" t="s">
        <v>1223</v>
      </c>
    </row>
    <row r="11" spans="1:3" ht="8.25" customHeight="1" x14ac:dyDescent="0.25">
      <c r="A11" s="8" t="s">
        <v>41</v>
      </c>
      <c r="B11" s="8" t="s">
        <v>23</v>
      </c>
      <c r="C11" s="84" t="s">
        <v>1223</v>
      </c>
    </row>
    <row r="12" spans="1:3" ht="8.25" customHeight="1" x14ac:dyDescent="0.25">
      <c r="A12" s="8" t="s">
        <v>42</v>
      </c>
      <c r="B12" s="8" t="s">
        <v>23</v>
      </c>
      <c r="C12" s="84" t="s">
        <v>1223</v>
      </c>
    </row>
    <row r="13" spans="1:3" ht="8.25" customHeight="1" x14ac:dyDescent="0.25">
      <c r="A13" s="8" t="s">
        <v>51</v>
      </c>
      <c r="B13" s="8" t="s">
        <v>23</v>
      </c>
      <c r="C13" s="84" t="s">
        <v>1223</v>
      </c>
    </row>
    <row r="14" spans="1:3" ht="8.25" customHeight="1" x14ac:dyDescent="0.25">
      <c r="A14" s="8" t="s">
        <v>52</v>
      </c>
      <c r="B14" s="8" t="s">
        <v>23</v>
      </c>
      <c r="C14" s="84" t="s">
        <v>1223</v>
      </c>
    </row>
    <row r="15" spans="1:3" ht="8.25" customHeight="1" x14ac:dyDescent="0.25">
      <c r="A15" s="8" t="s">
        <v>53</v>
      </c>
      <c r="B15" s="8" t="s">
        <v>23</v>
      </c>
      <c r="C15" s="84" t="s">
        <v>1223</v>
      </c>
    </row>
    <row r="16" spans="1:3" ht="8.25" customHeight="1" x14ac:dyDescent="0.25">
      <c r="A16" s="8" t="s">
        <v>54</v>
      </c>
      <c r="B16" s="8" t="s">
        <v>23</v>
      </c>
      <c r="C16" s="84" t="s">
        <v>1223</v>
      </c>
    </row>
    <row r="17" spans="1:3" ht="8.25" customHeight="1" x14ac:dyDescent="0.25">
      <c r="A17" s="8" t="s">
        <v>43</v>
      </c>
      <c r="B17" s="10" t="s">
        <v>1415</v>
      </c>
      <c r="C17" s="84" t="s">
        <v>1223</v>
      </c>
    </row>
    <row r="18" spans="1:3" ht="8.25" customHeight="1" x14ac:dyDescent="0.25">
      <c r="A18" s="8" t="s">
        <v>55</v>
      </c>
      <c r="B18" s="62">
        <f ca="1">NOW()</f>
        <v>46273.516547800929</v>
      </c>
      <c r="C18" s="84" t="s">
        <v>1223</v>
      </c>
    </row>
    <row r="19" spans="1:3" ht="27" customHeight="1" x14ac:dyDescent="0.25">
      <c r="A19" s="8" t="s">
        <v>1232</v>
      </c>
      <c r="B19" s="66" t="s">
        <v>1228</v>
      </c>
      <c r="C19" s="84" t="s">
        <v>1223</v>
      </c>
    </row>
    <row r="20" spans="1:3" ht="27" customHeight="1" x14ac:dyDescent="0.25">
      <c r="A20" s="8" t="s">
        <v>1226</v>
      </c>
      <c r="B20" s="66" t="s">
        <v>1229</v>
      </c>
      <c r="C20" s="84" t="s">
        <v>1224</v>
      </c>
    </row>
    <row r="21" spans="1:3" ht="27" customHeight="1" x14ac:dyDescent="0.25">
      <c r="A21" s="8" t="s">
        <v>1233</v>
      </c>
      <c r="B21" s="66" t="s">
        <v>1227</v>
      </c>
      <c r="C21" s="84" t="s">
        <v>1225</v>
      </c>
    </row>
    <row r="22" spans="1:3" ht="8.25" customHeight="1" x14ac:dyDescent="0.25">
      <c r="A22" s="8" t="s">
        <v>56</v>
      </c>
      <c r="B22" s="8" t="s">
        <v>23</v>
      </c>
      <c r="C22" s="84" t="s">
        <v>1223</v>
      </c>
    </row>
    <row r="23" spans="1:3" ht="8.25" customHeight="1" x14ac:dyDescent="0.25">
      <c r="A23" s="8" t="s">
        <v>57</v>
      </c>
      <c r="B23" s="8" t="s">
        <v>23</v>
      </c>
      <c r="C23" s="84" t="s">
        <v>1223</v>
      </c>
    </row>
    <row r="24" spans="1:3" ht="7.35" customHeight="1" x14ac:dyDescent="0.25">
      <c r="A24" s="10" t="s">
        <v>58</v>
      </c>
      <c r="B24" s="11" t="s">
        <v>1416</v>
      </c>
      <c r="C24" s="84" t="s">
        <v>1223</v>
      </c>
    </row>
    <row r="25" spans="1:3" ht="7.35" customHeight="1" x14ac:dyDescent="0.25">
      <c r="A25" s="10" t="s">
        <v>59</v>
      </c>
      <c r="B25" s="11" t="str">
        <f>_xlfn.TRANSLATE(B24,"pt","es")</f>
        <v>Formalizar los conceptos de vegetación y elementos de paisajismo.</v>
      </c>
      <c r="C25" s="84" t="s">
        <v>1224</v>
      </c>
    </row>
    <row r="26" spans="1:3" ht="7.35" customHeight="1" x14ac:dyDescent="0.25">
      <c r="A26" s="10" t="s">
        <v>1220</v>
      </c>
      <c r="B26" s="11" t="str">
        <f>_xlfn.TRANSLATE(B25,"pt","en")</f>
        <v>Formalize the concepts of vegetation and elements of landscaping.</v>
      </c>
      <c r="C26" s="84" t="s">
        <v>1225</v>
      </c>
    </row>
    <row r="27" spans="1:3" customFormat="1" ht="8.25" customHeight="1" x14ac:dyDescent="0.25">
      <c r="A27" s="8" t="s">
        <v>1339</v>
      </c>
      <c r="B27" s="102" t="s">
        <v>1340</v>
      </c>
      <c r="C27" s="84" t="s">
        <v>1223</v>
      </c>
    </row>
    <row r="28" spans="1:3" customFormat="1" ht="8.25" customHeight="1" x14ac:dyDescent="0.25">
      <c r="A28" s="8" t="s">
        <v>1341</v>
      </c>
      <c r="B28" s="103" t="s">
        <v>1342</v>
      </c>
      <c r="C28" s="84" t="s">
        <v>1223</v>
      </c>
    </row>
    <row r="29" spans="1:3" customFormat="1" ht="8.25" customHeight="1" x14ac:dyDescent="0.25">
      <c r="A29" s="8" t="s">
        <v>1343</v>
      </c>
      <c r="B29" s="103" t="s">
        <v>1344</v>
      </c>
      <c r="C29" s="84" t="s">
        <v>1223</v>
      </c>
    </row>
    <row r="30" spans="1:3" ht="8.25" customHeight="1" x14ac:dyDescent="0.15">
      <c r="A30" s="8" t="s">
        <v>1345</v>
      </c>
      <c r="B30" s="61" t="s">
        <v>830</v>
      </c>
      <c r="C30" s="84" t="s">
        <v>1223</v>
      </c>
    </row>
    <row r="31" spans="1:3" ht="8.25" customHeight="1" x14ac:dyDescent="0.15">
      <c r="A31" s="8" t="s">
        <v>1346</v>
      </c>
      <c r="B31" s="61" t="s">
        <v>829</v>
      </c>
      <c r="C31" s="84" t="s">
        <v>1223</v>
      </c>
    </row>
    <row r="32" spans="1:3" ht="8.25" customHeight="1" x14ac:dyDescent="0.15">
      <c r="A32" s="8" t="s">
        <v>1347</v>
      </c>
      <c r="B32" s="61" t="s">
        <v>832</v>
      </c>
      <c r="C32" s="84" t="s">
        <v>1223</v>
      </c>
    </row>
    <row r="33" spans="1:3" ht="8.25" customHeight="1" x14ac:dyDescent="0.15">
      <c r="A33" s="8" t="s">
        <v>1348</v>
      </c>
      <c r="B33" s="63" t="s">
        <v>828</v>
      </c>
      <c r="C33" s="84" t="s">
        <v>1223</v>
      </c>
    </row>
    <row r="34" spans="1:3" ht="8.25" customHeight="1" x14ac:dyDescent="0.15">
      <c r="A34" s="8" t="s">
        <v>1349</v>
      </c>
      <c r="B34" s="63" t="s">
        <v>827</v>
      </c>
      <c r="C34" s="84" t="s">
        <v>1223</v>
      </c>
    </row>
    <row r="35" spans="1:3" ht="8.25" customHeight="1" x14ac:dyDescent="0.15">
      <c r="A35" s="8" t="s">
        <v>1350</v>
      </c>
      <c r="B35" s="61" t="s">
        <v>831</v>
      </c>
      <c r="C35" s="84" t="s">
        <v>1223</v>
      </c>
    </row>
    <row r="36" spans="1:3" ht="8.25" customHeight="1" x14ac:dyDescent="0.15">
      <c r="A36" s="8" t="s">
        <v>1351</v>
      </c>
      <c r="B36" s="63" t="s">
        <v>826</v>
      </c>
      <c r="C36" s="84" t="s">
        <v>1223</v>
      </c>
    </row>
    <row r="37" spans="1:3" ht="8.25" customHeight="1" x14ac:dyDescent="0.15">
      <c r="A37" s="8" t="s">
        <v>1352</v>
      </c>
      <c r="B37" s="61" t="s">
        <v>950</v>
      </c>
      <c r="C37" s="84" t="s">
        <v>1223</v>
      </c>
    </row>
    <row r="38" spans="1:3" customFormat="1" ht="9.9499999999999993" customHeight="1" x14ac:dyDescent="0.25">
      <c r="A38" s="10" t="s">
        <v>1353</v>
      </c>
      <c r="B38" s="104" t="s">
        <v>1354</v>
      </c>
      <c r="C38" s="84" t="s">
        <v>1223</v>
      </c>
    </row>
    <row r="39" spans="1:3" s="28" customFormat="1" ht="9.6" customHeight="1" x14ac:dyDescent="0.15">
      <c r="A39" s="8" t="s">
        <v>1355</v>
      </c>
      <c r="B39" s="105" t="s">
        <v>1356</v>
      </c>
      <c r="C39" s="84" t="s">
        <v>1224</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D84"/>
  <sheetViews>
    <sheetView zoomScale="190" zoomScaleNormal="190" workbookViewId="0">
      <pane ySplit="1" topLeftCell="A68" activePane="bottomLeft" state="frozen"/>
      <selection pane="bottomLeft" activeCell="A84" sqref="A84"/>
    </sheetView>
  </sheetViews>
  <sheetFormatPr defaultColWidth="32.140625" defaultRowHeight="6" customHeight="1" x14ac:dyDescent="0.25"/>
  <cols>
    <col min="1" max="1" width="2.42578125" bestFit="1" customWidth="1"/>
    <col min="2" max="2" width="6.28515625" style="27" bestFit="1" customWidth="1"/>
    <col min="3" max="3" width="9.7109375" style="27" bestFit="1" customWidth="1"/>
    <col min="4" max="4" width="15.42578125" style="27" bestFit="1" customWidth="1"/>
    <col min="5" max="5" width="10.5703125" style="27" bestFit="1" customWidth="1"/>
    <col min="6" max="6" width="13.42578125" style="27" bestFit="1" customWidth="1"/>
    <col min="7" max="10" width="10.140625" style="27" bestFit="1" customWidth="1"/>
    <col min="11" max="11" width="26.140625" style="27" bestFit="1" customWidth="1"/>
    <col min="12" max="12" width="9.7109375" style="27" bestFit="1" customWidth="1"/>
    <col min="13" max="13" width="15.42578125" style="27" bestFit="1" customWidth="1"/>
    <col min="14" max="14" width="10.5703125" style="27" bestFit="1" customWidth="1"/>
    <col min="15" max="15" width="13.42578125" style="27" bestFit="1" customWidth="1"/>
    <col min="16" max="17" width="255.7109375" style="27" bestFit="1" customWidth="1"/>
    <col min="18" max="18" width="178.5703125" style="27" customWidth="1"/>
    <col min="19" max="19" width="3.7109375" style="114" bestFit="1" customWidth="1"/>
    <col min="20" max="20" width="9.7109375" style="27" bestFit="1" customWidth="1"/>
    <col min="21" max="21" width="15.42578125" style="27" bestFit="1" customWidth="1"/>
    <col min="22" max="22" width="10.5703125" style="27" bestFit="1" customWidth="1"/>
    <col min="23" max="23" width="7.28515625" style="27" bestFit="1" customWidth="1"/>
    <col min="24" max="24" width="8.5703125" style="27" bestFit="1" customWidth="1"/>
    <col min="25" max="25" width="51.42578125" style="27" bestFit="1" customWidth="1"/>
    <col min="26" max="26" width="6.85546875" style="27" bestFit="1" customWidth="1"/>
    <col min="27" max="27" width="41.7109375" style="27" bestFit="1" customWidth="1"/>
    <col min="28" max="28" width="8.42578125" style="27" bestFit="1" customWidth="1"/>
    <col min="29" max="29" width="13.7109375" style="27" bestFit="1" customWidth="1"/>
    <col min="30" max="30" width="8.42578125" style="27" bestFit="1" customWidth="1"/>
    <col min="31" max="16384" width="32.140625" style="27"/>
  </cols>
  <sheetData>
    <row r="1" spans="1:30" ht="33" customHeight="1" x14ac:dyDescent="0.25">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83" t="s">
        <v>1219</v>
      </c>
      <c r="S1" s="113" t="s">
        <v>71</v>
      </c>
      <c r="T1" s="15" t="s">
        <v>61</v>
      </c>
      <c r="U1" s="15" t="s">
        <v>72</v>
      </c>
      <c r="V1" s="16" t="s">
        <v>63</v>
      </c>
      <c r="W1" s="15" t="s">
        <v>62</v>
      </c>
      <c r="X1" s="97" t="s">
        <v>0</v>
      </c>
      <c r="Y1" s="16" t="s">
        <v>78</v>
      </c>
      <c r="Z1" s="83" t="s">
        <v>1516</v>
      </c>
      <c r="AA1" s="15" t="s">
        <v>77</v>
      </c>
      <c r="AB1" s="83" t="s">
        <v>1517</v>
      </c>
      <c r="AC1" s="15" t="s">
        <v>1518</v>
      </c>
      <c r="AD1" s="83" t="s">
        <v>1539</v>
      </c>
    </row>
    <row r="2" spans="1:30" ht="6" customHeight="1" x14ac:dyDescent="0.25">
      <c r="A2" s="99">
        <v>2</v>
      </c>
      <c r="B2" s="107" t="s">
        <v>1413</v>
      </c>
      <c r="C2" s="52" t="s">
        <v>1422</v>
      </c>
      <c r="D2" s="52" t="s">
        <v>1423</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1438</v>
      </c>
      <c r="S2" s="111" t="s">
        <v>1</v>
      </c>
      <c r="T2" s="23" t="str">
        <f t="shared" ref="T2:T6" si="4">SUBSTITUTE(C2, ".", " ")</f>
        <v>Reinos Naturais</v>
      </c>
      <c r="U2" s="23" t="str">
        <f t="shared" ref="U2:U6" si="5">SUBSTITUTE(D2, ".", " ")</f>
        <v>Reino Vegetal</v>
      </c>
      <c r="V2" s="23" t="str">
        <f t="shared" ref="V2:V6" si="6">SUBSTITUTE(E2, ".", " ")</f>
        <v>Flora</v>
      </c>
      <c r="W2" s="23" t="s">
        <v>1360</v>
      </c>
      <c r="X2" s="98" t="str">
        <f>CONCATENATE("Key-PAISA-",A2)</f>
        <v>Key-PAISA-2</v>
      </c>
      <c r="Y2" s="23" t="s">
        <v>1252</v>
      </c>
      <c r="Z2" s="110" t="s">
        <v>1</v>
      </c>
      <c r="AA2" s="23" t="s">
        <v>1253</v>
      </c>
      <c r="AB2" s="110" t="s">
        <v>1</v>
      </c>
      <c r="AC2" s="23" t="s">
        <v>1254</v>
      </c>
      <c r="AD2" s="110" t="s">
        <v>1</v>
      </c>
    </row>
    <row r="3" spans="1:30" ht="6" customHeight="1" x14ac:dyDescent="0.25">
      <c r="A3" s="99">
        <v>3</v>
      </c>
      <c r="B3" s="107" t="s">
        <v>1413</v>
      </c>
      <c r="C3" s="52" t="s">
        <v>1422</v>
      </c>
      <c r="D3" s="52" t="s">
        <v>1423</v>
      </c>
      <c r="E3" s="52" t="s">
        <v>1003</v>
      </c>
      <c r="F3" s="52" t="s">
        <v>390</v>
      </c>
      <c r="G3" s="96" t="s">
        <v>1</v>
      </c>
      <c r="H3" s="96" t="s">
        <v>1</v>
      </c>
      <c r="I3" s="96" t="s">
        <v>1</v>
      </c>
      <c r="J3" s="96" t="s">
        <v>1</v>
      </c>
      <c r="K3" s="96" t="s">
        <v>1</v>
      </c>
      <c r="L3" s="100" t="str">
        <f t="shared" ref="L3" si="7">_xlfn.CONCAT(SUBSTITUTE(C3,"1.",""))</f>
        <v>Reinos.Naturais</v>
      </c>
      <c r="M3" s="100" t="str">
        <f t="shared" ref="M3" si="8">_xlfn.CONCAT(SUBSTITUTE(D3,"."," "))</f>
        <v>Reino Vegetal</v>
      </c>
      <c r="N3" s="100" t="str">
        <f t="shared" ref="N3" si="9">_xlfn.CONCAT(SUBSTITUTE(E3,"."," "))</f>
        <v>Flora</v>
      </c>
      <c r="O3" s="100" t="str">
        <f t="shared" ref="O3" si="10">_xlfn.CONCAT(SUBSTITUTE(F3,"."," "))</f>
        <v>Arbusto</v>
      </c>
      <c r="P3" s="100" t="s">
        <v>929</v>
      </c>
      <c r="Q3" s="100" t="s">
        <v>936</v>
      </c>
      <c r="R3" s="23" t="s">
        <v>1439</v>
      </c>
      <c r="S3" s="111" t="s">
        <v>1</v>
      </c>
      <c r="T3" s="23" t="str">
        <f t="shared" ref="T3" si="11">SUBSTITUTE(C3, ".", " ")</f>
        <v>Reinos Naturais</v>
      </c>
      <c r="U3" s="23" t="str">
        <f t="shared" ref="U3" si="12">SUBSTITUTE(D3, ".", " ")</f>
        <v>Reino Vegetal</v>
      </c>
      <c r="V3" s="23" t="str">
        <f t="shared" ref="V3" si="13">SUBSTITUTE(E3, ".", " ")</f>
        <v>Flora</v>
      </c>
      <c r="W3" s="23" t="s">
        <v>1360</v>
      </c>
      <c r="X3" s="98" t="str">
        <f t="shared" ref="X3:X66" si="14">CONCATENATE("Key-PAISA-",A3)</f>
        <v>Key-PAISA-3</v>
      </c>
      <c r="Y3" s="23" t="s">
        <v>1252</v>
      </c>
      <c r="Z3" s="110" t="s">
        <v>1</v>
      </c>
      <c r="AA3" s="23" t="s">
        <v>1253</v>
      </c>
      <c r="AB3" s="110" t="s">
        <v>1</v>
      </c>
      <c r="AC3" s="23" t="s">
        <v>1254</v>
      </c>
      <c r="AD3" s="110" t="s">
        <v>1</v>
      </c>
    </row>
    <row r="4" spans="1:30" ht="6" customHeight="1" x14ac:dyDescent="0.25">
      <c r="A4" s="99">
        <v>4</v>
      </c>
      <c r="B4" s="107" t="s">
        <v>1413</v>
      </c>
      <c r="C4" s="52" t="s">
        <v>1422</v>
      </c>
      <c r="D4" s="52" t="s">
        <v>1423</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1440</v>
      </c>
      <c r="S4" s="111" t="s">
        <v>1</v>
      </c>
      <c r="T4" s="23" t="str">
        <f t="shared" si="4"/>
        <v>Reinos Naturais</v>
      </c>
      <c r="U4" s="23" t="str">
        <f t="shared" si="5"/>
        <v>Reino Vegetal</v>
      </c>
      <c r="V4" s="23" t="str">
        <f t="shared" si="6"/>
        <v>Flora</v>
      </c>
      <c r="W4" s="23" t="s">
        <v>1360</v>
      </c>
      <c r="X4" s="98" t="str">
        <f t="shared" si="14"/>
        <v>Key-PAISA-4</v>
      </c>
      <c r="Y4" s="23" t="s">
        <v>1252</v>
      </c>
      <c r="Z4" s="110" t="s">
        <v>1</v>
      </c>
      <c r="AA4" s="23" t="s">
        <v>1253</v>
      </c>
      <c r="AB4" s="110" t="s">
        <v>1</v>
      </c>
      <c r="AC4" s="23" t="s">
        <v>1254</v>
      </c>
      <c r="AD4" s="110" t="s">
        <v>1</v>
      </c>
    </row>
    <row r="5" spans="1:30" ht="6" customHeight="1" x14ac:dyDescent="0.25">
      <c r="A5" s="99">
        <v>5</v>
      </c>
      <c r="B5" s="107" t="s">
        <v>1413</v>
      </c>
      <c r="C5" s="52" t="s">
        <v>1422</v>
      </c>
      <c r="D5" s="52" t="s">
        <v>1423</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1441</v>
      </c>
      <c r="S5" s="111" t="s">
        <v>1</v>
      </c>
      <c r="T5" s="23" t="str">
        <f t="shared" si="4"/>
        <v>Reinos Naturais</v>
      </c>
      <c r="U5" s="23" t="str">
        <f t="shared" si="5"/>
        <v>Reino Vegetal</v>
      </c>
      <c r="V5" s="23" t="str">
        <f t="shared" si="6"/>
        <v>Flora</v>
      </c>
      <c r="W5" s="23" t="s">
        <v>1360</v>
      </c>
      <c r="X5" s="98" t="str">
        <f t="shared" si="14"/>
        <v>Key-PAISA-5</v>
      </c>
      <c r="Y5" s="23" t="s">
        <v>1252</v>
      </c>
      <c r="Z5" s="110" t="s">
        <v>1</v>
      </c>
      <c r="AA5" s="23" t="s">
        <v>1253</v>
      </c>
      <c r="AB5" s="110" t="s">
        <v>1</v>
      </c>
      <c r="AC5" s="23" t="s">
        <v>1254</v>
      </c>
      <c r="AD5" s="110" t="s">
        <v>1</v>
      </c>
    </row>
    <row r="6" spans="1:30" ht="6" customHeight="1" x14ac:dyDescent="0.25">
      <c r="A6" s="99">
        <v>6</v>
      </c>
      <c r="B6" s="107" t="s">
        <v>1413</v>
      </c>
      <c r="C6" s="52" t="s">
        <v>1422</v>
      </c>
      <c r="D6" s="52" t="s">
        <v>1423</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1442</v>
      </c>
      <c r="S6" s="111" t="s">
        <v>1</v>
      </c>
      <c r="T6" s="23" t="str">
        <f t="shared" si="4"/>
        <v>Reinos Naturais</v>
      </c>
      <c r="U6" s="23" t="str">
        <f t="shared" si="5"/>
        <v>Reino Vegetal</v>
      </c>
      <c r="V6" s="23" t="str">
        <f t="shared" si="6"/>
        <v>Flora</v>
      </c>
      <c r="W6" s="23" t="s">
        <v>1360</v>
      </c>
      <c r="X6" s="98" t="str">
        <f t="shared" si="14"/>
        <v>Key-PAISA-6</v>
      </c>
      <c r="Y6" s="23" t="s">
        <v>1252</v>
      </c>
      <c r="Z6" s="110" t="s">
        <v>1</v>
      </c>
      <c r="AA6" s="23" t="s">
        <v>1253</v>
      </c>
      <c r="AB6" s="110" t="s">
        <v>1</v>
      </c>
      <c r="AC6" s="23" t="s">
        <v>1254</v>
      </c>
      <c r="AD6" s="110" t="s">
        <v>1</v>
      </c>
    </row>
    <row r="7" spans="1:30" ht="6" customHeight="1" x14ac:dyDescent="0.25">
      <c r="A7" s="99">
        <v>7</v>
      </c>
      <c r="B7" s="107" t="s">
        <v>1413</v>
      </c>
      <c r="C7" s="52" t="s">
        <v>1422</v>
      </c>
      <c r="D7" s="52" t="s">
        <v>1423</v>
      </c>
      <c r="E7" s="52" t="s">
        <v>1003</v>
      </c>
      <c r="F7" s="52" t="s">
        <v>574</v>
      </c>
      <c r="G7" s="96" t="s">
        <v>1</v>
      </c>
      <c r="H7" s="96" t="s">
        <v>1</v>
      </c>
      <c r="I7" s="96" t="s">
        <v>1</v>
      </c>
      <c r="J7" s="96" t="s">
        <v>1</v>
      </c>
      <c r="K7" s="96" t="s">
        <v>1</v>
      </c>
      <c r="L7" s="100" t="str">
        <f t="shared" ref="L7:L11" si="15">_xlfn.CONCAT(SUBSTITUTE(C7,"1.",""))</f>
        <v>Reinos.Naturais</v>
      </c>
      <c r="M7" s="100" t="str">
        <f t="shared" ref="M7:M11" si="16">_xlfn.CONCAT(SUBSTITUTE(D7,"."," "))</f>
        <v>Reino Vegetal</v>
      </c>
      <c r="N7" s="100" t="str">
        <f t="shared" ref="N7:N11" si="17">_xlfn.CONCAT(SUBSTITUTE(E7,"."," "))</f>
        <v>Flora</v>
      </c>
      <c r="O7" s="100" t="str">
        <f t="shared" ref="O7:O11" si="18">_xlfn.CONCAT(SUBSTITUTE(F7,"."," "))</f>
        <v>Palmeira</v>
      </c>
      <c r="P7" s="100" t="s">
        <v>931</v>
      </c>
      <c r="Q7" s="100" t="s">
        <v>940</v>
      </c>
      <c r="R7" s="23" t="s">
        <v>1443</v>
      </c>
      <c r="S7" s="111" t="s">
        <v>1</v>
      </c>
      <c r="T7" s="23" t="str">
        <f t="shared" ref="T7:T11" si="19">SUBSTITUTE(C7, ".", " ")</f>
        <v>Reinos Naturais</v>
      </c>
      <c r="U7" s="23" t="str">
        <f t="shared" ref="U7:U11" si="20">SUBSTITUTE(D7, ".", " ")</f>
        <v>Reino Vegetal</v>
      </c>
      <c r="V7" s="23" t="str">
        <f t="shared" ref="V7:V11" si="21">SUBSTITUTE(E7, ".", " ")</f>
        <v>Flora</v>
      </c>
      <c r="W7" s="23" t="s">
        <v>1360</v>
      </c>
      <c r="X7" s="98" t="str">
        <f t="shared" si="14"/>
        <v>Key-PAISA-7</v>
      </c>
      <c r="Y7" s="23" t="s">
        <v>1252</v>
      </c>
      <c r="Z7" s="110" t="s">
        <v>1</v>
      </c>
      <c r="AA7" s="23" t="s">
        <v>1253</v>
      </c>
      <c r="AB7" s="110" t="s">
        <v>1</v>
      </c>
      <c r="AC7" s="23" t="s">
        <v>1254</v>
      </c>
      <c r="AD7" s="110" t="s">
        <v>1</v>
      </c>
    </row>
    <row r="8" spans="1:30" ht="6" customHeight="1" x14ac:dyDescent="0.25">
      <c r="A8" s="99">
        <v>8</v>
      </c>
      <c r="B8" s="107" t="s">
        <v>1413</v>
      </c>
      <c r="C8" s="52" t="s">
        <v>1422</v>
      </c>
      <c r="D8" s="52" t="s">
        <v>1423</v>
      </c>
      <c r="E8" s="52" t="s">
        <v>1003</v>
      </c>
      <c r="F8" s="52" t="s">
        <v>923</v>
      </c>
      <c r="G8" s="96" t="s">
        <v>1</v>
      </c>
      <c r="H8" s="96" t="s">
        <v>1</v>
      </c>
      <c r="I8" s="96" t="s">
        <v>1</v>
      </c>
      <c r="J8" s="96" t="s">
        <v>1</v>
      </c>
      <c r="K8" s="96" t="s">
        <v>1</v>
      </c>
      <c r="L8" s="100" t="str">
        <f t="shared" ref="L8" si="22">_xlfn.CONCAT(SUBSTITUTE(C8,"1.",""))</f>
        <v>Reinos.Naturais</v>
      </c>
      <c r="M8" s="100" t="str">
        <f t="shared" ref="M8" si="23">_xlfn.CONCAT(SUBSTITUTE(D8,"."," "))</f>
        <v>Reino Vegetal</v>
      </c>
      <c r="N8" s="100" t="str">
        <f t="shared" ref="N8" si="24">_xlfn.CONCAT(SUBSTITUTE(E8,"."," "))</f>
        <v>Flora</v>
      </c>
      <c r="O8" s="100" t="str">
        <f t="shared" ref="O8" si="25">_xlfn.CONCAT(SUBSTITUTE(F8,"."," "))</f>
        <v>Herbácea</v>
      </c>
      <c r="P8" s="100" t="s">
        <v>925</v>
      </c>
      <c r="Q8" s="100" t="s">
        <v>941</v>
      </c>
      <c r="R8" s="23" t="s">
        <v>1444</v>
      </c>
      <c r="S8" s="111" t="s">
        <v>1</v>
      </c>
      <c r="T8" s="23" t="str">
        <f t="shared" ref="T8" si="26">SUBSTITUTE(C8, ".", " ")</f>
        <v>Reinos Naturais</v>
      </c>
      <c r="U8" s="23" t="str">
        <f t="shared" ref="U8" si="27">SUBSTITUTE(D8, ".", " ")</f>
        <v>Reino Vegetal</v>
      </c>
      <c r="V8" s="23" t="str">
        <f t="shared" ref="V8" si="28">SUBSTITUTE(E8, ".", " ")</f>
        <v>Flora</v>
      </c>
      <c r="W8" s="23" t="s">
        <v>1360</v>
      </c>
      <c r="X8" s="98" t="str">
        <f t="shared" si="14"/>
        <v>Key-PAISA-8</v>
      </c>
      <c r="Y8" s="23" t="s">
        <v>1252</v>
      </c>
      <c r="Z8" s="110" t="s">
        <v>1</v>
      </c>
      <c r="AA8" s="23" t="s">
        <v>1253</v>
      </c>
      <c r="AB8" s="110" t="s">
        <v>1</v>
      </c>
      <c r="AC8" s="23" t="s">
        <v>1254</v>
      </c>
      <c r="AD8" s="110" t="s">
        <v>1</v>
      </c>
    </row>
    <row r="9" spans="1:30" ht="6" customHeight="1" x14ac:dyDescent="0.25">
      <c r="A9" s="99">
        <v>9</v>
      </c>
      <c r="B9" s="107" t="s">
        <v>1413</v>
      </c>
      <c r="C9" s="52" t="s">
        <v>1422</v>
      </c>
      <c r="D9" s="52" t="s">
        <v>1423</v>
      </c>
      <c r="E9" s="52" t="s">
        <v>1003</v>
      </c>
      <c r="F9" s="52" t="s">
        <v>918</v>
      </c>
      <c r="G9" s="96" t="s">
        <v>1</v>
      </c>
      <c r="H9" s="96" t="s">
        <v>1</v>
      </c>
      <c r="I9" s="96" t="s">
        <v>1</v>
      </c>
      <c r="J9" s="96" t="s">
        <v>1</v>
      </c>
      <c r="K9" s="95" t="s">
        <v>1026</v>
      </c>
      <c r="L9" s="100" t="str">
        <f t="shared" si="15"/>
        <v>Reinos.Naturais</v>
      </c>
      <c r="M9" s="100" t="str">
        <f t="shared" si="16"/>
        <v>Reino Vegetal</v>
      </c>
      <c r="N9" s="100" t="str">
        <f t="shared" si="17"/>
        <v>Flora</v>
      </c>
      <c r="O9" s="100" t="str">
        <f t="shared" si="18"/>
        <v>Gramínea</v>
      </c>
      <c r="P9" s="100" t="s">
        <v>947</v>
      </c>
      <c r="Q9" s="100" t="s">
        <v>942</v>
      </c>
      <c r="R9" s="23" t="s">
        <v>1445</v>
      </c>
      <c r="S9" s="111" t="s">
        <v>1</v>
      </c>
      <c r="T9" s="23" t="str">
        <f t="shared" si="19"/>
        <v>Reinos Naturais</v>
      </c>
      <c r="U9" s="23" t="str">
        <f t="shared" si="20"/>
        <v>Reino Vegetal</v>
      </c>
      <c r="V9" s="23" t="str">
        <f t="shared" si="21"/>
        <v>Flora</v>
      </c>
      <c r="W9" s="23" t="s">
        <v>1360</v>
      </c>
      <c r="X9" s="98" t="str">
        <f t="shared" si="14"/>
        <v>Key-PAISA-9</v>
      </c>
      <c r="Y9" s="23" t="s">
        <v>1252</v>
      </c>
      <c r="Z9" s="110" t="s">
        <v>1</v>
      </c>
      <c r="AA9" s="23" t="s">
        <v>1253</v>
      </c>
      <c r="AB9" s="110" t="s">
        <v>1</v>
      </c>
      <c r="AC9" s="23" t="s">
        <v>1255</v>
      </c>
      <c r="AD9" s="110" t="s">
        <v>1</v>
      </c>
    </row>
    <row r="10" spans="1:30" ht="6" customHeight="1" x14ac:dyDescent="0.25">
      <c r="A10" s="99">
        <v>10</v>
      </c>
      <c r="B10" s="107" t="s">
        <v>1413</v>
      </c>
      <c r="C10" s="52" t="s">
        <v>1422</v>
      </c>
      <c r="D10" s="52" t="s">
        <v>1423</v>
      </c>
      <c r="E10" s="52" t="s">
        <v>1003</v>
      </c>
      <c r="F10" s="52" t="s">
        <v>921</v>
      </c>
      <c r="G10" s="96" t="s">
        <v>1</v>
      </c>
      <c r="H10" s="96" t="s">
        <v>1</v>
      </c>
      <c r="I10" s="96" t="s">
        <v>1</v>
      </c>
      <c r="J10" s="96" t="s">
        <v>1</v>
      </c>
      <c r="K10" s="95" t="s">
        <v>1027</v>
      </c>
      <c r="L10" s="100" t="str">
        <f t="shared" si="15"/>
        <v>Reinos.Naturais</v>
      </c>
      <c r="M10" s="100" t="str">
        <f t="shared" si="16"/>
        <v>Reino Vegetal</v>
      </c>
      <c r="N10" s="100" t="str">
        <f t="shared" si="17"/>
        <v>Flora</v>
      </c>
      <c r="O10" s="100" t="str">
        <f t="shared" si="18"/>
        <v>Rasteira</v>
      </c>
      <c r="P10" s="100" t="s">
        <v>421</v>
      </c>
      <c r="Q10" s="100" t="s">
        <v>423</v>
      </c>
      <c r="R10" s="23" t="s">
        <v>1446</v>
      </c>
      <c r="S10" s="111" t="s">
        <v>1</v>
      </c>
      <c r="T10" s="23" t="str">
        <f t="shared" si="19"/>
        <v>Reinos Naturais</v>
      </c>
      <c r="U10" s="23" t="str">
        <f t="shared" si="20"/>
        <v>Reino Vegetal</v>
      </c>
      <c r="V10" s="23" t="str">
        <f t="shared" si="21"/>
        <v>Flora</v>
      </c>
      <c r="W10" s="23" t="s">
        <v>1360</v>
      </c>
      <c r="X10" s="98" t="str">
        <f t="shared" si="14"/>
        <v>Key-PAISA-10</v>
      </c>
      <c r="Y10" s="23" t="s">
        <v>1252</v>
      </c>
      <c r="Z10" s="110" t="s">
        <v>1</v>
      </c>
      <c r="AA10" s="23" t="s">
        <v>1253</v>
      </c>
      <c r="AB10" s="110" t="s">
        <v>1</v>
      </c>
      <c r="AC10" s="23" t="s">
        <v>1255</v>
      </c>
      <c r="AD10" s="110" t="s">
        <v>1</v>
      </c>
    </row>
    <row r="11" spans="1:30" ht="6" customHeight="1" x14ac:dyDescent="0.25">
      <c r="A11" s="99">
        <v>11</v>
      </c>
      <c r="B11" s="107" t="s">
        <v>1413</v>
      </c>
      <c r="C11" s="52" t="s">
        <v>1422</v>
      </c>
      <c r="D11" s="52" t="s">
        <v>1423</v>
      </c>
      <c r="E11" s="52" t="s">
        <v>1003</v>
      </c>
      <c r="F11" s="52" t="s">
        <v>926</v>
      </c>
      <c r="G11" s="96" t="s">
        <v>1</v>
      </c>
      <c r="H11" s="96" t="s">
        <v>1</v>
      </c>
      <c r="I11" s="96" t="s">
        <v>1</v>
      </c>
      <c r="J11" s="96" t="s">
        <v>1</v>
      </c>
      <c r="K11" s="96" t="s">
        <v>1</v>
      </c>
      <c r="L11" s="100" t="str">
        <f t="shared" si="15"/>
        <v>Reinos.Naturais</v>
      </c>
      <c r="M11" s="100" t="str">
        <f t="shared" si="16"/>
        <v>Reino Vegetal</v>
      </c>
      <c r="N11" s="100" t="str">
        <f t="shared" si="17"/>
        <v>Flora</v>
      </c>
      <c r="O11" s="100" t="str">
        <f t="shared" si="18"/>
        <v>Bambu</v>
      </c>
      <c r="P11" s="100" t="s">
        <v>934</v>
      </c>
      <c r="Q11" s="100" t="s">
        <v>943</v>
      </c>
      <c r="R11" s="23" t="s">
        <v>1447</v>
      </c>
      <c r="S11" s="111" t="s">
        <v>1</v>
      </c>
      <c r="T11" s="23" t="str">
        <f t="shared" si="19"/>
        <v>Reinos Naturais</v>
      </c>
      <c r="U11" s="23" t="str">
        <f t="shared" si="20"/>
        <v>Reino Vegetal</v>
      </c>
      <c r="V11" s="23" t="str">
        <f t="shared" si="21"/>
        <v>Flora</v>
      </c>
      <c r="W11" s="23" t="s">
        <v>1360</v>
      </c>
      <c r="X11" s="98" t="str">
        <f t="shared" si="14"/>
        <v>Key-PAISA-11</v>
      </c>
      <c r="Y11" s="23" t="s">
        <v>1252</v>
      </c>
      <c r="Z11" s="110" t="s">
        <v>1</v>
      </c>
      <c r="AA11" s="23" t="s">
        <v>1253</v>
      </c>
      <c r="AB11" s="110" t="s">
        <v>1</v>
      </c>
      <c r="AC11" s="23" t="s">
        <v>1254</v>
      </c>
      <c r="AD11" s="110" t="s">
        <v>1</v>
      </c>
    </row>
    <row r="12" spans="1:30" ht="6" customHeight="1" x14ac:dyDescent="0.25">
      <c r="A12" s="99">
        <v>12</v>
      </c>
      <c r="B12" s="107" t="s">
        <v>1413</v>
      </c>
      <c r="C12" s="52" t="s">
        <v>1422</v>
      </c>
      <c r="D12" s="52" t="s">
        <v>1423</v>
      </c>
      <c r="E12" s="52" t="s">
        <v>1003</v>
      </c>
      <c r="F12" s="52" t="s">
        <v>927</v>
      </c>
      <c r="G12" s="96" t="s">
        <v>1</v>
      </c>
      <c r="H12" s="96" t="s">
        <v>1</v>
      </c>
      <c r="I12" s="96" t="s">
        <v>1</v>
      </c>
      <c r="J12" s="96" t="s">
        <v>1</v>
      </c>
      <c r="K12" s="96" t="s">
        <v>1</v>
      </c>
      <c r="L12" s="100" t="str">
        <f t="shared" ref="L12:L13" si="29">_xlfn.CONCAT(SUBSTITUTE(C12,"1.",""))</f>
        <v>Reinos.Naturais</v>
      </c>
      <c r="M12" s="100" t="str">
        <f t="shared" ref="M12:M13" si="30">_xlfn.CONCAT(SUBSTITUTE(D12,"."," "))</f>
        <v>Reino Vegetal</v>
      </c>
      <c r="N12" s="100" t="str">
        <f t="shared" ref="N12:N13" si="31">_xlfn.CONCAT(SUBSTITUTE(E12,"."," "))</f>
        <v>Flora</v>
      </c>
      <c r="O12" s="100" t="str">
        <f t="shared" ref="O12:O13" si="32">_xlfn.CONCAT(SUBSTITUTE(F12,"."," "))</f>
        <v>Liana</v>
      </c>
      <c r="P12" s="100" t="s">
        <v>933</v>
      </c>
      <c r="Q12" s="100" t="s">
        <v>944</v>
      </c>
      <c r="R12" s="23" t="s">
        <v>1448</v>
      </c>
      <c r="S12" s="111" t="s">
        <v>1</v>
      </c>
      <c r="T12" s="23" t="str">
        <f t="shared" ref="T12:T13" si="33">SUBSTITUTE(C12, ".", " ")</f>
        <v>Reinos Naturais</v>
      </c>
      <c r="U12" s="23" t="str">
        <f t="shared" ref="U12:U13" si="34">SUBSTITUTE(D12, ".", " ")</f>
        <v>Reino Vegetal</v>
      </c>
      <c r="V12" s="23" t="str">
        <f t="shared" ref="V12:V13" si="35">SUBSTITUTE(E12, ".", " ")</f>
        <v>Flora</v>
      </c>
      <c r="W12" s="23" t="s">
        <v>1360</v>
      </c>
      <c r="X12" s="98" t="str">
        <f t="shared" si="14"/>
        <v>Key-PAISA-12</v>
      </c>
      <c r="Y12" s="23" t="s">
        <v>1252</v>
      </c>
      <c r="Z12" s="110" t="s">
        <v>1</v>
      </c>
      <c r="AA12" s="23" t="s">
        <v>1253</v>
      </c>
      <c r="AB12" s="110" t="s">
        <v>1</v>
      </c>
      <c r="AC12" s="23" t="s">
        <v>1254</v>
      </c>
      <c r="AD12" s="110" t="s">
        <v>1</v>
      </c>
    </row>
    <row r="13" spans="1:30" ht="6" customHeight="1" x14ac:dyDescent="0.25">
      <c r="A13" s="99">
        <v>13</v>
      </c>
      <c r="B13" s="107" t="s">
        <v>1413</v>
      </c>
      <c r="C13" s="52" t="s">
        <v>1422</v>
      </c>
      <c r="D13" s="52" t="s">
        <v>1423</v>
      </c>
      <c r="E13" s="52" t="s">
        <v>1003</v>
      </c>
      <c r="F13" s="52" t="s">
        <v>928</v>
      </c>
      <c r="G13" s="96" t="s">
        <v>1</v>
      </c>
      <c r="H13" s="96" t="s">
        <v>1</v>
      </c>
      <c r="I13" s="96" t="s">
        <v>1</v>
      </c>
      <c r="J13" s="96" t="s">
        <v>1</v>
      </c>
      <c r="K13" s="95" t="s">
        <v>1028</v>
      </c>
      <c r="L13" s="100" t="str">
        <f t="shared" si="29"/>
        <v>Reinos.Naturais</v>
      </c>
      <c r="M13" s="100" t="str">
        <f t="shared" si="30"/>
        <v>Reino Vegetal</v>
      </c>
      <c r="N13" s="100" t="str">
        <f t="shared" si="31"/>
        <v>Flora</v>
      </c>
      <c r="O13" s="100" t="str">
        <f t="shared" si="32"/>
        <v>Cacto</v>
      </c>
      <c r="P13" s="100" t="s">
        <v>952</v>
      </c>
      <c r="Q13" s="100" t="s">
        <v>945</v>
      </c>
      <c r="R13" s="23" t="s">
        <v>1449</v>
      </c>
      <c r="S13" s="111" t="s">
        <v>1</v>
      </c>
      <c r="T13" s="23" t="str">
        <f t="shared" si="33"/>
        <v>Reinos Naturais</v>
      </c>
      <c r="U13" s="23" t="str">
        <f t="shared" si="34"/>
        <v>Reino Vegetal</v>
      </c>
      <c r="V13" s="23" t="str">
        <f t="shared" si="35"/>
        <v>Flora</v>
      </c>
      <c r="W13" s="23" t="s">
        <v>1360</v>
      </c>
      <c r="X13" s="98" t="str">
        <f t="shared" si="14"/>
        <v>Key-PAISA-13</v>
      </c>
      <c r="Y13" s="23" t="s">
        <v>1252</v>
      </c>
      <c r="Z13" s="110" t="s">
        <v>1</v>
      </c>
      <c r="AA13" s="23" t="s">
        <v>1253</v>
      </c>
      <c r="AB13" s="110" t="s">
        <v>1</v>
      </c>
      <c r="AC13" s="23" t="s">
        <v>1254</v>
      </c>
      <c r="AD13" s="110" t="s">
        <v>1</v>
      </c>
    </row>
    <row r="14" spans="1:30" ht="6" customHeight="1" x14ac:dyDescent="0.25">
      <c r="A14" s="99">
        <v>14</v>
      </c>
      <c r="B14" s="107" t="s">
        <v>1413</v>
      </c>
      <c r="C14" s="52" t="s">
        <v>1422</v>
      </c>
      <c r="D14" s="52" t="s">
        <v>1423</v>
      </c>
      <c r="E14" s="52" t="s">
        <v>1003</v>
      </c>
      <c r="F14" s="52" t="s">
        <v>420</v>
      </c>
      <c r="G14" s="96" t="s">
        <v>1</v>
      </c>
      <c r="H14" s="96" t="s">
        <v>1</v>
      </c>
      <c r="I14" s="96" t="s">
        <v>1</v>
      </c>
      <c r="J14" s="96" t="s">
        <v>1</v>
      </c>
      <c r="K14" s="96" t="s">
        <v>1024</v>
      </c>
      <c r="L14" s="100" t="str">
        <f t="shared" ref="L14:L24" si="36">_xlfn.CONCAT(SUBSTITUTE(C14,"1.",""))</f>
        <v>Reinos.Naturais</v>
      </c>
      <c r="M14" s="100" t="str">
        <f t="shared" ref="M14:M24" si="37">_xlfn.CONCAT(SUBSTITUTE(D14,"."," "))</f>
        <v>Reino Vegetal</v>
      </c>
      <c r="N14" s="100" t="str">
        <f t="shared" ref="N14:N24" si="38">_xlfn.CONCAT(SUBSTITUTE(E14,"."," "))</f>
        <v>Flora</v>
      </c>
      <c r="O14" s="100" t="str">
        <f t="shared" ref="O14:O24" si="39">_xlfn.CONCAT(SUBSTITUTE(F14,"."," "))</f>
        <v>Flor</v>
      </c>
      <c r="P14" s="100" t="s">
        <v>930</v>
      </c>
      <c r="Q14" s="100" t="s">
        <v>946</v>
      </c>
      <c r="R14" s="23" t="s">
        <v>1450</v>
      </c>
      <c r="S14" s="111" t="s">
        <v>1</v>
      </c>
      <c r="T14" s="23" t="str">
        <f t="shared" ref="T14:T24" si="40">SUBSTITUTE(C14, ".", " ")</f>
        <v>Reinos Naturais</v>
      </c>
      <c r="U14" s="23" t="str">
        <f t="shared" ref="U14:U24" si="41">SUBSTITUTE(D14, ".", " ")</f>
        <v>Reino Vegetal</v>
      </c>
      <c r="V14" s="23" t="str">
        <f t="shared" ref="V14:V24" si="42">SUBSTITUTE(E14, ".", " ")</f>
        <v>Flora</v>
      </c>
      <c r="W14" s="23" t="s">
        <v>1360</v>
      </c>
      <c r="X14" s="98" t="str">
        <f t="shared" si="14"/>
        <v>Key-PAISA-14</v>
      </c>
      <c r="Y14" s="23" t="s">
        <v>1252</v>
      </c>
      <c r="Z14" s="110" t="s">
        <v>1</v>
      </c>
      <c r="AA14" s="23" t="s">
        <v>1253</v>
      </c>
      <c r="AB14" s="110" t="s">
        <v>1</v>
      </c>
      <c r="AC14" s="23" t="s">
        <v>1254</v>
      </c>
      <c r="AD14" s="110" t="s">
        <v>1</v>
      </c>
    </row>
    <row r="15" spans="1:30" ht="6" customHeight="1" x14ac:dyDescent="0.25">
      <c r="A15" s="99">
        <v>15</v>
      </c>
      <c r="B15" s="107" t="s">
        <v>1413</v>
      </c>
      <c r="C15" s="52" t="s">
        <v>1422</v>
      </c>
      <c r="D15" s="52" t="s">
        <v>1423</v>
      </c>
      <c r="E15" s="52" t="s">
        <v>371</v>
      </c>
      <c r="F15" s="52" t="s">
        <v>287</v>
      </c>
      <c r="G15" s="96" t="s">
        <v>1</v>
      </c>
      <c r="H15" s="96" t="s">
        <v>1</v>
      </c>
      <c r="I15" s="96" t="s">
        <v>1</v>
      </c>
      <c r="J15" s="96" t="s">
        <v>1</v>
      </c>
      <c r="K15" s="96" t="s">
        <v>1</v>
      </c>
      <c r="L15" s="100" t="str">
        <f t="shared" si="36"/>
        <v>Reinos.Naturais</v>
      </c>
      <c r="M15" s="100" t="str">
        <f t="shared" si="37"/>
        <v>Reino Vegetal</v>
      </c>
      <c r="N15" s="100" t="str">
        <f t="shared" si="38"/>
        <v>Fungos</v>
      </c>
      <c r="O15" s="100" t="str">
        <f t="shared" si="39"/>
        <v>Fungo</v>
      </c>
      <c r="P15" s="100" t="s">
        <v>372</v>
      </c>
      <c r="Q15" s="100" t="s">
        <v>373</v>
      </c>
      <c r="R15" s="23" t="s">
        <v>1451</v>
      </c>
      <c r="S15" s="111" t="s">
        <v>1</v>
      </c>
      <c r="T15" s="23" t="str">
        <f t="shared" si="40"/>
        <v>Reinos Naturais</v>
      </c>
      <c r="U15" s="23" t="str">
        <f t="shared" si="41"/>
        <v>Reino Vegetal</v>
      </c>
      <c r="V15" s="23" t="str">
        <f t="shared" si="42"/>
        <v>Fungos</v>
      </c>
      <c r="W15" s="23" t="s">
        <v>1360</v>
      </c>
      <c r="X15" s="98" t="str">
        <f t="shared" si="14"/>
        <v>Key-PAISA-15</v>
      </c>
      <c r="Y15" s="23" t="s">
        <v>1252</v>
      </c>
      <c r="Z15" s="110" t="s">
        <v>1</v>
      </c>
      <c r="AA15" s="23" t="s">
        <v>1253</v>
      </c>
      <c r="AB15" s="110" t="s">
        <v>1</v>
      </c>
      <c r="AC15" s="23" t="s">
        <v>1254</v>
      </c>
      <c r="AD15" s="110" t="s">
        <v>1</v>
      </c>
    </row>
    <row r="16" spans="1:30" ht="6" customHeight="1" x14ac:dyDescent="0.25">
      <c r="A16" s="99">
        <v>16</v>
      </c>
      <c r="B16" s="107" t="s">
        <v>1413</v>
      </c>
      <c r="C16" s="52" t="s">
        <v>280</v>
      </c>
      <c r="D16" s="52" t="s">
        <v>282</v>
      </c>
      <c r="E16" s="52" t="s">
        <v>281</v>
      </c>
      <c r="F16" s="52" t="s">
        <v>279</v>
      </c>
      <c r="G16" s="96" t="s">
        <v>1</v>
      </c>
      <c r="H16" s="96" t="s">
        <v>1</v>
      </c>
      <c r="I16" s="96" t="s">
        <v>1</v>
      </c>
      <c r="J16" s="96" t="s">
        <v>1</v>
      </c>
      <c r="K16" s="96" t="s">
        <v>1</v>
      </c>
      <c r="L16" s="100" t="str">
        <f t="shared" si="36"/>
        <v>Divisão.Botânica</v>
      </c>
      <c r="M16" s="100" t="str">
        <f t="shared" si="37"/>
        <v>Classe Botânica</v>
      </c>
      <c r="N16" s="100" t="str">
        <f t="shared" si="38"/>
        <v>Ordem Botânica</v>
      </c>
      <c r="O16" s="100" t="str">
        <f t="shared" si="39"/>
        <v>Família Botânica</v>
      </c>
      <c r="P16" s="100" t="s">
        <v>284</v>
      </c>
      <c r="Q16" s="100" t="s">
        <v>283</v>
      </c>
      <c r="R16" s="23" t="s">
        <v>1452</v>
      </c>
      <c r="S16" s="111" t="s">
        <v>1</v>
      </c>
      <c r="T16" s="23" t="str">
        <f t="shared" si="40"/>
        <v>Divisão Botânica</v>
      </c>
      <c r="U16" s="23" t="str">
        <f t="shared" si="41"/>
        <v>Classe Botânica</v>
      </c>
      <c r="V16" s="23" t="str">
        <f t="shared" si="42"/>
        <v>Ordem Botânica</v>
      </c>
      <c r="W16" s="23" t="s">
        <v>1360</v>
      </c>
      <c r="X16" s="98" t="str">
        <f t="shared" si="14"/>
        <v>Key-PAISA-16</v>
      </c>
      <c r="Y16" s="23" t="s">
        <v>1252</v>
      </c>
      <c r="Z16" s="110" t="s">
        <v>1</v>
      </c>
      <c r="AA16" s="23" t="s">
        <v>1253</v>
      </c>
      <c r="AB16" s="110" t="s">
        <v>1</v>
      </c>
      <c r="AC16" s="23" t="s">
        <v>1254</v>
      </c>
      <c r="AD16" s="110" t="s">
        <v>1</v>
      </c>
    </row>
    <row r="17" spans="1:30" ht="6" customHeight="1" x14ac:dyDescent="0.25">
      <c r="A17" s="99">
        <v>17</v>
      </c>
      <c r="B17" s="107" t="s">
        <v>1413</v>
      </c>
      <c r="C17" s="52" t="s">
        <v>1419</v>
      </c>
      <c r="D17" s="52" t="s">
        <v>1420</v>
      </c>
      <c r="E17" s="52" t="s">
        <v>848</v>
      </c>
      <c r="F17" s="52" t="s">
        <v>871</v>
      </c>
      <c r="G17" s="96" t="s">
        <v>1</v>
      </c>
      <c r="H17" s="96" t="s">
        <v>1</v>
      </c>
      <c r="I17" s="96" t="s">
        <v>1</v>
      </c>
      <c r="J17" s="96" t="s">
        <v>1</v>
      </c>
      <c r="K17" s="96" t="s">
        <v>1</v>
      </c>
      <c r="L17" s="100" t="str">
        <f t="shared" ref="L17:L21" si="43">_xlfn.CONCAT(SUBSTITUTE(C17,"1.",""))</f>
        <v>Ecológicos</v>
      </c>
      <c r="M17" s="100" t="str">
        <f t="shared" ref="M17:M21" si="44">_xlfn.CONCAT(SUBSTITUTE(D17,"."," "))</f>
        <v>Ecossistemas</v>
      </c>
      <c r="N17" s="100" t="str">
        <f t="shared" ref="N17:N21" si="45">_xlfn.CONCAT(SUBSTITUTE(E17,"."," "))</f>
        <v>Conservação</v>
      </c>
      <c r="O17" s="100" t="str">
        <f t="shared" ref="O17:O21" si="46">_xlfn.CONCAT(SUBSTITUTE(F17,"."," "))</f>
        <v>Conservação Animal</v>
      </c>
      <c r="P17" s="100" t="s">
        <v>997</v>
      </c>
      <c r="Q17" s="100" t="s">
        <v>1002</v>
      </c>
      <c r="R17" s="23" t="s">
        <v>1453</v>
      </c>
      <c r="S17" s="111" t="s">
        <v>1</v>
      </c>
      <c r="T17" s="23" t="str">
        <f t="shared" ref="T17:T21" si="47">SUBSTITUTE(C17, ".", " ")</f>
        <v>Ecológicos</v>
      </c>
      <c r="U17" s="23" t="str">
        <f t="shared" ref="U17:U21" si="48">SUBSTITUTE(D17, ".", " ")</f>
        <v>Ecossistemas</v>
      </c>
      <c r="V17" s="23" t="str">
        <f t="shared" ref="V17:V21" si="49">SUBSTITUTE(E17, ".", " ")</f>
        <v>Conservação</v>
      </c>
      <c r="W17" s="23" t="s">
        <v>1360</v>
      </c>
      <c r="X17" s="98" t="str">
        <f t="shared" si="14"/>
        <v>Key-PAISA-17</v>
      </c>
      <c r="Y17" s="110" t="s">
        <v>1</v>
      </c>
      <c r="Z17" s="110" t="s">
        <v>1</v>
      </c>
      <c r="AA17" s="110" t="s">
        <v>1</v>
      </c>
      <c r="AB17" s="110" t="s">
        <v>1</v>
      </c>
      <c r="AC17" s="23" t="s">
        <v>1260</v>
      </c>
      <c r="AD17" s="110" t="s">
        <v>1</v>
      </c>
    </row>
    <row r="18" spans="1:30" ht="6" customHeight="1" x14ac:dyDescent="0.25">
      <c r="A18" s="99">
        <v>18</v>
      </c>
      <c r="B18" s="107" t="s">
        <v>1413</v>
      </c>
      <c r="C18" s="52" t="s">
        <v>1419</v>
      </c>
      <c r="D18" s="52" t="s">
        <v>1420</v>
      </c>
      <c r="E18" s="52" t="s">
        <v>848</v>
      </c>
      <c r="F18" s="52" t="s">
        <v>872</v>
      </c>
      <c r="G18" s="96" t="s">
        <v>1</v>
      </c>
      <c r="H18" s="96" t="s">
        <v>1</v>
      </c>
      <c r="I18" s="96" t="s">
        <v>1</v>
      </c>
      <c r="J18" s="96" t="s">
        <v>1</v>
      </c>
      <c r="K18" s="96" t="s">
        <v>1</v>
      </c>
      <c r="L18" s="100" t="str">
        <f t="shared" si="43"/>
        <v>Ecológicos</v>
      </c>
      <c r="M18" s="100" t="str">
        <f t="shared" si="44"/>
        <v>Ecossistemas</v>
      </c>
      <c r="N18" s="100" t="str">
        <f t="shared" si="45"/>
        <v>Conservação</v>
      </c>
      <c r="O18" s="100" t="str">
        <f t="shared" si="46"/>
        <v>Conservação Vegetal</v>
      </c>
      <c r="P18" s="100" t="s">
        <v>998</v>
      </c>
      <c r="Q18" s="100" t="s">
        <v>1001</v>
      </c>
      <c r="R18" s="23" t="s">
        <v>1454</v>
      </c>
      <c r="S18" s="111" t="s">
        <v>1</v>
      </c>
      <c r="T18" s="23" t="str">
        <f t="shared" si="47"/>
        <v>Ecológicos</v>
      </c>
      <c r="U18" s="23" t="str">
        <f t="shared" si="48"/>
        <v>Ecossistemas</v>
      </c>
      <c r="V18" s="23" t="str">
        <f t="shared" si="49"/>
        <v>Conservação</v>
      </c>
      <c r="W18" s="23" t="s">
        <v>1360</v>
      </c>
      <c r="X18" s="98" t="str">
        <f t="shared" si="14"/>
        <v>Key-PAISA-18</v>
      </c>
      <c r="Y18" s="110" t="s">
        <v>1</v>
      </c>
      <c r="Z18" s="110" t="s">
        <v>1</v>
      </c>
      <c r="AA18" s="110" t="s">
        <v>1</v>
      </c>
      <c r="AB18" s="110" t="s">
        <v>1</v>
      </c>
      <c r="AC18" s="23" t="s">
        <v>1260</v>
      </c>
      <c r="AD18" s="110" t="s">
        <v>1</v>
      </c>
    </row>
    <row r="19" spans="1:30" ht="6" customHeight="1" x14ac:dyDescent="0.25">
      <c r="A19" s="99">
        <v>19</v>
      </c>
      <c r="B19" s="107" t="s">
        <v>1413</v>
      </c>
      <c r="C19" s="52" t="s">
        <v>1419</v>
      </c>
      <c r="D19" s="52" t="s">
        <v>1420</v>
      </c>
      <c r="E19" s="52" t="s">
        <v>848</v>
      </c>
      <c r="F19" s="52" t="s">
        <v>873</v>
      </c>
      <c r="G19" s="96" t="s">
        <v>1</v>
      </c>
      <c r="H19" s="96" t="s">
        <v>1</v>
      </c>
      <c r="I19" s="96" t="s">
        <v>1</v>
      </c>
      <c r="J19" s="96" t="s">
        <v>1</v>
      </c>
      <c r="K19" s="96" t="s">
        <v>1</v>
      </c>
      <c r="L19" s="100" t="str">
        <f t="shared" ref="L19" si="50">_xlfn.CONCAT(SUBSTITUTE(C19,"1.",""))</f>
        <v>Ecológicos</v>
      </c>
      <c r="M19" s="100" t="str">
        <f t="shared" ref="M19" si="51">_xlfn.CONCAT(SUBSTITUTE(D19,"."," "))</f>
        <v>Ecossistemas</v>
      </c>
      <c r="N19" s="100" t="str">
        <f t="shared" ref="N19" si="52">_xlfn.CONCAT(SUBSTITUTE(E19,"."," "))</f>
        <v>Conservação</v>
      </c>
      <c r="O19" s="100" t="str">
        <f t="shared" ref="O19" si="53">_xlfn.CONCAT(SUBSTITUTE(F19,"."," "))</f>
        <v>Conservação Mineral</v>
      </c>
      <c r="P19" s="100" t="s">
        <v>1250</v>
      </c>
      <c r="Q19" s="100" t="s">
        <v>1251</v>
      </c>
      <c r="R19" s="23" t="s">
        <v>1455</v>
      </c>
      <c r="S19" s="111" t="s">
        <v>1</v>
      </c>
      <c r="T19" s="23" t="str">
        <f t="shared" ref="T19" si="54">SUBSTITUTE(C19, ".", " ")</f>
        <v>Ecológicos</v>
      </c>
      <c r="U19" s="23" t="str">
        <f t="shared" ref="U19" si="55">SUBSTITUTE(D19, ".", " ")</f>
        <v>Ecossistemas</v>
      </c>
      <c r="V19" s="23" t="str">
        <f t="shared" ref="V19" si="56">SUBSTITUTE(E19, ".", " ")</f>
        <v>Conservação</v>
      </c>
      <c r="W19" s="23" t="s">
        <v>1360</v>
      </c>
      <c r="X19" s="98" t="str">
        <f t="shared" si="14"/>
        <v>Key-PAISA-19</v>
      </c>
      <c r="Y19" s="110" t="s">
        <v>1</v>
      </c>
      <c r="Z19" s="110" t="s">
        <v>1</v>
      </c>
      <c r="AA19" s="110" t="s">
        <v>1</v>
      </c>
      <c r="AB19" s="110" t="s">
        <v>1</v>
      </c>
      <c r="AC19" s="23" t="s">
        <v>1260</v>
      </c>
      <c r="AD19" s="110" t="s">
        <v>1</v>
      </c>
    </row>
    <row r="20" spans="1:30" ht="6" customHeight="1" x14ac:dyDescent="0.25">
      <c r="A20" s="99">
        <v>20</v>
      </c>
      <c r="B20" s="107" t="s">
        <v>1413</v>
      </c>
      <c r="C20" s="52" t="s">
        <v>1419</v>
      </c>
      <c r="D20" s="52" t="s">
        <v>1420</v>
      </c>
      <c r="E20" s="52" t="s">
        <v>848</v>
      </c>
      <c r="F20" s="52" t="s">
        <v>1249</v>
      </c>
      <c r="G20" s="96" t="s">
        <v>1</v>
      </c>
      <c r="H20" s="96" t="s">
        <v>1</v>
      </c>
      <c r="I20" s="96" t="s">
        <v>1</v>
      </c>
      <c r="J20" s="96" t="s">
        <v>1</v>
      </c>
      <c r="K20" s="96" t="s">
        <v>1</v>
      </c>
      <c r="L20" s="100" t="str">
        <f t="shared" si="43"/>
        <v>Ecológicos</v>
      </c>
      <c r="M20" s="100" t="str">
        <f t="shared" si="44"/>
        <v>Ecossistemas</v>
      </c>
      <c r="N20" s="100" t="str">
        <f t="shared" si="45"/>
        <v>Conservação</v>
      </c>
      <c r="O20" s="100" t="str">
        <f t="shared" si="46"/>
        <v>Conservação Solos</v>
      </c>
      <c r="P20" s="100" t="s">
        <v>999</v>
      </c>
      <c r="Q20" s="100" t="s">
        <v>1000</v>
      </c>
      <c r="R20" s="23" t="s">
        <v>1456</v>
      </c>
      <c r="S20" s="111" t="s">
        <v>1</v>
      </c>
      <c r="T20" s="23" t="str">
        <f t="shared" si="47"/>
        <v>Ecológicos</v>
      </c>
      <c r="U20" s="23" t="str">
        <f t="shared" si="48"/>
        <v>Ecossistemas</v>
      </c>
      <c r="V20" s="23" t="str">
        <f t="shared" si="49"/>
        <v>Conservação</v>
      </c>
      <c r="W20" s="23" t="s">
        <v>1360</v>
      </c>
      <c r="X20" s="98" t="str">
        <f t="shared" si="14"/>
        <v>Key-PAISA-20</v>
      </c>
      <c r="Y20" s="110" t="s">
        <v>1</v>
      </c>
      <c r="Z20" s="110" t="s">
        <v>1</v>
      </c>
      <c r="AA20" s="110" t="s">
        <v>1</v>
      </c>
      <c r="AB20" s="110" t="s">
        <v>1</v>
      </c>
      <c r="AC20" s="23" t="s">
        <v>1256</v>
      </c>
      <c r="AD20" s="110" t="s">
        <v>1</v>
      </c>
    </row>
    <row r="21" spans="1:30" ht="6" customHeight="1" x14ac:dyDescent="0.25">
      <c r="A21" s="99">
        <v>21</v>
      </c>
      <c r="B21" s="107" t="s">
        <v>1413</v>
      </c>
      <c r="C21" s="52" t="s">
        <v>1419</v>
      </c>
      <c r="D21" s="52" t="s">
        <v>1420</v>
      </c>
      <c r="E21" s="52" t="s">
        <v>996</v>
      </c>
      <c r="F21" s="52" t="s">
        <v>964</v>
      </c>
      <c r="G21" s="96" t="s">
        <v>1</v>
      </c>
      <c r="H21" s="96" t="s">
        <v>1</v>
      </c>
      <c r="I21" s="96" t="s">
        <v>1</v>
      </c>
      <c r="J21" s="96" t="s">
        <v>1</v>
      </c>
      <c r="K21" s="96" t="s">
        <v>1</v>
      </c>
      <c r="L21" s="100" t="str">
        <f t="shared" si="43"/>
        <v>Ecológicos</v>
      </c>
      <c r="M21" s="100" t="str">
        <f t="shared" si="44"/>
        <v>Ecossistemas</v>
      </c>
      <c r="N21" s="100" t="str">
        <f t="shared" si="45"/>
        <v>Captura de CO2</v>
      </c>
      <c r="O21" s="100" t="str">
        <f t="shared" si="46"/>
        <v>Crédito de Carbono</v>
      </c>
      <c r="P21" s="100" t="s">
        <v>965</v>
      </c>
      <c r="Q21" s="100" t="s">
        <v>966</v>
      </c>
      <c r="R21" s="23" t="s">
        <v>1457</v>
      </c>
      <c r="S21" s="111" t="s">
        <v>1</v>
      </c>
      <c r="T21" s="23" t="str">
        <f t="shared" si="47"/>
        <v>Ecológicos</v>
      </c>
      <c r="U21" s="23" t="str">
        <f t="shared" si="48"/>
        <v>Ecossistemas</v>
      </c>
      <c r="V21" s="23" t="str">
        <f t="shared" si="49"/>
        <v>Captura de CO2</v>
      </c>
      <c r="W21" s="23" t="s">
        <v>1360</v>
      </c>
      <c r="X21" s="98" t="str">
        <f t="shared" si="14"/>
        <v>Key-PAISA-21</v>
      </c>
      <c r="Y21" s="110" t="s">
        <v>1</v>
      </c>
      <c r="Z21" s="110" t="s">
        <v>1</v>
      </c>
      <c r="AA21" s="110" t="s">
        <v>1</v>
      </c>
      <c r="AB21" s="110" t="s">
        <v>1</v>
      </c>
      <c r="AC21" s="23" t="s">
        <v>1260</v>
      </c>
      <c r="AD21" s="110" t="s">
        <v>1</v>
      </c>
    </row>
    <row r="22" spans="1:30" ht="6" customHeight="1" x14ac:dyDescent="0.25">
      <c r="A22" s="99">
        <v>22</v>
      </c>
      <c r="B22" s="107" t="s">
        <v>1413</v>
      </c>
      <c r="C22" s="52" t="s">
        <v>1419</v>
      </c>
      <c r="D22" s="52" t="s">
        <v>1420</v>
      </c>
      <c r="E22" s="52" t="s">
        <v>996</v>
      </c>
      <c r="F22" s="52" t="s">
        <v>976</v>
      </c>
      <c r="G22" s="96" t="s">
        <v>1</v>
      </c>
      <c r="H22" s="96" t="s">
        <v>1</v>
      </c>
      <c r="I22" s="96" t="s">
        <v>1</v>
      </c>
      <c r="J22" s="96" t="s">
        <v>1</v>
      </c>
      <c r="K22" s="96" t="s">
        <v>1</v>
      </c>
      <c r="L22" s="100" t="str">
        <f t="shared" si="36"/>
        <v>Ecológicos</v>
      </c>
      <c r="M22" s="100" t="str">
        <f t="shared" si="37"/>
        <v>Ecossistemas</v>
      </c>
      <c r="N22" s="100" t="str">
        <f t="shared" si="38"/>
        <v>Captura de CO2</v>
      </c>
      <c r="O22" s="100" t="str">
        <f t="shared" si="39"/>
        <v>Certificado de Carbono</v>
      </c>
      <c r="P22" s="100" t="s">
        <v>977</v>
      </c>
      <c r="Q22" s="100" t="s">
        <v>978</v>
      </c>
      <c r="R22" s="23" t="s">
        <v>1458</v>
      </c>
      <c r="S22" s="111" t="s">
        <v>1</v>
      </c>
      <c r="T22" s="23" t="str">
        <f t="shared" si="40"/>
        <v>Ecológicos</v>
      </c>
      <c r="U22" s="23" t="str">
        <f t="shared" si="41"/>
        <v>Ecossistemas</v>
      </c>
      <c r="V22" s="23" t="str">
        <f t="shared" si="42"/>
        <v>Captura de CO2</v>
      </c>
      <c r="W22" s="23" t="s">
        <v>1360</v>
      </c>
      <c r="X22" s="98" t="str">
        <f t="shared" si="14"/>
        <v>Key-PAISA-22</v>
      </c>
      <c r="Y22" s="110" t="s">
        <v>1</v>
      </c>
      <c r="Z22" s="110" t="s">
        <v>1</v>
      </c>
      <c r="AA22" s="110" t="s">
        <v>1</v>
      </c>
      <c r="AB22" s="110" t="s">
        <v>1</v>
      </c>
      <c r="AC22" s="23" t="s">
        <v>1260</v>
      </c>
      <c r="AD22" s="110" t="s">
        <v>1</v>
      </c>
    </row>
    <row r="23" spans="1:30" ht="6" customHeight="1" x14ac:dyDescent="0.25">
      <c r="A23" s="99">
        <v>23</v>
      </c>
      <c r="B23" s="107" t="s">
        <v>1413</v>
      </c>
      <c r="C23" s="52" t="s">
        <v>1357</v>
      </c>
      <c r="D23" s="52" t="s">
        <v>1277</v>
      </c>
      <c r="E23" s="52" t="s">
        <v>1133</v>
      </c>
      <c r="F23" s="52" t="s">
        <v>547</v>
      </c>
      <c r="G23" s="96" t="s">
        <v>1</v>
      </c>
      <c r="H23" s="96" t="s">
        <v>1</v>
      </c>
      <c r="I23" s="96" t="s">
        <v>1</v>
      </c>
      <c r="J23" s="96" t="s">
        <v>1</v>
      </c>
      <c r="K23" s="96" t="s">
        <v>1</v>
      </c>
      <c r="L23" s="100" t="str">
        <f t="shared" si="36"/>
        <v>Paisagísticos</v>
      </c>
      <c r="M23" s="100" t="str">
        <f t="shared" si="37"/>
        <v>Contexto da Paisagem</v>
      </c>
      <c r="N23" s="100" t="str">
        <f t="shared" si="38"/>
        <v>Tipos de Solo</v>
      </c>
      <c r="O23" s="100" t="str">
        <f t="shared" si="39"/>
        <v>Solo Arenoso</v>
      </c>
      <c r="P23" s="100" t="s">
        <v>558</v>
      </c>
      <c r="Q23" s="100" t="s">
        <v>561</v>
      </c>
      <c r="R23" s="23" t="s">
        <v>1459</v>
      </c>
      <c r="S23" s="111" t="s">
        <v>1</v>
      </c>
      <c r="T23" s="23" t="str">
        <f t="shared" si="40"/>
        <v>Paisagísticos</v>
      </c>
      <c r="U23" s="23" t="str">
        <f t="shared" si="41"/>
        <v>Contexto da Paisagem</v>
      </c>
      <c r="V23" s="23" t="str">
        <f t="shared" si="42"/>
        <v>Tipos de Solo</v>
      </c>
      <c r="W23" s="23" t="s">
        <v>1360</v>
      </c>
      <c r="X23" s="98" t="str">
        <f t="shared" si="14"/>
        <v>Key-PAISA-23</v>
      </c>
      <c r="Y23" s="23" t="s">
        <v>1257</v>
      </c>
      <c r="Z23" s="110" t="s">
        <v>1</v>
      </c>
      <c r="AA23" s="23" t="s">
        <v>1258</v>
      </c>
      <c r="AB23" s="110" t="s">
        <v>1</v>
      </c>
      <c r="AC23" s="23" t="s">
        <v>1255</v>
      </c>
      <c r="AD23" s="110" t="s">
        <v>1</v>
      </c>
    </row>
    <row r="24" spans="1:30" ht="6" customHeight="1" x14ac:dyDescent="0.25">
      <c r="A24" s="99">
        <v>24</v>
      </c>
      <c r="B24" s="107" t="s">
        <v>1413</v>
      </c>
      <c r="C24" s="52" t="s">
        <v>1357</v>
      </c>
      <c r="D24" s="52" t="s">
        <v>1277</v>
      </c>
      <c r="E24" s="52" t="s">
        <v>1133</v>
      </c>
      <c r="F24" s="52" t="s">
        <v>546</v>
      </c>
      <c r="G24" s="96" t="s">
        <v>1</v>
      </c>
      <c r="H24" s="96" t="s">
        <v>1</v>
      </c>
      <c r="I24" s="96" t="s">
        <v>1</v>
      </c>
      <c r="J24" s="96" t="s">
        <v>1</v>
      </c>
      <c r="K24" s="96" t="s">
        <v>1</v>
      </c>
      <c r="L24" s="100" t="str">
        <f t="shared" si="36"/>
        <v>Paisagísticos</v>
      </c>
      <c r="M24" s="100" t="str">
        <f t="shared" si="37"/>
        <v>Contexto da Paisagem</v>
      </c>
      <c r="N24" s="100" t="str">
        <f t="shared" si="38"/>
        <v>Tipos de Solo</v>
      </c>
      <c r="O24" s="100" t="str">
        <f t="shared" si="39"/>
        <v>Solo Argiloso</v>
      </c>
      <c r="P24" s="100" t="s">
        <v>559</v>
      </c>
      <c r="Q24" s="100" t="s">
        <v>562</v>
      </c>
      <c r="R24" s="23" t="s">
        <v>1460</v>
      </c>
      <c r="S24" s="111" t="s">
        <v>1</v>
      </c>
      <c r="T24" s="23" t="str">
        <f t="shared" si="40"/>
        <v>Paisagísticos</v>
      </c>
      <c r="U24" s="23" t="str">
        <f t="shared" si="41"/>
        <v>Contexto da Paisagem</v>
      </c>
      <c r="V24" s="23" t="str">
        <f t="shared" si="42"/>
        <v>Tipos de Solo</v>
      </c>
      <c r="W24" s="23" t="s">
        <v>1360</v>
      </c>
      <c r="X24" s="98" t="str">
        <f t="shared" si="14"/>
        <v>Key-PAISA-24</v>
      </c>
      <c r="Y24" s="23" t="s">
        <v>1257</v>
      </c>
      <c r="Z24" s="110" t="s">
        <v>1</v>
      </c>
      <c r="AA24" s="23" t="s">
        <v>1258</v>
      </c>
      <c r="AB24" s="110" t="s">
        <v>1</v>
      </c>
      <c r="AC24" s="23" t="s">
        <v>1255</v>
      </c>
      <c r="AD24" s="110" t="s">
        <v>1</v>
      </c>
    </row>
    <row r="25" spans="1:30" ht="6" customHeight="1" x14ac:dyDescent="0.25">
      <c r="A25" s="99">
        <v>25</v>
      </c>
      <c r="B25" s="107" t="s">
        <v>1413</v>
      </c>
      <c r="C25" s="52" t="s">
        <v>1357</v>
      </c>
      <c r="D25" s="52" t="s">
        <v>1277</v>
      </c>
      <c r="E25" s="52" t="s">
        <v>1133</v>
      </c>
      <c r="F25" s="52" t="s">
        <v>552</v>
      </c>
      <c r="G25" s="96" t="s">
        <v>1</v>
      </c>
      <c r="H25" s="96" t="s">
        <v>1</v>
      </c>
      <c r="I25" s="96" t="s">
        <v>1</v>
      </c>
      <c r="J25" s="96" t="s">
        <v>1</v>
      </c>
      <c r="K25" s="96" t="s">
        <v>1</v>
      </c>
      <c r="L25" s="100" t="str">
        <f t="shared" ref="L25:L27" si="57">_xlfn.CONCAT(SUBSTITUTE(C25,"1.",""))</f>
        <v>Paisagísticos</v>
      </c>
      <c r="M25" s="100" t="str">
        <f t="shared" ref="M25:M27" si="58">_xlfn.CONCAT(SUBSTITUTE(D25,"."," "))</f>
        <v>Contexto da Paisagem</v>
      </c>
      <c r="N25" s="100" t="str">
        <f t="shared" ref="N25:N27" si="59">_xlfn.CONCAT(SUBSTITUTE(E25,"."," "))</f>
        <v>Tipos de Solo</v>
      </c>
      <c r="O25" s="100" t="str">
        <f t="shared" ref="O25:O27" si="60">_xlfn.CONCAT(SUBSTITUTE(F25,"."," "))</f>
        <v>Solo Compacto</v>
      </c>
      <c r="P25" s="100" t="s">
        <v>560</v>
      </c>
      <c r="Q25" s="100" t="s">
        <v>563</v>
      </c>
      <c r="R25" s="23" t="s">
        <v>1461</v>
      </c>
      <c r="S25" s="111" t="s">
        <v>1</v>
      </c>
      <c r="T25" s="23" t="str">
        <f t="shared" ref="T25:T27" si="61">SUBSTITUTE(C25, ".", " ")</f>
        <v>Paisagísticos</v>
      </c>
      <c r="U25" s="23" t="str">
        <f t="shared" ref="U25:U27" si="62">SUBSTITUTE(D25, ".", " ")</f>
        <v>Contexto da Paisagem</v>
      </c>
      <c r="V25" s="23" t="str">
        <f t="shared" ref="V25:V27" si="63">SUBSTITUTE(E25, ".", " ")</f>
        <v>Tipos de Solo</v>
      </c>
      <c r="W25" s="23" t="s">
        <v>1360</v>
      </c>
      <c r="X25" s="98" t="str">
        <f t="shared" si="14"/>
        <v>Key-PAISA-25</v>
      </c>
      <c r="Y25" s="23" t="s">
        <v>1257</v>
      </c>
      <c r="Z25" s="110" t="s">
        <v>1</v>
      </c>
      <c r="AA25" s="23" t="s">
        <v>1258</v>
      </c>
      <c r="AB25" s="110" t="s">
        <v>1</v>
      </c>
      <c r="AC25" s="23" t="s">
        <v>1259</v>
      </c>
      <c r="AD25" s="110" t="s">
        <v>1</v>
      </c>
    </row>
    <row r="26" spans="1:30" ht="6" customHeight="1" x14ac:dyDescent="0.25">
      <c r="A26" s="99">
        <v>26</v>
      </c>
      <c r="B26" s="107" t="s">
        <v>1413</v>
      </c>
      <c r="C26" s="52" t="s">
        <v>1357</v>
      </c>
      <c r="D26" s="52" t="s">
        <v>1277</v>
      </c>
      <c r="E26" s="52" t="s">
        <v>1132</v>
      </c>
      <c r="F26" s="52" t="s">
        <v>548</v>
      </c>
      <c r="G26" s="96" t="s">
        <v>1</v>
      </c>
      <c r="H26" s="96" t="s">
        <v>1</v>
      </c>
      <c r="I26" s="96" t="s">
        <v>1</v>
      </c>
      <c r="J26" s="96" t="s">
        <v>1</v>
      </c>
      <c r="K26" s="96" t="s">
        <v>1</v>
      </c>
      <c r="L26" s="100" t="str">
        <f t="shared" si="57"/>
        <v>Paisagísticos</v>
      </c>
      <c r="M26" s="100" t="str">
        <f t="shared" si="58"/>
        <v>Contexto da Paisagem</v>
      </c>
      <c r="N26" s="100" t="str">
        <f t="shared" si="59"/>
        <v>Exposição Solar</v>
      </c>
      <c r="O26" s="100" t="str">
        <f t="shared" si="60"/>
        <v>Sol Pleno</v>
      </c>
      <c r="P26" s="100" t="s">
        <v>556</v>
      </c>
      <c r="Q26" s="100" t="s">
        <v>564</v>
      </c>
      <c r="R26" s="23" t="s">
        <v>1462</v>
      </c>
      <c r="S26" s="111" t="s">
        <v>1</v>
      </c>
      <c r="T26" s="23" t="str">
        <f t="shared" si="61"/>
        <v>Paisagísticos</v>
      </c>
      <c r="U26" s="23" t="str">
        <f t="shared" si="62"/>
        <v>Contexto da Paisagem</v>
      </c>
      <c r="V26" s="23" t="str">
        <f t="shared" si="63"/>
        <v>Exposição Solar</v>
      </c>
      <c r="W26" s="23" t="s">
        <v>1360</v>
      </c>
      <c r="X26" s="98" t="str">
        <f t="shared" si="14"/>
        <v>Key-PAISA-26</v>
      </c>
      <c r="Y26" s="110" t="s">
        <v>1</v>
      </c>
      <c r="Z26" s="110" t="s">
        <v>1</v>
      </c>
      <c r="AA26" s="23" t="s">
        <v>1</v>
      </c>
      <c r="AB26" s="110" t="s">
        <v>1</v>
      </c>
      <c r="AC26" s="23" t="s">
        <v>1260</v>
      </c>
      <c r="AD26" s="110" t="s">
        <v>1</v>
      </c>
    </row>
    <row r="27" spans="1:30" ht="6" customHeight="1" x14ac:dyDescent="0.25">
      <c r="A27" s="99">
        <v>27</v>
      </c>
      <c r="B27" s="107" t="s">
        <v>1413</v>
      </c>
      <c r="C27" s="52" t="s">
        <v>1357</v>
      </c>
      <c r="D27" s="52" t="s">
        <v>1277</v>
      </c>
      <c r="E27" s="52" t="s">
        <v>1132</v>
      </c>
      <c r="F27" s="52" t="s">
        <v>549</v>
      </c>
      <c r="G27" s="96" t="s">
        <v>1</v>
      </c>
      <c r="H27" s="96" t="s">
        <v>1</v>
      </c>
      <c r="I27" s="96" t="s">
        <v>1</v>
      </c>
      <c r="J27" s="96" t="s">
        <v>1</v>
      </c>
      <c r="K27" s="96" t="s">
        <v>1</v>
      </c>
      <c r="L27" s="100" t="str">
        <f t="shared" si="57"/>
        <v>Paisagísticos</v>
      </c>
      <c r="M27" s="100" t="str">
        <f t="shared" si="58"/>
        <v>Contexto da Paisagem</v>
      </c>
      <c r="N27" s="100" t="str">
        <f t="shared" si="59"/>
        <v>Exposição Solar</v>
      </c>
      <c r="O27" s="100" t="str">
        <f t="shared" si="60"/>
        <v>Sol Parcial</v>
      </c>
      <c r="P27" s="100" t="s">
        <v>557</v>
      </c>
      <c r="Q27" s="100" t="s">
        <v>565</v>
      </c>
      <c r="R27" s="23" t="s">
        <v>1463</v>
      </c>
      <c r="S27" s="111" t="s">
        <v>1</v>
      </c>
      <c r="T27" s="23" t="str">
        <f t="shared" si="61"/>
        <v>Paisagísticos</v>
      </c>
      <c r="U27" s="23" t="str">
        <f t="shared" si="62"/>
        <v>Contexto da Paisagem</v>
      </c>
      <c r="V27" s="23" t="str">
        <f t="shared" si="63"/>
        <v>Exposição Solar</v>
      </c>
      <c r="W27" s="23" t="s">
        <v>1360</v>
      </c>
      <c r="X27" s="98" t="str">
        <f t="shared" si="14"/>
        <v>Key-PAISA-27</v>
      </c>
      <c r="Y27" s="110" t="s">
        <v>1</v>
      </c>
      <c r="Z27" s="110" t="s">
        <v>1</v>
      </c>
      <c r="AA27" s="23" t="s">
        <v>1</v>
      </c>
      <c r="AB27" s="110" t="s">
        <v>1</v>
      </c>
      <c r="AC27" s="23" t="s">
        <v>1260</v>
      </c>
      <c r="AD27" s="110" t="s">
        <v>1</v>
      </c>
    </row>
    <row r="28" spans="1:30" ht="6" customHeight="1" x14ac:dyDescent="0.25">
      <c r="A28" s="99">
        <v>28</v>
      </c>
      <c r="B28" s="107" t="s">
        <v>1413</v>
      </c>
      <c r="C28" s="52" t="s">
        <v>1357</v>
      </c>
      <c r="D28" s="52" t="s">
        <v>1277</v>
      </c>
      <c r="E28" s="52" t="s">
        <v>1132</v>
      </c>
      <c r="F28" s="52" t="s">
        <v>1134</v>
      </c>
      <c r="G28" s="96" t="s">
        <v>1</v>
      </c>
      <c r="H28" s="96" t="s">
        <v>1</v>
      </c>
      <c r="I28" s="96" t="s">
        <v>1</v>
      </c>
      <c r="J28" s="96" t="s">
        <v>1</v>
      </c>
      <c r="K28" s="96" t="s">
        <v>1</v>
      </c>
      <c r="L28" s="100" t="str">
        <f t="shared" ref="L28:L73" si="64">_xlfn.CONCAT(SUBSTITUTE(C28,"1.",""))</f>
        <v>Paisagísticos</v>
      </c>
      <c r="M28" s="100" t="str">
        <f t="shared" ref="M28:M73" si="65">_xlfn.CONCAT(SUBSTITUTE(D28,"."," "))</f>
        <v>Contexto da Paisagem</v>
      </c>
      <c r="N28" s="100" t="str">
        <f t="shared" ref="N28:N73" si="66">_xlfn.CONCAT(SUBSTITUTE(E28,"."," "))</f>
        <v>Exposição Solar</v>
      </c>
      <c r="O28" s="100" t="str">
        <f t="shared" ref="O28:O73" si="67">_xlfn.CONCAT(SUBSTITUTE(F28,"."," "))</f>
        <v>Em Sombra</v>
      </c>
      <c r="P28" s="100" t="s">
        <v>555</v>
      </c>
      <c r="Q28" s="100" t="s">
        <v>566</v>
      </c>
      <c r="R28" s="23" t="s">
        <v>1464</v>
      </c>
      <c r="S28" s="111" t="s">
        <v>1</v>
      </c>
      <c r="T28" s="23" t="str">
        <f t="shared" ref="T28:V73" si="68">SUBSTITUTE(C28, ".", " ")</f>
        <v>Paisagísticos</v>
      </c>
      <c r="U28" s="23" t="str">
        <f t="shared" ref="U28:U73" si="69">SUBSTITUTE(D28, ".", " ")</f>
        <v>Contexto da Paisagem</v>
      </c>
      <c r="V28" s="23" t="str">
        <f t="shared" ref="V28:V73" si="70">SUBSTITUTE(E28, ".", " ")</f>
        <v>Exposição Solar</v>
      </c>
      <c r="W28" s="23" t="s">
        <v>1360</v>
      </c>
      <c r="X28" s="98" t="str">
        <f t="shared" si="14"/>
        <v>Key-PAISA-28</v>
      </c>
      <c r="Y28" s="110" t="s">
        <v>1</v>
      </c>
      <c r="Z28" s="110" t="s">
        <v>1</v>
      </c>
      <c r="AA28" s="23" t="s">
        <v>1</v>
      </c>
      <c r="AB28" s="110" t="s">
        <v>1</v>
      </c>
      <c r="AC28" s="23" t="s">
        <v>1260</v>
      </c>
      <c r="AD28" s="110" t="s">
        <v>1</v>
      </c>
    </row>
    <row r="29" spans="1:30" ht="6" customHeight="1" x14ac:dyDescent="0.25">
      <c r="A29" s="99">
        <v>29</v>
      </c>
      <c r="B29" s="107" t="s">
        <v>1413</v>
      </c>
      <c r="C29" s="52" t="s">
        <v>1357</v>
      </c>
      <c r="D29" s="52" t="s">
        <v>1432</v>
      </c>
      <c r="E29" s="52" t="s">
        <v>1428</v>
      </c>
      <c r="F29" s="52" t="s">
        <v>1358</v>
      </c>
      <c r="G29" s="106" t="s">
        <v>1</v>
      </c>
      <c r="H29" s="106" t="s">
        <v>1</v>
      </c>
      <c r="I29" s="106" t="s">
        <v>1</v>
      </c>
      <c r="J29" s="106" t="s">
        <v>1</v>
      </c>
      <c r="K29" s="106" t="s">
        <v>1</v>
      </c>
      <c r="L29" s="100" t="str">
        <f t="shared" si="64"/>
        <v>Paisagísticos</v>
      </c>
      <c r="M29" s="100" t="str">
        <f t="shared" si="65"/>
        <v>Urbanísticos</v>
      </c>
      <c r="N29" s="100" t="str">
        <f t="shared" si="66"/>
        <v>Urbanos Azuis</v>
      </c>
      <c r="O29" s="100" t="str">
        <f t="shared" si="67"/>
        <v>Água Canal</v>
      </c>
      <c r="P29" s="100" t="s">
        <v>1359</v>
      </c>
      <c r="Q29" s="23" t="str">
        <f t="shared" ref="Q29:Q48" si="71">_xlfn.TRANSLATE(P29,"pt","es")</f>
        <v>Elemento de paisaje urbano azul como ríos, lagos, canales, embalses, sistemas de drenaje sostenibles: es un canal de agua urbano.</v>
      </c>
      <c r="R29" s="23" t="s">
        <v>1465</v>
      </c>
      <c r="S29" s="111" t="s">
        <v>1</v>
      </c>
      <c r="T29" s="23" t="str">
        <f t="shared" si="68"/>
        <v>Paisagísticos</v>
      </c>
      <c r="U29" s="23" t="str">
        <f t="shared" si="68"/>
        <v>Urbanísticos</v>
      </c>
      <c r="V29" s="23" t="str">
        <f t="shared" si="68"/>
        <v>Urbanos Azuis</v>
      </c>
      <c r="W29" s="23" t="s">
        <v>1360</v>
      </c>
      <c r="X29" s="98" t="str">
        <f t="shared" si="14"/>
        <v>Key-PAISA-29</v>
      </c>
      <c r="Y29" s="23" t="s">
        <v>1361</v>
      </c>
      <c r="Z29" s="110" t="s">
        <v>1</v>
      </c>
      <c r="AA29" s="23" t="s">
        <v>1362</v>
      </c>
      <c r="AB29" s="110" t="s">
        <v>1</v>
      </c>
      <c r="AC29" s="101" t="s">
        <v>1363</v>
      </c>
      <c r="AD29" s="110" t="s">
        <v>1</v>
      </c>
    </row>
    <row r="30" spans="1:30" ht="6" customHeight="1" x14ac:dyDescent="0.25">
      <c r="A30" s="99">
        <v>30</v>
      </c>
      <c r="B30" s="107" t="s">
        <v>1413</v>
      </c>
      <c r="C30" s="52" t="s">
        <v>1357</v>
      </c>
      <c r="D30" s="52" t="s">
        <v>1432</v>
      </c>
      <c r="E30" s="52" t="s">
        <v>1428</v>
      </c>
      <c r="F30" s="52" t="s">
        <v>1364</v>
      </c>
      <c r="G30" s="106" t="s">
        <v>1</v>
      </c>
      <c r="H30" s="106" t="s">
        <v>1</v>
      </c>
      <c r="I30" s="106" t="s">
        <v>1</v>
      </c>
      <c r="J30" s="106" t="s">
        <v>1</v>
      </c>
      <c r="K30" s="106" t="s">
        <v>1</v>
      </c>
      <c r="L30" s="100" t="str">
        <f t="shared" si="64"/>
        <v>Paisagísticos</v>
      </c>
      <c r="M30" s="100" t="str">
        <f t="shared" si="65"/>
        <v>Urbanísticos</v>
      </c>
      <c r="N30" s="100" t="str">
        <f t="shared" si="66"/>
        <v>Urbanos Azuis</v>
      </c>
      <c r="O30" s="100" t="str">
        <f t="shared" si="67"/>
        <v>Água Corpo</v>
      </c>
      <c r="P30" s="100" t="s">
        <v>1365</v>
      </c>
      <c r="Q30" s="23" t="str">
        <f t="shared" si="71"/>
        <v>Elementos de paisaje urbano azul como ríos, lagos, canales, embalses, sistemas de drenaje sostenibles: es un cuerpo de agua urbano.</v>
      </c>
      <c r="R30" s="23" t="s">
        <v>1466</v>
      </c>
      <c r="S30" s="111" t="s">
        <v>1</v>
      </c>
      <c r="T30" s="23" t="str">
        <f t="shared" si="68"/>
        <v>Paisagísticos</v>
      </c>
      <c r="U30" s="23" t="str">
        <f t="shared" si="68"/>
        <v>Urbanísticos</v>
      </c>
      <c r="V30" s="23" t="str">
        <f t="shared" si="68"/>
        <v>Urbanos Azuis</v>
      </c>
      <c r="W30" s="23" t="s">
        <v>1360</v>
      </c>
      <c r="X30" s="98" t="str">
        <f t="shared" si="14"/>
        <v>Key-PAISA-30</v>
      </c>
      <c r="Y30" s="23" t="s">
        <v>1361</v>
      </c>
      <c r="Z30" s="110" t="s">
        <v>1</v>
      </c>
      <c r="AA30" s="23" t="s">
        <v>1362</v>
      </c>
      <c r="AB30" s="110" t="s">
        <v>1</v>
      </c>
      <c r="AC30" s="101" t="s">
        <v>1363</v>
      </c>
      <c r="AD30" s="110" t="s">
        <v>1</v>
      </c>
    </row>
    <row r="31" spans="1:30" ht="6" customHeight="1" x14ac:dyDescent="0.25">
      <c r="A31" s="99">
        <v>31</v>
      </c>
      <c r="B31" s="107" t="s">
        <v>1413</v>
      </c>
      <c r="C31" s="52" t="s">
        <v>1357</v>
      </c>
      <c r="D31" s="52" t="s">
        <v>1432</v>
      </c>
      <c r="E31" s="52" t="s">
        <v>1428</v>
      </c>
      <c r="F31" s="52" t="s">
        <v>1366</v>
      </c>
      <c r="G31" s="106" t="s">
        <v>1</v>
      </c>
      <c r="H31" s="106" t="s">
        <v>1</v>
      </c>
      <c r="I31" s="106" t="s">
        <v>1</v>
      </c>
      <c r="J31" s="106" t="s">
        <v>1</v>
      </c>
      <c r="K31" s="106" t="s">
        <v>1</v>
      </c>
      <c r="L31" s="100" t="str">
        <f t="shared" si="64"/>
        <v>Paisagísticos</v>
      </c>
      <c r="M31" s="100" t="str">
        <f t="shared" si="65"/>
        <v>Urbanísticos</v>
      </c>
      <c r="N31" s="100" t="str">
        <f t="shared" si="66"/>
        <v>Urbanos Azuis</v>
      </c>
      <c r="O31" s="100" t="str">
        <f t="shared" si="67"/>
        <v>Água Fonte</v>
      </c>
      <c r="P31" s="100" t="s">
        <v>1367</v>
      </c>
      <c r="Q31" s="23" t="str">
        <f t="shared" si="71"/>
        <v>Elementos azules del paisaje urbano como ríos, lagos, canales, embalses, sistemas de drenaje sostenibles: es una fuente ornamental.</v>
      </c>
      <c r="R31" s="23" t="s">
        <v>1467</v>
      </c>
      <c r="S31" s="111" t="s">
        <v>1</v>
      </c>
      <c r="T31" s="23" t="str">
        <f t="shared" si="68"/>
        <v>Paisagísticos</v>
      </c>
      <c r="U31" s="23" t="str">
        <f t="shared" si="68"/>
        <v>Urbanísticos</v>
      </c>
      <c r="V31" s="23" t="str">
        <f t="shared" si="68"/>
        <v>Urbanos Azuis</v>
      </c>
      <c r="W31" s="23" t="s">
        <v>1360</v>
      </c>
      <c r="X31" s="98" t="str">
        <f t="shared" si="14"/>
        <v>Key-PAISA-31</v>
      </c>
      <c r="Y31" s="23" t="s">
        <v>1361</v>
      </c>
      <c r="Z31" s="110" t="s">
        <v>1</v>
      </c>
      <c r="AA31" s="23" t="s">
        <v>1362</v>
      </c>
      <c r="AB31" s="110" t="s">
        <v>1</v>
      </c>
      <c r="AC31" s="101" t="s">
        <v>1363</v>
      </c>
      <c r="AD31" s="110" t="s">
        <v>1</v>
      </c>
    </row>
    <row r="32" spans="1:30" ht="6" customHeight="1" x14ac:dyDescent="0.25">
      <c r="A32" s="99">
        <v>32</v>
      </c>
      <c r="B32" s="107" t="s">
        <v>1413</v>
      </c>
      <c r="C32" s="52" t="s">
        <v>1357</v>
      </c>
      <c r="D32" s="52" t="s">
        <v>1432</v>
      </c>
      <c r="E32" s="52" t="s">
        <v>1429</v>
      </c>
      <c r="F32" s="52" t="s">
        <v>1368</v>
      </c>
      <c r="G32" s="106" t="s">
        <v>1</v>
      </c>
      <c r="H32" s="106" t="s">
        <v>1</v>
      </c>
      <c r="I32" s="106" t="s">
        <v>1</v>
      </c>
      <c r="J32" s="106" t="s">
        <v>1</v>
      </c>
      <c r="K32" s="106" t="s">
        <v>1</v>
      </c>
      <c r="L32" s="100" t="str">
        <f t="shared" si="64"/>
        <v>Paisagísticos</v>
      </c>
      <c r="M32" s="100" t="str">
        <f t="shared" si="65"/>
        <v>Urbanísticos</v>
      </c>
      <c r="N32" s="100" t="str">
        <f t="shared" si="66"/>
        <v>Urbanos Verdes</v>
      </c>
      <c r="O32" s="100" t="str">
        <f t="shared" si="67"/>
        <v>Planta Arbusto</v>
      </c>
      <c r="P32" s="100" t="s">
        <v>1369</v>
      </c>
      <c r="Q32" s="23" t="str">
        <f t="shared" si="71"/>
        <v>Un elemento de paisajismo urbano verde, asociado a parques urbanos, corredores ecológicos, árboles de calles, tejados verdes. Es un arbusto.</v>
      </c>
      <c r="R32" s="23" t="s">
        <v>1468</v>
      </c>
      <c r="S32" s="111" t="s">
        <v>1</v>
      </c>
      <c r="T32" s="23" t="str">
        <f t="shared" si="68"/>
        <v>Paisagísticos</v>
      </c>
      <c r="U32" s="23" t="str">
        <f t="shared" si="68"/>
        <v>Urbanísticos</v>
      </c>
      <c r="V32" s="23" t="str">
        <f t="shared" si="68"/>
        <v>Urbanos Verdes</v>
      </c>
      <c r="W32" s="23" t="s">
        <v>1360</v>
      </c>
      <c r="X32" s="98" t="str">
        <f t="shared" si="14"/>
        <v>Key-PAISA-32</v>
      </c>
      <c r="Y32" s="23" t="s">
        <v>1370</v>
      </c>
      <c r="Z32" s="110" t="s">
        <v>1</v>
      </c>
      <c r="AA32" s="23" t="s">
        <v>1362</v>
      </c>
      <c r="AB32" s="110" t="s">
        <v>1</v>
      </c>
      <c r="AC32" s="101" t="s">
        <v>1371</v>
      </c>
      <c r="AD32" s="110" t="s">
        <v>1</v>
      </c>
    </row>
    <row r="33" spans="1:30" ht="6" customHeight="1" x14ac:dyDescent="0.25">
      <c r="A33" s="99">
        <v>33</v>
      </c>
      <c r="B33" s="107" t="s">
        <v>1413</v>
      </c>
      <c r="C33" s="52" t="s">
        <v>1357</v>
      </c>
      <c r="D33" s="52" t="s">
        <v>1432</v>
      </c>
      <c r="E33" s="52" t="s">
        <v>1429</v>
      </c>
      <c r="F33" s="52" t="s">
        <v>1372</v>
      </c>
      <c r="G33" s="106" t="s">
        <v>1</v>
      </c>
      <c r="H33" s="106" t="s">
        <v>1</v>
      </c>
      <c r="I33" s="106" t="s">
        <v>1</v>
      </c>
      <c r="J33" s="106" t="s">
        <v>1</v>
      </c>
      <c r="K33" s="106" t="s">
        <v>1</v>
      </c>
      <c r="L33" s="100" t="str">
        <f t="shared" si="64"/>
        <v>Paisagísticos</v>
      </c>
      <c r="M33" s="100" t="str">
        <f t="shared" si="65"/>
        <v>Urbanísticos</v>
      </c>
      <c r="N33" s="100" t="str">
        <f t="shared" si="66"/>
        <v>Urbanos Verdes</v>
      </c>
      <c r="O33" s="100" t="str">
        <f t="shared" si="67"/>
        <v>Planta Árvore</v>
      </c>
      <c r="P33" s="100" t="s">
        <v>1373</v>
      </c>
      <c r="Q33" s="23" t="str">
        <f t="shared" si="71"/>
        <v>Un elemento de paisajismo urbano verde, asociado a parques urbanos, corredores ecológicos, árboles de calles, tejados verdes. Es un árbol.</v>
      </c>
      <c r="R33" s="23" t="s">
        <v>1469</v>
      </c>
      <c r="S33" s="111" t="s">
        <v>1</v>
      </c>
      <c r="T33" s="23" t="str">
        <f t="shared" si="68"/>
        <v>Paisagísticos</v>
      </c>
      <c r="U33" s="23" t="str">
        <f t="shared" si="68"/>
        <v>Urbanísticos</v>
      </c>
      <c r="V33" s="23" t="str">
        <f t="shared" si="68"/>
        <v>Urbanos Verdes</v>
      </c>
      <c r="W33" s="23" t="s">
        <v>1360</v>
      </c>
      <c r="X33" s="98" t="str">
        <f t="shared" si="14"/>
        <v>Key-PAISA-33</v>
      </c>
      <c r="Y33" s="23" t="s">
        <v>1370</v>
      </c>
      <c r="Z33" s="110" t="s">
        <v>1</v>
      </c>
      <c r="AA33" s="23" t="s">
        <v>1362</v>
      </c>
      <c r="AB33" s="110" t="s">
        <v>1</v>
      </c>
      <c r="AC33" s="101" t="s">
        <v>1371</v>
      </c>
      <c r="AD33" s="110" t="s">
        <v>1</v>
      </c>
    </row>
    <row r="34" spans="1:30" ht="6" customHeight="1" x14ac:dyDescent="0.25">
      <c r="A34" s="99">
        <v>34</v>
      </c>
      <c r="B34" s="107" t="s">
        <v>1413</v>
      </c>
      <c r="C34" s="52" t="s">
        <v>1357</v>
      </c>
      <c r="D34" s="52" t="s">
        <v>1432</v>
      </c>
      <c r="E34" s="52" t="s">
        <v>1429</v>
      </c>
      <c r="F34" s="52" t="s">
        <v>1374</v>
      </c>
      <c r="G34" s="106" t="s">
        <v>1</v>
      </c>
      <c r="H34" s="106" t="s">
        <v>1</v>
      </c>
      <c r="I34" s="106" t="s">
        <v>1</v>
      </c>
      <c r="J34" s="106" t="s">
        <v>1</v>
      </c>
      <c r="K34" s="106" t="s">
        <v>1</v>
      </c>
      <c r="L34" s="100" t="str">
        <f t="shared" si="64"/>
        <v>Paisagísticos</v>
      </c>
      <c r="M34" s="100" t="str">
        <f t="shared" si="65"/>
        <v>Urbanísticos</v>
      </c>
      <c r="N34" s="100" t="str">
        <f t="shared" si="66"/>
        <v>Urbanos Verdes</v>
      </c>
      <c r="O34" s="100" t="str">
        <f t="shared" si="67"/>
        <v>Planta Palmeira</v>
      </c>
      <c r="P34" s="100" t="s">
        <v>1375</v>
      </c>
      <c r="Q34" s="23" t="str">
        <f t="shared" si="71"/>
        <v>Un elemento de paisajismo urbano verde, asociado a parques urbanos, corredores ecológicos, árboles de calles, tejados verdes. Es una palmera.</v>
      </c>
      <c r="R34" s="23" t="s">
        <v>1470</v>
      </c>
      <c r="S34" s="111" t="s">
        <v>1</v>
      </c>
      <c r="T34" s="23" t="str">
        <f t="shared" si="68"/>
        <v>Paisagísticos</v>
      </c>
      <c r="U34" s="23" t="str">
        <f t="shared" si="68"/>
        <v>Urbanísticos</v>
      </c>
      <c r="V34" s="23" t="str">
        <f t="shared" si="68"/>
        <v>Urbanos Verdes</v>
      </c>
      <c r="W34" s="23" t="s">
        <v>1360</v>
      </c>
      <c r="X34" s="98" t="str">
        <f t="shared" si="14"/>
        <v>Key-PAISA-34</v>
      </c>
      <c r="Y34" s="23" t="s">
        <v>1370</v>
      </c>
      <c r="Z34" s="110" t="s">
        <v>1</v>
      </c>
      <c r="AA34" s="23" t="s">
        <v>1362</v>
      </c>
      <c r="AB34" s="110" t="s">
        <v>1</v>
      </c>
      <c r="AC34" s="101" t="s">
        <v>1371</v>
      </c>
      <c r="AD34" s="110" t="s">
        <v>1</v>
      </c>
    </row>
    <row r="35" spans="1:30" ht="6" customHeight="1" x14ac:dyDescent="0.25">
      <c r="A35" s="99">
        <v>35</v>
      </c>
      <c r="B35" s="107" t="s">
        <v>1413</v>
      </c>
      <c r="C35" s="52" t="s">
        <v>1357</v>
      </c>
      <c r="D35" s="52" t="s">
        <v>1432</v>
      </c>
      <c r="E35" s="52" t="s">
        <v>1429</v>
      </c>
      <c r="F35" s="52" t="s">
        <v>1376</v>
      </c>
      <c r="G35" s="106" t="s">
        <v>1</v>
      </c>
      <c r="H35" s="106" t="s">
        <v>1</v>
      </c>
      <c r="I35" s="106" t="s">
        <v>1</v>
      </c>
      <c r="J35" s="106" t="s">
        <v>1</v>
      </c>
      <c r="K35" s="106" t="s">
        <v>1</v>
      </c>
      <c r="L35" s="100" t="str">
        <f t="shared" si="64"/>
        <v>Paisagísticos</v>
      </c>
      <c r="M35" s="100" t="str">
        <f t="shared" si="65"/>
        <v>Urbanísticos</v>
      </c>
      <c r="N35" s="100" t="str">
        <f t="shared" si="66"/>
        <v>Urbanos Verdes</v>
      </c>
      <c r="O35" s="100" t="str">
        <f t="shared" si="67"/>
        <v>Planta Arboreo</v>
      </c>
      <c r="P35" s="100" t="s">
        <v>1377</v>
      </c>
      <c r="Q35" s="23" t="str">
        <f t="shared" si="71"/>
        <v>Un elemento de paisajismo urbano verde, asociado a parques urbanos, corredores ecológicos, árboles de calles, tejados verdes. Es un bosque arbóreo.</v>
      </c>
      <c r="R35" s="23" t="s">
        <v>1471</v>
      </c>
      <c r="S35" s="111" t="s">
        <v>1</v>
      </c>
      <c r="T35" s="23" t="str">
        <f t="shared" si="68"/>
        <v>Paisagísticos</v>
      </c>
      <c r="U35" s="23" t="str">
        <f t="shared" si="68"/>
        <v>Urbanísticos</v>
      </c>
      <c r="V35" s="23" t="str">
        <f t="shared" si="68"/>
        <v>Urbanos Verdes</v>
      </c>
      <c r="W35" s="23" t="s">
        <v>1360</v>
      </c>
      <c r="X35" s="98" t="str">
        <f t="shared" si="14"/>
        <v>Key-PAISA-35</v>
      </c>
      <c r="Y35" s="23" t="s">
        <v>1370</v>
      </c>
      <c r="Z35" s="110" t="s">
        <v>1</v>
      </c>
      <c r="AA35" s="23" t="s">
        <v>1362</v>
      </c>
      <c r="AB35" s="110" t="s">
        <v>1</v>
      </c>
      <c r="AC35" s="101" t="s">
        <v>1371</v>
      </c>
      <c r="AD35" s="110" t="s">
        <v>1</v>
      </c>
    </row>
    <row r="36" spans="1:30" ht="6" customHeight="1" x14ac:dyDescent="0.25">
      <c r="A36" s="99">
        <v>36</v>
      </c>
      <c r="B36" s="107" t="s">
        <v>1413</v>
      </c>
      <c r="C36" s="52" t="s">
        <v>1357</v>
      </c>
      <c r="D36" s="52" t="s">
        <v>1432</v>
      </c>
      <c r="E36" s="52" t="s">
        <v>1429</v>
      </c>
      <c r="F36" s="52" t="s">
        <v>1378</v>
      </c>
      <c r="G36" s="106" t="s">
        <v>1</v>
      </c>
      <c r="H36" s="106" t="s">
        <v>1</v>
      </c>
      <c r="I36" s="106" t="s">
        <v>1</v>
      </c>
      <c r="J36" s="106" t="s">
        <v>1</v>
      </c>
      <c r="K36" s="106" t="s">
        <v>1</v>
      </c>
      <c r="L36" s="100" t="str">
        <f t="shared" si="64"/>
        <v>Paisagísticos</v>
      </c>
      <c r="M36" s="100" t="str">
        <f t="shared" si="65"/>
        <v>Urbanísticos</v>
      </c>
      <c r="N36" s="100" t="str">
        <f t="shared" si="66"/>
        <v>Urbanos Verdes</v>
      </c>
      <c r="O36" s="100" t="str">
        <f t="shared" si="67"/>
        <v>Planta Forração</v>
      </c>
      <c r="P36" s="100" t="s">
        <v>1379</v>
      </c>
      <c r="Q36" s="23" t="str">
        <f t="shared" si="71"/>
        <v>Un elemento de paisajismo urbano verde, asociado a parques urbanos, corredores ecológicos, árboles de calles, tejados verdes. Área cubierta por céspedes o plantas para cobertura vegetal.</v>
      </c>
      <c r="R36" s="23" t="s">
        <v>1472</v>
      </c>
      <c r="S36" s="111" t="s">
        <v>1</v>
      </c>
      <c r="T36" s="23" t="str">
        <f t="shared" si="68"/>
        <v>Paisagísticos</v>
      </c>
      <c r="U36" s="23" t="str">
        <f t="shared" si="68"/>
        <v>Urbanísticos</v>
      </c>
      <c r="V36" s="23" t="str">
        <f t="shared" si="68"/>
        <v>Urbanos Verdes</v>
      </c>
      <c r="W36" s="23" t="s">
        <v>1360</v>
      </c>
      <c r="X36" s="98" t="str">
        <f t="shared" si="14"/>
        <v>Key-PAISA-36</v>
      </c>
      <c r="Y36" s="23" t="s">
        <v>1380</v>
      </c>
      <c r="Z36" s="110" t="s">
        <v>1</v>
      </c>
      <c r="AA36" s="23" t="s">
        <v>1381</v>
      </c>
      <c r="AB36" s="110" t="s">
        <v>1</v>
      </c>
      <c r="AC36" s="101" t="s">
        <v>1382</v>
      </c>
      <c r="AD36" s="110" t="s">
        <v>1</v>
      </c>
    </row>
    <row r="37" spans="1:30" ht="6" customHeight="1" x14ac:dyDescent="0.25">
      <c r="A37" s="99">
        <v>37</v>
      </c>
      <c r="B37" s="107" t="s">
        <v>1413</v>
      </c>
      <c r="C37" s="52" t="s">
        <v>1357</v>
      </c>
      <c r="D37" s="52" t="s">
        <v>1432</v>
      </c>
      <c r="E37" s="52" t="s">
        <v>1429</v>
      </c>
      <c r="F37" s="52" t="s">
        <v>1383</v>
      </c>
      <c r="G37" s="106" t="s">
        <v>1</v>
      </c>
      <c r="H37" s="106" t="s">
        <v>1</v>
      </c>
      <c r="I37" s="106" t="s">
        <v>1</v>
      </c>
      <c r="J37" s="106" t="s">
        <v>1</v>
      </c>
      <c r="K37" s="106" t="s">
        <v>1</v>
      </c>
      <c r="L37" s="100" t="str">
        <f t="shared" si="64"/>
        <v>Paisagísticos</v>
      </c>
      <c r="M37" s="100" t="str">
        <f t="shared" si="65"/>
        <v>Urbanísticos</v>
      </c>
      <c r="N37" s="100" t="str">
        <f t="shared" si="66"/>
        <v>Urbanos Verdes</v>
      </c>
      <c r="O37" s="100" t="str">
        <f t="shared" si="67"/>
        <v>Planta Trepadeira</v>
      </c>
      <c r="P37" s="100" t="s">
        <v>1384</v>
      </c>
      <c r="Q37" s="23" t="str">
        <f t="shared" si="71"/>
        <v>Un elemento de paisajismo urbano verde, asociado a parques urbanos, corredores ecológicos, árboles de calles, tejados verdes. Zona cubierta de plantas trepadoras.</v>
      </c>
      <c r="R37" s="23" t="s">
        <v>1473</v>
      </c>
      <c r="S37" s="111" t="s">
        <v>1</v>
      </c>
      <c r="T37" s="23" t="str">
        <f t="shared" si="68"/>
        <v>Paisagísticos</v>
      </c>
      <c r="U37" s="23" t="str">
        <f t="shared" si="68"/>
        <v>Urbanísticos</v>
      </c>
      <c r="V37" s="23" t="str">
        <f t="shared" si="68"/>
        <v>Urbanos Verdes</v>
      </c>
      <c r="W37" s="23" t="s">
        <v>1360</v>
      </c>
      <c r="X37" s="98" t="str">
        <f t="shared" si="14"/>
        <v>Key-PAISA-37</v>
      </c>
      <c r="Y37" s="23" t="s">
        <v>1380</v>
      </c>
      <c r="Z37" s="110" t="s">
        <v>1</v>
      </c>
      <c r="AA37" s="23" t="s">
        <v>1381</v>
      </c>
      <c r="AB37" s="110" t="s">
        <v>1</v>
      </c>
      <c r="AC37" s="101" t="s">
        <v>1385</v>
      </c>
      <c r="AD37" s="110" t="s">
        <v>1</v>
      </c>
    </row>
    <row r="38" spans="1:30" ht="6" customHeight="1" x14ac:dyDescent="0.25">
      <c r="A38" s="99">
        <v>38</v>
      </c>
      <c r="B38" s="107" t="s">
        <v>1413</v>
      </c>
      <c r="C38" s="52" t="s">
        <v>1357</v>
      </c>
      <c r="D38" s="52" t="s">
        <v>1432</v>
      </c>
      <c r="E38" s="52" t="s">
        <v>1429</v>
      </c>
      <c r="F38" s="52" t="s">
        <v>1386</v>
      </c>
      <c r="G38" s="106" t="s">
        <v>1</v>
      </c>
      <c r="H38" s="106" t="s">
        <v>1</v>
      </c>
      <c r="I38" s="106" t="s">
        <v>1</v>
      </c>
      <c r="J38" s="106" t="s">
        <v>1</v>
      </c>
      <c r="K38" s="106" t="s">
        <v>1</v>
      </c>
      <c r="L38" s="100" t="str">
        <f t="shared" si="64"/>
        <v>Paisagísticos</v>
      </c>
      <c r="M38" s="100" t="str">
        <f t="shared" si="65"/>
        <v>Urbanísticos</v>
      </c>
      <c r="N38" s="100" t="str">
        <f t="shared" si="66"/>
        <v>Urbanos Verdes</v>
      </c>
      <c r="O38" s="100" t="str">
        <f t="shared" si="67"/>
        <v>Planta Ornamental</v>
      </c>
      <c r="P38" s="100" t="s">
        <v>1387</v>
      </c>
      <c r="Q38" s="23" t="str">
        <f t="shared" si="71"/>
        <v>Un elemento de paisajismo urbano verde, asociado a parques urbanos, corredores ecológicos, árboles de calles, tejados verdes. Zona cubierta de plantas ornamentales.</v>
      </c>
      <c r="R38" s="23" t="s">
        <v>1474</v>
      </c>
      <c r="S38" s="111" t="s">
        <v>1</v>
      </c>
      <c r="T38" s="23" t="str">
        <f t="shared" si="68"/>
        <v>Paisagísticos</v>
      </c>
      <c r="U38" s="23" t="str">
        <f t="shared" si="68"/>
        <v>Urbanísticos</v>
      </c>
      <c r="V38" s="23" t="str">
        <f t="shared" si="68"/>
        <v>Urbanos Verdes</v>
      </c>
      <c r="W38" s="23" t="s">
        <v>1360</v>
      </c>
      <c r="X38" s="98" t="str">
        <f t="shared" si="14"/>
        <v>Key-PAISA-38</v>
      </c>
      <c r="Y38" s="23" t="s">
        <v>1388</v>
      </c>
      <c r="Z38" s="110" t="s">
        <v>1</v>
      </c>
      <c r="AA38" s="23" t="s">
        <v>1389</v>
      </c>
      <c r="AB38" s="110" t="s">
        <v>1</v>
      </c>
      <c r="AC38" s="101" t="s">
        <v>1385</v>
      </c>
      <c r="AD38" s="110" t="s">
        <v>1</v>
      </c>
    </row>
    <row r="39" spans="1:30" ht="6" customHeight="1" x14ac:dyDescent="0.25">
      <c r="A39" s="99">
        <v>39</v>
      </c>
      <c r="B39" s="107" t="s">
        <v>1413</v>
      </c>
      <c r="C39" s="52" t="s">
        <v>1357</v>
      </c>
      <c r="D39" s="52" t="s">
        <v>1432</v>
      </c>
      <c r="E39" s="52" t="s">
        <v>1429</v>
      </c>
      <c r="F39" s="52" t="s">
        <v>1390</v>
      </c>
      <c r="G39" s="106" t="s">
        <v>1</v>
      </c>
      <c r="H39" s="106" t="s">
        <v>1</v>
      </c>
      <c r="I39" s="106" t="s">
        <v>1</v>
      </c>
      <c r="J39" s="106" t="s">
        <v>1</v>
      </c>
      <c r="K39" s="106" t="s">
        <v>1</v>
      </c>
      <c r="L39" s="100" t="str">
        <f t="shared" si="64"/>
        <v>Paisagísticos</v>
      </c>
      <c r="M39" s="100" t="str">
        <f t="shared" si="65"/>
        <v>Urbanísticos</v>
      </c>
      <c r="N39" s="100" t="str">
        <f t="shared" si="66"/>
        <v>Urbanos Verdes</v>
      </c>
      <c r="O39" s="100" t="str">
        <f t="shared" si="67"/>
        <v>Granilha</v>
      </c>
      <c r="P39" s="100" t="s">
        <v>1391</v>
      </c>
      <c r="Q39" s="23" t="str">
        <f t="shared" si="71"/>
        <v>Un elemento de paisajismo urbano verde, asociado a parques urbanos, corredores ecológicos, árboles de calles, tejados verdes. El área está cubierta por suelos compuestos de piedras y grava.</v>
      </c>
      <c r="R39" s="23" t="s">
        <v>1475</v>
      </c>
      <c r="S39" s="111" t="s">
        <v>1</v>
      </c>
      <c r="T39" s="23" t="str">
        <f t="shared" si="68"/>
        <v>Paisagísticos</v>
      </c>
      <c r="U39" s="23" t="str">
        <f t="shared" si="68"/>
        <v>Urbanísticos</v>
      </c>
      <c r="V39" s="23" t="str">
        <f t="shared" si="68"/>
        <v>Urbanos Verdes</v>
      </c>
      <c r="W39" s="23" t="s">
        <v>1360</v>
      </c>
      <c r="X39" s="98" t="str">
        <f t="shared" si="14"/>
        <v>Key-PAISA-39</v>
      </c>
      <c r="Y39" s="23" t="s">
        <v>1380</v>
      </c>
      <c r="Z39" s="110" t="s">
        <v>1</v>
      </c>
      <c r="AA39" s="23" t="s">
        <v>1381</v>
      </c>
      <c r="AB39" s="110" t="s">
        <v>1</v>
      </c>
      <c r="AC39" s="101" t="s">
        <v>1385</v>
      </c>
      <c r="AD39" s="110" t="s">
        <v>1</v>
      </c>
    </row>
    <row r="40" spans="1:30" ht="6" customHeight="1" x14ac:dyDescent="0.25">
      <c r="A40" s="99">
        <v>40</v>
      </c>
      <c r="B40" s="107" t="s">
        <v>1413</v>
      </c>
      <c r="C40" s="52" t="s">
        <v>1357</v>
      </c>
      <c r="D40" s="52" t="s">
        <v>1432</v>
      </c>
      <c r="E40" s="52" t="s">
        <v>1430</v>
      </c>
      <c r="F40" s="52" t="s">
        <v>1392</v>
      </c>
      <c r="G40" s="106" t="s">
        <v>1</v>
      </c>
      <c r="H40" s="106" t="s">
        <v>1</v>
      </c>
      <c r="I40" s="106" t="s">
        <v>1</v>
      </c>
      <c r="J40" s="106" t="s">
        <v>1</v>
      </c>
      <c r="K40" s="106" t="s">
        <v>1</v>
      </c>
      <c r="L40" s="100" t="str">
        <f t="shared" si="64"/>
        <v>Paisagísticos</v>
      </c>
      <c r="M40" s="100" t="str">
        <f t="shared" si="65"/>
        <v>Urbanísticos</v>
      </c>
      <c r="N40" s="100" t="str">
        <f t="shared" si="66"/>
        <v>Urbanos Cinzas</v>
      </c>
      <c r="O40" s="100" t="str">
        <f t="shared" si="67"/>
        <v>Pavimentação</v>
      </c>
      <c r="P40" s="100" t="s">
        <v>1393</v>
      </c>
      <c r="Q40" s="23" t="str">
        <f t="shared" si="71"/>
        <v>Elemento de paisajismo urbano gris, asociado a infraestructuras convencionales (pavimentación, pavimentación, monumentos). No es pavimento vegetal.</v>
      </c>
      <c r="R40" s="23" t="s">
        <v>1476</v>
      </c>
      <c r="S40" s="111" t="s">
        <v>1</v>
      </c>
      <c r="T40" s="23" t="str">
        <f t="shared" si="68"/>
        <v>Paisagísticos</v>
      </c>
      <c r="U40" s="23" t="str">
        <f t="shared" si="68"/>
        <v>Urbanísticos</v>
      </c>
      <c r="V40" s="23" t="str">
        <f t="shared" si="68"/>
        <v>Urbanos Cinzas</v>
      </c>
      <c r="W40" s="23" t="s">
        <v>1360</v>
      </c>
      <c r="X40" s="98" t="str">
        <f t="shared" si="14"/>
        <v>Key-PAISA-40</v>
      </c>
      <c r="Y40" s="23" t="s">
        <v>1380</v>
      </c>
      <c r="Z40" s="110" t="s">
        <v>1</v>
      </c>
      <c r="AA40" s="23" t="s">
        <v>1381</v>
      </c>
      <c r="AB40" s="110" t="s">
        <v>1</v>
      </c>
      <c r="AC40" s="101" t="s">
        <v>1385</v>
      </c>
      <c r="AD40" s="110" t="s">
        <v>1</v>
      </c>
    </row>
    <row r="41" spans="1:30" ht="6" customHeight="1" x14ac:dyDescent="0.25">
      <c r="A41" s="99">
        <v>41</v>
      </c>
      <c r="B41" s="107" t="s">
        <v>1413</v>
      </c>
      <c r="C41" s="52" t="s">
        <v>1357</v>
      </c>
      <c r="D41" s="52" t="s">
        <v>1432</v>
      </c>
      <c r="E41" s="52" t="s">
        <v>1430</v>
      </c>
      <c r="F41" s="52" t="s">
        <v>1394</v>
      </c>
      <c r="G41" s="106" t="s">
        <v>1</v>
      </c>
      <c r="H41" s="106" t="s">
        <v>1</v>
      </c>
      <c r="I41" s="106" t="s">
        <v>1</v>
      </c>
      <c r="J41" s="106" t="s">
        <v>1</v>
      </c>
      <c r="K41" s="106" t="s">
        <v>1</v>
      </c>
      <c r="L41" s="100" t="str">
        <f t="shared" si="64"/>
        <v>Paisagísticos</v>
      </c>
      <c r="M41" s="100" t="str">
        <f t="shared" si="65"/>
        <v>Urbanísticos</v>
      </c>
      <c r="N41" s="100" t="str">
        <f t="shared" si="66"/>
        <v>Urbanos Cinzas</v>
      </c>
      <c r="O41" s="100" t="str">
        <f t="shared" si="67"/>
        <v>Calçamento</v>
      </c>
      <c r="P41" s="100" t="s">
        <v>1395</v>
      </c>
      <c r="Q41" s="23" t="str">
        <f t="shared" si="71"/>
        <v>Elemento de paisajismo urbano gris, asociado a infraestructuras convencionales (pavimentación, pavimentación, monumentos). Es una acera para la circulación peatonal.</v>
      </c>
      <c r="R41" s="23" t="s">
        <v>1477</v>
      </c>
      <c r="S41" s="111" t="s">
        <v>1</v>
      </c>
      <c r="T41" s="23" t="str">
        <f t="shared" si="68"/>
        <v>Paisagísticos</v>
      </c>
      <c r="U41" s="23" t="str">
        <f t="shared" si="68"/>
        <v>Urbanísticos</v>
      </c>
      <c r="V41" s="23" t="str">
        <f t="shared" si="68"/>
        <v>Urbanos Cinzas</v>
      </c>
      <c r="W41" s="23" t="s">
        <v>1360</v>
      </c>
      <c r="X41" s="98" t="str">
        <f t="shared" si="14"/>
        <v>Key-PAISA-41</v>
      </c>
      <c r="Y41" s="23" t="s">
        <v>1380</v>
      </c>
      <c r="Z41" s="110" t="s">
        <v>1</v>
      </c>
      <c r="AA41" s="23" t="s">
        <v>1381</v>
      </c>
      <c r="AB41" s="110" t="s">
        <v>1</v>
      </c>
      <c r="AC41" s="101" t="s">
        <v>1385</v>
      </c>
      <c r="AD41" s="110" t="s">
        <v>1</v>
      </c>
    </row>
    <row r="42" spans="1:30" ht="6" customHeight="1" x14ac:dyDescent="0.25">
      <c r="A42" s="99">
        <v>42</v>
      </c>
      <c r="B42" s="107" t="s">
        <v>1413</v>
      </c>
      <c r="C42" s="52" t="s">
        <v>1357</v>
      </c>
      <c r="D42" s="52" t="s">
        <v>1432</v>
      </c>
      <c r="E42" s="52" t="s">
        <v>1430</v>
      </c>
      <c r="F42" s="52" t="s">
        <v>1396</v>
      </c>
      <c r="G42" s="106" t="s">
        <v>1</v>
      </c>
      <c r="H42" s="106" t="s">
        <v>1</v>
      </c>
      <c r="I42" s="106" t="s">
        <v>1</v>
      </c>
      <c r="J42" s="106" t="s">
        <v>1</v>
      </c>
      <c r="K42" s="106" t="s">
        <v>1</v>
      </c>
      <c r="L42" s="100" t="str">
        <f t="shared" si="64"/>
        <v>Paisagísticos</v>
      </c>
      <c r="M42" s="100" t="str">
        <f t="shared" si="65"/>
        <v>Urbanísticos</v>
      </c>
      <c r="N42" s="100" t="str">
        <f t="shared" si="66"/>
        <v>Urbanos Cinzas</v>
      </c>
      <c r="O42" s="100" t="str">
        <f t="shared" si="67"/>
        <v>Monumento</v>
      </c>
      <c r="P42" s="100" t="s">
        <v>1397</v>
      </c>
      <c r="Q42" s="23" t="str">
        <f t="shared" si="71"/>
        <v>Elemento de paisajismo urbano gris, asociado a infraestructuras convencionales (pavimentación, pavimentación, monumentos). Es un monumento urbano.</v>
      </c>
      <c r="R42" s="23" t="s">
        <v>1478</v>
      </c>
      <c r="S42" s="111" t="s">
        <v>1</v>
      </c>
      <c r="T42" s="23" t="str">
        <f t="shared" si="68"/>
        <v>Paisagísticos</v>
      </c>
      <c r="U42" s="23" t="str">
        <f t="shared" si="68"/>
        <v>Urbanísticos</v>
      </c>
      <c r="V42" s="23" t="str">
        <f t="shared" si="68"/>
        <v>Urbanos Cinzas</v>
      </c>
      <c r="W42" s="23" t="s">
        <v>1360</v>
      </c>
      <c r="X42" s="98" t="str">
        <f t="shared" si="14"/>
        <v>Key-PAISA-42</v>
      </c>
      <c r="Y42" s="23" t="s">
        <v>1361</v>
      </c>
      <c r="Z42" s="110" t="s">
        <v>1</v>
      </c>
      <c r="AA42" s="23" t="s">
        <v>1362</v>
      </c>
      <c r="AB42" s="110" t="s">
        <v>1</v>
      </c>
      <c r="AC42" s="101" t="s">
        <v>1363</v>
      </c>
      <c r="AD42" s="110" t="s">
        <v>1</v>
      </c>
    </row>
    <row r="43" spans="1:30" ht="6" customHeight="1" x14ac:dyDescent="0.25">
      <c r="A43" s="99">
        <v>43</v>
      </c>
      <c r="B43" s="107" t="s">
        <v>1413</v>
      </c>
      <c r="C43" s="52" t="s">
        <v>1357</v>
      </c>
      <c r="D43" s="52" t="s">
        <v>1432</v>
      </c>
      <c r="E43" s="52" t="s">
        <v>1430</v>
      </c>
      <c r="F43" s="52" t="s">
        <v>1398</v>
      </c>
      <c r="G43" s="106" t="s">
        <v>1</v>
      </c>
      <c r="H43" s="106" t="s">
        <v>1</v>
      </c>
      <c r="I43" s="106" t="s">
        <v>1</v>
      </c>
      <c r="J43" s="106" t="s">
        <v>1</v>
      </c>
      <c r="K43" s="106" t="s">
        <v>1</v>
      </c>
      <c r="L43" s="100" t="str">
        <f t="shared" si="64"/>
        <v>Paisagísticos</v>
      </c>
      <c r="M43" s="100" t="str">
        <f t="shared" si="65"/>
        <v>Urbanísticos</v>
      </c>
      <c r="N43" s="100" t="str">
        <f t="shared" si="66"/>
        <v>Urbanos Cinzas</v>
      </c>
      <c r="O43" s="100" t="str">
        <f t="shared" si="67"/>
        <v>Ornamento</v>
      </c>
      <c r="P43" s="100" t="s">
        <v>1399</v>
      </c>
      <c r="Q43" s="23" t="str">
        <f t="shared" si="71"/>
        <v>Elemento de paisajismo urbano gris, asociado a infraestructuras convencionales (pavimentación, pavimentación, monumentos). Es un adorno urbano.</v>
      </c>
      <c r="R43" s="23" t="s">
        <v>1479</v>
      </c>
      <c r="S43" s="111" t="s">
        <v>1</v>
      </c>
      <c r="T43" s="23" t="str">
        <f t="shared" si="68"/>
        <v>Paisagísticos</v>
      </c>
      <c r="U43" s="23" t="str">
        <f t="shared" si="68"/>
        <v>Urbanísticos</v>
      </c>
      <c r="V43" s="23" t="str">
        <f t="shared" si="68"/>
        <v>Urbanos Cinzas</v>
      </c>
      <c r="W43" s="23" t="s">
        <v>1360</v>
      </c>
      <c r="X43" s="98" t="str">
        <f t="shared" si="14"/>
        <v>Key-PAISA-43</v>
      </c>
      <c r="Y43" s="23" t="s">
        <v>1361</v>
      </c>
      <c r="Z43" s="110" t="s">
        <v>1</v>
      </c>
      <c r="AA43" s="23" t="s">
        <v>1362</v>
      </c>
      <c r="AB43" s="110" t="s">
        <v>1</v>
      </c>
      <c r="AC43" s="101" t="s">
        <v>1363</v>
      </c>
      <c r="AD43" s="110" t="s">
        <v>1</v>
      </c>
    </row>
    <row r="44" spans="1:30" ht="6" customHeight="1" x14ac:dyDescent="0.25">
      <c r="A44" s="99">
        <v>44</v>
      </c>
      <c r="B44" s="107" t="s">
        <v>1413</v>
      </c>
      <c r="C44" s="52" t="s">
        <v>1357</v>
      </c>
      <c r="D44" s="52" t="s">
        <v>1432</v>
      </c>
      <c r="E44" s="52" t="s">
        <v>1431</v>
      </c>
      <c r="F44" s="52" t="s">
        <v>1400</v>
      </c>
      <c r="G44" s="106" t="s">
        <v>1</v>
      </c>
      <c r="H44" s="106" t="s">
        <v>1</v>
      </c>
      <c r="I44" s="106" t="s">
        <v>1</v>
      </c>
      <c r="J44" s="106" t="s">
        <v>1</v>
      </c>
      <c r="K44" s="106" t="s">
        <v>1</v>
      </c>
      <c r="L44" s="100" t="str">
        <f t="shared" si="64"/>
        <v>Paisagísticos</v>
      </c>
      <c r="M44" s="100" t="str">
        <f t="shared" si="65"/>
        <v>Urbanísticos</v>
      </c>
      <c r="N44" s="100" t="str">
        <f t="shared" si="66"/>
        <v>Urbanos Amarelos</v>
      </c>
      <c r="O44" s="100" t="str">
        <f t="shared" si="67"/>
        <v>Poste Luz Pedestre</v>
      </c>
      <c r="P44" s="100" t="s">
        <v>1401</v>
      </c>
      <c r="Q44" s="23" t="str">
        <f t="shared" si="71"/>
        <v>Elemento amarillo de paisajismo urbano, vinculado a elementos energéticos o luminosos. Es un farol peatonal de baja altura.</v>
      </c>
      <c r="R44" s="23" t="s">
        <v>1480</v>
      </c>
      <c r="S44" s="111" t="s">
        <v>1</v>
      </c>
      <c r="T44" s="23" t="str">
        <f t="shared" si="68"/>
        <v>Paisagísticos</v>
      </c>
      <c r="U44" s="23" t="str">
        <f t="shared" si="68"/>
        <v>Urbanísticos</v>
      </c>
      <c r="V44" s="23" t="str">
        <f t="shared" si="68"/>
        <v>Urbanos Amarelos</v>
      </c>
      <c r="W44" s="23" t="s">
        <v>1360</v>
      </c>
      <c r="X44" s="98" t="str">
        <f t="shared" si="14"/>
        <v>Key-PAISA-44</v>
      </c>
      <c r="Y44" s="23" t="s">
        <v>1402</v>
      </c>
      <c r="Z44" s="110" t="s">
        <v>1</v>
      </c>
      <c r="AA44" s="23" t="s">
        <v>1403</v>
      </c>
      <c r="AB44" s="110" t="s">
        <v>1</v>
      </c>
      <c r="AC44" s="101" t="s">
        <v>1404</v>
      </c>
      <c r="AD44" s="110" t="s">
        <v>1</v>
      </c>
    </row>
    <row r="45" spans="1:30" ht="6" customHeight="1" x14ac:dyDescent="0.25">
      <c r="A45" s="99">
        <v>45</v>
      </c>
      <c r="B45" s="107" t="s">
        <v>1413</v>
      </c>
      <c r="C45" s="52" t="s">
        <v>1357</v>
      </c>
      <c r="D45" s="52" t="s">
        <v>1432</v>
      </c>
      <c r="E45" s="52" t="s">
        <v>1431</v>
      </c>
      <c r="F45" s="52" t="s">
        <v>1405</v>
      </c>
      <c r="G45" s="106" t="s">
        <v>1</v>
      </c>
      <c r="H45" s="106" t="s">
        <v>1</v>
      </c>
      <c r="I45" s="106" t="s">
        <v>1</v>
      </c>
      <c r="J45" s="106" t="s">
        <v>1</v>
      </c>
      <c r="K45" s="106" t="s">
        <v>1</v>
      </c>
      <c r="L45" s="100" t="str">
        <f t="shared" si="64"/>
        <v>Paisagísticos</v>
      </c>
      <c r="M45" s="100" t="str">
        <f t="shared" si="65"/>
        <v>Urbanísticos</v>
      </c>
      <c r="N45" s="100" t="str">
        <f t="shared" si="66"/>
        <v>Urbanos Amarelos</v>
      </c>
      <c r="O45" s="100" t="str">
        <f t="shared" si="67"/>
        <v>Poste Luz Viário</v>
      </c>
      <c r="P45" s="100" t="s">
        <v>1406</v>
      </c>
      <c r="Q45" s="23" t="str">
        <f t="shared" si="71"/>
        <v>Elemento amarillo de paisajismo urbano, vinculado a elementos energéticos o luminosos. Es un poste alto para iluminar avenidas.</v>
      </c>
      <c r="R45" s="23" t="s">
        <v>1481</v>
      </c>
      <c r="S45" s="111" t="s">
        <v>1</v>
      </c>
      <c r="T45" s="23" t="str">
        <f t="shared" si="68"/>
        <v>Paisagísticos</v>
      </c>
      <c r="U45" s="23" t="str">
        <f t="shared" si="68"/>
        <v>Urbanísticos</v>
      </c>
      <c r="V45" s="23" t="str">
        <f t="shared" si="68"/>
        <v>Urbanos Amarelos</v>
      </c>
      <c r="W45" s="23" t="s">
        <v>1360</v>
      </c>
      <c r="X45" s="98" t="str">
        <f t="shared" si="14"/>
        <v>Key-PAISA-45</v>
      </c>
      <c r="Y45" s="23" t="s">
        <v>1402</v>
      </c>
      <c r="Z45" s="110" t="s">
        <v>1</v>
      </c>
      <c r="AA45" s="23" t="s">
        <v>1403</v>
      </c>
      <c r="AB45" s="110" t="s">
        <v>1</v>
      </c>
      <c r="AC45" s="101" t="s">
        <v>1404</v>
      </c>
      <c r="AD45" s="110" t="s">
        <v>1</v>
      </c>
    </row>
    <row r="46" spans="1:30" ht="6" customHeight="1" x14ac:dyDescent="0.25">
      <c r="A46" s="99">
        <v>46</v>
      </c>
      <c r="B46" s="107" t="s">
        <v>1413</v>
      </c>
      <c r="C46" s="52" t="s">
        <v>1357</v>
      </c>
      <c r="D46" s="52" t="s">
        <v>1432</v>
      </c>
      <c r="E46" s="52" t="s">
        <v>1431</v>
      </c>
      <c r="F46" s="52" t="s">
        <v>1407</v>
      </c>
      <c r="G46" s="106" t="s">
        <v>1</v>
      </c>
      <c r="H46" s="106" t="s">
        <v>1</v>
      </c>
      <c r="I46" s="106" t="s">
        <v>1</v>
      </c>
      <c r="J46" s="106" t="s">
        <v>1</v>
      </c>
      <c r="K46" s="106" t="s">
        <v>1</v>
      </c>
      <c r="L46" s="100" t="str">
        <f t="shared" si="64"/>
        <v>Paisagísticos</v>
      </c>
      <c r="M46" s="100" t="str">
        <f t="shared" si="65"/>
        <v>Urbanísticos</v>
      </c>
      <c r="N46" s="100" t="str">
        <f t="shared" si="66"/>
        <v>Urbanos Amarelos</v>
      </c>
      <c r="O46" s="100" t="str">
        <f t="shared" si="67"/>
        <v>Poste Energia</v>
      </c>
      <c r="P46" s="100" t="s">
        <v>1408</v>
      </c>
      <c r="Q46" s="23" t="str">
        <f t="shared" si="71"/>
        <v>Elemento amarillo de paisajismo urbano, vinculado a elementos energéticos o luminosos. Es un poste de soporte para líneas eléctricas.</v>
      </c>
      <c r="R46" s="23" t="s">
        <v>1482</v>
      </c>
      <c r="S46" s="111" t="s">
        <v>1</v>
      </c>
      <c r="T46" s="23" t="str">
        <f t="shared" si="68"/>
        <v>Paisagísticos</v>
      </c>
      <c r="U46" s="23" t="str">
        <f t="shared" si="68"/>
        <v>Urbanísticos</v>
      </c>
      <c r="V46" s="23" t="str">
        <f t="shared" si="68"/>
        <v>Urbanos Amarelos</v>
      </c>
      <c r="W46" s="23" t="s">
        <v>1360</v>
      </c>
      <c r="X46" s="98" t="str">
        <f t="shared" si="14"/>
        <v>Key-PAISA-46</v>
      </c>
      <c r="Y46" s="23" t="s">
        <v>1402</v>
      </c>
      <c r="Z46" s="110" t="s">
        <v>1</v>
      </c>
      <c r="AA46" s="23" t="s">
        <v>1403</v>
      </c>
      <c r="AB46" s="110" t="s">
        <v>1</v>
      </c>
      <c r="AC46" s="101" t="s">
        <v>1409</v>
      </c>
      <c r="AD46" s="110" t="s">
        <v>1</v>
      </c>
    </row>
    <row r="47" spans="1:30" ht="6" customHeight="1" x14ac:dyDescent="0.25">
      <c r="A47" s="99">
        <v>47</v>
      </c>
      <c r="B47" s="107" t="s">
        <v>1413</v>
      </c>
      <c r="C47" s="52" t="s">
        <v>1357</v>
      </c>
      <c r="D47" s="52" t="s">
        <v>1432</v>
      </c>
      <c r="E47" s="52" t="s">
        <v>1431</v>
      </c>
      <c r="F47" s="52" t="s">
        <v>1410</v>
      </c>
      <c r="G47" s="106" t="s">
        <v>1</v>
      </c>
      <c r="H47" s="106" t="s">
        <v>1</v>
      </c>
      <c r="I47" s="106" t="s">
        <v>1</v>
      </c>
      <c r="J47" s="106" t="s">
        <v>1</v>
      </c>
      <c r="K47" s="106" t="s">
        <v>1</v>
      </c>
      <c r="L47" s="100" t="str">
        <f t="shared" si="64"/>
        <v>Paisagísticos</v>
      </c>
      <c r="M47" s="100" t="str">
        <f t="shared" si="65"/>
        <v>Urbanísticos</v>
      </c>
      <c r="N47" s="100" t="str">
        <f t="shared" si="66"/>
        <v>Urbanos Amarelos</v>
      </c>
      <c r="O47" s="100" t="str">
        <f t="shared" si="67"/>
        <v>Semáforo</v>
      </c>
      <c r="P47" s="100" t="s">
        <v>1411</v>
      </c>
      <c r="Q47" s="23" t="str">
        <f t="shared" si="71"/>
        <v>Elemento amarillo de paisajismo urbano, vinculado a elementos energéticos o luminosos. Es una señal de tráfico urbana.</v>
      </c>
      <c r="R47" s="23" t="s">
        <v>1483</v>
      </c>
      <c r="S47" s="111" t="s">
        <v>1</v>
      </c>
      <c r="T47" s="23" t="str">
        <f t="shared" si="68"/>
        <v>Paisagísticos</v>
      </c>
      <c r="U47" s="23" t="str">
        <f t="shared" si="68"/>
        <v>Urbanísticos</v>
      </c>
      <c r="V47" s="23" t="str">
        <f t="shared" si="68"/>
        <v>Urbanos Amarelos</v>
      </c>
      <c r="W47" s="23" t="s">
        <v>1360</v>
      </c>
      <c r="X47" s="98" t="str">
        <f t="shared" si="14"/>
        <v>Key-PAISA-47</v>
      </c>
      <c r="Y47" s="23" t="s">
        <v>1402</v>
      </c>
      <c r="Z47" s="110" t="s">
        <v>1</v>
      </c>
      <c r="AA47" s="23" t="s">
        <v>1403</v>
      </c>
      <c r="AB47" s="110" t="s">
        <v>1</v>
      </c>
      <c r="AC47" s="101" t="s">
        <v>1404</v>
      </c>
      <c r="AD47" s="110" t="s">
        <v>1</v>
      </c>
    </row>
    <row r="48" spans="1:30" ht="6" customHeight="1" x14ac:dyDescent="0.25">
      <c r="A48" s="99">
        <v>48</v>
      </c>
      <c r="B48" s="107" t="s">
        <v>1413</v>
      </c>
      <c r="C48" s="52" t="s">
        <v>1357</v>
      </c>
      <c r="D48" s="52" t="s">
        <v>1432</v>
      </c>
      <c r="E48" s="52" t="s">
        <v>1431</v>
      </c>
      <c r="F48" s="52" t="s">
        <v>1311</v>
      </c>
      <c r="G48" s="106" t="s">
        <v>1</v>
      </c>
      <c r="H48" s="106" t="s">
        <v>1</v>
      </c>
      <c r="I48" s="106" t="s">
        <v>1</v>
      </c>
      <c r="J48" s="106" t="s">
        <v>1</v>
      </c>
      <c r="K48" s="106" t="s">
        <v>1</v>
      </c>
      <c r="L48" s="100" t="str">
        <f t="shared" si="64"/>
        <v>Paisagísticos</v>
      </c>
      <c r="M48" s="100" t="str">
        <f t="shared" si="65"/>
        <v>Urbanísticos</v>
      </c>
      <c r="N48" s="100" t="str">
        <f t="shared" si="66"/>
        <v>Urbanos Amarelos</v>
      </c>
      <c r="O48" s="100" t="str">
        <f t="shared" si="67"/>
        <v>Totem Informativo</v>
      </c>
      <c r="P48" s="100" t="s">
        <v>1412</v>
      </c>
      <c r="Q48" s="23" t="str">
        <f t="shared" si="71"/>
        <v>Elemento amarillo de paisajismo urbano, vinculado a elementos energéticos o luminosos. Es un tótem de la información urbana.</v>
      </c>
      <c r="R48" s="23" t="s">
        <v>1484</v>
      </c>
      <c r="S48" s="111" t="s">
        <v>1</v>
      </c>
      <c r="T48" s="23" t="str">
        <f t="shared" si="68"/>
        <v>Paisagísticos</v>
      </c>
      <c r="U48" s="23" t="str">
        <f t="shared" si="68"/>
        <v>Urbanísticos</v>
      </c>
      <c r="V48" s="23" t="str">
        <f t="shared" si="68"/>
        <v>Urbanos Amarelos</v>
      </c>
      <c r="W48" s="23" t="s">
        <v>1360</v>
      </c>
      <c r="X48" s="98" t="str">
        <f t="shared" si="14"/>
        <v>Key-PAISA-48</v>
      </c>
      <c r="Y48" s="23" t="s">
        <v>1402</v>
      </c>
      <c r="Z48" s="110" t="s">
        <v>1</v>
      </c>
      <c r="AA48" s="23" t="s">
        <v>1403</v>
      </c>
      <c r="AB48" s="110" t="s">
        <v>1</v>
      </c>
      <c r="AC48" s="101" t="s">
        <v>1404</v>
      </c>
      <c r="AD48" s="110" t="s">
        <v>1</v>
      </c>
    </row>
    <row r="49" spans="1:30" ht="6" customHeight="1" x14ac:dyDescent="0.25">
      <c r="A49" s="99">
        <v>49</v>
      </c>
      <c r="B49" s="107" t="s">
        <v>74</v>
      </c>
      <c r="C49" s="52" t="s">
        <v>1421</v>
      </c>
      <c r="D49" s="52" t="s">
        <v>1433</v>
      </c>
      <c r="E49" s="52" t="s">
        <v>1424</v>
      </c>
      <c r="F49" s="52" t="s">
        <v>1286</v>
      </c>
      <c r="G49" s="96" t="s">
        <v>1</v>
      </c>
      <c r="H49" s="96" t="s">
        <v>1</v>
      </c>
      <c r="I49" s="96" t="s">
        <v>1</v>
      </c>
      <c r="J49" s="96" t="s">
        <v>1</v>
      </c>
      <c r="K49" s="96" t="s">
        <v>1</v>
      </c>
      <c r="L49" s="100" t="str">
        <f t="shared" si="64"/>
        <v>De.Paisagismo</v>
      </c>
      <c r="M49" s="100" t="str">
        <f t="shared" si="65"/>
        <v>Composições Paisagísticas</v>
      </c>
      <c r="N49" s="100" t="str">
        <f t="shared" si="66"/>
        <v>Azul Urbano</v>
      </c>
      <c r="O49" s="100" t="str">
        <f t="shared" si="67"/>
        <v>Agua em Espelho</v>
      </c>
      <c r="P49" s="100" t="s">
        <v>1122</v>
      </c>
      <c r="Q49" s="100" t="s">
        <v>1126</v>
      </c>
      <c r="R49" s="23" t="s">
        <v>1485</v>
      </c>
      <c r="S49" s="111" t="s">
        <v>1</v>
      </c>
      <c r="T49" s="23" t="str">
        <f t="shared" si="68"/>
        <v>De Paisagismo</v>
      </c>
      <c r="U49" s="23" t="str">
        <f t="shared" si="68"/>
        <v>Composições Paisagísticas</v>
      </c>
      <c r="V49" s="23" t="str">
        <f t="shared" si="68"/>
        <v>Azul Urbano</v>
      </c>
      <c r="W49" s="23" t="s">
        <v>1360</v>
      </c>
      <c r="X49" s="98" t="str">
        <f t="shared" si="14"/>
        <v>Key-PAISA-49</v>
      </c>
      <c r="Y49" s="110" t="s">
        <v>1</v>
      </c>
      <c r="Z49" s="110" t="s">
        <v>1</v>
      </c>
      <c r="AA49" s="23" t="s">
        <v>1253</v>
      </c>
      <c r="AB49" s="110" t="s">
        <v>1</v>
      </c>
      <c r="AC49" s="23" t="s">
        <v>1254</v>
      </c>
      <c r="AD49" s="110" t="s">
        <v>1</v>
      </c>
    </row>
    <row r="50" spans="1:30" ht="6" customHeight="1" x14ac:dyDescent="0.25">
      <c r="A50" s="99">
        <v>50</v>
      </c>
      <c r="B50" s="107" t="s">
        <v>74</v>
      </c>
      <c r="C50" s="52" t="s">
        <v>1421</v>
      </c>
      <c r="D50" s="52" t="s">
        <v>1433</v>
      </c>
      <c r="E50" s="52" t="s">
        <v>1424</v>
      </c>
      <c r="F50" s="52" t="s">
        <v>1287</v>
      </c>
      <c r="G50" s="96" t="s">
        <v>1</v>
      </c>
      <c r="H50" s="96" t="s">
        <v>1</v>
      </c>
      <c r="I50" s="96" t="s">
        <v>1</v>
      </c>
      <c r="J50" s="96" t="s">
        <v>1</v>
      </c>
      <c r="K50" s="96" t="s">
        <v>1</v>
      </c>
      <c r="L50" s="100" t="str">
        <f t="shared" si="64"/>
        <v>De.Paisagismo</v>
      </c>
      <c r="M50" s="100" t="str">
        <f t="shared" si="65"/>
        <v>Composições Paisagísticas</v>
      </c>
      <c r="N50" s="100" t="str">
        <f t="shared" si="66"/>
        <v>Azul Urbano</v>
      </c>
      <c r="O50" s="100" t="str">
        <f t="shared" si="67"/>
        <v>Agua em Chafariz</v>
      </c>
      <c r="P50" s="100" t="s">
        <v>1121</v>
      </c>
      <c r="Q50" s="100" t="s">
        <v>1127</v>
      </c>
      <c r="R50" s="23" t="s">
        <v>1486</v>
      </c>
      <c r="S50" s="111" t="s">
        <v>1</v>
      </c>
      <c r="T50" s="23" t="str">
        <f t="shared" si="68"/>
        <v>De Paisagismo</v>
      </c>
      <c r="U50" s="23" t="str">
        <f t="shared" si="68"/>
        <v>Composições Paisagísticas</v>
      </c>
      <c r="V50" s="23" t="str">
        <f t="shared" si="68"/>
        <v>Azul Urbano</v>
      </c>
      <c r="W50" s="23" t="s">
        <v>1360</v>
      </c>
      <c r="X50" s="98" t="str">
        <f t="shared" si="14"/>
        <v>Key-PAISA-50</v>
      </c>
      <c r="Y50" s="110" t="s">
        <v>1</v>
      </c>
      <c r="Z50" s="110" t="s">
        <v>1</v>
      </c>
      <c r="AA50" s="23" t="s">
        <v>1253</v>
      </c>
      <c r="AB50" s="110" t="s">
        <v>1</v>
      </c>
      <c r="AC50" s="23" t="s">
        <v>1254</v>
      </c>
      <c r="AD50" s="110" t="s">
        <v>1</v>
      </c>
    </row>
    <row r="51" spans="1:30" ht="6" customHeight="1" x14ac:dyDescent="0.25">
      <c r="A51" s="99">
        <v>51</v>
      </c>
      <c r="B51" s="107" t="s">
        <v>74</v>
      </c>
      <c r="C51" s="52" t="s">
        <v>1421</v>
      </c>
      <c r="D51" s="52" t="s">
        <v>1433</v>
      </c>
      <c r="E51" s="52" t="s">
        <v>1424</v>
      </c>
      <c r="F51" s="52" t="s">
        <v>1288</v>
      </c>
      <c r="G51" s="96" t="s">
        <v>1</v>
      </c>
      <c r="H51" s="96" t="s">
        <v>1</v>
      </c>
      <c r="I51" s="96" t="s">
        <v>1</v>
      </c>
      <c r="J51" s="96" t="s">
        <v>1</v>
      </c>
      <c r="K51" s="96" t="s">
        <v>1</v>
      </c>
      <c r="L51" s="100" t="str">
        <f t="shared" si="64"/>
        <v>De.Paisagismo</v>
      </c>
      <c r="M51" s="100" t="str">
        <f t="shared" si="65"/>
        <v>Composições Paisagísticas</v>
      </c>
      <c r="N51" s="100" t="str">
        <f t="shared" si="66"/>
        <v>Azul Urbano</v>
      </c>
      <c r="O51" s="100" t="str">
        <f t="shared" si="67"/>
        <v>Agua em Cascata</v>
      </c>
      <c r="P51" s="100" t="s">
        <v>1130</v>
      </c>
      <c r="Q51" s="100" t="s">
        <v>1131</v>
      </c>
      <c r="R51" s="23" t="s">
        <v>1487</v>
      </c>
      <c r="S51" s="111" t="s">
        <v>1</v>
      </c>
      <c r="T51" s="23" t="str">
        <f t="shared" si="68"/>
        <v>De Paisagismo</v>
      </c>
      <c r="U51" s="23" t="str">
        <f t="shared" si="68"/>
        <v>Composições Paisagísticas</v>
      </c>
      <c r="V51" s="23" t="str">
        <f t="shared" si="68"/>
        <v>Azul Urbano</v>
      </c>
      <c r="W51" s="23" t="s">
        <v>1360</v>
      </c>
      <c r="X51" s="98" t="str">
        <f t="shared" si="14"/>
        <v>Key-PAISA-51</v>
      </c>
      <c r="Y51" s="110" t="s">
        <v>1</v>
      </c>
      <c r="Z51" s="110" t="s">
        <v>1</v>
      </c>
      <c r="AA51" s="23" t="s">
        <v>1253</v>
      </c>
      <c r="AB51" s="110" t="s">
        <v>1</v>
      </c>
      <c r="AC51" s="23" t="s">
        <v>1254</v>
      </c>
      <c r="AD51" s="110" t="s">
        <v>1</v>
      </c>
    </row>
    <row r="52" spans="1:30" ht="6" customHeight="1" x14ac:dyDescent="0.25">
      <c r="A52" s="99">
        <v>52</v>
      </c>
      <c r="B52" s="107" t="s">
        <v>74</v>
      </c>
      <c r="C52" s="52" t="s">
        <v>1421</v>
      </c>
      <c r="D52" s="52" t="s">
        <v>1433</v>
      </c>
      <c r="E52" s="52" t="s">
        <v>1425</v>
      </c>
      <c r="F52" s="52" t="s">
        <v>1278</v>
      </c>
      <c r="G52" s="96" t="s">
        <v>1</v>
      </c>
      <c r="H52" s="96" t="s">
        <v>1</v>
      </c>
      <c r="I52" s="96" t="s">
        <v>1</v>
      </c>
      <c r="J52" s="96" t="s">
        <v>1</v>
      </c>
      <c r="K52" s="96" t="s">
        <v>1</v>
      </c>
      <c r="L52" s="100" t="str">
        <f t="shared" ref="L52:L70" si="72">_xlfn.CONCAT(SUBSTITUTE(C52,"1.",""))</f>
        <v>De.Paisagismo</v>
      </c>
      <c r="M52" s="100" t="str">
        <f t="shared" ref="M52:M70" si="73">_xlfn.CONCAT(SUBSTITUTE(D52,"."," "))</f>
        <v>Composições Paisagísticas</v>
      </c>
      <c r="N52" s="100" t="str">
        <f t="shared" ref="N52:N70" si="74">_xlfn.CONCAT(SUBSTITUTE(E52,"."," "))</f>
        <v>Verde Urbano</v>
      </c>
      <c r="O52" s="100" t="str">
        <f t="shared" ref="O52:O70" si="75">_xlfn.CONCAT(SUBSTITUTE(F52,"."," "))</f>
        <v>Plantio Bosque</v>
      </c>
      <c r="P52" s="100" t="s">
        <v>1109</v>
      </c>
      <c r="Q52" s="100" t="s">
        <v>1099</v>
      </c>
      <c r="R52" s="23" t="s">
        <v>1488</v>
      </c>
      <c r="S52" s="111" t="s">
        <v>1</v>
      </c>
      <c r="T52" s="23" t="str">
        <f t="shared" ref="T52:T70" si="76">SUBSTITUTE(C52, ".", " ")</f>
        <v>De Paisagismo</v>
      </c>
      <c r="U52" s="23" t="str">
        <f t="shared" ref="U52:U70" si="77">SUBSTITUTE(D52, ".", " ")</f>
        <v>Composições Paisagísticas</v>
      </c>
      <c r="V52" s="23" t="str">
        <f t="shared" ref="V52:V70" si="78">SUBSTITUTE(E52, ".", " ")</f>
        <v>Verde Urbano</v>
      </c>
      <c r="W52" s="23" t="s">
        <v>1360</v>
      </c>
      <c r="X52" s="98" t="str">
        <f t="shared" si="14"/>
        <v>Key-PAISA-52</v>
      </c>
      <c r="Y52" s="23" t="s">
        <v>1252</v>
      </c>
      <c r="Z52" s="110" t="s">
        <v>1</v>
      </c>
      <c r="AA52" s="23" t="s">
        <v>1253</v>
      </c>
      <c r="AB52" s="110" t="s">
        <v>1</v>
      </c>
      <c r="AC52" s="23" t="s">
        <v>1254</v>
      </c>
      <c r="AD52" s="110" t="s">
        <v>1</v>
      </c>
    </row>
    <row r="53" spans="1:30" ht="6" customHeight="1" x14ac:dyDescent="0.25">
      <c r="A53" s="99">
        <v>53</v>
      </c>
      <c r="B53" s="107" t="s">
        <v>74</v>
      </c>
      <c r="C53" s="52" t="s">
        <v>1421</v>
      </c>
      <c r="D53" s="52" t="s">
        <v>1433</v>
      </c>
      <c r="E53" s="52" t="s">
        <v>1425</v>
      </c>
      <c r="F53" s="52" t="s">
        <v>1279</v>
      </c>
      <c r="G53" s="96" t="s">
        <v>1</v>
      </c>
      <c r="H53" s="96" t="s">
        <v>1</v>
      </c>
      <c r="I53" s="96" t="s">
        <v>1</v>
      </c>
      <c r="J53" s="96" t="s">
        <v>1</v>
      </c>
      <c r="K53" s="96" t="s">
        <v>1</v>
      </c>
      <c r="L53" s="100" t="str">
        <f t="shared" si="72"/>
        <v>De.Paisagismo</v>
      </c>
      <c r="M53" s="100" t="str">
        <f t="shared" si="73"/>
        <v>Composições Paisagísticas</v>
      </c>
      <c r="N53" s="100" t="str">
        <f t="shared" si="74"/>
        <v>Verde Urbano</v>
      </c>
      <c r="O53" s="100" t="str">
        <f t="shared" si="75"/>
        <v>Plantio Alameda</v>
      </c>
      <c r="P53" s="100" t="s">
        <v>1110</v>
      </c>
      <c r="Q53" s="100" t="s">
        <v>1100</v>
      </c>
      <c r="R53" s="23" t="s">
        <v>1489</v>
      </c>
      <c r="S53" s="111" t="s">
        <v>1</v>
      </c>
      <c r="T53" s="23" t="str">
        <f t="shared" si="76"/>
        <v>De Paisagismo</v>
      </c>
      <c r="U53" s="23" t="str">
        <f t="shared" si="77"/>
        <v>Composições Paisagísticas</v>
      </c>
      <c r="V53" s="23" t="str">
        <f t="shared" si="78"/>
        <v>Verde Urbano</v>
      </c>
      <c r="W53" s="23" t="s">
        <v>1360</v>
      </c>
      <c r="X53" s="98" t="str">
        <f t="shared" si="14"/>
        <v>Key-PAISA-53</v>
      </c>
      <c r="Y53" s="23" t="s">
        <v>1252</v>
      </c>
      <c r="Z53" s="110" t="s">
        <v>1</v>
      </c>
      <c r="AA53" s="23" t="s">
        <v>1253</v>
      </c>
      <c r="AB53" s="110" t="s">
        <v>1</v>
      </c>
      <c r="AC53" s="23" t="s">
        <v>1254</v>
      </c>
      <c r="AD53" s="110" t="s">
        <v>1</v>
      </c>
    </row>
    <row r="54" spans="1:30" ht="6" customHeight="1" x14ac:dyDescent="0.25">
      <c r="A54" s="99">
        <v>54</v>
      </c>
      <c r="B54" s="107" t="s">
        <v>74</v>
      </c>
      <c r="C54" s="52" t="s">
        <v>1421</v>
      </c>
      <c r="D54" s="52" t="s">
        <v>1433</v>
      </c>
      <c r="E54" s="52" t="s">
        <v>1425</v>
      </c>
      <c r="F54" s="52" t="s">
        <v>1280</v>
      </c>
      <c r="G54" s="96" t="s">
        <v>1</v>
      </c>
      <c r="H54" s="96" t="s">
        <v>1</v>
      </c>
      <c r="I54" s="96" t="s">
        <v>1</v>
      </c>
      <c r="J54" s="96" t="s">
        <v>1</v>
      </c>
      <c r="K54" s="96" t="s">
        <v>1</v>
      </c>
      <c r="L54" s="100" t="str">
        <f t="shared" ref="L54:L64" si="79">_xlfn.CONCAT(SUBSTITUTE(C54,"1.",""))</f>
        <v>De.Paisagismo</v>
      </c>
      <c r="M54" s="100" t="str">
        <f t="shared" ref="M54:M64" si="80">_xlfn.CONCAT(SUBSTITUTE(D54,"."," "))</f>
        <v>Composições Paisagísticas</v>
      </c>
      <c r="N54" s="100" t="str">
        <f t="shared" ref="N54:N64" si="81">_xlfn.CONCAT(SUBSTITUTE(E54,"."," "))</f>
        <v>Verde Urbano</v>
      </c>
      <c r="O54" s="100" t="str">
        <f t="shared" ref="O54:O64" si="82">_xlfn.CONCAT(SUBSTITUTE(F54,"."," "))</f>
        <v>Plantio Bordadura</v>
      </c>
      <c r="P54" s="100" t="s">
        <v>1111</v>
      </c>
      <c r="Q54" s="100" t="s">
        <v>1101</v>
      </c>
      <c r="R54" s="23" t="s">
        <v>1490</v>
      </c>
      <c r="S54" s="111" t="s">
        <v>1</v>
      </c>
      <c r="T54" s="23" t="str">
        <f t="shared" ref="T54:T64" si="83">SUBSTITUTE(C54, ".", " ")</f>
        <v>De Paisagismo</v>
      </c>
      <c r="U54" s="23" t="str">
        <f t="shared" ref="U54:U64" si="84">SUBSTITUTE(D54, ".", " ")</f>
        <v>Composições Paisagísticas</v>
      </c>
      <c r="V54" s="23" t="str">
        <f t="shared" ref="V54:V64" si="85">SUBSTITUTE(E54, ".", " ")</f>
        <v>Verde Urbano</v>
      </c>
      <c r="W54" s="23" t="s">
        <v>1360</v>
      </c>
      <c r="X54" s="98" t="str">
        <f t="shared" si="14"/>
        <v>Key-PAISA-54</v>
      </c>
      <c r="Y54" s="23" t="s">
        <v>1252</v>
      </c>
      <c r="Z54" s="110" t="s">
        <v>1</v>
      </c>
      <c r="AA54" s="23" t="s">
        <v>1253</v>
      </c>
      <c r="AB54" s="110" t="s">
        <v>1</v>
      </c>
      <c r="AC54" s="23" t="s">
        <v>1254</v>
      </c>
      <c r="AD54" s="110" t="s">
        <v>1</v>
      </c>
    </row>
    <row r="55" spans="1:30" ht="6" customHeight="1" x14ac:dyDescent="0.25">
      <c r="A55" s="99">
        <v>55</v>
      </c>
      <c r="B55" s="107" t="s">
        <v>74</v>
      </c>
      <c r="C55" s="52" t="s">
        <v>1421</v>
      </c>
      <c r="D55" s="52" t="s">
        <v>1433</v>
      </c>
      <c r="E55" s="52" t="s">
        <v>1425</v>
      </c>
      <c r="F55" s="52" t="s">
        <v>1281</v>
      </c>
      <c r="G55" s="96" t="s">
        <v>1</v>
      </c>
      <c r="H55" s="96" t="s">
        <v>1</v>
      </c>
      <c r="I55" s="96" t="s">
        <v>1</v>
      </c>
      <c r="J55" s="96" t="s">
        <v>1</v>
      </c>
      <c r="K55" s="96" t="s">
        <v>1</v>
      </c>
      <c r="L55" s="100" t="str">
        <f t="shared" ref="L55" si="86">_xlfn.CONCAT(SUBSTITUTE(C55,"1.",""))</f>
        <v>De.Paisagismo</v>
      </c>
      <c r="M55" s="100" t="str">
        <f t="shared" ref="M55" si="87">_xlfn.CONCAT(SUBSTITUTE(D55,"."," "))</f>
        <v>Composições Paisagísticas</v>
      </c>
      <c r="N55" s="100" t="str">
        <f t="shared" ref="N55" si="88">_xlfn.CONCAT(SUBSTITUTE(E55,"."," "))</f>
        <v>Verde Urbano</v>
      </c>
      <c r="O55" s="100" t="str">
        <f t="shared" ref="O55" si="89">_xlfn.CONCAT(SUBSTITUTE(F55,"."," "))</f>
        <v>Plantio Canteiro</v>
      </c>
      <c r="P55" s="100" t="s">
        <v>1112</v>
      </c>
      <c r="Q55" s="100" t="s">
        <v>1011</v>
      </c>
      <c r="R55" s="23" t="s">
        <v>1491</v>
      </c>
      <c r="S55" s="111" t="s">
        <v>1</v>
      </c>
      <c r="T55" s="23" t="str">
        <f t="shared" ref="T55" si="90">SUBSTITUTE(C55, ".", " ")</f>
        <v>De Paisagismo</v>
      </c>
      <c r="U55" s="23" t="str">
        <f t="shared" ref="U55" si="91">SUBSTITUTE(D55, ".", " ")</f>
        <v>Composições Paisagísticas</v>
      </c>
      <c r="V55" s="23" t="str">
        <f t="shared" ref="V55" si="92">SUBSTITUTE(E55, ".", " ")</f>
        <v>Verde Urbano</v>
      </c>
      <c r="W55" s="23" t="s">
        <v>1360</v>
      </c>
      <c r="X55" s="98" t="str">
        <f t="shared" si="14"/>
        <v>Key-PAISA-55</v>
      </c>
      <c r="Y55" s="23" t="s">
        <v>1252</v>
      </c>
      <c r="Z55" s="110" t="s">
        <v>1</v>
      </c>
      <c r="AA55" s="23" t="s">
        <v>1253</v>
      </c>
      <c r="AB55" s="110" t="s">
        <v>1</v>
      </c>
      <c r="AC55" s="23" t="s">
        <v>1254</v>
      </c>
      <c r="AD55" s="110" t="s">
        <v>1</v>
      </c>
    </row>
    <row r="56" spans="1:30" ht="6" customHeight="1" x14ac:dyDescent="0.25">
      <c r="A56" s="99">
        <v>56</v>
      </c>
      <c r="B56" s="107" t="s">
        <v>74</v>
      </c>
      <c r="C56" s="52" t="s">
        <v>1421</v>
      </c>
      <c r="D56" s="52" t="s">
        <v>1433</v>
      </c>
      <c r="E56" s="52" t="s">
        <v>1425</v>
      </c>
      <c r="F56" s="52" t="s">
        <v>1282</v>
      </c>
      <c r="G56" s="96" t="s">
        <v>1</v>
      </c>
      <c r="H56" s="96" t="s">
        <v>1</v>
      </c>
      <c r="I56" s="96" t="s">
        <v>1</v>
      </c>
      <c r="J56" s="96" t="s">
        <v>1</v>
      </c>
      <c r="K56" s="96" t="s">
        <v>1</v>
      </c>
      <c r="L56" s="100" t="str">
        <f t="shared" si="79"/>
        <v>De.Paisagismo</v>
      </c>
      <c r="M56" s="100" t="str">
        <f t="shared" si="80"/>
        <v>Composições Paisagísticas</v>
      </c>
      <c r="N56" s="100" t="str">
        <f t="shared" si="81"/>
        <v>Verde Urbano</v>
      </c>
      <c r="O56" s="100" t="str">
        <f t="shared" si="82"/>
        <v>Plantio Maciço</v>
      </c>
      <c r="P56" s="100" t="s">
        <v>1113</v>
      </c>
      <c r="Q56" s="100" t="s">
        <v>1102</v>
      </c>
      <c r="R56" s="23" t="s">
        <v>1492</v>
      </c>
      <c r="S56" s="111" t="s">
        <v>1</v>
      </c>
      <c r="T56" s="23" t="str">
        <f t="shared" si="83"/>
        <v>De Paisagismo</v>
      </c>
      <c r="U56" s="23" t="str">
        <f t="shared" si="84"/>
        <v>Composições Paisagísticas</v>
      </c>
      <c r="V56" s="23" t="str">
        <f t="shared" si="85"/>
        <v>Verde Urbano</v>
      </c>
      <c r="W56" s="23" t="s">
        <v>1360</v>
      </c>
      <c r="X56" s="98" t="str">
        <f t="shared" si="14"/>
        <v>Key-PAISA-56</v>
      </c>
      <c r="Y56" s="23" t="s">
        <v>1252</v>
      </c>
      <c r="Z56" s="110" t="s">
        <v>1</v>
      </c>
      <c r="AA56" s="23" t="s">
        <v>1253</v>
      </c>
      <c r="AB56" s="110" t="s">
        <v>1</v>
      </c>
      <c r="AC56" s="23" t="s">
        <v>1254</v>
      </c>
      <c r="AD56" s="110" t="s">
        <v>1</v>
      </c>
    </row>
    <row r="57" spans="1:30" ht="6" customHeight="1" x14ac:dyDescent="0.25">
      <c r="A57" s="99">
        <v>57</v>
      </c>
      <c r="B57" s="107" t="s">
        <v>74</v>
      </c>
      <c r="C57" s="52" t="s">
        <v>1421</v>
      </c>
      <c r="D57" s="52" t="s">
        <v>1433</v>
      </c>
      <c r="E57" s="52" t="s">
        <v>1425</v>
      </c>
      <c r="F57" s="52" t="s">
        <v>1283</v>
      </c>
      <c r="G57" s="96" t="s">
        <v>1</v>
      </c>
      <c r="H57" s="96" t="s">
        <v>1</v>
      </c>
      <c r="I57" s="96" t="s">
        <v>1</v>
      </c>
      <c r="J57" s="96" t="s">
        <v>1</v>
      </c>
      <c r="K57" s="96" t="s">
        <v>1</v>
      </c>
      <c r="L57" s="100" t="str">
        <f t="shared" ref="L57" si="93">_xlfn.CONCAT(SUBSTITUTE(C57,"1.",""))</f>
        <v>De.Paisagismo</v>
      </c>
      <c r="M57" s="100" t="str">
        <f t="shared" ref="M57" si="94">_xlfn.CONCAT(SUBSTITUTE(D57,"."," "))</f>
        <v>Composições Paisagísticas</v>
      </c>
      <c r="N57" s="100" t="str">
        <f t="shared" ref="N57" si="95">_xlfn.CONCAT(SUBSTITUTE(E57,"."," "))</f>
        <v>Verde Urbano</v>
      </c>
      <c r="O57" s="100" t="str">
        <f t="shared" ref="O57" si="96">_xlfn.CONCAT(SUBSTITUTE(F57,"."," "))</f>
        <v>Plantio Renque</v>
      </c>
      <c r="P57" s="100" t="s">
        <v>1114</v>
      </c>
      <c r="Q57" s="100" t="s">
        <v>1103</v>
      </c>
      <c r="R57" s="23" t="s">
        <v>1493</v>
      </c>
      <c r="S57" s="111" t="s">
        <v>1</v>
      </c>
      <c r="T57" s="23" t="str">
        <f t="shared" ref="T57" si="97">SUBSTITUTE(C57, ".", " ")</f>
        <v>De Paisagismo</v>
      </c>
      <c r="U57" s="23" t="str">
        <f t="shared" ref="U57" si="98">SUBSTITUTE(D57, ".", " ")</f>
        <v>Composições Paisagísticas</v>
      </c>
      <c r="V57" s="23" t="str">
        <f t="shared" ref="V57" si="99">SUBSTITUTE(E57, ".", " ")</f>
        <v>Verde Urbano</v>
      </c>
      <c r="W57" s="23" t="s">
        <v>1360</v>
      </c>
      <c r="X57" s="98" t="str">
        <f t="shared" si="14"/>
        <v>Key-PAISA-57</v>
      </c>
      <c r="Y57" s="23" t="s">
        <v>1252</v>
      </c>
      <c r="Z57" s="110" t="s">
        <v>1</v>
      </c>
      <c r="AA57" s="23" t="s">
        <v>1253</v>
      </c>
      <c r="AB57" s="110" t="s">
        <v>1</v>
      </c>
      <c r="AC57" s="23" t="s">
        <v>1254</v>
      </c>
      <c r="AD57" s="110" t="s">
        <v>1</v>
      </c>
    </row>
    <row r="58" spans="1:30" ht="6" customHeight="1" x14ac:dyDescent="0.25">
      <c r="A58" s="99">
        <v>58</v>
      </c>
      <c r="B58" s="107" t="s">
        <v>74</v>
      </c>
      <c r="C58" s="52" t="s">
        <v>1421</v>
      </c>
      <c r="D58" s="52" t="s">
        <v>1433</v>
      </c>
      <c r="E58" s="52" t="s">
        <v>1425</v>
      </c>
      <c r="F58" s="52" t="s">
        <v>1284</v>
      </c>
      <c r="G58" s="96" t="s">
        <v>1</v>
      </c>
      <c r="H58" s="96" t="s">
        <v>1</v>
      </c>
      <c r="I58" s="96" t="s">
        <v>1</v>
      </c>
      <c r="J58" s="96" t="s">
        <v>1</v>
      </c>
      <c r="K58" s="96" t="s">
        <v>1</v>
      </c>
      <c r="L58" s="100" t="str">
        <f t="shared" si="79"/>
        <v>De.Paisagismo</v>
      </c>
      <c r="M58" s="100" t="str">
        <f t="shared" si="80"/>
        <v>Composições Paisagísticas</v>
      </c>
      <c r="N58" s="100" t="str">
        <f t="shared" si="81"/>
        <v>Verde Urbano</v>
      </c>
      <c r="O58" s="100" t="str">
        <f t="shared" si="82"/>
        <v>Plantio Calçada</v>
      </c>
      <c r="P58" s="100" t="s">
        <v>1115</v>
      </c>
      <c r="Q58" s="100" t="s">
        <v>1104</v>
      </c>
      <c r="R58" s="23" t="s">
        <v>1494</v>
      </c>
      <c r="S58" s="111" t="s">
        <v>1</v>
      </c>
      <c r="T58" s="23" t="str">
        <f t="shared" si="83"/>
        <v>De Paisagismo</v>
      </c>
      <c r="U58" s="23" t="str">
        <f t="shared" si="84"/>
        <v>Composições Paisagísticas</v>
      </c>
      <c r="V58" s="23" t="str">
        <f t="shared" si="85"/>
        <v>Verde Urbano</v>
      </c>
      <c r="W58" s="23" t="s">
        <v>1360</v>
      </c>
      <c r="X58" s="98" t="str">
        <f t="shared" si="14"/>
        <v>Key-PAISA-58</v>
      </c>
      <c r="Y58" s="23" t="s">
        <v>1252</v>
      </c>
      <c r="Z58" s="110" t="s">
        <v>1</v>
      </c>
      <c r="AA58" s="23" t="s">
        <v>1253</v>
      </c>
      <c r="AB58" s="110" t="s">
        <v>1</v>
      </c>
      <c r="AC58" s="23" t="s">
        <v>1254</v>
      </c>
      <c r="AD58" s="110" t="s">
        <v>1</v>
      </c>
    </row>
    <row r="59" spans="1:30" ht="6" customHeight="1" x14ac:dyDescent="0.25">
      <c r="A59" s="99">
        <v>59</v>
      </c>
      <c r="B59" s="107" t="s">
        <v>74</v>
      </c>
      <c r="C59" s="52" t="s">
        <v>1421</v>
      </c>
      <c r="D59" s="52" t="s">
        <v>1433</v>
      </c>
      <c r="E59" s="52" t="s">
        <v>1425</v>
      </c>
      <c r="F59" s="52" t="s">
        <v>1285</v>
      </c>
      <c r="G59" s="96" t="s">
        <v>1</v>
      </c>
      <c r="H59" s="96" t="s">
        <v>1</v>
      </c>
      <c r="I59" s="96" t="s">
        <v>1</v>
      </c>
      <c r="J59" s="96" t="s">
        <v>1</v>
      </c>
      <c r="K59" s="96" t="s">
        <v>1</v>
      </c>
      <c r="L59" s="100" t="str">
        <f t="shared" si="79"/>
        <v>De.Paisagismo</v>
      </c>
      <c r="M59" s="100" t="str">
        <f t="shared" si="80"/>
        <v>Composições Paisagísticas</v>
      </c>
      <c r="N59" s="100" t="str">
        <f t="shared" si="81"/>
        <v>Verde Urbano</v>
      </c>
      <c r="O59" s="100" t="str">
        <f t="shared" si="82"/>
        <v>Plantio Pérgola</v>
      </c>
      <c r="P59" s="100" t="s">
        <v>1004</v>
      </c>
      <c r="Q59" s="100" t="s">
        <v>1012</v>
      </c>
      <c r="R59" s="23" t="s">
        <v>1495</v>
      </c>
      <c r="S59" s="111" t="s">
        <v>1</v>
      </c>
      <c r="T59" s="23" t="str">
        <f t="shared" si="83"/>
        <v>De Paisagismo</v>
      </c>
      <c r="U59" s="23" t="str">
        <f t="shared" si="84"/>
        <v>Composições Paisagísticas</v>
      </c>
      <c r="V59" s="23" t="str">
        <f t="shared" si="85"/>
        <v>Verde Urbano</v>
      </c>
      <c r="W59" s="23" t="s">
        <v>1360</v>
      </c>
      <c r="X59" s="98" t="str">
        <f t="shared" si="14"/>
        <v>Key-PAISA-59</v>
      </c>
      <c r="Y59" s="23" t="s">
        <v>1252</v>
      </c>
      <c r="Z59" s="110" t="s">
        <v>1</v>
      </c>
      <c r="AA59" s="23" t="s">
        <v>1253</v>
      </c>
      <c r="AB59" s="110" t="s">
        <v>1</v>
      </c>
      <c r="AC59" s="23" t="s">
        <v>1254</v>
      </c>
      <c r="AD59" s="110" t="s">
        <v>1</v>
      </c>
    </row>
    <row r="60" spans="1:30" ht="6" customHeight="1" x14ac:dyDescent="0.25">
      <c r="A60" s="99">
        <v>60</v>
      </c>
      <c r="B60" s="107" t="s">
        <v>74</v>
      </c>
      <c r="C60" s="52" t="s">
        <v>1421</v>
      </c>
      <c r="D60" s="52" t="s">
        <v>1433</v>
      </c>
      <c r="E60" s="52" t="s">
        <v>1425</v>
      </c>
      <c r="F60" s="52" t="s">
        <v>1289</v>
      </c>
      <c r="G60" s="96" t="s">
        <v>1</v>
      </c>
      <c r="H60" s="96" t="s">
        <v>1</v>
      </c>
      <c r="I60" s="96" t="s">
        <v>1</v>
      </c>
      <c r="J60" s="96" t="s">
        <v>1</v>
      </c>
      <c r="K60" s="96" t="s">
        <v>1</v>
      </c>
      <c r="L60" s="100" t="str">
        <f t="shared" si="79"/>
        <v>De.Paisagismo</v>
      </c>
      <c r="M60" s="100" t="str">
        <f t="shared" si="80"/>
        <v>Composições Paisagísticas</v>
      </c>
      <c r="N60" s="100" t="str">
        <f t="shared" si="81"/>
        <v>Verde Urbano</v>
      </c>
      <c r="O60" s="100" t="str">
        <f t="shared" si="82"/>
        <v>Plantio Gramado</v>
      </c>
      <c r="P60" s="100" t="s">
        <v>1124</v>
      </c>
      <c r="Q60" s="100" t="s">
        <v>1129</v>
      </c>
      <c r="R60" s="23" t="s">
        <v>1496</v>
      </c>
      <c r="S60" s="111" t="s">
        <v>1</v>
      </c>
      <c r="T60" s="23" t="str">
        <f t="shared" si="83"/>
        <v>De Paisagismo</v>
      </c>
      <c r="U60" s="23" t="str">
        <f t="shared" si="84"/>
        <v>Composições Paisagísticas</v>
      </c>
      <c r="V60" s="23" t="str">
        <f t="shared" si="85"/>
        <v>Verde Urbano</v>
      </c>
      <c r="W60" s="23" t="s">
        <v>1360</v>
      </c>
      <c r="X60" s="98" t="str">
        <f t="shared" si="14"/>
        <v>Key-PAISA-60</v>
      </c>
      <c r="Y60" s="23" t="s">
        <v>1257</v>
      </c>
      <c r="Z60" s="110" t="s">
        <v>1</v>
      </c>
      <c r="AA60" s="23" t="s">
        <v>1258</v>
      </c>
      <c r="AB60" s="110" t="s">
        <v>1</v>
      </c>
      <c r="AC60" s="23" t="s">
        <v>1255</v>
      </c>
      <c r="AD60" s="110" t="s">
        <v>1</v>
      </c>
    </row>
    <row r="61" spans="1:30" ht="6" customHeight="1" x14ac:dyDescent="0.25">
      <c r="A61" s="99">
        <v>61</v>
      </c>
      <c r="B61" s="107" t="s">
        <v>74</v>
      </c>
      <c r="C61" s="52" t="s">
        <v>1421</v>
      </c>
      <c r="D61" s="52" t="s">
        <v>1433</v>
      </c>
      <c r="E61" s="52" t="s">
        <v>1425</v>
      </c>
      <c r="F61" s="52" t="s">
        <v>1098</v>
      </c>
      <c r="G61" s="96" t="s">
        <v>1</v>
      </c>
      <c r="H61" s="96" t="s">
        <v>1</v>
      </c>
      <c r="I61" s="96" t="s">
        <v>1</v>
      </c>
      <c r="J61" s="96" t="s">
        <v>1</v>
      </c>
      <c r="K61" s="96" t="s">
        <v>1</v>
      </c>
      <c r="L61" s="100" t="str">
        <f t="shared" si="79"/>
        <v>De.Paisagismo</v>
      </c>
      <c r="M61" s="100" t="str">
        <f t="shared" si="80"/>
        <v>Composições Paisagísticas</v>
      </c>
      <c r="N61" s="100" t="str">
        <f t="shared" si="81"/>
        <v>Verde Urbano</v>
      </c>
      <c r="O61" s="100" t="str">
        <f t="shared" si="82"/>
        <v>Cerca Viva</v>
      </c>
      <c r="P61" s="100" t="s">
        <v>1125</v>
      </c>
      <c r="Q61" s="100" t="s">
        <v>1128</v>
      </c>
      <c r="R61" s="23" t="s">
        <v>1497</v>
      </c>
      <c r="S61" s="111" t="s">
        <v>1</v>
      </c>
      <c r="T61" s="23" t="str">
        <f t="shared" si="83"/>
        <v>De Paisagismo</v>
      </c>
      <c r="U61" s="23" t="str">
        <f t="shared" si="84"/>
        <v>Composições Paisagísticas</v>
      </c>
      <c r="V61" s="23" t="str">
        <f t="shared" si="85"/>
        <v>Verde Urbano</v>
      </c>
      <c r="W61" s="23" t="s">
        <v>1360</v>
      </c>
      <c r="X61" s="98" t="str">
        <f t="shared" si="14"/>
        <v>Key-PAISA-61</v>
      </c>
      <c r="Y61" s="23" t="s">
        <v>1252</v>
      </c>
      <c r="Z61" s="110" t="s">
        <v>1</v>
      </c>
      <c r="AA61" s="23" t="s">
        <v>1253</v>
      </c>
      <c r="AB61" s="110" t="s">
        <v>1</v>
      </c>
      <c r="AC61" s="23" t="s">
        <v>1254</v>
      </c>
      <c r="AD61" s="110" t="s">
        <v>1</v>
      </c>
    </row>
    <row r="62" spans="1:30" ht="6" customHeight="1" x14ac:dyDescent="0.25">
      <c r="A62" s="99">
        <v>62</v>
      </c>
      <c r="B62" s="107" t="s">
        <v>74</v>
      </c>
      <c r="C62" s="52" t="s">
        <v>1421</v>
      </c>
      <c r="D62" s="52" t="s">
        <v>1433</v>
      </c>
      <c r="E62" s="52" t="s">
        <v>1425</v>
      </c>
      <c r="F62" s="52" t="s">
        <v>1216</v>
      </c>
      <c r="G62" s="96" t="s">
        <v>1</v>
      </c>
      <c r="H62" s="96" t="s">
        <v>1</v>
      </c>
      <c r="I62" s="96" t="s">
        <v>1</v>
      </c>
      <c r="J62" s="96" t="s">
        <v>1</v>
      </c>
      <c r="K62" s="96" t="s">
        <v>1</v>
      </c>
      <c r="L62" s="100" t="str">
        <f t="shared" si="79"/>
        <v>De.Paisagismo</v>
      </c>
      <c r="M62" s="100" t="str">
        <f t="shared" si="80"/>
        <v>Composições Paisagísticas</v>
      </c>
      <c r="N62" s="100" t="str">
        <f t="shared" si="81"/>
        <v>Verde Urbano</v>
      </c>
      <c r="O62" s="100" t="str">
        <f t="shared" si="82"/>
        <v>Corbelha</v>
      </c>
      <c r="P62" s="100" t="s">
        <v>1217</v>
      </c>
      <c r="Q62" s="100" t="s">
        <v>1218</v>
      </c>
      <c r="R62" s="23" t="s">
        <v>1498</v>
      </c>
      <c r="S62" s="111" t="s">
        <v>1</v>
      </c>
      <c r="T62" s="23" t="str">
        <f t="shared" si="83"/>
        <v>De Paisagismo</v>
      </c>
      <c r="U62" s="23" t="str">
        <f t="shared" si="84"/>
        <v>Composições Paisagísticas</v>
      </c>
      <c r="V62" s="23" t="str">
        <f t="shared" si="85"/>
        <v>Verde Urbano</v>
      </c>
      <c r="W62" s="23" t="s">
        <v>1360</v>
      </c>
      <c r="X62" s="98" t="str">
        <f t="shared" si="14"/>
        <v>Key-PAISA-62</v>
      </c>
      <c r="Y62" s="23" t="s">
        <v>1252</v>
      </c>
      <c r="Z62" s="110" t="s">
        <v>1</v>
      </c>
      <c r="AA62" s="23" t="s">
        <v>1253</v>
      </c>
      <c r="AB62" s="110" t="s">
        <v>1</v>
      </c>
      <c r="AC62" s="23" t="s">
        <v>1254</v>
      </c>
      <c r="AD62" s="110" t="s">
        <v>1</v>
      </c>
    </row>
    <row r="63" spans="1:30" ht="6" customHeight="1" x14ac:dyDescent="0.25">
      <c r="A63" s="99">
        <v>63</v>
      </c>
      <c r="B63" s="107" t="s">
        <v>74</v>
      </c>
      <c r="C63" s="52" t="s">
        <v>1421</v>
      </c>
      <c r="D63" s="52" t="s">
        <v>1433</v>
      </c>
      <c r="E63" s="52" t="s">
        <v>1425</v>
      </c>
      <c r="F63" s="52" t="s">
        <v>1290</v>
      </c>
      <c r="G63" s="96" t="s">
        <v>1</v>
      </c>
      <c r="H63" s="96" t="s">
        <v>1</v>
      </c>
      <c r="I63" s="96" t="s">
        <v>1</v>
      </c>
      <c r="J63" s="96" t="s">
        <v>1</v>
      </c>
      <c r="K63" s="96" t="s">
        <v>1</v>
      </c>
      <c r="L63" s="100" t="str">
        <f t="shared" si="79"/>
        <v>De.Paisagismo</v>
      </c>
      <c r="M63" s="100" t="str">
        <f t="shared" si="80"/>
        <v>Composições Paisagísticas</v>
      </c>
      <c r="N63" s="100" t="str">
        <f t="shared" si="81"/>
        <v>Verde Urbano</v>
      </c>
      <c r="O63" s="100" t="str">
        <f t="shared" si="82"/>
        <v>Praça Seca</v>
      </c>
      <c r="P63" s="100" t="s">
        <v>1298</v>
      </c>
      <c r="Q63" s="100" t="s">
        <v>1304</v>
      </c>
      <c r="R63" s="23" t="s">
        <v>1499</v>
      </c>
      <c r="S63" s="111" t="s">
        <v>1</v>
      </c>
      <c r="T63" s="23" t="str">
        <f t="shared" si="83"/>
        <v>De Paisagismo</v>
      </c>
      <c r="U63" s="23" t="str">
        <f t="shared" si="84"/>
        <v>Composições Paisagísticas</v>
      </c>
      <c r="V63" s="23" t="str">
        <f t="shared" si="85"/>
        <v>Verde Urbano</v>
      </c>
      <c r="W63" s="23" t="s">
        <v>1360</v>
      </c>
      <c r="X63" s="98" t="str">
        <f t="shared" si="14"/>
        <v>Key-PAISA-63</v>
      </c>
      <c r="Y63" s="110" t="s">
        <v>1</v>
      </c>
      <c r="Z63" s="110" t="s">
        <v>1</v>
      </c>
      <c r="AA63" s="23" t="s">
        <v>1253</v>
      </c>
      <c r="AB63" s="110" t="s">
        <v>1</v>
      </c>
      <c r="AC63" s="23" t="s">
        <v>1254</v>
      </c>
      <c r="AD63" s="110" t="s">
        <v>1</v>
      </c>
    </row>
    <row r="64" spans="1:30" ht="6" customHeight="1" x14ac:dyDescent="0.25">
      <c r="A64" s="99">
        <v>64</v>
      </c>
      <c r="B64" s="107" t="s">
        <v>74</v>
      </c>
      <c r="C64" s="52" t="s">
        <v>1421</v>
      </c>
      <c r="D64" s="52" t="s">
        <v>1433</v>
      </c>
      <c r="E64" s="52" t="s">
        <v>1425</v>
      </c>
      <c r="F64" s="52" t="s">
        <v>1291</v>
      </c>
      <c r="G64" s="96" t="s">
        <v>1</v>
      </c>
      <c r="H64" s="96" t="s">
        <v>1</v>
      </c>
      <c r="I64" s="96" t="s">
        <v>1</v>
      </c>
      <c r="J64" s="96" t="s">
        <v>1</v>
      </c>
      <c r="K64" s="96" t="s">
        <v>1</v>
      </c>
      <c r="L64" s="100" t="str">
        <f t="shared" si="79"/>
        <v>De.Paisagismo</v>
      </c>
      <c r="M64" s="100" t="str">
        <f t="shared" si="80"/>
        <v>Composições Paisagísticas</v>
      </c>
      <c r="N64" s="100" t="str">
        <f t="shared" si="81"/>
        <v>Verde Urbano</v>
      </c>
      <c r="O64" s="100" t="str">
        <f t="shared" si="82"/>
        <v>Praça Cívica</v>
      </c>
      <c r="P64" s="100" t="s">
        <v>1299</v>
      </c>
      <c r="Q64" s="100" t="s">
        <v>1303</v>
      </c>
      <c r="R64" s="23" t="s">
        <v>1500</v>
      </c>
      <c r="S64" s="111" t="s">
        <v>1</v>
      </c>
      <c r="T64" s="23" t="str">
        <f t="shared" si="83"/>
        <v>De Paisagismo</v>
      </c>
      <c r="U64" s="23" t="str">
        <f t="shared" si="84"/>
        <v>Composições Paisagísticas</v>
      </c>
      <c r="V64" s="23" t="str">
        <f t="shared" si="85"/>
        <v>Verde Urbano</v>
      </c>
      <c r="W64" s="23" t="s">
        <v>1360</v>
      </c>
      <c r="X64" s="98" t="str">
        <f t="shared" si="14"/>
        <v>Key-PAISA-64</v>
      </c>
      <c r="Y64" s="110" t="s">
        <v>1</v>
      </c>
      <c r="Z64" s="110" t="s">
        <v>1</v>
      </c>
      <c r="AA64" s="23" t="s">
        <v>1253</v>
      </c>
      <c r="AB64" s="110" t="s">
        <v>1</v>
      </c>
      <c r="AC64" s="23" t="s">
        <v>1254</v>
      </c>
      <c r="AD64" s="110" t="s">
        <v>1</v>
      </c>
    </row>
    <row r="65" spans="1:30" ht="6" customHeight="1" x14ac:dyDescent="0.25">
      <c r="A65" s="99">
        <v>65</v>
      </c>
      <c r="B65" s="107" t="s">
        <v>74</v>
      </c>
      <c r="C65" s="52" t="s">
        <v>1421</v>
      </c>
      <c r="D65" s="52" t="s">
        <v>1433</v>
      </c>
      <c r="E65" s="52" t="s">
        <v>1425</v>
      </c>
      <c r="F65" s="52" t="s">
        <v>1292</v>
      </c>
      <c r="G65" s="96" t="s">
        <v>1</v>
      </c>
      <c r="H65" s="96" t="s">
        <v>1</v>
      </c>
      <c r="I65" s="96" t="s">
        <v>1</v>
      </c>
      <c r="J65" s="96" t="s">
        <v>1</v>
      </c>
      <c r="K65" s="96" t="s">
        <v>1</v>
      </c>
      <c r="L65" s="100" t="str">
        <f t="shared" ref="L65:L67" si="100">_xlfn.CONCAT(SUBSTITUTE(C65,"1.",""))</f>
        <v>De.Paisagismo</v>
      </c>
      <c r="M65" s="100" t="str">
        <f t="shared" ref="M65:M67" si="101">_xlfn.CONCAT(SUBSTITUTE(D65,"."," "))</f>
        <v>Composições Paisagísticas</v>
      </c>
      <c r="N65" s="100" t="str">
        <f t="shared" ref="N65:N67" si="102">_xlfn.CONCAT(SUBSTITUTE(E65,"."," "))</f>
        <v>Verde Urbano</v>
      </c>
      <c r="O65" s="100" t="str">
        <f t="shared" ref="O65:O67" si="103">_xlfn.CONCAT(SUBSTITUTE(F65,"."," "))</f>
        <v>Praça Recreativa</v>
      </c>
      <c r="P65" s="100" t="s">
        <v>1295</v>
      </c>
      <c r="Q65" s="100" t="s">
        <v>1300</v>
      </c>
      <c r="R65" s="23" t="s">
        <v>1501</v>
      </c>
      <c r="S65" s="111" t="s">
        <v>1</v>
      </c>
      <c r="T65" s="23" t="str">
        <f t="shared" ref="T65:T67" si="104">SUBSTITUTE(C65, ".", " ")</f>
        <v>De Paisagismo</v>
      </c>
      <c r="U65" s="23" t="str">
        <f t="shared" ref="U65:U67" si="105">SUBSTITUTE(D65, ".", " ")</f>
        <v>Composições Paisagísticas</v>
      </c>
      <c r="V65" s="23" t="str">
        <f t="shared" ref="V65:V67" si="106">SUBSTITUTE(E65, ".", " ")</f>
        <v>Verde Urbano</v>
      </c>
      <c r="W65" s="23" t="s">
        <v>1360</v>
      </c>
      <c r="X65" s="98" t="str">
        <f t="shared" si="14"/>
        <v>Key-PAISA-65</v>
      </c>
      <c r="Y65" s="110" t="s">
        <v>1</v>
      </c>
      <c r="Z65" s="110" t="s">
        <v>1</v>
      </c>
      <c r="AA65" s="23" t="s">
        <v>1253</v>
      </c>
      <c r="AB65" s="110" t="s">
        <v>1</v>
      </c>
      <c r="AC65" s="23" t="s">
        <v>1254</v>
      </c>
      <c r="AD65" s="110" t="s">
        <v>1</v>
      </c>
    </row>
    <row r="66" spans="1:30" ht="6" customHeight="1" x14ac:dyDescent="0.25">
      <c r="A66" s="99">
        <v>66</v>
      </c>
      <c r="B66" s="107" t="s">
        <v>74</v>
      </c>
      <c r="C66" s="52" t="s">
        <v>1421</v>
      </c>
      <c r="D66" s="52" t="s">
        <v>1433</v>
      </c>
      <c r="E66" s="52" t="s">
        <v>1425</v>
      </c>
      <c r="F66" s="52" t="s">
        <v>1293</v>
      </c>
      <c r="G66" s="96" t="s">
        <v>1</v>
      </c>
      <c r="H66" s="96" t="s">
        <v>1</v>
      </c>
      <c r="I66" s="96" t="s">
        <v>1</v>
      </c>
      <c r="J66" s="96" t="s">
        <v>1</v>
      </c>
      <c r="K66" s="96" t="s">
        <v>1</v>
      </c>
      <c r="L66" s="100" t="str">
        <f t="shared" ref="L66" si="107">_xlfn.CONCAT(SUBSTITUTE(C66,"1.",""))</f>
        <v>De.Paisagismo</v>
      </c>
      <c r="M66" s="100" t="str">
        <f t="shared" ref="M66" si="108">_xlfn.CONCAT(SUBSTITUTE(D66,"."," "))</f>
        <v>Composições Paisagísticas</v>
      </c>
      <c r="N66" s="100" t="str">
        <f t="shared" ref="N66" si="109">_xlfn.CONCAT(SUBSTITUTE(E66,"."," "))</f>
        <v>Verde Urbano</v>
      </c>
      <c r="O66" s="100" t="str">
        <f t="shared" ref="O66" si="110">_xlfn.CONCAT(SUBSTITUTE(F66,"."," "))</f>
        <v>Praça Comercial</v>
      </c>
      <c r="P66" s="100" t="s">
        <v>1296</v>
      </c>
      <c r="Q66" s="100" t="s">
        <v>1301</v>
      </c>
      <c r="R66" s="23" t="s">
        <v>1502</v>
      </c>
      <c r="S66" s="111" t="s">
        <v>1</v>
      </c>
      <c r="T66" s="23" t="str">
        <f t="shared" ref="T66" si="111">SUBSTITUTE(C66, ".", " ")</f>
        <v>De Paisagismo</v>
      </c>
      <c r="U66" s="23" t="str">
        <f t="shared" ref="U66" si="112">SUBSTITUTE(D66, ".", " ")</f>
        <v>Composições Paisagísticas</v>
      </c>
      <c r="V66" s="23" t="str">
        <f t="shared" ref="V66" si="113">SUBSTITUTE(E66, ".", " ")</f>
        <v>Verde Urbano</v>
      </c>
      <c r="W66" s="23" t="s">
        <v>1360</v>
      </c>
      <c r="X66" s="98" t="str">
        <f t="shared" si="14"/>
        <v>Key-PAISA-66</v>
      </c>
      <c r="Y66" s="110" t="s">
        <v>1</v>
      </c>
      <c r="Z66" s="110" t="s">
        <v>1</v>
      </c>
      <c r="AA66" s="23" t="s">
        <v>1253</v>
      </c>
      <c r="AB66" s="110" t="s">
        <v>1</v>
      </c>
      <c r="AC66" s="23" t="s">
        <v>1254</v>
      </c>
      <c r="AD66" s="110" t="s">
        <v>1</v>
      </c>
    </row>
    <row r="67" spans="1:30" ht="6" customHeight="1" x14ac:dyDescent="0.25">
      <c r="A67" s="99">
        <v>67</v>
      </c>
      <c r="B67" s="107" t="s">
        <v>74</v>
      </c>
      <c r="C67" s="52" t="s">
        <v>1421</v>
      </c>
      <c r="D67" s="52" t="s">
        <v>1433</v>
      </c>
      <c r="E67" s="52" t="s">
        <v>1425</v>
      </c>
      <c r="F67" s="52" t="s">
        <v>1294</v>
      </c>
      <c r="G67" s="96" t="s">
        <v>1</v>
      </c>
      <c r="H67" s="96" t="s">
        <v>1</v>
      </c>
      <c r="I67" s="96" t="s">
        <v>1</v>
      </c>
      <c r="J67" s="96" t="s">
        <v>1</v>
      </c>
      <c r="K67" s="96" t="s">
        <v>1</v>
      </c>
      <c r="L67" s="100" t="str">
        <f t="shared" si="100"/>
        <v>De.Paisagismo</v>
      </c>
      <c r="M67" s="100" t="str">
        <f t="shared" si="101"/>
        <v>Composições Paisagísticas</v>
      </c>
      <c r="N67" s="100" t="str">
        <f t="shared" si="102"/>
        <v>Verde Urbano</v>
      </c>
      <c r="O67" s="100" t="str">
        <f t="shared" si="103"/>
        <v>Praça Infantil</v>
      </c>
      <c r="P67" s="100" t="s">
        <v>1297</v>
      </c>
      <c r="Q67" s="100" t="s">
        <v>1302</v>
      </c>
      <c r="R67" s="23" t="s">
        <v>1503</v>
      </c>
      <c r="S67" s="111" t="s">
        <v>1</v>
      </c>
      <c r="T67" s="23" t="str">
        <f t="shared" si="104"/>
        <v>De Paisagismo</v>
      </c>
      <c r="U67" s="23" t="str">
        <f t="shared" si="105"/>
        <v>Composições Paisagísticas</v>
      </c>
      <c r="V67" s="23" t="str">
        <f t="shared" si="106"/>
        <v>Verde Urbano</v>
      </c>
      <c r="W67" s="23" t="s">
        <v>1360</v>
      </c>
      <c r="X67" s="98" t="str">
        <f t="shared" ref="X67:X84" si="114">CONCATENATE("Key-PAISA-",A67)</f>
        <v>Key-PAISA-67</v>
      </c>
      <c r="Y67" s="110" t="s">
        <v>1</v>
      </c>
      <c r="Z67" s="110" t="s">
        <v>1</v>
      </c>
      <c r="AA67" s="23" t="s">
        <v>1253</v>
      </c>
      <c r="AB67" s="110" t="s">
        <v>1</v>
      </c>
      <c r="AC67" s="23" t="s">
        <v>1254</v>
      </c>
      <c r="AD67" s="110" t="s">
        <v>1</v>
      </c>
    </row>
    <row r="68" spans="1:30" ht="6" customHeight="1" x14ac:dyDescent="0.25">
      <c r="A68" s="99">
        <v>68</v>
      </c>
      <c r="B68" s="107" t="s">
        <v>74</v>
      </c>
      <c r="C68" s="52" t="s">
        <v>1421</v>
      </c>
      <c r="D68" s="52" t="s">
        <v>1433</v>
      </c>
      <c r="E68" s="52" t="s">
        <v>1425</v>
      </c>
      <c r="F68" s="52" t="s">
        <v>1120</v>
      </c>
      <c r="G68" s="96" t="s">
        <v>1</v>
      </c>
      <c r="H68" s="96" t="s">
        <v>1</v>
      </c>
      <c r="I68" s="96" t="s">
        <v>1</v>
      </c>
      <c r="J68" s="96" t="s">
        <v>1</v>
      </c>
      <c r="K68" s="96" t="s">
        <v>1</v>
      </c>
      <c r="L68" s="100" t="str">
        <f t="shared" si="72"/>
        <v>De.Paisagismo</v>
      </c>
      <c r="M68" s="100" t="str">
        <f t="shared" si="73"/>
        <v>Composições Paisagísticas</v>
      </c>
      <c r="N68" s="100" t="str">
        <f t="shared" si="74"/>
        <v>Verde Urbano</v>
      </c>
      <c r="O68" s="100" t="str">
        <f t="shared" si="75"/>
        <v>Jardim Contemplativo</v>
      </c>
      <c r="P68" s="100" t="s">
        <v>1116</v>
      </c>
      <c r="Q68" s="100" t="s">
        <v>1105</v>
      </c>
      <c r="R68" s="23" t="s">
        <v>1504</v>
      </c>
      <c r="S68" s="111" t="s">
        <v>1</v>
      </c>
      <c r="T68" s="23" t="str">
        <f t="shared" si="76"/>
        <v>De Paisagismo</v>
      </c>
      <c r="U68" s="23" t="str">
        <f t="shared" si="77"/>
        <v>Composições Paisagísticas</v>
      </c>
      <c r="V68" s="23" t="str">
        <f t="shared" si="78"/>
        <v>Verde Urbano</v>
      </c>
      <c r="W68" s="23" t="s">
        <v>1360</v>
      </c>
      <c r="X68" s="98" t="str">
        <f t="shared" si="114"/>
        <v>Key-PAISA-68</v>
      </c>
      <c r="Y68" s="110" t="s">
        <v>1</v>
      </c>
      <c r="Z68" s="110" t="s">
        <v>1</v>
      </c>
      <c r="AA68" s="23" t="s">
        <v>1253</v>
      </c>
      <c r="AB68" s="110" t="s">
        <v>1</v>
      </c>
      <c r="AC68" s="23" t="s">
        <v>1254</v>
      </c>
      <c r="AD68" s="110" t="s">
        <v>1</v>
      </c>
    </row>
    <row r="69" spans="1:30" ht="6" customHeight="1" x14ac:dyDescent="0.25">
      <c r="A69" s="99">
        <v>69</v>
      </c>
      <c r="B69" s="107" t="s">
        <v>74</v>
      </c>
      <c r="C69" s="52" t="s">
        <v>1421</v>
      </c>
      <c r="D69" s="52" t="s">
        <v>1433</v>
      </c>
      <c r="E69" s="52" t="s">
        <v>1425</v>
      </c>
      <c r="F69" s="52" t="s">
        <v>1094</v>
      </c>
      <c r="G69" s="96" t="s">
        <v>1</v>
      </c>
      <c r="H69" s="96" t="s">
        <v>1</v>
      </c>
      <c r="I69" s="96" t="s">
        <v>1</v>
      </c>
      <c r="J69" s="96" t="s">
        <v>1</v>
      </c>
      <c r="K69" s="96" t="s">
        <v>1</v>
      </c>
      <c r="L69" s="100" t="str">
        <f t="shared" si="72"/>
        <v>De.Paisagismo</v>
      </c>
      <c r="M69" s="100" t="str">
        <f t="shared" si="73"/>
        <v>Composições Paisagísticas</v>
      </c>
      <c r="N69" s="100" t="str">
        <f t="shared" si="74"/>
        <v>Verde Urbano</v>
      </c>
      <c r="O69" s="100" t="str">
        <f t="shared" si="75"/>
        <v>Jardim Formal</v>
      </c>
      <c r="P69" s="100" t="s">
        <v>1117</v>
      </c>
      <c r="Q69" s="100" t="s">
        <v>1106</v>
      </c>
      <c r="R69" s="23" t="s">
        <v>1505</v>
      </c>
      <c r="S69" s="111" t="s">
        <v>1</v>
      </c>
      <c r="T69" s="23" t="str">
        <f t="shared" si="76"/>
        <v>De Paisagismo</v>
      </c>
      <c r="U69" s="23" t="str">
        <f t="shared" si="77"/>
        <v>Composições Paisagísticas</v>
      </c>
      <c r="V69" s="23" t="str">
        <f t="shared" si="78"/>
        <v>Verde Urbano</v>
      </c>
      <c r="W69" s="23" t="s">
        <v>1360</v>
      </c>
      <c r="X69" s="98" t="str">
        <f t="shared" si="114"/>
        <v>Key-PAISA-69</v>
      </c>
      <c r="Y69" s="110" t="s">
        <v>1</v>
      </c>
      <c r="Z69" s="110" t="s">
        <v>1</v>
      </c>
      <c r="AA69" s="23" t="s">
        <v>1253</v>
      </c>
      <c r="AB69" s="110" t="s">
        <v>1</v>
      </c>
      <c r="AC69" s="23" t="s">
        <v>1254</v>
      </c>
      <c r="AD69" s="110" t="s">
        <v>1</v>
      </c>
    </row>
    <row r="70" spans="1:30" ht="6" customHeight="1" x14ac:dyDescent="0.25">
      <c r="A70" s="99">
        <v>70</v>
      </c>
      <c r="B70" s="107" t="s">
        <v>74</v>
      </c>
      <c r="C70" s="52" t="s">
        <v>1421</v>
      </c>
      <c r="D70" s="52" t="s">
        <v>1433</v>
      </c>
      <c r="E70" s="52" t="s">
        <v>1425</v>
      </c>
      <c r="F70" s="52" t="s">
        <v>1095</v>
      </c>
      <c r="G70" s="96" t="s">
        <v>1</v>
      </c>
      <c r="H70" s="96" t="s">
        <v>1</v>
      </c>
      <c r="I70" s="96" t="s">
        <v>1</v>
      </c>
      <c r="J70" s="96" t="s">
        <v>1</v>
      </c>
      <c r="K70" s="96" t="s">
        <v>1</v>
      </c>
      <c r="L70" s="100" t="str">
        <f t="shared" si="72"/>
        <v>De.Paisagismo</v>
      </c>
      <c r="M70" s="100" t="str">
        <f t="shared" si="73"/>
        <v>Composições Paisagísticas</v>
      </c>
      <c r="N70" s="100" t="str">
        <f t="shared" si="74"/>
        <v>Verde Urbano</v>
      </c>
      <c r="O70" s="100" t="str">
        <f t="shared" si="75"/>
        <v>Jardim Informal</v>
      </c>
      <c r="P70" s="100" t="s">
        <v>1118</v>
      </c>
      <c r="Q70" s="100" t="s">
        <v>1107</v>
      </c>
      <c r="R70" s="23" t="s">
        <v>1506</v>
      </c>
      <c r="S70" s="111" t="s">
        <v>1</v>
      </c>
      <c r="T70" s="23" t="str">
        <f t="shared" si="76"/>
        <v>De Paisagismo</v>
      </c>
      <c r="U70" s="23" t="str">
        <f t="shared" si="77"/>
        <v>Composições Paisagísticas</v>
      </c>
      <c r="V70" s="23" t="str">
        <f t="shared" si="78"/>
        <v>Verde Urbano</v>
      </c>
      <c r="W70" s="23" t="s">
        <v>1360</v>
      </c>
      <c r="X70" s="98" t="str">
        <f t="shared" si="114"/>
        <v>Key-PAISA-70</v>
      </c>
      <c r="Y70" s="110" t="s">
        <v>1</v>
      </c>
      <c r="Z70" s="110" t="s">
        <v>1</v>
      </c>
      <c r="AA70" s="23" t="s">
        <v>1253</v>
      </c>
      <c r="AB70" s="110" t="s">
        <v>1</v>
      </c>
      <c r="AC70" s="23" t="s">
        <v>1254</v>
      </c>
      <c r="AD70" s="110" t="s">
        <v>1</v>
      </c>
    </row>
    <row r="71" spans="1:30" ht="6" customHeight="1" x14ac:dyDescent="0.25">
      <c r="A71" s="99">
        <v>71</v>
      </c>
      <c r="B71" s="107" t="s">
        <v>74</v>
      </c>
      <c r="C71" s="52" t="s">
        <v>1421</v>
      </c>
      <c r="D71" s="52" t="s">
        <v>1433</v>
      </c>
      <c r="E71" s="52" t="s">
        <v>1425</v>
      </c>
      <c r="F71" s="52" t="s">
        <v>1096</v>
      </c>
      <c r="G71" s="96" t="s">
        <v>1</v>
      </c>
      <c r="H71" s="96" t="s">
        <v>1</v>
      </c>
      <c r="I71" s="96" t="s">
        <v>1</v>
      </c>
      <c r="J71" s="96" t="s">
        <v>1</v>
      </c>
      <c r="K71" s="96" t="s">
        <v>1</v>
      </c>
      <c r="L71" s="100" t="str">
        <f t="shared" ref="L71" si="115">_xlfn.CONCAT(SUBSTITUTE(C71,"1.",""))</f>
        <v>De.Paisagismo</v>
      </c>
      <c r="M71" s="100" t="str">
        <f t="shared" ref="M71" si="116">_xlfn.CONCAT(SUBSTITUTE(D71,"."," "))</f>
        <v>Composições Paisagísticas</v>
      </c>
      <c r="N71" s="100" t="str">
        <f t="shared" ref="N71" si="117">_xlfn.CONCAT(SUBSTITUTE(E71,"."," "))</f>
        <v>Verde Urbano</v>
      </c>
      <c r="O71" s="100" t="str">
        <f t="shared" ref="O71" si="118">_xlfn.CONCAT(SUBSTITUTE(F71,"."," "))</f>
        <v>Jardim Zen</v>
      </c>
      <c r="P71" s="100" t="s">
        <v>1119</v>
      </c>
      <c r="Q71" s="100" t="s">
        <v>1108</v>
      </c>
      <c r="R71" s="23" t="s">
        <v>1507</v>
      </c>
      <c r="S71" s="111" t="s">
        <v>1</v>
      </c>
      <c r="T71" s="23" t="str">
        <f t="shared" ref="T71" si="119">SUBSTITUTE(C71, ".", " ")</f>
        <v>De Paisagismo</v>
      </c>
      <c r="U71" s="23" t="str">
        <f t="shared" ref="U71" si="120">SUBSTITUTE(D71, ".", " ")</f>
        <v>Composições Paisagísticas</v>
      </c>
      <c r="V71" s="23" t="str">
        <f t="shared" ref="V71" si="121">SUBSTITUTE(E71, ".", " ")</f>
        <v>Verde Urbano</v>
      </c>
      <c r="W71" s="23" t="s">
        <v>1360</v>
      </c>
      <c r="X71" s="98" t="str">
        <f t="shared" si="114"/>
        <v>Key-PAISA-71</v>
      </c>
      <c r="Y71" s="110" t="s">
        <v>1</v>
      </c>
      <c r="Z71" s="110" t="s">
        <v>1</v>
      </c>
      <c r="AA71" s="23" t="s">
        <v>1253</v>
      </c>
      <c r="AB71" s="110" t="s">
        <v>1</v>
      </c>
      <c r="AC71" s="23" t="s">
        <v>1254</v>
      </c>
      <c r="AD71" s="110" t="s">
        <v>1</v>
      </c>
    </row>
    <row r="72" spans="1:30" ht="6" customHeight="1" x14ac:dyDescent="0.25">
      <c r="A72" s="99">
        <v>72</v>
      </c>
      <c r="B72" s="107" t="s">
        <v>74</v>
      </c>
      <c r="C72" s="52" t="s">
        <v>1421</v>
      </c>
      <c r="D72" s="52" t="s">
        <v>1433</v>
      </c>
      <c r="E72" s="52" t="s">
        <v>1426</v>
      </c>
      <c r="F72" s="52" t="s">
        <v>1097</v>
      </c>
      <c r="G72" s="96" t="s">
        <v>1</v>
      </c>
      <c r="H72" s="96" t="s">
        <v>1</v>
      </c>
      <c r="I72" s="96" t="s">
        <v>1</v>
      </c>
      <c r="J72" s="96" t="s">
        <v>1</v>
      </c>
      <c r="K72" s="96" t="s">
        <v>1</v>
      </c>
      <c r="L72" s="100" t="str">
        <f t="shared" si="64"/>
        <v>De.Paisagismo</v>
      </c>
      <c r="M72" s="100" t="str">
        <f t="shared" si="65"/>
        <v>Composições Paisagísticas</v>
      </c>
      <c r="N72" s="100" t="str">
        <f t="shared" si="66"/>
        <v>Cinza Urbano</v>
      </c>
      <c r="O72" s="100" t="str">
        <f t="shared" si="67"/>
        <v>Área Mineral</v>
      </c>
      <c r="P72" s="100" t="s">
        <v>1123</v>
      </c>
      <c r="Q72" s="23" t="s">
        <v>1328</v>
      </c>
      <c r="R72" s="23" t="s">
        <v>1508</v>
      </c>
      <c r="S72" s="111" t="s">
        <v>1</v>
      </c>
      <c r="T72" s="23" t="str">
        <f t="shared" si="68"/>
        <v>De Paisagismo</v>
      </c>
      <c r="U72" s="23" t="str">
        <f t="shared" si="69"/>
        <v>Composições Paisagísticas</v>
      </c>
      <c r="V72" s="23" t="str">
        <f t="shared" si="70"/>
        <v>Cinza Urbano</v>
      </c>
      <c r="W72" s="23" t="s">
        <v>1360</v>
      </c>
      <c r="X72" s="98" t="str">
        <f t="shared" si="114"/>
        <v>Key-PAISA-72</v>
      </c>
      <c r="Y72" s="23" t="s">
        <v>1257</v>
      </c>
      <c r="Z72" s="110" t="s">
        <v>1</v>
      </c>
      <c r="AA72" s="23" t="s">
        <v>1258</v>
      </c>
      <c r="AB72" s="110" t="s">
        <v>1</v>
      </c>
      <c r="AC72" s="23" t="s">
        <v>1255</v>
      </c>
      <c r="AD72" s="110" t="s">
        <v>1</v>
      </c>
    </row>
    <row r="73" spans="1:30" ht="6" customHeight="1" x14ac:dyDescent="0.25">
      <c r="A73" s="99">
        <v>73</v>
      </c>
      <c r="B73" s="107" t="s">
        <v>74</v>
      </c>
      <c r="C73" s="52" t="s">
        <v>1421</v>
      </c>
      <c r="D73" s="52" t="s">
        <v>1433</v>
      </c>
      <c r="E73" s="52" t="s">
        <v>1426</v>
      </c>
      <c r="F73" s="52" t="s">
        <v>1305</v>
      </c>
      <c r="G73" s="96" t="s">
        <v>1</v>
      </c>
      <c r="H73" s="96" t="s">
        <v>1</v>
      </c>
      <c r="I73" s="96" t="s">
        <v>1</v>
      </c>
      <c r="J73" s="96" t="s">
        <v>1</v>
      </c>
      <c r="K73" s="96" t="s">
        <v>1</v>
      </c>
      <c r="L73" s="100" t="str">
        <f t="shared" si="64"/>
        <v>De.Paisagismo</v>
      </c>
      <c r="M73" s="100" t="str">
        <f t="shared" si="65"/>
        <v>Composições Paisagísticas</v>
      </c>
      <c r="N73" s="100" t="str">
        <f t="shared" si="66"/>
        <v>Cinza Urbano</v>
      </c>
      <c r="O73" s="100" t="str">
        <f t="shared" si="67"/>
        <v>Banco de Praça</v>
      </c>
      <c r="P73" s="100" t="s">
        <v>1323</v>
      </c>
      <c r="Q73" s="23" t="s">
        <v>1331</v>
      </c>
      <c r="R73" s="23" t="s">
        <v>1509</v>
      </c>
      <c r="S73" s="111" t="s">
        <v>1</v>
      </c>
      <c r="T73" s="23" t="str">
        <f t="shared" si="68"/>
        <v>De Paisagismo</v>
      </c>
      <c r="U73" s="23" t="str">
        <f t="shared" si="69"/>
        <v>Composições Paisagísticas</v>
      </c>
      <c r="V73" s="23" t="str">
        <f t="shared" si="70"/>
        <v>Cinza Urbano</v>
      </c>
      <c r="W73" s="23" t="s">
        <v>1360</v>
      </c>
      <c r="X73" s="98" t="str">
        <f t="shared" si="114"/>
        <v>Key-PAISA-73</v>
      </c>
      <c r="Y73" s="23" t="s">
        <v>1319</v>
      </c>
      <c r="Z73" s="110" t="s">
        <v>1</v>
      </c>
      <c r="AA73" s="23" t="s">
        <v>1320</v>
      </c>
      <c r="AB73" s="110" t="s">
        <v>1</v>
      </c>
      <c r="AC73" s="23" t="s">
        <v>1254</v>
      </c>
      <c r="AD73" s="110" t="s">
        <v>1</v>
      </c>
    </row>
    <row r="74" spans="1:30" ht="6" customHeight="1" x14ac:dyDescent="0.25">
      <c r="A74" s="99">
        <v>74</v>
      </c>
      <c r="B74" s="107" t="s">
        <v>74</v>
      </c>
      <c r="C74" s="52" t="s">
        <v>1421</v>
      </c>
      <c r="D74" s="52" t="s">
        <v>1433</v>
      </c>
      <c r="E74" s="52" t="s">
        <v>1426</v>
      </c>
      <c r="F74" s="52" t="s">
        <v>1306</v>
      </c>
      <c r="G74" s="96" t="s">
        <v>1</v>
      </c>
      <c r="H74" s="96" t="s">
        <v>1</v>
      </c>
      <c r="I74" s="96" t="s">
        <v>1</v>
      </c>
      <c r="J74" s="96" t="s">
        <v>1</v>
      </c>
      <c r="K74" s="96" t="s">
        <v>1</v>
      </c>
      <c r="L74" s="100" t="str">
        <f t="shared" ref="L74" si="122">_xlfn.CONCAT(SUBSTITUTE(C74,"1.",""))</f>
        <v>De.Paisagismo</v>
      </c>
      <c r="M74" s="100" t="str">
        <f t="shared" ref="M74" si="123">_xlfn.CONCAT(SUBSTITUTE(D74,"."," "))</f>
        <v>Composições Paisagísticas</v>
      </c>
      <c r="N74" s="100" t="str">
        <f t="shared" ref="N74" si="124">_xlfn.CONCAT(SUBSTITUTE(E74,"."," "))</f>
        <v>Cinza Urbano</v>
      </c>
      <c r="O74" s="100" t="str">
        <f t="shared" ref="O74" si="125">_xlfn.CONCAT(SUBSTITUTE(F74,"."," "))</f>
        <v>Mesa de Praça</v>
      </c>
      <c r="P74" s="100" t="s">
        <v>1321</v>
      </c>
      <c r="Q74" s="23" t="s">
        <v>1330</v>
      </c>
      <c r="R74" s="23" t="s">
        <v>1510</v>
      </c>
      <c r="S74" s="111" t="s">
        <v>1</v>
      </c>
      <c r="T74" s="23" t="str">
        <f t="shared" ref="T74" si="126">SUBSTITUTE(C74, ".", " ")</f>
        <v>De Paisagismo</v>
      </c>
      <c r="U74" s="23" t="str">
        <f t="shared" ref="U74" si="127">SUBSTITUTE(D74, ".", " ")</f>
        <v>Composições Paisagísticas</v>
      </c>
      <c r="V74" s="23" t="str">
        <f t="shared" ref="V74" si="128">SUBSTITUTE(E74, ".", " ")</f>
        <v>Cinza Urbano</v>
      </c>
      <c r="W74" s="23" t="s">
        <v>1360</v>
      </c>
      <c r="X74" s="98" t="str">
        <f t="shared" si="114"/>
        <v>Key-PAISA-74</v>
      </c>
      <c r="Y74" s="23" t="s">
        <v>1319</v>
      </c>
      <c r="Z74" s="110" t="s">
        <v>1</v>
      </c>
      <c r="AA74" s="23" t="s">
        <v>1320</v>
      </c>
      <c r="AB74" s="110" t="s">
        <v>1</v>
      </c>
      <c r="AC74" s="23" t="s">
        <v>1255</v>
      </c>
      <c r="AD74" s="110" t="s">
        <v>1</v>
      </c>
    </row>
    <row r="75" spans="1:30" ht="6" customHeight="1" x14ac:dyDescent="0.25">
      <c r="A75" s="99">
        <v>75</v>
      </c>
      <c r="B75" s="107" t="s">
        <v>74</v>
      </c>
      <c r="C75" s="52" t="s">
        <v>1421</v>
      </c>
      <c r="D75" s="52" t="s">
        <v>1433</v>
      </c>
      <c r="E75" s="52" t="s">
        <v>1426</v>
      </c>
      <c r="F75" s="52" t="s">
        <v>1307</v>
      </c>
      <c r="G75" s="96" t="s">
        <v>1</v>
      </c>
      <c r="H75" s="96" t="s">
        <v>1</v>
      </c>
      <c r="I75" s="96" t="s">
        <v>1</v>
      </c>
      <c r="J75" s="96" t="s">
        <v>1</v>
      </c>
      <c r="K75" s="96" t="s">
        <v>1</v>
      </c>
      <c r="L75" s="100" t="str">
        <f t="shared" ref="L75" si="129">_xlfn.CONCAT(SUBSTITUTE(C75,"1.",""))</f>
        <v>De.Paisagismo</v>
      </c>
      <c r="M75" s="100" t="str">
        <f t="shared" ref="M75" si="130">_xlfn.CONCAT(SUBSTITUTE(D75,"."," "))</f>
        <v>Composições Paisagísticas</v>
      </c>
      <c r="N75" s="100" t="str">
        <f t="shared" ref="N75" si="131">_xlfn.CONCAT(SUBSTITUTE(E75,"."," "))</f>
        <v>Cinza Urbano</v>
      </c>
      <c r="O75" s="100" t="str">
        <f t="shared" ref="O75" si="132">_xlfn.CONCAT(SUBSTITUTE(F75,"."," "))</f>
        <v>Jogo de Praça</v>
      </c>
      <c r="P75" s="100" t="s">
        <v>1322</v>
      </c>
      <c r="Q75" s="23" t="s">
        <v>1329</v>
      </c>
      <c r="R75" s="23" t="s">
        <v>1511</v>
      </c>
      <c r="S75" s="111" t="s">
        <v>1</v>
      </c>
      <c r="T75" s="23" t="str">
        <f t="shared" ref="T75" si="133">SUBSTITUTE(C75, ".", " ")</f>
        <v>De Paisagismo</v>
      </c>
      <c r="U75" s="23" t="str">
        <f t="shared" ref="U75" si="134">SUBSTITUTE(D75, ".", " ")</f>
        <v>Composições Paisagísticas</v>
      </c>
      <c r="V75" s="23" t="str">
        <f t="shared" ref="V75" si="135">SUBSTITUTE(E75, ".", " ")</f>
        <v>Cinza Urbano</v>
      </c>
      <c r="W75" s="23" t="s">
        <v>1360</v>
      </c>
      <c r="X75" s="98" t="str">
        <f t="shared" si="114"/>
        <v>Key-PAISA-75</v>
      </c>
      <c r="Y75" s="23" t="s">
        <v>1318</v>
      </c>
      <c r="Z75" s="110" t="s">
        <v>1</v>
      </c>
      <c r="AA75" s="23" t="s">
        <v>1253</v>
      </c>
      <c r="AB75" s="110" t="s">
        <v>1</v>
      </c>
      <c r="AC75" s="23" t="s">
        <v>1255</v>
      </c>
      <c r="AD75" s="110" t="s">
        <v>1</v>
      </c>
    </row>
    <row r="76" spans="1:30" ht="6" customHeight="1" x14ac:dyDescent="0.25">
      <c r="A76" s="99">
        <v>76</v>
      </c>
      <c r="B76" s="107" t="s">
        <v>74</v>
      </c>
      <c r="C76" s="52" t="s">
        <v>1421</v>
      </c>
      <c r="D76" s="52" t="s">
        <v>1433</v>
      </c>
      <c r="E76" s="52" t="s">
        <v>1426</v>
      </c>
      <c r="F76" s="52" t="s">
        <v>1308</v>
      </c>
      <c r="G76" s="96" t="s">
        <v>1</v>
      </c>
      <c r="H76" s="96" t="s">
        <v>1</v>
      </c>
      <c r="I76" s="96" t="s">
        <v>1</v>
      </c>
      <c r="J76" s="96" t="s">
        <v>1</v>
      </c>
      <c r="K76" s="96" t="s">
        <v>1</v>
      </c>
      <c r="L76" s="100" t="str">
        <f t="shared" ref="L76" si="136">_xlfn.CONCAT(SUBSTITUTE(C76,"1.",""))</f>
        <v>De.Paisagismo</v>
      </c>
      <c r="M76" s="100" t="str">
        <f t="shared" ref="M76" si="137">_xlfn.CONCAT(SUBSTITUTE(D76,"."," "))</f>
        <v>Composições Paisagísticas</v>
      </c>
      <c r="N76" s="100" t="str">
        <f t="shared" ref="N76" si="138">_xlfn.CONCAT(SUBSTITUTE(E76,"."," "))</f>
        <v>Cinza Urbano</v>
      </c>
      <c r="O76" s="100" t="str">
        <f t="shared" ref="O76" si="139">_xlfn.CONCAT(SUBSTITUTE(F76,"."," "))</f>
        <v>Escultura de Praça</v>
      </c>
      <c r="P76" s="100" t="s">
        <v>1325</v>
      </c>
      <c r="Q76" s="23" t="s">
        <v>1332</v>
      </c>
      <c r="R76" s="23" t="s">
        <v>1512</v>
      </c>
      <c r="S76" s="111" t="s">
        <v>1</v>
      </c>
      <c r="T76" s="23" t="str">
        <f t="shared" ref="T76" si="140">SUBSTITUTE(C76, ".", " ")</f>
        <v>De Paisagismo</v>
      </c>
      <c r="U76" s="23" t="str">
        <f t="shared" ref="U76" si="141">SUBSTITUTE(D76, ".", " ")</f>
        <v>Composições Paisagísticas</v>
      </c>
      <c r="V76" s="23" t="str">
        <f t="shared" ref="V76" si="142">SUBSTITUTE(E76, ".", " ")</f>
        <v>Cinza Urbano</v>
      </c>
      <c r="W76" s="23" t="s">
        <v>1360</v>
      </c>
      <c r="X76" s="98" t="str">
        <f t="shared" si="114"/>
        <v>Key-PAISA-76</v>
      </c>
      <c r="Y76" s="23" t="s">
        <v>1318</v>
      </c>
      <c r="Z76" s="110" t="s">
        <v>1</v>
      </c>
      <c r="AA76" s="23" t="s">
        <v>1253</v>
      </c>
      <c r="AB76" s="110" t="s">
        <v>1</v>
      </c>
      <c r="AC76" s="23" t="s">
        <v>1255</v>
      </c>
      <c r="AD76" s="110" t="s">
        <v>1</v>
      </c>
    </row>
    <row r="77" spans="1:30" ht="6" customHeight="1" x14ac:dyDescent="0.25">
      <c r="A77" s="99">
        <v>77</v>
      </c>
      <c r="B77" s="107" t="s">
        <v>74</v>
      </c>
      <c r="C77" s="52" t="s">
        <v>1421</v>
      </c>
      <c r="D77" s="52" t="s">
        <v>1433</v>
      </c>
      <c r="E77" s="52" t="s">
        <v>1426</v>
      </c>
      <c r="F77" s="52" t="s">
        <v>1309</v>
      </c>
      <c r="G77" s="96" t="s">
        <v>1</v>
      </c>
      <c r="H77" s="96" t="s">
        <v>1</v>
      </c>
      <c r="I77" s="96" t="s">
        <v>1</v>
      </c>
      <c r="J77" s="96" t="s">
        <v>1</v>
      </c>
      <c r="K77" s="96" t="s">
        <v>1</v>
      </c>
      <c r="L77" s="100" t="str">
        <f t="shared" ref="L77:L79" si="143">_xlfn.CONCAT(SUBSTITUTE(C77,"1.",""))</f>
        <v>De.Paisagismo</v>
      </c>
      <c r="M77" s="100" t="str">
        <f t="shared" ref="M77:M79" si="144">_xlfn.CONCAT(SUBSTITUTE(D77,"."," "))</f>
        <v>Composições Paisagísticas</v>
      </c>
      <c r="N77" s="100" t="str">
        <f t="shared" ref="N77:N79" si="145">_xlfn.CONCAT(SUBSTITUTE(E77,"."," "))</f>
        <v>Cinza Urbano</v>
      </c>
      <c r="O77" s="100" t="str">
        <f t="shared" ref="O77:O79" si="146">_xlfn.CONCAT(SUBSTITUTE(F77,"."," "))</f>
        <v>Monumento Cívico</v>
      </c>
      <c r="P77" s="100" t="s">
        <v>1324</v>
      </c>
      <c r="Q77" s="23" t="s">
        <v>1333</v>
      </c>
      <c r="R77" s="23" t="s">
        <v>1513</v>
      </c>
      <c r="S77" s="111" t="s">
        <v>1</v>
      </c>
      <c r="T77" s="23" t="str">
        <f t="shared" ref="T77:V84" si="147">SUBSTITUTE(C77, ".", " ")</f>
        <v>De Paisagismo</v>
      </c>
      <c r="U77" s="23" t="str">
        <f t="shared" ref="U77:U79" si="148">SUBSTITUTE(D77, ".", " ")</f>
        <v>Composições Paisagísticas</v>
      </c>
      <c r="V77" s="23" t="str">
        <f t="shared" ref="V77:V79" si="149">SUBSTITUTE(E77, ".", " ")</f>
        <v>Cinza Urbano</v>
      </c>
      <c r="W77" s="23" t="s">
        <v>1360</v>
      </c>
      <c r="X77" s="98" t="str">
        <f t="shared" si="114"/>
        <v>Key-PAISA-77</v>
      </c>
      <c r="Y77" s="23" t="s">
        <v>1318</v>
      </c>
      <c r="Z77" s="110" t="s">
        <v>1</v>
      </c>
      <c r="AA77" s="23" t="s">
        <v>1253</v>
      </c>
      <c r="AB77" s="110" t="s">
        <v>1</v>
      </c>
      <c r="AC77" s="23" t="s">
        <v>1255</v>
      </c>
      <c r="AD77" s="110" t="s">
        <v>1</v>
      </c>
    </row>
    <row r="78" spans="1:30" ht="6" customHeight="1" x14ac:dyDescent="0.25">
      <c r="A78" s="99">
        <v>78</v>
      </c>
      <c r="B78" s="107" t="s">
        <v>74</v>
      </c>
      <c r="C78" s="52" t="s">
        <v>1421</v>
      </c>
      <c r="D78" s="52" t="s">
        <v>1433</v>
      </c>
      <c r="E78" s="52" t="s">
        <v>1427</v>
      </c>
      <c r="F78" s="52" t="s">
        <v>1310</v>
      </c>
      <c r="G78" s="96" t="s">
        <v>1</v>
      </c>
      <c r="H78" s="96" t="s">
        <v>1</v>
      </c>
      <c r="I78" s="96" t="s">
        <v>1</v>
      </c>
      <c r="J78" s="96" t="s">
        <v>1</v>
      </c>
      <c r="K78" s="96" t="s">
        <v>1</v>
      </c>
      <c r="L78" s="100" t="str">
        <f t="shared" si="143"/>
        <v>De.Paisagismo</v>
      </c>
      <c r="M78" s="100" t="str">
        <f t="shared" si="144"/>
        <v>Composições Paisagísticas</v>
      </c>
      <c r="N78" s="100" t="str">
        <f t="shared" si="145"/>
        <v>Amarelo Urbano</v>
      </c>
      <c r="O78" s="100" t="str">
        <f t="shared" si="146"/>
        <v>Poste de Luz</v>
      </c>
      <c r="P78" s="100" t="s">
        <v>1327</v>
      </c>
      <c r="Q78" s="23" t="s">
        <v>1334</v>
      </c>
      <c r="R78" s="23" t="s">
        <v>1514</v>
      </c>
      <c r="S78" s="111" t="s">
        <v>1</v>
      </c>
      <c r="T78" s="23" t="str">
        <f t="shared" si="147"/>
        <v>De Paisagismo</v>
      </c>
      <c r="U78" s="23" t="str">
        <f t="shared" si="148"/>
        <v>Composições Paisagísticas</v>
      </c>
      <c r="V78" s="23" t="str">
        <f t="shared" si="149"/>
        <v>Amarelo Urbano</v>
      </c>
      <c r="W78" s="23" t="s">
        <v>1360</v>
      </c>
      <c r="X78" s="98" t="str">
        <f t="shared" si="114"/>
        <v>Key-PAISA-78</v>
      </c>
      <c r="Y78" s="23" t="s">
        <v>1312</v>
      </c>
      <c r="Z78" s="110" t="s">
        <v>1</v>
      </c>
      <c r="AA78" s="101" t="s">
        <v>1313</v>
      </c>
      <c r="AB78" s="110" t="s">
        <v>1</v>
      </c>
      <c r="AC78" s="23" t="s">
        <v>1314</v>
      </c>
      <c r="AD78" s="110" t="s">
        <v>1</v>
      </c>
    </row>
    <row r="79" spans="1:30" ht="6" customHeight="1" x14ac:dyDescent="0.25">
      <c r="A79" s="99">
        <v>79</v>
      </c>
      <c r="B79" s="107" t="s">
        <v>74</v>
      </c>
      <c r="C79" s="52" t="s">
        <v>1421</v>
      </c>
      <c r="D79" s="52" t="s">
        <v>1433</v>
      </c>
      <c r="E79" s="52" t="s">
        <v>1427</v>
      </c>
      <c r="F79" s="52" t="s">
        <v>1414</v>
      </c>
      <c r="G79" s="96" t="s">
        <v>1</v>
      </c>
      <c r="H79" s="96" t="s">
        <v>1</v>
      </c>
      <c r="I79" s="96" t="s">
        <v>1</v>
      </c>
      <c r="J79" s="96" t="s">
        <v>1</v>
      </c>
      <c r="K79" s="96" t="s">
        <v>1</v>
      </c>
      <c r="L79" s="100" t="str">
        <f t="shared" si="143"/>
        <v>De.Paisagismo</v>
      </c>
      <c r="M79" s="100" t="str">
        <f t="shared" si="144"/>
        <v>Composições Paisagísticas</v>
      </c>
      <c r="N79" s="100" t="str">
        <f t="shared" si="145"/>
        <v>Amarelo Urbano</v>
      </c>
      <c r="O79" s="100" t="str">
        <f t="shared" si="146"/>
        <v>Totem</v>
      </c>
      <c r="P79" s="100" t="s">
        <v>1326</v>
      </c>
      <c r="Q79" s="23" t="s">
        <v>1335</v>
      </c>
      <c r="R79" s="23" t="s">
        <v>1515</v>
      </c>
      <c r="S79" s="111" t="s">
        <v>1</v>
      </c>
      <c r="T79" s="23" t="str">
        <f t="shared" si="147"/>
        <v>De Paisagismo</v>
      </c>
      <c r="U79" s="23" t="str">
        <f t="shared" si="148"/>
        <v>Composições Paisagísticas</v>
      </c>
      <c r="V79" s="23" t="str">
        <f t="shared" si="149"/>
        <v>Amarelo Urbano</v>
      </c>
      <c r="W79" s="23" t="s">
        <v>1360</v>
      </c>
      <c r="X79" s="98" t="str">
        <f t="shared" si="114"/>
        <v>Key-PAISA-79</v>
      </c>
      <c r="Y79" s="101" t="s">
        <v>1315</v>
      </c>
      <c r="Z79" s="110" t="s">
        <v>1</v>
      </c>
      <c r="AA79" s="101" t="s">
        <v>1316</v>
      </c>
      <c r="AB79" s="110" t="s">
        <v>1</v>
      </c>
      <c r="AC79" s="23" t="s">
        <v>1317</v>
      </c>
      <c r="AD79" s="110" t="s">
        <v>1</v>
      </c>
    </row>
    <row r="80" spans="1:30" s="112" customFormat="1" ht="6.75" customHeight="1" x14ac:dyDescent="0.25">
      <c r="A80" s="99">
        <v>80</v>
      </c>
      <c r="B80" s="107" t="s">
        <v>1540</v>
      </c>
      <c r="C80" s="52" t="s">
        <v>1541</v>
      </c>
      <c r="D80" s="52" t="s">
        <v>1542</v>
      </c>
      <c r="E80" s="52" t="s">
        <v>1543</v>
      </c>
      <c r="F80" s="52" t="s">
        <v>1519</v>
      </c>
      <c r="G80" s="96" t="s">
        <v>1</v>
      </c>
      <c r="H80" s="96" t="s">
        <v>1</v>
      </c>
      <c r="I80" s="96" t="s">
        <v>1</v>
      </c>
      <c r="J80" s="96" t="s">
        <v>1</v>
      </c>
      <c r="K80" s="96" t="s">
        <v>1</v>
      </c>
      <c r="L80" s="108" t="s">
        <v>1541</v>
      </c>
      <c r="M80" s="108" t="s">
        <v>1542</v>
      </c>
      <c r="N80" s="108" t="s">
        <v>1544</v>
      </c>
      <c r="O80" s="108" t="s">
        <v>1545</v>
      </c>
      <c r="P80" s="23" t="s">
        <v>1520</v>
      </c>
      <c r="Q80" s="23" t="s">
        <v>1521</v>
      </c>
      <c r="R80" s="23" t="s">
        <v>1522</v>
      </c>
      <c r="S80" s="111" t="s">
        <v>1</v>
      </c>
      <c r="T80" s="23" t="s">
        <v>1546</v>
      </c>
      <c r="U80" s="23" t="s">
        <v>1547</v>
      </c>
      <c r="V80" s="109" t="s">
        <v>1544</v>
      </c>
      <c r="W80" s="23" t="s">
        <v>1360</v>
      </c>
      <c r="X80" s="98" t="str">
        <f t="shared" si="114"/>
        <v>Key-PAISA-80</v>
      </c>
      <c r="Y80" s="110" t="s">
        <v>1</v>
      </c>
      <c r="Z80" s="110" t="s">
        <v>1</v>
      </c>
      <c r="AA80" s="110" t="s">
        <v>1</v>
      </c>
      <c r="AB80" s="110" t="s">
        <v>1</v>
      </c>
      <c r="AC80" s="110" t="s">
        <v>1</v>
      </c>
      <c r="AD80" s="110" t="s">
        <v>1</v>
      </c>
    </row>
    <row r="81" spans="1:30" s="112" customFormat="1" ht="6.75" customHeight="1" x14ac:dyDescent="0.25">
      <c r="A81" s="99">
        <v>81</v>
      </c>
      <c r="B81" s="107" t="s">
        <v>1540</v>
      </c>
      <c r="C81" s="52" t="s">
        <v>1541</v>
      </c>
      <c r="D81" s="52" t="s">
        <v>1542</v>
      </c>
      <c r="E81" s="52" t="s">
        <v>1543</v>
      </c>
      <c r="F81" s="52" t="s">
        <v>1523</v>
      </c>
      <c r="G81" s="96" t="s">
        <v>1</v>
      </c>
      <c r="H81" s="96" t="s">
        <v>1</v>
      </c>
      <c r="I81" s="96" t="s">
        <v>1</v>
      </c>
      <c r="J81" s="96" t="s">
        <v>1</v>
      </c>
      <c r="K81" s="96" t="s">
        <v>1</v>
      </c>
      <c r="L81" s="108" t="s">
        <v>1541</v>
      </c>
      <c r="M81" s="108" t="s">
        <v>1542</v>
      </c>
      <c r="N81" s="108" t="s">
        <v>1544</v>
      </c>
      <c r="O81" s="108" t="s">
        <v>1548</v>
      </c>
      <c r="P81" s="23" t="s">
        <v>1524</v>
      </c>
      <c r="Q81" s="23" t="s">
        <v>1525</v>
      </c>
      <c r="R81" s="23" t="s">
        <v>1526</v>
      </c>
      <c r="S81" s="111" t="s">
        <v>1</v>
      </c>
      <c r="T81" s="23" t="s">
        <v>1546</v>
      </c>
      <c r="U81" s="23" t="s">
        <v>1547</v>
      </c>
      <c r="V81" s="109" t="s">
        <v>1544</v>
      </c>
      <c r="W81" s="23" t="s">
        <v>1360</v>
      </c>
      <c r="X81" s="98" t="str">
        <f t="shared" si="114"/>
        <v>Key-PAISA-81</v>
      </c>
      <c r="Y81" s="110" t="s">
        <v>1</v>
      </c>
      <c r="Z81" s="110" t="s">
        <v>1</v>
      </c>
      <c r="AA81" s="110" t="s">
        <v>1</v>
      </c>
      <c r="AB81" s="110" t="s">
        <v>1</v>
      </c>
      <c r="AC81" s="110" t="s">
        <v>1</v>
      </c>
      <c r="AD81" s="110" t="s">
        <v>1</v>
      </c>
    </row>
    <row r="82" spans="1:30" s="112" customFormat="1" ht="6.75" customHeight="1" x14ac:dyDescent="0.25">
      <c r="A82" s="99">
        <v>82</v>
      </c>
      <c r="B82" s="107" t="s">
        <v>1540</v>
      </c>
      <c r="C82" s="52" t="s">
        <v>1541</v>
      </c>
      <c r="D82" s="52" t="s">
        <v>1542</v>
      </c>
      <c r="E82" s="52" t="s">
        <v>1543</v>
      </c>
      <c r="F82" s="52" t="s">
        <v>1527</v>
      </c>
      <c r="G82" s="96" t="s">
        <v>1</v>
      </c>
      <c r="H82" s="96" t="s">
        <v>1</v>
      </c>
      <c r="I82" s="96" t="s">
        <v>1</v>
      </c>
      <c r="J82" s="96" t="s">
        <v>1</v>
      </c>
      <c r="K82" s="96" t="s">
        <v>1</v>
      </c>
      <c r="L82" s="108" t="s">
        <v>1541</v>
      </c>
      <c r="M82" s="108" t="s">
        <v>1542</v>
      </c>
      <c r="N82" s="108" t="s">
        <v>1544</v>
      </c>
      <c r="O82" s="108" t="s">
        <v>1549</v>
      </c>
      <c r="P82" s="23" t="s">
        <v>1528</v>
      </c>
      <c r="Q82" s="23" t="s">
        <v>1529</v>
      </c>
      <c r="R82" s="23" t="s">
        <v>1530</v>
      </c>
      <c r="S82" s="111" t="s">
        <v>1</v>
      </c>
      <c r="T82" s="23" t="s">
        <v>1546</v>
      </c>
      <c r="U82" s="23" t="s">
        <v>1547</v>
      </c>
      <c r="V82" s="109" t="s">
        <v>1544</v>
      </c>
      <c r="W82" s="23" t="s">
        <v>1360</v>
      </c>
      <c r="X82" s="98" t="str">
        <f t="shared" si="114"/>
        <v>Key-PAISA-82</v>
      </c>
      <c r="Y82" s="110" t="s">
        <v>1</v>
      </c>
      <c r="Z82" s="110" t="s">
        <v>1</v>
      </c>
      <c r="AA82" s="110" t="s">
        <v>1</v>
      </c>
      <c r="AB82" s="110" t="s">
        <v>1</v>
      </c>
      <c r="AC82" s="110" t="s">
        <v>1</v>
      </c>
      <c r="AD82" s="110" t="s">
        <v>1</v>
      </c>
    </row>
    <row r="83" spans="1:30" s="112" customFormat="1" ht="6.75" customHeight="1" x14ac:dyDescent="0.25">
      <c r="A83" s="99">
        <v>83</v>
      </c>
      <c r="B83" s="107" t="s">
        <v>1540</v>
      </c>
      <c r="C83" s="52" t="s">
        <v>1541</v>
      </c>
      <c r="D83" s="52" t="s">
        <v>1542</v>
      </c>
      <c r="E83" s="52" t="s">
        <v>1543</v>
      </c>
      <c r="F83" s="52" t="s">
        <v>1531</v>
      </c>
      <c r="G83" s="96" t="s">
        <v>1</v>
      </c>
      <c r="H83" s="96" t="s">
        <v>1</v>
      </c>
      <c r="I83" s="96" t="s">
        <v>1</v>
      </c>
      <c r="J83" s="96" t="s">
        <v>1</v>
      </c>
      <c r="K83" s="96" t="s">
        <v>1</v>
      </c>
      <c r="L83" s="108" t="s">
        <v>1541</v>
      </c>
      <c r="M83" s="108" t="s">
        <v>1542</v>
      </c>
      <c r="N83" s="108" t="s">
        <v>1544</v>
      </c>
      <c r="O83" s="108" t="s">
        <v>1550</v>
      </c>
      <c r="P83" s="23" t="s">
        <v>1532</v>
      </c>
      <c r="Q83" s="23" t="s">
        <v>1533</v>
      </c>
      <c r="R83" s="23" t="s">
        <v>1534</v>
      </c>
      <c r="S83" s="111" t="s">
        <v>1</v>
      </c>
      <c r="T83" s="23" t="s">
        <v>1546</v>
      </c>
      <c r="U83" s="23" t="s">
        <v>1547</v>
      </c>
      <c r="V83" s="109" t="s">
        <v>1544</v>
      </c>
      <c r="W83" s="23" t="s">
        <v>1360</v>
      </c>
      <c r="X83" s="98" t="str">
        <f t="shared" si="114"/>
        <v>Key-PAISA-83</v>
      </c>
      <c r="Y83" s="110" t="s">
        <v>1</v>
      </c>
      <c r="Z83" s="110" t="s">
        <v>1</v>
      </c>
      <c r="AA83" s="110" t="s">
        <v>1</v>
      </c>
      <c r="AB83" s="110" t="s">
        <v>1</v>
      </c>
      <c r="AC83" s="110" t="s">
        <v>1</v>
      </c>
      <c r="AD83" s="110" t="s">
        <v>1</v>
      </c>
    </row>
    <row r="84" spans="1:30" s="112" customFormat="1" ht="6.75" customHeight="1" x14ac:dyDescent="0.25">
      <c r="A84" s="99">
        <v>84</v>
      </c>
      <c r="B84" s="107" t="s">
        <v>1540</v>
      </c>
      <c r="C84" s="52" t="s">
        <v>1541</v>
      </c>
      <c r="D84" s="52" t="s">
        <v>1551</v>
      </c>
      <c r="E84" s="52" t="s">
        <v>1552</v>
      </c>
      <c r="F84" s="52" t="s">
        <v>1535</v>
      </c>
      <c r="G84" s="96" t="s">
        <v>1</v>
      </c>
      <c r="H84" s="96" t="s">
        <v>1</v>
      </c>
      <c r="I84" s="96" t="s">
        <v>1</v>
      </c>
      <c r="J84" s="96" t="s">
        <v>1</v>
      </c>
      <c r="K84" s="96" t="s">
        <v>1</v>
      </c>
      <c r="L84" s="108" t="s">
        <v>1541</v>
      </c>
      <c r="M84" s="108" t="s">
        <v>1551</v>
      </c>
      <c r="N84" s="108" t="s">
        <v>1553</v>
      </c>
      <c r="O84" s="108" t="s">
        <v>1554</v>
      </c>
      <c r="P84" s="23" t="s">
        <v>1536</v>
      </c>
      <c r="Q84" s="23" t="s">
        <v>1537</v>
      </c>
      <c r="R84" s="23" t="s">
        <v>1538</v>
      </c>
      <c r="S84" s="111" t="s">
        <v>1</v>
      </c>
      <c r="T84" s="23" t="s">
        <v>1546</v>
      </c>
      <c r="U84" s="23" t="s">
        <v>1555</v>
      </c>
      <c r="V84" s="109" t="s">
        <v>1553</v>
      </c>
      <c r="W84" s="23" t="s">
        <v>1360</v>
      </c>
      <c r="X84" s="98" t="str">
        <f t="shared" si="114"/>
        <v>Key-PAISA-84</v>
      </c>
      <c r="Y84" s="110" t="s">
        <v>1</v>
      </c>
      <c r="Z84" s="110" t="s">
        <v>1</v>
      </c>
      <c r="AA84" s="110" t="s">
        <v>1</v>
      </c>
      <c r="AB84" s="110" t="s">
        <v>1</v>
      </c>
      <c r="AC84" s="110" t="s">
        <v>1</v>
      </c>
      <c r="AD84" s="110" t="s">
        <v>1</v>
      </c>
    </row>
  </sheetData>
  <phoneticPr fontId="1" type="noConversion"/>
  <conditionalFormatting sqref="A2:B2 B3:B48 A3:A84">
    <cfRule type="cellIs" dxfId="0" priority="36" operator="equal">
      <formula>"null"</formula>
    </cfRule>
  </conditionalFormatting>
  <conditionalFormatting sqref="A1:C1 S1:X1 L1:Q28 L49:Q71 B49:B79 L72:P79 AA75:AA77 A85:C1048576 L85:X1048576">
    <cfRule type="cellIs" dxfId="25" priority="447" operator="equal">
      <formula>"null"</formula>
    </cfRule>
  </conditionalFormatting>
  <conditionalFormatting sqref="F1:F79 F85:F1048576">
    <cfRule type="duplicateValues" dxfId="22" priority="24"/>
  </conditionalFormatting>
  <conditionalFormatting sqref="Q72:Q79">
    <cfRule type="cellIs" dxfId="20" priority="37" operator="equal">
      <formula>"null"</formula>
    </cfRule>
  </conditionalFormatting>
  <conditionalFormatting sqref="R1:R79">
    <cfRule type="cellIs" dxfId="19" priority="8" operator="equal">
      <formula>"null"</formula>
    </cfRule>
  </conditionalFormatting>
  <conditionalFormatting sqref="Y73:Y74 AA73:AA74">
    <cfRule type="cellIs" dxfId="18" priority="38" operator="equal">
      <formula>"null"</formula>
    </cfRule>
  </conditionalFormatting>
  <conditionalFormatting sqref="Y78">
    <cfRule type="containsText" dxfId="17" priority="39" operator="containsText" text="null">
      <formula>NOT(ISERROR(SEARCH("null",Y78)))</formula>
    </cfRule>
  </conditionalFormatting>
  <conditionalFormatting sqref="Z1">
    <cfRule type="cellIs" dxfId="16" priority="12" operator="equal">
      <formula>"null"</formula>
    </cfRule>
  </conditionalFormatting>
  <conditionalFormatting sqref="Z85:XFD1048576">
    <cfRule type="cellIs" dxfId="15" priority="13" operator="equal">
      <formula>"null"</formula>
    </cfRule>
  </conditionalFormatting>
  <conditionalFormatting sqref="AA1:AA16 AC1:AC28 AA23:AA28">
    <cfRule type="cellIs" dxfId="14" priority="19" operator="equal">
      <formula>"null"</formula>
    </cfRule>
  </conditionalFormatting>
  <conditionalFormatting sqref="AA49:AA72 AC49:AC77">
    <cfRule type="cellIs" dxfId="13" priority="16" operator="equal">
      <formula>"null"</formula>
    </cfRule>
  </conditionalFormatting>
  <conditionalFormatting sqref="AB1">
    <cfRule type="cellIs" dxfId="12" priority="11" operator="equal">
      <formula>"null"</formula>
    </cfRule>
  </conditionalFormatting>
  <conditionalFormatting sqref="AD1">
    <cfRule type="cellIs" dxfId="11" priority="4" operator="equal">
      <formula>"null"</formula>
    </cfRule>
  </conditionalFormatting>
  <conditionalFormatting sqref="AE1:XFD79 T2:V79 D29:D48 L29:P48">
    <cfRule type="cellIs" dxfId="10" priority="27" operator="equal">
      <formula>"null"</formula>
    </cfRule>
  </conditionalFormatting>
  <conditionalFormatting sqref="F80:F84">
    <cfRule type="duplicateValues" dxfId="2" priority="1"/>
    <cfRule type="duplicateValues" dxfId="1" priority="2"/>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8" customFormat="1" ht="8.25" customHeight="1" x14ac:dyDescent="0.15">
      <c r="A2" s="12">
        <v>2</v>
      </c>
      <c r="B2" s="35" t="s">
        <v>926</v>
      </c>
      <c r="C2" s="36" t="s">
        <v>918</v>
      </c>
      <c r="D2" s="36" t="s">
        <v>1</v>
      </c>
    </row>
    <row r="3" spans="1:4" s="28" customFormat="1" ht="8.25" customHeight="1" x14ac:dyDescent="0.15">
      <c r="A3" s="12">
        <v>3</v>
      </c>
      <c r="B3" s="35" t="s">
        <v>927</v>
      </c>
      <c r="C3" s="36" t="s">
        <v>397</v>
      </c>
      <c r="D3" s="36" t="s">
        <v>1</v>
      </c>
    </row>
    <row r="4" spans="1:4" s="28" customFormat="1" ht="8.25" customHeight="1" x14ac:dyDescent="0.15">
      <c r="A4" s="12">
        <v>4</v>
      </c>
      <c r="B4" s="35" t="s">
        <v>390</v>
      </c>
      <c r="C4" s="36" t="s">
        <v>922</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8"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abSelected="1" zoomScale="205" zoomScaleNormal="205" workbookViewId="0">
      <pane ySplit="1" topLeftCell="A287" activePane="bottomLeft" state="frozen"/>
      <selection pane="bottomLeft" activeCell="O300" sqref="O300"/>
    </sheetView>
  </sheetViews>
  <sheetFormatPr defaultColWidth="9.28515625" defaultRowHeight="7.35" customHeight="1" x14ac:dyDescent="0.25"/>
  <cols>
    <col min="1" max="1" width="3.140625" style="89" bestFit="1" customWidth="1"/>
    <col min="2" max="2" width="15.85546875" style="89" bestFit="1" customWidth="1"/>
    <col min="3" max="3" width="13.42578125" style="89" bestFit="1" customWidth="1"/>
    <col min="4" max="4" width="10.28515625" style="89" bestFit="1" customWidth="1"/>
    <col min="5" max="5" width="10.140625" style="89" bestFit="1" customWidth="1"/>
    <col min="6" max="6" width="9.7109375" style="89" bestFit="1" customWidth="1"/>
    <col min="7" max="7" width="8.85546875" style="89" bestFit="1" customWidth="1"/>
    <col min="8" max="8" width="9.85546875" style="89" bestFit="1" customWidth="1"/>
    <col min="9" max="9" width="8.5703125" style="89" bestFit="1" customWidth="1"/>
    <col min="10" max="10" width="10" style="89" bestFit="1" customWidth="1"/>
    <col min="11" max="11" width="10.28515625" style="89" bestFit="1" customWidth="1"/>
    <col min="12" max="12" width="14" style="89" bestFit="1" customWidth="1"/>
    <col min="13" max="13" width="11" style="89" bestFit="1" customWidth="1"/>
    <col min="14" max="14" width="6" style="89" bestFit="1" customWidth="1"/>
    <col min="15" max="15" width="90.5703125" style="89" bestFit="1" customWidth="1"/>
    <col min="16" max="16" width="8.85546875" style="89" bestFit="1" customWidth="1"/>
    <col min="17" max="17" width="23.28515625" style="89" bestFit="1" customWidth="1"/>
    <col min="18" max="18" width="8" style="89" bestFit="1" customWidth="1"/>
    <col min="19" max="19" width="22.140625" style="89" bestFit="1" customWidth="1"/>
    <col min="20" max="20" width="11" style="89" bestFit="1" customWidth="1"/>
    <col min="21" max="21" width="4.7109375" style="89" bestFit="1" customWidth="1"/>
    <col min="22" max="22" width="14.140625" style="89" bestFit="1" customWidth="1"/>
    <col min="23" max="23" width="4.7109375" style="89" bestFit="1" customWidth="1"/>
    <col min="24" max="24" width="14.28515625" style="89" bestFit="1" customWidth="1"/>
    <col min="25" max="25" width="3.85546875" style="89" bestFit="1" customWidth="1"/>
    <col min="26" max="26" width="12.7109375" style="89" bestFit="1" customWidth="1"/>
    <col min="27" max="27" width="4.7109375" style="89" bestFit="1" customWidth="1"/>
    <col min="28" max="28" width="12.85546875" style="89" bestFit="1" customWidth="1"/>
    <col min="29" max="29" width="4.7109375" style="89" bestFit="1" customWidth="1"/>
    <col min="30" max="30" width="6.85546875" style="89" bestFit="1" customWidth="1"/>
    <col min="31" max="31" width="13.5703125" style="89" bestFit="1" customWidth="1"/>
    <col min="32" max="32" width="11.7109375" style="89" bestFit="1" customWidth="1"/>
    <col min="33" max="33" width="6.5703125" style="89" bestFit="1" customWidth="1"/>
    <col min="34" max="34" width="12.28515625" style="89" bestFit="1" customWidth="1"/>
    <col min="35" max="35" width="7.7109375" style="89" bestFit="1" customWidth="1"/>
    <col min="36" max="36" width="12.28515625" style="89" bestFit="1" customWidth="1"/>
    <col min="37" max="37" width="11.140625" style="89" bestFit="1" customWidth="1"/>
    <col min="38" max="38" width="6.5703125" style="89" bestFit="1" customWidth="1"/>
    <col min="39" max="39" width="39.28515625" style="89" bestFit="1" customWidth="1"/>
    <col min="40" max="40" width="6" style="89" bestFit="1" customWidth="1"/>
    <col min="41" max="41" width="255.7109375" style="89" bestFit="1" customWidth="1"/>
    <col min="42" max="42" width="9.140625" style="89" bestFit="1" customWidth="1"/>
    <col min="43" max="43" width="219.85546875" style="89" bestFit="1" customWidth="1"/>
    <col min="44" max="44" width="4.28515625" style="89" bestFit="1" customWidth="1"/>
    <col min="45" max="45" width="26.140625" style="89" bestFit="1" customWidth="1"/>
    <col min="46" max="46" width="10" style="89" bestFit="1" customWidth="1"/>
    <col min="47" max="47" width="4.7109375" style="89" bestFit="1" customWidth="1"/>
    <col min="48" max="48" width="8.42578125" style="89" bestFit="1" customWidth="1"/>
    <col min="49" max="49" width="10.7109375" style="89" bestFit="1" customWidth="1"/>
    <col min="50" max="50" width="5.7109375" style="89" bestFit="1" customWidth="1"/>
    <col min="51" max="51" width="15" style="89" bestFit="1" customWidth="1"/>
    <col min="52" max="52" width="7.28515625" style="89" bestFit="1" customWidth="1"/>
    <col min="53" max="53" width="17.28515625" style="89" bestFit="1" customWidth="1"/>
    <col min="54" max="16384" width="9.28515625" style="89"/>
  </cols>
  <sheetData>
    <row r="1" spans="1:53" ht="16.899999999999999" customHeight="1" x14ac:dyDescent="0.25">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35" customHeight="1" x14ac:dyDescent="0.25">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1418</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1230</v>
      </c>
      <c r="AW2" s="34" t="s">
        <v>1264</v>
      </c>
      <c r="AX2" s="26" t="s">
        <v>1231</v>
      </c>
      <c r="AY2" s="31" t="s">
        <v>1265</v>
      </c>
      <c r="AZ2" s="26" t="s">
        <v>1248</v>
      </c>
      <c r="BA2" s="24" t="s">
        <v>1266</v>
      </c>
    </row>
    <row r="3" spans="1:53" ht="7.35" customHeight="1" x14ac:dyDescent="0.25">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1418</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1230</v>
      </c>
      <c r="AW3" s="34" t="s">
        <v>1264</v>
      </c>
      <c r="AX3" s="26" t="s">
        <v>1231</v>
      </c>
      <c r="AY3" s="31" t="s">
        <v>1265</v>
      </c>
      <c r="AZ3" s="26" t="s">
        <v>1248</v>
      </c>
      <c r="BA3" s="24" t="s">
        <v>1266</v>
      </c>
    </row>
    <row r="4" spans="1:53" ht="7.35" customHeight="1" x14ac:dyDescent="0.25">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1418</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1230</v>
      </c>
      <c r="AW4" s="34" t="s">
        <v>1264</v>
      </c>
      <c r="AX4" s="26" t="s">
        <v>1231</v>
      </c>
      <c r="AY4" s="31" t="s">
        <v>1265</v>
      </c>
      <c r="AZ4" s="26" t="s">
        <v>1248</v>
      </c>
      <c r="BA4" s="24" t="s">
        <v>1266</v>
      </c>
    </row>
    <row r="5" spans="1:53" ht="7.35" customHeight="1" x14ac:dyDescent="0.25">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1418</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1230</v>
      </c>
      <c r="AW5" s="34" t="s">
        <v>1264</v>
      </c>
      <c r="AX5" s="26" t="s">
        <v>1231</v>
      </c>
      <c r="AY5" s="31" t="s">
        <v>1265</v>
      </c>
      <c r="AZ5" s="26" t="s">
        <v>1248</v>
      </c>
      <c r="BA5" s="24" t="s">
        <v>1266</v>
      </c>
    </row>
    <row r="6" spans="1:53" ht="7.35" customHeight="1" x14ac:dyDescent="0.25">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1418</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1230</v>
      </c>
      <c r="AW6" s="34" t="s">
        <v>1264</v>
      </c>
      <c r="AX6" s="26" t="s">
        <v>1231</v>
      </c>
      <c r="AY6" s="31" t="s">
        <v>1265</v>
      </c>
      <c r="AZ6" s="26" t="s">
        <v>1248</v>
      </c>
      <c r="BA6" s="24" t="s">
        <v>1266</v>
      </c>
    </row>
    <row r="7" spans="1:53" ht="7.35" customHeight="1" x14ac:dyDescent="0.25">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1418</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1230</v>
      </c>
      <c r="AW7" s="34" t="s">
        <v>1264</v>
      </c>
      <c r="AX7" s="26" t="s">
        <v>1231</v>
      </c>
      <c r="AY7" s="31" t="s">
        <v>1265</v>
      </c>
      <c r="AZ7" s="26" t="s">
        <v>1248</v>
      </c>
      <c r="BA7" s="24" t="s">
        <v>1266</v>
      </c>
    </row>
    <row r="8" spans="1:53" ht="7.35" customHeight="1" x14ac:dyDescent="0.25">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1418</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1230</v>
      </c>
      <c r="AW8" s="34" t="s">
        <v>1264</v>
      </c>
      <c r="AX8" s="26" t="s">
        <v>1231</v>
      </c>
      <c r="AY8" s="31" t="s">
        <v>1265</v>
      </c>
      <c r="AZ8" s="26" t="s">
        <v>1248</v>
      </c>
      <c r="BA8" s="24" t="s">
        <v>1266</v>
      </c>
    </row>
    <row r="9" spans="1:53" ht="7.35" customHeight="1" x14ac:dyDescent="0.25">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1418</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1230</v>
      </c>
      <c r="AW9" s="34" t="s">
        <v>1264</v>
      </c>
      <c r="AX9" s="26" t="s">
        <v>1231</v>
      </c>
      <c r="AY9" s="31" t="s">
        <v>1265</v>
      </c>
      <c r="AZ9" s="26" t="s">
        <v>1248</v>
      </c>
      <c r="BA9" s="24" t="s">
        <v>1266</v>
      </c>
    </row>
    <row r="10" spans="1:53" ht="7.35" customHeight="1" x14ac:dyDescent="0.25">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1418</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1230</v>
      </c>
      <c r="AW10" s="34" t="s">
        <v>1264</v>
      </c>
      <c r="AX10" s="26" t="s">
        <v>1231</v>
      </c>
      <c r="AY10" s="31" t="s">
        <v>1265</v>
      </c>
      <c r="AZ10" s="26" t="s">
        <v>1248</v>
      </c>
      <c r="BA10" s="24" t="s">
        <v>1266</v>
      </c>
    </row>
    <row r="11" spans="1:53" ht="7.35" customHeight="1" x14ac:dyDescent="0.25">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1418</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1230</v>
      </c>
      <c r="AW11" s="34" t="s">
        <v>1264</v>
      </c>
      <c r="AX11" s="26" t="s">
        <v>1231</v>
      </c>
      <c r="AY11" s="31" t="s">
        <v>1265</v>
      </c>
      <c r="AZ11" s="26" t="s">
        <v>1248</v>
      </c>
      <c r="BA11" s="24" t="s">
        <v>1266</v>
      </c>
    </row>
    <row r="12" spans="1:53" ht="7.35" customHeight="1" x14ac:dyDescent="0.25">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1418</v>
      </c>
      <c r="P12" s="26" t="s">
        <v>1338</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1230</v>
      </c>
      <c r="AW12" s="34" t="s">
        <v>1264</v>
      </c>
      <c r="AX12" s="26" t="s">
        <v>1231</v>
      </c>
      <c r="AY12" s="31" t="s">
        <v>1265</v>
      </c>
      <c r="AZ12" s="26" t="s">
        <v>1248</v>
      </c>
      <c r="BA12" s="24" t="s">
        <v>1267</v>
      </c>
    </row>
    <row r="13" spans="1:53" ht="7.35" customHeight="1" x14ac:dyDescent="0.25">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1418</v>
      </c>
      <c r="P13" s="26" t="s">
        <v>1338</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1230</v>
      </c>
      <c r="AW13" s="34" t="s">
        <v>1264</v>
      </c>
      <c r="AX13" s="26" t="s">
        <v>1231</v>
      </c>
      <c r="AY13" s="31" t="s">
        <v>1265</v>
      </c>
      <c r="AZ13" s="26" t="s">
        <v>1248</v>
      </c>
      <c r="BA13" s="24" t="s">
        <v>1267</v>
      </c>
    </row>
    <row r="14" spans="1:53" ht="7.35" customHeight="1" x14ac:dyDescent="0.25">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1418</v>
      </c>
      <c r="P14" s="26" t="s">
        <v>1338</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1230</v>
      </c>
      <c r="AW14" s="34" t="s">
        <v>1264</v>
      </c>
      <c r="AX14" s="26" t="s">
        <v>1231</v>
      </c>
      <c r="AY14" s="31" t="s">
        <v>1265</v>
      </c>
      <c r="AZ14" s="26" t="s">
        <v>1248</v>
      </c>
      <c r="BA14" s="24" t="s">
        <v>1267</v>
      </c>
    </row>
    <row r="15" spans="1:53" ht="7.35" customHeight="1" x14ac:dyDescent="0.25">
      <c r="A15" s="30">
        <v>15</v>
      </c>
      <c r="B15" s="33" t="s">
        <v>990</v>
      </c>
      <c r="C15" s="65" t="s">
        <v>976</v>
      </c>
      <c r="D15" s="86" t="s">
        <v>1337</v>
      </c>
      <c r="E15" s="75" t="s">
        <v>995</v>
      </c>
      <c r="F15" s="86" t="s">
        <v>1</v>
      </c>
      <c r="G15" s="75" t="s">
        <v>1</v>
      </c>
      <c r="H15" s="86" t="s">
        <v>1</v>
      </c>
      <c r="I15" s="75" t="s">
        <v>1</v>
      </c>
      <c r="J15" s="86" t="s">
        <v>1</v>
      </c>
      <c r="K15" s="75" t="s">
        <v>1</v>
      </c>
      <c r="L15" s="86" t="s">
        <v>1</v>
      </c>
      <c r="M15" s="75" t="s">
        <v>1</v>
      </c>
      <c r="N15" s="26" t="s">
        <v>180</v>
      </c>
      <c r="O15" s="24" t="s">
        <v>1418</v>
      </c>
      <c r="P15" s="26" t="s">
        <v>1336</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1230</v>
      </c>
      <c r="AW15" s="34" t="s">
        <v>1264</v>
      </c>
      <c r="AX15" s="26" t="s">
        <v>1231</v>
      </c>
      <c r="AY15" s="31" t="s">
        <v>1265</v>
      </c>
      <c r="AZ15" s="26" t="s">
        <v>1248</v>
      </c>
      <c r="BA15" s="24" t="s">
        <v>1267</v>
      </c>
    </row>
    <row r="16" spans="1:53" ht="7.35" customHeight="1" x14ac:dyDescent="0.25">
      <c r="A16" s="30">
        <v>16</v>
      </c>
      <c r="B16" s="33" t="s">
        <v>991</v>
      </c>
      <c r="C16" s="65" t="s">
        <v>976</v>
      </c>
      <c r="D16" s="86" t="s">
        <v>1337</v>
      </c>
      <c r="E16" s="75" t="s">
        <v>993</v>
      </c>
      <c r="F16" s="86" t="s">
        <v>1</v>
      </c>
      <c r="G16" s="75" t="s">
        <v>1</v>
      </c>
      <c r="H16" s="86" t="s">
        <v>1</v>
      </c>
      <c r="I16" s="75" t="s">
        <v>1</v>
      </c>
      <c r="J16" s="86" t="s">
        <v>1</v>
      </c>
      <c r="K16" s="75" t="s">
        <v>1</v>
      </c>
      <c r="L16" s="86" t="s">
        <v>1</v>
      </c>
      <c r="M16" s="75" t="s">
        <v>1</v>
      </c>
      <c r="N16" s="26" t="s">
        <v>180</v>
      </c>
      <c r="O16" s="24" t="s">
        <v>1418</v>
      </c>
      <c r="P16" s="26" t="s">
        <v>1336</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1230</v>
      </c>
      <c r="AW16" s="34" t="s">
        <v>1264</v>
      </c>
      <c r="AX16" s="26" t="s">
        <v>1231</v>
      </c>
      <c r="AY16" s="31" t="s">
        <v>1265</v>
      </c>
      <c r="AZ16" s="26" t="s">
        <v>1248</v>
      </c>
      <c r="BA16" s="24" t="s">
        <v>1267</v>
      </c>
    </row>
    <row r="17" spans="1:53" ht="7.35" customHeight="1" x14ac:dyDescent="0.25">
      <c r="A17" s="30">
        <v>17</v>
      </c>
      <c r="B17" s="33" t="s">
        <v>992</v>
      </c>
      <c r="C17" s="65" t="s">
        <v>976</v>
      </c>
      <c r="D17" s="86" t="s">
        <v>1337</v>
      </c>
      <c r="E17" s="75" t="s">
        <v>994</v>
      </c>
      <c r="F17" s="86" t="s">
        <v>1</v>
      </c>
      <c r="G17" s="75" t="s">
        <v>1</v>
      </c>
      <c r="H17" s="86" t="s">
        <v>1</v>
      </c>
      <c r="I17" s="75" t="s">
        <v>1</v>
      </c>
      <c r="J17" s="86" t="s">
        <v>1</v>
      </c>
      <c r="K17" s="75" t="s">
        <v>1</v>
      </c>
      <c r="L17" s="86" t="s">
        <v>1</v>
      </c>
      <c r="M17" s="75" t="s">
        <v>1</v>
      </c>
      <c r="N17" s="26" t="s">
        <v>180</v>
      </c>
      <c r="O17" s="24" t="s">
        <v>1418</v>
      </c>
      <c r="P17" s="26" t="s">
        <v>1336</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1230</v>
      </c>
      <c r="AW17" s="34" t="s">
        <v>1264</v>
      </c>
      <c r="AX17" s="26" t="s">
        <v>1231</v>
      </c>
      <c r="AY17" s="31" t="s">
        <v>1265</v>
      </c>
      <c r="AZ17" s="26" t="s">
        <v>1248</v>
      </c>
      <c r="BA17" s="24" t="s">
        <v>1267</v>
      </c>
    </row>
    <row r="18" spans="1:53" ht="7.35" customHeight="1" x14ac:dyDescent="0.25">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1418</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1230</v>
      </c>
      <c r="AW18" s="34" t="s">
        <v>1264</v>
      </c>
      <c r="AX18" s="26" t="s">
        <v>1231</v>
      </c>
      <c r="AY18" s="31" t="s">
        <v>1265</v>
      </c>
      <c r="AZ18" s="26" t="s">
        <v>1248</v>
      </c>
      <c r="BA18" s="24" t="s">
        <v>1266</v>
      </c>
    </row>
    <row r="19" spans="1:53" ht="7.35" customHeight="1" x14ac:dyDescent="0.25">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1418</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1230</v>
      </c>
      <c r="AW19" s="34" t="s">
        <v>1264</v>
      </c>
      <c r="AX19" s="26" t="s">
        <v>1231</v>
      </c>
      <c r="AY19" s="31" t="s">
        <v>1265</v>
      </c>
      <c r="AZ19" s="26" t="s">
        <v>1248</v>
      </c>
      <c r="BA19" s="24" t="s">
        <v>1266</v>
      </c>
    </row>
    <row r="20" spans="1:53" ht="7.35" customHeight="1" x14ac:dyDescent="0.25">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1418</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1230</v>
      </c>
      <c r="AW20" s="34" t="s">
        <v>1264</v>
      </c>
      <c r="AX20" s="26" t="s">
        <v>1231</v>
      </c>
      <c r="AY20" s="31" t="s">
        <v>1265</v>
      </c>
      <c r="AZ20" s="26" t="s">
        <v>1248</v>
      </c>
      <c r="BA20" s="24" t="s">
        <v>1266</v>
      </c>
    </row>
    <row r="21" spans="1:53" ht="7.35" customHeight="1" x14ac:dyDescent="0.25">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1418</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1230</v>
      </c>
      <c r="AW21" s="34" t="s">
        <v>1264</v>
      </c>
      <c r="AX21" s="26" t="s">
        <v>1231</v>
      </c>
      <c r="AY21" s="31" t="s">
        <v>1265</v>
      </c>
      <c r="AZ21" s="26" t="s">
        <v>1248</v>
      </c>
      <c r="BA21" s="24" t="s">
        <v>1266</v>
      </c>
    </row>
    <row r="22" spans="1:53" ht="7.35" customHeight="1" x14ac:dyDescent="0.25">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1418</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1230</v>
      </c>
      <c r="AW22" s="34" t="s">
        <v>1264</v>
      </c>
      <c r="AX22" s="26" t="s">
        <v>1231</v>
      </c>
      <c r="AY22" s="31" t="s">
        <v>1265</v>
      </c>
      <c r="AZ22" s="26" t="s">
        <v>1248</v>
      </c>
      <c r="BA22" s="24" t="s">
        <v>1266</v>
      </c>
    </row>
    <row r="23" spans="1:53" ht="7.35" customHeight="1" x14ac:dyDescent="0.25">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1418</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1230</v>
      </c>
      <c r="AW23" s="34" t="s">
        <v>1264</v>
      </c>
      <c r="AX23" s="26" t="s">
        <v>1231</v>
      </c>
      <c r="AY23" s="31" t="s">
        <v>1265</v>
      </c>
      <c r="AZ23" s="26" t="s">
        <v>1248</v>
      </c>
      <c r="BA23" s="24" t="s">
        <v>1266</v>
      </c>
    </row>
    <row r="24" spans="1:53" ht="7.35" customHeight="1" x14ac:dyDescent="0.25">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1418</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1230</v>
      </c>
      <c r="AW24" s="34" t="s">
        <v>1264</v>
      </c>
      <c r="AX24" s="26" t="s">
        <v>1231</v>
      </c>
      <c r="AY24" s="31" t="s">
        <v>1265</v>
      </c>
      <c r="AZ24" s="26" t="s">
        <v>1248</v>
      </c>
      <c r="BA24" s="24" t="s">
        <v>1266</v>
      </c>
    </row>
    <row r="25" spans="1:53" ht="7.35" customHeight="1" x14ac:dyDescent="0.25">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1418</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1230</v>
      </c>
      <c r="AW25" s="34" t="s">
        <v>1264</v>
      </c>
      <c r="AX25" s="26" t="s">
        <v>1231</v>
      </c>
      <c r="AY25" s="31" t="s">
        <v>1265</v>
      </c>
      <c r="AZ25" s="26" t="s">
        <v>1248</v>
      </c>
      <c r="BA25" s="24" t="s">
        <v>1266</v>
      </c>
    </row>
    <row r="26" spans="1:53" ht="7.35" customHeight="1" x14ac:dyDescent="0.25">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1418</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1230</v>
      </c>
      <c r="AW26" s="34" t="s">
        <v>1264</v>
      </c>
      <c r="AX26" s="26" t="s">
        <v>1231</v>
      </c>
      <c r="AY26" s="31" t="s">
        <v>1265</v>
      </c>
      <c r="AZ26" s="26" t="s">
        <v>1248</v>
      </c>
      <c r="BA26" s="24" t="s">
        <v>1266</v>
      </c>
    </row>
    <row r="27" spans="1:53" ht="7.35" customHeight="1" x14ac:dyDescent="0.25">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1418</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1230</v>
      </c>
      <c r="AW27" s="34" t="s">
        <v>1264</v>
      </c>
      <c r="AX27" s="26" t="s">
        <v>1231</v>
      </c>
      <c r="AY27" s="31" t="s">
        <v>1265</v>
      </c>
      <c r="AZ27" s="26" t="s">
        <v>1248</v>
      </c>
      <c r="BA27" s="24" t="s">
        <v>1266</v>
      </c>
    </row>
    <row r="28" spans="1:53" ht="7.35" customHeight="1" x14ac:dyDescent="0.25">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1418</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1230</v>
      </c>
      <c r="AW28" s="34" t="s">
        <v>1264</v>
      </c>
      <c r="AX28" s="26" t="s">
        <v>1231</v>
      </c>
      <c r="AY28" s="31" t="s">
        <v>1265</v>
      </c>
      <c r="AZ28" s="26" t="s">
        <v>1248</v>
      </c>
      <c r="BA28" s="24" t="s">
        <v>1266</v>
      </c>
    </row>
    <row r="29" spans="1:53" ht="7.35" customHeight="1" x14ac:dyDescent="0.25">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1418</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1230</v>
      </c>
      <c r="AW29" s="34" t="s">
        <v>1264</v>
      </c>
      <c r="AX29" s="26" t="s">
        <v>1231</v>
      </c>
      <c r="AY29" s="31" t="s">
        <v>1265</v>
      </c>
      <c r="AZ29" s="26" t="s">
        <v>1248</v>
      </c>
      <c r="BA29" s="24" t="s">
        <v>1266</v>
      </c>
    </row>
    <row r="30" spans="1:53" ht="7.35" customHeight="1" x14ac:dyDescent="0.25">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1418</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1230</v>
      </c>
      <c r="AW30" s="34" t="s">
        <v>1264</v>
      </c>
      <c r="AX30" s="26" t="s">
        <v>1231</v>
      </c>
      <c r="AY30" s="31" t="s">
        <v>1265</v>
      </c>
      <c r="AZ30" s="26" t="s">
        <v>1248</v>
      </c>
      <c r="BA30" s="24" t="s">
        <v>1266</v>
      </c>
    </row>
    <row r="31" spans="1:53" ht="7.35" customHeight="1" x14ac:dyDescent="0.25">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1418</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1230</v>
      </c>
      <c r="AW31" s="34" t="s">
        <v>1264</v>
      </c>
      <c r="AX31" s="26" t="s">
        <v>1231</v>
      </c>
      <c r="AY31" s="31" t="s">
        <v>1265</v>
      </c>
      <c r="AZ31" s="26" t="s">
        <v>1248</v>
      </c>
      <c r="BA31" s="24" t="s">
        <v>1266</v>
      </c>
    </row>
    <row r="32" spans="1:53" ht="7.35" customHeight="1" x14ac:dyDescent="0.25">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1418</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1230</v>
      </c>
      <c r="AW32" s="34" t="s">
        <v>1264</v>
      </c>
      <c r="AX32" s="26" t="s">
        <v>1231</v>
      </c>
      <c r="AY32" s="31" t="s">
        <v>1265</v>
      </c>
      <c r="AZ32" s="26" t="s">
        <v>1248</v>
      </c>
      <c r="BA32" s="24" t="s">
        <v>1266</v>
      </c>
    </row>
    <row r="33" spans="1:53" ht="7.35" customHeight="1" x14ac:dyDescent="0.25">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1418</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1230</v>
      </c>
      <c r="AW33" s="34" t="s">
        <v>1264</v>
      </c>
      <c r="AX33" s="26" t="s">
        <v>1231</v>
      </c>
      <c r="AY33" s="31" t="s">
        <v>1265</v>
      </c>
      <c r="AZ33" s="26" t="s">
        <v>1248</v>
      </c>
      <c r="BA33" s="24" t="s">
        <v>1266</v>
      </c>
    </row>
    <row r="34" spans="1:53" ht="7.35" customHeight="1" x14ac:dyDescent="0.25">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1418</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1230</v>
      </c>
      <c r="AW34" s="34" t="s">
        <v>1264</v>
      </c>
      <c r="AX34" s="26" t="s">
        <v>1231</v>
      </c>
      <c r="AY34" s="31" t="s">
        <v>1265</v>
      </c>
      <c r="AZ34" s="26" t="s">
        <v>1248</v>
      </c>
      <c r="BA34" s="24" t="s">
        <v>1266</v>
      </c>
    </row>
    <row r="35" spans="1:53" ht="7.35" customHeight="1" x14ac:dyDescent="0.25">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1418</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1230</v>
      </c>
      <c r="AW35" s="34" t="s">
        <v>1264</v>
      </c>
      <c r="AX35" s="26" t="s">
        <v>1231</v>
      </c>
      <c r="AY35" s="31" t="s">
        <v>1265</v>
      </c>
      <c r="AZ35" s="26" t="s">
        <v>1248</v>
      </c>
      <c r="BA35" s="24" t="s">
        <v>1266</v>
      </c>
    </row>
    <row r="36" spans="1:53" ht="7.35" customHeight="1" x14ac:dyDescent="0.25">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1418</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1230</v>
      </c>
      <c r="AW36" s="34" t="s">
        <v>1264</v>
      </c>
      <c r="AX36" s="26" t="s">
        <v>1231</v>
      </c>
      <c r="AY36" s="31" t="s">
        <v>1265</v>
      </c>
      <c r="AZ36" s="26" t="s">
        <v>1248</v>
      </c>
      <c r="BA36" s="24" t="s">
        <v>1266</v>
      </c>
    </row>
    <row r="37" spans="1:53" ht="7.35" customHeight="1" x14ac:dyDescent="0.25">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1418</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1230</v>
      </c>
      <c r="AW37" s="34" t="s">
        <v>1264</v>
      </c>
      <c r="AX37" s="26" t="s">
        <v>1231</v>
      </c>
      <c r="AY37" s="31" t="s">
        <v>1265</v>
      </c>
      <c r="AZ37" s="26" t="s">
        <v>1248</v>
      </c>
      <c r="BA37" s="24" t="s">
        <v>1266</v>
      </c>
    </row>
    <row r="38" spans="1:53" ht="7.35" customHeight="1" x14ac:dyDescent="0.25">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1418</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1230</v>
      </c>
      <c r="AW38" s="34" t="s">
        <v>1264</v>
      </c>
      <c r="AX38" s="26" t="s">
        <v>1231</v>
      </c>
      <c r="AY38" s="31" t="s">
        <v>1265</v>
      </c>
      <c r="AZ38" s="26" t="s">
        <v>1248</v>
      </c>
      <c r="BA38" s="24" t="s">
        <v>1266</v>
      </c>
    </row>
    <row r="39" spans="1:53" ht="7.35" customHeight="1" x14ac:dyDescent="0.25">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1418</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1230</v>
      </c>
      <c r="AW39" s="34" t="s">
        <v>1264</v>
      </c>
      <c r="AX39" s="26" t="s">
        <v>1231</v>
      </c>
      <c r="AY39" s="31" t="s">
        <v>1265</v>
      </c>
      <c r="AZ39" s="26" t="s">
        <v>1248</v>
      </c>
      <c r="BA39" s="24" t="s">
        <v>1266</v>
      </c>
    </row>
    <row r="40" spans="1:53" ht="7.35" customHeight="1" x14ac:dyDescent="0.25">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1418</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1230</v>
      </c>
      <c r="AW40" s="34" t="s">
        <v>1264</v>
      </c>
      <c r="AX40" s="26" t="s">
        <v>1231</v>
      </c>
      <c r="AY40" s="31" t="s">
        <v>1265</v>
      </c>
      <c r="AZ40" s="26" t="s">
        <v>1248</v>
      </c>
      <c r="BA40" s="24" t="s">
        <v>1266</v>
      </c>
    </row>
    <row r="41" spans="1:53" ht="7.35" customHeight="1" x14ac:dyDescent="0.25">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1418</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1241</v>
      </c>
      <c r="AP41" s="26" t="s">
        <v>1</v>
      </c>
      <c r="AQ41" s="34" t="s">
        <v>1</v>
      </c>
      <c r="AR41" s="26" t="s">
        <v>1</v>
      </c>
      <c r="AS41" s="31" t="s">
        <v>1</v>
      </c>
      <c r="AT41" s="26" t="s">
        <v>1</v>
      </c>
      <c r="AU41" s="77" t="s">
        <v>1</v>
      </c>
      <c r="AV41" s="26" t="s">
        <v>1230</v>
      </c>
      <c r="AW41" s="34" t="s">
        <v>1264</v>
      </c>
      <c r="AX41" s="26" t="s">
        <v>1231</v>
      </c>
      <c r="AY41" s="31" t="s">
        <v>1265</v>
      </c>
      <c r="AZ41" s="26" t="s">
        <v>1248</v>
      </c>
      <c r="BA41" s="24" t="s">
        <v>1266</v>
      </c>
    </row>
    <row r="42" spans="1:53" ht="7.35" customHeight="1" x14ac:dyDescent="0.25">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1418</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1230</v>
      </c>
      <c r="AW42" s="34" t="s">
        <v>1264</v>
      </c>
      <c r="AX42" s="26" t="s">
        <v>1231</v>
      </c>
      <c r="AY42" s="31" t="s">
        <v>1265</v>
      </c>
      <c r="AZ42" s="26" t="s">
        <v>1248</v>
      </c>
      <c r="BA42" s="24" t="s">
        <v>1266</v>
      </c>
    </row>
    <row r="43" spans="1:53" ht="7.35" customHeight="1" x14ac:dyDescent="0.25">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1418</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1230</v>
      </c>
      <c r="AW43" s="34" t="s">
        <v>1264</v>
      </c>
      <c r="AX43" s="26" t="s">
        <v>1231</v>
      </c>
      <c r="AY43" s="31" t="s">
        <v>1265</v>
      </c>
      <c r="AZ43" s="26" t="s">
        <v>1248</v>
      </c>
      <c r="BA43" s="24" t="s">
        <v>1266</v>
      </c>
    </row>
    <row r="44" spans="1:53" ht="7.35" customHeight="1" x14ac:dyDescent="0.25">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1418</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1230</v>
      </c>
      <c r="AW44" s="34" t="s">
        <v>1264</v>
      </c>
      <c r="AX44" s="26" t="s">
        <v>1231</v>
      </c>
      <c r="AY44" s="31" t="s">
        <v>1265</v>
      </c>
      <c r="AZ44" s="26" t="s">
        <v>1248</v>
      </c>
      <c r="BA44" s="24" t="s">
        <v>1266</v>
      </c>
    </row>
    <row r="45" spans="1:53" ht="7.35" customHeight="1" x14ac:dyDescent="0.25">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1418</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1230</v>
      </c>
      <c r="AW45" s="34" t="s">
        <v>1264</v>
      </c>
      <c r="AX45" s="26" t="s">
        <v>1231</v>
      </c>
      <c r="AY45" s="31" t="s">
        <v>1265</v>
      </c>
      <c r="AZ45" s="26" t="s">
        <v>1248</v>
      </c>
      <c r="BA45" s="24" t="s">
        <v>1266</v>
      </c>
    </row>
    <row r="46" spans="1:53" ht="7.35" customHeight="1" x14ac:dyDescent="0.25">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1418</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1230</v>
      </c>
      <c r="AW46" s="34" t="s">
        <v>1264</v>
      </c>
      <c r="AX46" s="26" t="s">
        <v>1231</v>
      </c>
      <c r="AY46" s="31" t="s">
        <v>1265</v>
      </c>
      <c r="AZ46" s="26" t="s">
        <v>1248</v>
      </c>
      <c r="BA46" s="24" t="s">
        <v>1266</v>
      </c>
    </row>
    <row r="47" spans="1:53" ht="7.35" customHeight="1" x14ac:dyDescent="0.25">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1418</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1230</v>
      </c>
      <c r="AW47" s="34" t="s">
        <v>1264</v>
      </c>
      <c r="AX47" s="26" t="s">
        <v>1231</v>
      </c>
      <c r="AY47" s="31" t="s">
        <v>1265</v>
      </c>
      <c r="AZ47" s="26" t="s">
        <v>1248</v>
      </c>
      <c r="BA47" s="24" t="s">
        <v>1266</v>
      </c>
    </row>
    <row r="48" spans="1:53" ht="7.35" customHeight="1" x14ac:dyDescent="0.25">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1418</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1230</v>
      </c>
      <c r="AW48" s="34" t="s">
        <v>1264</v>
      </c>
      <c r="AX48" s="26" t="s">
        <v>1231</v>
      </c>
      <c r="AY48" s="31" t="s">
        <v>1265</v>
      </c>
      <c r="AZ48" s="26" t="s">
        <v>1248</v>
      </c>
      <c r="BA48" s="24" t="s">
        <v>1266</v>
      </c>
    </row>
    <row r="49" spans="1:53" ht="7.35" customHeight="1" x14ac:dyDescent="0.25">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1418</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1230</v>
      </c>
      <c r="AW49" s="34" t="s">
        <v>1264</v>
      </c>
      <c r="AX49" s="26" t="s">
        <v>1231</v>
      </c>
      <c r="AY49" s="31" t="s">
        <v>1265</v>
      </c>
      <c r="AZ49" s="26" t="s">
        <v>1248</v>
      </c>
      <c r="BA49" s="24" t="s">
        <v>1266</v>
      </c>
    </row>
    <row r="50" spans="1:53" ht="7.35" customHeight="1" x14ac:dyDescent="0.25">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1418</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1230</v>
      </c>
      <c r="AW50" s="34" t="s">
        <v>1264</v>
      </c>
      <c r="AX50" s="26" t="s">
        <v>1231</v>
      </c>
      <c r="AY50" s="31" t="s">
        <v>1265</v>
      </c>
      <c r="AZ50" s="26" t="s">
        <v>1248</v>
      </c>
      <c r="BA50" s="24" t="s">
        <v>1266</v>
      </c>
    </row>
    <row r="51" spans="1:53" ht="7.35" customHeight="1" x14ac:dyDescent="0.25">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1418</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1230</v>
      </c>
      <c r="AW51" s="34" t="s">
        <v>1264</v>
      </c>
      <c r="AX51" s="26" t="s">
        <v>1231</v>
      </c>
      <c r="AY51" s="31" t="s">
        <v>1265</v>
      </c>
      <c r="AZ51" s="26" t="s">
        <v>1248</v>
      </c>
      <c r="BA51" s="24" t="s">
        <v>1266</v>
      </c>
    </row>
    <row r="52" spans="1:53" ht="7.35" customHeight="1" x14ac:dyDescent="0.25">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1418</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1230</v>
      </c>
      <c r="AW52" s="34" t="s">
        <v>1264</v>
      </c>
      <c r="AX52" s="26" t="s">
        <v>1231</v>
      </c>
      <c r="AY52" s="31" t="s">
        <v>1265</v>
      </c>
      <c r="AZ52" s="26" t="s">
        <v>1248</v>
      </c>
      <c r="BA52" s="24" t="s">
        <v>1266</v>
      </c>
    </row>
    <row r="53" spans="1:53" ht="7.35" customHeight="1" x14ac:dyDescent="0.25">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1418</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1230</v>
      </c>
      <c r="AW53" s="34" t="s">
        <v>1264</v>
      </c>
      <c r="AX53" s="26" t="s">
        <v>1231</v>
      </c>
      <c r="AY53" s="31" t="s">
        <v>1265</v>
      </c>
      <c r="AZ53" s="26" t="s">
        <v>1248</v>
      </c>
      <c r="BA53" s="24" t="s">
        <v>1266</v>
      </c>
    </row>
    <row r="54" spans="1:53" ht="7.35" customHeight="1" x14ac:dyDescent="0.25">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1418</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1230</v>
      </c>
      <c r="AW54" s="34" t="s">
        <v>1264</v>
      </c>
      <c r="AX54" s="26" t="s">
        <v>1231</v>
      </c>
      <c r="AY54" s="31" t="s">
        <v>1265</v>
      </c>
      <c r="AZ54" s="26" t="s">
        <v>1248</v>
      </c>
      <c r="BA54" s="24" t="s">
        <v>1266</v>
      </c>
    </row>
    <row r="55" spans="1:53" ht="7.35" customHeight="1" x14ac:dyDescent="0.25">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1418</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1230</v>
      </c>
      <c r="AW55" s="34" t="s">
        <v>1264</v>
      </c>
      <c r="AX55" s="26" t="s">
        <v>1231</v>
      </c>
      <c r="AY55" s="31" t="s">
        <v>1265</v>
      </c>
      <c r="AZ55" s="26" t="s">
        <v>1248</v>
      </c>
      <c r="BA55" s="24" t="s">
        <v>1266</v>
      </c>
    </row>
    <row r="56" spans="1:53" ht="7.35" customHeight="1" x14ac:dyDescent="0.25">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1418</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1230</v>
      </c>
      <c r="AW56" s="34" t="s">
        <v>1264</v>
      </c>
      <c r="AX56" s="26" t="s">
        <v>1231</v>
      </c>
      <c r="AY56" s="31" t="s">
        <v>1265</v>
      </c>
      <c r="AZ56" s="26" t="s">
        <v>1248</v>
      </c>
      <c r="BA56" s="24" t="s">
        <v>1266</v>
      </c>
    </row>
    <row r="57" spans="1:53" ht="7.35" customHeight="1" x14ac:dyDescent="0.25">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1418</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1230</v>
      </c>
      <c r="AW57" s="34" t="s">
        <v>1264</v>
      </c>
      <c r="AX57" s="26" t="s">
        <v>1231</v>
      </c>
      <c r="AY57" s="31" t="s">
        <v>1265</v>
      </c>
      <c r="AZ57" s="26" t="s">
        <v>1248</v>
      </c>
      <c r="BA57" s="24" t="s">
        <v>1266</v>
      </c>
    </row>
    <row r="58" spans="1:53" ht="7.35" customHeight="1" x14ac:dyDescent="0.25">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1418</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1230</v>
      </c>
      <c r="AW58" s="34" t="s">
        <v>1264</v>
      </c>
      <c r="AX58" s="26" t="s">
        <v>1231</v>
      </c>
      <c r="AY58" s="31" t="s">
        <v>1265</v>
      </c>
      <c r="AZ58" s="26" t="s">
        <v>1248</v>
      </c>
      <c r="BA58" s="24" t="s">
        <v>1266</v>
      </c>
    </row>
    <row r="59" spans="1:53" ht="7.35" customHeight="1" x14ac:dyDescent="0.25">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1418</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1230</v>
      </c>
      <c r="AW59" s="34" t="s">
        <v>1264</v>
      </c>
      <c r="AX59" s="26" t="s">
        <v>1231</v>
      </c>
      <c r="AY59" s="31" t="s">
        <v>1265</v>
      </c>
      <c r="AZ59" s="26" t="s">
        <v>1248</v>
      </c>
      <c r="BA59" s="24" t="s">
        <v>1266</v>
      </c>
    </row>
    <row r="60" spans="1:53" ht="7.35" customHeight="1" x14ac:dyDescent="0.25">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1418</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1230</v>
      </c>
      <c r="AW60" s="34" t="s">
        <v>1264</v>
      </c>
      <c r="AX60" s="26" t="s">
        <v>1231</v>
      </c>
      <c r="AY60" s="31" t="s">
        <v>1265</v>
      </c>
      <c r="AZ60" s="26" t="s">
        <v>1248</v>
      </c>
      <c r="BA60" s="24" t="s">
        <v>1266</v>
      </c>
    </row>
    <row r="61" spans="1:53" ht="7.35" customHeight="1" x14ac:dyDescent="0.25">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1418</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1230</v>
      </c>
      <c r="AW61" s="34" t="s">
        <v>1264</v>
      </c>
      <c r="AX61" s="26" t="s">
        <v>1231</v>
      </c>
      <c r="AY61" s="31" t="s">
        <v>1265</v>
      </c>
      <c r="AZ61" s="26" t="s">
        <v>1248</v>
      </c>
      <c r="BA61" s="24" t="s">
        <v>1266</v>
      </c>
    </row>
    <row r="62" spans="1:53" ht="7.35" customHeight="1" x14ac:dyDescent="0.25">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1418</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1230</v>
      </c>
      <c r="AW62" s="34" t="s">
        <v>1264</v>
      </c>
      <c r="AX62" s="26" t="s">
        <v>1231</v>
      </c>
      <c r="AY62" s="31" t="s">
        <v>1265</v>
      </c>
      <c r="AZ62" s="26" t="s">
        <v>1248</v>
      </c>
      <c r="BA62" s="24" t="s">
        <v>1266</v>
      </c>
    </row>
    <row r="63" spans="1:53" ht="7.35" customHeight="1" x14ac:dyDescent="0.25">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1418</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1230</v>
      </c>
      <c r="AW63" s="34" t="s">
        <v>1264</v>
      </c>
      <c r="AX63" s="26" t="s">
        <v>1231</v>
      </c>
      <c r="AY63" s="31" t="s">
        <v>1265</v>
      </c>
      <c r="AZ63" s="26" t="s">
        <v>1248</v>
      </c>
      <c r="BA63" s="24" t="s">
        <v>1266</v>
      </c>
    </row>
    <row r="64" spans="1:53" ht="7.35" customHeight="1" x14ac:dyDescent="0.25">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1418</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1230</v>
      </c>
      <c r="AW64" s="34" t="s">
        <v>1264</v>
      </c>
      <c r="AX64" s="26" t="s">
        <v>1231</v>
      </c>
      <c r="AY64" s="31" t="s">
        <v>1265</v>
      </c>
      <c r="AZ64" s="26" t="s">
        <v>1248</v>
      </c>
      <c r="BA64" s="24" t="s">
        <v>1266</v>
      </c>
    </row>
    <row r="65" spans="1:53" ht="7.35" customHeight="1" x14ac:dyDescent="0.25">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1418</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1230</v>
      </c>
      <c r="AW65" s="34" t="s">
        <v>1264</v>
      </c>
      <c r="AX65" s="26" t="s">
        <v>1231</v>
      </c>
      <c r="AY65" s="31" t="s">
        <v>1265</v>
      </c>
      <c r="AZ65" s="26" t="s">
        <v>1248</v>
      </c>
      <c r="BA65" s="24" t="s">
        <v>1266</v>
      </c>
    </row>
    <row r="66" spans="1:53" ht="7.35" customHeight="1" x14ac:dyDescent="0.25">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1418</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1230</v>
      </c>
      <c r="AW66" s="34" t="s">
        <v>1264</v>
      </c>
      <c r="AX66" s="26" t="s">
        <v>1231</v>
      </c>
      <c r="AY66" s="31" t="s">
        <v>1265</v>
      </c>
      <c r="AZ66" s="26" t="s">
        <v>1248</v>
      </c>
      <c r="BA66" s="24" t="s">
        <v>1266</v>
      </c>
    </row>
    <row r="67" spans="1:53" ht="7.35" customHeight="1" x14ac:dyDescent="0.25">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1418</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1230</v>
      </c>
      <c r="AW67" s="34" t="s">
        <v>1264</v>
      </c>
      <c r="AX67" s="26" t="s">
        <v>1231</v>
      </c>
      <c r="AY67" s="31" t="s">
        <v>1265</v>
      </c>
      <c r="AZ67" s="26" t="s">
        <v>1248</v>
      </c>
      <c r="BA67" s="24" t="s">
        <v>1266</v>
      </c>
    </row>
    <row r="68" spans="1:53" ht="7.35" customHeight="1" x14ac:dyDescent="0.25">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1418</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1230</v>
      </c>
      <c r="AW68" s="34" t="s">
        <v>1264</v>
      </c>
      <c r="AX68" s="26" t="s">
        <v>1231</v>
      </c>
      <c r="AY68" s="31" t="s">
        <v>1265</v>
      </c>
      <c r="AZ68" s="26" t="s">
        <v>1248</v>
      </c>
      <c r="BA68" s="24" t="s">
        <v>1266</v>
      </c>
    </row>
    <row r="69" spans="1:53" ht="7.35" customHeight="1" x14ac:dyDescent="0.25">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1418</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1230</v>
      </c>
      <c r="AW69" s="34" t="s">
        <v>1264</v>
      </c>
      <c r="AX69" s="26" t="s">
        <v>1231</v>
      </c>
      <c r="AY69" s="31" t="s">
        <v>1265</v>
      </c>
      <c r="AZ69" s="26" t="s">
        <v>1248</v>
      </c>
      <c r="BA69" s="24" t="s">
        <v>1266</v>
      </c>
    </row>
    <row r="70" spans="1:53" ht="7.35" customHeight="1" x14ac:dyDescent="0.25">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1418</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1230</v>
      </c>
      <c r="AW70" s="34" t="s">
        <v>1264</v>
      </c>
      <c r="AX70" s="26" t="s">
        <v>1231</v>
      </c>
      <c r="AY70" s="31" t="s">
        <v>1265</v>
      </c>
      <c r="AZ70" s="26" t="s">
        <v>1248</v>
      </c>
      <c r="BA70" s="24" t="s">
        <v>1266</v>
      </c>
    </row>
    <row r="71" spans="1:53" ht="7.35" customHeight="1" x14ac:dyDescent="0.25">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1418</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1230</v>
      </c>
      <c r="AW71" s="34" t="s">
        <v>1264</v>
      </c>
      <c r="AX71" s="26" t="s">
        <v>1231</v>
      </c>
      <c r="AY71" s="31" t="s">
        <v>1265</v>
      </c>
      <c r="AZ71" s="26" t="s">
        <v>1248</v>
      </c>
      <c r="BA71" s="24" t="s">
        <v>1266</v>
      </c>
    </row>
    <row r="72" spans="1:53" ht="7.35" customHeight="1" x14ac:dyDescent="0.25">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1418</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1230</v>
      </c>
      <c r="AW72" s="34" t="s">
        <v>1264</v>
      </c>
      <c r="AX72" s="26" t="s">
        <v>1231</v>
      </c>
      <c r="AY72" s="31" t="s">
        <v>1265</v>
      </c>
      <c r="AZ72" s="26" t="s">
        <v>1248</v>
      </c>
      <c r="BA72" s="24" t="s">
        <v>1266</v>
      </c>
    </row>
    <row r="73" spans="1:53" ht="7.35" customHeight="1" x14ac:dyDescent="0.25">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1418</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1230</v>
      </c>
      <c r="AW73" s="34" t="s">
        <v>1264</v>
      </c>
      <c r="AX73" s="26" t="s">
        <v>1231</v>
      </c>
      <c r="AY73" s="31" t="s">
        <v>1265</v>
      </c>
      <c r="AZ73" s="26" t="s">
        <v>1248</v>
      </c>
      <c r="BA73" s="24" t="s">
        <v>1266</v>
      </c>
    </row>
    <row r="74" spans="1:53" ht="7.35" customHeight="1" x14ac:dyDescent="0.25">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1418</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1230</v>
      </c>
      <c r="AW74" s="34" t="s">
        <v>1264</v>
      </c>
      <c r="AX74" s="26" t="s">
        <v>1231</v>
      </c>
      <c r="AY74" s="31" t="s">
        <v>1265</v>
      </c>
      <c r="AZ74" s="26" t="s">
        <v>1248</v>
      </c>
      <c r="BA74" s="24" t="s">
        <v>1266</v>
      </c>
    </row>
    <row r="75" spans="1:53" ht="7.35" customHeight="1" x14ac:dyDescent="0.25">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1418</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1230</v>
      </c>
      <c r="AW75" s="34" t="s">
        <v>1264</v>
      </c>
      <c r="AX75" s="26" t="s">
        <v>1231</v>
      </c>
      <c r="AY75" s="31" t="s">
        <v>1265</v>
      </c>
      <c r="AZ75" s="26" t="s">
        <v>1248</v>
      </c>
      <c r="BA75" s="24" t="s">
        <v>1266</v>
      </c>
    </row>
    <row r="76" spans="1:53" ht="7.35" customHeight="1" x14ac:dyDescent="0.25">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1418</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1230</v>
      </c>
      <c r="AW76" s="34" t="s">
        <v>1264</v>
      </c>
      <c r="AX76" s="26" t="s">
        <v>1231</v>
      </c>
      <c r="AY76" s="31" t="s">
        <v>1265</v>
      </c>
      <c r="AZ76" s="26" t="s">
        <v>1248</v>
      </c>
      <c r="BA76" s="24" t="s">
        <v>1266</v>
      </c>
    </row>
    <row r="77" spans="1:53" ht="7.35" customHeight="1" x14ac:dyDescent="0.25">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1418</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1230</v>
      </c>
      <c r="AW77" s="34" t="s">
        <v>1264</v>
      </c>
      <c r="AX77" s="26" t="s">
        <v>1231</v>
      </c>
      <c r="AY77" s="31" t="s">
        <v>1265</v>
      </c>
      <c r="AZ77" s="26" t="s">
        <v>1248</v>
      </c>
      <c r="BA77" s="24" t="s">
        <v>1266</v>
      </c>
    </row>
    <row r="78" spans="1:53" ht="7.35" customHeight="1" x14ac:dyDescent="0.25">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1418</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1230</v>
      </c>
      <c r="AW78" s="34" t="s">
        <v>1264</v>
      </c>
      <c r="AX78" s="26" t="s">
        <v>1231</v>
      </c>
      <c r="AY78" s="31" t="s">
        <v>1265</v>
      </c>
      <c r="AZ78" s="26" t="s">
        <v>1248</v>
      </c>
      <c r="BA78" s="24" t="s">
        <v>1266</v>
      </c>
    </row>
    <row r="79" spans="1:53" ht="7.35" customHeight="1" x14ac:dyDescent="0.25">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1418</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1230</v>
      </c>
      <c r="AW79" s="34" t="s">
        <v>1264</v>
      </c>
      <c r="AX79" s="26" t="s">
        <v>1231</v>
      </c>
      <c r="AY79" s="31" t="s">
        <v>1265</v>
      </c>
      <c r="AZ79" s="26" t="s">
        <v>1248</v>
      </c>
      <c r="BA79" s="24" t="s">
        <v>1266</v>
      </c>
    </row>
    <row r="80" spans="1:53" ht="7.35" customHeight="1" x14ac:dyDescent="0.25">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1418</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1230</v>
      </c>
      <c r="AW80" s="34" t="s">
        <v>1264</v>
      </c>
      <c r="AX80" s="26" t="s">
        <v>1231</v>
      </c>
      <c r="AY80" s="31" t="s">
        <v>1265</v>
      </c>
      <c r="AZ80" s="26" t="s">
        <v>1248</v>
      </c>
      <c r="BA80" s="24" t="s">
        <v>1266</v>
      </c>
    </row>
    <row r="81" spans="1:53" ht="7.35" customHeight="1" x14ac:dyDescent="0.25">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1418</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1230</v>
      </c>
      <c r="AW81" s="34" t="s">
        <v>1264</v>
      </c>
      <c r="AX81" s="26" t="s">
        <v>1231</v>
      </c>
      <c r="AY81" s="31" t="s">
        <v>1265</v>
      </c>
      <c r="AZ81" s="26" t="s">
        <v>1248</v>
      </c>
      <c r="BA81" s="24" t="s">
        <v>1266</v>
      </c>
    </row>
    <row r="82" spans="1:53" ht="7.35" customHeight="1" x14ac:dyDescent="0.25">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1418</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1230</v>
      </c>
      <c r="AW82" s="34" t="s">
        <v>1264</v>
      </c>
      <c r="AX82" s="26" t="s">
        <v>1231</v>
      </c>
      <c r="AY82" s="31" t="s">
        <v>1265</v>
      </c>
      <c r="AZ82" s="26" t="s">
        <v>1248</v>
      </c>
      <c r="BA82" s="24" t="s">
        <v>1266</v>
      </c>
    </row>
    <row r="83" spans="1:53" ht="7.35" customHeight="1" x14ac:dyDescent="0.25">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1418</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1230</v>
      </c>
      <c r="AW83" s="34" t="s">
        <v>1264</v>
      </c>
      <c r="AX83" s="26" t="s">
        <v>1231</v>
      </c>
      <c r="AY83" s="31" t="s">
        <v>1265</v>
      </c>
      <c r="AZ83" s="26" t="s">
        <v>1248</v>
      </c>
      <c r="BA83" s="24" t="s">
        <v>1266</v>
      </c>
    </row>
    <row r="84" spans="1:53" ht="7.35" customHeight="1" x14ac:dyDescent="0.25">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1418</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1230</v>
      </c>
      <c r="AW84" s="34" t="s">
        <v>1264</v>
      </c>
      <c r="AX84" s="26" t="s">
        <v>1231</v>
      </c>
      <c r="AY84" s="31" t="s">
        <v>1265</v>
      </c>
      <c r="AZ84" s="26" t="s">
        <v>1248</v>
      </c>
      <c r="BA84" s="24" t="s">
        <v>1266</v>
      </c>
    </row>
    <row r="85" spans="1:53" ht="7.35" customHeight="1" x14ac:dyDescent="0.25">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1418</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1230</v>
      </c>
      <c r="AW85" s="34" t="s">
        <v>1264</v>
      </c>
      <c r="AX85" s="26" t="s">
        <v>1231</v>
      </c>
      <c r="AY85" s="31" t="s">
        <v>1265</v>
      </c>
      <c r="AZ85" s="26" t="s">
        <v>1248</v>
      </c>
      <c r="BA85" s="24" t="s">
        <v>1266</v>
      </c>
    </row>
    <row r="86" spans="1:53" ht="7.35" customHeight="1" x14ac:dyDescent="0.25">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1418</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1230</v>
      </c>
      <c r="AW86" s="34" t="s">
        <v>1264</v>
      </c>
      <c r="AX86" s="26" t="s">
        <v>1231</v>
      </c>
      <c r="AY86" s="31" t="s">
        <v>1265</v>
      </c>
      <c r="AZ86" s="26" t="s">
        <v>1248</v>
      </c>
      <c r="BA86" s="24" t="s">
        <v>1266</v>
      </c>
    </row>
    <row r="87" spans="1:53" ht="7.35" customHeight="1" x14ac:dyDescent="0.25">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1418</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1230</v>
      </c>
      <c r="AW87" s="34" t="s">
        <v>1264</v>
      </c>
      <c r="AX87" s="26" t="s">
        <v>1231</v>
      </c>
      <c r="AY87" s="31" t="s">
        <v>1265</v>
      </c>
      <c r="AZ87" s="26" t="s">
        <v>1248</v>
      </c>
      <c r="BA87" s="24" t="s">
        <v>1266</v>
      </c>
    </row>
    <row r="88" spans="1:53" ht="7.35" customHeight="1" x14ac:dyDescent="0.25">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1418</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1230</v>
      </c>
      <c r="AW88" s="34" t="s">
        <v>1264</v>
      </c>
      <c r="AX88" s="26" t="s">
        <v>1231</v>
      </c>
      <c r="AY88" s="31" t="s">
        <v>1265</v>
      </c>
      <c r="AZ88" s="26" t="s">
        <v>1248</v>
      </c>
      <c r="BA88" s="24" t="s">
        <v>1266</v>
      </c>
    </row>
    <row r="89" spans="1:53" ht="7.35" customHeight="1" x14ac:dyDescent="0.25">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1418</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1230</v>
      </c>
      <c r="AW89" s="34" t="s">
        <v>1264</v>
      </c>
      <c r="AX89" s="26" t="s">
        <v>1231</v>
      </c>
      <c r="AY89" s="31" t="s">
        <v>1265</v>
      </c>
      <c r="AZ89" s="26" t="s">
        <v>1248</v>
      </c>
      <c r="BA89" s="24" t="s">
        <v>1266</v>
      </c>
    </row>
    <row r="90" spans="1:53" ht="7.35" customHeight="1" x14ac:dyDescent="0.25">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1418</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1230</v>
      </c>
      <c r="AW90" s="34" t="s">
        <v>1264</v>
      </c>
      <c r="AX90" s="26" t="s">
        <v>1231</v>
      </c>
      <c r="AY90" s="31" t="s">
        <v>1265</v>
      </c>
      <c r="AZ90" s="26" t="s">
        <v>1248</v>
      </c>
      <c r="BA90" s="24" t="s">
        <v>1266</v>
      </c>
    </row>
    <row r="91" spans="1:53" ht="7.35" customHeight="1" x14ac:dyDescent="0.25">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1418</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1230</v>
      </c>
      <c r="AW91" s="34" t="s">
        <v>1264</v>
      </c>
      <c r="AX91" s="26" t="s">
        <v>1231</v>
      </c>
      <c r="AY91" s="31" t="s">
        <v>1265</v>
      </c>
      <c r="AZ91" s="26" t="s">
        <v>1248</v>
      </c>
      <c r="BA91" s="24" t="s">
        <v>1266</v>
      </c>
    </row>
    <row r="92" spans="1:53" ht="7.35" customHeight="1" x14ac:dyDescent="0.25">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1418</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1230</v>
      </c>
      <c r="AW92" s="34" t="s">
        <v>1264</v>
      </c>
      <c r="AX92" s="26" t="s">
        <v>1231</v>
      </c>
      <c r="AY92" s="31" t="s">
        <v>1265</v>
      </c>
      <c r="AZ92" s="26" t="s">
        <v>1248</v>
      </c>
      <c r="BA92" s="24" t="s">
        <v>1266</v>
      </c>
    </row>
    <row r="93" spans="1:53" ht="7.35" customHeight="1" x14ac:dyDescent="0.25">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1418</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1230</v>
      </c>
      <c r="AW93" s="34" t="s">
        <v>1264</v>
      </c>
      <c r="AX93" s="26" t="s">
        <v>1231</v>
      </c>
      <c r="AY93" s="31" t="s">
        <v>1265</v>
      </c>
      <c r="AZ93" s="26" t="s">
        <v>1248</v>
      </c>
      <c r="BA93" s="24" t="s">
        <v>1266</v>
      </c>
    </row>
    <row r="94" spans="1:53" ht="7.35" customHeight="1" x14ac:dyDescent="0.25">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1418</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1230</v>
      </c>
      <c r="AW94" s="34" t="s">
        <v>1264</v>
      </c>
      <c r="AX94" s="26" t="s">
        <v>1231</v>
      </c>
      <c r="AY94" s="31" t="s">
        <v>1265</v>
      </c>
      <c r="AZ94" s="26" t="s">
        <v>1248</v>
      </c>
      <c r="BA94" s="24" t="s">
        <v>1266</v>
      </c>
    </row>
    <row r="95" spans="1:53" ht="7.35" customHeight="1" x14ac:dyDescent="0.25">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1418</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1230</v>
      </c>
      <c r="AW95" s="34" t="s">
        <v>1264</v>
      </c>
      <c r="AX95" s="26" t="s">
        <v>1231</v>
      </c>
      <c r="AY95" s="31" t="s">
        <v>1265</v>
      </c>
      <c r="AZ95" s="26" t="s">
        <v>1248</v>
      </c>
      <c r="BA95" s="24" t="s">
        <v>1266</v>
      </c>
    </row>
    <row r="96" spans="1:53" ht="7.35" customHeight="1" x14ac:dyDescent="0.25">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1418</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1230</v>
      </c>
      <c r="AW96" s="34" t="s">
        <v>1264</v>
      </c>
      <c r="AX96" s="26" t="s">
        <v>1231</v>
      </c>
      <c r="AY96" s="31" t="s">
        <v>1265</v>
      </c>
      <c r="AZ96" s="26" t="s">
        <v>1248</v>
      </c>
      <c r="BA96" s="24" t="s">
        <v>1266</v>
      </c>
    </row>
    <row r="97" spans="1:53" ht="7.35" customHeight="1" x14ac:dyDescent="0.25">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1418</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1230</v>
      </c>
      <c r="AW97" s="34" t="s">
        <v>1264</v>
      </c>
      <c r="AX97" s="26" t="s">
        <v>1231</v>
      </c>
      <c r="AY97" s="31" t="s">
        <v>1265</v>
      </c>
      <c r="AZ97" s="26" t="s">
        <v>1248</v>
      </c>
      <c r="BA97" s="24" t="s">
        <v>1266</v>
      </c>
    </row>
    <row r="98" spans="1:53" ht="7.35" customHeight="1" x14ac:dyDescent="0.25">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1418</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1230</v>
      </c>
      <c r="AW98" s="34" t="s">
        <v>1264</v>
      </c>
      <c r="AX98" s="26" t="s">
        <v>1231</v>
      </c>
      <c r="AY98" s="31" t="s">
        <v>1265</v>
      </c>
      <c r="AZ98" s="26" t="s">
        <v>1248</v>
      </c>
      <c r="BA98" s="24" t="s">
        <v>1266</v>
      </c>
    </row>
    <row r="99" spans="1:53" ht="7.35" customHeight="1" x14ac:dyDescent="0.25">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1418</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1230</v>
      </c>
      <c r="AW99" s="34" t="s">
        <v>1264</v>
      </c>
      <c r="AX99" s="26" t="s">
        <v>1231</v>
      </c>
      <c r="AY99" s="31" t="s">
        <v>1265</v>
      </c>
      <c r="AZ99" s="26" t="s">
        <v>1248</v>
      </c>
      <c r="BA99" s="24" t="s">
        <v>1266</v>
      </c>
    </row>
    <row r="100" spans="1:53" ht="7.35" customHeight="1" x14ac:dyDescent="0.25">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1418</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1230</v>
      </c>
      <c r="AW100" s="34" t="s">
        <v>1264</v>
      </c>
      <c r="AX100" s="26" t="s">
        <v>1231</v>
      </c>
      <c r="AY100" s="31" t="s">
        <v>1265</v>
      </c>
      <c r="AZ100" s="26" t="s">
        <v>1248</v>
      </c>
      <c r="BA100" s="24" t="s">
        <v>1266</v>
      </c>
    </row>
    <row r="101" spans="1:53" ht="7.35" customHeight="1" x14ac:dyDescent="0.25">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1418</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1230</v>
      </c>
      <c r="AW101" s="34" t="s">
        <v>1264</v>
      </c>
      <c r="AX101" s="26" t="s">
        <v>1231</v>
      </c>
      <c r="AY101" s="31" t="s">
        <v>1265</v>
      </c>
      <c r="AZ101" s="26" t="s">
        <v>1248</v>
      </c>
      <c r="BA101" s="24" t="s">
        <v>1266</v>
      </c>
    </row>
    <row r="102" spans="1:53" ht="7.35" customHeight="1" x14ac:dyDescent="0.25">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1418</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1230</v>
      </c>
      <c r="AW102" s="34" t="s">
        <v>1264</v>
      </c>
      <c r="AX102" s="26" t="s">
        <v>1231</v>
      </c>
      <c r="AY102" s="31" t="s">
        <v>1265</v>
      </c>
      <c r="AZ102" s="26" t="s">
        <v>1248</v>
      </c>
      <c r="BA102" s="24" t="s">
        <v>1266</v>
      </c>
    </row>
    <row r="103" spans="1:53" ht="7.35" customHeight="1" x14ac:dyDescent="0.25">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1418</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1230</v>
      </c>
      <c r="AW103" s="34" t="s">
        <v>1264</v>
      </c>
      <c r="AX103" s="26" t="s">
        <v>1231</v>
      </c>
      <c r="AY103" s="31" t="s">
        <v>1265</v>
      </c>
      <c r="AZ103" s="26" t="s">
        <v>1248</v>
      </c>
      <c r="BA103" s="24" t="s">
        <v>1266</v>
      </c>
    </row>
    <row r="104" spans="1:53" ht="7.35" customHeight="1" x14ac:dyDescent="0.25">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1418</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1230</v>
      </c>
      <c r="AW104" s="34" t="s">
        <v>1264</v>
      </c>
      <c r="AX104" s="26" t="s">
        <v>1231</v>
      </c>
      <c r="AY104" s="31" t="s">
        <v>1265</v>
      </c>
      <c r="AZ104" s="26" t="s">
        <v>1248</v>
      </c>
      <c r="BA104" s="24" t="s">
        <v>1266</v>
      </c>
    </row>
    <row r="105" spans="1:53" ht="7.35" customHeight="1" x14ac:dyDescent="0.25">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1418</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1230</v>
      </c>
      <c r="AW105" s="34" t="s">
        <v>1264</v>
      </c>
      <c r="AX105" s="26" t="s">
        <v>1231</v>
      </c>
      <c r="AY105" s="31" t="s">
        <v>1265</v>
      </c>
      <c r="AZ105" s="26" t="s">
        <v>1248</v>
      </c>
      <c r="BA105" s="24" t="s">
        <v>1266</v>
      </c>
    </row>
    <row r="106" spans="1:53" ht="7.35" customHeight="1" x14ac:dyDescent="0.25">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1418</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1230</v>
      </c>
      <c r="AW106" s="34" t="s">
        <v>1264</v>
      </c>
      <c r="AX106" s="26" t="s">
        <v>1231</v>
      </c>
      <c r="AY106" s="31" t="s">
        <v>1265</v>
      </c>
      <c r="AZ106" s="26" t="s">
        <v>1248</v>
      </c>
      <c r="BA106" s="24" t="s">
        <v>1266</v>
      </c>
    </row>
    <row r="107" spans="1:53" ht="7.35" customHeight="1" x14ac:dyDescent="0.25">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1418</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1230</v>
      </c>
      <c r="AW107" s="34" t="s">
        <v>1264</v>
      </c>
      <c r="AX107" s="26" t="s">
        <v>1231</v>
      </c>
      <c r="AY107" s="31" t="s">
        <v>1265</v>
      </c>
      <c r="AZ107" s="26" t="s">
        <v>1248</v>
      </c>
      <c r="BA107" s="24" t="s">
        <v>1266</v>
      </c>
    </row>
    <row r="108" spans="1:53" ht="7.35" customHeight="1" x14ac:dyDescent="0.25">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1418</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1230</v>
      </c>
      <c r="AW108" s="34" t="s">
        <v>1264</v>
      </c>
      <c r="AX108" s="26" t="s">
        <v>1231</v>
      </c>
      <c r="AY108" s="31" t="s">
        <v>1265</v>
      </c>
      <c r="AZ108" s="26" t="s">
        <v>1248</v>
      </c>
      <c r="BA108" s="24" t="s">
        <v>1266</v>
      </c>
    </row>
    <row r="109" spans="1:53" ht="7.35" customHeight="1" x14ac:dyDescent="0.25">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1418</v>
      </c>
      <c r="P109" s="39" t="s">
        <v>177</v>
      </c>
      <c r="Q109" s="37" t="s">
        <v>437</v>
      </c>
      <c r="R109" s="39" t="s">
        <v>355</v>
      </c>
      <c r="S109" s="37" t="s">
        <v>676</v>
      </c>
      <c r="T109" s="39" t="s">
        <v>1261</v>
      </c>
      <c r="U109" s="42">
        <v>0</v>
      </c>
      <c r="V109" s="58" t="s">
        <v>1262</v>
      </c>
      <c r="W109" s="46">
        <v>0</v>
      </c>
      <c r="X109" s="58" t="s">
        <v>1263</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1230</v>
      </c>
      <c r="AW109" s="34" t="s">
        <v>1264</v>
      </c>
      <c r="AX109" s="26" t="s">
        <v>1231</v>
      </c>
      <c r="AY109" s="31" t="s">
        <v>1265</v>
      </c>
      <c r="AZ109" s="26" t="s">
        <v>1248</v>
      </c>
      <c r="BA109" s="24" t="s">
        <v>1266</v>
      </c>
    </row>
    <row r="110" spans="1:53" ht="7.35" customHeight="1" x14ac:dyDescent="0.25">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1418</v>
      </c>
      <c r="P110" s="39" t="s">
        <v>177</v>
      </c>
      <c r="Q110" s="37" t="s">
        <v>369</v>
      </c>
      <c r="R110" s="39" t="s">
        <v>355</v>
      </c>
      <c r="S110" s="37" t="s">
        <v>676</v>
      </c>
      <c r="T110" s="39" t="s">
        <v>1261</v>
      </c>
      <c r="U110" s="42">
        <v>0</v>
      </c>
      <c r="V110" s="58" t="s">
        <v>1262</v>
      </c>
      <c r="W110" s="46">
        <v>0</v>
      </c>
      <c r="X110" s="58" t="s">
        <v>1263</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1230</v>
      </c>
      <c r="AW110" s="34" t="s">
        <v>1264</v>
      </c>
      <c r="AX110" s="26" t="s">
        <v>1231</v>
      </c>
      <c r="AY110" s="31" t="s">
        <v>1265</v>
      </c>
      <c r="AZ110" s="26" t="s">
        <v>1248</v>
      </c>
      <c r="BA110" s="24" t="s">
        <v>1266</v>
      </c>
    </row>
    <row r="111" spans="1:53" ht="7.35" customHeight="1" x14ac:dyDescent="0.25">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1418</v>
      </c>
      <c r="P111" s="39" t="s">
        <v>177</v>
      </c>
      <c r="Q111" s="37" t="s">
        <v>636</v>
      </c>
      <c r="R111" s="39" t="s">
        <v>355</v>
      </c>
      <c r="S111" s="37" t="s">
        <v>676</v>
      </c>
      <c r="T111" s="39" t="s">
        <v>1261</v>
      </c>
      <c r="U111" s="42">
        <v>0</v>
      </c>
      <c r="V111" s="58" t="s">
        <v>1262</v>
      </c>
      <c r="W111" s="46">
        <v>0</v>
      </c>
      <c r="X111" s="58" t="s">
        <v>1263</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1230</v>
      </c>
      <c r="AW111" s="34" t="s">
        <v>1264</v>
      </c>
      <c r="AX111" s="26" t="s">
        <v>1231</v>
      </c>
      <c r="AY111" s="31" t="s">
        <v>1265</v>
      </c>
      <c r="AZ111" s="26" t="s">
        <v>1248</v>
      </c>
      <c r="BA111" s="24" t="s">
        <v>1266</v>
      </c>
    </row>
    <row r="112" spans="1:53" ht="7.35" customHeight="1" x14ac:dyDescent="0.25">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1418</v>
      </c>
      <c r="P112" s="39" t="s">
        <v>177</v>
      </c>
      <c r="Q112" s="37" t="s">
        <v>637</v>
      </c>
      <c r="R112" s="39" t="s">
        <v>355</v>
      </c>
      <c r="S112" s="37" t="s">
        <v>676</v>
      </c>
      <c r="T112" s="39" t="s">
        <v>1261</v>
      </c>
      <c r="U112" s="42">
        <v>0</v>
      </c>
      <c r="V112" s="58" t="s">
        <v>1262</v>
      </c>
      <c r="W112" s="46">
        <v>0</v>
      </c>
      <c r="X112" s="58" t="s">
        <v>1263</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1230</v>
      </c>
      <c r="AW112" s="34" t="s">
        <v>1264</v>
      </c>
      <c r="AX112" s="26" t="s">
        <v>1231</v>
      </c>
      <c r="AY112" s="31" t="s">
        <v>1265</v>
      </c>
      <c r="AZ112" s="26" t="s">
        <v>1248</v>
      </c>
      <c r="BA112" s="24" t="s">
        <v>1266</v>
      </c>
    </row>
    <row r="113" spans="1:53" ht="7.35" customHeight="1" x14ac:dyDescent="0.25">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1418</v>
      </c>
      <c r="P113" s="39" t="s">
        <v>177</v>
      </c>
      <c r="Q113" s="37" t="s">
        <v>428</v>
      </c>
      <c r="R113" s="39" t="s">
        <v>355</v>
      </c>
      <c r="S113" s="37" t="s">
        <v>676</v>
      </c>
      <c r="T113" s="39" t="s">
        <v>1261</v>
      </c>
      <c r="U113" s="42">
        <v>50</v>
      </c>
      <c r="V113" s="58" t="s">
        <v>1262</v>
      </c>
      <c r="W113" s="46">
        <v>4</v>
      </c>
      <c r="X113" s="58" t="s">
        <v>1263</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1230</v>
      </c>
      <c r="AW113" s="34" t="s">
        <v>1264</v>
      </c>
      <c r="AX113" s="26" t="s">
        <v>1231</v>
      </c>
      <c r="AY113" s="31" t="s">
        <v>1265</v>
      </c>
      <c r="AZ113" s="26" t="s">
        <v>1248</v>
      </c>
      <c r="BA113" s="24" t="s">
        <v>1266</v>
      </c>
    </row>
    <row r="114" spans="1:53" ht="7.35" customHeight="1" x14ac:dyDescent="0.25">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1418</v>
      </c>
      <c r="P114" s="39" t="s">
        <v>177</v>
      </c>
      <c r="Q114" s="37" t="s">
        <v>635</v>
      </c>
      <c r="R114" s="39" t="s">
        <v>355</v>
      </c>
      <c r="S114" s="37" t="s">
        <v>415</v>
      </c>
      <c r="T114" s="39" t="s">
        <v>1261</v>
      </c>
      <c r="U114" s="42">
        <v>0</v>
      </c>
      <c r="V114" s="58" t="s">
        <v>1262</v>
      </c>
      <c r="W114" s="46">
        <v>0</v>
      </c>
      <c r="X114" s="58" t="s">
        <v>1263</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1230</v>
      </c>
      <c r="AW114" s="34" t="s">
        <v>1264</v>
      </c>
      <c r="AX114" s="26" t="s">
        <v>1231</v>
      </c>
      <c r="AY114" s="31" t="s">
        <v>1265</v>
      </c>
      <c r="AZ114" s="26" t="s">
        <v>1248</v>
      </c>
      <c r="BA114" s="24" t="s">
        <v>1266</v>
      </c>
    </row>
    <row r="115" spans="1:53" ht="7.35" customHeight="1" x14ac:dyDescent="0.25">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1418</v>
      </c>
      <c r="P115" s="39" t="s">
        <v>177</v>
      </c>
      <c r="Q115" s="37" t="s">
        <v>644</v>
      </c>
      <c r="R115" s="39" t="s">
        <v>355</v>
      </c>
      <c r="S115" s="37" t="s">
        <v>415</v>
      </c>
      <c r="T115" s="39" t="s">
        <v>1261</v>
      </c>
      <c r="U115" s="42">
        <v>0</v>
      </c>
      <c r="V115" s="58" t="s">
        <v>1262</v>
      </c>
      <c r="W115" s="46">
        <v>2</v>
      </c>
      <c r="X115" s="58" t="s">
        <v>1263</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1230</v>
      </c>
      <c r="AW115" s="34" t="s">
        <v>1264</v>
      </c>
      <c r="AX115" s="26" t="s">
        <v>1231</v>
      </c>
      <c r="AY115" s="31" t="s">
        <v>1265</v>
      </c>
      <c r="AZ115" s="26" t="s">
        <v>1248</v>
      </c>
      <c r="BA115" s="24" t="s">
        <v>1266</v>
      </c>
    </row>
    <row r="116" spans="1:53" ht="7.35" customHeight="1" x14ac:dyDescent="0.25">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1418</v>
      </c>
      <c r="P116" s="39" t="s">
        <v>177</v>
      </c>
      <c r="Q116" s="37" t="s">
        <v>184</v>
      </c>
      <c r="R116" s="39" t="s">
        <v>355</v>
      </c>
      <c r="S116" s="37" t="s">
        <v>676</v>
      </c>
      <c r="T116" s="39" t="s">
        <v>1261</v>
      </c>
      <c r="U116" s="42">
        <v>60</v>
      </c>
      <c r="V116" s="58" t="s">
        <v>1262</v>
      </c>
      <c r="W116" s="46">
        <v>6</v>
      </c>
      <c r="X116" s="58" t="s">
        <v>1263</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1230</v>
      </c>
      <c r="AW116" s="34" t="s">
        <v>1264</v>
      </c>
      <c r="AX116" s="26" t="s">
        <v>1231</v>
      </c>
      <c r="AY116" s="31" t="s">
        <v>1265</v>
      </c>
      <c r="AZ116" s="26" t="s">
        <v>1248</v>
      </c>
      <c r="BA116" s="24" t="s">
        <v>1266</v>
      </c>
    </row>
    <row r="117" spans="1:53" ht="7.35" customHeight="1" x14ac:dyDescent="0.25">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1418</v>
      </c>
      <c r="P117" s="39" t="s">
        <v>177</v>
      </c>
      <c r="Q117" s="37" t="s">
        <v>236</v>
      </c>
      <c r="R117" s="39" t="s">
        <v>355</v>
      </c>
      <c r="S117" s="37" t="s">
        <v>676</v>
      </c>
      <c r="T117" s="39" t="s">
        <v>1261</v>
      </c>
      <c r="U117" s="42">
        <v>60</v>
      </c>
      <c r="V117" s="58" t="s">
        <v>1262</v>
      </c>
      <c r="W117" s="46">
        <v>5</v>
      </c>
      <c r="X117" s="58" t="s">
        <v>1263</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1230</v>
      </c>
      <c r="AW117" s="34" t="s">
        <v>1264</v>
      </c>
      <c r="AX117" s="26" t="s">
        <v>1231</v>
      </c>
      <c r="AY117" s="31" t="s">
        <v>1265</v>
      </c>
      <c r="AZ117" s="26" t="s">
        <v>1248</v>
      </c>
      <c r="BA117" s="24" t="s">
        <v>1266</v>
      </c>
    </row>
    <row r="118" spans="1:53" ht="7.35" customHeight="1" x14ac:dyDescent="0.25">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1418</v>
      </c>
      <c r="P118" s="39" t="s">
        <v>177</v>
      </c>
      <c r="Q118" s="37" t="s">
        <v>660</v>
      </c>
      <c r="R118" s="39" t="s">
        <v>355</v>
      </c>
      <c r="S118" s="37" t="s">
        <v>676</v>
      </c>
      <c r="T118" s="39" t="s">
        <v>1261</v>
      </c>
      <c r="U118" s="42">
        <v>80</v>
      </c>
      <c r="V118" s="58" t="s">
        <v>1262</v>
      </c>
      <c r="W118" s="46">
        <v>6</v>
      </c>
      <c r="X118" s="58" t="s">
        <v>1263</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1230</v>
      </c>
      <c r="AW118" s="34" t="s">
        <v>1264</v>
      </c>
      <c r="AX118" s="26" t="s">
        <v>1231</v>
      </c>
      <c r="AY118" s="31" t="s">
        <v>1265</v>
      </c>
      <c r="AZ118" s="26" t="s">
        <v>1248</v>
      </c>
      <c r="BA118" s="24" t="s">
        <v>1266</v>
      </c>
    </row>
    <row r="119" spans="1:53" ht="7.35" customHeight="1" x14ac:dyDescent="0.25">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1418</v>
      </c>
      <c r="P119" s="39" t="s">
        <v>177</v>
      </c>
      <c r="Q119" s="37" t="s">
        <v>665</v>
      </c>
      <c r="R119" s="39" t="s">
        <v>355</v>
      </c>
      <c r="S119" s="37" t="s">
        <v>676</v>
      </c>
      <c r="T119" s="39" t="s">
        <v>1261</v>
      </c>
      <c r="U119" s="42">
        <v>100</v>
      </c>
      <c r="V119" s="58" t="s">
        <v>1262</v>
      </c>
      <c r="W119" s="46">
        <v>8</v>
      </c>
      <c r="X119" s="58" t="s">
        <v>1263</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1230</v>
      </c>
      <c r="AW119" s="34" t="s">
        <v>1264</v>
      </c>
      <c r="AX119" s="26" t="s">
        <v>1231</v>
      </c>
      <c r="AY119" s="31" t="s">
        <v>1265</v>
      </c>
      <c r="AZ119" s="26" t="s">
        <v>1248</v>
      </c>
      <c r="BA119" s="24" t="s">
        <v>1266</v>
      </c>
    </row>
    <row r="120" spans="1:53" ht="7.35" customHeight="1" x14ac:dyDescent="0.25">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1418</v>
      </c>
      <c r="P120" s="39" t="s">
        <v>177</v>
      </c>
      <c r="Q120" s="37" t="s">
        <v>235</v>
      </c>
      <c r="R120" s="39" t="s">
        <v>355</v>
      </c>
      <c r="S120" s="37" t="s">
        <v>676</v>
      </c>
      <c r="T120" s="39" t="s">
        <v>1261</v>
      </c>
      <c r="U120" s="42">
        <v>50</v>
      </c>
      <c r="V120" s="58" t="s">
        <v>1262</v>
      </c>
      <c r="W120" s="46">
        <v>4</v>
      </c>
      <c r="X120" s="58" t="s">
        <v>1263</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1230</v>
      </c>
      <c r="AW120" s="34" t="s">
        <v>1264</v>
      </c>
      <c r="AX120" s="26" t="s">
        <v>1231</v>
      </c>
      <c r="AY120" s="31" t="s">
        <v>1265</v>
      </c>
      <c r="AZ120" s="26" t="s">
        <v>1248</v>
      </c>
      <c r="BA120" s="24" t="s">
        <v>1266</v>
      </c>
    </row>
    <row r="121" spans="1:53" ht="7.35" customHeight="1" x14ac:dyDescent="0.25">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1418</v>
      </c>
      <c r="P121" s="39" t="s">
        <v>177</v>
      </c>
      <c r="Q121" s="37" t="s">
        <v>185</v>
      </c>
      <c r="R121" s="39" t="s">
        <v>355</v>
      </c>
      <c r="S121" s="37" t="s">
        <v>677</v>
      </c>
      <c r="T121" s="39" t="s">
        <v>1261</v>
      </c>
      <c r="U121" s="42">
        <v>0</v>
      </c>
      <c r="V121" s="58" t="s">
        <v>1262</v>
      </c>
      <c r="W121" s="46">
        <v>3</v>
      </c>
      <c r="X121" s="58" t="s">
        <v>1263</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1230</v>
      </c>
      <c r="AW121" s="34" t="s">
        <v>1264</v>
      </c>
      <c r="AX121" s="26" t="s">
        <v>1231</v>
      </c>
      <c r="AY121" s="31" t="s">
        <v>1265</v>
      </c>
      <c r="AZ121" s="26" t="s">
        <v>1248</v>
      </c>
      <c r="BA121" s="24" t="s">
        <v>1266</v>
      </c>
    </row>
    <row r="122" spans="1:53" ht="7.35" customHeight="1" x14ac:dyDescent="0.25">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1418</v>
      </c>
      <c r="P122" s="39" t="s">
        <v>177</v>
      </c>
      <c r="Q122" s="37" t="s">
        <v>186</v>
      </c>
      <c r="R122" s="39" t="s">
        <v>355</v>
      </c>
      <c r="S122" s="37" t="s">
        <v>676</v>
      </c>
      <c r="T122" s="39" t="s">
        <v>1261</v>
      </c>
      <c r="U122" s="42">
        <v>60</v>
      </c>
      <c r="V122" s="58" t="s">
        <v>1262</v>
      </c>
      <c r="W122" s="46">
        <v>5</v>
      </c>
      <c r="X122" s="58" t="s">
        <v>1263</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1230</v>
      </c>
      <c r="AW122" s="34" t="s">
        <v>1264</v>
      </c>
      <c r="AX122" s="26" t="s">
        <v>1231</v>
      </c>
      <c r="AY122" s="31" t="s">
        <v>1265</v>
      </c>
      <c r="AZ122" s="26" t="s">
        <v>1248</v>
      </c>
      <c r="BA122" s="24" t="s">
        <v>1266</v>
      </c>
    </row>
    <row r="123" spans="1:53" ht="7.35" customHeight="1" x14ac:dyDescent="0.25">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1418</v>
      </c>
      <c r="P123" s="39" t="s">
        <v>177</v>
      </c>
      <c r="Q123" s="37" t="s">
        <v>187</v>
      </c>
      <c r="R123" s="39" t="s">
        <v>355</v>
      </c>
      <c r="S123" s="37" t="s">
        <v>676</v>
      </c>
      <c r="T123" s="39" t="s">
        <v>1261</v>
      </c>
      <c r="U123" s="42">
        <v>100</v>
      </c>
      <c r="V123" s="58" t="s">
        <v>1262</v>
      </c>
      <c r="W123" s="46">
        <v>6</v>
      </c>
      <c r="X123" s="58" t="s">
        <v>1263</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1230</v>
      </c>
      <c r="AW123" s="34" t="s">
        <v>1264</v>
      </c>
      <c r="AX123" s="26" t="s">
        <v>1231</v>
      </c>
      <c r="AY123" s="31" t="s">
        <v>1265</v>
      </c>
      <c r="AZ123" s="26" t="s">
        <v>1248</v>
      </c>
      <c r="BA123" s="24" t="s">
        <v>1266</v>
      </c>
    </row>
    <row r="124" spans="1:53" ht="7.35" customHeight="1" x14ac:dyDescent="0.25">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1418</v>
      </c>
      <c r="P124" s="39" t="s">
        <v>177</v>
      </c>
      <c r="Q124" s="37" t="s">
        <v>188</v>
      </c>
      <c r="R124" s="39" t="s">
        <v>355</v>
      </c>
      <c r="S124" s="37" t="s">
        <v>676</v>
      </c>
      <c r="T124" s="39" t="s">
        <v>1261</v>
      </c>
      <c r="U124" s="42">
        <v>30</v>
      </c>
      <c r="V124" s="58" t="s">
        <v>1262</v>
      </c>
      <c r="W124" s="46">
        <v>4</v>
      </c>
      <c r="X124" s="58" t="s">
        <v>1263</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1230</v>
      </c>
      <c r="AW124" s="34" t="s">
        <v>1264</v>
      </c>
      <c r="AX124" s="26" t="s">
        <v>1231</v>
      </c>
      <c r="AY124" s="31" t="s">
        <v>1265</v>
      </c>
      <c r="AZ124" s="26" t="s">
        <v>1248</v>
      </c>
      <c r="BA124" s="24" t="s">
        <v>1266</v>
      </c>
    </row>
    <row r="125" spans="1:53" ht="7.35" customHeight="1" x14ac:dyDescent="0.25">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1418</v>
      </c>
      <c r="P125" s="39" t="s">
        <v>177</v>
      </c>
      <c r="Q125" s="37" t="s">
        <v>240</v>
      </c>
      <c r="R125" s="39" t="s">
        <v>355</v>
      </c>
      <c r="S125" s="37" t="s">
        <v>676</v>
      </c>
      <c r="T125" s="39" t="s">
        <v>1261</v>
      </c>
      <c r="U125" s="42">
        <v>30</v>
      </c>
      <c r="V125" s="58" t="s">
        <v>1262</v>
      </c>
      <c r="W125" s="46">
        <v>3</v>
      </c>
      <c r="X125" s="58" t="s">
        <v>1263</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1230</v>
      </c>
      <c r="AW125" s="34" t="s">
        <v>1264</v>
      </c>
      <c r="AX125" s="26" t="s">
        <v>1231</v>
      </c>
      <c r="AY125" s="31" t="s">
        <v>1265</v>
      </c>
      <c r="AZ125" s="26" t="s">
        <v>1248</v>
      </c>
      <c r="BA125" s="24" t="s">
        <v>1266</v>
      </c>
    </row>
    <row r="126" spans="1:53" ht="7.35" customHeight="1" x14ac:dyDescent="0.25">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1418</v>
      </c>
      <c r="P126" s="39" t="s">
        <v>177</v>
      </c>
      <c r="Q126" s="37" t="s">
        <v>1201</v>
      </c>
      <c r="R126" s="39" t="s">
        <v>355</v>
      </c>
      <c r="S126" s="46" t="s">
        <v>1205</v>
      </c>
      <c r="T126" s="67" t="s">
        <v>1261</v>
      </c>
      <c r="U126" s="42">
        <v>10</v>
      </c>
      <c r="V126" s="58" t="s">
        <v>1262</v>
      </c>
      <c r="W126" s="46">
        <v>0</v>
      </c>
      <c r="X126" s="58" t="s">
        <v>1263</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1230</v>
      </c>
      <c r="AW126" s="34" t="s">
        <v>1264</v>
      </c>
      <c r="AX126" s="26" t="s">
        <v>1231</v>
      </c>
      <c r="AY126" s="31" t="s">
        <v>1265</v>
      </c>
      <c r="AZ126" s="26" t="s">
        <v>1248</v>
      </c>
      <c r="BA126" s="24" t="s">
        <v>1266</v>
      </c>
    </row>
    <row r="127" spans="1:53" ht="7.35" customHeight="1" x14ac:dyDescent="0.25">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1418</v>
      </c>
      <c r="P127" s="39" t="s">
        <v>177</v>
      </c>
      <c r="Q127" s="37" t="s">
        <v>1200</v>
      </c>
      <c r="R127" s="39" t="s">
        <v>355</v>
      </c>
      <c r="S127" s="46" t="s">
        <v>1206</v>
      </c>
      <c r="T127" s="67" t="s">
        <v>1261</v>
      </c>
      <c r="U127" s="42">
        <v>30</v>
      </c>
      <c r="V127" s="58" t="s">
        <v>1262</v>
      </c>
      <c r="W127" s="46">
        <v>0</v>
      </c>
      <c r="X127" s="58" t="s">
        <v>1263</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1230</v>
      </c>
      <c r="AW127" s="34" t="s">
        <v>1264</v>
      </c>
      <c r="AX127" s="26" t="s">
        <v>1231</v>
      </c>
      <c r="AY127" s="31" t="s">
        <v>1265</v>
      </c>
      <c r="AZ127" s="26" t="s">
        <v>1248</v>
      </c>
      <c r="BA127" s="24" t="s">
        <v>1266</v>
      </c>
    </row>
    <row r="128" spans="1:53" ht="7.35" customHeight="1" x14ac:dyDescent="0.25">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1418</v>
      </c>
      <c r="P128" s="39" t="s">
        <v>177</v>
      </c>
      <c r="Q128" s="37" t="s">
        <v>968</v>
      </c>
      <c r="R128" s="39" t="s">
        <v>355</v>
      </c>
      <c r="S128" s="46" t="s">
        <v>1205</v>
      </c>
      <c r="T128" s="67" t="s">
        <v>1261</v>
      </c>
      <c r="U128" s="42">
        <v>10</v>
      </c>
      <c r="V128" s="58" t="s">
        <v>1262</v>
      </c>
      <c r="W128" s="46">
        <v>0</v>
      </c>
      <c r="X128" s="58" t="s">
        <v>1263</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1242</v>
      </c>
      <c r="AP128" s="68" t="s">
        <v>581</v>
      </c>
      <c r="AQ128" s="37" t="s">
        <v>680</v>
      </c>
      <c r="AR128" s="68" t="s">
        <v>181</v>
      </c>
      <c r="AS128" s="37" t="s">
        <v>274</v>
      </c>
      <c r="AT128" s="40" t="s">
        <v>176</v>
      </c>
      <c r="AU128" s="49" t="s">
        <v>273</v>
      </c>
      <c r="AV128" s="26" t="s">
        <v>1230</v>
      </c>
      <c r="AW128" s="34" t="s">
        <v>1264</v>
      </c>
      <c r="AX128" s="26" t="s">
        <v>1231</v>
      </c>
      <c r="AY128" s="31" t="s">
        <v>1265</v>
      </c>
      <c r="AZ128" s="26" t="s">
        <v>1248</v>
      </c>
      <c r="BA128" s="24" t="s">
        <v>1266</v>
      </c>
    </row>
    <row r="129" spans="1:53" ht="7.35" customHeight="1" x14ac:dyDescent="0.25">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1418</v>
      </c>
      <c r="P129" s="39" t="s">
        <v>177</v>
      </c>
      <c r="Q129" s="37" t="s">
        <v>1203</v>
      </c>
      <c r="R129" s="39" t="s">
        <v>355</v>
      </c>
      <c r="S129" s="46" t="s">
        <v>1205</v>
      </c>
      <c r="T129" s="67" t="s">
        <v>1261</v>
      </c>
      <c r="U129" s="42">
        <v>5</v>
      </c>
      <c r="V129" s="58" t="s">
        <v>1262</v>
      </c>
      <c r="W129" s="46">
        <v>0</v>
      </c>
      <c r="X129" s="58" t="s">
        <v>1263</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1243</v>
      </c>
      <c r="AP129" s="68" t="s">
        <v>581</v>
      </c>
      <c r="AQ129" s="37" t="s">
        <v>1212</v>
      </c>
      <c r="AR129" s="68" t="s">
        <v>181</v>
      </c>
      <c r="AS129" s="37" t="s">
        <v>274</v>
      </c>
      <c r="AT129" s="40" t="s">
        <v>176</v>
      </c>
      <c r="AU129" s="49" t="s">
        <v>272</v>
      </c>
      <c r="AV129" s="26" t="s">
        <v>1230</v>
      </c>
      <c r="AW129" s="34" t="s">
        <v>1264</v>
      </c>
      <c r="AX129" s="26" t="s">
        <v>1231</v>
      </c>
      <c r="AY129" s="31" t="s">
        <v>1265</v>
      </c>
      <c r="AZ129" s="26" t="s">
        <v>1248</v>
      </c>
      <c r="BA129" s="24" t="s">
        <v>1266</v>
      </c>
    </row>
    <row r="130" spans="1:53" ht="7.35" customHeight="1" x14ac:dyDescent="0.25">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1418</v>
      </c>
      <c r="P130" s="39" t="s">
        <v>177</v>
      </c>
      <c r="Q130" s="37" t="s">
        <v>641</v>
      </c>
      <c r="R130" s="39" t="s">
        <v>355</v>
      </c>
      <c r="S130" s="37" t="s">
        <v>416</v>
      </c>
      <c r="T130" s="39" t="s">
        <v>1261</v>
      </c>
      <c r="U130" s="42">
        <v>0</v>
      </c>
      <c r="V130" s="58" t="s">
        <v>1262</v>
      </c>
      <c r="W130" s="46">
        <v>3</v>
      </c>
      <c r="X130" s="58" t="s">
        <v>1263</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1230</v>
      </c>
      <c r="AW130" s="34" t="s">
        <v>1264</v>
      </c>
      <c r="AX130" s="26" t="s">
        <v>1231</v>
      </c>
      <c r="AY130" s="31" t="s">
        <v>1265</v>
      </c>
      <c r="AZ130" s="26" t="s">
        <v>1248</v>
      </c>
      <c r="BA130" s="24" t="s">
        <v>1266</v>
      </c>
    </row>
    <row r="131" spans="1:53" ht="7.35" customHeight="1" x14ac:dyDescent="0.25">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1418</v>
      </c>
      <c r="P131" s="39" t="s">
        <v>177</v>
      </c>
      <c r="Q131" s="37" t="s">
        <v>642</v>
      </c>
      <c r="R131" s="39" t="s">
        <v>355</v>
      </c>
      <c r="S131" s="37" t="s">
        <v>416</v>
      </c>
      <c r="T131" s="39" t="s">
        <v>1261</v>
      </c>
      <c r="U131" s="42">
        <v>0</v>
      </c>
      <c r="V131" s="58" t="s">
        <v>1262</v>
      </c>
      <c r="W131" s="46">
        <v>3</v>
      </c>
      <c r="X131" s="58" t="s">
        <v>1263</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1230</v>
      </c>
      <c r="AW131" s="34" t="s">
        <v>1264</v>
      </c>
      <c r="AX131" s="26" t="s">
        <v>1231</v>
      </c>
      <c r="AY131" s="31" t="s">
        <v>1265</v>
      </c>
      <c r="AZ131" s="26" t="s">
        <v>1248</v>
      </c>
      <c r="BA131" s="24" t="s">
        <v>1266</v>
      </c>
    </row>
    <row r="132" spans="1:53" ht="7.35" customHeight="1" x14ac:dyDescent="0.25">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1418</v>
      </c>
      <c r="P132" s="39" t="s">
        <v>177</v>
      </c>
      <c r="Q132" s="37" t="s">
        <v>643</v>
      </c>
      <c r="R132" s="39" t="s">
        <v>355</v>
      </c>
      <c r="S132" s="37" t="s">
        <v>416</v>
      </c>
      <c r="T132" s="39" t="s">
        <v>1261</v>
      </c>
      <c r="U132" s="42">
        <v>0</v>
      </c>
      <c r="V132" s="58" t="s">
        <v>1262</v>
      </c>
      <c r="W132" s="46">
        <v>3</v>
      </c>
      <c r="X132" s="58" t="s">
        <v>1263</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1230</v>
      </c>
      <c r="AW132" s="34" t="s">
        <v>1264</v>
      </c>
      <c r="AX132" s="26" t="s">
        <v>1231</v>
      </c>
      <c r="AY132" s="31" t="s">
        <v>1265</v>
      </c>
      <c r="AZ132" s="26" t="s">
        <v>1248</v>
      </c>
      <c r="BA132" s="24" t="s">
        <v>1266</v>
      </c>
    </row>
    <row r="133" spans="1:53" ht="7.35" customHeight="1" x14ac:dyDescent="0.25">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1418</v>
      </c>
      <c r="P133" s="39" t="s">
        <v>177</v>
      </c>
      <c r="Q133" s="37" t="s">
        <v>535</v>
      </c>
      <c r="R133" s="39" t="s">
        <v>355</v>
      </c>
      <c r="S133" s="37" t="s">
        <v>416</v>
      </c>
      <c r="T133" s="39" t="s">
        <v>1261</v>
      </c>
      <c r="U133" s="42">
        <v>0</v>
      </c>
      <c r="V133" s="58" t="s">
        <v>1262</v>
      </c>
      <c r="W133" s="46">
        <v>3</v>
      </c>
      <c r="X133" s="58" t="s">
        <v>1263</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1230</v>
      </c>
      <c r="AW133" s="34" t="s">
        <v>1264</v>
      </c>
      <c r="AX133" s="26" t="s">
        <v>1231</v>
      </c>
      <c r="AY133" s="31" t="s">
        <v>1265</v>
      </c>
      <c r="AZ133" s="26" t="s">
        <v>1248</v>
      </c>
      <c r="BA133" s="24" t="s">
        <v>1266</v>
      </c>
    </row>
    <row r="134" spans="1:53" ht="7.35" customHeight="1" x14ac:dyDescent="0.25">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1418</v>
      </c>
      <c r="P134" s="39" t="s">
        <v>177</v>
      </c>
      <c r="Q134" s="37" t="s">
        <v>536</v>
      </c>
      <c r="R134" s="39" t="s">
        <v>355</v>
      </c>
      <c r="S134" s="37" t="s">
        <v>416</v>
      </c>
      <c r="T134" s="39" t="s">
        <v>1261</v>
      </c>
      <c r="U134" s="42">
        <v>0</v>
      </c>
      <c r="V134" s="58" t="s">
        <v>1262</v>
      </c>
      <c r="W134" s="46">
        <v>3</v>
      </c>
      <c r="X134" s="58" t="s">
        <v>1263</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1230</v>
      </c>
      <c r="AW134" s="34" t="s">
        <v>1264</v>
      </c>
      <c r="AX134" s="26" t="s">
        <v>1231</v>
      </c>
      <c r="AY134" s="31" t="s">
        <v>1265</v>
      </c>
      <c r="AZ134" s="26" t="s">
        <v>1248</v>
      </c>
      <c r="BA134" s="24" t="s">
        <v>1266</v>
      </c>
    </row>
    <row r="135" spans="1:53" ht="7.35" customHeight="1" x14ac:dyDescent="0.25">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1418</v>
      </c>
      <c r="P135" s="39" t="s">
        <v>177</v>
      </c>
      <c r="Q135" s="37" t="s">
        <v>189</v>
      </c>
      <c r="R135" s="39" t="s">
        <v>355</v>
      </c>
      <c r="S135" s="37" t="s">
        <v>575</v>
      </c>
      <c r="T135" s="39" t="s">
        <v>1261</v>
      </c>
      <c r="U135" s="42">
        <v>0</v>
      </c>
      <c r="V135" s="58" t="s">
        <v>1262</v>
      </c>
      <c r="W135" s="46">
        <v>6</v>
      </c>
      <c r="X135" s="58" t="s">
        <v>1263</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1230</v>
      </c>
      <c r="AW135" s="34" t="s">
        <v>1264</v>
      </c>
      <c r="AX135" s="26" t="s">
        <v>1231</v>
      </c>
      <c r="AY135" s="31" t="s">
        <v>1265</v>
      </c>
      <c r="AZ135" s="26" t="s">
        <v>1248</v>
      </c>
      <c r="BA135" s="24" t="s">
        <v>1266</v>
      </c>
    </row>
    <row r="136" spans="1:53" ht="7.35" customHeight="1" x14ac:dyDescent="0.25">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1418</v>
      </c>
      <c r="P136" s="39" t="s">
        <v>177</v>
      </c>
      <c r="Q136" s="37" t="s">
        <v>653</v>
      </c>
      <c r="R136" s="39" t="s">
        <v>355</v>
      </c>
      <c r="S136" s="37" t="s">
        <v>676</v>
      </c>
      <c r="T136" s="39" t="s">
        <v>1261</v>
      </c>
      <c r="U136" s="42">
        <v>40</v>
      </c>
      <c r="V136" s="58" t="s">
        <v>1262</v>
      </c>
      <c r="W136" s="46">
        <v>4</v>
      </c>
      <c r="X136" s="58" t="s">
        <v>1263</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1230</v>
      </c>
      <c r="AW136" s="34" t="s">
        <v>1264</v>
      </c>
      <c r="AX136" s="26" t="s">
        <v>1231</v>
      </c>
      <c r="AY136" s="31" t="s">
        <v>1265</v>
      </c>
      <c r="AZ136" s="26" t="s">
        <v>1248</v>
      </c>
      <c r="BA136" s="24" t="s">
        <v>1266</v>
      </c>
    </row>
    <row r="137" spans="1:53" ht="7.35" customHeight="1" x14ac:dyDescent="0.25">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1418</v>
      </c>
      <c r="P137" s="39" t="s">
        <v>177</v>
      </c>
      <c r="Q137" s="37" t="s">
        <v>657</v>
      </c>
      <c r="R137" s="39" t="s">
        <v>355</v>
      </c>
      <c r="S137" s="37" t="s">
        <v>575</v>
      </c>
      <c r="T137" s="39" t="s">
        <v>1261</v>
      </c>
      <c r="U137" s="42">
        <v>0</v>
      </c>
      <c r="V137" s="58" t="s">
        <v>1262</v>
      </c>
      <c r="W137" s="46">
        <v>4</v>
      </c>
      <c r="X137" s="58" t="s">
        <v>1263</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1230</v>
      </c>
      <c r="AW137" s="34" t="s">
        <v>1264</v>
      </c>
      <c r="AX137" s="26" t="s">
        <v>1231</v>
      </c>
      <c r="AY137" s="31" t="s">
        <v>1265</v>
      </c>
      <c r="AZ137" s="26" t="s">
        <v>1248</v>
      </c>
      <c r="BA137" s="24" t="s">
        <v>1266</v>
      </c>
    </row>
    <row r="138" spans="1:53" ht="7.35" customHeight="1" x14ac:dyDescent="0.25">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1418</v>
      </c>
      <c r="P138" s="39" t="s">
        <v>177</v>
      </c>
      <c r="Q138" s="37" t="s">
        <v>667</v>
      </c>
      <c r="R138" s="39" t="s">
        <v>355</v>
      </c>
      <c r="S138" s="37" t="s">
        <v>676</v>
      </c>
      <c r="T138" s="39" t="s">
        <v>1261</v>
      </c>
      <c r="U138" s="42">
        <v>50</v>
      </c>
      <c r="V138" s="58" t="s">
        <v>1262</v>
      </c>
      <c r="W138" s="46">
        <v>5</v>
      </c>
      <c r="X138" s="58" t="s">
        <v>1263</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1230</v>
      </c>
      <c r="AW138" s="34" t="s">
        <v>1264</v>
      </c>
      <c r="AX138" s="26" t="s">
        <v>1231</v>
      </c>
      <c r="AY138" s="31" t="s">
        <v>1265</v>
      </c>
      <c r="AZ138" s="26" t="s">
        <v>1248</v>
      </c>
      <c r="BA138" s="24" t="s">
        <v>1266</v>
      </c>
    </row>
    <row r="139" spans="1:53" ht="7.35" customHeight="1" x14ac:dyDescent="0.25">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1418</v>
      </c>
      <c r="P139" s="39" t="s">
        <v>177</v>
      </c>
      <c r="Q139" s="37" t="s">
        <v>668</v>
      </c>
      <c r="R139" s="39" t="s">
        <v>355</v>
      </c>
      <c r="S139" s="37" t="s">
        <v>676</v>
      </c>
      <c r="T139" s="39" t="s">
        <v>1261</v>
      </c>
      <c r="U139" s="42">
        <v>50</v>
      </c>
      <c r="V139" s="58" t="s">
        <v>1262</v>
      </c>
      <c r="W139" s="46">
        <v>5</v>
      </c>
      <c r="X139" s="58" t="s">
        <v>1263</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1230</v>
      </c>
      <c r="AW139" s="34" t="s">
        <v>1264</v>
      </c>
      <c r="AX139" s="26" t="s">
        <v>1231</v>
      </c>
      <c r="AY139" s="31" t="s">
        <v>1265</v>
      </c>
      <c r="AZ139" s="26" t="s">
        <v>1248</v>
      </c>
      <c r="BA139" s="24" t="s">
        <v>1266</v>
      </c>
    </row>
    <row r="140" spans="1:53" ht="7.35" customHeight="1" x14ac:dyDescent="0.25">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1418</v>
      </c>
      <c r="P140" s="39" t="s">
        <v>177</v>
      </c>
      <c r="Q140" s="37" t="s">
        <v>969</v>
      </c>
      <c r="R140" s="39" t="s">
        <v>355</v>
      </c>
      <c r="S140" s="37" t="s">
        <v>974</v>
      </c>
      <c r="T140" s="67" t="s">
        <v>1261</v>
      </c>
      <c r="U140" s="42">
        <v>0.5</v>
      </c>
      <c r="V140" s="58" t="s">
        <v>1262</v>
      </c>
      <c r="W140" s="46">
        <v>1</v>
      </c>
      <c r="X140" s="58" t="s">
        <v>1263</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1244</v>
      </c>
      <c r="AP140" s="68" t="s">
        <v>581</v>
      </c>
      <c r="AQ140" s="37" t="s">
        <v>682</v>
      </c>
      <c r="AR140" s="68" t="s">
        <v>181</v>
      </c>
      <c r="AS140" s="37" t="s">
        <v>276</v>
      </c>
      <c r="AT140" s="40" t="s">
        <v>176</v>
      </c>
      <c r="AU140" s="49" t="s">
        <v>273</v>
      </c>
      <c r="AV140" s="26" t="s">
        <v>1230</v>
      </c>
      <c r="AW140" s="34" t="s">
        <v>1264</v>
      </c>
      <c r="AX140" s="26" t="s">
        <v>1231</v>
      </c>
      <c r="AY140" s="31" t="s">
        <v>1265</v>
      </c>
      <c r="AZ140" s="26" t="s">
        <v>1248</v>
      </c>
      <c r="BA140" s="24" t="s">
        <v>1266</v>
      </c>
    </row>
    <row r="141" spans="1:53" ht="7.35" customHeight="1" x14ac:dyDescent="0.25">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1418</v>
      </c>
      <c r="P141" s="39" t="s">
        <v>177</v>
      </c>
      <c r="Q141" s="37" t="s">
        <v>190</v>
      </c>
      <c r="R141" s="39" t="s">
        <v>355</v>
      </c>
      <c r="S141" s="37" t="s">
        <v>676</v>
      </c>
      <c r="T141" s="39" t="s">
        <v>1261</v>
      </c>
      <c r="U141" s="42">
        <v>0</v>
      </c>
      <c r="V141" s="58" t="s">
        <v>1262</v>
      </c>
      <c r="W141" s="46">
        <v>3</v>
      </c>
      <c r="X141" s="58" t="s">
        <v>1263</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1230</v>
      </c>
      <c r="AW141" s="34" t="s">
        <v>1264</v>
      </c>
      <c r="AX141" s="26" t="s">
        <v>1231</v>
      </c>
      <c r="AY141" s="31" t="s">
        <v>1265</v>
      </c>
      <c r="AZ141" s="26" t="s">
        <v>1248</v>
      </c>
      <c r="BA141" s="24" t="s">
        <v>1266</v>
      </c>
    </row>
    <row r="142" spans="1:53" ht="7.35" customHeight="1" x14ac:dyDescent="0.25">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1418</v>
      </c>
      <c r="P142" s="39" t="s">
        <v>177</v>
      </c>
      <c r="Q142" s="37" t="s">
        <v>191</v>
      </c>
      <c r="R142" s="39" t="s">
        <v>355</v>
      </c>
      <c r="S142" s="37" t="s">
        <v>676</v>
      </c>
      <c r="T142" s="39" t="s">
        <v>1261</v>
      </c>
      <c r="U142" s="42">
        <v>0</v>
      </c>
      <c r="V142" s="58" t="s">
        <v>1262</v>
      </c>
      <c r="W142" s="46">
        <v>5</v>
      </c>
      <c r="X142" s="58" t="s">
        <v>1263</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1230</v>
      </c>
      <c r="AW142" s="34" t="s">
        <v>1264</v>
      </c>
      <c r="AX142" s="26" t="s">
        <v>1231</v>
      </c>
      <c r="AY142" s="31" t="s">
        <v>1265</v>
      </c>
      <c r="AZ142" s="26" t="s">
        <v>1248</v>
      </c>
      <c r="BA142" s="24" t="s">
        <v>1266</v>
      </c>
    </row>
    <row r="143" spans="1:53" ht="7.35" customHeight="1" x14ac:dyDescent="0.25">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1418</v>
      </c>
      <c r="P143" s="39" t="s">
        <v>177</v>
      </c>
      <c r="Q143" s="37" t="s">
        <v>429</v>
      </c>
      <c r="R143" s="39" t="s">
        <v>355</v>
      </c>
      <c r="S143" s="37" t="s">
        <v>676</v>
      </c>
      <c r="T143" s="39" t="s">
        <v>1261</v>
      </c>
      <c r="U143" s="42">
        <v>0</v>
      </c>
      <c r="V143" s="58" t="s">
        <v>1262</v>
      </c>
      <c r="W143" s="46">
        <v>5</v>
      </c>
      <c r="X143" s="58" t="s">
        <v>1263</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1230</v>
      </c>
      <c r="AW143" s="34" t="s">
        <v>1264</v>
      </c>
      <c r="AX143" s="26" t="s">
        <v>1231</v>
      </c>
      <c r="AY143" s="31" t="s">
        <v>1265</v>
      </c>
      <c r="AZ143" s="26" t="s">
        <v>1248</v>
      </c>
      <c r="BA143" s="24" t="s">
        <v>1266</v>
      </c>
    </row>
    <row r="144" spans="1:53" ht="7.35" customHeight="1" x14ac:dyDescent="0.25">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1418</v>
      </c>
      <c r="P144" s="39" t="s">
        <v>177</v>
      </c>
      <c r="Q144" s="37" t="s">
        <v>192</v>
      </c>
      <c r="R144" s="39" t="s">
        <v>355</v>
      </c>
      <c r="S144" s="37" t="s">
        <v>676</v>
      </c>
      <c r="T144" s="39" t="s">
        <v>1261</v>
      </c>
      <c r="U144" s="42">
        <v>0</v>
      </c>
      <c r="V144" s="58" t="s">
        <v>1262</v>
      </c>
      <c r="W144" s="46">
        <v>0</v>
      </c>
      <c r="X144" s="58" t="s">
        <v>1263</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1230</v>
      </c>
      <c r="AW144" s="34" t="s">
        <v>1264</v>
      </c>
      <c r="AX144" s="26" t="s">
        <v>1231</v>
      </c>
      <c r="AY144" s="31" t="s">
        <v>1265</v>
      </c>
      <c r="AZ144" s="26" t="s">
        <v>1248</v>
      </c>
      <c r="BA144" s="24" t="s">
        <v>1266</v>
      </c>
    </row>
    <row r="145" spans="1:53" ht="7.35" customHeight="1" x14ac:dyDescent="0.25">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1418</v>
      </c>
      <c r="P145" s="39" t="s">
        <v>177</v>
      </c>
      <c r="Q145" s="37" t="s">
        <v>193</v>
      </c>
      <c r="R145" s="39" t="s">
        <v>355</v>
      </c>
      <c r="S145" s="37" t="s">
        <v>676</v>
      </c>
      <c r="T145" s="39" t="s">
        <v>1261</v>
      </c>
      <c r="U145" s="42">
        <v>0</v>
      </c>
      <c r="V145" s="58" t="s">
        <v>1262</v>
      </c>
      <c r="W145" s="46">
        <v>3</v>
      </c>
      <c r="X145" s="58" t="s">
        <v>1263</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1230</v>
      </c>
      <c r="AW145" s="34" t="s">
        <v>1264</v>
      </c>
      <c r="AX145" s="26" t="s">
        <v>1231</v>
      </c>
      <c r="AY145" s="31" t="s">
        <v>1265</v>
      </c>
      <c r="AZ145" s="26" t="s">
        <v>1248</v>
      </c>
      <c r="BA145" s="24" t="s">
        <v>1266</v>
      </c>
    </row>
    <row r="146" spans="1:53" ht="7.35" customHeight="1" x14ac:dyDescent="0.25">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1418</v>
      </c>
      <c r="P146" s="39" t="s">
        <v>177</v>
      </c>
      <c r="Q146" s="37" t="s">
        <v>194</v>
      </c>
      <c r="R146" s="39" t="s">
        <v>355</v>
      </c>
      <c r="S146" s="37" t="s">
        <v>676</v>
      </c>
      <c r="T146" s="39" t="s">
        <v>1261</v>
      </c>
      <c r="U146" s="42">
        <v>60</v>
      </c>
      <c r="V146" s="58" t="s">
        <v>1262</v>
      </c>
      <c r="W146" s="46">
        <v>5</v>
      </c>
      <c r="X146" s="58" t="s">
        <v>1263</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1230</v>
      </c>
      <c r="AW146" s="34" t="s">
        <v>1264</v>
      </c>
      <c r="AX146" s="26" t="s">
        <v>1231</v>
      </c>
      <c r="AY146" s="31" t="s">
        <v>1265</v>
      </c>
      <c r="AZ146" s="26" t="s">
        <v>1248</v>
      </c>
      <c r="BA146" s="24" t="s">
        <v>1266</v>
      </c>
    </row>
    <row r="147" spans="1:53" ht="7.35" customHeight="1" x14ac:dyDescent="0.25">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1418</v>
      </c>
      <c r="P147" s="39" t="s">
        <v>177</v>
      </c>
      <c r="Q147" s="37" t="s">
        <v>669</v>
      </c>
      <c r="R147" s="39" t="s">
        <v>355</v>
      </c>
      <c r="S147" s="37" t="s">
        <v>676</v>
      </c>
      <c r="T147" s="39" t="s">
        <v>1261</v>
      </c>
      <c r="U147" s="42">
        <v>50</v>
      </c>
      <c r="V147" s="58" t="s">
        <v>1262</v>
      </c>
      <c r="W147" s="46">
        <v>5</v>
      </c>
      <c r="X147" s="58" t="s">
        <v>1263</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1230</v>
      </c>
      <c r="AW147" s="34" t="s">
        <v>1264</v>
      </c>
      <c r="AX147" s="26" t="s">
        <v>1231</v>
      </c>
      <c r="AY147" s="31" t="s">
        <v>1265</v>
      </c>
      <c r="AZ147" s="26" t="s">
        <v>1248</v>
      </c>
      <c r="BA147" s="24" t="s">
        <v>1266</v>
      </c>
    </row>
    <row r="148" spans="1:53" ht="7.35" customHeight="1" x14ac:dyDescent="0.25">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1418</v>
      </c>
      <c r="P148" s="39" t="s">
        <v>177</v>
      </c>
      <c r="Q148" s="37" t="s">
        <v>670</v>
      </c>
      <c r="R148" s="39" t="s">
        <v>355</v>
      </c>
      <c r="S148" s="37" t="s">
        <v>676</v>
      </c>
      <c r="T148" s="39" t="s">
        <v>1261</v>
      </c>
      <c r="U148" s="42">
        <v>50</v>
      </c>
      <c r="V148" s="58" t="s">
        <v>1262</v>
      </c>
      <c r="W148" s="46">
        <v>5</v>
      </c>
      <c r="X148" s="58" t="s">
        <v>1263</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1230</v>
      </c>
      <c r="AW148" s="34" t="s">
        <v>1264</v>
      </c>
      <c r="AX148" s="26" t="s">
        <v>1231</v>
      </c>
      <c r="AY148" s="31" t="s">
        <v>1265</v>
      </c>
      <c r="AZ148" s="26" t="s">
        <v>1248</v>
      </c>
      <c r="BA148" s="24" t="s">
        <v>1266</v>
      </c>
    </row>
    <row r="149" spans="1:53" ht="7.35" customHeight="1" x14ac:dyDescent="0.25">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1418</v>
      </c>
      <c r="P149" s="39" t="s">
        <v>177</v>
      </c>
      <c r="Q149" s="37" t="s">
        <v>645</v>
      </c>
      <c r="R149" s="39" t="s">
        <v>355</v>
      </c>
      <c r="S149" s="37" t="s">
        <v>415</v>
      </c>
      <c r="T149" s="39" t="s">
        <v>1261</v>
      </c>
      <c r="U149" s="42">
        <v>0</v>
      </c>
      <c r="V149" s="58" t="s">
        <v>1262</v>
      </c>
      <c r="W149" s="46">
        <v>0</v>
      </c>
      <c r="X149" s="58" t="s">
        <v>1263</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1230</v>
      </c>
      <c r="AW149" s="34" t="s">
        <v>1264</v>
      </c>
      <c r="AX149" s="26" t="s">
        <v>1231</v>
      </c>
      <c r="AY149" s="31" t="s">
        <v>1265</v>
      </c>
      <c r="AZ149" s="26" t="s">
        <v>1248</v>
      </c>
      <c r="BA149" s="24" t="s">
        <v>1266</v>
      </c>
    </row>
    <row r="150" spans="1:53" ht="7.35" customHeight="1" x14ac:dyDescent="0.25">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1418</v>
      </c>
      <c r="P150" s="39" t="s">
        <v>177</v>
      </c>
      <c r="Q150" s="37" t="s">
        <v>646</v>
      </c>
      <c r="R150" s="39" t="s">
        <v>355</v>
      </c>
      <c r="S150" s="37" t="s">
        <v>415</v>
      </c>
      <c r="T150" s="39" t="s">
        <v>1261</v>
      </c>
      <c r="U150" s="42">
        <v>0</v>
      </c>
      <c r="V150" s="58" t="s">
        <v>1262</v>
      </c>
      <c r="W150" s="46">
        <v>2</v>
      </c>
      <c r="X150" s="58" t="s">
        <v>1263</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1230</v>
      </c>
      <c r="AW150" s="34" t="s">
        <v>1264</v>
      </c>
      <c r="AX150" s="26" t="s">
        <v>1231</v>
      </c>
      <c r="AY150" s="31" t="s">
        <v>1265</v>
      </c>
      <c r="AZ150" s="26" t="s">
        <v>1248</v>
      </c>
      <c r="BA150" s="24" t="s">
        <v>1266</v>
      </c>
    </row>
    <row r="151" spans="1:53" ht="7.35" customHeight="1" x14ac:dyDescent="0.25">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1418</v>
      </c>
      <c r="P151" s="39" t="s">
        <v>177</v>
      </c>
      <c r="Q151" s="37" t="s">
        <v>671</v>
      </c>
      <c r="R151" s="39" t="s">
        <v>355</v>
      </c>
      <c r="S151" s="37" t="s">
        <v>676</v>
      </c>
      <c r="T151" s="39" t="s">
        <v>1261</v>
      </c>
      <c r="U151" s="42">
        <v>50</v>
      </c>
      <c r="V151" s="58" t="s">
        <v>1262</v>
      </c>
      <c r="W151" s="46">
        <v>5</v>
      </c>
      <c r="X151" s="58" t="s">
        <v>1263</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1230</v>
      </c>
      <c r="AW151" s="34" t="s">
        <v>1264</v>
      </c>
      <c r="AX151" s="26" t="s">
        <v>1231</v>
      </c>
      <c r="AY151" s="31" t="s">
        <v>1265</v>
      </c>
      <c r="AZ151" s="26" t="s">
        <v>1248</v>
      </c>
      <c r="BA151" s="24" t="s">
        <v>1266</v>
      </c>
    </row>
    <row r="152" spans="1:53" ht="7.35" customHeight="1" x14ac:dyDescent="0.25">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1418</v>
      </c>
      <c r="P152" s="39" t="s">
        <v>177</v>
      </c>
      <c r="Q152" s="37" t="s">
        <v>661</v>
      </c>
      <c r="R152" s="39" t="s">
        <v>355</v>
      </c>
      <c r="S152" s="37" t="s">
        <v>676</v>
      </c>
      <c r="T152" s="39" t="s">
        <v>1261</v>
      </c>
      <c r="U152" s="42">
        <v>60</v>
      </c>
      <c r="V152" s="58" t="s">
        <v>1262</v>
      </c>
      <c r="W152" s="46">
        <v>5</v>
      </c>
      <c r="X152" s="58" t="s">
        <v>1263</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1230</v>
      </c>
      <c r="AW152" s="34" t="s">
        <v>1264</v>
      </c>
      <c r="AX152" s="26" t="s">
        <v>1231</v>
      </c>
      <c r="AY152" s="31" t="s">
        <v>1265</v>
      </c>
      <c r="AZ152" s="26" t="s">
        <v>1248</v>
      </c>
      <c r="BA152" s="24" t="s">
        <v>1266</v>
      </c>
    </row>
    <row r="153" spans="1:53" ht="7.35" customHeight="1" x14ac:dyDescent="0.25">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1418</v>
      </c>
      <c r="P153" s="39" t="s">
        <v>177</v>
      </c>
      <c r="Q153" s="37" t="s">
        <v>672</v>
      </c>
      <c r="R153" s="39" t="s">
        <v>355</v>
      </c>
      <c r="S153" s="37" t="s">
        <v>676</v>
      </c>
      <c r="T153" s="39" t="s">
        <v>1261</v>
      </c>
      <c r="U153" s="42">
        <v>50</v>
      </c>
      <c r="V153" s="58" t="s">
        <v>1262</v>
      </c>
      <c r="W153" s="46">
        <v>5</v>
      </c>
      <c r="X153" s="58" t="s">
        <v>1263</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1230</v>
      </c>
      <c r="AW153" s="34" t="s">
        <v>1264</v>
      </c>
      <c r="AX153" s="26" t="s">
        <v>1231</v>
      </c>
      <c r="AY153" s="31" t="s">
        <v>1265</v>
      </c>
      <c r="AZ153" s="26" t="s">
        <v>1248</v>
      </c>
      <c r="BA153" s="24" t="s">
        <v>1266</v>
      </c>
    </row>
    <row r="154" spans="1:53" ht="7.35" customHeight="1" x14ac:dyDescent="0.25">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1418</v>
      </c>
      <c r="P154" s="39" t="s">
        <v>177</v>
      </c>
      <c r="Q154" s="37" t="s">
        <v>651</v>
      </c>
      <c r="R154" s="39" t="s">
        <v>355</v>
      </c>
      <c r="S154" s="37" t="s">
        <v>575</v>
      </c>
      <c r="T154" s="39" t="s">
        <v>1261</v>
      </c>
      <c r="U154" s="42">
        <v>30</v>
      </c>
      <c r="V154" s="58" t="s">
        <v>1262</v>
      </c>
      <c r="W154" s="46">
        <v>4</v>
      </c>
      <c r="X154" s="58" t="s">
        <v>1263</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1230</v>
      </c>
      <c r="AW154" s="34" t="s">
        <v>1264</v>
      </c>
      <c r="AX154" s="26" t="s">
        <v>1231</v>
      </c>
      <c r="AY154" s="31" t="s">
        <v>1265</v>
      </c>
      <c r="AZ154" s="26" t="s">
        <v>1248</v>
      </c>
      <c r="BA154" s="24" t="s">
        <v>1266</v>
      </c>
    </row>
    <row r="155" spans="1:53" ht="7.35" customHeight="1" x14ac:dyDescent="0.25">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1418</v>
      </c>
      <c r="P155" s="39" t="s">
        <v>177</v>
      </c>
      <c r="Q155" s="37" t="s">
        <v>654</v>
      </c>
      <c r="R155" s="39" t="s">
        <v>355</v>
      </c>
      <c r="S155" s="37" t="s">
        <v>676</v>
      </c>
      <c r="T155" s="39" t="s">
        <v>1261</v>
      </c>
      <c r="U155" s="42">
        <v>40</v>
      </c>
      <c r="V155" s="58" t="s">
        <v>1262</v>
      </c>
      <c r="W155" s="46">
        <v>4</v>
      </c>
      <c r="X155" s="58" t="s">
        <v>1263</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1230</v>
      </c>
      <c r="AW155" s="34" t="s">
        <v>1264</v>
      </c>
      <c r="AX155" s="26" t="s">
        <v>1231</v>
      </c>
      <c r="AY155" s="31" t="s">
        <v>1265</v>
      </c>
      <c r="AZ155" s="26" t="s">
        <v>1248</v>
      </c>
      <c r="BA155" s="24" t="s">
        <v>1266</v>
      </c>
    </row>
    <row r="156" spans="1:53" ht="7.35" customHeight="1" x14ac:dyDescent="0.25">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1418</v>
      </c>
      <c r="P156" s="39" t="s">
        <v>177</v>
      </c>
      <c r="Q156" s="37" t="s">
        <v>195</v>
      </c>
      <c r="R156" s="39" t="s">
        <v>355</v>
      </c>
      <c r="S156" s="37" t="s">
        <v>676</v>
      </c>
      <c r="T156" s="39" t="s">
        <v>1261</v>
      </c>
      <c r="U156" s="42">
        <v>40</v>
      </c>
      <c r="V156" s="58" t="s">
        <v>1262</v>
      </c>
      <c r="W156" s="46">
        <v>4</v>
      </c>
      <c r="X156" s="58" t="s">
        <v>1263</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1230</v>
      </c>
      <c r="AW156" s="34" t="s">
        <v>1264</v>
      </c>
      <c r="AX156" s="26" t="s">
        <v>1231</v>
      </c>
      <c r="AY156" s="31" t="s">
        <v>1265</v>
      </c>
      <c r="AZ156" s="26" t="s">
        <v>1248</v>
      </c>
      <c r="BA156" s="24" t="s">
        <v>1266</v>
      </c>
    </row>
    <row r="157" spans="1:53" ht="7.35" customHeight="1" x14ac:dyDescent="0.25">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1418</v>
      </c>
      <c r="P157" s="39" t="s">
        <v>177</v>
      </c>
      <c r="Q157" s="37" t="s">
        <v>196</v>
      </c>
      <c r="R157" s="39" t="s">
        <v>355</v>
      </c>
      <c r="S157" s="37" t="s">
        <v>676</v>
      </c>
      <c r="T157" s="39" t="s">
        <v>1261</v>
      </c>
      <c r="U157" s="42">
        <v>100</v>
      </c>
      <c r="V157" s="58" t="s">
        <v>1262</v>
      </c>
      <c r="W157" s="46">
        <v>10</v>
      </c>
      <c r="X157" s="58" t="s">
        <v>1263</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1230</v>
      </c>
      <c r="AW157" s="34" t="s">
        <v>1264</v>
      </c>
      <c r="AX157" s="26" t="s">
        <v>1231</v>
      </c>
      <c r="AY157" s="31" t="s">
        <v>1265</v>
      </c>
      <c r="AZ157" s="26" t="s">
        <v>1248</v>
      </c>
      <c r="BA157" s="24" t="s">
        <v>1266</v>
      </c>
    </row>
    <row r="158" spans="1:53" ht="7.35" customHeight="1" x14ac:dyDescent="0.25">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1418</v>
      </c>
      <c r="P158" s="39" t="s">
        <v>177</v>
      </c>
      <c r="Q158" s="37" t="s">
        <v>198</v>
      </c>
      <c r="R158" s="39" t="s">
        <v>355</v>
      </c>
      <c r="S158" s="37" t="s">
        <v>676</v>
      </c>
      <c r="T158" s="39" t="s">
        <v>1261</v>
      </c>
      <c r="U158" s="42">
        <v>60</v>
      </c>
      <c r="V158" s="58" t="s">
        <v>1262</v>
      </c>
      <c r="W158" s="46">
        <v>5</v>
      </c>
      <c r="X158" s="58" t="s">
        <v>1263</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1230</v>
      </c>
      <c r="AW158" s="34" t="s">
        <v>1264</v>
      </c>
      <c r="AX158" s="26" t="s">
        <v>1231</v>
      </c>
      <c r="AY158" s="31" t="s">
        <v>1265</v>
      </c>
      <c r="AZ158" s="26" t="s">
        <v>1248</v>
      </c>
      <c r="BA158" s="24" t="s">
        <v>1266</v>
      </c>
    </row>
    <row r="159" spans="1:53" ht="7.35" customHeight="1" x14ac:dyDescent="0.25">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1418</v>
      </c>
      <c r="P159" s="39" t="s">
        <v>177</v>
      </c>
      <c r="Q159" s="37" t="s">
        <v>199</v>
      </c>
      <c r="R159" s="39" t="s">
        <v>355</v>
      </c>
      <c r="S159" s="37" t="s">
        <v>676</v>
      </c>
      <c r="T159" s="39" t="s">
        <v>1261</v>
      </c>
      <c r="U159" s="42">
        <v>40</v>
      </c>
      <c r="V159" s="58" t="s">
        <v>1262</v>
      </c>
      <c r="W159" s="46">
        <v>4</v>
      </c>
      <c r="X159" s="58" t="s">
        <v>1263</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1230</v>
      </c>
      <c r="AW159" s="34" t="s">
        <v>1264</v>
      </c>
      <c r="AX159" s="26" t="s">
        <v>1231</v>
      </c>
      <c r="AY159" s="31" t="s">
        <v>1265</v>
      </c>
      <c r="AZ159" s="26" t="s">
        <v>1248</v>
      </c>
      <c r="BA159" s="24" t="s">
        <v>1266</v>
      </c>
    </row>
    <row r="160" spans="1:53" ht="7.35" customHeight="1" x14ac:dyDescent="0.25">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1418</v>
      </c>
      <c r="P160" s="39" t="s">
        <v>177</v>
      </c>
      <c r="Q160" s="37" t="s">
        <v>200</v>
      </c>
      <c r="R160" s="39" t="s">
        <v>355</v>
      </c>
      <c r="S160" s="37" t="s">
        <v>676</v>
      </c>
      <c r="T160" s="39" t="s">
        <v>1261</v>
      </c>
      <c r="U160" s="42">
        <v>60</v>
      </c>
      <c r="V160" s="58" t="s">
        <v>1262</v>
      </c>
      <c r="W160" s="46">
        <v>5</v>
      </c>
      <c r="X160" s="58" t="s">
        <v>1263</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1230</v>
      </c>
      <c r="AW160" s="34" t="s">
        <v>1264</v>
      </c>
      <c r="AX160" s="26" t="s">
        <v>1231</v>
      </c>
      <c r="AY160" s="31" t="s">
        <v>1265</v>
      </c>
      <c r="AZ160" s="26" t="s">
        <v>1248</v>
      </c>
      <c r="BA160" s="24" t="s">
        <v>1266</v>
      </c>
    </row>
    <row r="161" spans="1:53" ht="7.35" customHeight="1" x14ac:dyDescent="0.25">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1418</v>
      </c>
      <c r="P161" s="39" t="s">
        <v>177</v>
      </c>
      <c r="Q161" s="37" t="s">
        <v>218</v>
      </c>
      <c r="R161" s="39" t="s">
        <v>355</v>
      </c>
      <c r="S161" s="37" t="s">
        <v>575</v>
      </c>
      <c r="T161" s="39" t="s">
        <v>1261</v>
      </c>
      <c r="U161" s="42">
        <v>40</v>
      </c>
      <c r="V161" s="58" t="s">
        <v>1262</v>
      </c>
      <c r="W161" s="46">
        <v>4</v>
      </c>
      <c r="X161" s="58" t="s">
        <v>1263</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1230</v>
      </c>
      <c r="AW161" s="34" t="s">
        <v>1264</v>
      </c>
      <c r="AX161" s="26" t="s">
        <v>1231</v>
      </c>
      <c r="AY161" s="31" t="s">
        <v>1265</v>
      </c>
      <c r="AZ161" s="26" t="s">
        <v>1248</v>
      </c>
      <c r="BA161" s="24" t="s">
        <v>1266</v>
      </c>
    </row>
    <row r="162" spans="1:53" ht="7.35" customHeight="1" x14ac:dyDescent="0.25">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1418</v>
      </c>
      <c r="P162" s="39" t="s">
        <v>177</v>
      </c>
      <c r="Q162" s="37" t="s">
        <v>1017</v>
      </c>
      <c r="R162" s="39" t="s">
        <v>355</v>
      </c>
      <c r="S162" s="37" t="s">
        <v>677</v>
      </c>
      <c r="T162" s="39" t="s">
        <v>1261</v>
      </c>
      <c r="U162" s="42">
        <v>0</v>
      </c>
      <c r="V162" s="58" t="s">
        <v>1262</v>
      </c>
      <c r="W162" s="46">
        <v>0</v>
      </c>
      <c r="X162" s="58" t="s">
        <v>1263</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1230</v>
      </c>
      <c r="AW162" s="34" t="s">
        <v>1264</v>
      </c>
      <c r="AX162" s="26" t="s">
        <v>1231</v>
      </c>
      <c r="AY162" s="31" t="s">
        <v>1265</v>
      </c>
      <c r="AZ162" s="26" t="s">
        <v>1248</v>
      </c>
      <c r="BA162" s="24" t="s">
        <v>1266</v>
      </c>
    </row>
    <row r="163" spans="1:53" ht="7.35" customHeight="1" x14ac:dyDescent="0.25">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1418</v>
      </c>
      <c r="P163" s="39" t="s">
        <v>177</v>
      </c>
      <c r="Q163" s="37" t="s">
        <v>201</v>
      </c>
      <c r="R163" s="39" t="s">
        <v>355</v>
      </c>
      <c r="S163" s="37" t="s">
        <v>676</v>
      </c>
      <c r="T163" s="39" t="s">
        <v>1261</v>
      </c>
      <c r="U163" s="42">
        <v>30</v>
      </c>
      <c r="V163" s="58" t="s">
        <v>1262</v>
      </c>
      <c r="W163" s="46">
        <v>4</v>
      </c>
      <c r="X163" s="58" t="s">
        <v>1263</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1230</v>
      </c>
      <c r="AW163" s="34" t="s">
        <v>1264</v>
      </c>
      <c r="AX163" s="26" t="s">
        <v>1231</v>
      </c>
      <c r="AY163" s="31" t="s">
        <v>1265</v>
      </c>
      <c r="AZ163" s="26" t="s">
        <v>1248</v>
      </c>
      <c r="BA163" s="24" t="s">
        <v>1266</v>
      </c>
    </row>
    <row r="164" spans="1:53" ht="7.35" customHeight="1" x14ac:dyDescent="0.25">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1418</v>
      </c>
      <c r="P164" s="39" t="s">
        <v>177</v>
      </c>
      <c r="Q164" s="37" t="s">
        <v>649</v>
      </c>
      <c r="R164" s="39" t="s">
        <v>355</v>
      </c>
      <c r="S164" s="37" t="s">
        <v>676</v>
      </c>
      <c r="T164" s="39" t="s">
        <v>1261</v>
      </c>
      <c r="U164" s="42">
        <v>30</v>
      </c>
      <c r="V164" s="58" t="s">
        <v>1262</v>
      </c>
      <c r="W164" s="46">
        <v>3</v>
      </c>
      <c r="X164" s="58" t="s">
        <v>1263</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1230</v>
      </c>
      <c r="AW164" s="34" t="s">
        <v>1264</v>
      </c>
      <c r="AX164" s="26" t="s">
        <v>1231</v>
      </c>
      <c r="AY164" s="31" t="s">
        <v>1265</v>
      </c>
      <c r="AZ164" s="26" t="s">
        <v>1248</v>
      </c>
      <c r="BA164" s="24" t="s">
        <v>1266</v>
      </c>
    </row>
    <row r="165" spans="1:53" ht="7.35" customHeight="1" x14ac:dyDescent="0.25">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1418</v>
      </c>
      <c r="P165" s="39" t="s">
        <v>177</v>
      </c>
      <c r="Q165" s="37" t="s">
        <v>202</v>
      </c>
      <c r="R165" s="39" t="s">
        <v>355</v>
      </c>
      <c r="S165" s="37" t="s">
        <v>415</v>
      </c>
      <c r="T165" s="39" t="s">
        <v>1261</v>
      </c>
      <c r="U165" s="42">
        <v>0</v>
      </c>
      <c r="V165" s="58" t="s">
        <v>1262</v>
      </c>
      <c r="W165" s="46">
        <v>2</v>
      </c>
      <c r="X165" s="58" t="s">
        <v>1263</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1230</v>
      </c>
      <c r="AW165" s="34" t="s">
        <v>1264</v>
      </c>
      <c r="AX165" s="26" t="s">
        <v>1231</v>
      </c>
      <c r="AY165" s="31" t="s">
        <v>1265</v>
      </c>
      <c r="AZ165" s="26" t="s">
        <v>1248</v>
      </c>
      <c r="BA165" s="24" t="s">
        <v>1266</v>
      </c>
    </row>
    <row r="166" spans="1:53" ht="7.35" customHeight="1" x14ac:dyDescent="0.25">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1418</v>
      </c>
      <c r="P166" s="39" t="s">
        <v>177</v>
      </c>
      <c r="Q166" s="37" t="s">
        <v>586</v>
      </c>
      <c r="R166" s="39" t="s">
        <v>355</v>
      </c>
      <c r="S166" s="37" t="s">
        <v>676</v>
      </c>
      <c r="T166" s="39" t="s">
        <v>1261</v>
      </c>
      <c r="U166" s="42">
        <v>60</v>
      </c>
      <c r="V166" s="58" t="s">
        <v>1262</v>
      </c>
      <c r="W166" s="46">
        <v>5</v>
      </c>
      <c r="X166" s="58" t="s">
        <v>1263</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1230</v>
      </c>
      <c r="AW166" s="34" t="s">
        <v>1264</v>
      </c>
      <c r="AX166" s="26" t="s">
        <v>1231</v>
      </c>
      <c r="AY166" s="31" t="s">
        <v>1265</v>
      </c>
      <c r="AZ166" s="26" t="s">
        <v>1248</v>
      </c>
      <c r="BA166" s="24" t="s">
        <v>1266</v>
      </c>
    </row>
    <row r="167" spans="1:53" ht="7.35" customHeight="1" x14ac:dyDescent="0.25">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1418</v>
      </c>
      <c r="P167" s="39" t="s">
        <v>177</v>
      </c>
      <c r="Q167" s="37" t="s">
        <v>1135</v>
      </c>
      <c r="R167" s="39" t="s">
        <v>355</v>
      </c>
      <c r="S167" s="37" t="s">
        <v>676</v>
      </c>
      <c r="T167" s="39" t="s">
        <v>1261</v>
      </c>
      <c r="U167" s="42">
        <v>50</v>
      </c>
      <c r="V167" s="58" t="s">
        <v>1262</v>
      </c>
      <c r="W167" s="46">
        <v>4</v>
      </c>
      <c r="X167" s="58" t="s">
        <v>1263</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1230</v>
      </c>
      <c r="AW167" s="34" t="s">
        <v>1264</v>
      </c>
      <c r="AX167" s="26" t="s">
        <v>1231</v>
      </c>
      <c r="AY167" s="31" t="s">
        <v>1265</v>
      </c>
      <c r="AZ167" s="26" t="s">
        <v>1248</v>
      </c>
      <c r="BA167" s="24" t="s">
        <v>1266</v>
      </c>
    </row>
    <row r="168" spans="1:53" ht="7.35" customHeight="1" x14ac:dyDescent="0.25">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1418</v>
      </c>
      <c r="P168" s="39" t="s">
        <v>177</v>
      </c>
      <c r="Q168" s="37" t="s">
        <v>1136</v>
      </c>
      <c r="R168" s="39" t="s">
        <v>355</v>
      </c>
      <c r="S168" s="37" t="s">
        <v>676</v>
      </c>
      <c r="T168" s="39" t="s">
        <v>1261</v>
      </c>
      <c r="U168" s="42">
        <v>40</v>
      </c>
      <c r="V168" s="58" t="s">
        <v>1262</v>
      </c>
      <c r="W168" s="46">
        <v>3</v>
      </c>
      <c r="X168" s="58" t="s">
        <v>1263</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1230</v>
      </c>
      <c r="AW168" s="34" t="s">
        <v>1264</v>
      </c>
      <c r="AX168" s="26" t="s">
        <v>1231</v>
      </c>
      <c r="AY168" s="31" t="s">
        <v>1265</v>
      </c>
      <c r="AZ168" s="26" t="s">
        <v>1248</v>
      </c>
      <c r="BA168" s="24" t="s">
        <v>1266</v>
      </c>
    </row>
    <row r="169" spans="1:53" ht="7.35" customHeight="1" x14ac:dyDescent="0.25">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1418</v>
      </c>
      <c r="P169" s="39" t="s">
        <v>177</v>
      </c>
      <c r="Q169" s="37" t="s">
        <v>594</v>
      </c>
      <c r="R169" s="39" t="s">
        <v>355</v>
      </c>
      <c r="S169" s="37" t="s">
        <v>676</v>
      </c>
      <c r="T169" s="39" t="s">
        <v>1261</v>
      </c>
      <c r="U169" s="42">
        <v>0</v>
      </c>
      <c r="V169" s="58" t="s">
        <v>1262</v>
      </c>
      <c r="W169" s="46">
        <v>0</v>
      </c>
      <c r="X169" s="58" t="s">
        <v>1263</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1230</v>
      </c>
      <c r="AW169" s="34" t="s">
        <v>1264</v>
      </c>
      <c r="AX169" s="26" t="s">
        <v>1231</v>
      </c>
      <c r="AY169" s="31" t="s">
        <v>1265</v>
      </c>
      <c r="AZ169" s="26" t="s">
        <v>1248</v>
      </c>
      <c r="BA169" s="24" t="s">
        <v>1266</v>
      </c>
    </row>
    <row r="170" spans="1:53" ht="7.35" customHeight="1" x14ac:dyDescent="0.25">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1418</v>
      </c>
      <c r="P170" s="39" t="s">
        <v>177</v>
      </c>
      <c r="Q170" s="37" t="s">
        <v>438</v>
      </c>
      <c r="R170" s="39" t="s">
        <v>355</v>
      </c>
      <c r="S170" s="37" t="s">
        <v>677</v>
      </c>
      <c r="T170" s="39" t="s">
        <v>1261</v>
      </c>
      <c r="U170" s="42">
        <v>0</v>
      </c>
      <c r="V170" s="58" t="s">
        <v>1262</v>
      </c>
      <c r="W170" s="46">
        <v>3</v>
      </c>
      <c r="X170" s="58" t="s">
        <v>1263</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1230</v>
      </c>
      <c r="AW170" s="34" t="s">
        <v>1264</v>
      </c>
      <c r="AX170" s="26" t="s">
        <v>1231</v>
      </c>
      <c r="AY170" s="31" t="s">
        <v>1265</v>
      </c>
      <c r="AZ170" s="26" t="s">
        <v>1248</v>
      </c>
      <c r="BA170" s="24" t="s">
        <v>1266</v>
      </c>
    </row>
    <row r="171" spans="1:53" ht="7.35" customHeight="1" x14ac:dyDescent="0.25">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1418</v>
      </c>
      <c r="P171" s="39" t="s">
        <v>177</v>
      </c>
      <c r="Q171" s="37" t="s">
        <v>363</v>
      </c>
      <c r="R171" s="39" t="s">
        <v>355</v>
      </c>
      <c r="S171" s="37" t="s">
        <v>677</v>
      </c>
      <c r="T171" s="39" t="s">
        <v>1261</v>
      </c>
      <c r="U171" s="42">
        <v>30</v>
      </c>
      <c r="V171" s="58" t="s">
        <v>1262</v>
      </c>
      <c r="W171" s="46">
        <v>3</v>
      </c>
      <c r="X171" s="58" t="s">
        <v>1263</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1245</v>
      </c>
      <c r="AP171" s="40" t="s">
        <v>581</v>
      </c>
      <c r="AQ171" s="46" t="s">
        <v>680</v>
      </c>
      <c r="AR171" s="40" t="s">
        <v>181</v>
      </c>
      <c r="AS171" s="37" t="s">
        <v>274</v>
      </c>
      <c r="AT171" s="40" t="s">
        <v>176</v>
      </c>
      <c r="AU171" s="49" t="s">
        <v>272</v>
      </c>
      <c r="AV171" s="26" t="s">
        <v>1230</v>
      </c>
      <c r="AW171" s="34" t="s">
        <v>1264</v>
      </c>
      <c r="AX171" s="26" t="s">
        <v>1231</v>
      </c>
      <c r="AY171" s="31" t="s">
        <v>1265</v>
      </c>
      <c r="AZ171" s="26" t="s">
        <v>1248</v>
      </c>
      <c r="BA171" s="24" t="s">
        <v>1266</v>
      </c>
    </row>
    <row r="172" spans="1:53" ht="7.35" customHeight="1" x14ac:dyDescent="0.25">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1418</v>
      </c>
      <c r="P172" s="39" t="s">
        <v>177</v>
      </c>
      <c r="Q172" s="37" t="s">
        <v>364</v>
      </c>
      <c r="R172" s="39" t="s">
        <v>355</v>
      </c>
      <c r="S172" s="37" t="s">
        <v>676</v>
      </c>
      <c r="T172" s="39" t="s">
        <v>1261</v>
      </c>
      <c r="U172" s="42">
        <v>30</v>
      </c>
      <c r="V172" s="58" t="s">
        <v>1262</v>
      </c>
      <c r="W172" s="46">
        <v>3</v>
      </c>
      <c r="X172" s="58" t="s">
        <v>1263</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1230</v>
      </c>
      <c r="AW172" s="34" t="s">
        <v>1264</v>
      </c>
      <c r="AX172" s="26" t="s">
        <v>1231</v>
      </c>
      <c r="AY172" s="31" t="s">
        <v>1265</v>
      </c>
      <c r="AZ172" s="26" t="s">
        <v>1248</v>
      </c>
      <c r="BA172" s="24" t="s">
        <v>1266</v>
      </c>
    </row>
    <row r="173" spans="1:53" ht="7.35" customHeight="1" x14ac:dyDescent="0.25">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1418</v>
      </c>
      <c r="P173" s="39" t="s">
        <v>177</v>
      </c>
      <c r="Q173" s="37" t="s">
        <v>587</v>
      </c>
      <c r="R173" s="39" t="s">
        <v>355</v>
      </c>
      <c r="S173" s="37" t="s">
        <v>676</v>
      </c>
      <c r="T173" s="39" t="s">
        <v>1261</v>
      </c>
      <c r="U173" s="42">
        <v>60</v>
      </c>
      <c r="V173" s="58" t="s">
        <v>1262</v>
      </c>
      <c r="W173" s="46">
        <v>6</v>
      </c>
      <c r="X173" s="58" t="s">
        <v>1263</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1230</v>
      </c>
      <c r="AW173" s="34" t="s">
        <v>1264</v>
      </c>
      <c r="AX173" s="26" t="s">
        <v>1231</v>
      </c>
      <c r="AY173" s="31" t="s">
        <v>1265</v>
      </c>
      <c r="AZ173" s="26" t="s">
        <v>1248</v>
      </c>
      <c r="BA173" s="24" t="s">
        <v>1266</v>
      </c>
    </row>
    <row r="174" spans="1:53" ht="7.35" customHeight="1" x14ac:dyDescent="0.25">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1418</v>
      </c>
      <c r="P174" s="39" t="s">
        <v>177</v>
      </c>
      <c r="Q174" s="37" t="s">
        <v>658</v>
      </c>
      <c r="R174" s="39" t="s">
        <v>355</v>
      </c>
      <c r="S174" s="37" t="s">
        <v>676</v>
      </c>
      <c r="T174" s="39" t="s">
        <v>1261</v>
      </c>
      <c r="U174" s="42">
        <v>60</v>
      </c>
      <c r="V174" s="58" t="s">
        <v>1262</v>
      </c>
      <c r="W174" s="46">
        <v>6</v>
      </c>
      <c r="X174" s="58" t="s">
        <v>1263</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1230</v>
      </c>
      <c r="AW174" s="34" t="s">
        <v>1264</v>
      </c>
      <c r="AX174" s="26" t="s">
        <v>1231</v>
      </c>
      <c r="AY174" s="31" t="s">
        <v>1265</v>
      </c>
      <c r="AZ174" s="26" t="s">
        <v>1248</v>
      </c>
      <c r="BA174" s="24" t="s">
        <v>1266</v>
      </c>
    </row>
    <row r="175" spans="1:53" ht="7.35" customHeight="1" x14ac:dyDescent="0.25">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1418</v>
      </c>
      <c r="P175" s="39" t="s">
        <v>177</v>
      </c>
      <c r="Q175" s="37" t="s">
        <v>357</v>
      </c>
      <c r="R175" s="39" t="s">
        <v>355</v>
      </c>
      <c r="S175" s="37" t="s">
        <v>676</v>
      </c>
      <c r="T175" s="39" t="s">
        <v>1261</v>
      </c>
      <c r="U175" s="42">
        <v>60</v>
      </c>
      <c r="V175" s="58" t="s">
        <v>1262</v>
      </c>
      <c r="W175" s="46">
        <v>6</v>
      </c>
      <c r="X175" s="58" t="s">
        <v>1263</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1230</v>
      </c>
      <c r="AW175" s="34" t="s">
        <v>1264</v>
      </c>
      <c r="AX175" s="26" t="s">
        <v>1231</v>
      </c>
      <c r="AY175" s="31" t="s">
        <v>1265</v>
      </c>
      <c r="AZ175" s="26" t="s">
        <v>1248</v>
      </c>
      <c r="BA175" s="24" t="s">
        <v>1266</v>
      </c>
    </row>
    <row r="176" spans="1:53" ht="7.35" customHeight="1" x14ac:dyDescent="0.25">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1418</v>
      </c>
      <c r="P176" s="39" t="s">
        <v>177</v>
      </c>
      <c r="Q176" s="37" t="s">
        <v>638</v>
      </c>
      <c r="R176" s="39" t="s">
        <v>355</v>
      </c>
      <c r="S176" s="37" t="s">
        <v>676</v>
      </c>
      <c r="T176" s="39" t="s">
        <v>1261</v>
      </c>
      <c r="U176" s="42">
        <v>60</v>
      </c>
      <c r="V176" s="58" t="s">
        <v>1262</v>
      </c>
      <c r="W176" s="46">
        <v>0</v>
      </c>
      <c r="X176" s="58" t="s">
        <v>1263</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1230</v>
      </c>
      <c r="AW176" s="34" t="s">
        <v>1264</v>
      </c>
      <c r="AX176" s="26" t="s">
        <v>1231</v>
      </c>
      <c r="AY176" s="31" t="s">
        <v>1265</v>
      </c>
      <c r="AZ176" s="26" t="s">
        <v>1248</v>
      </c>
      <c r="BA176" s="24" t="s">
        <v>1266</v>
      </c>
    </row>
    <row r="177" spans="1:53" ht="7.35" customHeight="1" x14ac:dyDescent="0.25">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1418</v>
      </c>
      <c r="P177" s="39" t="s">
        <v>177</v>
      </c>
      <c r="Q177" s="37" t="s">
        <v>639</v>
      </c>
      <c r="R177" s="39" t="s">
        <v>355</v>
      </c>
      <c r="S177" s="37" t="s">
        <v>676</v>
      </c>
      <c r="T177" s="39" t="s">
        <v>1261</v>
      </c>
      <c r="U177" s="42">
        <v>60</v>
      </c>
      <c r="V177" s="58" t="s">
        <v>1262</v>
      </c>
      <c r="W177" s="46">
        <v>0</v>
      </c>
      <c r="X177" s="58" t="s">
        <v>1263</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1230</v>
      </c>
      <c r="AW177" s="34" t="s">
        <v>1264</v>
      </c>
      <c r="AX177" s="26" t="s">
        <v>1231</v>
      </c>
      <c r="AY177" s="31" t="s">
        <v>1265</v>
      </c>
      <c r="AZ177" s="26" t="s">
        <v>1248</v>
      </c>
      <c r="BA177" s="24" t="s">
        <v>1266</v>
      </c>
    </row>
    <row r="178" spans="1:53" ht="7.35" customHeight="1" x14ac:dyDescent="0.25">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1418</v>
      </c>
      <c r="P178" s="39" t="s">
        <v>177</v>
      </c>
      <c r="Q178" s="37" t="s">
        <v>367</v>
      </c>
      <c r="R178" s="39" t="s">
        <v>355</v>
      </c>
      <c r="S178" s="37" t="s">
        <v>676</v>
      </c>
      <c r="T178" s="39" t="s">
        <v>1261</v>
      </c>
      <c r="U178" s="42">
        <v>60</v>
      </c>
      <c r="V178" s="58" t="s">
        <v>1262</v>
      </c>
      <c r="W178" s="46">
        <v>0</v>
      </c>
      <c r="X178" s="58" t="s">
        <v>1263</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1230</v>
      </c>
      <c r="AW178" s="34" t="s">
        <v>1264</v>
      </c>
      <c r="AX178" s="26" t="s">
        <v>1231</v>
      </c>
      <c r="AY178" s="31" t="s">
        <v>1265</v>
      </c>
      <c r="AZ178" s="26" t="s">
        <v>1248</v>
      </c>
      <c r="BA178" s="24" t="s">
        <v>1266</v>
      </c>
    </row>
    <row r="179" spans="1:53" ht="7.35" customHeight="1" x14ac:dyDescent="0.25">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1418</v>
      </c>
      <c r="P179" s="39" t="s">
        <v>177</v>
      </c>
      <c r="Q179" s="37" t="s">
        <v>659</v>
      </c>
      <c r="R179" s="39" t="s">
        <v>355</v>
      </c>
      <c r="S179" s="37" t="s">
        <v>676</v>
      </c>
      <c r="T179" s="39" t="s">
        <v>1261</v>
      </c>
      <c r="U179" s="42">
        <v>60</v>
      </c>
      <c r="V179" s="58" t="s">
        <v>1262</v>
      </c>
      <c r="W179" s="46">
        <v>6</v>
      </c>
      <c r="X179" s="58" t="s">
        <v>1263</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1240</v>
      </c>
      <c r="AP179" s="40" t="s">
        <v>581</v>
      </c>
      <c r="AQ179" s="46" t="s">
        <v>680</v>
      </c>
      <c r="AR179" s="40" t="s">
        <v>181</v>
      </c>
      <c r="AS179" s="37" t="s">
        <v>278</v>
      </c>
      <c r="AT179" s="40" t="s">
        <v>176</v>
      </c>
      <c r="AU179" s="49" t="s">
        <v>273</v>
      </c>
      <c r="AV179" s="26" t="s">
        <v>1230</v>
      </c>
      <c r="AW179" s="34" t="s">
        <v>1264</v>
      </c>
      <c r="AX179" s="26" t="s">
        <v>1231</v>
      </c>
      <c r="AY179" s="31" t="s">
        <v>1265</v>
      </c>
      <c r="AZ179" s="26" t="s">
        <v>1248</v>
      </c>
      <c r="BA179" s="24" t="s">
        <v>1266</v>
      </c>
    </row>
    <row r="180" spans="1:53" ht="7.35" customHeight="1" x14ac:dyDescent="0.25">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1418</v>
      </c>
      <c r="P180" s="39" t="s">
        <v>177</v>
      </c>
      <c r="Q180" s="37" t="s">
        <v>203</v>
      </c>
      <c r="R180" s="39" t="s">
        <v>355</v>
      </c>
      <c r="S180" s="37" t="s">
        <v>676</v>
      </c>
      <c r="T180" s="39" t="s">
        <v>1261</v>
      </c>
      <c r="U180" s="42">
        <v>50</v>
      </c>
      <c r="V180" s="58" t="s">
        <v>1262</v>
      </c>
      <c r="W180" s="46">
        <v>6</v>
      </c>
      <c r="X180" s="58" t="s">
        <v>1263</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1230</v>
      </c>
      <c r="AW180" s="34" t="s">
        <v>1264</v>
      </c>
      <c r="AX180" s="26" t="s">
        <v>1231</v>
      </c>
      <c r="AY180" s="31" t="s">
        <v>1265</v>
      </c>
      <c r="AZ180" s="26" t="s">
        <v>1248</v>
      </c>
      <c r="BA180" s="24" t="s">
        <v>1266</v>
      </c>
    </row>
    <row r="181" spans="1:53" ht="7.35" customHeight="1" x14ac:dyDescent="0.25">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1418</v>
      </c>
      <c r="P181" s="39" t="s">
        <v>177</v>
      </c>
      <c r="Q181" s="37" t="s">
        <v>204</v>
      </c>
      <c r="R181" s="39" t="s">
        <v>355</v>
      </c>
      <c r="S181" s="37" t="s">
        <v>676</v>
      </c>
      <c r="T181" s="39" t="s">
        <v>1261</v>
      </c>
      <c r="U181" s="42">
        <v>50</v>
      </c>
      <c r="V181" s="58" t="s">
        <v>1262</v>
      </c>
      <c r="W181" s="46">
        <v>5</v>
      </c>
      <c r="X181" s="58" t="s">
        <v>1263</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1230</v>
      </c>
      <c r="AW181" s="34" t="s">
        <v>1264</v>
      </c>
      <c r="AX181" s="26" t="s">
        <v>1231</v>
      </c>
      <c r="AY181" s="31" t="s">
        <v>1265</v>
      </c>
      <c r="AZ181" s="26" t="s">
        <v>1248</v>
      </c>
      <c r="BA181" s="24" t="s">
        <v>1266</v>
      </c>
    </row>
    <row r="182" spans="1:53" ht="7.35" customHeight="1" x14ac:dyDescent="0.25">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1418</v>
      </c>
      <c r="P182" s="39" t="s">
        <v>177</v>
      </c>
      <c r="Q182" s="37" t="s">
        <v>205</v>
      </c>
      <c r="R182" s="39" t="s">
        <v>355</v>
      </c>
      <c r="S182" s="37" t="s">
        <v>676</v>
      </c>
      <c r="T182" s="39" t="s">
        <v>1261</v>
      </c>
      <c r="U182" s="42">
        <v>60</v>
      </c>
      <c r="V182" s="58" t="s">
        <v>1262</v>
      </c>
      <c r="W182" s="46">
        <v>6</v>
      </c>
      <c r="X182" s="58" t="s">
        <v>1263</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1230</v>
      </c>
      <c r="AW182" s="34" t="s">
        <v>1264</v>
      </c>
      <c r="AX182" s="26" t="s">
        <v>1231</v>
      </c>
      <c r="AY182" s="31" t="s">
        <v>1265</v>
      </c>
      <c r="AZ182" s="26" t="s">
        <v>1248</v>
      </c>
      <c r="BA182" s="24" t="s">
        <v>1266</v>
      </c>
    </row>
    <row r="183" spans="1:53" ht="7.35" customHeight="1" x14ac:dyDescent="0.25">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1418</v>
      </c>
      <c r="P183" s="39" t="s">
        <v>177</v>
      </c>
      <c r="Q183" s="37" t="s">
        <v>206</v>
      </c>
      <c r="R183" s="39" t="s">
        <v>355</v>
      </c>
      <c r="S183" s="37" t="s">
        <v>676</v>
      </c>
      <c r="T183" s="39" t="s">
        <v>1261</v>
      </c>
      <c r="U183" s="42">
        <v>30</v>
      </c>
      <c r="V183" s="58" t="s">
        <v>1262</v>
      </c>
      <c r="W183" s="46">
        <v>3</v>
      </c>
      <c r="X183" s="58" t="s">
        <v>1263</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1230</v>
      </c>
      <c r="AW183" s="34" t="s">
        <v>1264</v>
      </c>
      <c r="AX183" s="26" t="s">
        <v>1231</v>
      </c>
      <c r="AY183" s="31" t="s">
        <v>1265</v>
      </c>
      <c r="AZ183" s="26" t="s">
        <v>1248</v>
      </c>
      <c r="BA183" s="24" t="s">
        <v>1266</v>
      </c>
    </row>
    <row r="184" spans="1:53" ht="7.35" customHeight="1" x14ac:dyDescent="0.25">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1418</v>
      </c>
      <c r="P184" s="39" t="s">
        <v>177</v>
      </c>
      <c r="Q184" s="37" t="s">
        <v>207</v>
      </c>
      <c r="R184" s="39" t="s">
        <v>355</v>
      </c>
      <c r="S184" s="37" t="s">
        <v>676</v>
      </c>
      <c r="T184" s="39" t="s">
        <v>1261</v>
      </c>
      <c r="U184" s="42">
        <v>100</v>
      </c>
      <c r="V184" s="58" t="s">
        <v>1262</v>
      </c>
      <c r="W184" s="46">
        <v>8</v>
      </c>
      <c r="X184" s="58" t="s">
        <v>1263</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1230</v>
      </c>
      <c r="AW184" s="34" t="s">
        <v>1264</v>
      </c>
      <c r="AX184" s="26" t="s">
        <v>1231</v>
      </c>
      <c r="AY184" s="31" t="s">
        <v>1265</v>
      </c>
      <c r="AZ184" s="26" t="s">
        <v>1248</v>
      </c>
      <c r="BA184" s="24" t="s">
        <v>1266</v>
      </c>
    </row>
    <row r="185" spans="1:53" ht="7.35" customHeight="1" x14ac:dyDescent="0.25">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1418</v>
      </c>
      <c r="P185" s="39" t="s">
        <v>177</v>
      </c>
      <c r="Q185" s="37" t="s">
        <v>673</v>
      </c>
      <c r="R185" s="39" t="s">
        <v>355</v>
      </c>
      <c r="S185" s="37" t="s">
        <v>676</v>
      </c>
      <c r="T185" s="39" t="s">
        <v>1261</v>
      </c>
      <c r="U185" s="42">
        <v>50</v>
      </c>
      <c r="V185" s="58" t="s">
        <v>1262</v>
      </c>
      <c r="W185" s="46">
        <v>5</v>
      </c>
      <c r="X185" s="58" t="s">
        <v>1263</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1230</v>
      </c>
      <c r="AW185" s="34" t="s">
        <v>1264</v>
      </c>
      <c r="AX185" s="26" t="s">
        <v>1231</v>
      </c>
      <c r="AY185" s="31" t="s">
        <v>1265</v>
      </c>
      <c r="AZ185" s="26" t="s">
        <v>1248</v>
      </c>
      <c r="BA185" s="24" t="s">
        <v>1266</v>
      </c>
    </row>
    <row r="186" spans="1:53" ht="7.35" customHeight="1" x14ac:dyDescent="0.25">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1418</v>
      </c>
      <c r="P186" s="39" t="s">
        <v>177</v>
      </c>
      <c r="Q186" s="37" t="s">
        <v>662</v>
      </c>
      <c r="R186" s="39" t="s">
        <v>355</v>
      </c>
      <c r="S186" s="37" t="s">
        <v>676</v>
      </c>
      <c r="T186" s="39" t="s">
        <v>1261</v>
      </c>
      <c r="U186" s="42">
        <v>60</v>
      </c>
      <c r="V186" s="58" t="s">
        <v>1262</v>
      </c>
      <c r="W186" s="46">
        <v>5</v>
      </c>
      <c r="X186" s="58" t="s">
        <v>1263</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1230</v>
      </c>
      <c r="AW186" s="34" t="s">
        <v>1264</v>
      </c>
      <c r="AX186" s="26" t="s">
        <v>1231</v>
      </c>
      <c r="AY186" s="31" t="s">
        <v>1265</v>
      </c>
      <c r="AZ186" s="26" t="s">
        <v>1248</v>
      </c>
      <c r="BA186" s="24" t="s">
        <v>1266</v>
      </c>
    </row>
    <row r="187" spans="1:53" ht="7.35" customHeight="1" x14ac:dyDescent="0.25">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1418</v>
      </c>
      <c r="P187" s="39" t="s">
        <v>177</v>
      </c>
      <c r="Q187" s="37" t="s">
        <v>208</v>
      </c>
      <c r="R187" s="39" t="s">
        <v>355</v>
      </c>
      <c r="S187" s="37" t="s">
        <v>676</v>
      </c>
      <c r="T187" s="39" t="s">
        <v>1261</v>
      </c>
      <c r="U187" s="42">
        <v>50</v>
      </c>
      <c r="V187" s="58" t="s">
        <v>1262</v>
      </c>
      <c r="W187" s="46">
        <v>5</v>
      </c>
      <c r="X187" s="58" t="s">
        <v>1263</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1230</v>
      </c>
      <c r="AW187" s="34" t="s">
        <v>1264</v>
      </c>
      <c r="AX187" s="26" t="s">
        <v>1231</v>
      </c>
      <c r="AY187" s="31" t="s">
        <v>1265</v>
      </c>
      <c r="AZ187" s="26" t="s">
        <v>1248</v>
      </c>
      <c r="BA187" s="24" t="s">
        <v>1266</v>
      </c>
    </row>
    <row r="188" spans="1:53" ht="7.35" customHeight="1" x14ac:dyDescent="0.25">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1418</v>
      </c>
      <c r="P188" s="39" t="s">
        <v>177</v>
      </c>
      <c r="Q188" s="37" t="s">
        <v>209</v>
      </c>
      <c r="R188" s="39" t="s">
        <v>355</v>
      </c>
      <c r="S188" s="37" t="s">
        <v>676</v>
      </c>
      <c r="T188" s="39" t="s">
        <v>1261</v>
      </c>
      <c r="U188" s="42">
        <v>50</v>
      </c>
      <c r="V188" s="58" t="s">
        <v>1262</v>
      </c>
      <c r="W188" s="46">
        <v>4</v>
      </c>
      <c r="X188" s="58" t="s">
        <v>1263</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1230</v>
      </c>
      <c r="AW188" s="34" t="s">
        <v>1264</v>
      </c>
      <c r="AX188" s="26" t="s">
        <v>1231</v>
      </c>
      <c r="AY188" s="31" t="s">
        <v>1265</v>
      </c>
      <c r="AZ188" s="26" t="s">
        <v>1248</v>
      </c>
      <c r="BA188" s="24" t="s">
        <v>1266</v>
      </c>
    </row>
    <row r="189" spans="1:53" ht="7.35" customHeight="1" x14ac:dyDescent="0.25">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1418</v>
      </c>
      <c r="P189" s="39" t="s">
        <v>177</v>
      </c>
      <c r="Q189" s="37" t="s">
        <v>666</v>
      </c>
      <c r="R189" s="39" t="s">
        <v>355</v>
      </c>
      <c r="S189" s="37" t="s">
        <v>676</v>
      </c>
      <c r="T189" s="39" t="s">
        <v>1261</v>
      </c>
      <c r="U189" s="42">
        <v>50</v>
      </c>
      <c r="V189" s="58" t="s">
        <v>1262</v>
      </c>
      <c r="W189" s="46">
        <v>4</v>
      </c>
      <c r="X189" s="58" t="s">
        <v>1263</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1230</v>
      </c>
      <c r="AW189" s="34" t="s">
        <v>1264</v>
      </c>
      <c r="AX189" s="26" t="s">
        <v>1231</v>
      </c>
      <c r="AY189" s="31" t="s">
        <v>1265</v>
      </c>
      <c r="AZ189" s="26" t="s">
        <v>1248</v>
      </c>
      <c r="BA189" s="24" t="s">
        <v>1266</v>
      </c>
    </row>
    <row r="190" spans="1:53" ht="7.35" customHeight="1" x14ac:dyDescent="0.25">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1418</v>
      </c>
      <c r="P190" s="39" t="s">
        <v>177</v>
      </c>
      <c r="Q190" s="37" t="s">
        <v>210</v>
      </c>
      <c r="R190" s="39" t="s">
        <v>355</v>
      </c>
      <c r="S190" s="37" t="s">
        <v>677</v>
      </c>
      <c r="T190" s="39" t="s">
        <v>1261</v>
      </c>
      <c r="U190" s="42">
        <v>0</v>
      </c>
      <c r="V190" s="58" t="s">
        <v>1262</v>
      </c>
      <c r="W190" s="46">
        <v>2</v>
      </c>
      <c r="X190" s="58" t="s">
        <v>1263</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1230</v>
      </c>
      <c r="AW190" s="34" t="s">
        <v>1264</v>
      </c>
      <c r="AX190" s="26" t="s">
        <v>1231</v>
      </c>
      <c r="AY190" s="31" t="s">
        <v>1265</v>
      </c>
      <c r="AZ190" s="26" t="s">
        <v>1248</v>
      </c>
      <c r="BA190" s="24" t="s">
        <v>1266</v>
      </c>
    </row>
    <row r="191" spans="1:53" ht="7.35" customHeight="1" x14ac:dyDescent="0.25">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1418</v>
      </c>
      <c r="P191" s="39" t="s">
        <v>177</v>
      </c>
      <c r="Q191" s="37" t="s">
        <v>211</v>
      </c>
      <c r="R191" s="39" t="s">
        <v>355</v>
      </c>
      <c r="S191" s="37" t="s">
        <v>676</v>
      </c>
      <c r="T191" s="39" t="s">
        <v>1261</v>
      </c>
      <c r="U191" s="42">
        <v>50</v>
      </c>
      <c r="V191" s="58" t="s">
        <v>1262</v>
      </c>
      <c r="W191" s="46">
        <v>4</v>
      </c>
      <c r="X191" s="58" t="s">
        <v>1263</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1230</v>
      </c>
      <c r="AW191" s="34" t="s">
        <v>1264</v>
      </c>
      <c r="AX191" s="26" t="s">
        <v>1231</v>
      </c>
      <c r="AY191" s="31" t="s">
        <v>1265</v>
      </c>
      <c r="AZ191" s="26" t="s">
        <v>1248</v>
      </c>
      <c r="BA191" s="24" t="s">
        <v>1266</v>
      </c>
    </row>
    <row r="192" spans="1:53" ht="7.35" customHeight="1" x14ac:dyDescent="0.25">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1418</v>
      </c>
      <c r="P192" s="39" t="s">
        <v>177</v>
      </c>
      <c r="Q192" s="37" t="s">
        <v>212</v>
      </c>
      <c r="R192" s="39" t="s">
        <v>355</v>
      </c>
      <c r="S192" s="37" t="s">
        <v>676</v>
      </c>
      <c r="T192" s="39" t="s">
        <v>1261</v>
      </c>
      <c r="U192" s="42">
        <v>30</v>
      </c>
      <c r="V192" s="58" t="s">
        <v>1262</v>
      </c>
      <c r="W192" s="46">
        <v>3</v>
      </c>
      <c r="X192" s="58" t="s">
        <v>1263</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1230</v>
      </c>
      <c r="AW192" s="34" t="s">
        <v>1264</v>
      </c>
      <c r="AX192" s="26" t="s">
        <v>1231</v>
      </c>
      <c r="AY192" s="31" t="s">
        <v>1265</v>
      </c>
      <c r="AZ192" s="26" t="s">
        <v>1248</v>
      </c>
      <c r="BA192" s="24" t="s">
        <v>1266</v>
      </c>
    </row>
    <row r="193" spans="1:53" ht="7.35" customHeight="1" x14ac:dyDescent="0.25">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1418</v>
      </c>
      <c r="P193" s="39" t="s">
        <v>177</v>
      </c>
      <c r="Q193" s="37" t="s">
        <v>663</v>
      </c>
      <c r="R193" s="39" t="s">
        <v>355</v>
      </c>
      <c r="S193" s="37" t="s">
        <v>676</v>
      </c>
      <c r="T193" s="39" t="s">
        <v>1261</v>
      </c>
      <c r="U193" s="42">
        <v>60</v>
      </c>
      <c r="V193" s="58" t="s">
        <v>1262</v>
      </c>
      <c r="W193" s="46">
        <v>5</v>
      </c>
      <c r="X193" s="58" t="s">
        <v>1263</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1230</v>
      </c>
      <c r="AW193" s="34" t="s">
        <v>1264</v>
      </c>
      <c r="AX193" s="26" t="s">
        <v>1231</v>
      </c>
      <c r="AY193" s="31" t="s">
        <v>1265</v>
      </c>
      <c r="AZ193" s="26" t="s">
        <v>1248</v>
      </c>
      <c r="BA193" s="24" t="s">
        <v>1266</v>
      </c>
    </row>
    <row r="194" spans="1:53" ht="7.35" customHeight="1" x14ac:dyDescent="0.25">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1418</v>
      </c>
      <c r="P194" s="39" t="s">
        <v>177</v>
      </c>
      <c r="Q194" s="37" t="s">
        <v>197</v>
      </c>
      <c r="R194" s="39" t="s">
        <v>355</v>
      </c>
      <c r="S194" s="37" t="s">
        <v>676</v>
      </c>
      <c r="T194" s="39" t="s">
        <v>1261</v>
      </c>
      <c r="U194" s="42">
        <v>60</v>
      </c>
      <c r="V194" s="58" t="s">
        <v>1262</v>
      </c>
      <c r="W194" s="46">
        <v>5</v>
      </c>
      <c r="X194" s="58" t="s">
        <v>1263</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1230</v>
      </c>
      <c r="AW194" s="34" t="s">
        <v>1264</v>
      </c>
      <c r="AX194" s="26" t="s">
        <v>1231</v>
      </c>
      <c r="AY194" s="31" t="s">
        <v>1265</v>
      </c>
      <c r="AZ194" s="26" t="s">
        <v>1248</v>
      </c>
      <c r="BA194" s="24" t="s">
        <v>1266</v>
      </c>
    </row>
    <row r="195" spans="1:53" ht="7.35" customHeight="1" x14ac:dyDescent="0.25">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1418</v>
      </c>
      <c r="P195" s="39" t="s">
        <v>177</v>
      </c>
      <c r="Q195" s="37" t="s">
        <v>674</v>
      </c>
      <c r="R195" s="39" t="s">
        <v>355</v>
      </c>
      <c r="S195" s="37" t="s">
        <v>676</v>
      </c>
      <c r="T195" s="39" t="s">
        <v>1261</v>
      </c>
      <c r="U195" s="42">
        <v>50</v>
      </c>
      <c r="V195" s="58" t="s">
        <v>1262</v>
      </c>
      <c r="W195" s="46">
        <v>5</v>
      </c>
      <c r="X195" s="58" t="s">
        <v>1263</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1230</v>
      </c>
      <c r="AW195" s="34" t="s">
        <v>1264</v>
      </c>
      <c r="AX195" s="26" t="s">
        <v>1231</v>
      </c>
      <c r="AY195" s="31" t="s">
        <v>1265</v>
      </c>
      <c r="AZ195" s="26" t="s">
        <v>1248</v>
      </c>
      <c r="BA195" s="24" t="s">
        <v>1266</v>
      </c>
    </row>
    <row r="196" spans="1:53" ht="7.35" customHeight="1" x14ac:dyDescent="0.25">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1418</v>
      </c>
      <c r="P196" s="39" t="s">
        <v>177</v>
      </c>
      <c r="Q196" s="37" t="s">
        <v>675</v>
      </c>
      <c r="R196" s="39" t="s">
        <v>355</v>
      </c>
      <c r="S196" s="37" t="s">
        <v>676</v>
      </c>
      <c r="T196" s="39" t="s">
        <v>1261</v>
      </c>
      <c r="U196" s="42">
        <v>50</v>
      </c>
      <c r="V196" s="58" t="s">
        <v>1262</v>
      </c>
      <c r="W196" s="46">
        <v>5</v>
      </c>
      <c r="X196" s="58" t="s">
        <v>1263</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1230</v>
      </c>
      <c r="AW196" s="34" t="s">
        <v>1264</v>
      </c>
      <c r="AX196" s="26" t="s">
        <v>1231</v>
      </c>
      <c r="AY196" s="31" t="s">
        <v>1265</v>
      </c>
      <c r="AZ196" s="26" t="s">
        <v>1248</v>
      </c>
      <c r="BA196" s="24" t="s">
        <v>1266</v>
      </c>
    </row>
    <row r="197" spans="1:53" ht="7.35" customHeight="1" x14ac:dyDescent="0.25">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1418</v>
      </c>
      <c r="P197" s="39" t="s">
        <v>177</v>
      </c>
      <c r="Q197" s="37" t="s">
        <v>213</v>
      </c>
      <c r="R197" s="39" t="s">
        <v>355</v>
      </c>
      <c r="S197" s="37" t="s">
        <v>676</v>
      </c>
      <c r="T197" s="39" t="s">
        <v>1261</v>
      </c>
      <c r="U197" s="42">
        <v>50</v>
      </c>
      <c r="V197" s="58" t="s">
        <v>1262</v>
      </c>
      <c r="W197" s="46">
        <v>5</v>
      </c>
      <c r="X197" s="58" t="s">
        <v>1263</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1230</v>
      </c>
      <c r="AW197" s="34" t="s">
        <v>1264</v>
      </c>
      <c r="AX197" s="26" t="s">
        <v>1231</v>
      </c>
      <c r="AY197" s="31" t="s">
        <v>1265</v>
      </c>
      <c r="AZ197" s="26" t="s">
        <v>1248</v>
      </c>
      <c r="BA197" s="24" t="s">
        <v>1266</v>
      </c>
    </row>
    <row r="198" spans="1:53" ht="7.35" customHeight="1" x14ac:dyDescent="0.25">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1418</v>
      </c>
      <c r="P198" s="39" t="s">
        <v>177</v>
      </c>
      <c r="Q198" s="37" t="s">
        <v>214</v>
      </c>
      <c r="R198" s="39" t="s">
        <v>355</v>
      </c>
      <c r="S198" s="37" t="s">
        <v>676</v>
      </c>
      <c r="T198" s="39" t="s">
        <v>1261</v>
      </c>
      <c r="U198" s="42">
        <v>50</v>
      </c>
      <c r="V198" s="58" t="s">
        <v>1262</v>
      </c>
      <c r="W198" s="46">
        <v>5</v>
      </c>
      <c r="X198" s="58" t="s">
        <v>1263</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1230</v>
      </c>
      <c r="AW198" s="34" t="s">
        <v>1264</v>
      </c>
      <c r="AX198" s="26" t="s">
        <v>1231</v>
      </c>
      <c r="AY198" s="31" t="s">
        <v>1265</v>
      </c>
      <c r="AZ198" s="26" t="s">
        <v>1248</v>
      </c>
      <c r="BA198" s="24" t="s">
        <v>1266</v>
      </c>
    </row>
    <row r="199" spans="1:53" ht="7.35" customHeight="1" x14ac:dyDescent="0.25">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1418</v>
      </c>
      <c r="P199" s="39" t="s">
        <v>177</v>
      </c>
      <c r="Q199" s="37" t="s">
        <v>589</v>
      </c>
      <c r="R199" s="39" t="s">
        <v>355</v>
      </c>
      <c r="S199" s="37" t="s">
        <v>676</v>
      </c>
      <c r="T199" s="39" t="s">
        <v>1261</v>
      </c>
      <c r="U199" s="42">
        <v>50</v>
      </c>
      <c r="V199" s="58" t="s">
        <v>1262</v>
      </c>
      <c r="W199" s="46">
        <v>5</v>
      </c>
      <c r="X199" s="58" t="s">
        <v>1263</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1230</v>
      </c>
      <c r="AW199" s="34" t="s">
        <v>1264</v>
      </c>
      <c r="AX199" s="26" t="s">
        <v>1231</v>
      </c>
      <c r="AY199" s="31" t="s">
        <v>1265</v>
      </c>
      <c r="AZ199" s="26" t="s">
        <v>1248</v>
      </c>
      <c r="BA199" s="24" t="s">
        <v>1266</v>
      </c>
    </row>
    <row r="200" spans="1:53" ht="7.35" customHeight="1" x14ac:dyDescent="0.25">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1418</v>
      </c>
      <c r="P200" s="39" t="s">
        <v>177</v>
      </c>
      <c r="Q200" s="37" t="s">
        <v>215</v>
      </c>
      <c r="R200" s="39" t="s">
        <v>355</v>
      </c>
      <c r="S200" s="37" t="s">
        <v>676</v>
      </c>
      <c r="T200" s="39" t="s">
        <v>1261</v>
      </c>
      <c r="U200" s="42">
        <v>100</v>
      </c>
      <c r="V200" s="58" t="s">
        <v>1262</v>
      </c>
      <c r="W200" s="46">
        <v>6</v>
      </c>
      <c r="X200" s="58" t="s">
        <v>1263</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1230</v>
      </c>
      <c r="AW200" s="34" t="s">
        <v>1264</v>
      </c>
      <c r="AX200" s="26" t="s">
        <v>1231</v>
      </c>
      <c r="AY200" s="31" t="s">
        <v>1265</v>
      </c>
      <c r="AZ200" s="26" t="s">
        <v>1248</v>
      </c>
      <c r="BA200" s="24" t="s">
        <v>1266</v>
      </c>
    </row>
    <row r="201" spans="1:53" ht="7.35" customHeight="1" x14ac:dyDescent="0.25">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1418</v>
      </c>
      <c r="P201" s="39" t="s">
        <v>177</v>
      </c>
      <c r="Q201" s="37" t="s">
        <v>664</v>
      </c>
      <c r="R201" s="39" t="s">
        <v>355</v>
      </c>
      <c r="S201" s="37" t="s">
        <v>676</v>
      </c>
      <c r="T201" s="39" t="s">
        <v>1261</v>
      </c>
      <c r="U201" s="42">
        <v>50</v>
      </c>
      <c r="V201" s="58" t="s">
        <v>1262</v>
      </c>
      <c r="W201" s="46">
        <v>5</v>
      </c>
      <c r="X201" s="58" t="s">
        <v>1263</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1230</v>
      </c>
      <c r="AW201" s="34" t="s">
        <v>1264</v>
      </c>
      <c r="AX201" s="26" t="s">
        <v>1231</v>
      </c>
      <c r="AY201" s="31" t="s">
        <v>1265</v>
      </c>
      <c r="AZ201" s="26" t="s">
        <v>1248</v>
      </c>
      <c r="BA201" s="24" t="s">
        <v>1266</v>
      </c>
    </row>
    <row r="202" spans="1:53" ht="7.35" customHeight="1" x14ac:dyDescent="0.25">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1418</v>
      </c>
      <c r="P202" s="39" t="s">
        <v>177</v>
      </c>
      <c r="Q202" s="37" t="s">
        <v>590</v>
      </c>
      <c r="R202" s="39" t="s">
        <v>355</v>
      </c>
      <c r="S202" s="37" t="s">
        <v>676</v>
      </c>
      <c r="T202" s="39" t="s">
        <v>1261</v>
      </c>
      <c r="U202" s="42">
        <v>100</v>
      </c>
      <c r="V202" s="58" t="s">
        <v>1262</v>
      </c>
      <c r="W202" s="46">
        <v>8</v>
      </c>
      <c r="X202" s="58" t="s">
        <v>1263</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1230</v>
      </c>
      <c r="AW202" s="34" t="s">
        <v>1264</v>
      </c>
      <c r="AX202" s="26" t="s">
        <v>1231</v>
      </c>
      <c r="AY202" s="31" t="s">
        <v>1265</v>
      </c>
      <c r="AZ202" s="26" t="s">
        <v>1248</v>
      </c>
      <c r="BA202" s="24" t="s">
        <v>1266</v>
      </c>
    </row>
    <row r="203" spans="1:53" ht="7.35" customHeight="1" x14ac:dyDescent="0.25">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1418</v>
      </c>
      <c r="P203" s="39" t="s">
        <v>177</v>
      </c>
      <c r="Q203" s="37" t="s">
        <v>216</v>
      </c>
      <c r="R203" s="39" t="s">
        <v>355</v>
      </c>
      <c r="S203" s="37" t="s">
        <v>676</v>
      </c>
      <c r="T203" s="39" t="s">
        <v>1261</v>
      </c>
      <c r="U203" s="42">
        <v>200</v>
      </c>
      <c r="V203" s="58" t="s">
        <v>1262</v>
      </c>
      <c r="W203" s="46">
        <v>10</v>
      </c>
      <c r="X203" s="58" t="s">
        <v>1263</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1230</v>
      </c>
      <c r="AW203" s="34" t="s">
        <v>1264</v>
      </c>
      <c r="AX203" s="26" t="s">
        <v>1231</v>
      </c>
      <c r="AY203" s="31" t="s">
        <v>1265</v>
      </c>
      <c r="AZ203" s="26" t="s">
        <v>1248</v>
      </c>
      <c r="BA203" s="24" t="s">
        <v>1266</v>
      </c>
    </row>
    <row r="204" spans="1:53" ht="7.35" customHeight="1" x14ac:dyDescent="0.25">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1418</v>
      </c>
      <c r="P204" s="39" t="s">
        <v>177</v>
      </c>
      <c r="Q204" s="37" t="s">
        <v>217</v>
      </c>
      <c r="R204" s="39" t="s">
        <v>355</v>
      </c>
      <c r="S204" s="37" t="s">
        <v>676</v>
      </c>
      <c r="T204" s="39" t="s">
        <v>1261</v>
      </c>
      <c r="U204" s="42">
        <v>80</v>
      </c>
      <c r="V204" s="58" t="s">
        <v>1262</v>
      </c>
      <c r="W204" s="46">
        <v>0</v>
      </c>
      <c r="X204" s="58" t="s">
        <v>1263</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1230</v>
      </c>
      <c r="AW204" s="34" t="s">
        <v>1264</v>
      </c>
      <c r="AX204" s="26" t="s">
        <v>1231</v>
      </c>
      <c r="AY204" s="31" t="s">
        <v>1265</v>
      </c>
      <c r="AZ204" s="26" t="s">
        <v>1248</v>
      </c>
      <c r="BA204" s="24" t="s">
        <v>1266</v>
      </c>
    </row>
    <row r="205" spans="1:53" ht="7.35" customHeight="1" x14ac:dyDescent="0.25">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1418</v>
      </c>
      <c r="P205" s="39" t="s">
        <v>177</v>
      </c>
      <c r="Q205" s="37" t="s">
        <v>254</v>
      </c>
      <c r="R205" s="39" t="s">
        <v>355</v>
      </c>
      <c r="S205" s="37" t="s">
        <v>676</v>
      </c>
      <c r="T205" s="39" t="s">
        <v>1261</v>
      </c>
      <c r="U205" s="42">
        <v>50</v>
      </c>
      <c r="V205" s="58" t="s">
        <v>1262</v>
      </c>
      <c r="W205" s="46">
        <v>5</v>
      </c>
      <c r="X205" s="58" t="s">
        <v>1263</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1230</v>
      </c>
      <c r="AW205" s="34" t="s">
        <v>1264</v>
      </c>
      <c r="AX205" s="26" t="s">
        <v>1231</v>
      </c>
      <c r="AY205" s="31" t="s">
        <v>1265</v>
      </c>
      <c r="AZ205" s="26" t="s">
        <v>1248</v>
      </c>
      <c r="BA205" s="24" t="s">
        <v>1266</v>
      </c>
    </row>
    <row r="206" spans="1:53" ht="7.35" customHeight="1" x14ac:dyDescent="0.25">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1418</v>
      </c>
      <c r="P206" s="39" t="s">
        <v>177</v>
      </c>
      <c r="Q206" s="37" t="s">
        <v>219</v>
      </c>
      <c r="R206" s="39" t="s">
        <v>355</v>
      </c>
      <c r="S206" s="37" t="s">
        <v>676</v>
      </c>
      <c r="T206" s="39" t="s">
        <v>1261</v>
      </c>
      <c r="U206" s="42">
        <v>50</v>
      </c>
      <c r="V206" s="58" t="s">
        <v>1262</v>
      </c>
      <c r="W206" s="46">
        <v>5</v>
      </c>
      <c r="X206" s="58" t="s">
        <v>1263</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1230</v>
      </c>
      <c r="AW206" s="34" t="s">
        <v>1264</v>
      </c>
      <c r="AX206" s="26" t="s">
        <v>1231</v>
      </c>
      <c r="AY206" s="31" t="s">
        <v>1265</v>
      </c>
      <c r="AZ206" s="26" t="s">
        <v>1248</v>
      </c>
      <c r="BA206" s="24" t="s">
        <v>1266</v>
      </c>
    </row>
    <row r="207" spans="1:53" ht="7.35" customHeight="1" x14ac:dyDescent="0.25">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1418</v>
      </c>
      <c r="P207" s="39" t="s">
        <v>177</v>
      </c>
      <c r="Q207" s="37" t="s">
        <v>220</v>
      </c>
      <c r="R207" s="39" t="s">
        <v>355</v>
      </c>
      <c r="S207" s="37" t="s">
        <v>676</v>
      </c>
      <c r="T207" s="39" t="s">
        <v>1261</v>
      </c>
      <c r="U207" s="42">
        <v>30</v>
      </c>
      <c r="V207" s="58" t="s">
        <v>1262</v>
      </c>
      <c r="W207" s="46">
        <v>3</v>
      </c>
      <c r="X207" s="58" t="s">
        <v>1263</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1230</v>
      </c>
      <c r="AW207" s="34" t="s">
        <v>1264</v>
      </c>
      <c r="AX207" s="26" t="s">
        <v>1231</v>
      </c>
      <c r="AY207" s="31" t="s">
        <v>1265</v>
      </c>
      <c r="AZ207" s="26" t="s">
        <v>1248</v>
      </c>
      <c r="BA207" s="24" t="s">
        <v>1266</v>
      </c>
    </row>
    <row r="208" spans="1:53" ht="7.35" customHeight="1" x14ac:dyDescent="0.25">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1418</v>
      </c>
      <c r="P208" s="39" t="s">
        <v>177</v>
      </c>
      <c r="Q208" s="37" t="s">
        <v>591</v>
      </c>
      <c r="R208" s="39" t="s">
        <v>355</v>
      </c>
      <c r="S208" s="37" t="s">
        <v>415</v>
      </c>
      <c r="T208" s="39" t="s">
        <v>1261</v>
      </c>
      <c r="U208" s="42">
        <v>0</v>
      </c>
      <c r="V208" s="58" t="s">
        <v>1262</v>
      </c>
      <c r="W208" s="46">
        <v>2</v>
      </c>
      <c r="X208" s="58" t="s">
        <v>1263</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1230</v>
      </c>
      <c r="AW208" s="34" t="s">
        <v>1264</v>
      </c>
      <c r="AX208" s="26" t="s">
        <v>1231</v>
      </c>
      <c r="AY208" s="31" t="s">
        <v>1265</v>
      </c>
      <c r="AZ208" s="26" t="s">
        <v>1248</v>
      </c>
      <c r="BA208" s="24" t="s">
        <v>1266</v>
      </c>
    </row>
    <row r="209" spans="1:53" ht="7.35" customHeight="1" x14ac:dyDescent="0.25">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1418</v>
      </c>
      <c r="P209" s="39" t="s">
        <v>177</v>
      </c>
      <c r="Q209" s="37" t="s">
        <v>647</v>
      </c>
      <c r="R209" s="39" t="s">
        <v>355</v>
      </c>
      <c r="S209" s="37" t="s">
        <v>416</v>
      </c>
      <c r="T209" s="39" t="s">
        <v>1261</v>
      </c>
      <c r="U209" s="42">
        <v>0</v>
      </c>
      <c r="V209" s="58" t="s">
        <v>1262</v>
      </c>
      <c r="W209" s="46">
        <v>0</v>
      </c>
      <c r="X209" s="58" t="s">
        <v>1263</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1230</v>
      </c>
      <c r="AW209" s="34" t="s">
        <v>1264</v>
      </c>
      <c r="AX209" s="26" t="s">
        <v>1231</v>
      </c>
      <c r="AY209" s="31" t="s">
        <v>1265</v>
      </c>
      <c r="AZ209" s="26" t="s">
        <v>1248</v>
      </c>
      <c r="BA209" s="24" t="s">
        <v>1266</v>
      </c>
    </row>
    <row r="210" spans="1:53" ht="7.35" customHeight="1" x14ac:dyDescent="0.25">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1418</v>
      </c>
      <c r="P210" s="39" t="s">
        <v>177</v>
      </c>
      <c r="Q210" s="37" t="s">
        <v>221</v>
      </c>
      <c r="R210" s="39" t="s">
        <v>355</v>
      </c>
      <c r="S210" s="37" t="s">
        <v>676</v>
      </c>
      <c r="T210" s="39" t="s">
        <v>1261</v>
      </c>
      <c r="U210" s="42">
        <v>100</v>
      </c>
      <c r="V210" s="58" t="s">
        <v>1262</v>
      </c>
      <c r="W210" s="46">
        <v>6</v>
      </c>
      <c r="X210" s="58" t="s">
        <v>1263</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1230</v>
      </c>
      <c r="AW210" s="34" t="s">
        <v>1264</v>
      </c>
      <c r="AX210" s="26" t="s">
        <v>1231</v>
      </c>
      <c r="AY210" s="31" t="s">
        <v>1265</v>
      </c>
      <c r="AZ210" s="26" t="s">
        <v>1248</v>
      </c>
      <c r="BA210" s="24" t="s">
        <v>1266</v>
      </c>
    </row>
    <row r="211" spans="1:53" ht="7.35" customHeight="1" x14ac:dyDescent="0.25">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1418</v>
      </c>
      <c r="P211" s="39" t="s">
        <v>177</v>
      </c>
      <c r="Q211" s="37" t="s">
        <v>655</v>
      </c>
      <c r="R211" s="39" t="s">
        <v>355</v>
      </c>
      <c r="S211" s="37" t="s">
        <v>676</v>
      </c>
      <c r="T211" s="39" t="s">
        <v>1261</v>
      </c>
      <c r="U211" s="42">
        <v>40</v>
      </c>
      <c r="V211" s="58" t="s">
        <v>1262</v>
      </c>
      <c r="W211" s="46">
        <v>4</v>
      </c>
      <c r="X211" s="58" t="s">
        <v>1263</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1230</v>
      </c>
      <c r="AW211" s="34" t="s">
        <v>1264</v>
      </c>
      <c r="AX211" s="26" t="s">
        <v>1231</v>
      </c>
      <c r="AY211" s="31" t="s">
        <v>1265</v>
      </c>
      <c r="AZ211" s="26" t="s">
        <v>1248</v>
      </c>
      <c r="BA211" s="24" t="s">
        <v>1266</v>
      </c>
    </row>
    <row r="212" spans="1:53" ht="7.35" customHeight="1" x14ac:dyDescent="0.25">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1418</v>
      </c>
      <c r="P212" s="39" t="s">
        <v>177</v>
      </c>
      <c r="Q212" s="37" t="s">
        <v>222</v>
      </c>
      <c r="R212" s="39" t="s">
        <v>355</v>
      </c>
      <c r="S212" s="37" t="s">
        <v>676</v>
      </c>
      <c r="T212" s="39" t="s">
        <v>1261</v>
      </c>
      <c r="U212" s="42">
        <v>0</v>
      </c>
      <c r="V212" s="58" t="s">
        <v>1262</v>
      </c>
      <c r="W212" s="46">
        <v>3</v>
      </c>
      <c r="X212" s="58" t="s">
        <v>1263</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1230</v>
      </c>
      <c r="AW212" s="34" t="s">
        <v>1264</v>
      </c>
      <c r="AX212" s="26" t="s">
        <v>1231</v>
      </c>
      <c r="AY212" s="31" t="s">
        <v>1265</v>
      </c>
      <c r="AZ212" s="26" t="s">
        <v>1248</v>
      </c>
      <c r="BA212" s="24" t="s">
        <v>1266</v>
      </c>
    </row>
    <row r="213" spans="1:53" ht="7.35" customHeight="1" x14ac:dyDescent="0.25">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1418</v>
      </c>
      <c r="P213" s="39" t="s">
        <v>177</v>
      </c>
      <c r="Q213" s="37" t="s">
        <v>249</v>
      </c>
      <c r="R213" s="39" t="s">
        <v>355</v>
      </c>
      <c r="S213" s="37" t="s">
        <v>415</v>
      </c>
      <c r="T213" s="39" t="s">
        <v>1261</v>
      </c>
      <c r="U213" s="42">
        <v>20</v>
      </c>
      <c r="V213" s="58" t="s">
        <v>1262</v>
      </c>
      <c r="W213" s="46">
        <v>2</v>
      </c>
      <c r="X213" s="58" t="s">
        <v>1263</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1230</v>
      </c>
      <c r="AW213" s="34" t="s">
        <v>1264</v>
      </c>
      <c r="AX213" s="26" t="s">
        <v>1231</v>
      </c>
      <c r="AY213" s="31" t="s">
        <v>1265</v>
      </c>
      <c r="AZ213" s="26" t="s">
        <v>1248</v>
      </c>
      <c r="BA213" s="24" t="s">
        <v>1266</v>
      </c>
    </row>
    <row r="214" spans="1:53" ht="7.35" customHeight="1" x14ac:dyDescent="0.25">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1418</v>
      </c>
      <c r="P214" s="39" t="s">
        <v>177</v>
      </c>
      <c r="Q214" s="37" t="s">
        <v>656</v>
      </c>
      <c r="R214" s="39" t="s">
        <v>355</v>
      </c>
      <c r="S214" s="37" t="s">
        <v>676</v>
      </c>
      <c r="T214" s="39" t="s">
        <v>1261</v>
      </c>
      <c r="U214" s="42">
        <v>40</v>
      </c>
      <c r="V214" s="58" t="s">
        <v>1262</v>
      </c>
      <c r="W214" s="46">
        <v>4</v>
      </c>
      <c r="X214" s="58" t="s">
        <v>1263</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1230</v>
      </c>
      <c r="AW214" s="34" t="s">
        <v>1264</v>
      </c>
      <c r="AX214" s="26" t="s">
        <v>1231</v>
      </c>
      <c r="AY214" s="31" t="s">
        <v>1265</v>
      </c>
      <c r="AZ214" s="26" t="s">
        <v>1248</v>
      </c>
      <c r="BA214" s="24" t="s">
        <v>1266</v>
      </c>
    </row>
    <row r="215" spans="1:53" ht="7.35" customHeight="1" x14ac:dyDescent="0.25">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1418</v>
      </c>
      <c r="P215" s="39" t="s">
        <v>177</v>
      </c>
      <c r="Q215" s="37" t="s">
        <v>223</v>
      </c>
      <c r="R215" s="39" t="s">
        <v>355</v>
      </c>
      <c r="S215" s="37" t="s">
        <v>415</v>
      </c>
      <c r="T215" s="39" t="s">
        <v>1261</v>
      </c>
      <c r="U215" s="42">
        <v>0</v>
      </c>
      <c r="V215" s="58" t="s">
        <v>1262</v>
      </c>
      <c r="W215" s="46">
        <v>2</v>
      </c>
      <c r="X215" s="58" t="s">
        <v>1263</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1230</v>
      </c>
      <c r="AW215" s="34" t="s">
        <v>1264</v>
      </c>
      <c r="AX215" s="26" t="s">
        <v>1231</v>
      </c>
      <c r="AY215" s="31" t="s">
        <v>1265</v>
      </c>
      <c r="AZ215" s="26" t="s">
        <v>1248</v>
      </c>
      <c r="BA215" s="24" t="s">
        <v>1266</v>
      </c>
    </row>
    <row r="216" spans="1:53" ht="7.35" customHeight="1" x14ac:dyDescent="0.25">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1418</v>
      </c>
      <c r="P216" s="39" t="s">
        <v>177</v>
      </c>
      <c r="Q216" s="37" t="s">
        <v>834</v>
      </c>
      <c r="R216" s="39" t="s">
        <v>355</v>
      </c>
      <c r="S216" s="37" t="s">
        <v>676</v>
      </c>
      <c r="T216" s="39" t="s">
        <v>1261</v>
      </c>
      <c r="U216" s="42">
        <v>40</v>
      </c>
      <c r="V216" s="58" t="s">
        <v>1262</v>
      </c>
      <c r="W216" s="46">
        <v>4</v>
      </c>
      <c r="X216" s="58" t="s">
        <v>1263</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1230</v>
      </c>
      <c r="AW216" s="34" t="s">
        <v>1264</v>
      </c>
      <c r="AX216" s="26" t="s">
        <v>1231</v>
      </c>
      <c r="AY216" s="31" t="s">
        <v>1265</v>
      </c>
      <c r="AZ216" s="26" t="s">
        <v>1248</v>
      </c>
      <c r="BA216" s="24" t="s">
        <v>1266</v>
      </c>
    </row>
    <row r="217" spans="1:53" ht="7.35" customHeight="1" x14ac:dyDescent="0.25">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1418</v>
      </c>
      <c r="P217" s="39" t="s">
        <v>177</v>
      </c>
      <c r="Q217" s="37" t="s">
        <v>224</v>
      </c>
      <c r="R217" s="39" t="s">
        <v>355</v>
      </c>
      <c r="S217" s="37" t="s">
        <v>676</v>
      </c>
      <c r="T217" s="39" t="s">
        <v>1261</v>
      </c>
      <c r="U217" s="42">
        <v>60</v>
      </c>
      <c r="V217" s="58" t="s">
        <v>1262</v>
      </c>
      <c r="W217" s="46">
        <v>5</v>
      </c>
      <c r="X217" s="58" t="s">
        <v>1263</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1230</v>
      </c>
      <c r="AW217" s="34" t="s">
        <v>1264</v>
      </c>
      <c r="AX217" s="26" t="s">
        <v>1231</v>
      </c>
      <c r="AY217" s="31" t="s">
        <v>1265</v>
      </c>
      <c r="AZ217" s="26" t="s">
        <v>1248</v>
      </c>
      <c r="BA217" s="24" t="s">
        <v>1266</v>
      </c>
    </row>
    <row r="218" spans="1:53" ht="7.35" customHeight="1" x14ac:dyDescent="0.25">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1418</v>
      </c>
      <c r="P218" s="39" t="s">
        <v>177</v>
      </c>
      <c r="Q218" s="37" t="s">
        <v>427</v>
      </c>
      <c r="R218" s="39" t="s">
        <v>355</v>
      </c>
      <c r="S218" s="37" t="s">
        <v>676</v>
      </c>
      <c r="T218" s="39" t="s">
        <v>1261</v>
      </c>
      <c r="U218" s="42">
        <v>50</v>
      </c>
      <c r="V218" s="58" t="s">
        <v>1262</v>
      </c>
      <c r="W218" s="46">
        <v>5</v>
      </c>
      <c r="X218" s="58" t="s">
        <v>1263</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1230</v>
      </c>
      <c r="AW218" s="34" t="s">
        <v>1264</v>
      </c>
      <c r="AX218" s="26" t="s">
        <v>1231</v>
      </c>
      <c r="AY218" s="31" t="s">
        <v>1265</v>
      </c>
      <c r="AZ218" s="26" t="s">
        <v>1248</v>
      </c>
      <c r="BA218" s="24" t="s">
        <v>1266</v>
      </c>
    </row>
    <row r="219" spans="1:53" ht="7.35" customHeight="1" x14ac:dyDescent="0.25">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1418</v>
      </c>
      <c r="P219" s="39" t="s">
        <v>177</v>
      </c>
      <c r="Q219" s="37" t="s">
        <v>225</v>
      </c>
      <c r="R219" s="39" t="s">
        <v>355</v>
      </c>
      <c r="S219" s="37" t="s">
        <v>676</v>
      </c>
      <c r="T219" s="39" t="s">
        <v>1261</v>
      </c>
      <c r="U219" s="42">
        <v>60</v>
      </c>
      <c r="V219" s="58" t="s">
        <v>1262</v>
      </c>
      <c r="W219" s="46">
        <v>6</v>
      </c>
      <c r="X219" s="58" t="s">
        <v>1263</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1230</v>
      </c>
      <c r="AW219" s="34" t="s">
        <v>1264</v>
      </c>
      <c r="AX219" s="26" t="s">
        <v>1231</v>
      </c>
      <c r="AY219" s="31" t="s">
        <v>1265</v>
      </c>
      <c r="AZ219" s="26" t="s">
        <v>1248</v>
      </c>
      <c r="BA219" s="24" t="s">
        <v>1266</v>
      </c>
    </row>
    <row r="220" spans="1:53" ht="7.35" customHeight="1" x14ac:dyDescent="0.25">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1418</v>
      </c>
      <c r="P220" s="39" t="s">
        <v>177</v>
      </c>
      <c r="Q220" s="37" t="s">
        <v>226</v>
      </c>
      <c r="R220" s="39" t="s">
        <v>355</v>
      </c>
      <c r="S220" s="37" t="s">
        <v>575</v>
      </c>
      <c r="T220" s="39" t="s">
        <v>1261</v>
      </c>
      <c r="U220" s="42">
        <v>0</v>
      </c>
      <c r="V220" s="58" t="s">
        <v>1262</v>
      </c>
      <c r="W220" s="46">
        <v>4</v>
      </c>
      <c r="X220" s="58" t="s">
        <v>1263</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1230</v>
      </c>
      <c r="AW220" s="34" t="s">
        <v>1264</v>
      </c>
      <c r="AX220" s="26" t="s">
        <v>1231</v>
      </c>
      <c r="AY220" s="31" t="s">
        <v>1265</v>
      </c>
      <c r="AZ220" s="26" t="s">
        <v>1248</v>
      </c>
      <c r="BA220" s="24" t="s">
        <v>1266</v>
      </c>
    </row>
    <row r="221" spans="1:53" ht="7.35" customHeight="1" x14ac:dyDescent="0.25">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1418</v>
      </c>
      <c r="P221" s="39" t="s">
        <v>177</v>
      </c>
      <c r="Q221" s="37" t="s">
        <v>573</v>
      </c>
      <c r="R221" s="39" t="s">
        <v>355</v>
      </c>
      <c r="S221" s="37" t="s">
        <v>575</v>
      </c>
      <c r="T221" s="39" t="s">
        <v>1261</v>
      </c>
      <c r="U221" s="42">
        <v>0</v>
      </c>
      <c r="V221" s="58" t="s">
        <v>1262</v>
      </c>
      <c r="W221" s="46">
        <v>2</v>
      </c>
      <c r="X221" s="58" t="s">
        <v>1263</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1230</v>
      </c>
      <c r="AW221" s="34" t="s">
        <v>1264</v>
      </c>
      <c r="AX221" s="26" t="s">
        <v>1231</v>
      </c>
      <c r="AY221" s="31" t="s">
        <v>1265</v>
      </c>
      <c r="AZ221" s="26" t="s">
        <v>1248</v>
      </c>
      <c r="BA221" s="24" t="s">
        <v>1266</v>
      </c>
    </row>
    <row r="222" spans="1:53" ht="7.35" customHeight="1" x14ac:dyDescent="0.25">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1418</v>
      </c>
      <c r="P222" s="39" t="s">
        <v>177</v>
      </c>
      <c r="Q222" s="37" t="s">
        <v>227</v>
      </c>
      <c r="R222" s="39" t="s">
        <v>355</v>
      </c>
      <c r="S222" s="37" t="s">
        <v>575</v>
      </c>
      <c r="T222" s="39" t="s">
        <v>1261</v>
      </c>
      <c r="U222" s="42">
        <v>50</v>
      </c>
      <c r="V222" s="58" t="s">
        <v>1262</v>
      </c>
      <c r="W222" s="46">
        <v>5</v>
      </c>
      <c r="X222" s="58" t="s">
        <v>1263</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1247</v>
      </c>
      <c r="AP222" s="40" t="s">
        <v>581</v>
      </c>
      <c r="AQ222" s="46" t="s">
        <v>680</v>
      </c>
      <c r="AR222" s="40" t="s">
        <v>181</v>
      </c>
      <c r="AS222" s="37" t="s">
        <v>274</v>
      </c>
      <c r="AT222" s="40" t="s">
        <v>176</v>
      </c>
      <c r="AU222" s="49" t="s">
        <v>273</v>
      </c>
      <c r="AV222" s="26" t="s">
        <v>1230</v>
      </c>
      <c r="AW222" s="34" t="s">
        <v>1264</v>
      </c>
      <c r="AX222" s="26" t="s">
        <v>1231</v>
      </c>
      <c r="AY222" s="31" t="s">
        <v>1265</v>
      </c>
      <c r="AZ222" s="26" t="s">
        <v>1248</v>
      </c>
      <c r="BA222" s="24" t="s">
        <v>1266</v>
      </c>
    </row>
    <row r="223" spans="1:53" ht="7.35" customHeight="1" x14ac:dyDescent="0.25">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1418</v>
      </c>
      <c r="P223" s="39" t="s">
        <v>177</v>
      </c>
      <c r="Q223" s="37" t="s">
        <v>229</v>
      </c>
      <c r="R223" s="39" t="s">
        <v>355</v>
      </c>
      <c r="S223" s="37" t="s">
        <v>575</v>
      </c>
      <c r="T223" s="39" t="s">
        <v>1261</v>
      </c>
      <c r="U223" s="42">
        <v>0</v>
      </c>
      <c r="V223" s="58" t="s">
        <v>1262</v>
      </c>
      <c r="W223" s="46">
        <v>2</v>
      </c>
      <c r="X223" s="58" t="s">
        <v>1263</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1230</v>
      </c>
      <c r="AW223" s="34" t="s">
        <v>1264</v>
      </c>
      <c r="AX223" s="26" t="s">
        <v>1231</v>
      </c>
      <c r="AY223" s="31" t="s">
        <v>1265</v>
      </c>
      <c r="AZ223" s="26" t="s">
        <v>1248</v>
      </c>
      <c r="BA223" s="24" t="s">
        <v>1266</v>
      </c>
    </row>
    <row r="224" spans="1:53" ht="7.35" customHeight="1" x14ac:dyDescent="0.25">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1418</v>
      </c>
      <c r="P224" s="39" t="s">
        <v>177</v>
      </c>
      <c r="Q224" s="37" t="s">
        <v>572</v>
      </c>
      <c r="R224" s="39" t="s">
        <v>355</v>
      </c>
      <c r="S224" s="37" t="s">
        <v>575</v>
      </c>
      <c r="T224" s="39" t="s">
        <v>1261</v>
      </c>
      <c r="U224" s="42">
        <v>40</v>
      </c>
      <c r="V224" s="58" t="s">
        <v>1262</v>
      </c>
      <c r="W224" s="46">
        <v>4</v>
      </c>
      <c r="X224" s="58" t="s">
        <v>1263</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1230</v>
      </c>
      <c r="AW224" s="34" t="s">
        <v>1264</v>
      </c>
      <c r="AX224" s="26" t="s">
        <v>1231</v>
      </c>
      <c r="AY224" s="31" t="s">
        <v>1265</v>
      </c>
      <c r="AZ224" s="26" t="s">
        <v>1248</v>
      </c>
      <c r="BA224" s="24" t="s">
        <v>1266</v>
      </c>
    </row>
    <row r="225" spans="1:53" ht="7.35" customHeight="1" x14ac:dyDescent="0.25">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1418</v>
      </c>
      <c r="P225" s="39" t="s">
        <v>177</v>
      </c>
      <c r="Q225" s="37" t="s">
        <v>228</v>
      </c>
      <c r="R225" s="39" t="s">
        <v>355</v>
      </c>
      <c r="S225" s="37" t="s">
        <v>575</v>
      </c>
      <c r="T225" s="39" t="s">
        <v>1261</v>
      </c>
      <c r="U225" s="42">
        <v>40</v>
      </c>
      <c r="V225" s="58" t="s">
        <v>1262</v>
      </c>
      <c r="W225" s="46">
        <v>4</v>
      </c>
      <c r="X225" s="58" t="s">
        <v>1263</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1230</v>
      </c>
      <c r="AW225" s="34" t="s">
        <v>1264</v>
      </c>
      <c r="AX225" s="26" t="s">
        <v>1231</v>
      </c>
      <c r="AY225" s="31" t="s">
        <v>1265</v>
      </c>
      <c r="AZ225" s="26" t="s">
        <v>1248</v>
      </c>
      <c r="BA225" s="24" t="s">
        <v>1266</v>
      </c>
    </row>
    <row r="226" spans="1:53" ht="7.35" customHeight="1" x14ac:dyDescent="0.25">
      <c r="A226" s="30">
        <v>226</v>
      </c>
      <c r="B226" s="60" t="s">
        <v>1237</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1418</v>
      </c>
      <c r="P226" s="39" t="s">
        <v>177</v>
      </c>
      <c r="Q226" s="37" t="s">
        <v>1234</v>
      </c>
      <c r="R226" s="39" t="s">
        <v>355</v>
      </c>
      <c r="S226" s="37" t="s">
        <v>575</v>
      </c>
      <c r="T226" s="39" t="s">
        <v>1261</v>
      </c>
      <c r="U226" s="42">
        <v>130</v>
      </c>
      <c r="V226" s="58" t="s">
        <v>1262</v>
      </c>
      <c r="W226" s="46">
        <v>3</v>
      </c>
      <c r="X226" s="58" t="s">
        <v>1263</v>
      </c>
      <c r="Y226" s="46">
        <v>5</v>
      </c>
      <c r="Z226" s="81" t="s">
        <v>170</v>
      </c>
      <c r="AA226" s="42">
        <v>20</v>
      </c>
      <c r="AB226" s="82" t="s">
        <v>171</v>
      </c>
      <c r="AC226" s="42">
        <v>30</v>
      </c>
      <c r="AD226" s="41" t="s">
        <v>172</v>
      </c>
      <c r="AE226" s="37" t="s">
        <v>268</v>
      </c>
      <c r="AF226" s="26" t="s">
        <v>173</v>
      </c>
      <c r="AG226" s="42" t="s">
        <v>1236</v>
      </c>
      <c r="AH226" s="59" t="s">
        <v>174</v>
      </c>
      <c r="AI226" s="42" t="s">
        <v>822</v>
      </c>
      <c r="AJ226" s="41" t="s">
        <v>580</v>
      </c>
      <c r="AK226" s="37" t="s">
        <v>799</v>
      </c>
      <c r="AL226" s="59" t="s">
        <v>175</v>
      </c>
      <c r="AM226" s="37" t="s">
        <v>1238</v>
      </c>
      <c r="AN226" s="59" t="s">
        <v>180</v>
      </c>
      <c r="AO226" s="38" t="s">
        <v>1235</v>
      </c>
      <c r="AP226" s="40" t="s">
        <v>581</v>
      </c>
      <c r="AQ226" s="46" t="s">
        <v>1239</v>
      </c>
      <c r="AR226" s="40" t="s">
        <v>181</v>
      </c>
      <c r="AS226" s="37" t="s">
        <v>691</v>
      </c>
      <c r="AT226" s="40" t="s">
        <v>176</v>
      </c>
      <c r="AU226" s="49" t="s">
        <v>273</v>
      </c>
      <c r="AV226" s="26" t="s">
        <v>1230</v>
      </c>
      <c r="AW226" s="34" t="s">
        <v>1264</v>
      </c>
      <c r="AX226" s="26" t="s">
        <v>1231</v>
      </c>
      <c r="AY226" s="31" t="s">
        <v>1265</v>
      </c>
      <c r="AZ226" s="26" t="s">
        <v>1248</v>
      </c>
      <c r="BA226" s="24" t="s">
        <v>1266</v>
      </c>
    </row>
    <row r="227" spans="1:53" ht="7.35" customHeight="1" x14ac:dyDescent="0.25">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1418</v>
      </c>
      <c r="P227" s="39" t="s">
        <v>177</v>
      </c>
      <c r="Q227" s="37" t="s">
        <v>230</v>
      </c>
      <c r="R227" s="39" t="s">
        <v>355</v>
      </c>
      <c r="S227" s="37" t="s">
        <v>676</v>
      </c>
      <c r="T227" s="39" t="s">
        <v>1261</v>
      </c>
      <c r="U227" s="42">
        <v>30</v>
      </c>
      <c r="V227" s="58" t="s">
        <v>1262</v>
      </c>
      <c r="W227" s="46">
        <v>3</v>
      </c>
      <c r="X227" s="58" t="s">
        <v>1263</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1230</v>
      </c>
      <c r="AW227" s="34" t="s">
        <v>1264</v>
      </c>
      <c r="AX227" s="26" t="s">
        <v>1231</v>
      </c>
      <c r="AY227" s="31" t="s">
        <v>1265</v>
      </c>
      <c r="AZ227" s="26" t="s">
        <v>1248</v>
      </c>
      <c r="BA227" s="24" t="s">
        <v>1266</v>
      </c>
    </row>
    <row r="228" spans="1:53" ht="7.35" customHeight="1" x14ac:dyDescent="0.25">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1418</v>
      </c>
      <c r="P228" s="39" t="s">
        <v>177</v>
      </c>
      <c r="Q228" s="37" t="s">
        <v>231</v>
      </c>
      <c r="R228" s="39" t="s">
        <v>355</v>
      </c>
      <c r="S228" s="37" t="s">
        <v>676</v>
      </c>
      <c r="T228" s="39" t="s">
        <v>1261</v>
      </c>
      <c r="U228" s="42">
        <v>50</v>
      </c>
      <c r="V228" s="58" t="s">
        <v>1262</v>
      </c>
      <c r="W228" s="46">
        <v>4</v>
      </c>
      <c r="X228" s="58" t="s">
        <v>1263</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1230</v>
      </c>
      <c r="AW228" s="34" t="s">
        <v>1264</v>
      </c>
      <c r="AX228" s="26" t="s">
        <v>1231</v>
      </c>
      <c r="AY228" s="31" t="s">
        <v>1265</v>
      </c>
      <c r="AZ228" s="26" t="s">
        <v>1248</v>
      </c>
      <c r="BA228" s="24" t="s">
        <v>1266</v>
      </c>
    </row>
    <row r="229" spans="1:53" ht="7.35" customHeight="1" x14ac:dyDescent="0.25">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1418</v>
      </c>
      <c r="P229" s="39" t="s">
        <v>177</v>
      </c>
      <c r="Q229" s="37" t="s">
        <v>592</v>
      </c>
      <c r="R229" s="39" t="s">
        <v>355</v>
      </c>
      <c r="S229" s="37" t="s">
        <v>676</v>
      </c>
      <c r="T229" s="39" t="s">
        <v>1261</v>
      </c>
      <c r="U229" s="42">
        <v>50</v>
      </c>
      <c r="V229" s="58" t="s">
        <v>1262</v>
      </c>
      <c r="W229" s="46">
        <v>5</v>
      </c>
      <c r="X229" s="58" t="s">
        <v>1263</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1230</v>
      </c>
      <c r="AW229" s="34" t="s">
        <v>1264</v>
      </c>
      <c r="AX229" s="26" t="s">
        <v>1231</v>
      </c>
      <c r="AY229" s="31" t="s">
        <v>1265</v>
      </c>
      <c r="AZ229" s="26" t="s">
        <v>1248</v>
      </c>
      <c r="BA229" s="24" t="s">
        <v>1266</v>
      </c>
    </row>
    <row r="230" spans="1:53" ht="7.35" customHeight="1" x14ac:dyDescent="0.25">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1418</v>
      </c>
      <c r="P230" s="39" t="s">
        <v>177</v>
      </c>
      <c r="Q230" s="37" t="s">
        <v>640</v>
      </c>
      <c r="R230" s="39" t="s">
        <v>355</v>
      </c>
      <c r="S230" s="37" t="s">
        <v>676</v>
      </c>
      <c r="T230" s="39" t="s">
        <v>1261</v>
      </c>
      <c r="U230" s="42">
        <v>0</v>
      </c>
      <c r="V230" s="58" t="s">
        <v>1262</v>
      </c>
      <c r="W230" s="46">
        <v>0</v>
      </c>
      <c r="X230" s="58" t="s">
        <v>1263</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1230</v>
      </c>
      <c r="AW230" s="34" t="s">
        <v>1264</v>
      </c>
      <c r="AX230" s="26" t="s">
        <v>1231</v>
      </c>
      <c r="AY230" s="31" t="s">
        <v>1265</v>
      </c>
      <c r="AZ230" s="26" t="s">
        <v>1248</v>
      </c>
      <c r="BA230" s="24" t="s">
        <v>1266</v>
      </c>
    </row>
    <row r="231" spans="1:53" ht="7.35" customHeight="1" x14ac:dyDescent="0.25">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1418</v>
      </c>
      <c r="P231" s="39" t="s">
        <v>177</v>
      </c>
      <c r="Q231" s="37" t="s">
        <v>232</v>
      </c>
      <c r="R231" s="39" t="s">
        <v>355</v>
      </c>
      <c r="S231" s="37" t="s">
        <v>676</v>
      </c>
      <c r="T231" s="39" t="s">
        <v>1261</v>
      </c>
      <c r="U231" s="42">
        <v>50</v>
      </c>
      <c r="V231" s="58" t="s">
        <v>1262</v>
      </c>
      <c r="W231" s="46">
        <v>5</v>
      </c>
      <c r="X231" s="58" t="s">
        <v>1263</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1230</v>
      </c>
      <c r="AW231" s="34" t="s">
        <v>1264</v>
      </c>
      <c r="AX231" s="26" t="s">
        <v>1231</v>
      </c>
      <c r="AY231" s="31" t="s">
        <v>1265</v>
      </c>
      <c r="AZ231" s="26" t="s">
        <v>1248</v>
      </c>
      <c r="BA231" s="24" t="s">
        <v>1266</v>
      </c>
    </row>
    <row r="232" spans="1:53" ht="7.35" customHeight="1" x14ac:dyDescent="0.25">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1418</v>
      </c>
      <c r="P232" s="39" t="s">
        <v>177</v>
      </c>
      <c r="Q232" s="37" t="s">
        <v>588</v>
      </c>
      <c r="R232" s="39" t="s">
        <v>355</v>
      </c>
      <c r="S232" s="37" t="s">
        <v>676</v>
      </c>
      <c r="T232" s="39" t="s">
        <v>1261</v>
      </c>
      <c r="U232" s="42">
        <v>50</v>
      </c>
      <c r="V232" s="58" t="s">
        <v>1262</v>
      </c>
      <c r="W232" s="46">
        <v>4</v>
      </c>
      <c r="X232" s="58" t="s">
        <v>1263</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1230</v>
      </c>
      <c r="AW232" s="34" t="s">
        <v>1264</v>
      </c>
      <c r="AX232" s="26" t="s">
        <v>1231</v>
      </c>
      <c r="AY232" s="31" t="s">
        <v>1265</v>
      </c>
      <c r="AZ232" s="26" t="s">
        <v>1248</v>
      </c>
      <c r="BA232" s="24" t="s">
        <v>1266</v>
      </c>
    </row>
    <row r="233" spans="1:53" ht="7.35" customHeight="1" x14ac:dyDescent="0.25">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1418</v>
      </c>
      <c r="P233" s="39" t="s">
        <v>177</v>
      </c>
      <c r="Q233" s="37" t="s">
        <v>233</v>
      </c>
      <c r="R233" s="39" t="s">
        <v>355</v>
      </c>
      <c r="S233" s="37" t="s">
        <v>676</v>
      </c>
      <c r="T233" s="39" t="s">
        <v>1261</v>
      </c>
      <c r="U233" s="42">
        <v>40</v>
      </c>
      <c r="V233" s="58" t="s">
        <v>1262</v>
      </c>
      <c r="W233" s="46">
        <v>5</v>
      </c>
      <c r="X233" s="58" t="s">
        <v>1263</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1230</v>
      </c>
      <c r="AW233" s="34" t="s">
        <v>1264</v>
      </c>
      <c r="AX233" s="26" t="s">
        <v>1231</v>
      </c>
      <c r="AY233" s="31" t="s">
        <v>1265</v>
      </c>
      <c r="AZ233" s="26" t="s">
        <v>1248</v>
      </c>
      <c r="BA233" s="24" t="s">
        <v>1266</v>
      </c>
    </row>
    <row r="234" spans="1:53" ht="7.35" customHeight="1" x14ac:dyDescent="0.25">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1418</v>
      </c>
      <c r="P234" s="39" t="s">
        <v>177</v>
      </c>
      <c r="Q234" s="37" t="s">
        <v>234</v>
      </c>
      <c r="R234" s="39" t="s">
        <v>355</v>
      </c>
      <c r="S234" s="37" t="s">
        <v>575</v>
      </c>
      <c r="T234" s="39" t="s">
        <v>1261</v>
      </c>
      <c r="U234" s="42">
        <v>30</v>
      </c>
      <c r="V234" s="58" t="s">
        <v>1262</v>
      </c>
      <c r="W234" s="46">
        <v>4</v>
      </c>
      <c r="X234" s="58" t="s">
        <v>1263</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1230</v>
      </c>
      <c r="AW234" s="34" t="s">
        <v>1264</v>
      </c>
      <c r="AX234" s="26" t="s">
        <v>1231</v>
      </c>
      <c r="AY234" s="31" t="s">
        <v>1265</v>
      </c>
      <c r="AZ234" s="26" t="s">
        <v>1248</v>
      </c>
      <c r="BA234" s="24" t="s">
        <v>1266</v>
      </c>
    </row>
    <row r="235" spans="1:53" ht="7.35" customHeight="1" x14ac:dyDescent="0.25">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1418</v>
      </c>
      <c r="P235" s="39" t="s">
        <v>177</v>
      </c>
      <c r="Q235" s="37" t="s">
        <v>237</v>
      </c>
      <c r="R235" s="39" t="s">
        <v>355</v>
      </c>
      <c r="S235" s="37" t="s">
        <v>575</v>
      </c>
      <c r="T235" s="39" t="s">
        <v>1261</v>
      </c>
      <c r="U235" s="42">
        <v>0</v>
      </c>
      <c r="V235" s="58" t="s">
        <v>1262</v>
      </c>
      <c r="W235" s="46">
        <v>0</v>
      </c>
      <c r="X235" s="58" t="s">
        <v>1263</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1230</v>
      </c>
      <c r="AW235" s="34" t="s">
        <v>1264</v>
      </c>
      <c r="AX235" s="26" t="s">
        <v>1231</v>
      </c>
      <c r="AY235" s="31" t="s">
        <v>1265</v>
      </c>
      <c r="AZ235" s="26" t="s">
        <v>1248</v>
      </c>
      <c r="BA235" s="24" t="s">
        <v>1266</v>
      </c>
    </row>
    <row r="236" spans="1:53" ht="7.35" customHeight="1" x14ac:dyDescent="0.25">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1418</v>
      </c>
      <c r="P236" s="39" t="s">
        <v>177</v>
      </c>
      <c r="Q236" s="37" t="s">
        <v>238</v>
      </c>
      <c r="R236" s="39" t="s">
        <v>355</v>
      </c>
      <c r="S236" s="37" t="s">
        <v>676</v>
      </c>
      <c r="T236" s="39" t="s">
        <v>1261</v>
      </c>
      <c r="U236" s="42">
        <v>0</v>
      </c>
      <c r="V236" s="58" t="s">
        <v>1262</v>
      </c>
      <c r="W236" s="46">
        <v>5</v>
      </c>
      <c r="X236" s="58" t="s">
        <v>1263</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1230</v>
      </c>
      <c r="AW236" s="34" t="s">
        <v>1264</v>
      </c>
      <c r="AX236" s="26" t="s">
        <v>1231</v>
      </c>
      <c r="AY236" s="31" t="s">
        <v>1265</v>
      </c>
      <c r="AZ236" s="26" t="s">
        <v>1248</v>
      </c>
      <c r="BA236" s="24" t="s">
        <v>1266</v>
      </c>
    </row>
    <row r="237" spans="1:53" ht="7.35" customHeight="1" x14ac:dyDescent="0.25">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1418</v>
      </c>
      <c r="P237" s="39" t="s">
        <v>177</v>
      </c>
      <c r="Q237" s="37" t="s">
        <v>239</v>
      </c>
      <c r="R237" s="39" t="s">
        <v>355</v>
      </c>
      <c r="S237" s="37" t="s">
        <v>676</v>
      </c>
      <c r="T237" s="39" t="s">
        <v>1261</v>
      </c>
      <c r="U237" s="42">
        <v>50</v>
      </c>
      <c r="V237" s="58" t="s">
        <v>1262</v>
      </c>
      <c r="W237" s="46">
        <v>5</v>
      </c>
      <c r="X237" s="58" t="s">
        <v>1263</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1230</v>
      </c>
      <c r="AW237" s="34" t="s">
        <v>1264</v>
      </c>
      <c r="AX237" s="26" t="s">
        <v>1231</v>
      </c>
      <c r="AY237" s="31" t="s">
        <v>1265</v>
      </c>
      <c r="AZ237" s="26" t="s">
        <v>1248</v>
      </c>
      <c r="BA237" s="24" t="s">
        <v>1266</v>
      </c>
    </row>
    <row r="238" spans="1:53" ht="7.35" customHeight="1" x14ac:dyDescent="0.25">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1418</v>
      </c>
      <c r="P238" s="39" t="s">
        <v>177</v>
      </c>
      <c r="Q238" s="37" t="s">
        <v>650</v>
      </c>
      <c r="R238" s="39" t="s">
        <v>355</v>
      </c>
      <c r="S238" s="37" t="s">
        <v>676</v>
      </c>
      <c r="T238" s="39" t="s">
        <v>1261</v>
      </c>
      <c r="U238" s="42">
        <v>0</v>
      </c>
      <c r="V238" s="58" t="s">
        <v>1262</v>
      </c>
      <c r="W238" s="46">
        <v>3</v>
      </c>
      <c r="X238" s="58" t="s">
        <v>1263</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1230</v>
      </c>
      <c r="AW238" s="34" t="s">
        <v>1264</v>
      </c>
      <c r="AX238" s="26" t="s">
        <v>1231</v>
      </c>
      <c r="AY238" s="31" t="s">
        <v>1265</v>
      </c>
      <c r="AZ238" s="26" t="s">
        <v>1248</v>
      </c>
      <c r="BA238" s="24" t="s">
        <v>1266</v>
      </c>
    </row>
    <row r="239" spans="1:53" ht="7.35" customHeight="1" x14ac:dyDescent="0.25">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1418</v>
      </c>
      <c r="P239" s="39" t="s">
        <v>177</v>
      </c>
      <c r="Q239" s="37" t="s">
        <v>241</v>
      </c>
      <c r="R239" s="39" t="s">
        <v>355</v>
      </c>
      <c r="S239" s="37" t="s">
        <v>676</v>
      </c>
      <c r="T239" s="39" t="s">
        <v>1261</v>
      </c>
      <c r="U239" s="42">
        <v>30</v>
      </c>
      <c r="V239" s="58" t="s">
        <v>1262</v>
      </c>
      <c r="W239" s="46">
        <v>4</v>
      </c>
      <c r="X239" s="58" t="s">
        <v>1263</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1230</v>
      </c>
      <c r="AW239" s="34" t="s">
        <v>1264</v>
      </c>
      <c r="AX239" s="26" t="s">
        <v>1231</v>
      </c>
      <c r="AY239" s="31" t="s">
        <v>1265</v>
      </c>
      <c r="AZ239" s="26" t="s">
        <v>1248</v>
      </c>
      <c r="BA239" s="24" t="s">
        <v>1266</v>
      </c>
    </row>
    <row r="240" spans="1:53" ht="7.35" customHeight="1" x14ac:dyDescent="0.25">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1418</v>
      </c>
      <c r="P240" s="39" t="s">
        <v>177</v>
      </c>
      <c r="Q240" s="37" t="s">
        <v>593</v>
      </c>
      <c r="R240" s="39" t="s">
        <v>355</v>
      </c>
      <c r="S240" s="37" t="s">
        <v>415</v>
      </c>
      <c r="T240" s="39" t="s">
        <v>1261</v>
      </c>
      <c r="U240" s="42">
        <v>0</v>
      </c>
      <c r="V240" s="58" t="s">
        <v>1262</v>
      </c>
      <c r="W240" s="46">
        <v>2</v>
      </c>
      <c r="X240" s="58" t="s">
        <v>1263</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1230</v>
      </c>
      <c r="AW240" s="34" t="s">
        <v>1264</v>
      </c>
      <c r="AX240" s="26" t="s">
        <v>1231</v>
      </c>
      <c r="AY240" s="31" t="s">
        <v>1265</v>
      </c>
      <c r="AZ240" s="26" t="s">
        <v>1248</v>
      </c>
      <c r="BA240" s="24" t="s">
        <v>1266</v>
      </c>
    </row>
    <row r="241" spans="1:53" ht="7.35" customHeight="1" x14ac:dyDescent="0.25">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1418</v>
      </c>
      <c r="P241" s="39" t="s">
        <v>177</v>
      </c>
      <c r="Q241" s="37" t="s">
        <v>242</v>
      </c>
      <c r="R241" s="39" t="s">
        <v>355</v>
      </c>
      <c r="S241" s="37" t="s">
        <v>676</v>
      </c>
      <c r="T241" s="39" t="s">
        <v>1261</v>
      </c>
      <c r="U241" s="42">
        <v>0</v>
      </c>
      <c r="V241" s="58" t="s">
        <v>1262</v>
      </c>
      <c r="W241" s="46">
        <v>0</v>
      </c>
      <c r="X241" s="58" t="s">
        <v>1263</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1230</v>
      </c>
      <c r="AW241" s="34" t="s">
        <v>1264</v>
      </c>
      <c r="AX241" s="26" t="s">
        <v>1231</v>
      </c>
      <c r="AY241" s="31" t="s">
        <v>1265</v>
      </c>
      <c r="AZ241" s="26" t="s">
        <v>1248</v>
      </c>
      <c r="BA241" s="24" t="s">
        <v>1266</v>
      </c>
    </row>
    <row r="242" spans="1:53" ht="7.35" customHeight="1" x14ac:dyDescent="0.25">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1418</v>
      </c>
      <c r="P242" s="39" t="s">
        <v>177</v>
      </c>
      <c r="Q242" s="37" t="s">
        <v>243</v>
      </c>
      <c r="R242" s="39" t="s">
        <v>355</v>
      </c>
      <c r="S242" s="37" t="s">
        <v>676</v>
      </c>
      <c r="T242" s="39" t="s">
        <v>1261</v>
      </c>
      <c r="U242" s="42">
        <v>40</v>
      </c>
      <c r="V242" s="58" t="s">
        <v>1262</v>
      </c>
      <c r="W242" s="46">
        <v>5</v>
      </c>
      <c r="X242" s="58" t="s">
        <v>1263</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1230</v>
      </c>
      <c r="AW242" s="34" t="s">
        <v>1264</v>
      </c>
      <c r="AX242" s="26" t="s">
        <v>1231</v>
      </c>
      <c r="AY242" s="31" t="s">
        <v>1265</v>
      </c>
      <c r="AZ242" s="26" t="s">
        <v>1248</v>
      </c>
      <c r="BA242" s="24" t="s">
        <v>1266</v>
      </c>
    </row>
    <row r="243" spans="1:53" ht="7.35" customHeight="1" x14ac:dyDescent="0.25">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1418</v>
      </c>
      <c r="P243" s="39" t="s">
        <v>177</v>
      </c>
      <c r="Q243" s="37" t="s">
        <v>244</v>
      </c>
      <c r="R243" s="39" t="s">
        <v>355</v>
      </c>
      <c r="S243" s="37" t="s">
        <v>676</v>
      </c>
      <c r="T243" s="39" t="s">
        <v>1261</v>
      </c>
      <c r="U243" s="42">
        <v>30</v>
      </c>
      <c r="V243" s="58" t="s">
        <v>1262</v>
      </c>
      <c r="W243" s="46">
        <v>3</v>
      </c>
      <c r="X243" s="58" t="s">
        <v>1263</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1230</v>
      </c>
      <c r="AW243" s="34" t="s">
        <v>1264</v>
      </c>
      <c r="AX243" s="26" t="s">
        <v>1231</v>
      </c>
      <c r="AY243" s="31" t="s">
        <v>1265</v>
      </c>
      <c r="AZ243" s="26" t="s">
        <v>1248</v>
      </c>
      <c r="BA243" s="24" t="s">
        <v>1266</v>
      </c>
    </row>
    <row r="244" spans="1:53" ht="7.35" customHeight="1" x14ac:dyDescent="0.25">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1418</v>
      </c>
      <c r="P244" s="39" t="s">
        <v>177</v>
      </c>
      <c r="Q244" s="37" t="s">
        <v>245</v>
      </c>
      <c r="R244" s="39" t="s">
        <v>355</v>
      </c>
      <c r="S244" s="37" t="s">
        <v>676</v>
      </c>
      <c r="T244" s="39" t="s">
        <v>1261</v>
      </c>
      <c r="U244" s="42">
        <v>50</v>
      </c>
      <c r="V244" s="58" t="s">
        <v>1262</v>
      </c>
      <c r="W244" s="46">
        <v>5</v>
      </c>
      <c r="X244" s="58" t="s">
        <v>1263</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1230</v>
      </c>
      <c r="AW244" s="34" t="s">
        <v>1264</v>
      </c>
      <c r="AX244" s="26" t="s">
        <v>1231</v>
      </c>
      <c r="AY244" s="31" t="s">
        <v>1265</v>
      </c>
      <c r="AZ244" s="26" t="s">
        <v>1248</v>
      </c>
      <c r="BA244" s="24" t="s">
        <v>1266</v>
      </c>
    </row>
    <row r="245" spans="1:53" ht="7.35" customHeight="1" x14ac:dyDescent="0.25">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1418</v>
      </c>
      <c r="P245" s="39" t="s">
        <v>177</v>
      </c>
      <c r="Q245" s="37" t="s">
        <v>246</v>
      </c>
      <c r="R245" s="39" t="s">
        <v>355</v>
      </c>
      <c r="S245" s="37" t="s">
        <v>676</v>
      </c>
      <c r="T245" s="39" t="s">
        <v>1261</v>
      </c>
      <c r="U245" s="42">
        <v>50</v>
      </c>
      <c r="V245" s="58" t="s">
        <v>1262</v>
      </c>
      <c r="W245" s="46">
        <v>5</v>
      </c>
      <c r="X245" s="58" t="s">
        <v>1263</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1230</v>
      </c>
      <c r="AW245" s="34" t="s">
        <v>1264</v>
      </c>
      <c r="AX245" s="26" t="s">
        <v>1231</v>
      </c>
      <c r="AY245" s="31" t="s">
        <v>1265</v>
      </c>
      <c r="AZ245" s="26" t="s">
        <v>1248</v>
      </c>
      <c r="BA245" s="24" t="s">
        <v>1266</v>
      </c>
    </row>
    <row r="246" spans="1:53" ht="7.35" customHeight="1" x14ac:dyDescent="0.25">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1418</v>
      </c>
      <c r="P246" s="39" t="s">
        <v>177</v>
      </c>
      <c r="Q246" s="37" t="s">
        <v>247</v>
      </c>
      <c r="R246" s="39" t="s">
        <v>355</v>
      </c>
      <c r="S246" s="37" t="s">
        <v>676</v>
      </c>
      <c r="T246" s="39" t="s">
        <v>1261</v>
      </c>
      <c r="U246" s="42">
        <v>50</v>
      </c>
      <c r="V246" s="58" t="s">
        <v>1262</v>
      </c>
      <c r="W246" s="46">
        <v>5</v>
      </c>
      <c r="X246" s="58" t="s">
        <v>1263</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1230</v>
      </c>
      <c r="AW246" s="34" t="s">
        <v>1264</v>
      </c>
      <c r="AX246" s="26" t="s">
        <v>1231</v>
      </c>
      <c r="AY246" s="31" t="s">
        <v>1265</v>
      </c>
      <c r="AZ246" s="26" t="s">
        <v>1248</v>
      </c>
      <c r="BA246" s="24" t="s">
        <v>1266</v>
      </c>
    </row>
    <row r="247" spans="1:53" ht="7.35" customHeight="1" x14ac:dyDescent="0.25">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1418</v>
      </c>
      <c r="P247" s="39" t="s">
        <v>177</v>
      </c>
      <c r="Q247" s="37" t="s">
        <v>248</v>
      </c>
      <c r="R247" s="39" t="s">
        <v>355</v>
      </c>
      <c r="S247" s="37" t="s">
        <v>416</v>
      </c>
      <c r="T247" s="39" t="s">
        <v>1261</v>
      </c>
      <c r="U247" s="42">
        <v>0</v>
      </c>
      <c r="V247" s="58" t="s">
        <v>1262</v>
      </c>
      <c r="W247" s="46">
        <v>0</v>
      </c>
      <c r="X247" s="58" t="s">
        <v>1263</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1230</v>
      </c>
      <c r="AW247" s="34" t="s">
        <v>1264</v>
      </c>
      <c r="AX247" s="26" t="s">
        <v>1231</v>
      </c>
      <c r="AY247" s="31" t="s">
        <v>1265</v>
      </c>
      <c r="AZ247" s="26" t="s">
        <v>1248</v>
      </c>
      <c r="BA247" s="24" t="s">
        <v>1266</v>
      </c>
    </row>
    <row r="248" spans="1:53" ht="7.35" customHeight="1" x14ac:dyDescent="0.25">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1418</v>
      </c>
      <c r="P248" s="39" t="s">
        <v>177</v>
      </c>
      <c r="Q248" s="37" t="s">
        <v>250</v>
      </c>
      <c r="R248" s="39" t="s">
        <v>355</v>
      </c>
      <c r="S248" s="37" t="s">
        <v>676</v>
      </c>
      <c r="T248" s="39" t="s">
        <v>1261</v>
      </c>
      <c r="U248" s="42">
        <v>40</v>
      </c>
      <c r="V248" s="58" t="s">
        <v>1262</v>
      </c>
      <c r="W248" s="46">
        <v>4</v>
      </c>
      <c r="X248" s="58" t="s">
        <v>1263</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1230</v>
      </c>
      <c r="AW248" s="34" t="s">
        <v>1264</v>
      </c>
      <c r="AX248" s="26" t="s">
        <v>1231</v>
      </c>
      <c r="AY248" s="31" t="s">
        <v>1265</v>
      </c>
      <c r="AZ248" s="26" t="s">
        <v>1248</v>
      </c>
      <c r="BA248" s="24" t="s">
        <v>1266</v>
      </c>
    </row>
    <row r="249" spans="1:53" ht="7.35" customHeight="1" x14ac:dyDescent="0.25">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1418</v>
      </c>
      <c r="P249" s="39" t="s">
        <v>177</v>
      </c>
      <c r="Q249" s="37" t="s">
        <v>251</v>
      </c>
      <c r="R249" s="39" t="s">
        <v>355</v>
      </c>
      <c r="S249" s="37" t="s">
        <v>575</v>
      </c>
      <c r="T249" s="39" t="s">
        <v>1261</v>
      </c>
      <c r="U249" s="42">
        <v>30</v>
      </c>
      <c r="V249" s="58" t="s">
        <v>1262</v>
      </c>
      <c r="W249" s="46">
        <v>4</v>
      </c>
      <c r="X249" s="58" t="s">
        <v>1263</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1230</v>
      </c>
      <c r="AW249" s="34" t="s">
        <v>1264</v>
      </c>
      <c r="AX249" s="26" t="s">
        <v>1231</v>
      </c>
      <c r="AY249" s="31" t="s">
        <v>1265</v>
      </c>
      <c r="AZ249" s="26" t="s">
        <v>1248</v>
      </c>
      <c r="BA249" s="24" t="s">
        <v>1266</v>
      </c>
    </row>
    <row r="250" spans="1:53" ht="7.35" customHeight="1" x14ac:dyDescent="0.25">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1418</v>
      </c>
      <c r="P250" s="39" t="s">
        <v>177</v>
      </c>
      <c r="Q250" s="37" t="s">
        <v>252</v>
      </c>
      <c r="R250" s="39" t="s">
        <v>355</v>
      </c>
      <c r="S250" s="37" t="s">
        <v>676</v>
      </c>
      <c r="T250" s="39" t="s">
        <v>1261</v>
      </c>
      <c r="U250" s="42">
        <v>40</v>
      </c>
      <c r="V250" s="58" t="s">
        <v>1262</v>
      </c>
      <c r="W250" s="46">
        <v>4</v>
      </c>
      <c r="X250" s="58" t="s">
        <v>1263</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1230</v>
      </c>
      <c r="AW250" s="34" t="s">
        <v>1264</v>
      </c>
      <c r="AX250" s="26" t="s">
        <v>1231</v>
      </c>
      <c r="AY250" s="31" t="s">
        <v>1265</v>
      </c>
      <c r="AZ250" s="26" t="s">
        <v>1248</v>
      </c>
      <c r="BA250" s="24" t="s">
        <v>1266</v>
      </c>
    </row>
    <row r="251" spans="1:53" ht="7.35" customHeight="1" x14ac:dyDescent="0.25">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1418</v>
      </c>
      <c r="P251" s="39" t="s">
        <v>177</v>
      </c>
      <c r="Q251" s="37" t="s">
        <v>253</v>
      </c>
      <c r="R251" s="39" t="s">
        <v>355</v>
      </c>
      <c r="S251" s="37" t="s">
        <v>676</v>
      </c>
      <c r="T251" s="39" t="s">
        <v>1261</v>
      </c>
      <c r="U251" s="42">
        <v>50</v>
      </c>
      <c r="V251" s="58" t="s">
        <v>1262</v>
      </c>
      <c r="W251" s="46">
        <v>5</v>
      </c>
      <c r="X251" s="58" t="s">
        <v>1263</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1230</v>
      </c>
      <c r="AW251" s="34" t="s">
        <v>1264</v>
      </c>
      <c r="AX251" s="26" t="s">
        <v>1231</v>
      </c>
      <c r="AY251" s="31" t="s">
        <v>1265</v>
      </c>
      <c r="AZ251" s="26" t="s">
        <v>1248</v>
      </c>
      <c r="BA251" s="24" t="s">
        <v>1266</v>
      </c>
    </row>
    <row r="252" spans="1:53" ht="7.35" customHeight="1" x14ac:dyDescent="0.25">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1418</v>
      </c>
      <c r="P252" s="39" t="s">
        <v>177</v>
      </c>
      <c r="Q252" s="37" t="s">
        <v>652</v>
      </c>
      <c r="R252" s="39" t="s">
        <v>355</v>
      </c>
      <c r="S252" s="37" t="s">
        <v>575</v>
      </c>
      <c r="T252" s="39" t="s">
        <v>1261</v>
      </c>
      <c r="U252" s="42">
        <v>0</v>
      </c>
      <c r="V252" s="58" t="s">
        <v>1262</v>
      </c>
      <c r="W252" s="46">
        <v>0</v>
      </c>
      <c r="X252" s="58" t="s">
        <v>1263</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1230</v>
      </c>
      <c r="AW252" s="34" t="s">
        <v>1264</v>
      </c>
      <c r="AX252" s="26" t="s">
        <v>1231</v>
      </c>
      <c r="AY252" s="31" t="s">
        <v>1265</v>
      </c>
      <c r="AZ252" s="26" t="s">
        <v>1248</v>
      </c>
      <c r="BA252" s="24" t="s">
        <v>1266</v>
      </c>
    </row>
    <row r="253" spans="1:53" ht="7.35" customHeight="1" x14ac:dyDescent="0.25">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1418</v>
      </c>
      <c r="P253" s="39" t="s">
        <v>177</v>
      </c>
      <c r="Q253" s="37" t="s">
        <v>595</v>
      </c>
      <c r="R253" s="39" t="s">
        <v>355</v>
      </c>
      <c r="S253" s="37" t="s">
        <v>676</v>
      </c>
      <c r="T253" s="39" t="s">
        <v>1261</v>
      </c>
      <c r="U253" s="42">
        <v>60</v>
      </c>
      <c r="V253" s="58" t="s">
        <v>1262</v>
      </c>
      <c r="W253" s="46">
        <v>5</v>
      </c>
      <c r="X253" s="58" t="s">
        <v>1263</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1230</v>
      </c>
      <c r="AW253" s="34" t="s">
        <v>1264</v>
      </c>
      <c r="AX253" s="26" t="s">
        <v>1231</v>
      </c>
      <c r="AY253" s="31" t="s">
        <v>1265</v>
      </c>
      <c r="AZ253" s="26" t="s">
        <v>1248</v>
      </c>
      <c r="BA253" s="24" t="s">
        <v>1266</v>
      </c>
    </row>
    <row r="254" spans="1:53" ht="7.35" customHeight="1" x14ac:dyDescent="0.25">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1418</v>
      </c>
      <c r="P254" s="39" t="s">
        <v>177</v>
      </c>
      <c r="Q254" s="37" t="s">
        <v>255</v>
      </c>
      <c r="R254" s="39" t="s">
        <v>355</v>
      </c>
      <c r="S254" s="37" t="s">
        <v>676</v>
      </c>
      <c r="T254" s="39" t="s">
        <v>1261</v>
      </c>
      <c r="U254" s="42">
        <v>50</v>
      </c>
      <c r="V254" s="58" t="s">
        <v>1262</v>
      </c>
      <c r="W254" s="46">
        <v>5</v>
      </c>
      <c r="X254" s="58" t="s">
        <v>1263</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1230</v>
      </c>
      <c r="AW254" s="34" t="s">
        <v>1264</v>
      </c>
      <c r="AX254" s="26" t="s">
        <v>1231</v>
      </c>
      <c r="AY254" s="31" t="s">
        <v>1265</v>
      </c>
      <c r="AZ254" s="26" t="s">
        <v>1248</v>
      </c>
      <c r="BA254" s="24" t="s">
        <v>1266</v>
      </c>
    </row>
    <row r="255" spans="1:53" ht="7.35" customHeight="1" x14ac:dyDescent="0.25">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1418</v>
      </c>
      <c r="P255" s="39" t="s">
        <v>177</v>
      </c>
      <c r="Q255" s="37" t="s">
        <v>256</v>
      </c>
      <c r="R255" s="39" t="s">
        <v>355</v>
      </c>
      <c r="S255" s="37" t="s">
        <v>676</v>
      </c>
      <c r="T255" s="39" t="s">
        <v>1261</v>
      </c>
      <c r="U255" s="42">
        <v>50</v>
      </c>
      <c r="V255" s="58" t="s">
        <v>1262</v>
      </c>
      <c r="W255" s="46">
        <v>5</v>
      </c>
      <c r="X255" s="58" t="s">
        <v>1263</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1230</v>
      </c>
      <c r="AW255" s="34" t="s">
        <v>1264</v>
      </c>
      <c r="AX255" s="26" t="s">
        <v>1231</v>
      </c>
      <c r="AY255" s="31" t="s">
        <v>1265</v>
      </c>
      <c r="AZ255" s="26" t="s">
        <v>1248</v>
      </c>
      <c r="BA255" s="24" t="s">
        <v>1266</v>
      </c>
    </row>
    <row r="256" spans="1:53" ht="7.35" customHeight="1" x14ac:dyDescent="0.25">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1418</v>
      </c>
      <c r="P256" s="39" t="s">
        <v>177</v>
      </c>
      <c r="Q256" s="37" t="s">
        <v>257</v>
      </c>
      <c r="R256" s="39" t="s">
        <v>355</v>
      </c>
      <c r="S256" s="37" t="s">
        <v>676</v>
      </c>
      <c r="T256" s="39" t="s">
        <v>1261</v>
      </c>
      <c r="U256" s="42">
        <v>50</v>
      </c>
      <c r="V256" s="58" t="s">
        <v>1262</v>
      </c>
      <c r="W256" s="46">
        <v>5</v>
      </c>
      <c r="X256" s="58" t="s">
        <v>1263</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1230</v>
      </c>
      <c r="AW256" s="34" t="s">
        <v>1264</v>
      </c>
      <c r="AX256" s="26" t="s">
        <v>1231</v>
      </c>
      <c r="AY256" s="31" t="s">
        <v>1265</v>
      </c>
      <c r="AZ256" s="26" t="s">
        <v>1248</v>
      </c>
      <c r="BA256" s="24" t="s">
        <v>1266</v>
      </c>
    </row>
    <row r="257" spans="1:53" ht="7.35" customHeight="1" x14ac:dyDescent="0.25">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1418</v>
      </c>
      <c r="P257" s="39" t="s">
        <v>177</v>
      </c>
      <c r="Q257" s="37" t="s">
        <v>596</v>
      </c>
      <c r="R257" s="39" t="s">
        <v>355</v>
      </c>
      <c r="S257" s="37" t="s">
        <v>676</v>
      </c>
      <c r="T257" s="39" t="s">
        <v>1261</v>
      </c>
      <c r="U257" s="42">
        <v>30</v>
      </c>
      <c r="V257" s="58" t="s">
        <v>1262</v>
      </c>
      <c r="W257" s="46">
        <v>3</v>
      </c>
      <c r="X257" s="58" t="s">
        <v>1263</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1230</v>
      </c>
      <c r="AW257" s="34" t="s">
        <v>1264</v>
      </c>
      <c r="AX257" s="26" t="s">
        <v>1231</v>
      </c>
      <c r="AY257" s="31" t="s">
        <v>1265</v>
      </c>
      <c r="AZ257" s="26" t="s">
        <v>1248</v>
      </c>
      <c r="BA257" s="24" t="s">
        <v>1266</v>
      </c>
    </row>
    <row r="258" spans="1:53" ht="7.35" customHeight="1" x14ac:dyDescent="0.25">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1418</v>
      </c>
      <c r="P258" s="39" t="s">
        <v>177</v>
      </c>
      <c r="Q258" s="37" t="s">
        <v>839</v>
      </c>
      <c r="R258" s="39" t="s">
        <v>355</v>
      </c>
      <c r="S258" s="37" t="s">
        <v>575</v>
      </c>
      <c r="T258" s="39" t="s">
        <v>1261</v>
      </c>
      <c r="U258" s="42">
        <v>20</v>
      </c>
      <c r="V258" s="58" t="s">
        <v>1262</v>
      </c>
      <c r="W258" s="46">
        <v>0</v>
      </c>
      <c r="X258" s="58" t="s">
        <v>1263</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1230</v>
      </c>
      <c r="AW258" s="34" t="s">
        <v>1264</v>
      </c>
      <c r="AX258" s="26" t="s">
        <v>1231</v>
      </c>
      <c r="AY258" s="31" t="s">
        <v>1265</v>
      </c>
      <c r="AZ258" s="26" t="s">
        <v>1248</v>
      </c>
      <c r="BA258" s="24" t="s">
        <v>1266</v>
      </c>
    </row>
    <row r="259" spans="1:53" ht="7.35" customHeight="1" x14ac:dyDescent="0.25">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1418</v>
      </c>
      <c r="P259" s="39" t="s">
        <v>177</v>
      </c>
      <c r="Q259" s="37" t="s">
        <v>258</v>
      </c>
      <c r="R259" s="39" t="s">
        <v>355</v>
      </c>
      <c r="S259" s="37" t="s">
        <v>676</v>
      </c>
      <c r="T259" s="39" t="s">
        <v>1261</v>
      </c>
      <c r="U259" s="42">
        <v>50</v>
      </c>
      <c r="V259" s="58" t="s">
        <v>1262</v>
      </c>
      <c r="W259" s="46">
        <v>5</v>
      </c>
      <c r="X259" s="58" t="s">
        <v>1263</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1230</v>
      </c>
      <c r="AW259" s="34" t="s">
        <v>1264</v>
      </c>
      <c r="AX259" s="26" t="s">
        <v>1231</v>
      </c>
      <c r="AY259" s="31" t="s">
        <v>1265</v>
      </c>
      <c r="AZ259" s="26" t="s">
        <v>1248</v>
      </c>
      <c r="BA259" s="24" t="s">
        <v>1266</v>
      </c>
    </row>
    <row r="260" spans="1:53" ht="7.35" customHeight="1" x14ac:dyDescent="0.25">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1418</v>
      </c>
      <c r="P260" s="39" t="s">
        <v>177</v>
      </c>
      <c r="Q260" s="37" t="s">
        <v>259</v>
      </c>
      <c r="R260" s="39" t="s">
        <v>355</v>
      </c>
      <c r="S260" s="37" t="s">
        <v>676</v>
      </c>
      <c r="T260" s="39" t="s">
        <v>1261</v>
      </c>
      <c r="U260" s="42">
        <v>60</v>
      </c>
      <c r="V260" s="58" t="s">
        <v>1262</v>
      </c>
      <c r="W260" s="46">
        <v>5</v>
      </c>
      <c r="X260" s="58" t="s">
        <v>1263</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1230</v>
      </c>
      <c r="AW260" s="34" t="s">
        <v>1264</v>
      </c>
      <c r="AX260" s="26" t="s">
        <v>1231</v>
      </c>
      <c r="AY260" s="31" t="s">
        <v>1265</v>
      </c>
      <c r="AZ260" s="26" t="s">
        <v>1248</v>
      </c>
      <c r="BA260" s="24" t="s">
        <v>1266</v>
      </c>
    </row>
    <row r="261" spans="1:53" ht="7.35" customHeight="1" x14ac:dyDescent="0.25">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1418</v>
      </c>
      <c r="P261" s="39" t="s">
        <v>177</v>
      </c>
      <c r="Q261" s="37" t="s">
        <v>260</v>
      </c>
      <c r="R261" s="39" t="s">
        <v>355</v>
      </c>
      <c r="S261" s="37" t="s">
        <v>676</v>
      </c>
      <c r="T261" s="39" t="s">
        <v>1261</v>
      </c>
      <c r="U261" s="42">
        <v>30</v>
      </c>
      <c r="V261" s="58" t="s">
        <v>1262</v>
      </c>
      <c r="W261" s="46">
        <v>3</v>
      </c>
      <c r="X261" s="58" t="s">
        <v>1263</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1230</v>
      </c>
      <c r="AW261" s="34" t="s">
        <v>1264</v>
      </c>
      <c r="AX261" s="26" t="s">
        <v>1231</v>
      </c>
      <c r="AY261" s="31" t="s">
        <v>1265</v>
      </c>
      <c r="AZ261" s="26" t="s">
        <v>1248</v>
      </c>
      <c r="BA261" s="24" t="s">
        <v>1266</v>
      </c>
    </row>
    <row r="262" spans="1:53" ht="7.35" customHeight="1" x14ac:dyDescent="0.25">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1418</v>
      </c>
      <c r="P262" s="39" t="s">
        <v>177</v>
      </c>
      <c r="Q262" s="37" t="s">
        <v>836</v>
      </c>
      <c r="R262" s="39" t="s">
        <v>355</v>
      </c>
      <c r="S262" s="37" t="s">
        <v>676</v>
      </c>
      <c r="T262" s="39" t="s">
        <v>1261</v>
      </c>
      <c r="U262" s="42">
        <v>60</v>
      </c>
      <c r="V262" s="58" t="s">
        <v>1262</v>
      </c>
      <c r="W262" s="46">
        <v>6</v>
      </c>
      <c r="X262" s="58" t="s">
        <v>1263</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1246</v>
      </c>
      <c r="AP262" s="40" t="s">
        <v>581</v>
      </c>
      <c r="AQ262" s="46" t="s">
        <v>678</v>
      </c>
      <c r="AR262" s="40" t="s">
        <v>181</v>
      </c>
      <c r="AS262" s="37" t="s">
        <v>691</v>
      </c>
      <c r="AT262" s="40" t="s">
        <v>176</v>
      </c>
      <c r="AU262" s="49" t="s">
        <v>273</v>
      </c>
      <c r="AV262" s="26" t="s">
        <v>1230</v>
      </c>
      <c r="AW262" s="34" t="s">
        <v>1264</v>
      </c>
      <c r="AX262" s="26" t="s">
        <v>1231</v>
      </c>
      <c r="AY262" s="31" t="s">
        <v>1265</v>
      </c>
      <c r="AZ262" s="26" t="s">
        <v>1248</v>
      </c>
      <c r="BA262" s="24" t="s">
        <v>1266</v>
      </c>
    </row>
    <row r="263" spans="1:53" ht="7.35" customHeight="1" x14ac:dyDescent="0.25">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1418</v>
      </c>
      <c r="P263" s="39" t="s">
        <v>177</v>
      </c>
      <c r="Q263" s="37" t="s">
        <v>261</v>
      </c>
      <c r="R263" s="39" t="s">
        <v>355</v>
      </c>
      <c r="S263" s="37" t="s">
        <v>676</v>
      </c>
      <c r="T263" s="39" t="s">
        <v>1261</v>
      </c>
      <c r="U263" s="42">
        <v>30</v>
      </c>
      <c r="V263" s="58" t="s">
        <v>1262</v>
      </c>
      <c r="W263" s="46">
        <v>3</v>
      </c>
      <c r="X263" s="58" t="s">
        <v>1263</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1230</v>
      </c>
      <c r="AW263" s="34" t="s">
        <v>1264</v>
      </c>
      <c r="AX263" s="26" t="s">
        <v>1231</v>
      </c>
      <c r="AY263" s="31" t="s">
        <v>1265</v>
      </c>
      <c r="AZ263" s="26" t="s">
        <v>1248</v>
      </c>
      <c r="BA263" s="24" t="s">
        <v>1266</v>
      </c>
    </row>
    <row r="264" spans="1:53" ht="7.35" customHeight="1" x14ac:dyDescent="0.25">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1418</v>
      </c>
      <c r="P264" s="39" t="s">
        <v>177</v>
      </c>
      <c r="Q264" s="37" t="s">
        <v>262</v>
      </c>
      <c r="R264" s="39" t="s">
        <v>355</v>
      </c>
      <c r="S264" s="37" t="s">
        <v>676</v>
      </c>
      <c r="T264" s="39" t="s">
        <v>1261</v>
      </c>
      <c r="U264" s="42">
        <v>30</v>
      </c>
      <c r="V264" s="58" t="s">
        <v>1262</v>
      </c>
      <c r="W264" s="46">
        <v>3</v>
      </c>
      <c r="X264" s="58" t="s">
        <v>1263</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1230</v>
      </c>
      <c r="AW264" s="34" t="s">
        <v>1264</v>
      </c>
      <c r="AX264" s="26" t="s">
        <v>1231</v>
      </c>
      <c r="AY264" s="31" t="s">
        <v>1265</v>
      </c>
      <c r="AZ264" s="26" t="s">
        <v>1248</v>
      </c>
      <c r="BA264" s="24" t="s">
        <v>1266</v>
      </c>
    </row>
    <row r="265" spans="1:53" ht="7.35" customHeight="1" x14ac:dyDescent="0.25">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1418</v>
      </c>
      <c r="P265" s="39" t="s">
        <v>177</v>
      </c>
      <c r="Q265" s="37" t="s">
        <v>648</v>
      </c>
      <c r="R265" s="39" t="s">
        <v>355</v>
      </c>
      <c r="S265" s="37" t="s">
        <v>415</v>
      </c>
      <c r="T265" s="39" t="s">
        <v>1261</v>
      </c>
      <c r="U265" s="42">
        <v>30</v>
      </c>
      <c r="V265" s="58" t="s">
        <v>1262</v>
      </c>
      <c r="W265" s="46">
        <v>3</v>
      </c>
      <c r="X265" s="58" t="s">
        <v>1263</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1230</v>
      </c>
      <c r="AW265" s="34" t="s">
        <v>1264</v>
      </c>
      <c r="AX265" s="26" t="s">
        <v>1231</v>
      </c>
      <c r="AY265" s="31" t="s">
        <v>1265</v>
      </c>
      <c r="AZ265" s="26" t="s">
        <v>1248</v>
      </c>
      <c r="BA265" s="24" t="s">
        <v>1266</v>
      </c>
    </row>
    <row r="266" spans="1:53" ht="7.35" customHeight="1" x14ac:dyDescent="0.25">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1418</v>
      </c>
      <c r="P266" s="39" t="s">
        <v>177</v>
      </c>
      <c r="Q266" s="37" t="s">
        <v>1149</v>
      </c>
      <c r="R266" s="39" t="s">
        <v>355</v>
      </c>
      <c r="S266" s="37" t="s">
        <v>676</v>
      </c>
      <c r="T266" s="39" t="s">
        <v>1261</v>
      </c>
      <c r="U266" s="42">
        <v>100</v>
      </c>
      <c r="V266" s="58" t="s">
        <v>1262</v>
      </c>
      <c r="W266" s="46">
        <v>0</v>
      </c>
      <c r="X266" s="58" t="s">
        <v>1263</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1230</v>
      </c>
      <c r="AW266" s="34" t="s">
        <v>1264</v>
      </c>
      <c r="AX266" s="26" t="s">
        <v>1231</v>
      </c>
      <c r="AY266" s="31" t="s">
        <v>1265</v>
      </c>
      <c r="AZ266" s="26" t="s">
        <v>1248</v>
      </c>
      <c r="BA266" s="24" t="s">
        <v>1266</v>
      </c>
    </row>
    <row r="267" spans="1:53" ht="7.35" customHeight="1" x14ac:dyDescent="0.25">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1418</v>
      </c>
      <c r="P267" s="39" t="s">
        <v>177</v>
      </c>
      <c r="Q267" s="37" t="s">
        <v>1151</v>
      </c>
      <c r="R267" s="39" t="s">
        <v>355</v>
      </c>
      <c r="S267" s="37" t="s">
        <v>677</v>
      </c>
      <c r="T267" s="39" t="s">
        <v>1261</v>
      </c>
      <c r="U267" s="42">
        <v>0</v>
      </c>
      <c r="V267" s="58" t="s">
        <v>1262</v>
      </c>
      <c r="W267" s="46">
        <v>0</v>
      </c>
      <c r="X267" s="58" t="s">
        <v>1263</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1230</v>
      </c>
      <c r="AW267" s="34" t="s">
        <v>1264</v>
      </c>
      <c r="AX267" s="26" t="s">
        <v>1231</v>
      </c>
      <c r="AY267" s="31" t="s">
        <v>1265</v>
      </c>
      <c r="AZ267" s="26" t="s">
        <v>1248</v>
      </c>
      <c r="BA267" s="24" t="s">
        <v>1266</v>
      </c>
    </row>
    <row r="268" spans="1:53" ht="7.35" customHeight="1" x14ac:dyDescent="0.25">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1418</v>
      </c>
      <c r="P268" s="39" t="s">
        <v>177</v>
      </c>
      <c r="Q268" s="37" t="s">
        <v>263</v>
      </c>
      <c r="R268" s="39" t="s">
        <v>355</v>
      </c>
      <c r="S268" s="37" t="s">
        <v>676</v>
      </c>
      <c r="T268" s="39" t="s">
        <v>1261</v>
      </c>
      <c r="U268" s="42">
        <v>40</v>
      </c>
      <c r="V268" s="58" t="s">
        <v>1262</v>
      </c>
      <c r="W268" s="46">
        <v>4</v>
      </c>
      <c r="X268" s="58" t="s">
        <v>1263</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1230</v>
      </c>
      <c r="AW268" s="34" t="s">
        <v>1264</v>
      </c>
      <c r="AX268" s="26" t="s">
        <v>1231</v>
      </c>
      <c r="AY268" s="31" t="s">
        <v>1265</v>
      </c>
      <c r="AZ268" s="26" t="s">
        <v>1248</v>
      </c>
      <c r="BA268" s="24" t="s">
        <v>1266</v>
      </c>
    </row>
    <row r="269" spans="1:53" ht="7.35" customHeight="1" x14ac:dyDescent="0.25">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1418</v>
      </c>
      <c r="P269" s="39" t="s">
        <v>177</v>
      </c>
      <c r="Q269" s="37" t="s">
        <v>264</v>
      </c>
      <c r="R269" s="39" t="s">
        <v>355</v>
      </c>
      <c r="S269" s="37" t="s">
        <v>676</v>
      </c>
      <c r="T269" s="39" t="s">
        <v>1261</v>
      </c>
      <c r="U269" s="42">
        <v>50</v>
      </c>
      <c r="V269" s="58" t="s">
        <v>1262</v>
      </c>
      <c r="W269" s="46">
        <v>5</v>
      </c>
      <c r="X269" s="58" t="s">
        <v>1263</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1230</v>
      </c>
      <c r="AW269" s="34" t="s">
        <v>1264</v>
      </c>
      <c r="AX269" s="26" t="s">
        <v>1231</v>
      </c>
      <c r="AY269" s="31" t="s">
        <v>1265</v>
      </c>
      <c r="AZ269" s="26" t="s">
        <v>1248</v>
      </c>
      <c r="BA269" s="24" t="s">
        <v>1266</v>
      </c>
    </row>
    <row r="270" spans="1:53" ht="7.35" customHeight="1" x14ac:dyDescent="0.25">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1418</v>
      </c>
      <c r="P270" s="39" t="s">
        <v>177</v>
      </c>
      <c r="Q270" s="37" t="s">
        <v>265</v>
      </c>
      <c r="R270" s="39" t="s">
        <v>355</v>
      </c>
      <c r="S270" s="37" t="s">
        <v>676</v>
      </c>
      <c r="T270" s="39" t="s">
        <v>1261</v>
      </c>
      <c r="U270" s="42">
        <v>60</v>
      </c>
      <c r="V270" s="58" t="s">
        <v>1262</v>
      </c>
      <c r="W270" s="46">
        <v>5</v>
      </c>
      <c r="X270" s="58" t="s">
        <v>1263</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1230</v>
      </c>
      <c r="AW270" s="34" t="s">
        <v>1264</v>
      </c>
      <c r="AX270" s="26" t="s">
        <v>1231</v>
      </c>
      <c r="AY270" s="31" t="s">
        <v>1265</v>
      </c>
      <c r="AZ270" s="26" t="s">
        <v>1248</v>
      </c>
      <c r="BA270" s="24" t="s">
        <v>1266</v>
      </c>
    </row>
    <row r="271" spans="1:53" ht="7.35" customHeight="1" x14ac:dyDescent="0.25">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1418</v>
      </c>
      <c r="P271" s="39" t="s">
        <v>177</v>
      </c>
      <c r="Q271" s="37" t="s">
        <v>266</v>
      </c>
      <c r="R271" s="39" t="s">
        <v>355</v>
      </c>
      <c r="S271" s="37" t="s">
        <v>575</v>
      </c>
      <c r="T271" s="39" t="s">
        <v>1261</v>
      </c>
      <c r="U271" s="42">
        <v>40</v>
      </c>
      <c r="V271" s="58" t="s">
        <v>1262</v>
      </c>
      <c r="W271" s="46">
        <v>4</v>
      </c>
      <c r="X271" s="58" t="s">
        <v>1263</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1230</v>
      </c>
      <c r="AW271" s="34" t="s">
        <v>1264</v>
      </c>
      <c r="AX271" s="26" t="s">
        <v>1231</v>
      </c>
      <c r="AY271" s="31" t="s">
        <v>1265</v>
      </c>
      <c r="AZ271" s="26" t="s">
        <v>1248</v>
      </c>
      <c r="BA271" s="24" t="s">
        <v>1266</v>
      </c>
    </row>
    <row r="272" spans="1:53" ht="7.35" customHeight="1" x14ac:dyDescent="0.25">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1418</v>
      </c>
      <c r="P272" s="39" t="s">
        <v>177</v>
      </c>
      <c r="Q272" s="37" t="s">
        <v>267</v>
      </c>
      <c r="R272" s="39" t="s">
        <v>355</v>
      </c>
      <c r="S272" s="37" t="s">
        <v>676</v>
      </c>
      <c r="T272" s="39" t="s">
        <v>1261</v>
      </c>
      <c r="U272" s="42">
        <v>40</v>
      </c>
      <c r="V272" s="58" t="s">
        <v>1262</v>
      </c>
      <c r="W272" s="46">
        <v>4</v>
      </c>
      <c r="X272" s="58" t="s">
        <v>1263</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1230</v>
      </c>
      <c r="AW272" s="34" t="s">
        <v>1264</v>
      </c>
      <c r="AX272" s="26" t="s">
        <v>1231</v>
      </c>
      <c r="AY272" s="31" t="s">
        <v>1265</v>
      </c>
      <c r="AZ272" s="26" t="s">
        <v>1248</v>
      </c>
      <c r="BA272" s="24" t="s">
        <v>1266</v>
      </c>
    </row>
    <row r="273" spans="1:53" ht="7.35" customHeight="1" x14ac:dyDescent="0.25">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1418</v>
      </c>
      <c r="P273" s="39" t="s">
        <v>177</v>
      </c>
      <c r="Q273" s="46" t="s">
        <v>406</v>
      </c>
      <c r="R273" s="40" t="s">
        <v>355</v>
      </c>
      <c r="S273" s="37" t="s">
        <v>414</v>
      </c>
      <c r="T273" s="41" t="s">
        <v>1</v>
      </c>
      <c r="U273" s="42" t="s">
        <v>1</v>
      </c>
      <c r="V273" s="59" t="s">
        <v>1262</v>
      </c>
      <c r="W273" s="46">
        <v>1</v>
      </c>
      <c r="X273" s="59" t="s">
        <v>1263</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1230</v>
      </c>
      <c r="AW273" s="34" t="s">
        <v>1264</v>
      </c>
      <c r="AX273" s="26" t="s">
        <v>1231</v>
      </c>
      <c r="AY273" s="31" t="s">
        <v>1265</v>
      </c>
      <c r="AZ273" s="26" t="s">
        <v>1248</v>
      </c>
      <c r="BA273" s="24" t="s">
        <v>1266</v>
      </c>
    </row>
    <row r="274" spans="1:53" ht="7.35" customHeight="1" x14ac:dyDescent="0.25">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1418</v>
      </c>
      <c r="P274" s="39" t="s">
        <v>177</v>
      </c>
      <c r="Q274" s="46" t="s">
        <v>407</v>
      </c>
      <c r="R274" s="40" t="s">
        <v>355</v>
      </c>
      <c r="S274" s="37" t="s">
        <v>415</v>
      </c>
      <c r="T274" s="41" t="s">
        <v>1</v>
      </c>
      <c r="U274" s="42" t="s">
        <v>1</v>
      </c>
      <c r="V274" s="59" t="s">
        <v>1262</v>
      </c>
      <c r="W274" s="46">
        <v>1</v>
      </c>
      <c r="X274" s="59" t="s">
        <v>1263</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1230</v>
      </c>
      <c r="AW274" s="34" t="s">
        <v>1264</v>
      </c>
      <c r="AX274" s="26" t="s">
        <v>1231</v>
      </c>
      <c r="AY274" s="31" t="s">
        <v>1265</v>
      </c>
      <c r="AZ274" s="26" t="s">
        <v>1248</v>
      </c>
      <c r="BA274" s="24" t="s">
        <v>1266</v>
      </c>
    </row>
    <row r="275" spans="1:53" ht="7.35" customHeight="1" x14ac:dyDescent="0.25">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1418</v>
      </c>
      <c r="P275" s="39" t="s">
        <v>177</v>
      </c>
      <c r="Q275" s="46" t="s">
        <v>408</v>
      </c>
      <c r="R275" s="40" t="s">
        <v>355</v>
      </c>
      <c r="S275" s="37" t="s">
        <v>414</v>
      </c>
      <c r="T275" s="41" t="s">
        <v>1</v>
      </c>
      <c r="U275" s="42" t="s">
        <v>1</v>
      </c>
      <c r="V275" s="59" t="s">
        <v>1262</v>
      </c>
      <c r="W275" s="46" t="s">
        <v>394</v>
      </c>
      <c r="X275" s="59" t="s">
        <v>1263</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1230</v>
      </c>
      <c r="AW275" s="34" t="s">
        <v>1264</v>
      </c>
      <c r="AX275" s="26" t="s">
        <v>1231</v>
      </c>
      <c r="AY275" s="31" t="s">
        <v>1265</v>
      </c>
      <c r="AZ275" s="26" t="s">
        <v>1248</v>
      </c>
      <c r="BA275" s="24" t="s">
        <v>1266</v>
      </c>
    </row>
    <row r="276" spans="1:53" ht="7.35" customHeight="1" x14ac:dyDescent="0.25">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1418</v>
      </c>
      <c r="P276" s="39" t="s">
        <v>177</v>
      </c>
      <c r="Q276" s="46" t="s">
        <v>409</v>
      </c>
      <c r="R276" s="40" t="s">
        <v>355</v>
      </c>
      <c r="S276" s="37" t="s">
        <v>416</v>
      </c>
      <c r="T276" s="41" t="s">
        <v>1</v>
      </c>
      <c r="U276" s="42" t="s">
        <v>1</v>
      </c>
      <c r="V276" s="59" t="s">
        <v>1262</v>
      </c>
      <c r="W276" s="46">
        <v>1</v>
      </c>
      <c r="X276" s="59" t="s">
        <v>1263</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1230</v>
      </c>
      <c r="AW276" s="34" t="s">
        <v>1264</v>
      </c>
      <c r="AX276" s="26" t="s">
        <v>1231</v>
      </c>
      <c r="AY276" s="31" t="s">
        <v>1265</v>
      </c>
      <c r="AZ276" s="26" t="s">
        <v>1248</v>
      </c>
      <c r="BA276" s="24" t="s">
        <v>1266</v>
      </c>
    </row>
    <row r="277" spans="1:53" ht="7.35" customHeight="1" x14ac:dyDescent="0.25">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1418</v>
      </c>
      <c r="P277" s="39" t="s">
        <v>177</v>
      </c>
      <c r="Q277" s="46" t="s">
        <v>410</v>
      </c>
      <c r="R277" s="40" t="s">
        <v>355</v>
      </c>
      <c r="S277" s="37" t="s">
        <v>417</v>
      </c>
      <c r="T277" s="41" t="s">
        <v>1</v>
      </c>
      <c r="U277" s="42" t="s">
        <v>1</v>
      </c>
      <c r="V277" s="59" t="s">
        <v>1262</v>
      </c>
      <c r="W277" s="46">
        <v>0</v>
      </c>
      <c r="X277" s="59" t="s">
        <v>1263</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1230</v>
      </c>
      <c r="AW277" s="34" t="s">
        <v>1264</v>
      </c>
      <c r="AX277" s="26" t="s">
        <v>1231</v>
      </c>
      <c r="AY277" s="31" t="s">
        <v>1265</v>
      </c>
      <c r="AZ277" s="26" t="s">
        <v>1248</v>
      </c>
      <c r="BA277" s="24" t="s">
        <v>1266</v>
      </c>
    </row>
    <row r="278" spans="1:53" ht="7.35" customHeight="1" x14ac:dyDescent="0.25">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1418</v>
      </c>
      <c r="P278" s="39" t="s">
        <v>177</v>
      </c>
      <c r="Q278" s="46" t="s">
        <v>411</v>
      </c>
      <c r="R278" s="40" t="s">
        <v>355</v>
      </c>
      <c r="S278" s="37" t="s">
        <v>415</v>
      </c>
      <c r="T278" s="41" t="s">
        <v>1</v>
      </c>
      <c r="U278" s="42" t="s">
        <v>1</v>
      </c>
      <c r="V278" s="59" t="s">
        <v>1262</v>
      </c>
      <c r="W278" s="46">
        <v>1</v>
      </c>
      <c r="X278" s="59" t="s">
        <v>1263</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1230</v>
      </c>
      <c r="AW278" s="34" t="s">
        <v>1264</v>
      </c>
      <c r="AX278" s="26" t="s">
        <v>1231</v>
      </c>
      <c r="AY278" s="31" t="s">
        <v>1265</v>
      </c>
      <c r="AZ278" s="26" t="s">
        <v>1248</v>
      </c>
      <c r="BA278" s="24" t="s">
        <v>1266</v>
      </c>
    </row>
    <row r="279" spans="1:53" ht="7.35" customHeight="1" x14ac:dyDescent="0.25">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1418</v>
      </c>
      <c r="P279" s="39" t="s">
        <v>177</v>
      </c>
      <c r="Q279" s="46" t="s">
        <v>412</v>
      </c>
      <c r="R279" s="40" t="s">
        <v>355</v>
      </c>
      <c r="S279" s="37" t="s">
        <v>416</v>
      </c>
      <c r="T279" s="41" t="s">
        <v>1</v>
      </c>
      <c r="U279" s="42" t="s">
        <v>1</v>
      </c>
      <c r="V279" s="59" t="s">
        <v>1262</v>
      </c>
      <c r="W279" s="46">
        <v>2</v>
      </c>
      <c r="X279" s="59" t="s">
        <v>1263</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1230</v>
      </c>
      <c r="AW279" s="34" t="s">
        <v>1264</v>
      </c>
      <c r="AX279" s="26" t="s">
        <v>1231</v>
      </c>
      <c r="AY279" s="31" t="s">
        <v>1265</v>
      </c>
      <c r="AZ279" s="26" t="s">
        <v>1248</v>
      </c>
      <c r="BA279" s="24" t="s">
        <v>1266</v>
      </c>
    </row>
    <row r="280" spans="1:53" ht="7.35" customHeight="1" x14ac:dyDescent="0.25">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1418</v>
      </c>
      <c r="P280" s="39" t="s">
        <v>177</v>
      </c>
      <c r="Q280" s="46" t="s">
        <v>413</v>
      </c>
      <c r="R280" s="40" t="s">
        <v>355</v>
      </c>
      <c r="S280" s="37" t="s">
        <v>415</v>
      </c>
      <c r="T280" s="41" t="s">
        <v>1</v>
      </c>
      <c r="U280" s="42" t="s">
        <v>1</v>
      </c>
      <c r="V280" s="59" t="s">
        <v>1262</v>
      </c>
      <c r="W280" s="46">
        <v>1</v>
      </c>
      <c r="X280" s="59" t="s">
        <v>1263</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1230</v>
      </c>
      <c r="AW280" s="34" t="s">
        <v>1264</v>
      </c>
      <c r="AX280" s="26" t="s">
        <v>1231</v>
      </c>
      <c r="AY280" s="31" t="s">
        <v>1265</v>
      </c>
      <c r="AZ280" s="26" t="s">
        <v>1248</v>
      </c>
      <c r="BA280" s="24" t="s">
        <v>1266</v>
      </c>
    </row>
    <row r="281" spans="1:53" ht="7.35" customHeight="1" x14ac:dyDescent="0.25">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1418</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1230</v>
      </c>
      <c r="AW281" s="34" t="s">
        <v>1264</v>
      </c>
      <c r="AX281" s="26" t="s">
        <v>1231</v>
      </c>
      <c r="AY281" s="31" t="s">
        <v>1265</v>
      </c>
      <c r="AZ281" s="26" t="s">
        <v>1248</v>
      </c>
      <c r="BA281" s="24" t="s">
        <v>1266</v>
      </c>
    </row>
    <row r="282" spans="1:53" ht="7.35" customHeight="1" x14ac:dyDescent="0.25">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1418</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1230</v>
      </c>
      <c r="AW282" s="34" t="s">
        <v>1264</v>
      </c>
      <c r="AX282" s="26" t="s">
        <v>1231</v>
      </c>
      <c r="AY282" s="31" t="s">
        <v>1265</v>
      </c>
      <c r="AZ282" s="26" t="s">
        <v>1248</v>
      </c>
      <c r="BA282" s="24" t="s">
        <v>1266</v>
      </c>
    </row>
    <row r="283" spans="1:53" ht="7.35" customHeight="1" x14ac:dyDescent="0.25">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1418</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1230</v>
      </c>
      <c r="AW283" s="34" t="s">
        <v>1264</v>
      </c>
      <c r="AX283" s="26" t="s">
        <v>1231</v>
      </c>
      <c r="AY283" s="31" t="s">
        <v>1265</v>
      </c>
      <c r="AZ283" s="26" t="s">
        <v>1248</v>
      </c>
      <c r="BA283" s="24" t="s">
        <v>1266</v>
      </c>
    </row>
    <row r="284" spans="1:53" ht="7.35" customHeight="1" x14ac:dyDescent="0.25">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1418</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1230</v>
      </c>
      <c r="AW284" s="34" t="s">
        <v>1264</v>
      </c>
      <c r="AX284" s="26" t="s">
        <v>1231</v>
      </c>
      <c r="AY284" s="31" t="s">
        <v>1265</v>
      </c>
      <c r="AZ284" s="26" t="s">
        <v>1248</v>
      </c>
      <c r="BA284" s="24" t="s">
        <v>1266</v>
      </c>
    </row>
    <row r="285" spans="1:53" ht="7.35" customHeight="1" x14ac:dyDescent="0.25">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1418</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1230</v>
      </c>
      <c r="AW285" s="34" t="s">
        <v>1264</v>
      </c>
      <c r="AX285" s="26" t="s">
        <v>1231</v>
      </c>
      <c r="AY285" s="31" t="s">
        <v>1265</v>
      </c>
      <c r="AZ285" s="26" t="s">
        <v>1248</v>
      </c>
      <c r="BA285" s="24" t="s">
        <v>1266</v>
      </c>
    </row>
    <row r="286" spans="1:53" ht="7.35" customHeight="1" x14ac:dyDescent="0.25">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1418</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1230</v>
      </c>
      <c r="AW286" s="34" t="s">
        <v>1264</v>
      </c>
      <c r="AX286" s="26" t="s">
        <v>1231</v>
      </c>
      <c r="AY286" s="31" t="s">
        <v>1265</v>
      </c>
      <c r="AZ286" s="26" t="s">
        <v>1248</v>
      </c>
      <c r="BA286" s="24" t="s">
        <v>1266</v>
      </c>
    </row>
    <row r="287" spans="1:53" ht="7.35" customHeight="1" x14ac:dyDescent="0.25">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1418</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1230</v>
      </c>
      <c r="AW287" s="34" t="s">
        <v>1264</v>
      </c>
      <c r="AX287" s="26" t="s">
        <v>1231</v>
      </c>
      <c r="AY287" s="31" t="s">
        <v>1265</v>
      </c>
      <c r="AZ287" s="26" t="s">
        <v>1248</v>
      </c>
      <c r="BA287" s="24" t="s">
        <v>1266</v>
      </c>
    </row>
    <row r="288" spans="1:53" ht="7.35" customHeight="1" x14ac:dyDescent="0.25">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1418</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1230</v>
      </c>
      <c r="AW288" s="34" t="s">
        <v>1264</v>
      </c>
      <c r="AX288" s="26" t="s">
        <v>1231</v>
      </c>
      <c r="AY288" s="31" t="s">
        <v>1265</v>
      </c>
      <c r="AZ288" s="26" t="s">
        <v>1248</v>
      </c>
      <c r="BA288" s="24" t="s">
        <v>1266</v>
      </c>
    </row>
    <row r="289" spans="1:53" ht="7.35" customHeight="1" x14ac:dyDescent="0.25">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1418</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1230</v>
      </c>
      <c r="AW289" s="34" t="s">
        <v>1264</v>
      </c>
      <c r="AX289" s="26" t="s">
        <v>1231</v>
      </c>
      <c r="AY289" s="31" t="s">
        <v>1265</v>
      </c>
      <c r="AZ289" s="26" t="s">
        <v>1248</v>
      </c>
      <c r="BA289" s="24" t="s">
        <v>1266</v>
      </c>
    </row>
    <row r="290" spans="1:53" ht="7.35" customHeight="1" x14ac:dyDescent="0.25">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1418</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1230</v>
      </c>
      <c r="AW290" s="34" t="s">
        <v>1264</v>
      </c>
      <c r="AX290" s="26" t="s">
        <v>1231</v>
      </c>
      <c r="AY290" s="31" t="s">
        <v>1265</v>
      </c>
      <c r="AZ290" s="26" t="s">
        <v>1248</v>
      </c>
      <c r="BA290" s="24" t="s">
        <v>1266</v>
      </c>
    </row>
    <row r="291" spans="1:53" ht="7.35" customHeight="1" x14ac:dyDescent="0.25">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1418</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1230</v>
      </c>
      <c r="AW291" s="34" t="s">
        <v>1264</v>
      </c>
      <c r="AX291" s="26" t="s">
        <v>1231</v>
      </c>
      <c r="AY291" s="31" t="s">
        <v>1265</v>
      </c>
      <c r="AZ291" s="26" t="s">
        <v>1248</v>
      </c>
      <c r="BA291" s="24" t="s">
        <v>1266</v>
      </c>
    </row>
    <row r="292" spans="1:53" ht="7.35" customHeight="1" x14ac:dyDescent="0.25">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1418</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1230</v>
      </c>
      <c r="AW292" s="34" t="s">
        <v>1264</v>
      </c>
      <c r="AX292" s="26" t="s">
        <v>1231</v>
      </c>
      <c r="AY292" s="31" t="s">
        <v>1265</v>
      </c>
      <c r="AZ292" s="26" t="s">
        <v>1248</v>
      </c>
      <c r="BA292" s="24" t="s">
        <v>1266</v>
      </c>
    </row>
    <row r="293" spans="1:53" ht="7.35" customHeight="1" x14ac:dyDescent="0.25">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1418</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1230</v>
      </c>
      <c r="AW293" s="34" t="s">
        <v>1264</v>
      </c>
      <c r="AX293" s="26" t="s">
        <v>1231</v>
      </c>
      <c r="AY293" s="31" t="s">
        <v>1265</v>
      </c>
      <c r="AZ293" s="26" t="s">
        <v>1248</v>
      </c>
      <c r="BA293" s="24" t="s">
        <v>1266</v>
      </c>
    </row>
    <row r="294" spans="1:53" ht="7.35" customHeight="1" x14ac:dyDescent="0.25">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1418</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1230</v>
      </c>
      <c r="AW294" s="34" t="s">
        <v>1264</v>
      </c>
      <c r="AX294" s="26" t="s">
        <v>1231</v>
      </c>
      <c r="AY294" s="31" t="s">
        <v>1265</v>
      </c>
      <c r="AZ294" s="26" t="s">
        <v>1248</v>
      </c>
      <c r="BA294" s="24" t="s">
        <v>1266</v>
      </c>
    </row>
    <row r="295" spans="1:53" ht="7.35" customHeight="1" x14ac:dyDescent="0.25">
      <c r="A295" s="30">
        <v>295</v>
      </c>
      <c r="B295" s="43" t="s">
        <v>1005</v>
      </c>
      <c r="C295" s="52" t="s">
        <v>1279</v>
      </c>
      <c r="D295" s="87" t="s">
        <v>1007</v>
      </c>
      <c r="E295" s="76" t="s">
        <v>122</v>
      </c>
      <c r="F295" s="86" t="s">
        <v>1</v>
      </c>
      <c r="G295" s="75" t="s">
        <v>1</v>
      </c>
      <c r="H295" s="86" t="s">
        <v>1</v>
      </c>
      <c r="I295" s="75" t="s">
        <v>1</v>
      </c>
      <c r="J295" s="86" t="s">
        <v>1</v>
      </c>
      <c r="K295" s="75" t="s">
        <v>1</v>
      </c>
      <c r="L295" s="64" t="s">
        <v>1</v>
      </c>
      <c r="M295" s="76" t="s">
        <v>1</v>
      </c>
      <c r="N295" s="26" t="s">
        <v>180</v>
      </c>
      <c r="O295" s="24" t="s">
        <v>1434</v>
      </c>
      <c r="P295" s="26" t="s">
        <v>1269</v>
      </c>
      <c r="Q295" s="24" t="s">
        <v>1268</v>
      </c>
      <c r="R295" s="26" t="s">
        <v>1270</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1271</v>
      </c>
      <c r="AP295" s="26" t="s">
        <v>1</v>
      </c>
      <c r="AQ295" s="34" t="s">
        <v>1</v>
      </c>
      <c r="AR295" s="26" t="s">
        <v>1</v>
      </c>
      <c r="AS295" s="31" t="s">
        <v>1</v>
      </c>
      <c r="AT295" s="26" t="s">
        <v>1</v>
      </c>
      <c r="AU295" s="79" t="s">
        <v>1</v>
      </c>
      <c r="AV295" s="26" t="s">
        <v>1230</v>
      </c>
      <c r="AW295" s="34" t="s">
        <v>1264</v>
      </c>
      <c r="AX295" s="26" t="s">
        <v>1231</v>
      </c>
      <c r="AY295" s="31" t="s">
        <v>1265</v>
      </c>
      <c r="AZ295" s="26" t="s">
        <v>1248</v>
      </c>
      <c r="BA295" s="24" t="s">
        <v>1266</v>
      </c>
    </row>
    <row r="296" spans="1:53" ht="7.35" customHeight="1" x14ac:dyDescent="0.25">
      <c r="A296" s="30">
        <v>296</v>
      </c>
      <c r="B296" s="43" t="s">
        <v>1006</v>
      </c>
      <c r="C296" s="52" t="s">
        <v>1279</v>
      </c>
      <c r="D296" s="87" t="s">
        <v>1007</v>
      </c>
      <c r="E296" s="76" t="s">
        <v>162</v>
      </c>
      <c r="F296" s="86" t="s">
        <v>1</v>
      </c>
      <c r="G296" s="75" t="s">
        <v>1</v>
      </c>
      <c r="H296" s="86" t="s">
        <v>1</v>
      </c>
      <c r="I296" s="75" t="s">
        <v>1</v>
      </c>
      <c r="J296" s="86" t="s">
        <v>1</v>
      </c>
      <c r="K296" s="75" t="s">
        <v>1</v>
      </c>
      <c r="L296" s="64" t="s">
        <v>1</v>
      </c>
      <c r="M296" s="76" t="s">
        <v>1</v>
      </c>
      <c r="N296" s="26" t="s">
        <v>180</v>
      </c>
      <c r="O296" s="24" t="s">
        <v>1435</v>
      </c>
      <c r="P296" s="26" t="s">
        <v>1269</v>
      </c>
      <c r="Q296" s="24" t="s">
        <v>1268</v>
      </c>
      <c r="R296" s="26" t="s">
        <v>1270</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1272</v>
      </c>
      <c r="AP296" s="26" t="s">
        <v>1</v>
      </c>
      <c r="AQ296" s="34" t="s">
        <v>1</v>
      </c>
      <c r="AR296" s="26" t="s">
        <v>1</v>
      </c>
      <c r="AS296" s="31" t="s">
        <v>1</v>
      </c>
      <c r="AT296" s="26" t="s">
        <v>1</v>
      </c>
      <c r="AU296" s="79" t="s">
        <v>1</v>
      </c>
      <c r="AV296" s="26" t="s">
        <v>1230</v>
      </c>
      <c r="AW296" s="34" t="s">
        <v>1264</v>
      </c>
      <c r="AX296" s="26" t="s">
        <v>1231</v>
      </c>
      <c r="AY296" s="31" t="s">
        <v>1265</v>
      </c>
      <c r="AZ296" s="26" t="s">
        <v>1248</v>
      </c>
      <c r="BA296" s="24" t="s">
        <v>1266</v>
      </c>
    </row>
    <row r="297" spans="1:53" ht="7.35" customHeight="1" x14ac:dyDescent="0.25">
      <c r="A297" s="30">
        <v>297</v>
      </c>
      <c r="B297" s="43" t="s">
        <v>1008</v>
      </c>
      <c r="C297" s="52" t="s">
        <v>1285</v>
      </c>
      <c r="D297" s="87" t="s">
        <v>1010</v>
      </c>
      <c r="E297" s="44" t="s">
        <v>540</v>
      </c>
      <c r="F297" s="86" t="s">
        <v>1</v>
      </c>
      <c r="G297" s="75" t="s">
        <v>1</v>
      </c>
      <c r="H297" s="86" t="s">
        <v>1</v>
      </c>
      <c r="I297" s="75" t="s">
        <v>1</v>
      </c>
      <c r="J297" s="86" t="s">
        <v>1</v>
      </c>
      <c r="K297" s="75" t="s">
        <v>1</v>
      </c>
      <c r="L297" s="64" t="s">
        <v>1</v>
      </c>
      <c r="M297" s="76" t="s">
        <v>1</v>
      </c>
      <c r="N297" s="26" t="s">
        <v>180</v>
      </c>
      <c r="O297" s="24" t="s">
        <v>1436</v>
      </c>
      <c r="P297" s="26" t="s">
        <v>1269</v>
      </c>
      <c r="Q297" s="24" t="s">
        <v>1268</v>
      </c>
      <c r="R297" s="26" t="s">
        <v>1270</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1275</v>
      </c>
      <c r="AP297" s="26" t="s">
        <v>1</v>
      </c>
      <c r="AQ297" s="34" t="s">
        <v>1</v>
      </c>
      <c r="AR297" s="26" t="s">
        <v>1</v>
      </c>
      <c r="AS297" s="31" t="s">
        <v>1</v>
      </c>
      <c r="AT297" s="26" t="s">
        <v>1</v>
      </c>
      <c r="AU297" s="79" t="s">
        <v>1</v>
      </c>
      <c r="AV297" s="26" t="s">
        <v>1230</v>
      </c>
      <c r="AW297" s="34" t="s">
        <v>1264</v>
      </c>
      <c r="AX297" s="26" t="s">
        <v>1231</v>
      </c>
      <c r="AY297" s="31" t="s">
        <v>1265</v>
      </c>
      <c r="AZ297" s="26" t="s">
        <v>1248</v>
      </c>
      <c r="BA297" s="24" t="s">
        <v>1266</v>
      </c>
    </row>
    <row r="298" spans="1:53" ht="7.35" customHeight="1" x14ac:dyDescent="0.25">
      <c r="A298" s="30">
        <v>298</v>
      </c>
      <c r="B298" s="43" t="s">
        <v>1009</v>
      </c>
      <c r="C298" s="52" t="s">
        <v>1285</v>
      </c>
      <c r="D298" s="87" t="s">
        <v>1010</v>
      </c>
      <c r="E298" s="44" t="s">
        <v>540</v>
      </c>
      <c r="F298" s="86" t="s">
        <v>1</v>
      </c>
      <c r="G298" s="75" t="s">
        <v>1</v>
      </c>
      <c r="H298" s="86" t="s">
        <v>1</v>
      </c>
      <c r="I298" s="75" t="s">
        <v>1</v>
      </c>
      <c r="J298" s="86" t="s">
        <v>1</v>
      </c>
      <c r="K298" s="75" t="s">
        <v>1</v>
      </c>
      <c r="L298" s="64" t="s">
        <v>1</v>
      </c>
      <c r="M298" s="76" t="s">
        <v>1</v>
      </c>
      <c r="N298" s="26" t="s">
        <v>180</v>
      </c>
      <c r="O298" s="24" t="s">
        <v>1436</v>
      </c>
      <c r="P298" s="26" t="s">
        <v>1269</v>
      </c>
      <c r="Q298" s="24" t="s">
        <v>1268</v>
      </c>
      <c r="R298" s="26" t="s">
        <v>1270</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1276</v>
      </c>
      <c r="AP298" s="26" t="s">
        <v>1</v>
      </c>
      <c r="AQ298" s="34" t="s">
        <v>1</v>
      </c>
      <c r="AR298" s="26" t="s">
        <v>1</v>
      </c>
      <c r="AS298" s="31" t="s">
        <v>1</v>
      </c>
      <c r="AT298" s="26" t="s">
        <v>1</v>
      </c>
      <c r="AU298" s="79" t="s">
        <v>1</v>
      </c>
      <c r="AV298" s="26" t="s">
        <v>1230</v>
      </c>
      <c r="AW298" s="34" t="s">
        <v>1264</v>
      </c>
      <c r="AX298" s="26" t="s">
        <v>1231</v>
      </c>
      <c r="AY298" s="31" t="s">
        <v>1265</v>
      </c>
      <c r="AZ298" s="26" t="s">
        <v>1248</v>
      </c>
      <c r="BA298" s="24" t="s">
        <v>1266</v>
      </c>
    </row>
    <row r="299" spans="1:53" ht="7.35" customHeight="1" x14ac:dyDescent="0.25">
      <c r="A299" s="30">
        <v>299</v>
      </c>
      <c r="B299" s="43" t="s">
        <v>1014</v>
      </c>
      <c r="C299" s="52" t="s">
        <v>1289</v>
      </c>
      <c r="D299" s="87" t="s">
        <v>1013</v>
      </c>
      <c r="E299" s="44" t="s">
        <v>889</v>
      </c>
      <c r="F299" s="86" t="s">
        <v>1</v>
      </c>
      <c r="G299" s="75" t="s">
        <v>1</v>
      </c>
      <c r="H299" s="86" t="s">
        <v>1</v>
      </c>
      <c r="I299" s="75" t="s">
        <v>1</v>
      </c>
      <c r="J299" s="86" t="s">
        <v>1</v>
      </c>
      <c r="K299" s="75" t="s">
        <v>1</v>
      </c>
      <c r="L299" s="64" t="s">
        <v>1</v>
      </c>
      <c r="M299" s="76" t="s">
        <v>1</v>
      </c>
      <c r="N299" s="26" t="s">
        <v>180</v>
      </c>
      <c r="O299" s="24" t="s">
        <v>1437</v>
      </c>
      <c r="P299" s="26" t="s">
        <v>1269</v>
      </c>
      <c r="Q299" s="24" t="s">
        <v>1268</v>
      </c>
      <c r="R299" s="26" t="s">
        <v>1274</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1273</v>
      </c>
      <c r="AP299" s="26" t="s">
        <v>1</v>
      </c>
      <c r="AQ299" s="34" t="s">
        <v>1</v>
      </c>
      <c r="AR299" s="26" t="s">
        <v>1</v>
      </c>
      <c r="AS299" s="31" t="s">
        <v>1</v>
      </c>
      <c r="AT299" s="26" t="s">
        <v>1</v>
      </c>
      <c r="AU299" s="79" t="s">
        <v>1</v>
      </c>
      <c r="AV299" s="26" t="s">
        <v>1230</v>
      </c>
      <c r="AW299" s="34" t="s">
        <v>1264</v>
      </c>
      <c r="AX299" s="26" t="s">
        <v>1231</v>
      </c>
      <c r="AY299" s="31" t="s">
        <v>1265</v>
      </c>
      <c r="AZ299" s="26" t="s">
        <v>1248</v>
      </c>
      <c r="BA299" s="24" t="s">
        <v>1266</v>
      </c>
    </row>
  </sheetData>
  <sortState xmlns:xlrd2="http://schemas.microsoft.com/office/spreadsheetml/2017/richdata2" ref="A2:BA302">
    <sortCondition ref="A1:A302"/>
  </sortState>
  <conditionalFormatting sqref="A1:BA299">
    <cfRule type="cellIs" dxfId="7" priority="1" operator="equal">
      <formula>"null"</formula>
    </cfRule>
  </conditionalFormatting>
  <conditionalFormatting sqref="B1:B299">
    <cfRule type="duplicateValues" dxfId="6" priority="1923"/>
    <cfRule type="duplicateValues" dxfId="5" priority="1924"/>
  </conditionalFormatting>
  <conditionalFormatting sqref="C264">
    <cfRule type="cellIs" dxfId="4"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2026-09-08T15:24:16Z</dcterms:modified>
</cp:coreProperties>
</file>